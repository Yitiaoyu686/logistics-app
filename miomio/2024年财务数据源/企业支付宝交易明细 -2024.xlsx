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firstSheet="6" activeTab="11"/>
  </bookViews>
  <sheets>
    <sheet name="1月份" sheetId="1" r:id="rId1"/>
    <sheet name="2月份" sheetId="2" r:id="rId2"/>
    <sheet name="3月份 " sheetId="3" r:id="rId3"/>
    <sheet name="4月份  " sheetId="4" r:id="rId4"/>
    <sheet name="5月份 " sheetId="5" r:id="rId5"/>
    <sheet name="6月份 " sheetId="6" r:id="rId6"/>
    <sheet name="7月份 " sheetId="7" r:id="rId7"/>
    <sheet name="8月份 " sheetId="8" r:id="rId8"/>
    <sheet name="9月份" sheetId="9" r:id="rId9"/>
    <sheet name="10月份" sheetId="10" r:id="rId10"/>
    <sheet name="11月份" sheetId="11" r:id="rId11"/>
    <sheet name="12月份" sheetId="12" r:id="rId12"/>
  </sheets>
  <definedNames>
    <definedName name="_xlnm._FilterDatabase" localSheetId="0" hidden="1">'1月份'!$A$2:$J$5</definedName>
    <definedName name="_xlnm._FilterDatabase" localSheetId="1" hidden="1">'2月份'!$A$2:$J$5</definedName>
    <definedName name="_xlnm._FilterDatabase" localSheetId="2" hidden="1">'3月份 '!$A$2:$J$5</definedName>
    <definedName name="_xlnm._FilterDatabase" localSheetId="3" hidden="1">'4月份  '!$A$2:$J$5</definedName>
    <definedName name="_xlnm._FilterDatabase" localSheetId="4" hidden="1">'5月份 '!$A$2:$J$5</definedName>
    <definedName name="_xlnm._FilterDatabase" localSheetId="5" hidden="1">'6月份 '!$A$2:$J$5</definedName>
    <definedName name="_xlnm._FilterDatabase" localSheetId="6" hidden="1">'7月份 '!$A$2:$J$6</definedName>
    <definedName name="_xlnm._FilterDatabase" localSheetId="7" hidden="1">'8月份 '!$A$2:$I$24</definedName>
    <definedName name="_xlnm._FilterDatabase" localSheetId="8" hidden="1">'9月份'!$A$2:$I$14</definedName>
    <definedName name="_xlnm._FilterDatabase" localSheetId="9" hidden="1">'10月份'!$A$2:$I$14</definedName>
    <definedName name="_xlnm._FilterDatabase" localSheetId="10" hidden="1">'11月份'!$A$2:$I$19</definedName>
    <definedName name="_xlnm._FilterDatabase" localSheetId="11" hidden="1">'12月份'!$A$2:$I$16</definedName>
    <definedName name="_xlnm.Print_Area" localSheetId="0">'1月份'!$A$1:$J$5</definedName>
    <definedName name="_xlnm.Print_Area" localSheetId="1">'2月份'!$A$1:$J$5</definedName>
    <definedName name="_xlnm.Print_Area" localSheetId="2">'3月份 '!$A$1:$J$5</definedName>
    <definedName name="_xlnm.Print_Area" localSheetId="3">'4月份  '!$A$1:$J$5</definedName>
    <definedName name="_xlnm.Print_Area" localSheetId="4">'5月份 '!$A$1:$J$5</definedName>
    <definedName name="_xlnm.Print_Area" localSheetId="5">'6月份 '!$A$1:$J$5</definedName>
    <definedName name="_xlnm.Print_Area" localSheetId="6">'7月份 '!$A$1:$J$6</definedName>
    <definedName name="_xlnm.Print_Area" localSheetId="7">'8月份 '!$A$1:$I$24</definedName>
    <definedName name="_xlnm.Print_Area" localSheetId="8">'9月份'!$A$1:$I$14</definedName>
    <definedName name="_xlnm.Print_Area" localSheetId="9">'10月份'!$A$1:$I$14</definedName>
    <definedName name="_xlnm.Print_Area" localSheetId="10">'11月份'!$A$1:$I$19</definedName>
    <definedName name="_xlnm.Print_Area" localSheetId="11">'12月份'!$A$1:$I$16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<sst xmlns="http://schemas.openxmlformats.org/spreadsheetml/2006/main" count="402" uniqueCount="55">
  <si>
    <t>2024年1月份企业支付宝交易明细</t>
  </si>
  <si>
    <t>交易时间</t>
  </si>
  <si>
    <t>任务编号</t>
  </si>
  <si>
    <t>商户订单号</t>
  </si>
  <si>
    <t>交易场景</t>
  </si>
  <si>
    <t>交易状态</t>
  </si>
  <si>
    <t>交易金额(元)</t>
  </si>
  <si>
    <t>服务费(元)</t>
  </si>
  <si>
    <t>提现(元)</t>
  </si>
  <si>
    <t>提现
手续费</t>
  </si>
  <si>
    <t>余数(元)</t>
  </si>
  <si>
    <t>上年余数</t>
  </si>
  <si>
    <t>支付宝</t>
  </si>
  <si>
    <t>浦总还借支</t>
  </si>
  <si>
    <t>买家已支付</t>
  </si>
  <si>
    <t>合计</t>
  </si>
  <si>
    <t>2024年2月份企业支付宝交易明细</t>
  </si>
  <si>
    <t>2024年3月份企业支付宝交易明细</t>
  </si>
  <si>
    <t>2024年4月份企业支付宝交易明细</t>
  </si>
  <si>
    <t>2024年5月份企业支付宝交易明细</t>
  </si>
  <si>
    <t>2024年6月份企业支付宝交易明细</t>
  </si>
  <si>
    <t>2024年7月份企业支付宝交易明细</t>
  </si>
  <si>
    <t>利息</t>
  </si>
  <si>
    <t>转账到支付宝</t>
  </si>
  <si>
    <t>2024年8月份企业支付宝交易明细</t>
  </si>
  <si>
    <t>支出(元)</t>
  </si>
  <si>
    <t>手续费</t>
  </si>
  <si>
    <t>备注</t>
  </si>
  <si>
    <t>JOB080367</t>
  </si>
  <si>
    <t xml:space="preserve">240716000028=56284.55 
240720000017=21,242.00 
240723000063=22473.45 </t>
  </si>
  <si>
    <t>浦总转入赛捷运费</t>
  </si>
  <si>
    <t>支付宝转入</t>
  </si>
  <si>
    <t>LOS回款</t>
  </si>
  <si>
    <t>转到公账</t>
  </si>
  <si>
    <t>转浦总个人支付宝.当浦总借支</t>
  </si>
  <si>
    <t>支付顶派运费</t>
  </si>
  <si>
    <t>2024年9月份企业支付宝交易明细</t>
  </si>
  <si>
    <t>上月余数</t>
  </si>
  <si>
    <t>JOB070341</t>
  </si>
  <si>
    <t>240607000056=15,710.55 ，240612000010=35,178.00 
240618000048=30,732.00 ，240618000049=32,656.00 
240624000033=21,008.00 ，240625000040=38,870.00 
240628000027=25845.45</t>
  </si>
  <si>
    <t>240723000063=11,352.55 ，240726000057=28,652.00 
240731000023=32,916.00 ，240806000023=32,370.00 
240806000036=24,804.00 ，240813000023=19905.45</t>
  </si>
  <si>
    <t>240813000023=4,742.55 ，240813000024=24,804.00 
240819000036=20453.45</t>
  </si>
  <si>
    <t>2024年10月份企业支付宝交易明细</t>
  </si>
  <si>
    <t>浦总借支</t>
  </si>
  <si>
    <t>2024年11月份企业支付宝交易明细</t>
  </si>
  <si>
    <t>240910000034=20,040.55 
240918000047=38,683.50 
240923000036=27,361.50 
240927000068=13914.45</t>
  </si>
  <si>
    <t>代收代付款(顶派）</t>
  </si>
  <si>
    <t>代收代付款（赛捷）</t>
  </si>
  <si>
    <t>代收代付款（顶派）</t>
  </si>
  <si>
    <t>2024年12月份企业支付宝交易明细</t>
  </si>
  <si>
    <t>JOB100330</t>
  </si>
  <si>
    <t>241018000058=38259
240927000068=3,679.05 
240927000069=52,281.00 
241008000060=42,346.50 
241010000015=13434.45</t>
  </si>
  <si>
    <t>赛捷</t>
  </si>
  <si>
    <t>241010000015=1,661.55 
241011000057=32,883.75 
241016000015=38,128.50 
241022000033=27326.2</t>
  </si>
  <si>
    <t>241022000033=3,357.05 
241025000062=40,875.00 
241030000026=30,343.75 
241101000011=25424.2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</si>
</sst>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JOB&quot;000000"/>
    <numFmt numFmtId="177" formatCode="0_ "/>
    <numFmt numFmtId="178" formatCode="&quot;￥&quot;#,##0.00_);[Red]\(&quot;￥&quot;#,##0.00\)"/>
    <numFmt numFmtId="179" formatCode="yyyy&quot;年&quot;m&quot;月&quot;d&quot;日&quot;;@"/>
  </numFmts>
  <fonts count="28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color theme="1"/>
      <name val="Microsoft JhengHei"/>
      <charset val="134"/>
    </font>
    <font>
      <sz val="10"/>
      <color theme="1"/>
      <name val="Microsoft JhengHei"/>
      <charset val="134"/>
    </font>
    <font>
      <sz val="10"/>
      <color rgb="FF000000"/>
      <name val="宋体"/>
      <charset val="134"/>
    </font>
    <font>
      <b/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58" fontId="2" fillId="3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178" fontId="7" fillId="4" borderId="1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58" fontId="2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6" fontId="8" fillId="0" borderId="0" xfId="0" applyNumberFormat="1" applyFont="1" applyFill="1" applyAlignment="1">
      <alignment horizontal="center" vertical="center"/>
    </xf>
    <xf numFmtId="178" fontId="8" fillId="0" borderId="0" xfId="0" applyNumberFormat="1" applyFont="1" applyFill="1" applyAlignment="1">
      <alignment horizontal="center" vertical="center"/>
    </xf>
    <xf numFmtId="178" fontId="6" fillId="0" borderId="1" xfId="0" applyNumberFormat="1" applyFont="1" applyFill="1" applyBorder="1" applyAlignment="1">
      <alignment horizontal="right" vertical="center"/>
    </xf>
    <xf numFmtId="179" fontId="6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5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C4" sqref="C4"/>
    </sheetView>
  </sheetViews>
  <sheetFormatPr defaultColWidth="9" defaultRowHeight="13.5" outlineLevelRow="4"/>
  <cols>
    <col min="1" max="1" width="12.125" customWidth="1"/>
    <col min="2" max="2" width="10.75" customWidth="1"/>
    <col min="3" max="3" width="13.125" customWidth="1"/>
    <col min="4" max="4" width="7.875" customWidth="1"/>
    <col min="5" max="5" width="11.7" customWidth="1"/>
    <col min="6" max="7" width="12" style="5" customWidth="1"/>
    <col min="8" max="8" width="8" customWidth="1"/>
    <col min="9" max="9" width="9.125" style="5" customWidth="1"/>
    <col min="10" max="10" width="13.5"/>
  </cols>
  <sheetData>
    <row r="1" s="1" customFormat="1" ht="33" customHeight="1" spans="1:10">
      <c r="A1" s="25" t="s">
        <v>0</v>
      </c>
      <c r="B1" s="33"/>
      <c r="C1" s="25"/>
      <c r="D1" s="25"/>
      <c r="E1" s="25"/>
      <c r="F1" s="34"/>
      <c r="G1" s="34"/>
      <c r="H1" s="25"/>
      <c r="I1" s="34"/>
      <c r="J1" s="25"/>
    </row>
    <row r="2" s="2" customFormat="1" ht="33" customHeight="1" spans="1:10">
      <c r="A2" s="7" t="s">
        <v>1</v>
      </c>
      <c r="B2" s="8" t="s">
        <v>2</v>
      </c>
      <c r="C2" s="9" t="s">
        <v>3</v>
      </c>
      <c r="D2" s="7" t="s">
        <v>4</v>
      </c>
      <c r="E2" s="7" t="s">
        <v>5</v>
      </c>
      <c r="F2" s="10" t="s">
        <v>6</v>
      </c>
      <c r="G2" s="35" t="s">
        <v>7</v>
      </c>
      <c r="H2" s="10" t="s">
        <v>8</v>
      </c>
      <c r="I2" s="11" t="s">
        <v>9</v>
      </c>
      <c r="J2" s="21" t="s">
        <v>10</v>
      </c>
    </row>
    <row r="3" s="3" customFormat="1" ht="21" customHeight="1" spans="1:10">
      <c r="A3" s="12" t="s">
        <v>11</v>
      </c>
      <c r="B3" s="13"/>
      <c r="C3" s="14"/>
      <c r="D3" s="12" t="s">
        <v>12</v>
      </c>
      <c r="E3" s="15"/>
      <c r="F3" s="16"/>
      <c r="G3" s="16"/>
      <c r="H3" s="16"/>
      <c r="I3" s="16"/>
      <c r="J3" s="21">
        <v>5275.52</v>
      </c>
    </row>
    <row r="4" s="2" customFormat="1" ht="27" customHeight="1" spans="1:10">
      <c r="A4" s="36">
        <v>45320</v>
      </c>
      <c r="B4" s="8"/>
      <c r="C4" s="20" t="s">
        <v>13</v>
      </c>
      <c r="D4" s="7" t="s">
        <v>12</v>
      </c>
      <c r="E4" s="7" t="s">
        <v>14</v>
      </c>
      <c r="F4" s="10">
        <v>10000</v>
      </c>
      <c r="G4" s="10"/>
      <c r="H4" s="10"/>
      <c r="I4" s="10"/>
      <c r="J4" s="21">
        <f>SUM(J3+F4-G4-H4-I4)</f>
        <v>15275.52</v>
      </c>
    </row>
    <row r="5" s="4" customFormat="1" ht="27" customHeight="1" spans="1:10">
      <c r="A5" s="7" t="s">
        <v>15</v>
      </c>
      <c r="B5" s="8"/>
      <c r="C5" s="9"/>
      <c r="D5" s="7"/>
      <c r="E5" s="7"/>
      <c r="F5" s="10">
        <f>SUM(F4:F4)</f>
        <v>10000</v>
      </c>
      <c r="G5" s="10">
        <f>SUM(G4:G4)</f>
        <v>0</v>
      </c>
      <c r="H5" s="10">
        <f>SUM(H3:H4)</f>
        <v>0</v>
      </c>
      <c r="I5" s="10">
        <f>SUM(I3:I4)</f>
        <v>0</v>
      </c>
      <c r="J5" s="10">
        <f>SUM(J3+F5-G5-H5-I5)</f>
        <v>15275.52</v>
      </c>
    </row>
  </sheetData>
  <autoFilter xmlns:etc="http://www.wps.cn/officeDocument/2017/etCustomData" ref="A2:J5" etc:filterBottomFollowUsedRange="0">
    <extLst/>
  </autoFilter>
  <mergeCells count="1">
    <mergeCell ref="A1:J1"/>
  </mergeCells>
  <pageMargins left="0.629861111111111" right="0.472222222222222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F12" sqref="F12"/>
    </sheetView>
  </sheetViews>
  <sheetFormatPr defaultColWidth="9" defaultRowHeight="13.5" outlineLevelRow="4"/>
  <cols>
    <col min="1" max="1" width="12.125" customWidth="1"/>
    <col min="2" max="2" width="10.75" customWidth="1"/>
    <col min="3" max="3" width="13.125" customWidth="1"/>
    <col min="4" max="4" width="7.875" customWidth="1"/>
    <col min="5" max="5" width="11.7" customWidth="1"/>
    <col min="6" max="7" width="12" style="5" customWidth="1"/>
    <col min="8" max="8" width="8" customWidth="1"/>
    <col min="9" max="9" width="9.125" style="5" customWidth="1"/>
    <col min="10" max="10" width="13.5"/>
  </cols>
  <sheetData>
    <row r="1" s="1" customFormat="1" ht="33" customHeight="1" spans="1:10">
      <c r="A1" s="25" t="s">
        <v>16</v>
      </c>
      <c r="B1" s="33"/>
      <c r="C1" s="25"/>
      <c r="D1" s="25"/>
      <c r="E1" s="25"/>
      <c r="F1" s="34"/>
      <c r="G1" s="34"/>
      <c r="H1" s="25"/>
      <c r="I1" s="34"/>
      <c r="J1" s="25"/>
    </row>
    <row r="2" s="2" customFormat="1" ht="33" customHeight="1" spans="1:10">
      <c r="A2" s="7" t="s">
        <v>1</v>
      </c>
      <c r="B2" s="8" t="s">
        <v>2</v>
      </c>
      <c r="C2" s="9" t="s">
        <v>3</v>
      </c>
      <c r="D2" s="7" t="s">
        <v>4</v>
      </c>
      <c r="E2" s="7" t="s">
        <v>5</v>
      </c>
      <c r="F2" s="10" t="s">
        <v>6</v>
      </c>
      <c r="G2" s="35" t="s">
        <v>7</v>
      </c>
      <c r="H2" s="10" t="s">
        <v>8</v>
      </c>
      <c r="I2" s="11" t="s">
        <v>9</v>
      </c>
      <c r="J2" s="21" t="s">
        <v>10</v>
      </c>
    </row>
    <row r="3" s="3" customFormat="1" ht="21" customHeight="1" spans="1:10">
      <c r="A3" s="12" t="s">
        <v>11</v>
      </c>
      <c r="B3" s="13"/>
      <c r="C3" s="14"/>
      <c r="D3" s="12" t="s">
        <v>12</v>
      </c>
      <c r="E3" s="15"/>
      <c r="F3" s="16"/>
      <c r="G3" s="16"/>
      <c r="H3" s="16"/>
      <c r="I3" s="16"/>
      <c r="J3" s="21">
        <v>15275.52</v>
      </c>
    </row>
    <row r="4" s="2" customFormat="1" ht="27" customHeight="1" spans="1:10">
      <c r="A4" s="36"/>
      <c r="B4" s="8"/>
      <c r="C4" s="20"/>
      <c r="D4" s="7" t="s">
        <v>12</v>
      </c>
      <c r="E4" s="7" t="s">
        <v>14</v>
      </c>
      <c r="F4" s="10"/>
      <c r="G4" s="10"/>
      <c r="H4" s="10"/>
      <c r="I4" s="10"/>
      <c r="J4" s="21">
        <f>SUM(J3+F4-G4-H4-I4)</f>
        <v>15275.52</v>
      </c>
    </row>
    <row r="5" s="4" customFormat="1" ht="27" customHeight="1" spans="1:10">
      <c r="A5" s="7" t="s">
        <v>15</v>
      </c>
      <c r="B5" s="8"/>
      <c r="C5" s="9"/>
      <c r="D5" s="7"/>
      <c r="E5" s="7"/>
      <c r="F5" s="10">
        <f>SUM(F4:F4)</f>
        <v>0</v>
      </c>
      <c r="G5" s="10">
        <f>SUM(G4:G4)</f>
        <v>0</v>
      </c>
      <c r="H5" s="10">
        <f>SUM(H3:H4)</f>
        <v>0</v>
      </c>
      <c r="I5" s="10">
        <f>SUM(I3:I4)</f>
        <v>0</v>
      </c>
      <c r="J5" s="10">
        <f>SUM(J3+F5-G5-H5-I5)</f>
        <v>15275.52</v>
      </c>
    </row>
  </sheetData>
  <autoFilter xmlns:etc="http://www.wps.cn/officeDocument/2017/etCustomData" ref="A2:J5" etc:filterBottomFollowUsedRange="0">
    <extLst/>
  </autoFilter>
  <mergeCells count="1">
    <mergeCell ref="A1:J1"/>
  </mergeCells>
  <pageMargins left="0.629861111111111" right="0.472222222222222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A1" sqref="A1:J1"/>
    </sheetView>
  </sheetViews>
  <sheetFormatPr defaultColWidth="9" defaultRowHeight="13.5" outlineLevelRow="4"/>
  <cols>
    <col min="1" max="1" width="12.125" customWidth="1"/>
    <col min="2" max="2" width="10.75" customWidth="1"/>
    <col min="3" max="3" width="13.125" customWidth="1"/>
    <col min="4" max="4" width="7.875" customWidth="1"/>
    <col min="5" max="5" width="11.7" customWidth="1"/>
    <col min="6" max="7" width="12" style="5" customWidth="1"/>
    <col min="8" max="8" width="8" customWidth="1"/>
    <col min="9" max="9" width="9.125" style="5" customWidth="1"/>
    <col min="10" max="10" width="13.5"/>
  </cols>
  <sheetData>
    <row r="1" s="1" customFormat="1" ht="33" customHeight="1" spans="1:10">
      <c r="A1" s="25" t="s">
        <v>17</v>
      </c>
      <c r="B1" s="33"/>
      <c r="C1" s="25"/>
      <c r="D1" s="25"/>
      <c r="E1" s="25"/>
      <c r="F1" s="34"/>
      <c r="G1" s="34"/>
      <c r="H1" s="25"/>
      <c r="I1" s="34"/>
      <c r="J1" s="25"/>
    </row>
    <row r="2" s="2" customFormat="1" ht="33" customHeight="1" spans="1:10">
      <c r="A2" s="7" t="s">
        <v>1</v>
      </c>
      <c r="B2" s="8" t="s">
        <v>2</v>
      </c>
      <c r="C2" s="9" t="s">
        <v>3</v>
      </c>
      <c r="D2" s="7" t="s">
        <v>4</v>
      </c>
      <c r="E2" s="7" t="s">
        <v>5</v>
      </c>
      <c r="F2" s="10" t="s">
        <v>6</v>
      </c>
      <c r="G2" s="35" t="s">
        <v>7</v>
      </c>
      <c r="H2" s="10" t="s">
        <v>8</v>
      </c>
      <c r="I2" s="11" t="s">
        <v>9</v>
      </c>
      <c r="J2" s="21" t="s">
        <v>10</v>
      </c>
    </row>
    <row r="3" s="3" customFormat="1" ht="21" customHeight="1" spans="1:10">
      <c r="A3" s="12" t="s">
        <v>11</v>
      </c>
      <c r="B3" s="13"/>
      <c r="C3" s="14"/>
      <c r="D3" s="12" t="s">
        <v>12</v>
      </c>
      <c r="E3" s="15"/>
      <c r="F3" s="16"/>
      <c r="G3" s="16"/>
      <c r="H3" s="16"/>
      <c r="I3" s="16"/>
      <c r="J3" s="21">
        <v>15275.52</v>
      </c>
    </row>
    <row r="4" s="2" customFormat="1" ht="27" customHeight="1" spans="1:10">
      <c r="A4" s="36"/>
      <c r="B4" s="8"/>
      <c r="C4" s="20"/>
      <c r="D4" s="7" t="s">
        <v>12</v>
      </c>
      <c r="E4" s="7" t="s">
        <v>14</v>
      </c>
      <c r="F4" s="10"/>
      <c r="G4" s="10"/>
      <c r="H4" s="10"/>
      <c r="I4" s="10"/>
      <c r="J4" s="21">
        <f>SUM(J3+F4-G4-H4-I4)</f>
        <v>15275.52</v>
      </c>
    </row>
    <row r="5" s="4" customFormat="1" ht="27" customHeight="1" spans="1:10">
      <c r="A5" s="7" t="s">
        <v>15</v>
      </c>
      <c r="B5" s="8"/>
      <c r="C5" s="9"/>
      <c r="D5" s="7"/>
      <c r="E5" s="7"/>
      <c r="F5" s="10">
        <f>SUM(F4:F4)</f>
        <v>0</v>
      </c>
      <c r="G5" s="10">
        <f>SUM(G4:G4)</f>
        <v>0</v>
      </c>
      <c r="H5" s="10">
        <f>SUM(H3:H4)</f>
        <v>0</v>
      </c>
      <c r="I5" s="10">
        <f>SUM(I3:I4)</f>
        <v>0</v>
      </c>
      <c r="J5" s="10">
        <f>SUM(J3+F5-G5-H5-I5)</f>
        <v>15275.52</v>
      </c>
    </row>
  </sheetData>
  <autoFilter xmlns:etc="http://www.wps.cn/officeDocument/2017/etCustomData" ref="A2:J5" etc:filterBottomFollowUsedRange="0">
    <extLst/>
  </autoFilter>
  <mergeCells count="1">
    <mergeCell ref="A1:J1"/>
  </mergeCells>
  <pageMargins left="0.629861111111111" right="0.472222222222222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A1" sqref="A1:J1"/>
    </sheetView>
  </sheetViews>
  <sheetFormatPr defaultColWidth="9" defaultRowHeight="13.5" outlineLevelRow="4"/>
  <cols>
    <col min="1" max="1" width="12.125" customWidth="1"/>
    <col min="2" max="2" width="10.75" customWidth="1"/>
    <col min="3" max="3" width="13.125" customWidth="1"/>
    <col min="4" max="4" width="7.875" customWidth="1"/>
    <col min="5" max="5" width="11.7" customWidth="1"/>
    <col min="6" max="7" width="12" style="5" customWidth="1"/>
    <col min="8" max="8" width="8" customWidth="1"/>
    <col min="9" max="9" width="9.125" style="5" customWidth="1"/>
    <col min="10" max="10" width="13.5"/>
  </cols>
  <sheetData>
    <row r="1" s="1" customFormat="1" ht="33" customHeight="1" spans="1:10">
      <c r="A1" s="25" t="s">
        <v>18</v>
      </c>
      <c r="B1" s="33"/>
      <c r="C1" s="25"/>
      <c r="D1" s="25"/>
      <c r="E1" s="25"/>
      <c r="F1" s="34"/>
      <c r="G1" s="34"/>
      <c r="H1" s="25"/>
      <c r="I1" s="34"/>
      <c r="J1" s="25"/>
    </row>
    <row r="2" s="2" customFormat="1" ht="33" customHeight="1" spans="1:10">
      <c r="A2" s="7" t="s">
        <v>1</v>
      </c>
      <c r="B2" s="8" t="s">
        <v>2</v>
      </c>
      <c r="C2" s="9" t="s">
        <v>3</v>
      </c>
      <c r="D2" s="7" t="s">
        <v>4</v>
      </c>
      <c r="E2" s="7" t="s">
        <v>5</v>
      </c>
      <c r="F2" s="10" t="s">
        <v>6</v>
      </c>
      <c r="G2" s="35" t="s">
        <v>7</v>
      </c>
      <c r="H2" s="10" t="s">
        <v>8</v>
      </c>
      <c r="I2" s="11" t="s">
        <v>9</v>
      </c>
      <c r="J2" s="21" t="s">
        <v>10</v>
      </c>
    </row>
    <row r="3" s="3" customFormat="1" ht="21" customHeight="1" spans="1:10">
      <c r="A3" s="12" t="s">
        <v>11</v>
      </c>
      <c r="B3" s="13"/>
      <c r="C3" s="14"/>
      <c r="D3" s="12" t="s">
        <v>12</v>
      </c>
      <c r="E3" s="15"/>
      <c r="F3" s="16"/>
      <c r="G3" s="16"/>
      <c r="H3" s="16"/>
      <c r="I3" s="16"/>
      <c r="J3" s="21">
        <v>15275.52</v>
      </c>
    </row>
    <row r="4" s="2" customFormat="1" ht="27" customHeight="1" spans="1:10">
      <c r="A4" s="36"/>
      <c r="B4" s="8"/>
      <c r="C4" s="20"/>
      <c r="D4" s="7" t="s">
        <v>12</v>
      </c>
      <c r="E4" s="7" t="s">
        <v>14</v>
      </c>
      <c r="F4" s="10"/>
      <c r="G4" s="10"/>
      <c r="H4" s="10"/>
      <c r="I4" s="10"/>
      <c r="J4" s="21">
        <f>SUM(J3+F4-G4-H4-I4)</f>
        <v>15275.52</v>
      </c>
    </row>
    <row r="5" s="4" customFormat="1" ht="27" customHeight="1" spans="1:10">
      <c r="A5" s="7" t="s">
        <v>15</v>
      </c>
      <c r="B5" s="8"/>
      <c r="C5" s="9"/>
      <c r="D5" s="7"/>
      <c r="E5" s="7"/>
      <c r="F5" s="10">
        <f>SUM(F4:F4)</f>
        <v>0</v>
      </c>
      <c r="G5" s="10">
        <f>SUM(G4:G4)</f>
        <v>0</v>
      </c>
      <c r="H5" s="10">
        <f>SUM(H3:H4)</f>
        <v>0</v>
      </c>
      <c r="I5" s="10">
        <f>SUM(I3:I4)</f>
        <v>0</v>
      </c>
      <c r="J5" s="10">
        <f>SUM(J3+F5-G5-H5-I5)</f>
        <v>15275.52</v>
      </c>
    </row>
  </sheetData>
  <autoFilter xmlns:etc="http://www.wps.cn/officeDocument/2017/etCustomData" ref="A2:J5" etc:filterBottomFollowUsedRange="0">
    <extLst/>
  </autoFilter>
  <mergeCells count="1">
    <mergeCell ref="A1:J1"/>
  </mergeCells>
  <pageMargins left="0.629861111111111" right="0.472222222222222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J4" sqref="J4"/>
    </sheetView>
  </sheetViews>
  <sheetFormatPr defaultColWidth="9" defaultRowHeight="13.5" outlineLevelRow="4"/>
  <cols>
    <col min="1" max="1" width="12.125" customWidth="1"/>
    <col min="2" max="2" width="10.75" customWidth="1"/>
    <col min="3" max="3" width="13.125" customWidth="1"/>
    <col min="4" max="4" width="7.875" customWidth="1"/>
    <col min="5" max="5" width="11.7" customWidth="1"/>
    <col min="6" max="7" width="12" style="5" customWidth="1"/>
    <col min="8" max="8" width="8" customWidth="1"/>
    <col min="9" max="9" width="9.125" style="5" customWidth="1"/>
    <col min="10" max="10" width="13.5"/>
  </cols>
  <sheetData>
    <row r="1" s="1" customFormat="1" ht="33" customHeight="1" spans="1:10">
      <c r="A1" s="25" t="s">
        <v>19</v>
      </c>
      <c r="B1" s="33"/>
      <c r="C1" s="25"/>
      <c r="D1" s="25"/>
      <c r="E1" s="25"/>
      <c r="F1" s="34"/>
      <c r="G1" s="34"/>
      <c r="H1" s="25"/>
      <c r="I1" s="34"/>
      <c r="J1" s="25"/>
    </row>
    <row r="2" s="2" customFormat="1" ht="33" customHeight="1" spans="1:10">
      <c r="A2" s="7" t="s">
        <v>1</v>
      </c>
      <c r="B2" s="8" t="s">
        <v>2</v>
      </c>
      <c r="C2" s="9" t="s">
        <v>3</v>
      </c>
      <c r="D2" s="7" t="s">
        <v>4</v>
      </c>
      <c r="E2" s="7" t="s">
        <v>5</v>
      </c>
      <c r="F2" s="10" t="s">
        <v>6</v>
      </c>
      <c r="G2" s="35" t="s">
        <v>7</v>
      </c>
      <c r="H2" s="10" t="s">
        <v>8</v>
      </c>
      <c r="I2" s="11" t="s">
        <v>9</v>
      </c>
      <c r="J2" s="21" t="s">
        <v>10</v>
      </c>
    </row>
    <row r="3" s="3" customFormat="1" ht="21" customHeight="1" spans="1:10">
      <c r="A3" s="12" t="s">
        <v>11</v>
      </c>
      <c r="B3" s="13"/>
      <c r="C3" s="14"/>
      <c r="D3" s="12" t="s">
        <v>12</v>
      </c>
      <c r="E3" s="15"/>
      <c r="F3" s="16"/>
      <c r="G3" s="16"/>
      <c r="H3" s="16"/>
      <c r="I3" s="16"/>
      <c r="J3" s="21">
        <v>15275.52</v>
      </c>
    </row>
    <row r="4" s="2" customFormat="1" ht="27" customHeight="1" spans="1:10">
      <c r="A4" s="36"/>
      <c r="B4" s="8"/>
      <c r="C4" s="20"/>
      <c r="D4" s="7" t="s">
        <v>12</v>
      </c>
      <c r="E4" s="7" t="s">
        <v>14</v>
      </c>
      <c r="F4" s="10"/>
      <c r="G4" s="10"/>
      <c r="H4" s="10"/>
      <c r="I4" s="10"/>
      <c r="J4" s="21">
        <f>SUM(J3+F4-G4-H4-I4)</f>
        <v>15275.52</v>
      </c>
    </row>
    <row r="5" s="4" customFormat="1" ht="27" customHeight="1" spans="1:10">
      <c r="A5" s="7" t="s">
        <v>15</v>
      </c>
      <c r="B5" s="8"/>
      <c r="C5" s="9"/>
      <c r="D5" s="7"/>
      <c r="E5" s="7"/>
      <c r="F5" s="10">
        <f>SUM(F4:F4)</f>
        <v>0</v>
      </c>
      <c r="G5" s="10">
        <f>SUM(G4:G4)</f>
        <v>0</v>
      </c>
      <c r="H5" s="10">
        <f>SUM(H3:H4)</f>
        <v>0</v>
      </c>
      <c r="I5" s="10">
        <f>SUM(I3:I4)</f>
        <v>0</v>
      </c>
      <c r="J5" s="10">
        <f>SUM(J3+F5-G5-H5-I5)</f>
        <v>15275.52</v>
      </c>
    </row>
  </sheetData>
  <autoFilter xmlns:etc="http://www.wps.cn/officeDocument/2017/etCustomData" ref="A2:J5" etc:filterBottomFollowUsedRange="0">
    <extLst/>
  </autoFilter>
  <mergeCells count="1">
    <mergeCell ref="A1:J1"/>
  </mergeCells>
  <pageMargins left="0.629861111111111" right="0.472222222222222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C38" sqref="C38"/>
    </sheetView>
  </sheetViews>
  <sheetFormatPr defaultColWidth="9" defaultRowHeight="13.5" outlineLevelRow="4"/>
  <cols>
    <col min="1" max="1" width="12.125" customWidth="1"/>
    <col min="2" max="2" width="10.75" customWidth="1"/>
    <col min="3" max="3" width="13.125" customWidth="1"/>
    <col min="4" max="4" width="7.875" customWidth="1"/>
    <col min="5" max="5" width="11.7" customWidth="1"/>
    <col min="6" max="7" width="12" style="5" customWidth="1"/>
    <col min="8" max="8" width="8" customWidth="1"/>
    <col min="9" max="9" width="9.125" style="5" customWidth="1"/>
    <col min="10" max="10" width="13.5"/>
  </cols>
  <sheetData>
    <row r="1" s="1" customFormat="1" ht="33" customHeight="1" spans="1:10">
      <c r="A1" s="25" t="s">
        <v>20</v>
      </c>
      <c r="B1" s="33"/>
      <c r="C1" s="25"/>
      <c r="D1" s="25"/>
      <c r="E1" s="25"/>
      <c r="F1" s="34"/>
      <c r="G1" s="34"/>
      <c r="H1" s="25"/>
      <c r="I1" s="34"/>
      <c r="J1" s="25"/>
    </row>
    <row r="2" s="2" customFormat="1" ht="33" customHeight="1" spans="1:10">
      <c r="A2" s="7" t="s">
        <v>1</v>
      </c>
      <c r="B2" s="8" t="s">
        <v>2</v>
      </c>
      <c r="C2" s="9" t="s">
        <v>3</v>
      </c>
      <c r="D2" s="7" t="s">
        <v>4</v>
      </c>
      <c r="E2" s="7" t="s">
        <v>5</v>
      </c>
      <c r="F2" s="10" t="s">
        <v>6</v>
      </c>
      <c r="G2" s="35" t="s">
        <v>7</v>
      </c>
      <c r="H2" s="10" t="s">
        <v>8</v>
      </c>
      <c r="I2" s="11" t="s">
        <v>9</v>
      </c>
      <c r="J2" s="21" t="s">
        <v>10</v>
      </c>
    </row>
    <row r="3" s="3" customFormat="1" ht="21" customHeight="1" spans="1:10">
      <c r="A3" s="12" t="s">
        <v>11</v>
      </c>
      <c r="B3" s="13"/>
      <c r="C3" s="14"/>
      <c r="D3" s="12" t="s">
        <v>12</v>
      </c>
      <c r="E3" s="15"/>
      <c r="F3" s="16"/>
      <c r="G3" s="16"/>
      <c r="H3" s="16"/>
      <c r="I3" s="16"/>
      <c r="J3" s="21">
        <v>15275.52</v>
      </c>
    </row>
    <row r="4" s="2" customFormat="1" ht="27" customHeight="1" spans="1:10">
      <c r="A4" s="36"/>
      <c r="B4" s="8"/>
      <c r="C4" s="20"/>
      <c r="D4" s="7" t="s">
        <v>12</v>
      </c>
      <c r="E4" s="7" t="s">
        <v>14</v>
      </c>
      <c r="F4" s="10"/>
      <c r="G4" s="10"/>
      <c r="H4" s="10"/>
      <c r="I4" s="10"/>
      <c r="J4" s="21">
        <f>SUM(J3+F4-G4-H4-I4)</f>
        <v>15275.52</v>
      </c>
    </row>
    <row r="5" s="4" customFormat="1" ht="27" customHeight="1" spans="1:10">
      <c r="A5" s="7" t="s">
        <v>15</v>
      </c>
      <c r="B5" s="8"/>
      <c r="C5" s="9"/>
      <c r="D5" s="7"/>
      <c r="E5" s="7"/>
      <c r="F5" s="10">
        <f>SUM(F4:F4)</f>
        <v>0</v>
      </c>
      <c r="G5" s="10">
        <f>SUM(G4:G4)</f>
        <v>0</v>
      </c>
      <c r="H5" s="10">
        <f>SUM(H3:H4)</f>
        <v>0</v>
      </c>
      <c r="I5" s="10">
        <f>SUM(I3:I4)</f>
        <v>0</v>
      </c>
      <c r="J5" s="10">
        <f>SUM(J3+F5-G5-H5-I5)</f>
        <v>15275.52</v>
      </c>
    </row>
  </sheetData>
  <autoFilter xmlns:etc="http://www.wps.cn/officeDocument/2017/etCustomData" ref="A2:J5" etc:filterBottomFollowUsedRange="0">
    <extLst/>
  </autoFilter>
  <mergeCells count="1">
    <mergeCell ref="A1:J1"/>
  </mergeCells>
  <pageMargins left="0.629861111111111" right="0.472222222222222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A5" sqref="$A5:$XFD5"/>
    </sheetView>
  </sheetViews>
  <sheetFormatPr defaultColWidth="9" defaultRowHeight="13.5" outlineLevelRow="5"/>
  <cols>
    <col min="1" max="1" width="12.125" customWidth="1"/>
    <col min="2" max="2" width="10.75" customWidth="1"/>
    <col min="3" max="3" width="13.125" customWidth="1"/>
    <col min="4" max="4" width="7.875" customWidth="1"/>
    <col min="5" max="5" width="11.7" customWidth="1"/>
    <col min="6" max="7" width="12" style="5" customWidth="1"/>
    <col min="8" max="8" width="12" customWidth="1"/>
    <col min="9" max="9" width="9.125" style="5" customWidth="1"/>
    <col min="10" max="10" width="13.5"/>
    <col min="11" max="11" width="12.75" customWidth="1"/>
  </cols>
  <sheetData>
    <row r="1" s="1" customFormat="1" ht="33" customHeight="1" spans="1:10">
      <c r="A1" s="25" t="s">
        <v>21</v>
      </c>
      <c r="B1" s="33"/>
      <c r="C1" s="25"/>
      <c r="D1" s="25"/>
      <c r="E1" s="25"/>
      <c r="F1" s="34"/>
      <c r="G1" s="34"/>
      <c r="H1" s="25"/>
      <c r="I1" s="34"/>
      <c r="J1" s="25"/>
    </row>
    <row r="2" s="2" customFormat="1" ht="33" customHeight="1" spans="1:10">
      <c r="A2" s="7" t="s">
        <v>1</v>
      </c>
      <c r="B2" s="8" t="s">
        <v>2</v>
      </c>
      <c r="C2" s="9" t="s">
        <v>3</v>
      </c>
      <c r="D2" s="7" t="s">
        <v>4</v>
      </c>
      <c r="E2" s="7" t="s">
        <v>5</v>
      </c>
      <c r="F2" s="10" t="s">
        <v>6</v>
      </c>
      <c r="G2" s="35" t="s">
        <v>7</v>
      </c>
      <c r="H2" s="10" t="s">
        <v>8</v>
      </c>
      <c r="I2" s="11" t="s">
        <v>9</v>
      </c>
      <c r="J2" s="21" t="s">
        <v>10</v>
      </c>
    </row>
    <row r="3" s="3" customFormat="1" ht="21" customHeight="1" spans="1:10">
      <c r="A3" s="12" t="s">
        <v>11</v>
      </c>
      <c r="B3" s="13"/>
      <c r="C3" s="14"/>
      <c r="D3" s="12" t="s">
        <v>12</v>
      </c>
      <c r="E3" s="15"/>
      <c r="F3" s="16"/>
      <c r="G3" s="16"/>
      <c r="H3" s="16"/>
      <c r="I3" s="16"/>
      <c r="J3" s="21">
        <v>15275.52</v>
      </c>
    </row>
    <row r="4" s="3" customFormat="1" ht="21" customHeight="1" spans="1:11">
      <c r="A4" s="17">
        <v>45502</v>
      </c>
      <c r="B4" s="13"/>
      <c r="C4" s="14"/>
      <c r="D4" s="7" t="s">
        <v>12</v>
      </c>
      <c r="E4" s="7" t="s">
        <v>14</v>
      </c>
      <c r="F4" s="16">
        <v>151.86</v>
      </c>
      <c r="G4" s="16"/>
      <c r="H4" s="16"/>
      <c r="I4" s="16"/>
      <c r="J4" s="21">
        <f>SUM(J3+F4-G4-H4-I4)</f>
        <v>15427.38</v>
      </c>
      <c r="K4" s="15" t="s">
        <v>22</v>
      </c>
    </row>
    <row r="5" s="2" customFormat="1" ht="27" customHeight="1" spans="1:11">
      <c r="A5" s="36">
        <v>45502</v>
      </c>
      <c r="B5" s="8"/>
      <c r="C5" s="20"/>
      <c r="D5" s="7" t="s">
        <v>12</v>
      </c>
      <c r="E5" s="7" t="s">
        <v>14</v>
      </c>
      <c r="F5" s="10"/>
      <c r="G5" s="10"/>
      <c r="H5" s="10">
        <v>15427.38</v>
      </c>
      <c r="I5" s="10"/>
      <c r="J5" s="21">
        <f>SUM(J4+F5-G5-H5-I5)</f>
        <v>0</v>
      </c>
      <c r="K5" s="7" t="s">
        <v>23</v>
      </c>
    </row>
    <row r="6" s="4" customFormat="1" ht="27" customHeight="1" spans="1:10">
      <c r="A6" s="7" t="s">
        <v>15</v>
      </c>
      <c r="B6" s="8"/>
      <c r="C6" s="9"/>
      <c r="D6" s="7"/>
      <c r="E6" s="7"/>
      <c r="F6" s="10">
        <f>SUM(F4:F5)</f>
        <v>151.86</v>
      </c>
      <c r="G6" s="10">
        <f>SUM(G5:G5)</f>
        <v>0</v>
      </c>
      <c r="H6" s="10">
        <f>SUM(H3:H5)</f>
        <v>15427.38</v>
      </c>
      <c r="I6" s="10">
        <f>SUM(I3:I5)</f>
        <v>0</v>
      </c>
      <c r="J6" s="10">
        <f>SUM(J3+F6-G6-H6-I6)</f>
        <v>0</v>
      </c>
    </row>
  </sheetData>
  <autoFilter xmlns:etc="http://www.wps.cn/officeDocument/2017/etCustomData" ref="A2:J6" etc:filterBottomFollowUsedRange="0">
    <extLst/>
  </autoFilter>
  <mergeCells count="1">
    <mergeCell ref="A1:J1"/>
  </mergeCells>
  <pageMargins left="0.629861111111111" right="0.472222222222222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pane xSplit="3" ySplit="3" topLeftCell="D8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3.5"/>
  <cols>
    <col min="1" max="1" width="12.125" customWidth="1"/>
    <col min="2" max="2" width="9.25" customWidth="1"/>
    <col min="3" max="3" width="23.125" customWidth="1"/>
    <col min="4" max="4" width="7.875" customWidth="1"/>
    <col min="5" max="5" width="11.7" customWidth="1"/>
    <col min="6" max="6" width="12" style="5" customWidth="1"/>
    <col min="7" max="7" width="12" customWidth="1"/>
    <col min="8" max="8" width="9.125" style="5" customWidth="1"/>
    <col min="9" max="9" width="14.625"/>
    <col min="10" max="10" width="14.625" customWidth="1"/>
  </cols>
  <sheetData>
    <row r="1" s="1" customFormat="1" ht="33" customHeight="1" spans="1:10">
      <c r="A1" s="25" t="s">
        <v>24</v>
      </c>
      <c r="B1" s="25"/>
      <c r="C1" s="25"/>
      <c r="D1" s="25"/>
      <c r="E1" s="25"/>
      <c r="F1" s="25"/>
      <c r="G1" s="25"/>
      <c r="H1" s="25"/>
      <c r="I1" s="25"/>
      <c r="J1" s="25"/>
    </row>
    <row r="2" s="2" customFormat="1" ht="33" customHeight="1" spans="1:10">
      <c r="A2" s="7" t="s">
        <v>1</v>
      </c>
      <c r="B2" s="8" t="s">
        <v>2</v>
      </c>
      <c r="C2" s="9" t="s">
        <v>3</v>
      </c>
      <c r="D2" s="7" t="s">
        <v>4</v>
      </c>
      <c r="E2" s="7" t="s">
        <v>5</v>
      </c>
      <c r="F2" s="10" t="s">
        <v>6</v>
      </c>
      <c r="G2" s="10" t="s">
        <v>25</v>
      </c>
      <c r="H2" s="11" t="s">
        <v>26</v>
      </c>
      <c r="I2" s="21" t="s">
        <v>10</v>
      </c>
      <c r="J2" s="7" t="s">
        <v>27</v>
      </c>
    </row>
    <row r="3" s="3" customFormat="1" ht="21" customHeight="1" spans="1:10">
      <c r="A3" s="12" t="s">
        <v>11</v>
      </c>
      <c r="B3" s="13"/>
      <c r="C3" s="14"/>
      <c r="D3" s="12" t="s">
        <v>12</v>
      </c>
      <c r="E3" s="15"/>
      <c r="F3" s="16"/>
      <c r="G3" s="16"/>
      <c r="H3" s="16"/>
      <c r="I3" s="21">
        <v>0</v>
      </c>
      <c r="J3" s="15"/>
    </row>
    <row r="4" s="2" customFormat="1" ht="56" customHeight="1" spans="1:10">
      <c r="A4" s="27">
        <v>45523</v>
      </c>
      <c r="B4" s="8" t="s">
        <v>28</v>
      </c>
      <c r="C4" s="28" t="s">
        <v>29</v>
      </c>
      <c r="D4" s="7" t="s">
        <v>12</v>
      </c>
      <c r="E4" s="7" t="s">
        <v>14</v>
      </c>
      <c r="F4" s="10">
        <v>100000</v>
      </c>
      <c r="G4" s="10"/>
      <c r="H4" s="10"/>
      <c r="I4" s="21">
        <f>SUM(I3+F4-G4-H4)</f>
        <v>100000</v>
      </c>
      <c r="J4" s="32" t="s">
        <v>30</v>
      </c>
    </row>
    <row r="5" s="3" customFormat="1" ht="21" customHeight="1" spans="1:10">
      <c r="A5" s="17">
        <v>45517</v>
      </c>
      <c r="B5" s="13"/>
      <c r="C5" s="14"/>
      <c r="D5" s="7" t="s">
        <v>12</v>
      </c>
      <c r="E5" s="7" t="s">
        <v>14</v>
      </c>
      <c r="F5" s="16">
        <v>50000</v>
      </c>
      <c r="G5" s="16"/>
      <c r="H5" s="16"/>
      <c r="I5" s="21">
        <f t="shared" ref="I5:I23" si="0">SUM(I4+F5-G5-H5)</f>
        <v>150000</v>
      </c>
      <c r="J5" s="15" t="s">
        <v>31</v>
      </c>
    </row>
    <row r="6" s="3" customFormat="1" ht="21" customHeight="1" spans="1:10">
      <c r="A6" s="17">
        <v>45518</v>
      </c>
      <c r="B6" s="13"/>
      <c r="C6" s="14"/>
      <c r="D6" s="7" t="s">
        <v>12</v>
      </c>
      <c r="E6" s="7" t="s">
        <v>14</v>
      </c>
      <c r="F6" s="16">
        <v>120000</v>
      </c>
      <c r="G6" s="16"/>
      <c r="H6" s="16"/>
      <c r="I6" s="21">
        <f t="shared" si="0"/>
        <v>270000</v>
      </c>
      <c r="J6" s="15" t="s">
        <v>31</v>
      </c>
    </row>
    <row r="7" s="3" customFormat="1" ht="21" customHeight="1" spans="1:10">
      <c r="A7" s="29">
        <v>45525</v>
      </c>
      <c r="B7" s="30"/>
      <c r="C7" s="31"/>
      <c r="D7" s="26" t="s">
        <v>12</v>
      </c>
      <c r="E7" s="26" t="s">
        <v>14</v>
      </c>
      <c r="F7" s="23">
        <v>111607</v>
      </c>
      <c r="G7" s="23"/>
      <c r="H7" s="23"/>
      <c r="I7" s="21">
        <f t="shared" si="0"/>
        <v>381607</v>
      </c>
      <c r="J7" s="26" t="s">
        <v>32</v>
      </c>
    </row>
    <row r="8" s="3" customFormat="1" ht="21" customHeight="1" spans="1:10">
      <c r="A8" s="29">
        <v>45527</v>
      </c>
      <c r="B8" s="30"/>
      <c r="C8" s="31"/>
      <c r="D8" s="26" t="s">
        <v>12</v>
      </c>
      <c r="E8" s="26" t="s">
        <v>14</v>
      </c>
      <c r="F8" s="23">
        <v>106430</v>
      </c>
      <c r="G8" s="23"/>
      <c r="H8" s="23"/>
      <c r="I8" s="21">
        <f t="shared" si="0"/>
        <v>488037</v>
      </c>
      <c r="J8" s="26" t="s">
        <v>32</v>
      </c>
    </row>
    <row r="9" s="3" customFormat="1" ht="21" customHeight="1" spans="1:10">
      <c r="A9" s="29">
        <v>45528</v>
      </c>
      <c r="B9" s="30"/>
      <c r="C9" s="31"/>
      <c r="D9" s="26" t="s">
        <v>12</v>
      </c>
      <c r="E9" s="26" t="s">
        <v>14</v>
      </c>
      <c r="F9" s="23">
        <v>106195</v>
      </c>
      <c r="G9" s="23"/>
      <c r="H9" s="23"/>
      <c r="I9" s="21">
        <f t="shared" si="0"/>
        <v>594232</v>
      </c>
      <c r="J9" s="26" t="s">
        <v>32</v>
      </c>
    </row>
    <row r="10" s="3" customFormat="1" ht="21" customHeight="1" spans="1:10">
      <c r="A10" s="29">
        <v>45529</v>
      </c>
      <c r="B10" s="30"/>
      <c r="C10" s="31"/>
      <c r="D10" s="26" t="s">
        <v>12</v>
      </c>
      <c r="E10" s="26" t="s">
        <v>14</v>
      </c>
      <c r="F10" s="23">
        <v>88692</v>
      </c>
      <c r="G10" s="23"/>
      <c r="H10" s="23"/>
      <c r="I10" s="21">
        <f t="shared" si="0"/>
        <v>682924</v>
      </c>
      <c r="J10" s="26" t="s">
        <v>32</v>
      </c>
    </row>
    <row r="11" s="3" customFormat="1" ht="21" customHeight="1" spans="1:10">
      <c r="A11" s="29">
        <v>45530</v>
      </c>
      <c r="B11" s="30"/>
      <c r="C11" s="31"/>
      <c r="D11" s="26" t="s">
        <v>12</v>
      </c>
      <c r="E11" s="26" t="s">
        <v>14</v>
      </c>
      <c r="F11" s="23">
        <v>88613</v>
      </c>
      <c r="G11" s="23"/>
      <c r="H11" s="23"/>
      <c r="I11" s="21">
        <f t="shared" si="0"/>
        <v>771537</v>
      </c>
      <c r="J11" s="26" t="s">
        <v>32</v>
      </c>
    </row>
    <row r="12" s="3" customFormat="1" ht="21" customHeight="1" spans="1:10">
      <c r="A12" s="17">
        <v>45523</v>
      </c>
      <c r="B12" s="13"/>
      <c r="C12" s="14"/>
      <c r="D12" s="7" t="s">
        <v>12</v>
      </c>
      <c r="E12" s="7" t="s">
        <v>14</v>
      </c>
      <c r="F12" s="16">
        <v>2.73</v>
      </c>
      <c r="G12" s="16"/>
      <c r="H12" s="16"/>
      <c r="I12" s="21">
        <f t="shared" si="0"/>
        <v>771539.73</v>
      </c>
      <c r="J12" s="15" t="s">
        <v>22</v>
      </c>
    </row>
    <row r="13" s="2" customFormat="1" ht="27" customHeight="1" spans="1:10">
      <c r="A13" s="17">
        <v>45517</v>
      </c>
      <c r="B13" s="8"/>
      <c r="C13" s="20"/>
      <c r="D13" s="7" t="s">
        <v>12</v>
      </c>
      <c r="E13" s="7" t="s">
        <v>14</v>
      </c>
      <c r="F13" s="10"/>
      <c r="G13" s="10">
        <v>49975</v>
      </c>
      <c r="H13" s="10">
        <v>25</v>
      </c>
      <c r="I13" s="21">
        <f t="shared" si="0"/>
        <v>721539.73</v>
      </c>
      <c r="J13" s="7" t="s">
        <v>33</v>
      </c>
    </row>
    <row r="14" s="2" customFormat="1" ht="27" customHeight="1" spans="1:10">
      <c r="A14" s="17">
        <v>45518</v>
      </c>
      <c r="B14" s="8"/>
      <c r="C14" s="20"/>
      <c r="D14" s="7" t="s">
        <v>12</v>
      </c>
      <c r="E14" s="7" t="s">
        <v>14</v>
      </c>
      <c r="F14" s="10"/>
      <c r="G14" s="10">
        <v>100000</v>
      </c>
      <c r="H14" s="10">
        <v>25</v>
      </c>
      <c r="I14" s="21">
        <f t="shared" si="0"/>
        <v>621514.73</v>
      </c>
      <c r="J14" s="7" t="s">
        <v>33</v>
      </c>
    </row>
    <row r="15" s="2" customFormat="1" ht="27" customHeight="1" spans="1:10">
      <c r="A15" s="17">
        <v>45525</v>
      </c>
      <c r="B15" s="8"/>
      <c r="C15" s="20"/>
      <c r="D15" s="7" t="s">
        <v>12</v>
      </c>
      <c r="E15" s="7" t="s">
        <v>14</v>
      </c>
      <c r="F15" s="10"/>
      <c r="G15" s="10">
        <v>100000</v>
      </c>
      <c r="H15" s="10">
        <v>25</v>
      </c>
      <c r="I15" s="21">
        <f t="shared" si="0"/>
        <v>521489.73</v>
      </c>
      <c r="J15" s="7" t="s">
        <v>33</v>
      </c>
    </row>
    <row r="16" s="2" customFormat="1" ht="27" customHeight="1" spans="1:10">
      <c r="A16" s="17">
        <v>45530</v>
      </c>
      <c r="B16" s="8"/>
      <c r="C16" s="20"/>
      <c r="D16" s="7" t="s">
        <v>12</v>
      </c>
      <c r="E16" s="7" t="s">
        <v>14</v>
      </c>
      <c r="F16" s="10"/>
      <c r="G16" s="10">
        <v>50000</v>
      </c>
      <c r="H16" s="10">
        <v>25</v>
      </c>
      <c r="I16" s="21">
        <f t="shared" si="0"/>
        <v>471464.73</v>
      </c>
      <c r="J16" s="32" t="s">
        <v>34</v>
      </c>
    </row>
    <row r="17" s="2" customFormat="1" ht="27" customHeight="1" spans="1:10">
      <c r="A17" s="17">
        <v>45527</v>
      </c>
      <c r="B17" s="8"/>
      <c r="C17" s="20"/>
      <c r="D17" s="7" t="s">
        <v>12</v>
      </c>
      <c r="E17" s="7" t="s">
        <v>14</v>
      </c>
      <c r="F17" s="10"/>
      <c r="G17" s="10">
        <v>2</v>
      </c>
      <c r="H17" s="10"/>
      <c r="I17" s="21">
        <f t="shared" si="0"/>
        <v>471462.73</v>
      </c>
      <c r="J17" s="32" t="s">
        <v>34</v>
      </c>
    </row>
    <row r="18" s="2" customFormat="1" ht="27" customHeight="1" spans="1:10">
      <c r="A18" s="17">
        <v>45523</v>
      </c>
      <c r="B18" s="8"/>
      <c r="C18" s="20"/>
      <c r="D18" s="7" t="s">
        <v>12</v>
      </c>
      <c r="E18" s="7" t="s">
        <v>14</v>
      </c>
      <c r="F18" s="10"/>
      <c r="G18" s="10">
        <v>19977.73</v>
      </c>
      <c r="H18" s="10"/>
      <c r="I18" s="21">
        <f t="shared" si="0"/>
        <v>451485</v>
      </c>
      <c r="J18" s="7" t="s">
        <v>23</v>
      </c>
    </row>
    <row r="19" s="2" customFormat="1" ht="27" customHeight="1" spans="1:10">
      <c r="A19" s="17">
        <v>45530</v>
      </c>
      <c r="B19" s="8"/>
      <c r="C19" s="20"/>
      <c r="D19" s="7" t="s">
        <v>12</v>
      </c>
      <c r="E19" s="7" t="s">
        <v>14</v>
      </c>
      <c r="F19" s="10"/>
      <c r="G19" s="10">
        <v>49000</v>
      </c>
      <c r="H19" s="10"/>
      <c r="I19" s="21">
        <f t="shared" si="0"/>
        <v>402485</v>
      </c>
      <c r="J19" s="7" t="s">
        <v>23</v>
      </c>
    </row>
    <row r="20" s="2" customFormat="1" ht="27" customHeight="1" spans="1:10">
      <c r="A20" s="17">
        <v>45530</v>
      </c>
      <c r="B20" s="8"/>
      <c r="C20" s="20"/>
      <c r="D20" s="7" t="s">
        <v>12</v>
      </c>
      <c r="E20" s="7" t="s">
        <v>14</v>
      </c>
      <c r="F20" s="10"/>
      <c r="G20" s="10">
        <v>100000</v>
      </c>
      <c r="H20" s="10"/>
      <c r="I20" s="21">
        <f t="shared" si="0"/>
        <v>302485</v>
      </c>
      <c r="J20" s="7" t="s">
        <v>23</v>
      </c>
    </row>
    <row r="21" s="2" customFormat="1" ht="27" customHeight="1" spans="1:10">
      <c r="A21" s="17">
        <v>45531</v>
      </c>
      <c r="B21" s="8"/>
      <c r="C21" s="20"/>
      <c r="D21" s="7" t="s">
        <v>12</v>
      </c>
      <c r="E21" s="7" t="s">
        <v>14</v>
      </c>
      <c r="F21" s="10"/>
      <c r="G21" s="10">
        <v>100000</v>
      </c>
      <c r="H21" s="10"/>
      <c r="I21" s="21">
        <f t="shared" si="0"/>
        <v>202485</v>
      </c>
      <c r="J21" s="7" t="s">
        <v>23</v>
      </c>
    </row>
    <row r="22" s="2" customFormat="1" ht="27" customHeight="1" spans="1:10">
      <c r="A22" s="17">
        <v>45524</v>
      </c>
      <c r="B22" s="8"/>
      <c r="C22" s="20"/>
      <c r="D22" s="7" t="s">
        <v>12</v>
      </c>
      <c r="E22" s="7" t="s">
        <v>14</v>
      </c>
      <c r="F22" s="10"/>
      <c r="G22" s="10">
        <v>100000</v>
      </c>
      <c r="H22" s="10"/>
      <c r="I22" s="21">
        <f t="shared" si="0"/>
        <v>102485</v>
      </c>
      <c r="J22" s="7" t="s">
        <v>35</v>
      </c>
    </row>
    <row r="23" s="2" customFormat="1" ht="27" customHeight="1" spans="1:10">
      <c r="A23" s="17">
        <v>45531</v>
      </c>
      <c r="B23" s="8"/>
      <c r="C23" s="20"/>
      <c r="D23" s="7" t="s">
        <v>12</v>
      </c>
      <c r="E23" s="7" t="s">
        <v>14</v>
      </c>
      <c r="F23" s="10"/>
      <c r="G23" s="10">
        <v>50000</v>
      </c>
      <c r="H23" s="10"/>
      <c r="I23" s="21">
        <f t="shared" si="0"/>
        <v>52485</v>
      </c>
      <c r="J23" s="7" t="s">
        <v>35</v>
      </c>
    </row>
    <row r="24" s="4" customFormat="1" ht="27" customHeight="1" spans="1:10">
      <c r="A24" s="7" t="s">
        <v>15</v>
      </c>
      <c r="B24" s="8"/>
      <c r="C24" s="9"/>
      <c r="D24" s="7"/>
      <c r="E24" s="7"/>
      <c r="F24" s="10">
        <f>SUM(F4:F23)</f>
        <v>771539.73</v>
      </c>
      <c r="G24" s="10">
        <f>SUM(G13:G23)</f>
        <v>718954.73</v>
      </c>
      <c r="H24" s="10">
        <f>SUM(H3:H17)</f>
        <v>100</v>
      </c>
      <c r="I24" s="10">
        <f>SUM(I3+F24-G24-H24)</f>
        <v>52485</v>
      </c>
      <c r="J24" s="24"/>
    </row>
  </sheetData>
  <autoFilter xmlns:etc="http://www.wps.cn/officeDocument/2017/etCustomData" ref="A2:I24" etc:filterBottomFollowUsedRange="0">
    <extLst/>
  </autoFilter>
  <mergeCells count="1">
    <mergeCell ref="A1:J1"/>
  </mergeCells>
  <pageMargins left="0.629861111111111" right="0.472222222222222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pane xSplit="3" ySplit="3" topLeftCell="D5" activePane="bottomRight" state="frozen"/>
      <selection/>
      <selection pane="topRight"/>
      <selection pane="bottomLeft"/>
      <selection pane="bottomRight" activeCell="G6" sqref="G6"/>
    </sheetView>
  </sheetViews>
  <sheetFormatPr defaultColWidth="9" defaultRowHeight="13.5"/>
  <cols>
    <col min="1" max="1" width="12.125" customWidth="1"/>
    <col min="2" max="2" width="10.75" customWidth="1"/>
    <col min="3" max="3" width="49.625" customWidth="1"/>
    <col min="4" max="4" width="7.875" customWidth="1"/>
    <col min="5" max="5" width="11.7" customWidth="1"/>
    <col min="6" max="6" width="14.125" style="5" customWidth="1"/>
    <col min="7" max="7" width="13.25" customWidth="1"/>
    <col min="8" max="8" width="9.125" style="5" customWidth="1"/>
    <col min="9" max="9" width="14.625"/>
    <col min="10" max="10" width="12.75" customWidth="1"/>
  </cols>
  <sheetData>
    <row r="1" s="1" customFormat="1" ht="33" customHeight="1" spans="1:10">
      <c r="A1" s="25" t="s">
        <v>36</v>
      </c>
      <c r="B1" s="25"/>
      <c r="C1" s="25"/>
      <c r="D1" s="25"/>
      <c r="E1" s="25"/>
      <c r="F1" s="25"/>
      <c r="G1" s="25"/>
      <c r="H1" s="25"/>
      <c r="I1" s="25"/>
      <c r="J1" s="25"/>
    </row>
    <row r="2" s="2" customFormat="1" ht="33" customHeight="1" spans="1:10">
      <c r="A2" s="7" t="s">
        <v>1</v>
      </c>
      <c r="B2" s="8" t="s">
        <v>2</v>
      </c>
      <c r="C2" s="9" t="s">
        <v>3</v>
      </c>
      <c r="D2" s="7" t="s">
        <v>4</v>
      </c>
      <c r="E2" s="7" t="s">
        <v>5</v>
      </c>
      <c r="F2" s="10" t="s">
        <v>6</v>
      </c>
      <c r="G2" s="10" t="s">
        <v>25</v>
      </c>
      <c r="H2" s="11" t="s">
        <v>26</v>
      </c>
      <c r="I2" s="21" t="s">
        <v>10</v>
      </c>
      <c r="J2" s="7" t="s">
        <v>27</v>
      </c>
    </row>
    <row r="3" s="3" customFormat="1" ht="21" customHeight="1" spans="1:10">
      <c r="A3" s="12" t="s">
        <v>37</v>
      </c>
      <c r="B3" s="13"/>
      <c r="C3" s="14"/>
      <c r="D3" s="12" t="s">
        <v>12</v>
      </c>
      <c r="E3" s="15"/>
      <c r="F3" s="16"/>
      <c r="G3" s="16"/>
      <c r="H3" s="16"/>
      <c r="I3" s="21">
        <v>52485</v>
      </c>
      <c r="J3" s="15"/>
    </row>
    <row r="4" s="3" customFormat="1" ht="68" customHeight="1" spans="1:10">
      <c r="A4" s="17">
        <v>45542</v>
      </c>
      <c r="B4" s="13" t="s">
        <v>38</v>
      </c>
      <c r="C4" s="19" t="s">
        <v>39</v>
      </c>
      <c r="D4" s="7" t="s">
        <v>12</v>
      </c>
      <c r="E4" s="7" t="s">
        <v>14</v>
      </c>
      <c r="F4" s="16">
        <v>100000</v>
      </c>
      <c r="G4" s="16"/>
      <c r="H4" s="16"/>
      <c r="I4" s="21">
        <f t="shared" ref="I4:I13" si="0">SUM(I3+F4-G4-H4)</f>
        <v>152485</v>
      </c>
      <c r="J4" s="15"/>
    </row>
    <row r="5" s="3" customFormat="1" ht="68" customHeight="1" spans="1:10">
      <c r="A5" s="17">
        <v>45542</v>
      </c>
      <c r="B5" s="13" t="s">
        <v>38</v>
      </c>
      <c r="C5" s="19" t="s">
        <v>39</v>
      </c>
      <c r="D5" s="7" t="s">
        <v>12</v>
      </c>
      <c r="E5" s="7" t="s">
        <v>14</v>
      </c>
      <c r="F5" s="16">
        <v>100000</v>
      </c>
      <c r="G5" s="16"/>
      <c r="H5" s="16"/>
      <c r="I5" s="21">
        <f t="shared" si="0"/>
        <v>252485</v>
      </c>
      <c r="J5" s="15"/>
    </row>
    <row r="6" s="2" customFormat="1" ht="50" customHeight="1" spans="1:10">
      <c r="A6" s="27">
        <v>45563</v>
      </c>
      <c r="B6" s="8" t="s">
        <v>28</v>
      </c>
      <c r="C6" s="28" t="s">
        <v>40</v>
      </c>
      <c r="D6" s="7" t="s">
        <v>12</v>
      </c>
      <c r="E6" s="7" t="s">
        <v>14</v>
      </c>
      <c r="F6" s="10">
        <v>94000</v>
      </c>
      <c r="G6" s="10"/>
      <c r="H6" s="10"/>
      <c r="I6" s="21">
        <f t="shared" si="0"/>
        <v>346485</v>
      </c>
      <c r="J6" s="7"/>
    </row>
    <row r="7" s="2" customFormat="1" ht="50" customHeight="1" spans="1:10">
      <c r="A7" s="27">
        <v>45563</v>
      </c>
      <c r="B7" s="8" t="s">
        <v>28</v>
      </c>
      <c r="C7" s="28" t="s">
        <v>40</v>
      </c>
      <c r="D7" s="7" t="s">
        <v>12</v>
      </c>
      <c r="E7" s="7" t="s">
        <v>14</v>
      </c>
      <c r="F7" s="10">
        <v>36000</v>
      </c>
      <c r="G7" s="10"/>
      <c r="H7" s="10"/>
      <c r="I7" s="21">
        <f t="shared" si="0"/>
        <v>382485</v>
      </c>
      <c r="J7" s="7"/>
    </row>
    <row r="8" s="2" customFormat="1" ht="50" customHeight="1" spans="1:10">
      <c r="A8" s="27">
        <v>45564</v>
      </c>
      <c r="B8" s="8" t="s">
        <v>28</v>
      </c>
      <c r="C8" s="28" t="s">
        <v>40</v>
      </c>
      <c r="D8" s="7" t="s">
        <v>12</v>
      </c>
      <c r="E8" s="7" t="s">
        <v>14</v>
      </c>
      <c r="F8" s="10">
        <v>16000</v>
      </c>
      <c r="G8" s="10"/>
      <c r="H8" s="10"/>
      <c r="I8" s="21">
        <f t="shared" si="0"/>
        <v>398485</v>
      </c>
      <c r="J8" s="7"/>
    </row>
    <row r="9" s="2" customFormat="1" ht="50" customHeight="1" spans="1:10">
      <c r="A9" s="27">
        <v>45564</v>
      </c>
      <c r="B9" s="8" t="s">
        <v>28</v>
      </c>
      <c r="C9" s="28" t="s">
        <v>40</v>
      </c>
      <c r="D9" s="7" t="s">
        <v>12</v>
      </c>
      <c r="E9" s="7" t="s">
        <v>14</v>
      </c>
      <c r="F9" s="10">
        <v>4000</v>
      </c>
      <c r="G9" s="10"/>
      <c r="H9" s="10"/>
      <c r="I9" s="21">
        <f t="shared" si="0"/>
        <v>402485</v>
      </c>
      <c r="J9" s="7"/>
    </row>
    <row r="10" s="2" customFormat="1" ht="36" customHeight="1" spans="1:10">
      <c r="A10" s="27">
        <v>45565</v>
      </c>
      <c r="B10" s="8" t="s">
        <v>28</v>
      </c>
      <c r="C10" s="28" t="s">
        <v>41</v>
      </c>
      <c r="D10" s="7" t="s">
        <v>12</v>
      </c>
      <c r="E10" s="7" t="s">
        <v>14</v>
      </c>
      <c r="F10" s="10">
        <v>30000</v>
      </c>
      <c r="G10" s="10"/>
      <c r="H10" s="10"/>
      <c r="I10" s="21">
        <f t="shared" si="0"/>
        <v>432485</v>
      </c>
      <c r="J10" s="7"/>
    </row>
    <row r="11" s="2" customFormat="1" ht="36" customHeight="1" spans="1:10">
      <c r="A11" s="27">
        <v>45565</v>
      </c>
      <c r="B11" s="8" t="s">
        <v>28</v>
      </c>
      <c r="C11" s="28" t="s">
        <v>41</v>
      </c>
      <c r="D11" s="7" t="s">
        <v>12</v>
      </c>
      <c r="E11" s="7" t="s">
        <v>14</v>
      </c>
      <c r="F11" s="10">
        <v>20000</v>
      </c>
      <c r="G11" s="10"/>
      <c r="H11" s="10"/>
      <c r="I11" s="21">
        <f t="shared" si="0"/>
        <v>452485</v>
      </c>
      <c r="J11" s="7"/>
    </row>
    <row r="12" s="2" customFormat="1" ht="27" customHeight="1" spans="1:10">
      <c r="A12" s="17">
        <v>45544</v>
      </c>
      <c r="B12" s="8"/>
      <c r="C12" s="20"/>
      <c r="D12" s="7" t="s">
        <v>12</v>
      </c>
      <c r="E12" s="7" t="s">
        <v>14</v>
      </c>
      <c r="F12" s="10"/>
      <c r="G12" s="10">
        <v>250000</v>
      </c>
      <c r="H12" s="10"/>
      <c r="I12" s="21">
        <f t="shared" si="0"/>
        <v>202485</v>
      </c>
      <c r="J12" s="7" t="s">
        <v>35</v>
      </c>
    </row>
    <row r="13" s="2" customFormat="1" ht="27" customHeight="1" spans="1:10">
      <c r="A13" s="17">
        <v>45565</v>
      </c>
      <c r="B13" s="8"/>
      <c r="C13" s="20"/>
      <c r="D13" s="7" t="s">
        <v>12</v>
      </c>
      <c r="E13" s="7" t="s">
        <v>14</v>
      </c>
      <c r="F13" s="10"/>
      <c r="G13" s="10">
        <v>150000</v>
      </c>
      <c r="H13" s="10"/>
      <c r="I13" s="21">
        <f t="shared" si="0"/>
        <v>52485</v>
      </c>
      <c r="J13" s="7" t="s">
        <v>35</v>
      </c>
    </row>
    <row r="14" s="4" customFormat="1" ht="27" customHeight="1" spans="1:10">
      <c r="A14" s="7" t="s">
        <v>15</v>
      </c>
      <c r="B14" s="8"/>
      <c r="C14" s="9"/>
      <c r="D14" s="7"/>
      <c r="E14" s="7"/>
      <c r="F14" s="10">
        <f>SUM(F4:F13)</f>
        <v>400000</v>
      </c>
      <c r="G14" s="10">
        <f>SUM(G12:G13)</f>
        <v>400000</v>
      </c>
      <c r="H14" s="10">
        <f>SUM(H3:H11)</f>
        <v>0</v>
      </c>
      <c r="I14" s="10">
        <f>SUM(I3+F14-G14-H14)</f>
        <v>52485</v>
      </c>
      <c r="J14" s="24"/>
    </row>
  </sheetData>
  <autoFilter xmlns:etc="http://www.wps.cn/officeDocument/2017/etCustomData" ref="A2:I14" etc:filterBottomFollowUsedRange="0">
    <extLst/>
  </autoFilter>
  <mergeCells count="1">
    <mergeCell ref="A1:J1"/>
  </mergeCells>
  <pageMargins left="0.629861111111111" right="0.472222222222222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A11" sqref="$A11:$XFD11"/>
    </sheetView>
  </sheetViews>
  <sheetFormatPr defaultColWidth="9" defaultRowHeight="13.5"/>
  <cols>
    <col min="1" max="1" width="12.125" customWidth="1"/>
    <col min="2" max="2" width="10.75" customWidth="1"/>
    <col min="3" max="3" width="23.625" customWidth="1"/>
    <col min="4" max="4" width="7.875" customWidth="1"/>
    <col min="5" max="5" width="11.7" customWidth="1"/>
    <col min="6" max="6" width="12" style="5" customWidth="1"/>
    <col min="7" max="7" width="12" customWidth="1"/>
    <col min="8" max="8" width="9.125" style="5" customWidth="1"/>
    <col min="9" max="9" width="14.625"/>
    <col min="10" max="10" width="12.75" customWidth="1"/>
  </cols>
  <sheetData>
    <row r="1" s="1" customFormat="1" ht="33" customHeight="1" spans="1:10">
      <c r="A1" s="25" t="s">
        <v>42</v>
      </c>
      <c r="B1" s="25"/>
      <c r="C1" s="25"/>
      <c r="D1" s="25"/>
      <c r="E1" s="25"/>
      <c r="F1" s="25"/>
      <c r="G1" s="25"/>
      <c r="H1" s="25"/>
      <c r="I1" s="25"/>
      <c r="J1" s="25"/>
    </row>
    <row r="2" s="2" customFormat="1" ht="33" customHeight="1" spans="1:10">
      <c r="A2" s="7" t="s">
        <v>1</v>
      </c>
      <c r="B2" s="8" t="s">
        <v>2</v>
      </c>
      <c r="C2" s="9" t="s">
        <v>3</v>
      </c>
      <c r="D2" s="7" t="s">
        <v>4</v>
      </c>
      <c r="E2" s="7" t="s">
        <v>5</v>
      </c>
      <c r="F2" s="10" t="s">
        <v>6</v>
      </c>
      <c r="G2" s="10" t="s">
        <v>25</v>
      </c>
      <c r="H2" s="11" t="s">
        <v>26</v>
      </c>
      <c r="I2" s="21" t="s">
        <v>10</v>
      </c>
      <c r="J2" s="7" t="s">
        <v>27</v>
      </c>
    </row>
    <row r="3" s="3" customFormat="1" ht="21" customHeight="1" spans="1:10">
      <c r="A3" s="12" t="s">
        <v>37</v>
      </c>
      <c r="B3" s="13"/>
      <c r="C3" s="14"/>
      <c r="D3" s="12" t="s">
        <v>12</v>
      </c>
      <c r="E3" s="15"/>
      <c r="F3" s="16"/>
      <c r="G3" s="16"/>
      <c r="H3" s="16"/>
      <c r="I3" s="21">
        <v>52485</v>
      </c>
      <c r="J3" s="15"/>
    </row>
    <row r="4" s="3" customFormat="1" ht="27" customHeight="1" spans="1:10">
      <c r="A4" s="17">
        <v>45576</v>
      </c>
      <c r="B4" s="13"/>
      <c r="C4" s="19"/>
      <c r="D4" s="7" t="s">
        <v>12</v>
      </c>
      <c r="E4" s="7" t="s">
        <v>14</v>
      </c>
      <c r="F4" s="16">
        <v>37.41</v>
      </c>
      <c r="G4" s="16"/>
      <c r="H4" s="16"/>
      <c r="I4" s="21">
        <f>SUM(I3+F4-G4-H4)</f>
        <v>52522.41</v>
      </c>
      <c r="J4" s="15" t="s">
        <v>22</v>
      </c>
    </row>
    <row r="5" s="2" customFormat="1" ht="27" customHeight="1" spans="1:10">
      <c r="A5" s="17">
        <v>45587</v>
      </c>
      <c r="B5" s="8"/>
      <c r="C5" s="20"/>
      <c r="D5" s="7" t="s">
        <v>12</v>
      </c>
      <c r="E5" s="7" t="s">
        <v>14</v>
      </c>
      <c r="F5" s="10">
        <v>103306</v>
      </c>
      <c r="G5" s="10"/>
      <c r="H5" s="10"/>
      <c r="I5" s="21">
        <f t="shared" ref="I5:I13" si="0">SUM(I4+F5-G5-H5)</f>
        <v>155828.41</v>
      </c>
      <c r="J5" s="26" t="s">
        <v>32</v>
      </c>
    </row>
    <row r="6" s="2" customFormat="1" ht="27" customHeight="1" spans="1:10">
      <c r="A6" s="17">
        <v>45588</v>
      </c>
      <c r="B6" s="8"/>
      <c r="C6" s="20"/>
      <c r="D6" s="7" t="s">
        <v>12</v>
      </c>
      <c r="E6" s="7" t="s">
        <v>14</v>
      </c>
      <c r="F6" s="10">
        <v>103008</v>
      </c>
      <c r="G6" s="10"/>
      <c r="H6" s="10"/>
      <c r="I6" s="21">
        <f t="shared" si="0"/>
        <v>258836.41</v>
      </c>
      <c r="J6" s="26" t="s">
        <v>32</v>
      </c>
    </row>
    <row r="7" s="2" customFormat="1" ht="27" customHeight="1" spans="1:10">
      <c r="A7" s="17">
        <v>45590</v>
      </c>
      <c r="B7" s="8"/>
      <c r="C7" s="20"/>
      <c r="D7" s="7" t="s">
        <v>12</v>
      </c>
      <c r="E7" s="7" t="s">
        <v>14</v>
      </c>
      <c r="F7" s="10">
        <v>102754</v>
      </c>
      <c r="G7" s="10"/>
      <c r="H7" s="10"/>
      <c r="I7" s="21">
        <f t="shared" si="0"/>
        <v>361590.41</v>
      </c>
      <c r="J7" s="26" t="s">
        <v>32</v>
      </c>
    </row>
    <row r="8" s="2" customFormat="1" ht="27" customHeight="1" spans="1:10">
      <c r="A8" s="17">
        <v>45592</v>
      </c>
      <c r="B8" s="8"/>
      <c r="C8" s="20"/>
      <c r="D8" s="7" t="s">
        <v>12</v>
      </c>
      <c r="E8" s="7" t="s">
        <v>14</v>
      </c>
      <c r="F8" s="10">
        <v>16382</v>
      </c>
      <c r="G8" s="10"/>
      <c r="H8" s="10"/>
      <c r="I8" s="21">
        <f t="shared" si="0"/>
        <v>377972.41</v>
      </c>
      <c r="J8" s="26" t="s">
        <v>32</v>
      </c>
    </row>
    <row r="9" s="2" customFormat="1" ht="27" customHeight="1" spans="1:10">
      <c r="A9" s="17">
        <v>45592</v>
      </c>
      <c r="B9" s="8"/>
      <c r="C9" s="20"/>
      <c r="D9" s="7" t="s">
        <v>12</v>
      </c>
      <c r="E9" s="7" t="s">
        <v>14</v>
      </c>
      <c r="F9" s="10">
        <v>65990</v>
      </c>
      <c r="G9" s="10"/>
      <c r="H9" s="10"/>
      <c r="I9" s="21">
        <f t="shared" si="0"/>
        <v>443962.41</v>
      </c>
      <c r="J9" s="26" t="s">
        <v>32</v>
      </c>
    </row>
    <row r="10" s="2" customFormat="1" ht="27" customHeight="1" spans="1:10">
      <c r="A10" s="17"/>
      <c r="B10" s="8"/>
      <c r="C10" s="20"/>
      <c r="D10" s="7" t="s">
        <v>12</v>
      </c>
      <c r="E10" s="7" t="s">
        <v>14</v>
      </c>
      <c r="F10" s="10"/>
      <c r="G10" s="10"/>
      <c r="H10" s="10"/>
      <c r="I10" s="21">
        <f t="shared" si="0"/>
        <v>443962.41</v>
      </c>
      <c r="J10" s="7"/>
    </row>
    <row r="11" s="2" customFormat="1" ht="27" customHeight="1" spans="1:10">
      <c r="A11" s="17">
        <v>45590</v>
      </c>
      <c r="B11" s="8"/>
      <c r="C11" s="20"/>
      <c r="D11" s="7" t="s">
        <v>12</v>
      </c>
      <c r="E11" s="7" t="s">
        <v>14</v>
      </c>
      <c r="F11" s="10"/>
      <c r="G11" s="10">
        <v>90000</v>
      </c>
      <c r="H11" s="10"/>
      <c r="I11" s="21">
        <f t="shared" si="0"/>
        <v>353962.41</v>
      </c>
      <c r="J11" s="7" t="s">
        <v>43</v>
      </c>
    </row>
    <row r="12" s="2" customFormat="1" ht="27" customHeight="1" spans="1:10">
      <c r="A12" s="17">
        <v>45576</v>
      </c>
      <c r="B12" s="8"/>
      <c r="C12" s="20"/>
      <c r="D12" s="7" t="s">
        <v>12</v>
      </c>
      <c r="E12" s="7" t="s">
        <v>14</v>
      </c>
      <c r="F12" s="10"/>
      <c r="G12" s="10">
        <v>52522.41</v>
      </c>
      <c r="H12" s="10"/>
      <c r="I12" s="21">
        <f t="shared" si="0"/>
        <v>301440</v>
      </c>
      <c r="J12" s="7" t="s">
        <v>35</v>
      </c>
    </row>
    <row r="13" s="2" customFormat="1" ht="27" customHeight="1" spans="1:10">
      <c r="A13" s="17">
        <v>45595</v>
      </c>
      <c r="B13" s="8"/>
      <c r="C13" s="20"/>
      <c r="D13" s="7" t="s">
        <v>12</v>
      </c>
      <c r="E13" s="7" t="s">
        <v>14</v>
      </c>
      <c r="F13" s="10"/>
      <c r="G13" s="10">
        <v>300000</v>
      </c>
      <c r="H13" s="10"/>
      <c r="I13" s="21">
        <f t="shared" si="0"/>
        <v>1440</v>
      </c>
      <c r="J13" s="7" t="s">
        <v>35</v>
      </c>
    </row>
    <row r="14" s="4" customFormat="1" ht="27" customHeight="1" spans="1:10">
      <c r="A14" s="7" t="s">
        <v>15</v>
      </c>
      <c r="B14" s="8"/>
      <c r="C14" s="9"/>
      <c r="D14" s="7"/>
      <c r="E14" s="7"/>
      <c r="F14" s="10">
        <f>SUM(F4:F13)</f>
        <v>391477.41</v>
      </c>
      <c r="G14" s="10">
        <f>SUM(G5:G13)</f>
        <v>442522.41</v>
      </c>
      <c r="H14" s="10">
        <f>SUM(H3:H7)</f>
        <v>0</v>
      </c>
      <c r="I14" s="10">
        <f>SUM(I3+F14-G14)</f>
        <v>1440</v>
      </c>
      <c r="J14" s="24"/>
    </row>
  </sheetData>
  <autoFilter xmlns:etc="http://www.wps.cn/officeDocument/2017/etCustomData" ref="A2:I14" etc:filterBottomFollowUsedRange="0">
    <extLst/>
  </autoFilter>
  <mergeCells count="1">
    <mergeCell ref="A1:J1"/>
  </mergeCells>
  <pageMargins left="0.629861111111111" right="0.472222222222222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pane xSplit="3" ySplit="3" topLeftCell="D6" activePane="bottomRight" state="frozen"/>
      <selection/>
      <selection pane="topRight"/>
      <selection pane="bottomLeft"/>
      <selection pane="bottomRight" activeCell="I4" sqref="I4:I18"/>
    </sheetView>
  </sheetViews>
  <sheetFormatPr defaultColWidth="9" defaultRowHeight="13.5"/>
  <cols>
    <col min="1" max="1" width="12.125" customWidth="1"/>
    <col min="2" max="2" width="10.75" customWidth="1"/>
    <col min="3" max="3" width="23.625" customWidth="1"/>
    <col min="4" max="4" width="7.875" customWidth="1"/>
    <col min="5" max="5" width="11.7" customWidth="1"/>
    <col min="6" max="6" width="12" style="5" customWidth="1"/>
    <col min="7" max="7" width="12" customWidth="1"/>
    <col min="8" max="8" width="9.125" style="5" customWidth="1"/>
    <col min="9" max="9" width="14.625"/>
    <col min="10" max="10" width="16.75" customWidth="1"/>
  </cols>
  <sheetData>
    <row r="1" s="1" customFormat="1" ht="33" customHeight="1" spans="1:10">
      <c r="A1" s="25" t="s">
        <v>44</v>
      </c>
      <c r="B1" s="25"/>
      <c r="C1" s="25"/>
      <c r="D1" s="25"/>
      <c r="E1" s="25"/>
      <c r="F1" s="25"/>
      <c r="G1" s="25"/>
      <c r="H1" s="25"/>
      <c r="I1" s="25"/>
      <c r="J1" s="25"/>
    </row>
    <row r="2" s="2" customFormat="1" ht="33" customHeight="1" spans="1:10">
      <c r="A2" s="7" t="s">
        <v>1</v>
      </c>
      <c r="B2" s="8" t="s">
        <v>2</v>
      </c>
      <c r="C2" s="9" t="s">
        <v>3</v>
      </c>
      <c r="D2" s="7" t="s">
        <v>4</v>
      </c>
      <c r="E2" s="7" t="s">
        <v>5</v>
      </c>
      <c r="F2" s="10" t="s">
        <v>6</v>
      </c>
      <c r="G2" s="10" t="s">
        <v>25</v>
      </c>
      <c r="H2" s="11" t="s">
        <v>26</v>
      </c>
      <c r="I2" s="21" t="s">
        <v>10</v>
      </c>
      <c r="J2" s="7" t="s">
        <v>27</v>
      </c>
    </row>
    <row r="3" s="3" customFormat="1" ht="21" customHeight="1" spans="1:10">
      <c r="A3" s="12" t="s">
        <v>37</v>
      </c>
      <c r="B3" s="13"/>
      <c r="C3" s="14"/>
      <c r="D3" s="12" t="s">
        <v>12</v>
      </c>
      <c r="E3" s="15"/>
      <c r="F3" s="16"/>
      <c r="G3" s="16"/>
      <c r="H3" s="16"/>
      <c r="I3" s="21">
        <v>1440</v>
      </c>
      <c r="J3" s="15"/>
    </row>
    <row r="4" s="3" customFormat="1" ht="98" customHeight="1" spans="1:10">
      <c r="A4" s="17">
        <v>45605</v>
      </c>
      <c r="B4" s="13"/>
      <c r="C4" s="19" t="s">
        <v>45</v>
      </c>
      <c r="D4" s="7" t="s">
        <v>12</v>
      </c>
      <c r="E4" s="7" t="s">
        <v>14</v>
      </c>
      <c r="F4" s="16">
        <v>100000</v>
      </c>
      <c r="G4" s="16"/>
      <c r="H4" s="16"/>
      <c r="I4" s="21">
        <f>SUM(I3+F4-G4-H4)</f>
        <v>101440</v>
      </c>
      <c r="J4" s="15"/>
    </row>
    <row r="5" s="2" customFormat="1" ht="27" customHeight="1" spans="1:10">
      <c r="A5" s="17">
        <v>45606</v>
      </c>
      <c r="B5" s="8"/>
      <c r="C5" s="20"/>
      <c r="D5" s="7" t="s">
        <v>12</v>
      </c>
      <c r="E5" s="7" t="s">
        <v>14</v>
      </c>
      <c r="F5" s="10">
        <v>150000</v>
      </c>
      <c r="G5" s="10"/>
      <c r="H5" s="10"/>
      <c r="I5" s="21">
        <f t="shared" ref="I5:I18" si="0">SUM(I4+F5-G5-H5)</f>
        <v>251440</v>
      </c>
      <c r="J5" s="26" t="s">
        <v>46</v>
      </c>
    </row>
    <row r="6" s="2" customFormat="1" ht="27" customHeight="1" spans="1:10">
      <c r="A6" s="17">
        <v>45606</v>
      </c>
      <c r="B6" s="8"/>
      <c r="C6" s="20"/>
      <c r="D6" s="7" t="s">
        <v>12</v>
      </c>
      <c r="E6" s="7" t="s">
        <v>14</v>
      </c>
      <c r="F6" s="10">
        <v>250000</v>
      </c>
      <c r="G6" s="10"/>
      <c r="H6" s="10"/>
      <c r="I6" s="21">
        <f t="shared" si="0"/>
        <v>501440</v>
      </c>
      <c r="J6" s="26" t="s">
        <v>47</v>
      </c>
    </row>
    <row r="7" s="2" customFormat="1" ht="27" customHeight="1" spans="1:10">
      <c r="A7" s="17">
        <v>45608</v>
      </c>
      <c r="B7" s="8"/>
      <c r="C7" s="20"/>
      <c r="D7" s="7" t="s">
        <v>12</v>
      </c>
      <c r="E7" s="7" t="s">
        <v>14</v>
      </c>
      <c r="F7" s="10">
        <v>40000</v>
      </c>
      <c r="G7" s="10"/>
      <c r="H7" s="10"/>
      <c r="I7" s="21">
        <f t="shared" si="0"/>
        <v>541440</v>
      </c>
      <c r="J7" s="26" t="s">
        <v>47</v>
      </c>
    </row>
    <row r="8" s="2" customFormat="1" ht="27" customHeight="1" spans="1:10">
      <c r="A8" s="17">
        <v>45608</v>
      </c>
      <c r="B8" s="8"/>
      <c r="C8" s="20"/>
      <c r="D8" s="7" t="s">
        <v>12</v>
      </c>
      <c r="E8" s="7" t="s">
        <v>14</v>
      </c>
      <c r="F8" s="10">
        <v>60000</v>
      </c>
      <c r="G8" s="10"/>
      <c r="H8" s="10"/>
      <c r="I8" s="21">
        <f t="shared" si="0"/>
        <v>601440</v>
      </c>
      <c r="J8" s="26" t="s">
        <v>47</v>
      </c>
    </row>
    <row r="9" s="2" customFormat="1" ht="27" customHeight="1" spans="1:10">
      <c r="A9" s="17">
        <v>45608</v>
      </c>
      <c r="B9" s="8"/>
      <c r="C9" s="20"/>
      <c r="D9" s="7" t="s">
        <v>12</v>
      </c>
      <c r="E9" s="7" t="s">
        <v>14</v>
      </c>
      <c r="F9" s="10">
        <v>168000</v>
      </c>
      <c r="G9" s="10"/>
      <c r="H9" s="10"/>
      <c r="I9" s="21">
        <f t="shared" si="0"/>
        <v>769440</v>
      </c>
      <c r="J9" s="26" t="s">
        <v>47</v>
      </c>
    </row>
    <row r="10" s="2" customFormat="1" ht="27" customHeight="1" spans="1:10">
      <c r="A10" s="17"/>
      <c r="B10" s="8"/>
      <c r="C10" s="20"/>
      <c r="D10" s="7" t="s">
        <v>12</v>
      </c>
      <c r="E10" s="7" t="s">
        <v>14</v>
      </c>
      <c r="F10" s="10"/>
      <c r="G10" s="10"/>
      <c r="H10" s="10"/>
      <c r="I10" s="21">
        <f t="shared" si="0"/>
        <v>769440</v>
      </c>
      <c r="J10" s="26"/>
    </row>
    <row r="11" s="2" customFormat="1" ht="27" customHeight="1" spans="1:10">
      <c r="A11" s="17"/>
      <c r="B11" s="8"/>
      <c r="C11" s="20"/>
      <c r="D11" s="7" t="s">
        <v>12</v>
      </c>
      <c r="E11" s="7" t="s">
        <v>14</v>
      </c>
      <c r="F11" s="10"/>
      <c r="G11" s="10"/>
      <c r="H11" s="10"/>
      <c r="I11" s="21">
        <f t="shared" si="0"/>
        <v>769440</v>
      </c>
      <c r="J11" s="7"/>
    </row>
    <row r="12" s="2" customFormat="1" ht="27" customHeight="1" spans="1:10">
      <c r="A12" s="17">
        <v>45607</v>
      </c>
      <c r="B12" s="8"/>
      <c r="C12" s="20"/>
      <c r="D12" s="7" t="s">
        <v>12</v>
      </c>
      <c r="E12" s="7" t="s">
        <v>14</v>
      </c>
      <c r="F12" s="10"/>
      <c r="G12" s="10">
        <v>150000</v>
      </c>
      <c r="H12" s="10"/>
      <c r="I12" s="21">
        <f t="shared" si="0"/>
        <v>619440</v>
      </c>
      <c r="J12" s="7" t="s">
        <v>48</v>
      </c>
    </row>
    <row r="13" s="2" customFormat="1" ht="27" customHeight="1" spans="1:10">
      <c r="A13" s="17">
        <v>45607</v>
      </c>
      <c r="B13" s="8"/>
      <c r="C13" s="20"/>
      <c r="D13" s="7" t="s">
        <v>12</v>
      </c>
      <c r="E13" s="7" t="s">
        <v>14</v>
      </c>
      <c r="F13" s="10"/>
      <c r="G13" s="10">
        <v>200000</v>
      </c>
      <c r="H13" s="10"/>
      <c r="I13" s="21">
        <f t="shared" si="0"/>
        <v>419440</v>
      </c>
      <c r="J13" s="7" t="s">
        <v>47</v>
      </c>
    </row>
    <row r="14" s="2" customFormat="1" ht="27" customHeight="1" spans="1:10">
      <c r="A14" s="17">
        <v>45608</v>
      </c>
      <c r="B14" s="8"/>
      <c r="C14" s="20"/>
      <c r="D14" s="7" t="s">
        <v>12</v>
      </c>
      <c r="E14" s="7" t="s">
        <v>14</v>
      </c>
      <c r="F14" s="10"/>
      <c r="G14" s="10">
        <v>50000</v>
      </c>
      <c r="H14" s="10"/>
      <c r="I14" s="21">
        <f t="shared" si="0"/>
        <v>369440</v>
      </c>
      <c r="J14" s="7" t="s">
        <v>47</v>
      </c>
    </row>
    <row r="15" s="2" customFormat="1" ht="27" customHeight="1" spans="1:10">
      <c r="A15" s="17">
        <v>45610</v>
      </c>
      <c r="B15" s="8"/>
      <c r="C15" s="20"/>
      <c r="D15" s="7" t="s">
        <v>12</v>
      </c>
      <c r="E15" s="7" t="s">
        <v>14</v>
      </c>
      <c r="F15" s="10"/>
      <c r="G15" s="10">
        <v>200000</v>
      </c>
      <c r="H15" s="10"/>
      <c r="I15" s="21">
        <f t="shared" si="0"/>
        <v>169440</v>
      </c>
      <c r="J15" s="7" t="s">
        <v>47</v>
      </c>
    </row>
    <row r="16" s="2" customFormat="1" ht="27" customHeight="1" spans="1:10">
      <c r="A16" s="17">
        <v>45611</v>
      </c>
      <c r="B16" s="8"/>
      <c r="C16" s="20"/>
      <c r="D16" s="7" t="s">
        <v>12</v>
      </c>
      <c r="E16" s="7" t="s">
        <v>14</v>
      </c>
      <c r="F16" s="10"/>
      <c r="G16" s="10">
        <v>68000</v>
      </c>
      <c r="H16" s="10"/>
      <c r="I16" s="21">
        <f t="shared" si="0"/>
        <v>101440</v>
      </c>
      <c r="J16" s="7" t="s">
        <v>47</v>
      </c>
    </row>
    <row r="17" s="2" customFormat="1" ht="27" customHeight="1" spans="1:10">
      <c r="A17" s="17">
        <v>45609</v>
      </c>
      <c r="B17" s="8"/>
      <c r="C17" s="20"/>
      <c r="D17" s="7" t="s">
        <v>12</v>
      </c>
      <c r="E17" s="7" t="s">
        <v>14</v>
      </c>
      <c r="F17" s="10"/>
      <c r="G17" s="10">
        <v>100000</v>
      </c>
      <c r="H17" s="10"/>
      <c r="I17" s="21">
        <f t="shared" si="0"/>
        <v>1440</v>
      </c>
      <c r="J17" s="7" t="s">
        <v>35</v>
      </c>
    </row>
    <row r="18" s="2" customFormat="1" ht="27" customHeight="1" spans="1:10">
      <c r="A18" s="17"/>
      <c r="B18" s="8"/>
      <c r="C18" s="20"/>
      <c r="D18" s="7" t="s">
        <v>12</v>
      </c>
      <c r="E18" s="7" t="s">
        <v>14</v>
      </c>
      <c r="F18" s="10"/>
      <c r="G18" s="10"/>
      <c r="H18" s="10"/>
      <c r="I18" s="21">
        <f t="shared" si="0"/>
        <v>1440</v>
      </c>
      <c r="J18" s="7"/>
    </row>
    <row r="19" s="4" customFormat="1" ht="27" customHeight="1" spans="1:10">
      <c r="A19" s="7" t="s">
        <v>15</v>
      </c>
      <c r="B19" s="8"/>
      <c r="C19" s="9"/>
      <c r="D19" s="7"/>
      <c r="E19" s="7"/>
      <c r="F19" s="10">
        <f>SUM(F4:F18)</f>
        <v>768000</v>
      </c>
      <c r="G19" s="10">
        <f>SUM(G6:G18)</f>
        <v>768000</v>
      </c>
      <c r="H19" s="10">
        <f>SUM(H3:H8)</f>
        <v>0</v>
      </c>
      <c r="I19" s="10">
        <f>SUM(I3+F19-G19)</f>
        <v>1440</v>
      </c>
      <c r="J19" s="24"/>
    </row>
  </sheetData>
  <autoFilter xmlns:etc="http://www.wps.cn/officeDocument/2017/etCustomData" ref="A2:I19" etc:filterBottomFollowUsedRange="0">
    <extLst/>
  </autoFilter>
  <mergeCells count="1">
    <mergeCell ref="A1:J1"/>
  </mergeCells>
  <pageMargins left="0.629861111111111" right="0.472222222222222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J8" sqref="J8"/>
    </sheetView>
  </sheetViews>
  <sheetFormatPr defaultColWidth="9" defaultRowHeight="13.5"/>
  <cols>
    <col min="1" max="1" width="12.125" customWidth="1"/>
    <col min="2" max="2" width="10.75" customWidth="1"/>
    <col min="3" max="3" width="23.625" customWidth="1"/>
    <col min="4" max="4" width="7.875" customWidth="1"/>
    <col min="5" max="5" width="11.7" customWidth="1"/>
    <col min="6" max="6" width="12" style="5" customWidth="1"/>
    <col min="7" max="7" width="12" customWidth="1"/>
    <col min="8" max="8" width="9.125" style="5" customWidth="1"/>
    <col min="9" max="9" width="14.625"/>
    <col min="10" max="10" width="12.75" customWidth="1"/>
  </cols>
  <sheetData>
    <row r="1" s="1" customFormat="1" ht="33" customHeight="1" spans="1:10">
      <c r="A1" s="6" t="s">
        <v>49</v>
      </c>
      <c r="B1" s="6"/>
      <c r="C1" s="6"/>
      <c r="D1" s="6"/>
      <c r="E1" s="6"/>
      <c r="F1" s="6"/>
      <c r="G1" s="6"/>
      <c r="H1" s="6"/>
      <c r="I1" s="6"/>
      <c r="J1" s="6"/>
    </row>
    <row r="2" s="2" customFormat="1" ht="33" customHeight="1" spans="1:10">
      <c r="A2" s="7" t="s">
        <v>1</v>
      </c>
      <c r="B2" s="8" t="s">
        <v>2</v>
      </c>
      <c r="C2" s="9" t="s">
        <v>3</v>
      </c>
      <c r="D2" s="7" t="s">
        <v>4</v>
      </c>
      <c r="E2" s="7" t="s">
        <v>5</v>
      </c>
      <c r="F2" s="10" t="s">
        <v>6</v>
      </c>
      <c r="G2" s="10" t="s">
        <v>25</v>
      </c>
      <c r="H2" s="11" t="s">
        <v>26</v>
      </c>
      <c r="I2" s="21" t="s">
        <v>10</v>
      </c>
      <c r="J2" s="7" t="s">
        <v>27</v>
      </c>
    </row>
    <row r="3" s="3" customFormat="1" ht="21" customHeight="1" spans="1:10">
      <c r="A3" s="12" t="s">
        <v>37</v>
      </c>
      <c r="B3" s="13"/>
      <c r="C3" s="14"/>
      <c r="D3" s="12" t="s">
        <v>12</v>
      </c>
      <c r="E3" s="15"/>
      <c r="F3" s="16"/>
      <c r="G3" s="16"/>
      <c r="H3" s="16"/>
      <c r="I3" s="22">
        <v>1440</v>
      </c>
      <c r="J3" s="15"/>
    </row>
    <row r="4" s="3" customFormat="1" ht="72" customHeight="1" spans="1:10">
      <c r="A4" s="17">
        <v>45643</v>
      </c>
      <c r="B4" s="13" t="s">
        <v>50</v>
      </c>
      <c r="C4" s="18" t="s">
        <v>51</v>
      </c>
      <c r="D4" s="7" t="s">
        <v>12</v>
      </c>
      <c r="E4" s="7" t="s">
        <v>14</v>
      </c>
      <c r="F4" s="16">
        <v>150000</v>
      </c>
      <c r="G4" s="16"/>
      <c r="H4" s="16"/>
      <c r="I4" s="21">
        <f>SUM(I3+F4-G4-H4)</f>
        <v>151440</v>
      </c>
      <c r="J4" s="15" t="s">
        <v>52</v>
      </c>
    </row>
    <row r="5" s="3" customFormat="1" ht="60" customHeight="1" spans="1:10">
      <c r="A5" s="17">
        <v>45646</v>
      </c>
      <c r="B5" s="13" t="s">
        <v>50</v>
      </c>
      <c r="C5" s="18" t="s">
        <v>53</v>
      </c>
      <c r="D5" s="7" t="s">
        <v>12</v>
      </c>
      <c r="E5" s="7" t="s">
        <v>14</v>
      </c>
      <c r="F5" s="16">
        <v>52000</v>
      </c>
      <c r="G5" s="16"/>
      <c r="H5" s="16"/>
      <c r="I5" s="21">
        <f t="shared" ref="I5:I15" si="0">SUM(I4+F5-G5-H5)</f>
        <v>203440</v>
      </c>
      <c r="J5" s="15" t="s">
        <v>52</v>
      </c>
    </row>
    <row r="6" s="3" customFormat="1" ht="56" customHeight="1" spans="1:10">
      <c r="A6" s="17">
        <v>45646</v>
      </c>
      <c r="B6" s="13" t="s">
        <v>50</v>
      </c>
      <c r="C6" s="18" t="s">
        <v>53</v>
      </c>
      <c r="D6" s="7" t="s">
        <v>12</v>
      </c>
      <c r="E6" s="7" t="s">
        <v>14</v>
      </c>
      <c r="F6" s="16">
        <v>48000</v>
      </c>
      <c r="G6" s="16"/>
      <c r="H6" s="16"/>
      <c r="I6" s="21">
        <f t="shared" si="0"/>
        <v>251440</v>
      </c>
      <c r="J6" s="15" t="s">
        <v>52</v>
      </c>
    </row>
    <row r="7" s="3" customFormat="1" ht="56" customHeight="1" spans="1:10">
      <c r="A7" s="17">
        <v>45651</v>
      </c>
      <c r="B7" s="13" t="s">
        <v>50</v>
      </c>
      <c r="C7" s="18" t="s">
        <v>54</v>
      </c>
      <c r="D7" s="7" t="s">
        <v>12</v>
      </c>
      <c r="E7" s="7" t="s">
        <v>14</v>
      </c>
      <c r="F7" s="16">
        <v>100000</v>
      </c>
      <c r="G7" s="16"/>
      <c r="H7" s="16"/>
      <c r="I7" s="21">
        <f t="shared" si="0"/>
        <v>351440</v>
      </c>
      <c r="J7" s="15" t="s">
        <v>52</v>
      </c>
    </row>
    <row r="8" s="3" customFormat="1" ht="24" customHeight="1" spans="1:10">
      <c r="A8" s="17">
        <v>45632</v>
      </c>
      <c r="B8" s="13"/>
      <c r="C8" s="19"/>
      <c r="D8" s="7" t="s">
        <v>12</v>
      </c>
      <c r="E8" s="7" t="s">
        <v>14</v>
      </c>
      <c r="F8" s="16">
        <v>40000</v>
      </c>
      <c r="G8" s="16"/>
      <c r="H8" s="16"/>
      <c r="I8" s="21">
        <f t="shared" si="0"/>
        <v>391440</v>
      </c>
      <c r="J8" s="15" t="s">
        <v>32</v>
      </c>
    </row>
    <row r="9" s="3" customFormat="1" ht="24" customHeight="1" spans="1:10">
      <c r="A9" s="17">
        <v>45632</v>
      </c>
      <c r="B9" s="13"/>
      <c r="C9" s="19"/>
      <c r="D9" s="7" t="s">
        <v>12</v>
      </c>
      <c r="E9" s="7" t="s">
        <v>14</v>
      </c>
      <c r="F9" s="16">
        <v>50000</v>
      </c>
      <c r="G9" s="16"/>
      <c r="H9" s="16"/>
      <c r="I9" s="21">
        <f t="shared" si="0"/>
        <v>441440</v>
      </c>
      <c r="J9" s="15" t="s">
        <v>32</v>
      </c>
    </row>
    <row r="10" s="3" customFormat="1" ht="24" customHeight="1" spans="1:10">
      <c r="A10" s="17">
        <v>45632</v>
      </c>
      <c r="B10" s="13"/>
      <c r="C10" s="19"/>
      <c r="D10" s="7" t="s">
        <v>12</v>
      </c>
      <c r="E10" s="7" t="s">
        <v>14</v>
      </c>
      <c r="F10" s="16">
        <v>10000</v>
      </c>
      <c r="G10" s="16"/>
      <c r="H10" s="16"/>
      <c r="I10" s="21">
        <f t="shared" si="0"/>
        <v>451440</v>
      </c>
      <c r="J10" s="15" t="s">
        <v>32</v>
      </c>
    </row>
    <row r="11" s="3" customFormat="1" ht="24" customHeight="1" spans="1:10">
      <c r="A11" s="17">
        <v>45633</v>
      </c>
      <c r="B11" s="13"/>
      <c r="C11" s="19"/>
      <c r="D11" s="7" t="s">
        <v>12</v>
      </c>
      <c r="E11" s="7" t="s">
        <v>14</v>
      </c>
      <c r="F11" s="16">
        <v>9409</v>
      </c>
      <c r="G11" s="16"/>
      <c r="H11" s="16"/>
      <c r="I11" s="21">
        <f t="shared" si="0"/>
        <v>460849</v>
      </c>
      <c r="J11" s="15" t="s">
        <v>32</v>
      </c>
    </row>
    <row r="12" s="2" customFormat="1" ht="24" customHeight="1" spans="1:10">
      <c r="A12" s="17">
        <v>45638</v>
      </c>
      <c r="B12" s="8"/>
      <c r="C12" s="20"/>
      <c r="D12" s="7" t="s">
        <v>12</v>
      </c>
      <c r="E12" s="7" t="s">
        <v>14</v>
      </c>
      <c r="F12" s="10"/>
      <c r="G12" s="10">
        <v>100000</v>
      </c>
      <c r="H12" s="10">
        <v>25</v>
      </c>
      <c r="I12" s="21">
        <f t="shared" si="0"/>
        <v>360824</v>
      </c>
      <c r="J12" s="7" t="s">
        <v>33</v>
      </c>
    </row>
    <row r="13" s="2" customFormat="1" ht="24" customHeight="1" spans="1:10">
      <c r="A13" s="17">
        <v>45643</v>
      </c>
      <c r="B13" s="8"/>
      <c r="C13" s="20"/>
      <c r="D13" s="7" t="s">
        <v>12</v>
      </c>
      <c r="E13" s="7" t="s">
        <v>14</v>
      </c>
      <c r="F13" s="10"/>
      <c r="G13" s="10">
        <v>100000</v>
      </c>
      <c r="H13" s="10">
        <v>25</v>
      </c>
      <c r="I13" s="21">
        <f t="shared" si="0"/>
        <v>260799</v>
      </c>
      <c r="J13" s="7" t="s">
        <v>33</v>
      </c>
    </row>
    <row r="14" s="2" customFormat="1" ht="24" customHeight="1" spans="1:10">
      <c r="A14" s="17">
        <v>45647</v>
      </c>
      <c r="B14" s="8"/>
      <c r="C14" s="20"/>
      <c r="D14" s="7" t="s">
        <v>12</v>
      </c>
      <c r="E14" s="7" t="s">
        <v>14</v>
      </c>
      <c r="F14" s="10"/>
      <c r="G14" s="10">
        <v>150000</v>
      </c>
      <c r="H14" s="10"/>
      <c r="I14" s="21">
        <f t="shared" si="0"/>
        <v>110799</v>
      </c>
      <c r="J14" s="7" t="s">
        <v>35</v>
      </c>
    </row>
    <row r="15" s="2" customFormat="1" ht="24" customHeight="1" spans="1:10">
      <c r="A15" s="17">
        <v>45649</v>
      </c>
      <c r="B15" s="8"/>
      <c r="C15" s="20"/>
      <c r="D15" s="7" t="s">
        <v>12</v>
      </c>
      <c r="E15" s="7" t="s">
        <v>14</v>
      </c>
      <c r="F15" s="10"/>
      <c r="G15" s="10">
        <v>10000</v>
      </c>
      <c r="H15" s="10"/>
      <c r="I15" s="21">
        <f t="shared" si="0"/>
        <v>100799</v>
      </c>
      <c r="J15" s="7" t="s">
        <v>35</v>
      </c>
    </row>
    <row r="16" s="4" customFormat="1" ht="27" customHeight="1" spans="1:10">
      <c r="A16" s="7" t="s">
        <v>15</v>
      </c>
      <c r="B16" s="8"/>
      <c r="C16" s="9"/>
      <c r="D16" s="7"/>
      <c r="E16" s="7"/>
      <c r="F16" s="10">
        <f>SUM(F4:F15)</f>
        <v>459409</v>
      </c>
      <c r="G16" s="10">
        <f>SUM(G12:G15)</f>
        <v>360000</v>
      </c>
      <c r="H16" s="10">
        <f>SUM(H12:H15)</f>
        <v>50</v>
      </c>
      <c r="I16" s="23">
        <f>SUM(I3+F16-G16-H16)</f>
        <v>100799</v>
      </c>
      <c r="J16" s="24"/>
    </row>
  </sheetData>
  <autoFilter xmlns:etc="http://www.wps.cn/officeDocument/2017/etCustomData" ref="A2:I16" etc:filterBottomFollowUsedRange="0">
    <extLst/>
  </autoFilter>
  <mergeCells count="1">
    <mergeCell ref="A1:J1"/>
  </mergeCells>
  <pageMargins left="0.629861111111111" right="0.472222222222222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1月份</vt:lpstr>
      <vt:lpstr>2月份</vt:lpstr>
      <vt:lpstr>3月份 </vt:lpstr>
      <vt:lpstr>4月份  </vt:lpstr>
      <vt:lpstr>5月份 </vt:lpstr>
      <vt:lpstr>6月份 </vt:lpstr>
      <vt:lpstr>7月份 </vt:lpstr>
      <vt:lpstr>8月份 </vt:lpstr>
      <vt:lpstr>9月份</vt:lpstr>
      <vt:lpstr>10月份</vt:lpstr>
      <vt:lpstr>11月份</vt:lpstr>
      <vt:lpstr>12月份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2021-02-03T03:15:00Z</dcterms:created>
  <dcterms:modified xsi:type="dcterms:W3CDTF">2025-08-06T03:02:29Z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EC643BEC82E54A068B25EF43FB795043</vt:lpwstr>
  </property>
</Properties>
</file>