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<sst xmlns="http://schemas.openxmlformats.org/spreadsheetml/2006/main" count="106" uniqueCount="69">
  <si>
    <t>喵喵2025年12月份报关对账汇总明细</t>
  </si>
  <si>
    <t>序号</t>
  </si>
  <si>
    <t>提单号</t>
  </si>
  <si>
    <t>柜号</t>
  </si>
  <si>
    <t>JOB</t>
  </si>
  <si>
    <t>起运港</t>
  </si>
  <si>
    <t>目的港</t>
  </si>
  <si>
    <t>合计（元）</t>
  </si>
  <si>
    <t>单票人民币费用明细（元）</t>
  </si>
  <si>
    <t>柜型柜量</t>
  </si>
  <si>
    <t>业务类型</t>
  </si>
  <si>
    <t>货物类别</t>
  </si>
  <si>
    <t>备注</t>
  </si>
  <si>
    <t>船司</t>
  </si>
  <si>
    <t>放行时间</t>
  </si>
  <si>
    <t>GOSUGZH0632002</t>
  </si>
  <si>
    <t>TCNU5409255</t>
  </si>
  <si>
    <t>南沙</t>
  </si>
  <si>
    <t>阿帕帕</t>
  </si>
  <si>
    <t>1000+400包税+380*2=2160</t>
  </si>
  <si>
    <t>1*40HQ</t>
  </si>
  <si>
    <t>买单+四川省棉麻土产总公司单证+联信盈达有限公司单证</t>
  </si>
  <si>
    <t>卡车车头模拟器（报关），雾机，灯饰，太阳能板</t>
  </si>
  <si>
    <t>包税</t>
  </si>
  <si>
    <t>ZIM</t>
  </si>
  <si>
    <t>GOSUGZH0641585</t>
  </si>
  <si>
    <t>TGBU7245628</t>
  </si>
  <si>
    <t>800包税+单证380*4+续页费50*3=2470</t>
  </si>
  <si>
    <t>买单+四票单证能仕（上海）国际贸易有限公司（模具）+能仕（上海）国际贸易有限公司（皮革）+珠海雅富兴源食品工业有限公司+深圳市信首信光电科技有限公司</t>
  </si>
  <si>
    <t>GOSUGZH0641585C5_珠海雅富兴源食品工业有限公司续页费50*3</t>
  </si>
  <si>
    <t>GOSUGZH0648129</t>
  </si>
  <si>
    <t>FSCU8321990</t>
  </si>
  <si>
    <t>1200包税+单证380=1580</t>
  </si>
  <si>
    <t>东莞市彩派塑胶五金制品有限公司</t>
  </si>
  <si>
    <t xml:space="preserve">    2025/12/5</t>
  </si>
  <si>
    <t>GOSUGZH0639312</t>
  </si>
  <si>
    <t>ZCSU7538343</t>
  </si>
  <si>
    <t>1600包税+单证380=1980</t>
  </si>
  <si>
    <t>买单+佛山市顺德区爱卡尔进出口有限公司</t>
  </si>
  <si>
    <t>杀虫剂，调节剂，化肥，除草剂7CBM+杂货</t>
  </si>
  <si>
    <t>GOSUGZH0639320</t>
  </si>
  <si>
    <t>ZCSU6932692</t>
  </si>
  <si>
    <t>1100包税+单证380*5+续页费50*5+60*5=3550</t>
  </si>
  <si>
    <t>买单包税+上海三槐国际贸易有限公司+深圳市信首信光电科技有限公司+深圳市永安泰电子设备有限公司+广州马雅医疗两票（合计5票）</t>
  </si>
  <si>
    <t>聚四亚甲基醚二醇+化妆品+大米</t>
  </si>
  <si>
    <t>广州马雅医疗续页费50*5页+50*6页</t>
  </si>
  <si>
    <t>GOSUGZH0645364</t>
  </si>
  <si>
    <t>TLLU4459627</t>
  </si>
  <si>
    <t>600+400包税+380*3+50续页费（A4）=2190</t>
  </si>
  <si>
    <t>买单包税+贵州博顺源科技有限公司+深圳市信首信光电科技有限公司+菘洋国际贸易（大连）有限公司</t>
  </si>
  <si>
    <t>贵州博顺源科技有限公司续页费50</t>
  </si>
  <si>
    <t>贵州博顺源科技有限公司开票600（未付款）</t>
  </si>
  <si>
    <t>GOSUGZH0647597</t>
  </si>
  <si>
    <t>JXLU4745413</t>
  </si>
  <si>
    <t>3600包税+380*2</t>
  </si>
  <si>
    <t>买单包税+东信和平科技股份有限公司单证*2</t>
  </si>
  <si>
    <t>石蜡12CBM+FP鞋子32.5CBM=色素3CBM</t>
  </si>
  <si>
    <t>CANF96776702</t>
  </si>
  <si>
    <t>TCLU1586213</t>
  </si>
  <si>
    <t>1400+400包税+380*4</t>
  </si>
  <si>
    <t>买单包税+联信盈达有限公司+能仕（上海）国际贸易有限公司+宁波圣威密封材料有限公司+上海英科实业有限公司</t>
  </si>
  <si>
    <t>FP鞋子31CBM+钢材类</t>
  </si>
  <si>
    <t>ONE</t>
  </si>
  <si>
    <t>CANF99202800</t>
  </si>
  <si>
    <t>ONEU0363492</t>
  </si>
  <si>
    <t>1800包税+380*2</t>
  </si>
  <si>
    <t>买单包税+能仕（上海）国际贸易有限公司+西安大森矿业设备有限公司</t>
  </si>
  <si>
    <t>FP鞋子18CBM+被膜剂8CBM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</si>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</sst>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31" fontId="0" fillId="0" borderId="1" xfId="0" applyNumberForma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D4" sqref="D4"/>
    </sheetView>
  </sheetViews>
  <sheetFormatPr defaultColWidth="9" defaultRowHeight="14"/>
  <cols>
    <col min="2" max="2" width="17.2909090909091" customWidth="1"/>
    <col min="3" max="4" width="16.8363636363636" customWidth="1"/>
    <col min="7" max="7" width="19.2181818181818" customWidth="1"/>
    <col min="8" max="8" width="15.5545454545455" customWidth="1"/>
    <col min="10" max="10" width="11.9636363636364" customWidth="1"/>
    <col min="11" max="11" width="15.1090909090909" customWidth="1"/>
    <col min="14" max="14" width="13.5545454545455" customWidth="1"/>
    <col min="15" max="15" width="10.7818181818182"/>
  </cols>
  <sheetData>
    <row r="1" ht="39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spans="1: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2" t="s">
        <v>14</v>
      </c>
      <c r="O2" s="2" t="s">
        <v>12</v>
      </c>
    </row>
    <row r="3" ht="114" customHeight="1" spans="1:15">
      <c r="A3" s="5">
        <v>1</v>
      </c>
      <c r="B3" s="5" t="s">
        <v>15</v>
      </c>
      <c r="C3" s="5" t="s">
        <v>16</v>
      </c>
      <c r="D3" s="5">
        <v>110414</v>
      </c>
      <c r="E3" s="5" t="s">
        <v>17</v>
      </c>
      <c r="F3" s="5" t="s">
        <v>18</v>
      </c>
      <c r="G3" s="6">
        <v>2160</v>
      </c>
      <c r="H3" s="6" t="s">
        <v>19</v>
      </c>
      <c r="I3" s="7" t="s">
        <v>20</v>
      </c>
      <c r="J3" s="8" t="s">
        <v>21</v>
      </c>
      <c r="K3" s="8" t="s">
        <v>22</v>
      </c>
      <c r="L3" s="9" t="s">
        <v>23</v>
      </c>
      <c r="M3" s="5" t="s">
        <v>24</v>
      </c>
      <c r="N3" s="10">
        <v>45993</v>
      </c>
      <c r="O3" s="11"/>
    </row>
    <row r="4" ht="204" customHeight="1" spans="1:15">
      <c r="A4" s="5">
        <v>2</v>
      </c>
      <c r="B4" s="5" t="s">
        <v>25</v>
      </c>
      <c r="C4" s="5" t="s">
        <v>26</v>
      </c>
      <c r="D4" s="5">
        <v>120410</v>
      </c>
      <c r="E4" s="5" t="s">
        <v>17</v>
      </c>
      <c r="F4" s="5" t="s">
        <v>18</v>
      </c>
      <c r="G4" s="6">
        <v>2470</v>
      </c>
      <c r="H4" s="6" t="s">
        <v>27</v>
      </c>
      <c r="I4" s="7" t="s">
        <v>20</v>
      </c>
      <c r="J4" s="8" t="s">
        <v>28</v>
      </c>
      <c r="K4" s="8"/>
      <c r="L4" s="9" t="s">
        <v>23</v>
      </c>
      <c r="M4" s="5" t="s">
        <v>24</v>
      </c>
      <c r="N4" s="10">
        <v>45995</v>
      </c>
      <c r="O4" s="11" t="s">
        <v>29</v>
      </c>
    </row>
    <row r="5" ht="59" customHeight="1" spans="1:15">
      <c r="A5" s="5">
        <v>3</v>
      </c>
      <c r="B5" s="5" t="s">
        <v>30</v>
      </c>
      <c r="C5" s="5" t="s">
        <v>31</v>
      </c>
      <c r="D5" s="5">
        <v>120413</v>
      </c>
      <c r="E5" s="5" t="s">
        <v>17</v>
      </c>
      <c r="F5" s="5" t="s">
        <v>18</v>
      </c>
      <c r="G5" s="6">
        <v>1580</v>
      </c>
      <c r="H5" s="6" t="s">
        <v>32</v>
      </c>
      <c r="I5" s="6" t="s">
        <v>20</v>
      </c>
      <c r="J5" s="8" t="s">
        <v>33</v>
      </c>
      <c r="K5" s="8"/>
      <c r="L5" s="6" t="s">
        <v>23</v>
      </c>
      <c r="M5" s="9" t="s">
        <v>24</v>
      </c>
      <c r="N5" s="12" t="s">
        <v>34</v>
      </c>
      <c r="O5" s="10"/>
    </row>
    <row r="6" ht="46" customHeight="1" spans="1:15">
      <c r="A6" s="5">
        <v>4</v>
      </c>
      <c r="B6" s="5" t="s">
        <v>35</v>
      </c>
      <c r="C6" s="13" t="s">
        <v>36</v>
      </c>
      <c r="D6" s="5">
        <v>120417</v>
      </c>
      <c r="E6" s="5" t="s">
        <v>17</v>
      </c>
      <c r="F6" s="5" t="s">
        <v>18</v>
      </c>
      <c r="G6" s="5">
        <v>1980</v>
      </c>
      <c r="H6" s="6" t="s">
        <v>37</v>
      </c>
      <c r="I6" s="6" t="s">
        <v>20</v>
      </c>
      <c r="J6" s="8" t="s">
        <v>38</v>
      </c>
      <c r="K6" s="8" t="s">
        <v>39</v>
      </c>
      <c r="L6" s="6" t="s">
        <v>23</v>
      </c>
      <c r="M6" s="9" t="s">
        <v>24</v>
      </c>
      <c r="N6" s="10">
        <v>46001</v>
      </c>
      <c r="O6" s="10"/>
    </row>
    <row r="7" ht="129" customHeight="1" spans="1:15">
      <c r="A7" s="5">
        <v>5</v>
      </c>
      <c r="B7" s="5" t="s">
        <v>40</v>
      </c>
      <c r="C7" s="5" t="s">
        <v>41</v>
      </c>
      <c r="D7" s="5">
        <v>120419</v>
      </c>
      <c r="E7" s="5" t="s">
        <v>17</v>
      </c>
      <c r="F7" s="5" t="s">
        <v>18</v>
      </c>
      <c r="G7" s="5">
        <v>3550</v>
      </c>
      <c r="H7" s="6" t="s">
        <v>42</v>
      </c>
      <c r="I7" s="6" t="s">
        <v>20</v>
      </c>
      <c r="J7" s="8" t="s">
        <v>43</v>
      </c>
      <c r="K7" s="8" t="s">
        <v>44</v>
      </c>
      <c r="L7" s="6" t="s">
        <v>23</v>
      </c>
      <c r="M7" s="9" t="s">
        <v>24</v>
      </c>
      <c r="N7" s="10">
        <v>46005</v>
      </c>
      <c r="O7" s="11" t="s">
        <v>45</v>
      </c>
    </row>
    <row r="8" ht="106" customHeight="1" spans="1:15">
      <c r="A8" s="14">
        <v>6</v>
      </c>
      <c r="B8" s="5" t="s">
        <v>46</v>
      </c>
      <c r="C8" s="5" t="s">
        <v>47</v>
      </c>
      <c r="D8" s="5">
        <v>120433</v>
      </c>
      <c r="E8" s="5" t="s">
        <v>17</v>
      </c>
      <c r="F8" s="5" t="s">
        <v>18</v>
      </c>
      <c r="G8" s="5">
        <v>2190</v>
      </c>
      <c r="H8" s="6" t="s">
        <v>48</v>
      </c>
      <c r="I8" s="6" t="s">
        <v>20</v>
      </c>
      <c r="J8" s="8" t="s">
        <v>49</v>
      </c>
      <c r="K8" s="8"/>
      <c r="L8" s="8" t="s">
        <v>23</v>
      </c>
      <c r="M8" s="9" t="s">
        <v>24</v>
      </c>
      <c r="N8" s="10">
        <v>46014</v>
      </c>
      <c r="O8" s="11" t="s">
        <v>50</v>
      </c>
    </row>
    <row r="9" ht="65" customHeight="1" spans="1:15">
      <c r="A9" s="3"/>
      <c r="B9" s="5"/>
      <c r="C9" s="5"/>
      <c r="D9" s="5"/>
      <c r="E9" s="5"/>
      <c r="F9" s="5"/>
      <c r="G9" s="15">
        <v>-600</v>
      </c>
      <c r="H9" s="16" t="s">
        <v>51</v>
      </c>
      <c r="I9" s="6"/>
      <c r="J9" s="8"/>
      <c r="K9" s="8"/>
      <c r="L9" s="8"/>
      <c r="M9" s="17"/>
      <c r="N9" s="10"/>
      <c r="O9" s="10"/>
    </row>
    <row r="10" ht="65" customHeight="1" spans="1:15">
      <c r="A10" s="5">
        <v>7</v>
      </c>
      <c r="B10" s="5" t="s">
        <v>52</v>
      </c>
      <c r="C10" s="5" t="s">
        <v>53</v>
      </c>
      <c r="D10" s="5">
        <v>120438</v>
      </c>
      <c r="E10" s="5" t="s">
        <v>17</v>
      </c>
      <c r="F10" s="5" t="s">
        <v>18</v>
      </c>
      <c r="G10" s="5">
        <v>4360</v>
      </c>
      <c r="H10" s="5" t="s">
        <v>54</v>
      </c>
      <c r="I10" s="6"/>
      <c r="J10" s="8" t="s">
        <v>55</v>
      </c>
      <c r="K10" s="8" t="s">
        <v>56</v>
      </c>
      <c r="L10" s="8" t="s">
        <v>23</v>
      </c>
      <c r="M10" s="9" t="s">
        <v>24</v>
      </c>
      <c r="N10" s="10">
        <v>46017</v>
      </c>
      <c r="O10" s="10"/>
    </row>
    <row r="11" ht="92" customHeight="1" spans="1:15">
      <c r="A11" s="5">
        <v>8</v>
      </c>
      <c r="B11" s="5" t="s">
        <v>57</v>
      </c>
      <c r="C11" s="5" t="s">
        <v>58</v>
      </c>
      <c r="D11" s="5">
        <v>120450</v>
      </c>
      <c r="E11" s="5" t="s">
        <v>17</v>
      </c>
      <c r="F11" s="5" t="s">
        <v>18</v>
      </c>
      <c r="G11" s="5">
        <v>3320</v>
      </c>
      <c r="H11" s="6" t="s">
        <v>59</v>
      </c>
      <c r="I11" s="6"/>
      <c r="J11" s="8" t="s">
        <v>60</v>
      </c>
      <c r="K11" s="8" t="s">
        <v>61</v>
      </c>
      <c r="L11" s="8" t="s">
        <v>23</v>
      </c>
      <c r="M11" s="9" t="s">
        <v>62</v>
      </c>
      <c r="N11" s="10">
        <v>46022</v>
      </c>
      <c r="O11" s="10"/>
    </row>
    <row r="12" ht="65" customHeight="1" spans="1:15">
      <c r="A12" s="5">
        <v>9</v>
      </c>
      <c r="B12" s="5" t="s">
        <v>63</v>
      </c>
      <c r="C12" s="5" t="s">
        <v>64</v>
      </c>
      <c r="D12" s="5">
        <v>120451</v>
      </c>
      <c r="E12" s="5" t="s">
        <v>17</v>
      </c>
      <c r="F12" s="5" t="s">
        <v>18</v>
      </c>
      <c r="G12" s="5">
        <v>2560</v>
      </c>
      <c r="H12" s="5" t="s">
        <v>65</v>
      </c>
      <c r="I12" s="6"/>
      <c r="J12" s="8" t="s">
        <v>66</v>
      </c>
      <c r="K12" s="8" t="s">
        <v>67</v>
      </c>
      <c r="L12" s="8" t="s">
        <v>23</v>
      </c>
      <c r="M12" s="9" t="s">
        <v>62</v>
      </c>
      <c r="N12" s="10">
        <v>46022</v>
      </c>
      <c r="O12" s="10"/>
    </row>
    <row r="13" ht="65" customHeight="1" spans="1:15">
      <c r="A13" s="5" t="s">
        <v>68</v>
      </c>
      <c r="B13" s="5"/>
      <c r="C13" s="5"/>
      <c r="D13" s="5"/>
      <c r="E13" s="5"/>
      <c r="F13" s="5"/>
      <c r="G13" s="5">
        <f>SUM(G3:G12)</f>
        <v>23570</v>
      </c>
      <c r="H13" s="5"/>
      <c r="I13" s="6"/>
      <c r="J13" s="7"/>
      <c r="K13" s="8"/>
      <c r="L13" s="8"/>
      <c r="M13" s="17"/>
      <c r="N13" s="7"/>
      <c r="O13" s="10"/>
    </row>
  </sheetData>
  <mergeCells count="2">
    <mergeCell ref="A1:O1"/>
    <mergeCell ref="A8:A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乎乎</dc:creator>
  <cp:lastModifiedBy>Shirley</cp:lastModifiedBy>
  <dcterms:created xsi:type="dcterms:W3CDTF">2023-05-12T11:15:00Z</dcterms:created>
  <dcterms:modified xsi:type="dcterms:W3CDTF">2026-02-06T08:23:03Z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EA807AC00E0647FC9B193F80636C76E6_12</vt:lpwstr>
  </property>
  <property fmtid="{D5CDD505-2E9C-101B-9397-08002B2CF9AE}" pid="4" name="CalculationRule">
    <vt:i4>0</vt:i4>
  </property>
</Properties>
</file>