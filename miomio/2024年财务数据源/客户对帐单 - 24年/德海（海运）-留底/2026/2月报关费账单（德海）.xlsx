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<sst xmlns="http://schemas.openxmlformats.org/spreadsheetml/2006/main" count="97" uniqueCount="61">
  <si>
    <t>德海2026年2月份报关对账汇总明细</t>
  </si>
  <si>
    <t>序号</t>
  </si>
  <si>
    <t>JOB</t>
  </si>
  <si>
    <t>提单号</t>
  </si>
  <si>
    <t>柜号</t>
  </si>
  <si>
    <t>起运港</t>
  </si>
  <si>
    <t>目的港</t>
  </si>
  <si>
    <t>合计（元）</t>
  </si>
  <si>
    <t>单票人民币费用明细（元）</t>
  </si>
  <si>
    <t>柜型柜量</t>
  </si>
  <si>
    <t>业务类型</t>
  </si>
  <si>
    <t>货物类别</t>
  </si>
  <si>
    <t>备注</t>
  </si>
  <si>
    <t>船司</t>
  </si>
  <si>
    <t>放行时间</t>
  </si>
  <si>
    <t>020190</t>
  </si>
  <si>
    <t>CANF99504604</t>
  </si>
  <si>
    <t>SEGU4997374</t>
  </si>
  <si>
    <t>南沙</t>
  </si>
  <si>
    <t>阿帕帕</t>
  </si>
  <si>
    <t>1500全包包税+单证380*3</t>
  </si>
  <si>
    <t>1*40HQ</t>
  </si>
  <si>
    <t>买单+单证</t>
  </si>
  <si>
    <t>食品饮料24CBM+配件+铁砂</t>
  </si>
  <si>
    <t>包税</t>
  </si>
  <si>
    <t>ONE</t>
  </si>
  <si>
    <t xml:space="preserve">CANG09479903 </t>
  </si>
  <si>
    <t>删三票单证仓单</t>
  </si>
  <si>
    <t>020192</t>
  </si>
  <si>
    <t>CANF99504605</t>
  </si>
  <si>
    <t>FCIU9220808</t>
  </si>
  <si>
    <t>4000+包税300</t>
  </si>
  <si>
    <t>买单</t>
  </si>
  <si>
    <t>钢材涉许可证</t>
  </si>
  <si>
    <t xml:space="preserve"> </t>
  </si>
  <si>
    <t>020195</t>
  </si>
  <si>
    <t>CANF99504606</t>
  </si>
  <si>
    <t>TCNU6708815</t>
  </si>
  <si>
    <t>1300包税+1*380单证</t>
  </si>
  <si>
    <t>白硅纸+叉车配件（牌子）+太阳能板，灯具</t>
  </si>
  <si>
    <t>020202</t>
  </si>
  <si>
    <t>CANF99620503</t>
  </si>
  <si>
    <t>TRHU4714983</t>
  </si>
  <si>
    <t>1100包税+380*2</t>
  </si>
  <si>
    <t>020203</t>
  </si>
  <si>
    <t>CANF99620504</t>
  </si>
  <si>
    <t>BSIU9656424</t>
  </si>
  <si>
    <t>4500+300包税</t>
  </si>
  <si>
    <t>钢材涉许可证+铝材品牌12CBM</t>
  </si>
  <si>
    <t>020204</t>
  </si>
  <si>
    <t>CANF99633900</t>
  </si>
  <si>
    <t>ONEU6079668</t>
  </si>
  <si>
    <t>1100包税+380*7+续页费50*2</t>
  </si>
  <si>
    <t>消毒柜（德玛仕）+球阀等</t>
  </si>
  <si>
    <t>020205</t>
  </si>
  <si>
    <t>CANF99633901</t>
  </si>
  <si>
    <t>ONEU6080036</t>
  </si>
  <si>
    <t>3500包税</t>
  </si>
  <si>
    <t>大米10CBM许可证+调料16CBM</t>
  </si>
  <si>
    <t>合计</t>
  </si>
  <si>
    <t>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</si>
</sst>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</numFmts>
  <fonts count="22">
    <font>
      <sz val="11"/>
      <color theme="1"/>
      <name val="宋体"/>
      <charset val="134"/>
      <scheme val="minor"/>
    </font>
    <font>
      <sz val="14"/>
      <color theme="1"/>
      <name val="黑体"/>
      <charset val="134"/>
    </font>
    <font>
      <sz val="10"/>
      <color theme="1"/>
      <name val="Microsoft Jheng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0" applyNumberFormat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>
      <alignment vertical="center"/>
    </xf>
    <xf numFmtId="0" fontId="0" fillId="0" borderId="5" xfId="0" applyBorder="1" applyAlignment="1">
      <alignment vertical="center" wrapText="1"/>
    </xf>
    <xf numFmtId="0" fontId="0" fillId="0" borderId="5" xfId="0" applyFill="1" applyBorder="1" applyAlignment="1">
      <alignment horizontal="center" vertical="center" wrapText="1"/>
    </xf>
    <xf numFmtId="14" fontId="0" fillId="0" borderId="5" xfId="0" applyNumberFormat="1" applyBorder="1">
      <alignment vertical="center"/>
    </xf>
    <xf numFmtId="0" fontId="0" fillId="0" borderId="3" xfId="0" applyFill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0" fontId="0" fillId="0" borderId="5" xfId="0" applyFill="1" applyBorder="1" applyAlignment="1">
      <alignment vertical="center" wrapText="1"/>
    </xf>
    <xf numFmtId="49" fontId="0" fillId="0" borderId="5" xfId="0" applyNumberForma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>
      <alignment vertical="center"/>
    </xf>
    <xf numFmtId="0" fontId="2" fillId="0" borderId="5" xfId="0" applyFont="1" applyBorder="1" applyAlignment="1">
      <alignment vertical="center" wrapText="1"/>
    </xf>
    <xf numFmtId="0" fontId="2" fillId="0" borderId="5" xfId="0" applyFont="1" applyFill="1" applyBorder="1" applyAlignment="1">
      <alignment vertical="center" wrapText="1"/>
    </xf>
    <xf numFmtId="14" fontId="2" fillId="0" borderId="5" xfId="0" applyNumberFormat="1" applyFont="1" applyBorder="1">
      <alignment vertical="center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>
      <alignment vertic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>
      <alignment vertical="center"/>
    </xf>
    <xf numFmtId="0" fontId="2" fillId="0" borderId="5" xfId="0" applyFont="1" applyFill="1" applyBorder="1" applyAlignment="1">
      <alignment vertical="center" wrapText="1"/>
    </xf>
    <xf numFmtId="0" fontId="2" fillId="0" borderId="5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"/>
  <sheetViews>
    <sheetView tabSelected="1" workbookViewId="0">
      <pane ySplit="2" topLeftCell="A3" activePane="bottomLeft" state="frozen"/>
      <selection/>
      <selection pane="bottomLeft" activeCell="Q9" sqref="Q9"/>
    </sheetView>
  </sheetViews>
  <sheetFormatPr defaultColWidth="9" defaultRowHeight="13.5"/>
  <cols>
    <col min="1" max="1" width="5.7" customWidth="1"/>
    <col min="2" max="3" width="8.125" customWidth="1"/>
    <col min="4" max="4" width="12.7333333333333" customWidth="1"/>
    <col min="5" max="5" width="6.00833333333333" customWidth="1"/>
    <col min="6" max="6" width="7.16666666666667" customWidth="1"/>
    <col min="7" max="7" width="13.125" customWidth="1"/>
    <col min="8" max="8" width="15.5583333333333" customWidth="1"/>
    <col min="9" max="9" width="8.55833333333333" customWidth="1"/>
    <col min="10" max="10" width="9.71666666666667" customWidth="1"/>
    <col min="11" max="11" width="13.2833333333333" customWidth="1"/>
    <col min="12" max="12" width="5.4" customWidth="1"/>
    <col min="13" max="13" width="6.63333333333333" customWidth="1"/>
    <col min="14" max="14" width="10.375" customWidth="1"/>
  </cols>
  <sheetData>
    <row r="1" ht="39" customHeight="1" spans="1:1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27" spans="1:16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 t="s">
        <v>8</v>
      </c>
      <c r="I2" s="3" t="s">
        <v>9</v>
      </c>
      <c r="J2" s="3" t="s">
        <v>10</v>
      </c>
      <c r="K2" s="3" t="s">
        <v>11</v>
      </c>
      <c r="L2" s="4" t="s">
        <v>12</v>
      </c>
      <c r="M2" s="4" t="s">
        <v>13</v>
      </c>
      <c r="N2" s="3" t="s">
        <v>14</v>
      </c>
    </row>
    <row r="3" ht="36" customHeight="1" spans="1:16">
      <c r="A3" s="6">
        <v>1</v>
      </c>
      <c r="B3" s="7" t="s">
        <v>15</v>
      </c>
      <c r="C3" s="8" t="s">
        <v>16</v>
      </c>
      <c r="D3" s="8" t="s">
        <v>17</v>
      </c>
      <c r="E3" s="8" t="s">
        <v>18</v>
      </c>
      <c r="F3" s="8" t="s">
        <v>19</v>
      </c>
      <c r="G3" s="9">
        <v>2640</v>
      </c>
      <c r="H3" s="10" t="s">
        <v>20</v>
      </c>
      <c r="I3" s="11" t="s">
        <v>21</v>
      </c>
      <c r="J3" s="12" t="s">
        <v>22</v>
      </c>
      <c r="K3" s="12" t="s">
        <v>23</v>
      </c>
      <c r="L3" s="13" t="s">
        <v>24</v>
      </c>
      <c r="M3" s="8" t="s">
        <v>25</v>
      </c>
      <c r="N3" s="14">
        <v>46056</v>
      </c>
    </row>
    <row r="4" ht="36" customHeight="1" spans="1:16">
      <c r="A4" s="15"/>
      <c r="B4" s="16"/>
      <c r="C4" s="8" t="s">
        <v>26</v>
      </c>
      <c r="D4" s="8" t="s">
        <v>17</v>
      </c>
      <c r="E4" s="8"/>
      <c r="F4" s="8"/>
      <c r="G4" s="17">
        <v>600</v>
      </c>
      <c r="H4" s="8" t="s">
        <v>27</v>
      </c>
      <c r="I4" s="10"/>
      <c r="J4" s="11"/>
      <c r="K4" s="12"/>
      <c r="L4" s="12"/>
      <c r="M4" s="18"/>
      <c r="N4" s="14"/>
    </row>
    <row r="5" ht="36" customHeight="1" spans="1:16">
      <c r="A5" s="8">
        <v>2</v>
      </c>
      <c r="B5" s="19" t="s">
        <v>28</v>
      </c>
      <c r="C5" s="8" t="s">
        <v>29</v>
      </c>
      <c r="D5" s="8" t="s">
        <v>30</v>
      </c>
      <c r="E5" s="8" t="s">
        <v>18</v>
      </c>
      <c r="F5" s="8" t="s">
        <v>19</v>
      </c>
      <c r="G5" s="17">
        <v>4300</v>
      </c>
      <c r="H5" s="8" t="s">
        <v>31</v>
      </c>
      <c r="I5" s="10" t="s">
        <v>21</v>
      </c>
      <c r="J5" s="11" t="s">
        <v>32</v>
      </c>
      <c r="K5" s="12" t="s">
        <v>33</v>
      </c>
      <c r="L5" s="12" t="s">
        <v>24</v>
      </c>
      <c r="M5" s="18" t="s">
        <v>25</v>
      </c>
      <c r="N5" s="14">
        <v>46057</v>
      </c>
      <c r="P5" t="s">
        <v>34</v>
      </c>
    </row>
    <row r="6" ht="36" customHeight="1" spans="1:16">
      <c r="A6" s="20">
        <v>3</v>
      </c>
      <c r="B6" s="21" t="s">
        <v>35</v>
      </c>
      <c r="C6" s="22" t="s">
        <v>36</v>
      </c>
      <c r="D6" s="22" t="s">
        <v>37</v>
      </c>
      <c r="E6" s="22" t="s">
        <v>18</v>
      </c>
      <c r="F6" s="22" t="s">
        <v>19</v>
      </c>
      <c r="G6" s="23">
        <v>1680</v>
      </c>
      <c r="H6" s="24" t="s">
        <v>38</v>
      </c>
      <c r="I6" s="24" t="s">
        <v>21</v>
      </c>
      <c r="J6" s="25" t="s">
        <v>22</v>
      </c>
      <c r="K6" s="26" t="s">
        <v>39</v>
      </c>
      <c r="L6" s="26" t="s">
        <v>24</v>
      </c>
      <c r="M6" s="27" t="s">
        <v>25</v>
      </c>
      <c r="N6" s="28">
        <v>46058</v>
      </c>
    </row>
    <row r="7" ht="36" customHeight="1" spans="1:16">
      <c r="A7" s="20">
        <v>4</v>
      </c>
      <c r="B7" s="21" t="s">
        <v>40</v>
      </c>
      <c r="C7" s="22" t="s">
        <v>41</v>
      </c>
      <c r="D7" s="22" t="s">
        <v>42</v>
      </c>
      <c r="E7" s="22" t="s">
        <v>18</v>
      </c>
      <c r="F7" s="22" t="s">
        <v>19</v>
      </c>
      <c r="G7" s="23">
        <v>1860</v>
      </c>
      <c r="H7" s="22" t="s">
        <v>43</v>
      </c>
      <c r="I7" s="24" t="s">
        <v>21</v>
      </c>
      <c r="J7" s="25" t="s">
        <v>22</v>
      </c>
      <c r="K7" s="29"/>
      <c r="L7" s="26" t="s">
        <v>24</v>
      </c>
      <c r="M7" s="27" t="s">
        <v>25</v>
      </c>
      <c r="N7" s="28">
        <v>46063</v>
      </c>
    </row>
    <row r="8" ht="36" customHeight="1" spans="1:16">
      <c r="A8" s="20">
        <v>5</v>
      </c>
      <c r="B8" s="21" t="s">
        <v>44</v>
      </c>
      <c r="C8" s="22" t="s">
        <v>45</v>
      </c>
      <c r="D8" s="22" t="s">
        <v>46</v>
      </c>
      <c r="E8" s="22" t="s">
        <v>18</v>
      </c>
      <c r="F8" s="22" t="s">
        <v>19</v>
      </c>
      <c r="G8" s="23">
        <v>4800</v>
      </c>
      <c r="H8" s="22" t="s">
        <v>47</v>
      </c>
      <c r="I8" s="24" t="s">
        <v>21</v>
      </c>
      <c r="J8" s="25" t="s">
        <v>32</v>
      </c>
      <c r="K8" s="26" t="s">
        <v>48</v>
      </c>
      <c r="L8" s="26" t="s">
        <v>24</v>
      </c>
      <c r="M8" s="27" t="s">
        <v>25</v>
      </c>
      <c r="N8" s="28">
        <v>46063</v>
      </c>
    </row>
    <row r="9" ht="36" customHeight="1" spans="1:16">
      <c r="A9" s="20">
        <v>6</v>
      </c>
      <c r="B9" s="21" t="s">
        <v>49</v>
      </c>
      <c r="C9" s="22" t="s">
        <v>50</v>
      </c>
      <c r="D9" s="22" t="s">
        <v>51</v>
      </c>
      <c r="E9" s="22" t="s">
        <v>18</v>
      </c>
      <c r="F9" s="22" t="s">
        <v>19</v>
      </c>
      <c r="G9" s="23">
        <v>3860</v>
      </c>
      <c r="H9" s="24" t="s">
        <v>52</v>
      </c>
      <c r="I9" s="24" t="s">
        <v>21</v>
      </c>
      <c r="J9" s="25" t="s">
        <v>22</v>
      </c>
      <c r="K9" s="26" t="s">
        <v>53</v>
      </c>
      <c r="L9" s="26" t="s">
        <v>24</v>
      </c>
      <c r="M9" s="27" t="s">
        <v>25</v>
      </c>
      <c r="N9" s="28">
        <v>46064</v>
      </c>
    </row>
    <row r="10" ht="36" customHeight="1" spans="1:16">
      <c r="A10" s="20">
        <v>7</v>
      </c>
      <c r="B10" s="34" t="s">
        <v>54</v>
      </c>
      <c r="C10" s="22" t="s">
        <v>55</v>
      </c>
      <c r="D10" s="22" t="s">
        <v>56</v>
      </c>
      <c r="E10" s="22" t="s">
        <v>18</v>
      </c>
      <c r="F10" s="22" t="s">
        <v>19</v>
      </c>
      <c r="G10" s="23">
        <v>3500</v>
      </c>
      <c r="H10" s="22" t="s">
        <v>57</v>
      </c>
      <c r="I10" s="24" t="s">
        <v>21</v>
      </c>
      <c r="J10" s="25" t="s">
        <v>32</v>
      </c>
      <c r="K10" s="26" t="s">
        <v>58</v>
      </c>
      <c r="L10" s="26" t="s">
        <v>24</v>
      </c>
      <c r="M10" s="27" t="s">
        <v>25</v>
      </c>
      <c r="N10" s="28">
        <v>46065</v>
      </c>
    </row>
    <row r="11" ht="36" customHeight="1" spans="1:16">
      <c r="A11" s="22" t="s">
        <v>59</v>
      </c>
      <c r="B11" s="30"/>
      <c r="C11" s="20"/>
      <c r="D11" s="20"/>
      <c r="E11" s="20"/>
      <c r="F11" s="20"/>
      <c r="G11" s="23">
        <f>SUM(G3:G10)</f>
        <v>23240</v>
      </c>
      <c r="H11" s="20"/>
      <c r="I11" s="31"/>
      <c r="J11" s="32"/>
      <c r="K11" s="29"/>
      <c r="L11" s="29"/>
      <c r="M11" s="33"/>
      <c r="N11" s="32"/>
    </row>
    <row r="19" spans="1:1">
      <c r="A19" t="s">
        <v>60</v>
      </c>
    </row>
  </sheetData>
  <mergeCells count="3">
    <mergeCell ref="A1:N1"/>
    <mergeCell ref="A3:A4"/>
    <mergeCell ref="B3:B4"/>
  </mergeCells>
  <pageMargins left="0.7" right="0.7" top="0.75" bottom="0.75" header="0.3" footer="0.3"/>
  <pageSetup paperSize="9" orientation="landscape"/>
  <headerFooter/>
  <ignoredErrors>
    <ignoredError sqref="A11:N19 D10:N10 A10:B10 A9:N9 D7:N8 A7:B8 E6:N6 A6:C6 A5:N5 E4:N4 A4:C4 B1:N1 A2:N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乎乎</dc:creator>
  <cp:lastModifiedBy>刘劭勇</cp:lastModifiedBy>
  <dcterms:created xsi:type="dcterms:W3CDTF">2023-05-12T11:15:00Z</dcterms:created>
  <dcterms:modified xsi:type="dcterms:W3CDTF">2026-03-23T06:36:29Z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EA807AC00E0647FC9B193F80636C76E6_12</vt:lpwstr>
  </property>
  <property fmtid="{D5CDD505-2E9C-101B-9397-08002B2CF9AE}" pid="4" name="CalculationRule">
    <vt:i4>0</vt:i4>
  </property>
</Properties>
</file>