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陆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<sst xmlns="http://schemas.openxmlformats.org/spreadsheetml/2006/main" count="167" uniqueCount="83">
  <si>
    <t>广州港前绿能物流有限公司</t>
  </si>
  <si>
    <t>广州市南沙区</t>
  </si>
  <si>
    <t xml:space="preserve">Tel：020-31607460 </t>
  </si>
  <si>
    <t>应收对账单</t>
  </si>
  <si>
    <t xml:space="preserve">To:陆总  </t>
  </si>
  <si>
    <t>结算日期:2025-10-01-2025-10-31</t>
  </si>
  <si>
    <t>序号</t>
  </si>
  <si>
    <t>做箱时间</t>
  </si>
  <si>
    <t>客户简称</t>
  </si>
  <si>
    <t>提单号</t>
  </si>
  <si>
    <t>JOB</t>
  </si>
  <si>
    <t>箱型</t>
  </si>
  <si>
    <t>箱号</t>
  </si>
  <si>
    <t>运费</t>
  </si>
  <si>
    <t>提柜费</t>
  </si>
  <si>
    <t>过磅费</t>
  </si>
  <si>
    <t>办单费</t>
  </si>
  <si>
    <t>高速费</t>
  </si>
  <si>
    <t>停车费</t>
  </si>
  <si>
    <t>还柜费</t>
  </si>
  <si>
    <t>小计</t>
  </si>
  <si>
    <t>10-7 00:00</t>
  </si>
  <si>
    <t>陆总</t>
  </si>
  <si>
    <t>090395</t>
  </si>
  <si>
    <t>40HQ</t>
  </si>
  <si>
    <t>MRSU6981435</t>
  </si>
  <si>
    <t/>
  </si>
  <si>
    <t>10-8 00:00</t>
  </si>
  <si>
    <t>TCNU6531859</t>
  </si>
  <si>
    <t>10-11 08:00</t>
  </si>
  <si>
    <t>100378</t>
  </si>
  <si>
    <t>MRKU4666806</t>
  </si>
  <si>
    <t>10-18 08:00</t>
  </si>
  <si>
    <t>GOSUGZH0614574</t>
  </si>
  <si>
    <t>100386</t>
  </si>
  <si>
    <t>ZCSU6773420</t>
  </si>
  <si>
    <t>GOSUGZH0598211</t>
  </si>
  <si>
    <t>090415</t>
  </si>
  <si>
    <t>ZCSU6576267</t>
  </si>
  <si>
    <t>10-18 16:00</t>
  </si>
  <si>
    <t>GOSUGZH0614591</t>
  </si>
  <si>
    <t>100387</t>
  </si>
  <si>
    <t>ZCSU6680271</t>
  </si>
  <si>
    <t>10-18 18:00</t>
  </si>
  <si>
    <t>GOSUGZH0614571</t>
  </si>
  <si>
    <t>ZCSU6725988</t>
  </si>
  <si>
    <t>10-19 08:00</t>
  </si>
  <si>
    <t>GOSUGZH0614580</t>
  </si>
  <si>
    <t>100391</t>
  </si>
  <si>
    <t>ZCSU7521058</t>
  </si>
  <si>
    <t>10-19 14:00</t>
  </si>
  <si>
    <t>GOSUGZH0614573</t>
  </si>
  <si>
    <t>100392</t>
  </si>
  <si>
    <t>ZCSU7892995</t>
  </si>
  <si>
    <t>10-21 08:00</t>
  </si>
  <si>
    <t>GOSUGZH0622925</t>
  </si>
  <si>
    <t>100396</t>
  </si>
  <si>
    <t>BEAU5029869</t>
  </si>
  <si>
    <t>10-22</t>
  </si>
  <si>
    <t>GOSUGZH0606003</t>
  </si>
  <si>
    <t>090423</t>
  </si>
  <si>
    <t>ZCSU6620890</t>
  </si>
  <si>
    <t>GOSUGZH0622902</t>
  </si>
  <si>
    <t>100398</t>
  </si>
  <si>
    <t>JXLU4593497</t>
  </si>
  <si>
    <t>10-23 08:00</t>
  </si>
  <si>
    <t>GOSUGZH0622923</t>
  </si>
  <si>
    <t>BSIU9535720</t>
  </si>
  <si>
    <t>10-23 16:00</t>
  </si>
  <si>
    <t>CANF76399601</t>
  </si>
  <si>
    <t>100400</t>
  </si>
  <si>
    <t>TRHU7390846</t>
  </si>
  <si>
    <t>10-29 08:00</t>
  </si>
  <si>
    <t>GOSUGZH0628762</t>
  </si>
  <si>
    <t>100408</t>
  </si>
  <si>
    <t>20GP</t>
  </si>
  <si>
    <t>ZIMU2795348</t>
  </si>
  <si>
    <t>GOSUGZH0616585</t>
  </si>
  <si>
    <t>100412</t>
  </si>
  <si>
    <t>GAOU6905384</t>
  </si>
  <si>
    <t>GOSUGZH0614574/ZCSU6773420产生一天柜租</t>
  </si>
  <si>
    <t>GOSUGZH0614591/ZCSU6680271产生一天柜租</t>
  </si>
  <si>
    <t>合计: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</si>
</sst>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6">
    <font>
      <sz val="10"/>
      <name val="Arial"/>
      <charset val="0"/>
    </font>
    <font>
      <b/>
      <sz val="18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b/>
      <sz val="10"/>
      <name val="Microsoft JhengHei"/>
      <charset val="134"/>
    </font>
    <font>
      <sz val="10"/>
      <name val="Microsoft Jheng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9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righ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horizontal="right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zoomScaleSheetLayoutView="60" topLeftCell="A11" workbookViewId="0">
      <selection activeCell="U22" sqref="U22"/>
    </sheetView>
  </sheetViews>
  <sheetFormatPr defaultColWidth="8.72380952380952" defaultRowHeight="12.75"/>
  <cols>
    <col min="1" max="1" width="6"/>
    <col min="2" max="2" width="12"/>
    <col min="3" max="3" width="9.14285714285714" customWidth="1"/>
    <col min="4" max="4" width="15.1428571428571" customWidth="1"/>
    <col min="5" max="5" width="14" customWidth="1"/>
    <col min="6" max="6" width="11"/>
    <col min="7" max="7" width="12"/>
    <col min="8" max="14" width="8"/>
    <col min="15" max="15" width="11.4285714285714" customWidth="1"/>
  </cols>
  <sheetData>
    <row r="1" ht="22.5" customHeight="1" spans="1:15">
      <c r="A1" s="1" t="s">
        <v>0</v>
      </c>
    </row>
    <row r="2" ht="17.5" customHeight="1" spans="1:15">
      <c r="A2" s="2" t="s">
        <v>1</v>
      </c>
    </row>
    <row r="3" ht="17.5" customHeight="1" spans="1:15">
      <c r="A3" s="2" t="s">
        <v>2</v>
      </c>
    </row>
    <row r="4" ht="17.5" customHeight="1" spans="1:15">
      <c r="A4" s="2" t="s">
        <v>3</v>
      </c>
    </row>
    <row r="5" ht="17.5" customHeight="1" spans="1:15">
      <c r="A5" s="3" t="s">
        <v>4</v>
      </c>
      <c r="K5" s="4" t="s">
        <v>5</v>
      </c>
    </row>
    <row r="6" ht="20" customHeight="1" spans="1:15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19</v>
      </c>
      <c r="O6" s="5" t="s">
        <v>20</v>
      </c>
    </row>
    <row r="7" ht="20" customHeight="1" spans="1:15">
      <c r="A7" s="6">
        <v>1</v>
      </c>
      <c r="B7" s="6" t="s">
        <v>21</v>
      </c>
      <c r="C7" s="7" t="s">
        <v>22</v>
      </c>
      <c r="D7" s="7">
        <v>264456406</v>
      </c>
      <c r="E7" s="8" t="s">
        <v>23</v>
      </c>
      <c r="F7" s="6" t="s">
        <v>24</v>
      </c>
      <c r="G7" s="6" t="s">
        <v>25</v>
      </c>
      <c r="H7" s="9">
        <v>1680</v>
      </c>
      <c r="I7" s="9" t="s">
        <v>26</v>
      </c>
      <c r="J7" s="9">
        <v>66</v>
      </c>
      <c r="K7" s="9">
        <v>31</v>
      </c>
      <c r="L7" s="9" t="s">
        <v>26</v>
      </c>
      <c r="M7" s="9">
        <v>20</v>
      </c>
      <c r="N7" s="9" t="s">
        <v>26</v>
      </c>
      <c r="O7" s="10">
        <f t="shared" ref="O7:O23" si="0">SUM(H7:N7)</f>
        <v>1797</v>
      </c>
    </row>
    <row r="8" ht="20" customHeight="1" spans="1:15">
      <c r="A8" s="6">
        <v>2</v>
      </c>
      <c r="B8" s="6" t="s">
        <v>27</v>
      </c>
      <c r="C8" s="7" t="s">
        <v>22</v>
      </c>
      <c r="D8" s="7">
        <v>264456407</v>
      </c>
      <c r="E8" s="8">
        <v>100376</v>
      </c>
      <c r="F8" s="6" t="s">
        <v>24</v>
      </c>
      <c r="G8" s="6" t="s">
        <v>28</v>
      </c>
      <c r="H8" s="9">
        <v>1680</v>
      </c>
      <c r="I8" s="9" t="s">
        <v>26</v>
      </c>
      <c r="J8" s="9">
        <v>58</v>
      </c>
      <c r="K8" s="9">
        <v>31</v>
      </c>
      <c r="L8" s="9" t="s">
        <v>26</v>
      </c>
      <c r="M8" s="9">
        <v>20</v>
      </c>
      <c r="N8" s="9" t="s">
        <v>26</v>
      </c>
      <c r="O8" s="10">
        <f t="shared" si="0"/>
        <v>1789</v>
      </c>
    </row>
    <row r="9" ht="20" customHeight="1" spans="1:15">
      <c r="A9" s="6">
        <v>3</v>
      </c>
      <c r="B9" s="6" t="s">
        <v>29</v>
      </c>
      <c r="C9" s="7" t="s">
        <v>22</v>
      </c>
      <c r="D9" s="7">
        <v>285119690</v>
      </c>
      <c r="E9" s="8" t="s">
        <v>30</v>
      </c>
      <c r="F9" s="6" t="s">
        <v>24</v>
      </c>
      <c r="G9" s="6" t="s">
        <v>31</v>
      </c>
      <c r="H9" s="9">
        <v>1680</v>
      </c>
      <c r="I9" s="9">
        <v>155</v>
      </c>
      <c r="J9" s="9">
        <v>50</v>
      </c>
      <c r="K9" s="9">
        <v>31</v>
      </c>
      <c r="L9" s="9" t="s">
        <v>26</v>
      </c>
      <c r="M9" s="9">
        <v>30</v>
      </c>
      <c r="N9" s="9" t="s">
        <v>26</v>
      </c>
      <c r="O9" s="10">
        <f t="shared" si="0"/>
        <v>1946</v>
      </c>
    </row>
    <row r="10" ht="20" customHeight="1" spans="1:15">
      <c r="A10" s="6">
        <v>4</v>
      </c>
      <c r="B10" s="6" t="s">
        <v>32</v>
      </c>
      <c r="C10" s="7" t="s">
        <v>22</v>
      </c>
      <c r="D10" s="7" t="s">
        <v>33</v>
      </c>
      <c r="E10" s="8" t="s">
        <v>34</v>
      </c>
      <c r="F10" s="6" t="s">
        <v>24</v>
      </c>
      <c r="G10" s="6" t="s">
        <v>35</v>
      </c>
      <c r="H10" s="9">
        <v>1680</v>
      </c>
      <c r="I10" s="9" t="s">
        <v>26</v>
      </c>
      <c r="J10" s="9">
        <v>65</v>
      </c>
      <c r="K10" s="9">
        <v>61</v>
      </c>
      <c r="L10" s="9" t="s">
        <v>26</v>
      </c>
      <c r="M10" s="9" t="s">
        <v>26</v>
      </c>
      <c r="N10" s="9" t="s">
        <v>26</v>
      </c>
      <c r="O10" s="10">
        <f t="shared" si="0"/>
        <v>1806</v>
      </c>
    </row>
    <row r="11" ht="20" customHeight="1" spans="1:15">
      <c r="A11" s="6">
        <v>5</v>
      </c>
      <c r="B11" s="6" t="s">
        <v>32</v>
      </c>
      <c r="C11" s="7" t="s">
        <v>22</v>
      </c>
      <c r="D11" s="7" t="s">
        <v>36</v>
      </c>
      <c r="E11" s="8" t="s">
        <v>37</v>
      </c>
      <c r="F11" s="6" t="s">
        <v>24</v>
      </c>
      <c r="G11" s="6" t="s">
        <v>38</v>
      </c>
      <c r="H11" s="9">
        <v>1680</v>
      </c>
      <c r="I11" s="9" t="s">
        <v>26</v>
      </c>
      <c r="J11" s="9" t="s">
        <v>26</v>
      </c>
      <c r="K11" s="9">
        <v>50</v>
      </c>
      <c r="L11" s="9" t="s">
        <v>26</v>
      </c>
      <c r="M11" s="9" t="s">
        <v>26</v>
      </c>
      <c r="N11" s="9" t="s">
        <v>26</v>
      </c>
      <c r="O11" s="10">
        <f t="shared" si="0"/>
        <v>1730</v>
      </c>
    </row>
    <row r="12" ht="20" customHeight="1" spans="1:15">
      <c r="A12" s="6">
        <v>6</v>
      </c>
      <c r="B12" s="6" t="s">
        <v>39</v>
      </c>
      <c r="C12" s="7" t="s">
        <v>22</v>
      </c>
      <c r="D12" s="7" t="s">
        <v>40</v>
      </c>
      <c r="E12" s="8" t="s">
        <v>41</v>
      </c>
      <c r="F12" s="6" t="s">
        <v>24</v>
      </c>
      <c r="G12" s="6" t="s">
        <v>42</v>
      </c>
      <c r="H12" s="9">
        <v>1680</v>
      </c>
      <c r="I12" s="9" t="s">
        <v>26</v>
      </c>
      <c r="J12" s="9">
        <v>49</v>
      </c>
      <c r="K12" s="9">
        <v>122</v>
      </c>
      <c r="L12" s="9" t="s">
        <v>26</v>
      </c>
      <c r="M12" s="9">
        <v>30</v>
      </c>
      <c r="N12" s="9" t="s">
        <v>26</v>
      </c>
      <c r="O12" s="10">
        <f t="shared" si="0"/>
        <v>1881</v>
      </c>
    </row>
    <row r="13" ht="20" customHeight="1" spans="1:15">
      <c r="A13" s="6">
        <v>7</v>
      </c>
      <c r="B13" s="6" t="s">
        <v>43</v>
      </c>
      <c r="C13" s="7" t="s">
        <v>22</v>
      </c>
      <c r="D13" s="7" t="s">
        <v>44</v>
      </c>
      <c r="E13" s="8" t="s">
        <v>37</v>
      </c>
      <c r="F13" s="6" t="s">
        <v>24</v>
      </c>
      <c r="G13" s="6" t="s">
        <v>45</v>
      </c>
      <c r="H13" s="9">
        <v>1680</v>
      </c>
      <c r="I13" s="9" t="s">
        <v>26</v>
      </c>
      <c r="J13" s="9">
        <v>68</v>
      </c>
      <c r="K13" s="9">
        <v>61</v>
      </c>
      <c r="L13" s="9" t="s">
        <v>26</v>
      </c>
      <c r="M13" s="9">
        <v>35</v>
      </c>
      <c r="N13" s="9" t="s">
        <v>26</v>
      </c>
      <c r="O13" s="10">
        <f t="shared" si="0"/>
        <v>1844</v>
      </c>
    </row>
    <row r="14" ht="20" customHeight="1" spans="1:15">
      <c r="A14" s="6">
        <v>8</v>
      </c>
      <c r="B14" s="6" t="s">
        <v>46</v>
      </c>
      <c r="C14" s="7" t="s">
        <v>22</v>
      </c>
      <c r="D14" s="7" t="s">
        <v>47</v>
      </c>
      <c r="E14" s="8" t="s">
        <v>48</v>
      </c>
      <c r="F14" s="6" t="s">
        <v>24</v>
      </c>
      <c r="G14" s="6" t="s">
        <v>49</v>
      </c>
      <c r="H14" s="9">
        <v>1680</v>
      </c>
      <c r="I14" s="9" t="s">
        <v>26</v>
      </c>
      <c r="J14" s="9">
        <v>61</v>
      </c>
      <c r="K14" s="9">
        <v>61</v>
      </c>
      <c r="L14" s="9" t="s">
        <v>26</v>
      </c>
      <c r="M14" s="9" t="s">
        <v>26</v>
      </c>
      <c r="N14" s="9" t="s">
        <v>26</v>
      </c>
      <c r="O14" s="10">
        <f t="shared" si="0"/>
        <v>1802</v>
      </c>
    </row>
    <row r="15" ht="20" customHeight="1" spans="1:15">
      <c r="A15" s="6">
        <v>9</v>
      </c>
      <c r="B15" s="6" t="s">
        <v>50</v>
      </c>
      <c r="C15" s="7" t="s">
        <v>22</v>
      </c>
      <c r="D15" s="7" t="s">
        <v>51</v>
      </c>
      <c r="E15" s="8" t="s">
        <v>52</v>
      </c>
      <c r="F15" s="6" t="s">
        <v>24</v>
      </c>
      <c r="G15" s="6" t="s">
        <v>53</v>
      </c>
      <c r="H15" s="9">
        <v>1680</v>
      </c>
      <c r="I15" s="9" t="s">
        <v>26</v>
      </c>
      <c r="J15" s="9">
        <v>54</v>
      </c>
      <c r="K15" s="9">
        <v>122</v>
      </c>
      <c r="L15" s="9" t="s">
        <v>26</v>
      </c>
      <c r="M15" s="9" t="s">
        <v>26</v>
      </c>
      <c r="N15" s="9" t="s">
        <v>26</v>
      </c>
      <c r="O15" s="10">
        <f t="shared" si="0"/>
        <v>1856</v>
      </c>
    </row>
    <row r="16" ht="20" customHeight="1" spans="1:15">
      <c r="A16" s="6">
        <v>10</v>
      </c>
      <c r="B16" s="6" t="s">
        <v>54</v>
      </c>
      <c r="C16" s="7" t="s">
        <v>22</v>
      </c>
      <c r="D16" s="7" t="s">
        <v>55</v>
      </c>
      <c r="E16" s="8" t="s">
        <v>56</v>
      </c>
      <c r="F16" s="6" t="s">
        <v>24</v>
      </c>
      <c r="G16" s="6" t="s">
        <v>57</v>
      </c>
      <c r="H16" s="9">
        <v>1680</v>
      </c>
      <c r="I16" s="9" t="s">
        <v>26</v>
      </c>
      <c r="J16" s="9">
        <v>63</v>
      </c>
      <c r="K16" s="9">
        <v>61</v>
      </c>
      <c r="L16" s="9" t="s">
        <v>26</v>
      </c>
      <c r="M16" s="9">
        <v>20</v>
      </c>
      <c r="N16" s="9" t="s">
        <v>26</v>
      </c>
      <c r="O16" s="10">
        <f t="shared" si="0"/>
        <v>1824</v>
      </c>
    </row>
    <row r="17" ht="20" customHeight="1" spans="1:15">
      <c r="A17" s="6">
        <v>11</v>
      </c>
      <c r="B17" s="6" t="s">
        <v>58</v>
      </c>
      <c r="C17" s="7" t="s">
        <v>22</v>
      </c>
      <c r="D17" s="7" t="s">
        <v>59</v>
      </c>
      <c r="E17" s="8" t="s">
        <v>60</v>
      </c>
      <c r="F17" s="6" t="s">
        <v>24</v>
      </c>
      <c r="G17" s="6" t="s">
        <v>61</v>
      </c>
      <c r="H17" s="9">
        <v>1680</v>
      </c>
      <c r="I17" s="9">
        <v>30</v>
      </c>
      <c r="J17" s="9" t="s">
        <v>26</v>
      </c>
      <c r="K17" s="9">
        <v>50</v>
      </c>
      <c r="L17" s="9" t="s">
        <v>26</v>
      </c>
      <c r="M17" s="9" t="s">
        <v>26</v>
      </c>
      <c r="N17" s="9">
        <v>30</v>
      </c>
      <c r="O17" s="10">
        <f t="shared" si="0"/>
        <v>1790</v>
      </c>
    </row>
    <row r="18" ht="20" customHeight="1" spans="1:15">
      <c r="A18" s="6">
        <v>12</v>
      </c>
      <c r="B18" s="6" t="s">
        <v>58</v>
      </c>
      <c r="C18" s="7" t="s">
        <v>22</v>
      </c>
      <c r="D18" s="7" t="s">
        <v>62</v>
      </c>
      <c r="E18" s="8" t="s">
        <v>63</v>
      </c>
      <c r="F18" s="6" t="s">
        <v>24</v>
      </c>
      <c r="G18" s="6" t="s">
        <v>64</v>
      </c>
      <c r="H18" s="9">
        <v>1680</v>
      </c>
      <c r="I18" s="9"/>
      <c r="J18" s="9">
        <v>63</v>
      </c>
      <c r="K18" s="9">
        <v>61</v>
      </c>
      <c r="L18" s="9"/>
      <c r="M18" s="9">
        <v>35</v>
      </c>
      <c r="N18" s="9"/>
      <c r="O18" s="10">
        <f t="shared" si="0"/>
        <v>1839</v>
      </c>
    </row>
    <row r="19" ht="20" customHeight="1" spans="1:15">
      <c r="A19" s="6">
        <v>13</v>
      </c>
      <c r="B19" s="6" t="s">
        <v>65</v>
      </c>
      <c r="C19" s="7" t="s">
        <v>22</v>
      </c>
      <c r="D19" s="7" t="s">
        <v>66</v>
      </c>
      <c r="E19" s="8" t="s">
        <v>60</v>
      </c>
      <c r="F19" s="6" t="s">
        <v>24</v>
      </c>
      <c r="G19" s="6" t="s">
        <v>67</v>
      </c>
      <c r="H19" s="9">
        <v>1680</v>
      </c>
      <c r="I19" s="9" t="s">
        <v>26</v>
      </c>
      <c r="J19" s="9">
        <v>61</v>
      </c>
      <c r="K19" s="9">
        <v>61</v>
      </c>
      <c r="L19" s="9" t="s">
        <v>26</v>
      </c>
      <c r="M19" s="9">
        <v>25</v>
      </c>
      <c r="N19" s="9" t="s">
        <v>26</v>
      </c>
      <c r="O19" s="10">
        <f t="shared" si="0"/>
        <v>1827</v>
      </c>
    </row>
    <row r="20" ht="20" customHeight="1" spans="1:15">
      <c r="A20" s="6">
        <v>14</v>
      </c>
      <c r="B20" s="6" t="s">
        <v>68</v>
      </c>
      <c r="C20" s="7" t="s">
        <v>22</v>
      </c>
      <c r="D20" s="7" t="s">
        <v>69</v>
      </c>
      <c r="E20" s="8" t="s">
        <v>70</v>
      </c>
      <c r="F20" s="6" t="s">
        <v>24</v>
      </c>
      <c r="G20" s="6" t="s">
        <v>71</v>
      </c>
      <c r="H20" s="9">
        <v>1680</v>
      </c>
      <c r="I20" s="9" t="s">
        <v>26</v>
      </c>
      <c r="J20" s="9">
        <v>50</v>
      </c>
      <c r="K20" s="9">
        <v>67</v>
      </c>
      <c r="L20" s="9">
        <v>62</v>
      </c>
      <c r="M20" s="9" t="s">
        <v>26</v>
      </c>
      <c r="N20" s="9" t="s">
        <v>26</v>
      </c>
      <c r="O20" s="10">
        <f t="shared" si="0"/>
        <v>1859</v>
      </c>
    </row>
    <row r="21" ht="20" customHeight="1" spans="1:15">
      <c r="A21" s="6">
        <v>16</v>
      </c>
      <c r="B21" s="6" t="s">
        <v>72</v>
      </c>
      <c r="C21" s="7" t="s">
        <v>22</v>
      </c>
      <c r="D21" s="7" t="s">
        <v>73</v>
      </c>
      <c r="E21" s="8" t="s">
        <v>74</v>
      </c>
      <c r="F21" s="6" t="s">
        <v>75</v>
      </c>
      <c r="G21" s="6" t="s">
        <v>76</v>
      </c>
      <c r="H21" s="9">
        <v>1080</v>
      </c>
      <c r="I21" s="9" t="s">
        <v>26</v>
      </c>
      <c r="J21" s="9">
        <v>47</v>
      </c>
      <c r="K21" s="9">
        <v>61</v>
      </c>
      <c r="L21" s="9" t="s">
        <v>26</v>
      </c>
      <c r="M21" s="9" t="s">
        <v>26</v>
      </c>
      <c r="N21" s="9" t="s">
        <v>26</v>
      </c>
      <c r="O21" s="10">
        <f>SUM(H21:N21)</f>
        <v>1188</v>
      </c>
    </row>
    <row r="22" ht="29" customHeight="1" spans="1:15">
      <c r="A22" s="6">
        <v>17</v>
      </c>
      <c r="B22" s="6" t="s">
        <v>72</v>
      </c>
      <c r="C22" s="7" t="s">
        <v>22</v>
      </c>
      <c r="D22" s="7" t="s">
        <v>77</v>
      </c>
      <c r="E22" s="8" t="s">
        <v>78</v>
      </c>
      <c r="F22" s="6" t="s">
        <v>24</v>
      </c>
      <c r="G22" s="6" t="s">
        <v>79</v>
      </c>
      <c r="H22" s="9">
        <v>1680</v>
      </c>
      <c r="I22" s="9" t="s">
        <v>26</v>
      </c>
      <c r="J22" s="9">
        <v>60</v>
      </c>
      <c r="K22" s="9">
        <v>61</v>
      </c>
      <c r="L22" s="9" t="s">
        <v>26</v>
      </c>
      <c r="M22" s="9" t="s">
        <v>26</v>
      </c>
      <c r="N22" s="9" t="s">
        <v>26</v>
      </c>
      <c r="O22" s="10">
        <f>SUM(H22:N22)</f>
        <v>1801</v>
      </c>
    </row>
    <row r="23" customFormat="1" ht="29" customHeight="1" spans="1:15">
      <c r="A23" s="11" t="s">
        <v>80</v>
      </c>
      <c r="B23" s="12"/>
      <c r="C23" s="12"/>
      <c r="D23" s="13"/>
      <c r="E23" s="12"/>
      <c r="F23" s="12"/>
      <c r="G23" s="14"/>
      <c r="H23" s="6"/>
      <c r="I23" s="6"/>
      <c r="J23" s="6"/>
      <c r="K23" s="6"/>
      <c r="L23" s="6"/>
      <c r="M23" s="6"/>
      <c r="N23" s="6"/>
      <c r="O23" s="10">
        <v>-275</v>
      </c>
    </row>
    <row r="24" ht="29" customHeight="1" spans="1:15">
      <c r="A24" s="11" t="s">
        <v>81</v>
      </c>
      <c r="B24" s="12"/>
      <c r="C24" s="12"/>
      <c r="D24" s="13"/>
      <c r="E24" s="12"/>
      <c r="F24" s="12"/>
      <c r="G24" s="14"/>
      <c r="H24" s="6"/>
      <c r="I24" s="6"/>
      <c r="J24" s="6"/>
      <c r="K24" s="6"/>
      <c r="L24" s="6"/>
      <c r="M24" s="6"/>
      <c r="N24" s="6"/>
      <c r="O24" s="10">
        <v>-275</v>
      </c>
    </row>
    <row r="25" ht="20" customHeight="1" spans="1:15">
      <c r="A25" s="15" t="s">
        <v>82</v>
      </c>
      <c r="B25" s="16"/>
      <c r="C25" s="16"/>
      <c r="D25" s="16"/>
      <c r="E25" s="16"/>
      <c r="F25" s="16"/>
      <c r="G25" s="17"/>
      <c r="H25" s="9">
        <f t="shared" ref="H25:O25" si="1">SUM(H7:H22)</f>
        <v>26280</v>
      </c>
      <c r="I25" s="9">
        <f t="shared" si="1"/>
        <v>185</v>
      </c>
      <c r="J25" s="9">
        <f t="shared" si="1"/>
        <v>815</v>
      </c>
      <c r="K25" s="9">
        <f t="shared" si="1"/>
        <v>992</v>
      </c>
      <c r="L25" s="9">
        <f t="shared" si="1"/>
        <v>62</v>
      </c>
      <c r="M25" s="9">
        <f t="shared" si="1"/>
        <v>215</v>
      </c>
      <c r="N25" s="9">
        <f t="shared" si="1"/>
        <v>30</v>
      </c>
      <c r="O25" s="18">
        <f>SUM(O3:O24)</f>
        <v>28029</v>
      </c>
    </row>
  </sheetData>
  <mergeCells count="9">
    <mergeCell ref="A1:O1"/>
    <mergeCell ref="A2:O2"/>
    <mergeCell ref="A3:O3"/>
    <mergeCell ref="A4:O4"/>
    <mergeCell ref="A5:J5"/>
    <mergeCell ref="K5:O5"/>
    <mergeCell ref="A23:N23"/>
    <mergeCell ref="A24:N24"/>
    <mergeCell ref="A25:G25"/>
  </mergeCells>
  <printOptions horizontalCentered="1"/>
  <pageMargins left="0.2" right="0" top="0.2" bottom="0" header="0" footer="0"/>
  <pageSetup paperSize="9" fitToWidth="0" fitToHeight="0" orientation="landscape" horizontalDpi="300" verticalDpi="300"/>
  <headerFooter alignWithMargins="0" scaleWithDoc="0"/>
  <ignoredErrors>
    <ignoredError sqref="B17:O17 L8:O9 E7:O7 A7:C7 A1:O6 A25:N25 B20:O22 E19:O19 B19:C19 E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陆总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刘劭勇</cp:lastModifiedBy>
  <dcterms:created xsi:type="dcterms:W3CDTF">2025-12-11T08:14:00Z</dcterms:created>
  <dcterms:modified xsi:type="dcterms:W3CDTF">2026-01-22T06:04:32Z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566EE43DBB164F07A815A41A618B727A_13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