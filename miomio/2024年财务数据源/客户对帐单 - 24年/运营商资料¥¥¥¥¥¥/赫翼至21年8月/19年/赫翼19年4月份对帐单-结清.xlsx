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5"/>
  </bookViews>
  <sheets>
    <sheet name="总欠" sheetId="1" r:id="rId1"/>
    <sheet name="5月8日公帐支付" sheetId="2" r:id="rId2"/>
    <sheet name="5月16日公帐支付" sheetId="3" r:id="rId3"/>
    <sheet name="5月22日公帐支付" sheetId="4" r:id="rId4"/>
    <sheet name="6月12月私帐支付" sheetId="5" r:id="rId5"/>
    <sheet name="6月18日公帐支付" sheetId="6" r:id="rId6"/>
  </sheets>
  <calcPr calcId="144525"/>
</workbook>
</file>

<file path=xl/sharedStrings.xml><?xml version="1.0" encoding="utf-8"?>
<sst xmlns="http://schemas.openxmlformats.org/spreadsheetml/2006/main" count="164" uniqueCount="41">
  <si>
    <t>广州赫翼国际货运代理有限公司</t>
  </si>
  <si>
    <t>四月份对账单</t>
  </si>
  <si>
    <r>
      <rPr>
        <sz val="10"/>
        <color indexed="8"/>
        <rFont val="Arial"/>
        <charset val="0"/>
      </rPr>
      <t>TO</t>
    </r>
    <r>
      <rPr>
        <sz val="10"/>
        <color indexed="8"/>
        <rFont val="宋体"/>
        <charset val="134"/>
      </rPr>
      <t>：</t>
    </r>
  </si>
  <si>
    <t>广州喵喵国际货运代理有限公司</t>
  </si>
  <si>
    <r>
      <rPr>
        <sz val="10"/>
        <color indexed="8"/>
        <rFont val="Arial"/>
        <charset val="0"/>
      </rPr>
      <t>TEL</t>
    </r>
    <r>
      <rPr>
        <sz val="10"/>
        <color indexed="8"/>
        <rFont val="宋体"/>
        <charset val="134"/>
      </rPr>
      <t>：</t>
    </r>
  </si>
  <si>
    <t>13570217212</t>
  </si>
  <si>
    <r>
      <rPr>
        <sz val="10"/>
        <color indexed="8"/>
        <rFont val="宋体"/>
        <charset val="134"/>
      </rPr>
      <t>页</t>
    </r>
    <r>
      <rPr>
        <sz val="10"/>
        <color indexed="8"/>
        <rFont val="Arial"/>
        <charset val="0"/>
      </rPr>
      <t xml:space="preserve">    </t>
    </r>
    <r>
      <rPr>
        <sz val="10"/>
        <color indexed="8"/>
        <rFont val="宋体"/>
        <charset val="134"/>
      </rPr>
      <t>码</t>
    </r>
    <r>
      <rPr>
        <sz val="10"/>
        <color indexed="8"/>
        <rFont val="Arial"/>
        <charset val="0"/>
      </rPr>
      <t>:</t>
    </r>
  </si>
  <si>
    <t>Page 1 of 1</t>
  </si>
  <si>
    <r>
      <rPr>
        <sz val="10"/>
        <color indexed="8"/>
        <rFont val="Arial"/>
        <charset val="0"/>
      </rPr>
      <t>FAX</t>
    </r>
    <r>
      <rPr>
        <sz val="10"/>
        <color indexed="8"/>
        <rFont val="宋体"/>
        <charset val="134"/>
      </rPr>
      <t>：</t>
    </r>
  </si>
  <si>
    <r>
      <rPr>
        <sz val="10"/>
        <color indexed="8"/>
        <rFont val="宋体"/>
        <charset val="134"/>
      </rPr>
      <t>制单日期</t>
    </r>
    <r>
      <rPr>
        <sz val="10"/>
        <color indexed="8"/>
        <rFont val="Arial"/>
        <charset val="0"/>
      </rPr>
      <t>:</t>
    </r>
  </si>
  <si>
    <t>2019.MAY.05</t>
  </si>
  <si>
    <t>DATA</t>
  </si>
  <si>
    <t>JOB NO.</t>
  </si>
  <si>
    <t>BILL NO.</t>
  </si>
  <si>
    <t>航班</t>
  </si>
  <si>
    <t>币种</t>
  </si>
  <si>
    <t>应收/应付金额</t>
  </si>
  <si>
    <t>备注</t>
  </si>
  <si>
    <t>CL201904262</t>
  </si>
  <si>
    <t>071-33896715</t>
  </si>
  <si>
    <t>RMB</t>
  </si>
  <si>
    <t>EVG201904090</t>
  </si>
  <si>
    <t>176-09985323</t>
  </si>
  <si>
    <t>EVG201904091</t>
  </si>
  <si>
    <t>176-09985021</t>
  </si>
  <si>
    <t>EVG201904092</t>
  </si>
  <si>
    <t>176-09942881</t>
  </si>
  <si>
    <t>EVG201904139</t>
  </si>
  <si>
    <t>176-09942870</t>
  </si>
  <si>
    <t>EVG201904216</t>
  </si>
  <si>
    <t>176-72365786</t>
  </si>
  <si>
    <t>EVG201904273</t>
  </si>
  <si>
    <t>176-72393930</t>
  </si>
  <si>
    <t>EVG201904283</t>
  </si>
  <si>
    <t>176-09942892</t>
  </si>
  <si>
    <t>EVG201904335</t>
  </si>
  <si>
    <t>176-72395654</t>
  </si>
  <si>
    <t>EVG201904390</t>
  </si>
  <si>
    <t>176-72246775</t>
  </si>
  <si>
    <t>合计</t>
  </si>
  <si>
    <t>支付：赫翼清单</t>
  </si>
</sst>
</file>

<file path=xl/styles.xml><?xml version="1.0" encoding="utf-8"?>
<styleSheet xmlns="http://schemas.openxmlformats.org/spreadsheetml/2006/main">
  <numFmts count="7">
    <numFmt numFmtId="176" formatCode="yyyy/mm/dd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&quot;JOB&quot;000000"/>
    <numFmt numFmtId="41" formatCode="_ * #,##0_ ;_ * \-#,##0_ ;_ * &quot;-&quot;_ ;_ @_ "/>
    <numFmt numFmtId="43" formatCode="_ * #,##0.00_ ;_ * \-#,##0.00_ ;_ * &quot;-&quot;??_ ;_ @_ "/>
    <numFmt numFmtId="178" formatCode="&quot;￥&quot;#,##0.00_);[Red]\(&quot;￥&quot;#,##0.00\)"/>
  </numFmts>
  <fonts count="29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12"/>
      <color indexed="8"/>
      <name val="Arial"/>
      <charset val="0"/>
    </font>
    <font>
      <sz val="10"/>
      <color indexed="8"/>
      <name val="Arial"/>
      <charset val="0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3" fillId="2" borderId="4" applyNumberFormat="0" applyAlignment="0" applyProtection="0">
      <alignment vertical="center"/>
    </xf>
    <xf numFmtId="0" fontId="24" fillId="2" borderId="5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49" fontId="9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right" vertical="center"/>
    </xf>
    <xf numFmtId="177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E29" sqref="E29"/>
    </sheetView>
  </sheetViews>
  <sheetFormatPr defaultColWidth="9" defaultRowHeight="13.5"/>
  <cols>
    <col min="1" max="1" width="14.5166666666667" customWidth="1"/>
    <col min="2" max="2" width="15.0583333333333" customWidth="1"/>
    <col min="3" max="3" width="13.225" customWidth="1"/>
    <col min="4" max="4" width="6.34166666666667" customWidth="1"/>
    <col min="5" max="5" width="6.20833333333333" customWidth="1"/>
    <col min="6" max="6" width="14.8916666666667" customWidth="1"/>
    <col min="7" max="7" width="14.7083333333333" customWidth="1"/>
  </cols>
  <sheetData>
    <row r="1" s="13" customFormat="1" ht="34" customHeight="1" spans="1:9">
      <c r="A1" s="15" t="s">
        <v>0</v>
      </c>
      <c r="B1" s="15"/>
      <c r="C1" s="15"/>
      <c r="D1" s="15"/>
      <c r="E1" s="15"/>
      <c r="F1" s="15"/>
      <c r="G1" s="15"/>
      <c r="H1" s="16"/>
      <c r="I1" s="16"/>
    </row>
    <row r="2" s="13" customFormat="1" ht="24" customHeight="1" spans="1:7">
      <c r="A2" s="17" t="s">
        <v>1</v>
      </c>
      <c r="B2" s="18"/>
      <c r="C2" s="18"/>
      <c r="D2" s="18"/>
      <c r="E2" s="18"/>
      <c r="F2" s="18"/>
      <c r="G2" s="18"/>
    </row>
    <row r="3" s="14" customFormat="1" ht="18" customHeight="1" spans="1:7">
      <c r="A3" s="19" t="s">
        <v>2</v>
      </c>
      <c r="B3" s="20" t="s">
        <v>3</v>
      </c>
      <c r="C3" s="21"/>
      <c r="D3" s="21"/>
      <c r="E3" s="21"/>
      <c r="F3" s="21"/>
      <c r="G3" s="21"/>
    </row>
    <row r="4" s="14" customFormat="1" ht="18" customHeight="1" spans="1:7">
      <c r="A4" s="19" t="s">
        <v>4</v>
      </c>
      <c r="B4" s="21" t="s">
        <v>5</v>
      </c>
      <c r="C4" s="21"/>
      <c r="D4" s="21"/>
      <c r="E4" s="21"/>
      <c r="F4" s="22" t="s">
        <v>6</v>
      </c>
      <c r="G4" s="21" t="s">
        <v>7</v>
      </c>
    </row>
    <row r="5" s="14" customFormat="1" ht="18" customHeight="1" spans="1:7">
      <c r="A5" s="19" t="s">
        <v>8</v>
      </c>
      <c r="B5" s="21"/>
      <c r="C5" s="21"/>
      <c r="D5" s="21"/>
      <c r="E5" s="21"/>
      <c r="F5" s="22" t="s">
        <v>9</v>
      </c>
      <c r="G5" s="21" t="s">
        <v>10</v>
      </c>
    </row>
    <row r="6" s="1" customFormat="1" ht="17" customHeight="1" spans="1:7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</row>
    <row r="7" s="2" customFormat="1" ht="17" customHeight="1" spans="1:7">
      <c r="A7" s="5">
        <v>43566</v>
      </c>
      <c r="B7" s="6" t="s">
        <v>18</v>
      </c>
      <c r="C7" s="6" t="s">
        <v>19</v>
      </c>
      <c r="D7" s="7">
        <v>3685</v>
      </c>
      <c r="E7" s="8" t="s">
        <v>20</v>
      </c>
      <c r="F7" s="9">
        <v>10502</v>
      </c>
      <c r="G7" s="10">
        <v>40089</v>
      </c>
    </row>
    <row r="8" s="2" customFormat="1" ht="17" customHeight="1" spans="1:7">
      <c r="A8" s="5">
        <v>43565</v>
      </c>
      <c r="B8" s="6" t="s">
        <v>21</v>
      </c>
      <c r="C8" s="6" t="s">
        <v>22</v>
      </c>
      <c r="D8" s="7">
        <v>9143</v>
      </c>
      <c r="E8" s="8" t="s">
        <v>20</v>
      </c>
      <c r="F8" s="9">
        <v>10297.7</v>
      </c>
      <c r="G8" s="10">
        <v>40073</v>
      </c>
    </row>
    <row r="9" s="2" customFormat="1" ht="17" customHeight="1" spans="1:7">
      <c r="A9" s="5">
        <v>43564.7006597222</v>
      </c>
      <c r="B9" s="6" t="s">
        <v>23</v>
      </c>
      <c r="C9" s="6" t="s">
        <v>24</v>
      </c>
      <c r="D9" s="7">
        <v>9143</v>
      </c>
      <c r="E9" s="8" t="s">
        <v>20</v>
      </c>
      <c r="F9" s="9">
        <v>22005</v>
      </c>
      <c r="G9" s="10">
        <v>40069</v>
      </c>
    </row>
    <row r="10" s="2" customFormat="1" ht="17" customHeight="1" spans="1:7">
      <c r="A10" s="5">
        <v>43562</v>
      </c>
      <c r="B10" s="6" t="s">
        <v>25</v>
      </c>
      <c r="C10" s="6" t="s">
        <v>26</v>
      </c>
      <c r="D10" s="7">
        <v>9285</v>
      </c>
      <c r="E10" s="8" t="s">
        <v>20</v>
      </c>
      <c r="F10" s="9">
        <v>71137.5</v>
      </c>
      <c r="G10" s="10">
        <v>40076</v>
      </c>
    </row>
    <row r="11" s="2" customFormat="1" ht="17" customHeight="1" spans="1:7">
      <c r="A11" s="5">
        <v>43569</v>
      </c>
      <c r="B11" s="6" t="s">
        <v>27</v>
      </c>
      <c r="C11" s="6" t="s">
        <v>28</v>
      </c>
      <c r="D11" s="7">
        <v>9283</v>
      </c>
      <c r="E11" s="8" t="s">
        <v>20</v>
      </c>
      <c r="F11" s="9">
        <v>55875</v>
      </c>
      <c r="G11" s="10">
        <v>40095</v>
      </c>
    </row>
    <row r="12" s="2" customFormat="1" ht="17" customHeight="1" spans="1:7">
      <c r="A12" s="5">
        <v>43574.7595486111</v>
      </c>
      <c r="B12" s="6" t="s">
        <v>29</v>
      </c>
      <c r="C12" s="6" t="s">
        <v>30</v>
      </c>
      <c r="D12" s="7">
        <v>9283</v>
      </c>
      <c r="E12" s="8" t="s">
        <v>20</v>
      </c>
      <c r="F12" s="9">
        <v>22543.2</v>
      </c>
      <c r="G12" s="10">
        <v>40110</v>
      </c>
    </row>
    <row r="13" s="2" customFormat="1" ht="17" customHeight="1" spans="1:7">
      <c r="A13" s="5">
        <v>43577.7226967593</v>
      </c>
      <c r="B13" s="6" t="s">
        <v>31</v>
      </c>
      <c r="C13" s="6" t="s">
        <v>32</v>
      </c>
      <c r="D13" s="7">
        <v>9283</v>
      </c>
      <c r="E13" s="8" t="s">
        <v>20</v>
      </c>
      <c r="F13" s="9">
        <v>4320</v>
      </c>
      <c r="G13" s="10">
        <v>40113</v>
      </c>
    </row>
    <row r="14" s="2" customFormat="1" ht="17" customHeight="1" spans="1:7">
      <c r="A14" s="5">
        <v>43578.7440625</v>
      </c>
      <c r="B14" s="6" t="s">
        <v>33</v>
      </c>
      <c r="C14" s="6" t="s">
        <v>34</v>
      </c>
      <c r="D14" s="7">
        <v>9141</v>
      </c>
      <c r="E14" s="8" t="s">
        <v>20</v>
      </c>
      <c r="F14" s="9">
        <v>60138</v>
      </c>
      <c r="G14" s="10">
        <v>40123</v>
      </c>
    </row>
    <row r="15" s="2" customFormat="1" ht="17" customHeight="1" spans="1:7">
      <c r="A15" s="5">
        <v>43581.4923263889</v>
      </c>
      <c r="B15" s="6" t="s">
        <v>35</v>
      </c>
      <c r="C15" s="6" t="s">
        <v>36</v>
      </c>
      <c r="D15" s="7">
        <v>9841</v>
      </c>
      <c r="E15" s="8" t="s">
        <v>20</v>
      </c>
      <c r="F15" s="9">
        <v>5940</v>
      </c>
      <c r="G15" s="10">
        <v>40124</v>
      </c>
    </row>
    <row r="16" s="2" customFormat="1" ht="17" customHeight="1" spans="1:7">
      <c r="A16" s="5">
        <v>43584.7712037037</v>
      </c>
      <c r="B16" s="6" t="s">
        <v>37</v>
      </c>
      <c r="C16" s="6" t="s">
        <v>38</v>
      </c>
      <c r="D16" s="7">
        <v>9823</v>
      </c>
      <c r="E16" s="8" t="s">
        <v>20</v>
      </c>
      <c r="F16" s="9">
        <v>7904</v>
      </c>
      <c r="G16" s="10">
        <v>40134</v>
      </c>
    </row>
    <row r="17" s="2" customFormat="1" ht="17" customHeight="1" spans="1:7">
      <c r="A17" s="11" t="s">
        <v>39</v>
      </c>
      <c r="B17" s="11"/>
      <c r="C17" s="11"/>
      <c r="D17" s="11"/>
      <c r="E17" s="11"/>
      <c r="F17" s="12">
        <f>SUM(F7:F16)</f>
        <v>270662.4</v>
      </c>
      <c r="G17" s="11"/>
    </row>
    <row r="18" ht="27" customHeight="1"/>
    <row r="19" ht="27" customHeight="1"/>
  </sheetData>
  <mergeCells count="5">
    <mergeCell ref="A1:G1"/>
    <mergeCell ref="A2:G2"/>
    <mergeCell ref="B3:G3"/>
    <mergeCell ref="B4:E4"/>
    <mergeCell ref="B5:E5"/>
  </mergeCells>
  <pageMargins left="0.75" right="0.75" top="0.275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E18" sqref="E18"/>
    </sheetView>
  </sheetViews>
  <sheetFormatPr defaultColWidth="9" defaultRowHeight="13.5"/>
  <cols>
    <col min="1" max="1" width="14.5166666666667" customWidth="1"/>
    <col min="2" max="2" width="15.0583333333333" customWidth="1"/>
    <col min="3" max="3" width="13.225" customWidth="1"/>
    <col min="4" max="4" width="6.34166666666667" customWidth="1"/>
    <col min="5" max="5" width="6.20833333333333" customWidth="1"/>
    <col min="6" max="6" width="14.8916666666667" customWidth="1"/>
    <col min="7" max="7" width="14.7083333333333" customWidth="1"/>
  </cols>
  <sheetData>
    <row r="1" s="13" customFormat="1" ht="34" customHeight="1" spans="1:9">
      <c r="A1" s="15" t="s">
        <v>0</v>
      </c>
      <c r="B1" s="15"/>
      <c r="C1" s="15"/>
      <c r="D1" s="15"/>
      <c r="E1" s="15"/>
      <c r="F1" s="15"/>
      <c r="G1" s="15"/>
      <c r="H1" s="16"/>
      <c r="I1" s="16"/>
    </row>
    <row r="2" s="13" customFormat="1" ht="24" customHeight="1" spans="1:7">
      <c r="A2" s="17" t="s">
        <v>1</v>
      </c>
      <c r="B2" s="18"/>
      <c r="C2" s="18"/>
      <c r="D2" s="18"/>
      <c r="E2" s="18"/>
      <c r="F2" s="18"/>
      <c r="G2" s="18"/>
    </row>
    <row r="3" s="14" customFormat="1" ht="18" customHeight="1" spans="1:7">
      <c r="A3" s="19" t="s">
        <v>2</v>
      </c>
      <c r="B3" s="20" t="s">
        <v>3</v>
      </c>
      <c r="C3" s="21"/>
      <c r="D3" s="21"/>
      <c r="E3" s="21"/>
      <c r="F3" s="21"/>
      <c r="G3" s="21"/>
    </row>
    <row r="4" s="14" customFormat="1" ht="18" customHeight="1" spans="1:7">
      <c r="A4" s="19" t="s">
        <v>4</v>
      </c>
      <c r="B4" s="21" t="s">
        <v>5</v>
      </c>
      <c r="C4" s="21"/>
      <c r="D4" s="21"/>
      <c r="E4" s="21"/>
      <c r="F4" s="22" t="s">
        <v>6</v>
      </c>
      <c r="G4" s="21" t="s">
        <v>7</v>
      </c>
    </row>
    <row r="5" s="14" customFormat="1" ht="18" customHeight="1" spans="1:7">
      <c r="A5" s="19" t="s">
        <v>8</v>
      </c>
      <c r="B5" s="21"/>
      <c r="C5" s="21"/>
      <c r="D5" s="21"/>
      <c r="E5" s="21"/>
      <c r="F5" s="22" t="s">
        <v>9</v>
      </c>
      <c r="G5" s="21" t="s">
        <v>10</v>
      </c>
    </row>
    <row r="6" s="1" customFormat="1" ht="17" customHeight="1" spans="1:7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</row>
    <row r="7" s="2" customFormat="1" ht="24" customHeight="1" spans="1:7">
      <c r="A7" s="5">
        <v>43566</v>
      </c>
      <c r="B7" s="6" t="s">
        <v>18</v>
      </c>
      <c r="C7" s="6" t="s">
        <v>19</v>
      </c>
      <c r="D7" s="7">
        <v>3685</v>
      </c>
      <c r="E7" s="8" t="s">
        <v>20</v>
      </c>
      <c r="F7" s="9">
        <v>10502</v>
      </c>
      <c r="G7" s="23">
        <v>40089</v>
      </c>
    </row>
    <row r="8" s="2" customFormat="1" ht="24" customHeight="1" spans="1:7">
      <c r="A8" s="5">
        <v>43565</v>
      </c>
      <c r="B8" s="6" t="s">
        <v>21</v>
      </c>
      <c r="C8" s="6" t="s">
        <v>22</v>
      </c>
      <c r="D8" s="7">
        <v>9143</v>
      </c>
      <c r="E8" s="8" t="s">
        <v>20</v>
      </c>
      <c r="F8" s="9">
        <v>10297.7</v>
      </c>
      <c r="G8" s="23">
        <v>40073</v>
      </c>
    </row>
    <row r="9" s="2" customFormat="1" ht="24" customHeight="1" spans="1:7">
      <c r="A9" s="5">
        <v>43564.7006597222</v>
      </c>
      <c r="B9" s="6" t="s">
        <v>23</v>
      </c>
      <c r="C9" s="6" t="s">
        <v>24</v>
      </c>
      <c r="D9" s="7">
        <v>9143</v>
      </c>
      <c r="E9" s="8" t="s">
        <v>20</v>
      </c>
      <c r="F9" s="9">
        <v>22005</v>
      </c>
      <c r="G9" s="23">
        <v>40069</v>
      </c>
    </row>
    <row r="10" s="2" customFormat="1" ht="24" customHeight="1" spans="1:7">
      <c r="A10" s="5">
        <v>43562</v>
      </c>
      <c r="B10" s="6" t="s">
        <v>25</v>
      </c>
      <c r="C10" s="6" t="s">
        <v>26</v>
      </c>
      <c r="D10" s="7">
        <v>9285</v>
      </c>
      <c r="E10" s="8" t="s">
        <v>20</v>
      </c>
      <c r="F10" s="9">
        <v>71137.5</v>
      </c>
      <c r="G10" s="23">
        <v>40076</v>
      </c>
    </row>
    <row r="11" s="2" customFormat="1" ht="24" customHeight="1" spans="1:7">
      <c r="A11" s="11" t="s">
        <v>39</v>
      </c>
      <c r="B11" s="11"/>
      <c r="C11" s="11"/>
      <c r="D11" s="11"/>
      <c r="E11" s="11"/>
      <c r="F11" s="12">
        <f>SUM(F7:F10)</f>
        <v>113942.2</v>
      </c>
      <c r="G11" s="11"/>
    </row>
    <row r="12" ht="27" customHeight="1"/>
    <row r="13" ht="27" customHeight="1"/>
  </sheetData>
  <mergeCells count="5">
    <mergeCell ref="A1:G1"/>
    <mergeCell ref="A2:G2"/>
    <mergeCell ref="B3:G3"/>
    <mergeCell ref="B4:E4"/>
    <mergeCell ref="B5:E5"/>
  </mergeCells>
  <pageMargins left="0.75" right="0.75" top="0.275" bottom="1" header="0.196527777777778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E15" sqref="E15"/>
    </sheetView>
  </sheetViews>
  <sheetFormatPr defaultColWidth="9" defaultRowHeight="13.5"/>
  <cols>
    <col min="1" max="1" width="14.5166666666667" customWidth="1"/>
    <col min="2" max="2" width="15.0583333333333" customWidth="1"/>
    <col min="3" max="3" width="13.225" customWidth="1"/>
    <col min="4" max="4" width="6.34166666666667" customWidth="1"/>
    <col min="5" max="5" width="6.20833333333333" customWidth="1"/>
    <col min="6" max="6" width="14.8916666666667" customWidth="1"/>
    <col min="7" max="7" width="14.7083333333333" customWidth="1"/>
  </cols>
  <sheetData>
    <row r="1" s="13" customFormat="1" ht="34" customHeight="1" spans="1:9">
      <c r="A1" s="15" t="s">
        <v>0</v>
      </c>
      <c r="B1" s="15"/>
      <c r="C1" s="15"/>
      <c r="D1" s="15"/>
      <c r="E1" s="15"/>
      <c r="F1" s="15"/>
      <c r="G1" s="15"/>
      <c r="H1" s="16"/>
      <c r="I1" s="16"/>
    </row>
    <row r="2" s="13" customFormat="1" ht="24" customHeight="1" spans="1:7">
      <c r="A2" s="17" t="s">
        <v>1</v>
      </c>
      <c r="B2" s="18"/>
      <c r="C2" s="18"/>
      <c r="D2" s="18"/>
      <c r="E2" s="18"/>
      <c r="F2" s="18"/>
      <c r="G2" s="18"/>
    </row>
    <row r="3" s="14" customFormat="1" ht="18" customHeight="1" spans="1:7">
      <c r="A3" s="19" t="s">
        <v>2</v>
      </c>
      <c r="B3" s="20" t="s">
        <v>3</v>
      </c>
      <c r="C3" s="21"/>
      <c r="D3" s="21"/>
      <c r="E3" s="21"/>
      <c r="F3" s="21"/>
      <c r="G3" s="21"/>
    </row>
    <row r="4" s="14" customFormat="1" ht="18" customHeight="1" spans="1:7">
      <c r="A4" s="19" t="s">
        <v>4</v>
      </c>
      <c r="B4" s="21" t="s">
        <v>5</v>
      </c>
      <c r="C4" s="21"/>
      <c r="D4" s="21"/>
      <c r="E4" s="21"/>
      <c r="F4" s="22" t="s">
        <v>6</v>
      </c>
      <c r="G4" s="21" t="s">
        <v>7</v>
      </c>
    </row>
    <row r="5" s="14" customFormat="1" ht="18" customHeight="1" spans="1:7">
      <c r="A5" s="19" t="s">
        <v>8</v>
      </c>
      <c r="B5" s="21"/>
      <c r="C5" s="21"/>
      <c r="D5" s="21"/>
      <c r="E5" s="21"/>
      <c r="F5" s="22" t="s">
        <v>9</v>
      </c>
      <c r="G5" s="21" t="s">
        <v>10</v>
      </c>
    </row>
    <row r="6" s="1" customFormat="1" ht="17" customHeight="1" spans="1:7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</row>
    <row r="7" s="2" customFormat="1" ht="61" customHeight="1" spans="1:7">
      <c r="A7" s="5">
        <v>43569</v>
      </c>
      <c r="B7" s="6" t="s">
        <v>27</v>
      </c>
      <c r="C7" s="6" t="s">
        <v>28</v>
      </c>
      <c r="D7" s="7">
        <v>9283</v>
      </c>
      <c r="E7" s="8" t="s">
        <v>20</v>
      </c>
      <c r="F7" s="9">
        <v>55875</v>
      </c>
      <c r="G7" s="23">
        <v>40095</v>
      </c>
    </row>
    <row r="8" s="2" customFormat="1" ht="31" customHeight="1" spans="1:7">
      <c r="A8" s="11" t="s">
        <v>39</v>
      </c>
      <c r="B8" s="11"/>
      <c r="C8" s="11"/>
      <c r="D8" s="11"/>
      <c r="E8" s="11"/>
      <c r="F8" s="12">
        <f>SUM(F7:F7)</f>
        <v>55875</v>
      </c>
      <c r="G8" s="11"/>
    </row>
    <row r="9" ht="27" customHeight="1"/>
    <row r="10" ht="27" customHeight="1"/>
  </sheetData>
  <mergeCells count="5">
    <mergeCell ref="A1:G1"/>
    <mergeCell ref="A2:G2"/>
    <mergeCell ref="B3:G3"/>
    <mergeCell ref="B4:E4"/>
    <mergeCell ref="B5:E5"/>
  </mergeCells>
  <pageMargins left="0.75" right="0.75" top="0.275" bottom="1" header="0.196527777777778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F7" sqref="F7"/>
    </sheetView>
  </sheetViews>
  <sheetFormatPr defaultColWidth="9" defaultRowHeight="13.5"/>
  <cols>
    <col min="1" max="1" width="14.5166666666667" customWidth="1"/>
    <col min="2" max="2" width="15.0583333333333" customWidth="1"/>
    <col min="3" max="3" width="13.225" customWidth="1"/>
    <col min="4" max="4" width="6.34166666666667" customWidth="1"/>
    <col min="5" max="5" width="6.20833333333333" customWidth="1"/>
    <col min="6" max="6" width="14.8916666666667" customWidth="1"/>
    <col min="7" max="7" width="14.7083333333333" customWidth="1"/>
  </cols>
  <sheetData>
    <row r="1" s="13" customFormat="1" ht="34" customHeight="1" spans="1:9">
      <c r="A1" s="15" t="s">
        <v>0</v>
      </c>
      <c r="B1" s="15"/>
      <c r="C1" s="15"/>
      <c r="D1" s="15"/>
      <c r="E1" s="15"/>
      <c r="F1" s="15"/>
      <c r="G1" s="15"/>
      <c r="H1" s="16"/>
      <c r="I1" s="16"/>
    </row>
    <row r="2" s="13" customFormat="1" ht="24" customHeight="1" spans="1:7">
      <c r="A2" s="17" t="s">
        <v>1</v>
      </c>
      <c r="B2" s="18"/>
      <c r="C2" s="18"/>
      <c r="D2" s="18"/>
      <c r="E2" s="18"/>
      <c r="F2" s="18"/>
      <c r="G2" s="18"/>
    </row>
    <row r="3" s="14" customFormat="1" ht="18" customHeight="1" spans="1:7">
      <c r="A3" s="19" t="s">
        <v>2</v>
      </c>
      <c r="B3" s="20" t="s">
        <v>3</v>
      </c>
      <c r="C3" s="21"/>
      <c r="D3" s="21"/>
      <c r="E3" s="21"/>
      <c r="F3" s="21"/>
      <c r="G3" s="21"/>
    </row>
    <row r="4" s="14" customFormat="1" ht="18" customHeight="1" spans="1:7">
      <c r="A4" s="19" t="s">
        <v>4</v>
      </c>
      <c r="B4" s="21" t="s">
        <v>5</v>
      </c>
      <c r="C4" s="21"/>
      <c r="D4" s="21"/>
      <c r="E4" s="21"/>
      <c r="F4" s="22" t="s">
        <v>6</v>
      </c>
      <c r="G4" s="21" t="s">
        <v>7</v>
      </c>
    </row>
    <row r="5" s="14" customFormat="1" ht="18" customHeight="1" spans="1:7">
      <c r="A5" s="19" t="s">
        <v>8</v>
      </c>
      <c r="B5" s="21"/>
      <c r="C5" s="21"/>
      <c r="D5" s="21"/>
      <c r="E5" s="21"/>
      <c r="F5" s="22" t="s">
        <v>9</v>
      </c>
      <c r="G5" s="21" t="s">
        <v>10</v>
      </c>
    </row>
    <row r="6" s="1" customFormat="1" ht="34" customHeight="1" spans="1:7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</row>
    <row r="7" s="2" customFormat="1" ht="49" customHeight="1" spans="1:7">
      <c r="A7" s="5">
        <v>43574.7595486111</v>
      </c>
      <c r="B7" s="6" t="s">
        <v>29</v>
      </c>
      <c r="C7" s="6" t="s">
        <v>30</v>
      </c>
      <c r="D7" s="7">
        <v>9283</v>
      </c>
      <c r="E7" s="8" t="s">
        <v>20</v>
      </c>
      <c r="F7" s="9">
        <v>22543.2</v>
      </c>
      <c r="G7" s="23">
        <v>40110</v>
      </c>
    </row>
    <row r="8" s="2" customFormat="1" ht="49" customHeight="1" spans="1:7">
      <c r="A8" s="11" t="s">
        <v>39</v>
      </c>
      <c r="B8" s="11"/>
      <c r="C8" s="11"/>
      <c r="D8" s="11"/>
      <c r="E8" s="11"/>
      <c r="F8" s="12">
        <f>SUM(F7:F7)</f>
        <v>22543.2</v>
      </c>
      <c r="G8" s="11"/>
    </row>
    <row r="9" ht="27" customHeight="1"/>
    <row r="10" ht="27" customHeight="1"/>
  </sheetData>
  <mergeCells count="5">
    <mergeCell ref="A1:G1"/>
    <mergeCell ref="A2:G2"/>
    <mergeCell ref="B3:G3"/>
    <mergeCell ref="B4:E4"/>
    <mergeCell ref="B5:E5"/>
  </mergeCells>
  <pageMargins left="0.75" right="0.75" top="0.275" bottom="1" header="0.196527777777778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J10" sqref="J10"/>
    </sheetView>
  </sheetViews>
  <sheetFormatPr defaultColWidth="9" defaultRowHeight="13.5"/>
  <cols>
    <col min="1" max="1" width="14.5166666666667" customWidth="1"/>
    <col min="2" max="2" width="15.0583333333333" customWidth="1"/>
    <col min="3" max="3" width="13.225" customWidth="1"/>
    <col min="4" max="4" width="6.34166666666667" customWidth="1"/>
    <col min="5" max="5" width="6.20833333333333" customWidth="1"/>
    <col min="6" max="6" width="14.8916666666667" customWidth="1"/>
    <col min="7" max="7" width="14.7083333333333" customWidth="1"/>
  </cols>
  <sheetData>
    <row r="1" s="13" customFormat="1" ht="34" customHeight="1" spans="1:9">
      <c r="A1" s="15" t="s">
        <v>0</v>
      </c>
      <c r="B1" s="15"/>
      <c r="C1" s="15"/>
      <c r="D1" s="15"/>
      <c r="E1" s="15"/>
      <c r="F1" s="15"/>
      <c r="G1" s="15"/>
      <c r="H1" s="16"/>
      <c r="I1" s="16"/>
    </row>
    <row r="2" s="13" customFormat="1" ht="24" customHeight="1" spans="1:7">
      <c r="A2" s="17" t="s">
        <v>1</v>
      </c>
      <c r="B2" s="18"/>
      <c r="C2" s="18"/>
      <c r="D2" s="18"/>
      <c r="E2" s="18"/>
      <c r="F2" s="18"/>
      <c r="G2" s="18"/>
    </row>
    <row r="3" s="14" customFormat="1" ht="18" customHeight="1" spans="1:7">
      <c r="A3" s="19" t="s">
        <v>2</v>
      </c>
      <c r="B3" s="20" t="s">
        <v>3</v>
      </c>
      <c r="C3" s="21"/>
      <c r="D3" s="21"/>
      <c r="E3" s="21"/>
      <c r="F3" s="21"/>
      <c r="G3" s="21"/>
    </row>
    <row r="4" s="14" customFormat="1" ht="18" customHeight="1" spans="1:7">
      <c r="A4" s="19" t="s">
        <v>4</v>
      </c>
      <c r="B4" s="21" t="s">
        <v>5</v>
      </c>
      <c r="C4" s="21"/>
      <c r="D4" s="21"/>
      <c r="E4" s="21"/>
      <c r="F4" s="22" t="s">
        <v>6</v>
      </c>
      <c r="G4" s="21" t="s">
        <v>7</v>
      </c>
    </row>
    <row r="5" s="14" customFormat="1" ht="18" customHeight="1" spans="1:7">
      <c r="A5" s="19" t="s">
        <v>8</v>
      </c>
      <c r="B5" s="21"/>
      <c r="C5" s="21"/>
      <c r="D5" s="21"/>
      <c r="E5" s="21"/>
      <c r="F5" s="22" t="s">
        <v>9</v>
      </c>
      <c r="G5" s="21" t="s">
        <v>10</v>
      </c>
    </row>
    <row r="6" s="1" customFormat="1" ht="17" customHeight="1" spans="1:7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</row>
    <row r="7" s="2" customFormat="1" ht="31" customHeight="1" spans="1:7">
      <c r="A7" s="5">
        <v>43577.7226967593</v>
      </c>
      <c r="B7" s="6" t="s">
        <v>31</v>
      </c>
      <c r="C7" s="6" t="s">
        <v>32</v>
      </c>
      <c r="D7" s="7">
        <v>9283</v>
      </c>
      <c r="E7" s="8" t="s">
        <v>20</v>
      </c>
      <c r="F7" s="9">
        <v>4320</v>
      </c>
      <c r="G7" s="23">
        <v>40113</v>
      </c>
    </row>
    <row r="8" s="2" customFormat="1" ht="31" customHeight="1" spans="1:7">
      <c r="A8" s="5">
        <v>43581.4923263889</v>
      </c>
      <c r="B8" s="6" t="s">
        <v>35</v>
      </c>
      <c r="C8" s="6" t="s">
        <v>36</v>
      </c>
      <c r="D8" s="7">
        <v>9841</v>
      </c>
      <c r="E8" s="8" t="s">
        <v>20</v>
      </c>
      <c r="F8" s="9">
        <v>5940</v>
      </c>
      <c r="G8" s="23">
        <v>40124</v>
      </c>
    </row>
    <row r="9" s="2" customFormat="1" ht="31" customHeight="1" spans="1:7">
      <c r="A9" s="5">
        <v>43584.7712037037</v>
      </c>
      <c r="B9" s="6" t="s">
        <v>37</v>
      </c>
      <c r="C9" s="6" t="s">
        <v>38</v>
      </c>
      <c r="D9" s="7">
        <v>9823</v>
      </c>
      <c r="E9" s="8" t="s">
        <v>20</v>
      </c>
      <c r="F9" s="9">
        <v>7904</v>
      </c>
      <c r="G9" s="23">
        <v>40134</v>
      </c>
    </row>
    <row r="10" s="2" customFormat="1" ht="31" customHeight="1" spans="1:7">
      <c r="A10" s="11" t="s">
        <v>39</v>
      </c>
      <c r="B10" s="11"/>
      <c r="C10" s="11"/>
      <c r="D10" s="11"/>
      <c r="E10" s="11"/>
      <c r="F10" s="12">
        <f>SUM(F7:F9)</f>
        <v>18164</v>
      </c>
      <c r="G10" s="11"/>
    </row>
    <row r="11" ht="27" customHeight="1"/>
    <row r="12" ht="27" customHeight="1"/>
  </sheetData>
  <mergeCells count="5">
    <mergeCell ref="A1:G1"/>
    <mergeCell ref="A2:G2"/>
    <mergeCell ref="B3:G3"/>
    <mergeCell ref="B4:E4"/>
    <mergeCell ref="B5:E5"/>
  </mergeCells>
  <pageMargins left="0.75" right="0.75" top="0.275" bottom="1" header="0.196527777777778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D6" sqref="D6"/>
    </sheetView>
  </sheetViews>
  <sheetFormatPr defaultColWidth="9" defaultRowHeight="13.5" outlineLevelRow="5" outlineLevelCol="6"/>
  <cols>
    <col min="1" max="1" width="14.5166666666667" customWidth="1"/>
    <col min="2" max="2" width="15.0583333333333" customWidth="1"/>
    <col min="3" max="3" width="13.225" customWidth="1"/>
    <col min="4" max="4" width="6.34166666666667" customWidth="1"/>
    <col min="5" max="5" width="6.20833333333333" customWidth="1"/>
    <col min="6" max="6" width="14.8916666666667" customWidth="1"/>
    <col min="7" max="7" width="14.7083333333333" customWidth="1"/>
  </cols>
  <sheetData>
    <row r="1" ht="52" customHeight="1" spans="1:7">
      <c r="A1" s="3" t="s">
        <v>40</v>
      </c>
      <c r="B1" s="3"/>
      <c r="C1" s="3"/>
      <c r="D1" s="3"/>
      <c r="E1" s="3"/>
      <c r="F1" s="3"/>
      <c r="G1" s="3"/>
    </row>
    <row r="2" s="1" customFormat="1" ht="52" customHeight="1" spans="1:7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</row>
    <row r="3" s="2" customFormat="1" ht="52" customHeight="1" spans="1:7">
      <c r="A3" s="5">
        <v>43578.7440625</v>
      </c>
      <c r="B3" s="6" t="s">
        <v>33</v>
      </c>
      <c r="C3" s="6" t="s">
        <v>34</v>
      </c>
      <c r="D3" s="7">
        <v>9141</v>
      </c>
      <c r="E3" s="8" t="s">
        <v>20</v>
      </c>
      <c r="F3" s="9">
        <v>60138</v>
      </c>
      <c r="G3" s="10">
        <v>40123</v>
      </c>
    </row>
    <row r="4" s="2" customFormat="1" ht="52" customHeight="1" spans="1:7">
      <c r="A4" s="11" t="s">
        <v>39</v>
      </c>
      <c r="B4" s="11"/>
      <c r="C4" s="11"/>
      <c r="D4" s="11"/>
      <c r="E4" s="11"/>
      <c r="F4" s="12">
        <f>SUM(F3:F3)</f>
        <v>60138</v>
      </c>
      <c r="G4" s="11"/>
    </row>
    <row r="5" ht="27" customHeight="1"/>
    <row r="6" ht="27" customHeight="1"/>
  </sheetData>
  <mergeCells count="1">
    <mergeCell ref="A1:G1"/>
  </mergeCells>
  <pageMargins left="0.75" right="0.75" top="0.472222222222222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总欠</vt:lpstr>
      <vt:lpstr>5月8日公帐支付</vt:lpstr>
      <vt:lpstr>5月16日公帐支付</vt:lpstr>
      <vt:lpstr>5月22日公帐支付</vt:lpstr>
      <vt:lpstr>6月12月私帐支付</vt:lpstr>
      <vt:lpstr>6月18日公帐支付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2019-05-06T05:50:00Z</dcterms:created>
  <dcterms:modified xsi:type="dcterms:W3CDTF">2019-07-10T06:48:19Z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