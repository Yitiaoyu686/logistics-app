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definedNames>
    <definedName name="_xlnm._FilterDatabase" localSheetId="0" hidden="1">'sheet 1'!$C$1:$G$1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<sst xmlns="http://schemas.openxmlformats.org/spreadsheetml/2006/main" count="42" uniqueCount="41">
  <si>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送货日期</t>
  </si>
  <si>
    <t>JOB</t>
  </si>
  <si>
    <r>
      <rPr>
        <b/>
        <sz val="10"/>
        <color theme="4"/>
        <rFont val="SimSun"/>
        <charset val="134"/>
      </rPr>
      <t>入仓号</t>
    </r>
    <r>
      <rPr>
        <b/>
        <sz val="10"/>
        <color theme="4"/>
        <rFont val="Arial"/>
        <charset val="134"/>
      </rPr>
      <t>Entry No.</t>
    </r>
  </si>
  <si>
    <t>单号</t>
  </si>
  <si>
    <t>件数ctns</t>
  </si>
  <si>
    <r>
      <rPr>
        <b/>
        <sz val="10"/>
        <color theme="4"/>
        <rFont val="宋体"/>
        <charset val="134"/>
      </rPr>
      <t>体积</t>
    </r>
    <r>
      <rPr>
        <b/>
        <sz val="10"/>
        <color theme="4"/>
        <rFont val="Arial"/>
        <charset val="134"/>
      </rPr>
      <t>cbm</t>
    </r>
  </si>
  <si>
    <r>
      <rPr>
        <b/>
        <sz val="10"/>
        <color theme="4"/>
        <rFont val="SimSun"/>
        <charset val="134"/>
      </rPr>
      <t>重量</t>
    </r>
    <r>
      <rPr>
        <b/>
        <sz val="10"/>
        <color theme="4"/>
        <rFont val="Arial"/>
        <charset val="134"/>
      </rPr>
      <t>kgs</t>
    </r>
  </si>
  <si>
    <t>海运费USD</t>
  </si>
  <si>
    <t>LOCAL CNY</t>
  </si>
  <si>
    <t>拖车CNY</t>
  </si>
  <si>
    <t>装柜CNY</t>
  </si>
  <si>
    <t>报关CNY</t>
  </si>
  <si>
    <t>其它CNY</t>
  </si>
  <si>
    <t>运杂费美元成本与结算费用USD</t>
  </si>
  <si>
    <t>目的港清关费成本与结算费用NGN</t>
  </si>
  <si>
    <t>人民币CNY</t>
  </si>
  <si>
    <t>汇率</t>
  </si>
  <si>
    <t>美元USD</t>
  </si>
  <si>
    <t>按70方单价成本USD</t>
  </si>
  <si>
    <t>结算价格USD</t>
  </si>
  <si>
    <t>合计USD</t>
  </si>
  <si>
    <t>清关成本NGN</t>
  </si>
  <si>
    <t>按70方单价成本NGN</t>
  </si>
  <si>
    <t>合计NGN</t>
  </si>
  <si>
    <t>2025.4.15</t>
  </si>
  <si>
    <t>JOB040382</t>
  </si>
  <si>
    <t>SK20250414066</t>
  </si>
  <si>
    <t>2025.4.16</t>
  </si>
  <si>
    <t>JOB040383</t>
  </si>
  <si>
    <t>SK20250416099</t>
  </si>
  <si>
    <t>2025.4.21</t>
  </si>
  <si>
    <t>JOB040396</t>
  </si>
  <si>
    <t>SK20250421111</t>
  </si>
  <si>
    <t>JOB040395</t>
  </si>
  <si>
    <t>SK20250421122</t>
  </si>
  <si>
    <t>2025.4.30</t>
  </si>
  <si>
    <t>JOB050377</t>
  </si>
  <si>
    <t>SK20250430166</t>
  </si>
  <si>
    <t>2025.6.10</t>
  </si>
  <si>
    <t>JOB060401</t>
  </si>
  <si>
    <t>SK20250610116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</si>
</sst>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#,##0.000_ "/>
    <numFmt numFmtId="179" formatCode="\$#,##0.00;\-\$#,##0.00"/>
    <numFmt numFmtId="180" formatCode="0_);[Red]\(0\)"/>
    <numFmt numFmtId="181" formatCode="&quot;￥&quot;#,##0.00_);[Red]\(&quot;￥&quot;#,##0.00\)"/>
    <numFmt numFmtId="182" formatCode="[$NGN]\ #,##0.00_);[Red]\([$NGN]\ #,##0.00\)"/>
  </numFmts>
  <fonts count="29">
    <font>
      <sz val="10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4"/>
      <name val="SimSun"/>
      <charset val="134"/>
    </font>
    <font>
      <b/>
      <sz val="10"/>
      <color theme="4"/>
      <name val="宋体"/>
      <charset val="134"/>
    </font>
    <font>
      <b/>
      <sz val="10"/>
      <color theme="4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10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center" vertical="center" wrapText="1"/>
    </xf>
    <xf numFmtId="181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81" fontId="2" fillId="2" borderId="2" xfId="0" applyNumberFormat="1" applyFont="1" applyFill="1" applyBorder="1" applyAlignment="1">
      <alignment vertical="center" wrapText="1"/>
    </xf>
    <xf numFmtId="181" fontId="2" fillId="2" borderId="2" xfId="0" applyNumberFormat="1" applyFont="1" applyFill="1" applyBorder="1" applyAlignment="1">
      <alignment horizontal="center" vertical="center" wrapText="1"/>
    </xf>
    <xf numFmtId="181" fontId="5" fillId="0" borderId="2" xfId="0" applyNumberFormat="1" applyFont="1" applyFill="1" applyBorder="1" applyAlignment="1">
      <alignment horizontal="center" vertical="center"/>
    </xf>
    <xf numFmtId="181" fontId="5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2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1" fontId="2" fillId="2" borderId="8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81" fontId="7" fillId="3" borderId="2" xfId="0" applyNumberFormat="1" applyFont="1" applyFill="1" applyBorder="1" applyAlignment="1">
      <alignment horizontal="center" vertical="center" wrapText="1"/>
    </xf>
    <xf numFmtId="181" fontId="7" fillId="4" borderId="2" xfId="0" applyNumberFormat="1" applyFont="1" applyFill="1" applyBorder="1" applyAlignment="1">
      <alignment horizontal="center" vertical="center" wrapText="1"/>
    </xf>
    <xf numFmtId="26" fontId="5" fillId="0" borderId="2" xfId="0" applyNumberFormat="1" applyFont="1" applyFill="1" applyBorder="1" applyAlignment="1">
      <alignment horizontal="center" vertical="center"/>
    </xf>
    <xf numFmtId="26" fontId="5" fillId="4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 wrapText="1"/>
    </xf>
    <xf numFmtId="182" fontId="5" fillId="4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DE322C"/>
      </font>
      <fill>
        <patternFill patternType="solid">
          <bgColor rgb="FFFFE9E8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tabSelected="1" workbookViewId="0">
      <pane ySplit="2" topLeftCell="A3" activePane="bottomLeft" state="frozen"/>
      <selection/>
      <selection pane="bottomLeft" activeCell="J17" sqref="J17"/>
    </sheetView>
  </sheetViews>
  <sheetFormatPr defaultColWidth="9.14" defaultRowHeight="13"/>
  <cols>
    <col min="1" max="1" width="9.5" customWidth="1"/>
    <col min="2" max="2" width="12.7" customWidth="1"/>
    <col min="3" max="3" width="15.7" style="2" customWidth="1"/>
    <col min="4" max="4" width="15.7" style="3" customWidth="1"/>
    <col min="5" max="7" width="8.7" style="4" customWidth="1"/>
    <col min="8" max="13" width="10.7" style="4" customWidth="1"/>
    <col min="14" max="19" width="11.7" style="4" customWidth="1"/>
    <col min="20" max="21" width="14.7" customWidth="1"/>
    <col min="22" max="22" width="18.7" customWidth="1"/>
  </cols>
  <sheetData>
    <row r="1" s="1" customFormat="1" ht="30" customHeight="1" spans="1:22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7" t="s">
        <v>7</v>
      </c>
      <c r="I1" s="2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3" t="s">
        <v>13</v>
      </c>
      <c r="O1" s="24"/>
      <c r="P1" s="24"/>
      <c r="Q1" s="24"/>
      <c r="R1" s="24"/>
      <c r="S1" s="33"/>
      <c r="T1" s="34" t="s">
        <v>14</v>
      </c>
      <c r="U1" s="34"/>
      <c r="V1" s="34"/>
    </row>
    <row r="2" s="1" customFormat="1" ht="30" customHeight="1" spans="1:22">
      <c r="A2" s="9"/>
      <c r="B2" s="9"/>
      <c r="C2" s="10"/>
      <c r="D2" s="7"/>
      <c r="E2" s="11"/>
      <c r="F2" s="12"/>
      <c r="G2" s="9"/>
      <c r="H2" s="7"/>
      <c r="I2" s="25"/>
      <c r="J2" s="9"/>
      <c r="K2" s="9"/>
      <c r="L2" s="9"/>
      <c r="M2" s="9"/>
      <c r="N2" s="26" t="s">
        <v>15</v>
      </c>
      <c r="O2" s="27" t="s">
        <v>16</v>
      </c>
      <c r="P2" s="27" t="s">
        <v>17</v>
      </c>
      <c r="Q2" s="35" t="s">
        <v>18</v>
      </c>
      <c r="R2" s="35" t="s">
        <v>19</v>
      </c>
      <c r="S2" s="36" t="s">
        <v>20</v>
      </c>
      <c r="T2" s="34" t="s">
        <v>21</v>
      </c>
      <c r="U2" s="27" t="s">
        <v>22</v>
      </c>
      <c r="V2" s="36" t="s">
        <v>23</v>
      </c>
    </row>
    <row r="3" ht="18" customHeight="1" spans="1:22">
      <c r="A3" s="13" t="s">
        <v>24</v>
      </c>
      <c r="B3" s="13" t="s">
        <v>25</v>
      </c>
      <c r="C3" s="14">
        <v>250414000081</v>
      </c>
      <c r="D3" s="15" t="s">
        <v>26</v>
      </c>
      <c r="E3" s="16">
        <v>165</v>
      </c>
      <c r="F3" s="17">
        <v>21.18</v>
      </c>
      <c r="G3" s="18"/>
      <c r="H3" s="19">
        <v>4550</v>
      </c>
      <c r="I3" s="28">
        <v>2085</v>
      </c>
      <c r="J3" s="29">
        <v>1750</v>
      </c>
      <c r="K3" s="29">
        <v>1000</v>
      </c>
      <c r="L3" s="29">
        <v>800</v>
      </c>
      <c r="M3" s="18"/>
      <c r="N3" s="29">
        <f t="shared" ref="N3:N8" si="0">I3+J3+K3+L3+M3</f>
        <v>5635</v>
      </c>
      <c r="O3" s="30">
        <v>7.23</v>
      </c>
      <c r="P3" s="31">
        <f t="shared" ref="P3:P8" si="1">N3/O3</f>
        <v>779.39142461964</v>
      </c>
      <c r="Q3" s="37">
        <f t="shared" ref="Q3:Q8" si="2">(H3+P3)/70</f>
        <v>76.134163208852</v>
      </c>
      <c r="R3" s="37">
        <f t="shared" ref="R3:R8" si="3">Q3-20</f>
        <v>56.134163208852</v>
      </c>
      <c r="S3" s="38">
        <f t="shared" ref="S3:S8" si="4">F3*R3</f>
        <v>1188.92157676349</v>
      </c>
      <c r="T3" s="39">
        <v>17000000</v>
      </c>
      <c r="U3" s="30">
        <f t="shared" ref="U3:U8" si="5">T3/70</f>
        <v>242857.142857143</v>
      </c>
      <c r="V3" s="40">
        <f t="shared" ref="V3:V8" si="6">F3*U3</f>
        <v>5143714.28571429</v>
      </c>
    </row>
    <row r="4" ht="18" customHeight="1" spans="1:22">
      <c r="A4" s="13" t="s">
        <v>27</v>
      </c>
      <c r="B4" s="13" t="s">
        <v>28</v>
      </c>
      <c r="C4" s="14">
        <v>250416000025</v>
      </c>
      <c r="D4" s="15" t="s">
        <v>29</v>
      </c>
      <c r="E4" s="16">
        <v>100</v>
      </c>
      <c r="F4" s="17">
        <v>19.47</v>
      </c>
      <c r="G4" s="18"/>
      <c r="H4" s="19">
        <v>4550</v>
      </c>
      <c r="I4" s="28">
        <v>2085</v>
      </c>
      <c r="J4" s="29">
        <v>1750</v>
      </c>
      <c r="K4" s="29">
        <v>1000</v>
      </c>
      <c r="L4" s="29">
        <v>800</v>
      </c>
      <c r="M4" s="18"/>
      <c r="N4" s="29">
        <f t="shared" si="0"/>
        <v>5635</v>
      </c>
      <c r="O4" s="30">
        <v>7.23</v>
      </c>
      <c r="P4" s="31">
        <f t="shared" si="1"/>
        <v>779.39142461964</v>
      </c>
      <c r="Q4" s="37">
        <f t="shared" si="2"/>
        <v>76.134163208852</v>
      </c>
      <c r="R4" s="37">
        <f t="shared" si="3"/>
        <v>56.134163208852</v>
      </c>
      <c r="S4" s="38">
        <f t="shared" si="4"/>
        <v>1092.93215767635</v>
      </c>
      <c r="T4" s="39">
        <v>17000000</v>
      </c>
      <c r="U4" s="30">
        <f t="shared" si="5"/>
        <v>242857.142857143</v>
      </c>
      <c r="V4" s="40">
        <f t="shared" si="6"/>
        <v>4728428.57142857</v>
      </c>
    </row>
    <row r="5" ht="18" customHeight="1" spans="1:22">
      <c r="A5" s="13" t="s">
        <v>30</v>
      </c>
      <c r="B5" s="13" t="s">
        <v>31</v>
      </c>
      <c r="C5" s="20">
        <v>250421000097</v>
      </c>
      <c r="D5" s="15" t="s">
        <v>32</v>
      </c>
      <c r="E5" s="16">
        <v>87</v>
      </c>
      <c r="F5" s="17">
        <v>18.22</v>
      </c>
      <c r="G5" s="18"/>
      <c r="H5" s="19">
        <v>4450</v>
      </c>
      <c r="I5" s="28">
        <v>2085</v>
      </c>
      <c r="J5" s="29">
        <v>1750</v>
      </c>
      <c r="K5" s="29">
        <v>1000</v>
      </c>
      <c r="L5" s="29">
        <v>800</v>
      </c>
      <c r="M5" s="18"/>
      <c r="N5" s="29">
        <f t="shared" si="0"/>
        <v>5635</v>
      </c>
      <c r="O5" s="30">
        <v>7.2</v>
      </c>
      <c r="P5" s="31">
        <f t="shared" si="1"/>
        <v>782.638888888889</v>
      </c>
      <c r="Q5" s="37">
        <f t="shared" si="2"/>
        <v>74.7519841269841</v>
      </c>
      <c r="R5" s="37">
        <f t="shared" si="3"/>
        <v>54.7519841269841</v>
      </c>
      <c r="S5" s="38">
        <f t="shared" si="4"/>
        <v>997.581150793651</v>
      </c>
      <c r="T5" s="39">
        <v>17000000</v>
      </c>
      <c r="U5" s="30">
        <f t="shared" si="5"/>
        <v>242857.142857143</v>
      </c>
      <c r="V5" s="40">
        <f t="shared" si="6"/>
        <v>4424857.14285714</v>
      </c>
    </row>
    <row r="6" ht="18" customHeight="1" spans="1:22">
      <c r="A6" s="13" t="s">
        <v>30</v>
      </c>
      <c r="B6" s="13" t="s">
        <v>33</v>
      </c>
      <c r="C6" s="20">
        <v>250421000098</v>
      </c>
      <c r="D6" s="15" t="s">
        <v>34</v>
      </c>
      <c r="E6" s="16">
        <v>152</v>
      </c>
      <c r="F6" s="17">
        <v>24.59</v>
      </c>
      <c r="G6" s="18"/>
      <c r="H6" s="19">
        <v>4450</v>
      </c>
      <c r="I6" s="28">
        <v>2085</v>
      </c>
      <c r="J6" s="29">
        <v>1750</v>
      </c>
      <c r="K6" s="29">
        <v>1000</v>
      </c>
      <c r="L6" s="29">
        <v>800</v>
      </c>
      <c r="M6" s="18"/>
      <c r="N6" s="29">
        <f t="shared" si="0"/>
        <v>5635</v>
      </c>
      <c r="O6" s="30">
        <v>7.2</v>
      </c>
      <c r="P6" s="31">
        <f t="shared" si="1"/>
        <v>782.638888888889</v>
      </c>
      <c r="Q6" s="37">
        <f t="shared" si="2"/>
        <v>74.7519841269841</v>
      </c>
      <c r="R6" s="37">
        <f t="shared" si="3"/>
        <v>54.7519841269841</v>
      </c>
      <c r="S6" s="38">
        <f t="shared" si="4"/>
        <v>1346.35128968254</v>
      </c>
      <c r="T6" s="39">
        <v>17000000</v>
      </c>
      <c r="U6" s="30">
        <f t="shared" si="5"/>
        <v>242857.142857143</v>
      </c>
      <c r="V6" s="40">
        <f t="shared" si="6"/>
        <v>5971857.14285714</v>
      </c>
    </row>
    <row r="7" ht="18" customHeight="1" spans="1:22">
      <c r="A7" s="13" t="s">
        <v>35</v>
      </c>
      <c r="B7" s="13" t="s">
        <v>36</v>
      </c>
      <c r="C7" s="20">
        <v>250430000053</v>
      </c>
      <c r="D7" s="15" t="s">
        <v>37</v>
      </c>
      <c r="E7" s="16">
        <v>176</v>
      </c>
      <c r="F7" s="17">
        <v>21.17</v>
      </c>
      <c r="G7" s="18"/>
      <c r="H7" s="19">
        <v>4450</v>
      </c>
      <c r="I7" s="28">
        <v>2085</v>
      </c>
      <c r="J7" s="29">
        <v>1750</v>
      </c>
      <c r="K7" s="29">
        <v>1000</v>
      </c>
      <c r="L7" s="29">
        <v>800</v>
      </c>
      <c r="M7" s="18"/>
      <c r="N7" s="29">
        <f t="shared" si="0"/>
        <v>5635</v>
      </c>
      <c r="O7" s="32">
        <v>7.21</v>
      </c>
      <c r="P7" s="31">
        <f t="shared" si="1"/>
        <v>781.553398058252</v>
      </c>
      <c r="Q7" s="37">
        <f t="shared" si="2"/>
        <v>74.7364771151179</v>
      </c>
      <c r="R7" s="37">
        <f t="shared" si="3"/>
        <v>54.7364771151179</v>
      </c>
      <c r="S7" s="38">
        <f t="shared" si="4"/>
        <v>1158.77122052705</v>
      </c>
      <c r="T7" s="39">
        <v>17000000</v>
      </c>
      <c r="U7" s="30">
        <f t="shared" si="5"/>
        <v>242857.142857143</v>
      </c>
      <c r="V7" s="40">
        <f t="shared" si="6"/>
        <v>5141285.71428571</v>
      </c>
    </row>
    <row r="8" ht="18" customHeight="1" spans="1:22">
      <c r="A8" s="13" t="s">
        <v>38</v>
      </c>
      <c r="B8" s="13" t="s">
        <v>39</v>
      </c>
      <c r="C8" s="20">
        <v>250610000038</v>
      </c>
      <c r="D8" s="15" t="s">
        <v>40</v>
      </c>
      <c r="E8" s="16">
        <v>72</v>
      </c>
      <c r="F8" s="17">
        <v>14.68</v>
      </c>
      <c r="G8" s="18"/>
      <c r="H8" s="19">
        <v>4450</v>
      </c>
      <c r="I8" s="28">
        <v>2085</v>
      </c>
      <c r="J8" s="29">
        <v>1750</v>
      </c>
      <c r="K8" s="29">
        <v>1000</v>
      </c>
      <c r="L8" s="29">
        <v>800</v>
      </c>
      <c r="M8" s="18"/>
      <c r="N8" s="29">
        <f t="shared" si="0"/>
        <v>5635</v>
      </c>
      <c r="O8" s="32">
        <v>7.19</v>
      </c>
      <c r="P8" s="31">
        <f>N8/O8</f>
        <v>783.727399165508</v>
      </c>
      <c r="Q8" s="37">
        <f t="shared" si="2"/>
        <v>74.767534273793</v>
      </c>
      <c r="R8" s="37">
        <f>Q8-20</f>
        <v>54.767534273793</v>
      </c>
      <c r="S8" s="38">
        <f t="shared" si="4"/>
        <v>803.987403139281</v>
      </c>
      <c r="T8" s="39">
        <v>17000000</v>
      </c>
      <c r="U8" s="30">
        <f t="shared" si="5"/>
        <v>242857.142857143</v>
      </c>
      <c r="V8" s="40">
        <f t="shared" si="6"/>
        <v>3565142.85714286</v>
      </c>
    </row>
    <row r="9" ht="18" customHeight="1" spans="1:2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18">
        <f>SUM(S3:S8)</f>
        <v>6588.54479858235</v>
      </c>
      <c r="T9" s="21"/>
      <c r="U9" s="21"/>
      <c r="V9" s="18">
        <f>SUM(V3:V8)</f>
        <v>28975285.7142857</v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mergeCells count="17">
    <mergeCell ref="N1:S1"/>
    <mergeCell ref="T1:V1"/>
    <mergeCell ref="A9:R9"/>
    <mergeCell ref="T9:U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C1">
    <cfRule type="duplicateValues" dxfId="0" priority="67"/>
    <cfRule type="duplicateValues" dxfId="0" priority="66"/>
  </conditionalFormatting>
  <conditionalFormatting sqref="E1">
    <cfRule type="duplicateValues" dxfId="1" priority="68"/>
  </conditionalFormatting>
  <conditionalFormatting sqref="C3"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</conditionalFormatting>
  <conditionalFormatting sqref="C4">
    <cfRule type="duplicateValues" dxfId="1" priority="32"/>
    <cfRule type="duplicateValues" dxfId="1" priority="33"/>
    <cfRule type="duplicateValues" dxfId="1" priority="34"/>
    <cfRule type="duplicateValues" dxfId="1" priority="35"/>
  </conditionalFormatting>
  <conditionalFormatting sqref="C7"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</conditionalFormatting>
  <conditionalFormatting sqref="B8">
    <cfRule type="duplicateValues" dxfId="1" priority="9"/>
  </conditionalFormatting>
  <conditionalFormatting sqref="C8">
    <cfRule type="duplicateValues" dxfId="1" priority="8"/>
    <cfRule type="duplicateValues" dxfId="1" priority="7"/>
    <cfRule type="duplicateValues" dxfId="1" priority="6"/>
    <cfRule type="duplicateValues" dxfId="1" priority="5"/>
    <cfRule type="duplicateValues" dxfId="1" priority="4"/>
    <cfRule type="duplicateValues" dxfId="1" priority="3"/>
    <cfRule type="duplicateValues" dxfId="1" priority="2"/>
    <cfRule type="duplicateValues" dxfId="1" priority="1"/>
  </conditionalFormatting>
  <conditionalFormatting sqref="B3:B7">
    <cfRule type="duplicateValues" dxfId="1" priority="40"/>
  </conditionalFormatting>
  <conditionalFormatting sqref="C4:C6">
    <cfRule type="duplicateValues" dxfId="1" priority="26"/>
    <cfRule type="duplicateValues" dxfId="1" priority="27"/>
    <cfRule type="duplicateValues" dxfId="1" priority="28"/>
  </conditionalFormatting>
  <conditionalFormatting sqref="C5:C6">
    <cfRule type="duplicateValues" dxfId="1" priority="29"/>
    <cfRule type="duplicateValues" dxfId="1" priority="30"/>
    <cfRule type="duplicateValues" dxfId="1" priority="31"/>
    <cfRule type="duplicateValues" dxfId="1" priority="36"/>
    <cfRule type="duplicateValues" dxfId="1" priority="37"/>
  </conditionalFormatting>
  <pageMargins left="0.314583333333333" right="0" top="0.0784722222222222" bottom="0.0784722222222222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Shirley</cp:lastModifiedBy>
  <dcterms:created xsi:type="dcterms:W3CDTF">2024-07-06T06:14:00Z</dcterms:created>
  <dcterms:modified xsi:type="dcterms:W3CDTF">2025-07-23T08:15:23Z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B140E63716694923813768217CFAAE92_13</vt:lpwstr>
  </property>
  <property fmtid="{D5CDD505-2E9C-101B-9397-08002B2CF9AE}" pid="3" name="KSOProductBuildVer">
    <vt:lpwstr>2052-12.1.0.21915</vt:lpwstr>
  </property>
</Properties>
</file>