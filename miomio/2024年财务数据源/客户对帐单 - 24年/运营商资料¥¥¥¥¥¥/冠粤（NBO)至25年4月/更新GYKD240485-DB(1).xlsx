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ebtNote" sheetId="1" r:id="rId1"/>
  </sheets>
  <definedNames>
    <definedName name="JR_PAGE_ANCHOR_0_1">debtNote!$A$1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<sst xmlns="http://schemas.openxmlformats.org/spreadsheetml/2006/main" count="229" uniqueCount="32">
  <si>
    <t/>
  </si>
  <si>
    <r>
      <rPr>
        <b/>
        <sz val="18"/>
        <color rgb="FF000000"/>
        <rFont val="宋体"/>
        <charset val="134"/>
      </rPr>
      <t>广东冠粤国际物流有限公司</t>
    </r>
  </si>
  <si>
    <r>
      <rPr>
        <b/>
        <sz val="14"/>
        <color rgb="FF000000"/>
        <rFont val="宋体"/>
        <charset val="134"/>
      </rPr>
      <t>广州市白云区黄边北路</t>
    </r>
    <r>
      <rPr>
        <b/>
        <sz val="14"/>
        <color rgb="FF000000"/>
        <rFont val="Times New Roman"/>
        <charset val="134"/>
      </rPr>
      <t>527</t>
    </r>
    <r>
      <rPr>
        <b/>
        <sz val="14"/>
        <color rgb="FF000000"/>
        <rFont val="宋体"/>
        <charset val="134"/>
      </rPr>
      <t>号</t>
    </r>
    <r>
      <rPr>
        <b/>
        <sz val="14"/>
        <color rgb="FF000000"/>
        <rFont val="Times New Roman"/>
        <charset val="134"/>
      </rPr>
      <t>A</t>
    </r>
    <r>
      <rPr>
        <b/>
        <sz val="14"/>
        <color rgb="FF000000"/>
        <rFont val="宋体"/>
        <charset val="134"/>
      </rPr>
      <t>栋</t>
    </r>
    <r>
      <rPr>
        <b/>
        <sz val="14"/>
        <color rgb="FF000000"/>
        <rFont val="Times New Roman"/>
        <charset val="134"/>
      </rPr>
      <t>405</t>
    </r>
    <r>
      <rPr>
        <b/>
        <sz val="14"/>
        <color rgb="FF000000"/>
        <rFont val="宋体"/>
        <charset val="134"/>
      </rPr>
      <t>室</t>
    </r>
  </si>
  <si>
    <t>TEL: null FAX: null</t>
  </si>
  <si>
    <t>DEBIT NOTE</t>
  </si>
  <si>
    <t>Issuer:</t>
  </si>
  <si>
    <t>Summer</t>
  </si>
  <si>
    <t>Date of issue:</t>
  </si>
  <si>
    <t>To:</t>
  </si>
  <si>
    <t>广州喵喵国际货运代理有限公司</t>
  </si>
  <si>
    <t>No:</t>
  </si>
  <si>
    <t>DB202404163356</t>
  </si>
  <si>
    <t>B/L No:</t>
  </si>
  <si>
    <t>GYKD240485  266KGS/1PCS</t>
  </si>
  <si>
    <t>Description</t>
  </si>
  <si>
    <t>Q'ty</t>
  </si>
  <si>
    <t>Unit</t>
  </si>
  <si>
    <t>Cur</t>
  </si>
  <si>
    <t>Rate</t>
  </si>
  <si>
    <t>Amount</t>
  </si>
  <si>
    <t>航运费</t>
  </si>
  <si>
    <t>KGS</t>
  </si>
  <si>
    <t>RMB</t>
  </si>
  <si>
    <t>派送费</t>
  </si>
  <si>
    <t>票</t>
  </si>
  <si>
    <t>垫板费</t>
  </si>
  <si>
    <t>块</t>
  </si>
  <si>
    <t>Total:</t>
  </si>
  <si>
    <r>
      <rPr>
        <b/>
        <sz val="10"/>
        <color rgb="FF000000"/>
        <rFont val="宋体"/>
        <charset val="134"/>
      </rPr>
      <t>广东冠粤国际物流有限公司</t>
    </r>
  </si>
  <si>
    <t>(Authorized Signature)</t>
  </si>
  <si>
    <r>
      <rPr>
        <b/>
        <sz val="11"/>
        <color theme="1"/>
        <rFont val="宋体"/>
        <charset val="134"/>
      </rPr>
      <t>广东冠粤国际物流有限公司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公司地址：广州市白云区黄边北路</t>
    </r>
    <r>
      <rPr>
        <b/>
        <sz val="11"/>
        <color theme="1"/>
        <rFont val="Times New Roman"/>
        <charset val="134"/>
      </rPr>
      <t xml:space="preserve"> 527 </t>
    </r>
    <r>
      <rPr>
        <b/>
        <sz val="11"/>
        <color theme="1"/>
        <rFont val="宋体"/>
        <charset val="134"/>
      </rPr>
      <t>号</t>
    </r>
    <r>
      <rPr>
        <b/>
        <sz val="11"/>
        <color theme="1"/>
        <rFont val="Times New Roman"/>
        <charset val="134"/>
      </rPr>
      <t xml:space="preserve"> A </t>
    </r>
    <r>
      <rPr>
        <b/>
        <sz val="11"/>
        <color theme="1"/>
        <rFont val="宋体"/>
        <charset val="134"/>
      </rPr>
      <t>栋</t>
    </r>
    <r>
      <rPr>
        <b/>
        <sz val="11"/>
        <color theme="1"/>
        <rFont val="Times New Roman"/>
        <charset val="134"/>
      </rPr>
      <t xml:space="preserve"> 405 </t>
    </r>
    <r>
      <rPr>
        <b/>
        <sz val="11"/>
        <color theme="1"/>
        <rFont val="宋体"/>
        <charset val="134"/>
      </rPr>
      <t>室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法人：范光泽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开户行：中国工商银行股份有限公司广州白云新城支行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人民币账户：</t>
    </r>
    <r>
      <rPr>
        <b/>
        <sz val="11"/>
        <color theme="1"/>
        <rFont val="Times New Roman"/>
        <charset val="134"/>
      </rPr>
      <t xml:space="preserve">3602114119100270275
</t>
    </r>
    <r>
      <rPr>
        <b/>
        <sz val="11"/>
        <color theme="1"/>
        <rFont val="宋体"/>
        <charset val="134"/>
      </rPr>
      <t>统一社会信用代码：</t>
    </r>
    <r>
      <rPr>
        <b/>
        <sz val="11"/>
        <color theme="1"/>
        <rFont val="Times New Roman"/>
        <charset val="134"/>
      </rPr>
      <t>91440111MABXAFLQ94</t>
    </r>
  </si>
  <si>
    <t>Attachments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</si>
</sst>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8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8"/>
      <color rgb="FF000000"/>
      <name val="Times New Roman"/>
      <charset val="134"/>
    </font>
    <font>
      <b/>
      <sz val="20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Times New Roman"/>
      <charset val="134"/>
    </font>
    <font>
      <sz val="9"/>
      <color rgb="FF000000"/>
      <name val="Times New Roman"/>
      <charset val="134"/>
    </font>
    <font>
      <b/>
      <i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000000"/>
      <name val="宋体"/>
      <charset val="134"/>
    </font>
    <font>
      <b/>
      <sz val="14"/>
      <color rgb="FF000000"/>
      <name val="宋体"/>
      <charset val="134"/>
    </font>
    <font>
      <b/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0" applyNumberFormat="0" applyAlignment="0" applyProtection="0">
      <alignment vertical="center"/>
    </xf>
    <xf numFmtId="0" fontId="27" fillId="5" borderId="11" applyNumberFormat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6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4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NumberFormat="1" applyFont="1" applyFill="1" applyAlignment="1" applyProtection="1">
      <alignment wrapText="1"/>
      <protection locked="0"/>
    </xf>
    <xf numFmtId="0" fontId="2" fillId="2" borderId="0" xfId="0" applyNumberFormat="1" applyFont="1" applyFill="1" applyAlignment="1" applyProtection="1">
      <alignment vertical="center" wrapText="1"/>
    </xf>
    <xf numFmtId="0" fontId="3" fillId="2" borderId="0" xfId="0" applyNumberFormat="1" applyFont="1" applyFill="1" applyAlignment="1" applyProtection="1">
      <alignment horizontal="center" vertical="center" wrapText="1"/>
    </xf>
    <xf numFmtId="0" fontId="2" fillId="2" borderId="0" xfId="0" applyNumberFormat="1" applyFont="1" applyFill="1" applyAlignment="1" applyProtection="1">
      <alignment horizontal="center" vertical="center" wrapText="1"/>
    </xf>
    <xf numFmtId="0" fontId="4" fillId="2" borderId="0" xfId="0" applyNumberFormat="1" applyFont="1" applyFill="1" applyAlignment="1" applyProtection="1">
      <alignment horizontal="center" vertical="center" wrapText="1"/>
    </xf>
    <xf numFmtId="0" fontId="4" fillId="2" borderId="0" xfId="0" applyNumberFormat="1" applyFont="1" applyFill="1" applyAlignment="1" applyProtection="1">
      <alignment horizontal="center" vertical="center" wrapText="1"/>
      <protection locked="0"/>
    </xf>
    <xf numFmtId="0" fontId="5" fillId="2" borderId="0" xfId="0" applyNumberFormat="1" applyFont="1" applyFill="1" applyAlignment="1" applyProtection="1">
      <alignment horizontal="center" vertical="center" wrapText="1"/>
    </xf>
    <xf numFmtId="0" fontId="5" fillId="2" borderId="0" xfId="0" applyNumberFormat="1" applyFont="1" applyFill="1" applyAlignment="1" applyProtection="1">
      <alignment horizontal="center" vertical="center" wrapText="1"/>
      <protection locked="0"/>
    </xf>
    <xf numFmtId="0" fontId="6" fillId="2" borderId="0" xfId="0" applyNumberFormat="1" applyFont="1" applyFill="1" applyAlignment="1" applyProtection="1">
      <alignment horizontal="center" vertical="center" wrapText="1"/>
    </xf>
    <xf numFmtId="0" fontId="7" fillId="2" borderId="0" xfId="0" applyNumberFormat="1" applyFont="1" applyFill="1" applyAlignment="1" applyProtection="1">
      <alignment horizontal="left" vertical="center" wrapText="1"/>
    </xf>
    <xf numFmtId="0" fontId="7" fillId="2" borderId="0" xfId="0" applyNumberFormat="1" applyFont="1" applyFill="1" applyAlignment="1" applyProtection="1">
      <alignment horizontal="left" vertical="center" wrapText="1"/>
      <protection locked="0"/>
    </xf>
    <xf numFmtId="0" fontId="6" fillId="2" borderId="0" xfId="0" applyNumberFormat="1" applyFont="1" applyFill="1" applyAlignment="1" applyProtection="1">
      <alignment horizontal="center" vertical="center" wrapText="1"/>
      <protection locked="0"/>
    </xf>
    <xf numFmtId="0" fontId="8" fillId="2" borderId="0" xfId="0" applyNumberFormat="1" applyFont="1" applyFill="1" applyAlignment="1" applyProtection="1">
      <alignment wrapText="1"/>
      <protection locked="0"/>
    </xf>
    <xf numFmtId="0" fontId="9" fillId="2" borderId="0" xfId="0" applyNumberFormat="1" applyFont="1" applyFill="1" applyAlignment="1">
      <alignment horizontal="left" vertical="center" wrapText="1"/>
    </xf>
    <xf numFmtId="0" fontId="10" fillId="2" borderId="0" xfId="0" applyNumberFormat="1" applyFont="1" applyFill="1" applyAlignment="1">
      <alignment horizontal="left" vertical="center" wrapText="1"/>
    </xf>
    <xf numFmtId="0" fontId="8" fillId="2" borderId="1" xfId="0" applyNumberFormat="1" applyFont="1" applyFill="1" applyBorder="1" applyAlignment="1">
      <alignment horizontal="right" vertical="center" wrapText="1"/>
    </xf>
    <xf numFmtId="0" fontId="1" fillId="0" borderId="2" xfId="0" applyFont="1" applyBorder="1">
      <alignment vertical="center"/>
    </xf>
    <xf numFmtId="0" fontId="8" fillId="2" borderId="2" xfId="0" applyNumberFormat="1" applyFont="1" applyFill="1" applyBorder="1" applyAlignment="1">
      <alignment horizontal="left" vertical="center" wrapText="1"/>
    </xf>
    <xf numFmtId="0" fontId="8" fillId="2" borderId="3" xfId="0" applyNumberFormat="1" applyFont="1" applyFill="1" applyBorder="1" applyAlignment="1">
      <alignment horizontal="left" vertical="center" wrapText="1"/>
    </xf>
    <xf numFmtId="0" fontId="1" fillId="0" borderId="3" xfId="0" applyFont="1" applyBorder="1">
      <alignment vertical="center"/>
    </xf>
    <xf numFmtId="0" fontId="11" fillId="2" borderId="0" xfId="0" applyNumberFormat="1" applyFont="1" applyFill="1" applyAlignment="1">
      <alignment horizontal="left" vertical="center" wrapText="1"/>
    </xf>
    <xf numFmtId="0" fontId="8" fillId="2" borderId="0" xfId="0" applyNumberFormat="1" applyFont="1" applyFill="1" applyAlignment="1">
      <alignment horizontal="left" vertical="center" wrapText="1"/>
    </xf>
    <xf numFmtId="0" fontId="1" fillId="2" borderId="4" xfId="0" applyNumberFormat="1" applyFont="1" applyFill="1" applyBorder="1" applyAlignment="1" applyProtection="1">
      <alignment wrapText="1"/>
      <protection locked="0"/>
    </xf>
    <xf numFmtId="0" fontId="12" fillId="2" borderId="0" xfId="0" applyNumberFormat="1" applyFont="1" applyFill="1" applyAlignment="1" applyProtection="1">
      <alignment horizontal="left" vertical="center" wrapText="1"/>
      <protection locked="0"/>
    </xf>
    <xf numFmtId="0" fontId="1" fillId="2" borderId="0" xfId="0" applyNumberFormat="1" applyFont="1" applyFill="1" applyAlignment="1" applyProtection="1">
      <alignment horizontal="left" vertical="center" wrapText="1"/>
      <protection locked="0"/>
    </xf>
    <xf numFmtId="0" fontId="13" fillId="2" borderId="0" xfId="0" applyNumberFormat="1" applyFont="1" applyFill="1" applyAlignment="1" applyProtection="1">
      <alignment horizontal="left" vertical="center" wrapText="1"/>
      <protection locked="0"/>
    </xf>
    <xf numFmtId="0" fontId="14" fillId="2" borderId="0" xfId="0" applyNumberFormat="1" applyFont="1" applyFill="1" applyAlignment="1" applyProtection="1">
      <alignment horizontal="right" vertical="center" wrapText="1"/>
    </xf>
    <xf numFmtId="0" fontId="14" fillId="2" borderId="0" xfId="0" applyNumberFormat="1" applyFont="1" applyFill="1" applyAlignment="1" applyProtection="1">
      <alignment horizontal="right" vertical="center" wrapText="1"/>
      <protection locked="0"/>
    </xf>
    <xf numFmtId="0" fontId="8" fillId="2" borderId="0" xfId="0" applyNumberFormat="1" applyFont="1" applyFill="1" applyAlignment="1">
      <alignment horizontal="right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Alignment="1">
      <alignment horizontal="center" vertical="center" wrapText="1"/>
    </xf>
    <xf numFmtId="0" fontId="15" fillId="2" borderId="4" xfId="0" applyNumberFormat="1" applyFont="1" applyFill="1" applyBorder="1" applyAlignment="1" applyProtection="1">
      <alignment horizontal="right" vertical="center" wrapText="1"/>
    </xf>
    <xf numFmtId="0" fontId="15" fillId="2" borderId="4" xfId="0" applyNumberFormat="1" applyFont="1" applyFill="1" applyBorder="1" applyAlignment="1" applyProtection="1">
      <alignment horizontal="right" vertical="center" wrapText="1"/>
      <protection locked="0"/>
    </xf>
    <xf numFmtId="0" fontId="16" fillId="2" borderId="4" xfId="0" applyNumberFormat="1" applyFont="1" applyFill="1" applyBorder="1" applyAlignment="1" applyProtection="1">
      <alignment horizontal="left" vertical="center" wrapText="1"/>
    </xf>
    <xf numFmtId="0" fontId="16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6" fillId="2" borderId="4" xfId="0" applyNumberFormat="1" applyFont="1" applyFill="1" applyBorder="1" applyAlignment="1" applyProtection="1">
      <alignment horizontal="center" vertical="center" wrapText="1"/>
    </xf>
    <xf numFmtId="0" fontId="17" fillId="2" borderId="5" xfId="0" applyNumberFormat="1" applyFont="1" applyFill="1" applyBorder="1" applyAlignment="1" applyProtection="1">
      <alignment horizontal="center" vertical="center" wrapText="1"/>
    </xf>
    <xf numFmtId="0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0" xfId="0" applyNumberFormat="1" applyFont="1" applyFill="1" applyAlignment="1" applyProtection="1">
      <alignment horizontal="center" vertical="center" wrapText="1"/>
    </xf>
    <xf numFmtId="0" fontId="14" fillId="2" borderId="0" xfId="0" applyNumberFormat="1" applyFont="1" applyFill="1" applyAlignment="1" applyProtection="1">
      <alignment horizontal="center" vertical="center" wrapText="1"/>
      <protection locked="0"/>
    </xf>
    <xf numFmtId="14" fontId="14" fillId="2" borderId="0" xfId="0" applyNumberFormat="1" applyFont="1" applyFill="1" applyAlignment="1" applyProtection="1">
      <alignment horizontal="left" vertical="center" wrapText="1"/>
    </xf>
    <xf numFmtId="0" fontId="8" fillId="2" borderId="6" xfId="0" applyNumberFormat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325755</xdr:colOff>
      <xdr:row>13</xdr:row>
      <xdr:rowOff>246380</xdr:rowOff>
    </xdr:from>
    <xdr:to>
      <xdr:col>17</xdr:col>
      <xdr:colOff>39370</xdr:colOff>
      <xdr:row>17</xdr:row>
      <xdr:rowOff>531495</xdr:rowOff>
    </xdr:to>
    <xdr:pic>
      <xdr:nvPicPr>
        <xdr:cNvPr id="3" name="图片 2" descr="4e7583924c87357962883da8ecbc31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5231130" y="4876165"/>
          <a:ext cx="1180465" cy="1226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R20"/>
  <sheetViews>
    <sheetView tabSelected="1" workbookViewId="0">
      <selection activeCell="F15" sqref="F15"/>
    </sheetView>
  </sheetViews>
  <sheetFormatPr defaultColWidth="9.64166666666667" defaultRowHeight="15"/>
  <cols>
    <col min="1" max="1" width="3.375" style="1" customWidth="1"/>
    <col min="2" max="2" width="5" style="1" customWidth="1"/>
    <col min="3" max="3" width="3.25" style="1" customWidth="1"/>
    <col min="4" max="4" width="5.25" style="1" customWidth="1"/>
    <col min="5" max="5" width="1.625" style="1" customWidth="1"/>
    <col min="6" max="6" width="6.125" style="1" customWidth="1"/>
    <col min="7" max="7" width="9.625" style="1" customWidth="1"/>
    <col min="8" max="8" width="5" style="1" customWidth="1"/>
    <col min="9" max="9" width="10" style="1" customWidth="1"/>
    <col min="10" max="10" width="0.875" style="1" customWidth="1"/>
    <col min="11" max="11" width="3.375" style="1" customWidth="1"/>
    <col min="12" max="12" width="7.5" style="1" customWidth="1"/>
    <col min="13" max="13" width="3.375" style="1" customWidth="1"/>
    <col min="14" max="14" width="6" style="1" customWidth="1"/>
    <col min="15" max="15" width="2.5" style="1" customWidth="1"/>
    <col min="16" max="16" width="5.875" style="1" customWidth="1"/>
    <col min="17" max="17" width="4.875" style="1" customWidth="1"/>
    <col min="18" max="18" width="15.775" style="1" customWidth="1"/>
    <col min="19" max="19" width="10.2916666666667" style="1" customWidth="1"/>
    <col min="20" max="23" width="9" style="1"/>
    <col min="24" max="24" width="8.875" style="1" customWidth="1"/>
    <col min="25" max="16384" width="9" style="1"/>
  </cols>
  <sheetData>
    <row r="1" ht="20.1" customHeight="1" spans="1:18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</row>
    <row r="2" ht="25.2" customHeight="1" spans="1:18">
      <c r="A2" s="2" t="s">
        <v>0</v>
      </c>
      <c r="B2" s="2" t="s">
        <v>0</v>
      </c>
      <c r="C2" s="2" t="s">
        <v>0</v>
      </c>
      <c r="D2" s="2" t="s">
        <v>0</v>
      </c>
      <c r="E2" s="3"/>
      <c r="F2" s="3" t="s">
        <v>0</v>
      </c>
      <c r="G2" s="4" t="s">
        <v>1</v>
      </c>
      <c r="H2" s="5"/>
      <c r="I2" s="5"/>
      <c r="J2" s="5"/>
      <c r="K2" s="5"/>
      <c r="L2" s="5"/>
      <c r="M2" s="5"/>
      <c r="N2" s="5"/>
      <c r="O2" s="3" t="s">
        <v>0</v>
      </c>
      <c r="P2" s="3" t="s">
        <v>0</v>
      </c>
      <c r="Q2" s="2" t="s">
        <v>0</v>
      </c>
      <c r="R2" s="2" t="s">
        <v>0</v>
      </c>
    </row>
    <row r="3" ht="27" customHeight="1" spans="1:18">
      <c r="A3" s="2" t="s">
        <v>0</v>
      </c>
      <c r="B3" s="2" t="s">
        <v>0</v>
      </c>
      <c r="C3" s="2" t="s">
        <v>0</v>
      </c>
      <c r="D3" s="2" t="s">
        <v>0</v>
      </c>
      <c r="E3" s="6" t="s">
        <v>2</v>
      </c>
      <c r="F3" s="7" t="s">
        <v>0</v>
      </c>
      <c r="G3" s="7" t="s">
        <v>0</v>
      </c>
      <c r="H3" s="7" t="s">
        <v>0</v>
      </c>
      <c r="I3" s="7" t="s">
        <v>0</v>
      </c>
      <c r="J3" s="7" t="s">
        <v>0</v>
      </c>
      <c r="K3" s="7" t="s">
        <v>0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2" t="s">
        <v>0</v>
      </c>
      <c r="R3" s="2" t="s">
        <v>0</v>
      </c>
    </row>
    <row r="4" ht="13.1" customHeight="1" spans="1:18">
      <c r="A4" s="2" t="s">
        <v>0</v>
      </c>
      <c r="B4" s="2" t="s">
        <v>0</v>
      </c>
      <c r="C4" s="2" t="s">
        <v>0</v>
      </c>
      <c r="D4" s="2" t="s">
        <v>0</v>
      </c>
      <c r="E4" s="8" t="s">
        <v>3</v>
      </c>
      <c r="F4" s="9" t="s">
        <v>0</v>
      </c>
      <c r="G4" s="9" t="s">
        <v>0</v>
      </c>
      <c r="H4" s="9" t="s">
        <v>0</v>
      </c>
      <c r="I4" s="9" t="s">
        <v>0</v>
      </c>
      <c r="J4" s="9" t="s">
        <v>0</v>
      </c>
      <c r="K4" s="9" t="s">
        <v>0</v>
      </c>
      <c r="L4" s="9" t="s">
        <v>0</v>
      </c>
      <c r="M4" s="9" t="s">
        <v>0</v>
      </c>
      <c r="N4" s="9" t="s">
        <v>0</v>
      </c>
      <c r="O4" s="9" t="s">
        <v>0</v>
      </c>
      <c r="P4" s="9" t="s">
        <v>0</v>
      </c>
      <c r="Q4" s="2" t="s">
        <v>0</v>
      </c>
      <c r="R4" s="2" t="s">
        <v>0</v>
      </c>
    </row>
    <row r="5" ht="20.1" customHeight="1" spans="1:18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10" t="s">
        <v>4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</row>
    <row r="6" ht="17.1" customHeight="1" spans="1:18">
      <c r="A6" s="2" t="s">
        <v>0</v>
      </c>
      <c r="B6" s="11" t="s">
        <v>5</v>
      </c>
      <c r="C6" s="12" t="s">
        <v>0</v>
      </c>
      <c r="D6" s="11" t="s">
        <v>6</v>
      </c>
      <c r="E6" s="12" t="s">
        <v>0</v>
      </c>
      <c r="F6" s="12" t="s">
        <v>0</v>
      </c>
      <c r="G6" s="12" t="s">
        <v>0</v>
      </c>
      <c r="H6" s="13" t="s">
        <v>0</v>
      </c>
      <c r="I6" s="13" t="s">
        <v>0</v>
      </c>
      <c r="J6" s="13" t="s">
        <v>0</v>
      </c>
      <c r="K6" s="13" t="s">
        <v>0</v>
      </c>
      <c r="L6" s="13" t="s">
        <v>0</v>
      </c>
      <c r="M6" s="13" t="s">
        <v>0</v>
      </c>
      <c r="N6" s="2" t="s">
        <v>0</v>
      </c>
      <c r="O6" s="28" t="s">
        <v>7</v>
      </c>
      <c r="P6" s="29" t="s">
        <v>0</v>
      </c>
      <c r="Q6" s="29" t="s">
        <v>0</v>
      </c>
      <c r="R6" s="43">
        <v>45398</v>
      </c>
    </row>
    <row r="7" ht="33.55" customHeight="1" spans="1:18">
      <c r="A7" s="14"/>
      <c r="B7" s="15" t="s">
        <v>8</v>
      </c>
      <c r="C7" s="16" t="s">
        <v>9</v>
      </c>
      <c r="O7" s="30" t="s">
        <v>10</v>
      </c>
      <c r="P7" s="30"/>
      <c r="Q7" s="30"/>
      <c r="R7" s="23" t="s">
        <v>11</v>
      </c>
    </row>
    <row r="8" ht="38.2" customHeight="1" spans="1:18">
      <c r="A8" s="14"/>
      <c r="B8" s="17" t="s">
        <v>12</v>
      </c>
      <c r="C8" s="18"/>
      <c r="D8" s="18"/>
      <c r="E8" s="18"/>
      <c r="F8" s="19" t="s">
        <v>13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44"/>
    </row>
    <row r="9" ht="28.9" customHeight="1" spans="1:18">
      <c r="A9" s="14"/>
      <c r="B9" s="20" t="s">
        <v>14</v>
      </c>
      <c r="C9" s="21"/>
      <c r="D9" s="21"/>
      <c r="E9" s="21"/>
      <c r="F9" s="21"/>
      <c r="G9" s="20" t="s">
        <v>15</v>
      </c>
      <c r="H9" s="21"/>
      <c r="I9" s="20" t="s">
        <v>16</v>
      </c>
      <c r="J9" s="21"/>
      <c r="K9" s="31" t="s">
        <v>17</v>
      </c>
      <c r="L9" s="21"/>
      <c r="M9" s="31" t="s">
        <v>18</v>
      </c>
      <c r="N9" s="31"/>
      <c r="O9" s="32"/>
      <c r="P9" s="31" t="s">
        <v>17</v>
      </c>
      <c r="Q9" s="45"/>
      <c r="R9" s="31" t="s">
        <v>19</v>
      </c>
    </row>
    <row r="10" s="1" customFormat="1" ht="40.4" customHeight="1" spans="1:18">
      <c r="A10" s="14"/>
      <c r="B10" s="22" t="s">
        <v>20</v>
      </c>
      <c r="G10" s="23">
        <v>266</v>
      </c>
      <c r="I10" s="23" t="s">
        <v>21</v>
      </c>
      <c r="K10" s="23" t="s">
        <v>22</v>
      </c>
      <c r="M10" s="33">
        <v>64</v>
      </c>
      <c r="N10" s="33"/>
      <c r="O10" s="30"/>
      <c r="P10" s="33" t="s">
        <v>22</v>
      </c>
      <c r="Q10" s="46"/>
      <c r="R10" s="33">
        <f>SUM(G10*M10)</f>
        <v>17024</v>
      </c>
    </row>
    <row r="11" s="1" customFormat="1" ht="40.4" customHeight="1" spans="1:18">
      <c r="A11" s="14"/>
      <c r="B11" s="22" t="s">
        <v>23</v>
      </c>
      <c r="G11" s="23">
        <v>1</v>
      </c>
      <c r="I11" s="22" t="s">
        <v>24</v>
      </c>
      <c r="K11" s="23" t="s">
        <v>22</v>
      </c>
      <c r="M11" s="33">
        <v>2200</v>
      </c>
      <c r="N11" s="33"/>
      <c r="O11" s="30"/>
      <c r="P11" s="33" t="s">
        <v>22</v>
      </c>
      <c r="Q11" s="46"/>
      <c r="R11" s="33">
        <f>SUM(G11*M11)</f>
        <v>2200</v>
      </c>
    </row>
    <row r="12" s="1" customFormat="1" ht="40.4" customHeight="1" spans="1:18">
      <c r="A12" s="14"/>
      <c r="B12" s="22" t="s">
        <v>25</v>
      </c>
      <c r="G12" s="23">
        <v>1</v>
      </c>
      <c r="I12" s="22" t="s">
        <v>26</v>
      </c>
      <c r="K12" s="23" t="s">
        <v>22</v>
      </c>
      <c r="M12" s="33">
        <v>100</v>
      </c>
      <c r="N12" s="33"/>
      <c r="O12" s="30"/>
      <c r="P12" s="33" t="s">
        <v>22</v>
      </c>
      <c r="Q12" s="46"/>
      <c r="R12" s="33">
        <v>100</v>
      </c>
    </row>
    <row r="13" ht="20.1" customHeight="1" spans="1:18">
      <c r="A13" s="2" t="s">
        <v>0</v>
      </c>
      <c r="B13" s="24" t="s">
        <v>0</v>
      </c>
      <c r="C13" s="24" t="s">
        <v>0</v>
      </c>
      <c r="D13" s="24" t="s">
        <v>0</v>
      </c>
      <c r="E13" s="24" t="s">
        <v>0</v>
      </c>
      <c r="F13" s="24" t="s">
        <v>0</v>
      </c>
      <c r="G13" s="24" t="s">
        <v>0</v>
      </c>
      <c r="H13" s="24" t="s">
        <v>0</v>
      </c>
      <c r="I13" s="24" t="s">
        <v>0</v>
      </c>
      <c r="J13" s="24" t="s">
        <v>0</v>
      </c>
      <c r="K13" s="34" t="s">
        <v>27</v>
      </c>
      <c r="L13" s="35" t="s">
        <v>0</v>
      </c>
      <c r="M13" s="35" t="s">
        <v>0</v>
      </c>
      <c r="N13" s="36"/>
      <c r="O13" s="37" t="s">
        <v>0</v>
      </c>
      <c r="P13" s="38" t="str">
        <f>P10</f>
        <v>RMB</v>
      </c>
      <c r="Q13" s="38"/>
      <c r="R13" s="38">
        <f>SUM(R10:R12)</f>
        <v>19324</v>
      </c>
    </row>
    <row r="14" ht="24" customHeight="1" spans="1:18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/>
    </row>
    <row r="15" ht="20.1" customHeight="1" spans="1:18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39" t="s">
        <v>28</v>
      </c>
      <c r="M15" s="40" t="s">
        <v>0</v>
      </c>
      <c r="N15" s="40" t="s">
        <v>0</v>
      </c>
      <c r="O15" s="40" t="s">
        <v>0</v>
      </c>
      <c r="P15" s="40" t="s">
        <v>0</v>
      </c>
      <c r="Q15" s="40" t="s">
        <v>0</v>
      </c>
      <c r="R15" s="40" t="s">
        <v>0</v>
      </c>
    </row>
    <row r="16" ht="20.1" customHeight="1" spans="1:18">
      <c r="A16" s="2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41" t="s">
        <v>29</v>
      </c>
      <c r="M16" s="42" t="s">
        <v>0</v>
      </c>
      <c r="N16" s="42" t="s">
        <v>0</v>
      </c>
      <c r="O16" s="42" t="s">
        <v>0</v>
      </c>
      <c r="P16" s="42" t="s">
        <v>0</v>
      </c>
      <c r="Q16" s="42" t="s">
        <v>0</v>
      </c>
      <c r="R16" s="42" t="s">
        <v>0</v>
      </c>
    </row>
    <row r="17" ht="9.95" customHeight="1" spans="1:18">
      <c r="A17" s="2" t="s">
        <v>0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</row>
    <row r="18" ht="111" customHeight="1" spans="1:18">
      <c r="A18" s="25" t="s">
        <v>30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customHeight="1" spans="1:18">
      <c r="A19" s="27" t="s">
        <v>31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ht="62.1" customHeight="1" spans="1:18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</row>
  </sheetData>
  <mergeCells count="42">
    <mergeCell ref="G2:N2"/>
    <mergeCell ref="E3:P3"/>
    <mergeCell ref="E4:P4"/>
    <mergeCell ref="B6:C6"/>
    <mergeCell ref="D6:G6"/>
    <mergeCell ref="O6:Q6"/>
    <mergeCell ref="C7:N7"/>
    <mergeCell ref="O7:Q7"/>
    <mergeCell ref="B8:E8"/>
    <mergeCell ref="F8:R8"/>
    <mergeCell ref="B9:F9"/>
    <mergeCell ref="G9:H9"/>
    <mergeCell ref="I9:J9"/>
    <mergeCell ref="K9:L9"/>
    <mergeCell ref="M9:N9"/>
    <mergeCell ref="P9:Q9"/>
    <mergeCell ref="B10:F10"/>
    <mergeCell ref="G10:H10"/>
    <mergeCell ref="I10:J10"/>
    <mergeCell ref="K10:L10"/>
    <mergeCell ref="M10:N10"/>
    <mergeCell ref="P10:Q10"/>
    <mergeCell ref="B11:F11"/>
    <mergeCell ref="G11:H11"/>
    <mergeCell ref="I11:J11"/>
    <mergeCell ref="K11:L11"/>
    <mergeCell ref="M11:N11"/>
    <mergeCell ref="P11:Q11"/>
    <mergeCell ref="B12:F12"/>
    <mergeCell ref="G12:H12"/>
    <mergeCell ref="I12:J12"/>
    <mergeCell ref="K12:L12"/>
    <mergeCell ref="M12:N12"/>
    <mergeCell ref="P12:Q12"/>
    <mergeCell ref="K13:M13"/>
    <mergeCell ref="N13:O13"/>
    <mergeCell ref="P13:Q13"/>
    <mergeCell ref="L15:R15"/>
    <mergeCell ref="L16:R16"/>
    <mergeCell ref="A18:R18"/>
    <mergeCell ref="A19:R19"/>
    <mergeCell ref="H5:M6"/>
  </mergeCells>
  <pageMargins left="0" right="0" top="0" bottom="0" header="0" footer="0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debtNote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Summer</cp:lastModifiedBy>
  <dcterms:created xsi:type="dcterms:W3CDTF">2022-07-06T01:38:00Z</dcterms:created>
  <dcterms:modified xsi:type="dcterms:W3CDTF">2024-04-16T08:43:08Z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061D09E531134AFC80C5588A297AF9C6_13</vt:lpwstr>
  </property>
  <property fmtid="{D5CDD505-2E9C-101B-9397-08002B2CF9AE}" pid="3" name="KSOProductBuildVer">
    <vt:lpwstr>2052-12.1.0.16729</vt:lpwstr>
  </property>
</Properties>
</file>