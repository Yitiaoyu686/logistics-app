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 activeTab="1"/>
  </bookViews>
  <sheets>
    <sheet name="总欠" sheetId="1" r:id="rId1"/>
    <sheet name="1" sheetId="5" r:id="rId2"/>
  </sheets>
  <definedNames>
    <definedName name="_xlnm.Print_Area" localSheetId="1">'1'!$A$1:$H$9</definedName>
  </definedNames>
  <calcPr calcId="144525"/>
</workbook>
</file>

<file path=xl/sharedStrings.xml><?xml version="1.0" encoding="utf-8"?>
<sst xmlns="http://schemas.openxmlformats.org/spreadsheetml/2006/main" count="48" uniqueCount="21">
  <si>
    <t>朗信10月份对帐单</t>
  </si>
  <si>
    <t>日期</t>
  </si>
  <si>
    <t>提单号码</t>
  </si>
  <si>
    <t>起运港</t>
  </si>
  <si>
    <t>目的港</t>
  </si>
  <si>
    <t>件数</t>
  </si>
  <si>
    <t>重量</t>
  </si>
  <si>
    <t>应收RMB</t>
  </si>
  <si>
    <t>备注</t>
  </si>
  <si>
    <t>2019.10.03</t>
  </si>
  <si>
    <t>071-3539 3131</t>
  </si>
  <si>
    <t>HKG</t>
  </si>
  <si>
    <t>LOS</t>
  </si>
  <si>
    <t>100105/100106</t>
  </si>
  <si>
    <t>2019.10.18</t>
  </si>
  <si>
    <t>071-3554 1166</t>
  </si>
  <si>
    <t>2019.10.25</t>
  </si>
  <si>
    <t>071-3561 8004</t>
  </si>
  <si>
    <t>支付：朗信明细</t>
  </si>
  <si>
    <t>支付</t>
  </si>
  <si>
    <t>欠</t>
  </si>
</sst>
</file>

<file path=xl/styles.xml><?xml version="1.0" encoding="utf-8"?>
<styleSheet xmlns="http://schemas.openxmlformats.org/spreadsheetml/2006/main">
  <numFmts count="6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6" formatCode="&quot;JOB&quot;000000"/>
    <numFmt numFmtId="177" formatCode="&quot;￥&quot;#,##0.00_);[Red]\(&quot;￥&quot;#,##0.00\)"/>
  </numFmts>
  <fonts count="25">
    <font>
      <sz val="11"/>
      <color theme="1"/>
      <name val="宋体"/>
      <charset val="134"/>
      <scheme val="minor"/>
    </font>
    <font>
      <sz val="12"/>
      <color theme="1"/>
      <name val="Shruti"/>
      <charset val="134"/>
    </font>
    <font>
      <sz val="16"/>
      <color theme="1"/>
      <name val="宋体"/>
      <charset val="134"/>
      <scheme val="minor"/>
    </font>
    <font>
      <b/>
      <sz val="11"/>
      <name val="宋体"/>
      <charset val="134"/>
    </font>
    <font>
      <sz val="12"/>
      <name val="Shruti"/>
      <charset val="134"/>
    </font>
    <font>
      <sz val="11"/>
      <color theme="1"/>
      <name val="微软雅黑"/>
      <charset val="134"/>
    </font>
    <font>
      <b/>
      <sz val="11"/>
      <color rgb="FF3F3F3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3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7" applyNumberFormat="0" applyFont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6" fillId="2" borderId="4" applyNumberFormat="0" applyAlignment="0" applyProtection="0">
      <alignment vertical="center"/>
    </xf>
    <xf numFmtId="0" fontId="22" fillId="2" borderId="5" applyNumberFormat="0" applyAlignment="0" applyProtection="0">
      <alignment vertical="center"/>
    </xf>
    <xf numFmtId="0" fontId="16" fillId="19" borderId="9" applyNumberFormat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58" fontId="4" fillId="0" borderId="3" xfId="0" applyNumberFormat="1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177" fontId="4" fillId="0" borderId="3" xfId="0" applyNumberFormat="1" applyFont="1" applyFill="1" applyBorder="1" applyAlignment="1">
      <alignment horizontal="center" vertical="center"/>
    </xf>
    <xf numFmtId="176" fontId="1" fillId="0" borderId="3" xfId="0" applyNumberFormat="1" applyFont="1" applyBorder="1" applyAlignment="1">
      <alignment horizontal="center" vertical="center"/>
    </xf>
    <xf numFmtId="58" fontId="0" fillId="0" borderId="3" xfId="0" applyNumberFormat="1" applyBorder="1" applyAlignment="1">
      <alignment horizontal="center" vertical="center"/>
    </xf>
    <xf numFmtId="177" fontId="0" fillId="0" borderId="3" xfId="0" applyNumberFormat="1" applyFill="1" applyBorder="1" applyAlignment="1">
      <alignment horizontal="center" vertical="center"/>
    </xf>
    <xf numFmtId="176" fontId="1" fillId="0" borderId="3" xfId="0" applyNumberFormat="1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3" xfId="0" applyBorder="1">
      <alignment vertical="center"/>
    </xf>
    <xf numFmtId="177" fontId="0" fillId="0" borderId="3" xfId="0" applyNumberFormat="1" applyBorder="1" applyAlignment="1">
      <alignment horizontal="center" vertical="center"/>
    </xf>
    <xf numFmtId="176" fontId="0" fillId="0" borderId="0" xfId="0" applyNumberFormat="1">
      <alignment vertical="center"/>
    </xf>
    <xf numFmtId="0" fontId="2" fillId="0" borderId="0" xfId="0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176" fontId="0" fillId="0" borderId="3" xfId="0" applyNumberFormat="1" applyBorder="1" applyAlignment="1">
      <alignment horizontal="center" vertical="center"/>
    </xf>
    <xf numFmtId="177" fontId="5" fillId="0" borderId="3" xfId="0" applyNumberFormat="1" applyFont="1" applyBorder="1">
      <alignment vertical="center"/>
    </xf>
    <xf numFmtId="176" fontId="0" fillId="0" borderId="3" xfId="0" applyNumberFormat="1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workbookViewId="0">
      <selection activeCell="A3" sqref="$A3:$XFD4"/>
    </sheetView>
  </sheetViews>
  <sheetFormatPr defaultColWidth="9" defaultRowHeight="13.5" outlineLevelRow="5" outlineLevelCol="7"/>
  <cols>
    <col min="1" max="1" width="12.4833333333333" customWidth="1"/>
    <col min="2" max="2" width="16.5" customWidth="1"/>
    <col min="3" max="3" width="8" customWidth="1"/>
    <col min="5" max="5" width="6.64166666666667" customWidth="1"/>
    <col min="6" max="6" width="6.70833333333333" customWidth="1"/>
    <col min="7" max="7" width="16" customWidth="1"/>
    <col min="8" max="8" width="17.375" style="17" customWidth="1"/>
  </cols>
  <sheetData>
    <row r="1" ht="36" customHeight="1" spans="1:8">
      <c r="A1" s="18" t="s">
        <v>0</v>
      </c>
      <c r="B1" s="18"/>
      <c r="C1" s="18"/>
      <c r="D1" s="18"/>
      <c r="E1" s="18"/>
      <c r="F1" s="18"/>
      <c r="G1" s="18"/>
      <c r="H1" s="19"/>
    </row>
    <row r="2" s="1" customFormat="1" ht="39" customHeight="1" spans="1:8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5" t="s">
        <v>7</v>
      </c>
      <c r="H2" s="20" t="s">
        <v>8</v>
      </c>
    </row>
    <row r="3" s="2" customFormat="1" ht="29" customHeight="1" spans="1:8">
      <c r="A3" s="7" t="s">
        <v>9</v>
      </c>
      <c r="B3" s="8" t="s">
        <v>10</v>
      </c>
      <c r="C3" s="8" t="s">
        <v>11</v>
      </c>
      <c r="D3" s="8" t="s">
        <v>12</v>
      </c>
      <c r="E3" s="8">
        <v>43</v>
      </c>
      <c r="F3" s="8">
        <v>2415</v>
      </c>
      <c r="G3" s="9">
        <v>61275</v>
      </c>
      <c r="H3" s="13" t="s">
        <v>13</v>
      </c>
    </row>
    <row r="4" s="2" customFormat="1" ht="29" customHeight="1" spans="1:8">
      <c r="A4" s="7" t="s">
        <v>14</v>
      </c>
      <c r="B4" s="8" t="s">
        <v>15</v>
      </c>
      <c r="C4" s="8" t="s">
        <v>11</v>
      </c>
      <c r="D4" s="8" t="s">
        <v>12</v>
      </c>
      <c r="E4" s="8">
        <v>32</v>
      </c>
      <c r="F4" s="8">
        <v>2166</v>
      </c>
      <c r="G4" s="9">
        <v>55050</v>
      </c>
      <c r="H4" s="13">
        <v>100134</v>
      </c>
    </row>
    <row r="5" s="2" customFormat="1" ht="29" customHeight="1" spans="1:8">
      <c r="A5" s="7" t="s">
        <v>16</v>
      </c>
      <c r="B5" s="8" t="s">
        <v>17</v>
      </c>
      <c r="C5" s="8" t="s">
        <v>11</v>
      </c>
      <c r="D5" s="8" t="s">
        <v>12</v>
      </c>
      <c r="E5" s="8">
        <v>38</v>
      </c>
      <c r="F5" s="8">
        <v>1460</v>
      </c>
      <c r="G5" s="9">
        <v>37370</v>
      </c>
      <c r="H5" s="10">
        <v>100148</v>
      </c>
    </row>
    <row r="6" ht="29" customHeight="1" spans="1:8">
      <c r="A6" s="15"/>
      <c r="B6" s="15"/>
      <c r="C6" s="15"/>
      <c r="D6" s="15"/>
      <c r="E6" s="15"/>
      <c r="F6" s="15"/>
      <c r="G6" s="21">
        <f>SUM(G3:G5)</f>
        <v>153695</v>
      </c>
      <c r="H6" s="22"/>
    </row>
  </sheetData>
  <mergeCells count="1">
    <mergeCell ref="A1:H1"/>
  </mergeCells>
  <pageMargins left="0.550694444444444" right="0.472222222222222" top="0.472222222222222" bottom="1" header="0.236111111111111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"/>
  <sheetViews>
    <sheetView tabSelected="1" workbookViewId="0">
      <selection activeCell="G7" sqref="G7"/>
    </sheetView>
  </sheetViews>
  <sheetFormatPr defaultColWidth="9" defaultRowHeight="13.5" outlineLevelCol="7"/>
  <cols>
    <col min="1" max="1" width="12.4833333333333" customWidth="1"/>
    <col min="2" max="2" width="16.5" customWidth="1"/>
    <col min="3" max="3" width="7.875" customWidth="1"/>
    <col min="5" max="5" width="6.64166666666667" customWidth="1"/>
    <col min="6" max="6" width="6.70833333333333" customWidth="1"/>
    <col min="7" max="7" width="16" customWidth="1"/>
    <col min="8" max="8" width="18.65" customWidth="1"/>
  </cols>
  <sheetData>
    <row r="1" ht="36" customHeight="1" spans="1:8">
      <c r="A1" s="3" t="s">
        <v>18</v>
      </c>
      <c r="B1" s="3"/>
      <c r="C1" s="3"/>
      <c r="D1" s="3"/>
      <c r="E1" s="3"/>
      <c r="F1" s="3"/>
      <c r="G1" s="3"/>
      <c r="H1" s="3"/>
    </row>
    <row r="2" s="1" customFormat="1" ht="29" customHeight="1" spans="1:8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5" t="s">
        <v>7</v>
      </c>
      <c r="H2" s="6" t="s">
        <v>8</v>
      </c>
    </row>
    <row r="3" s="2" customFormat="1" ht="29" customHeight="1" spans="1:8">
      <c r="A3" s="7" t="s">
        <v>16</v>
      </c>
      <c r="B3" s="8" t="s">
        <v>17</v>
      </c>
      <c r="C3" s="8" t="s">
        <v>11</v>
      </c>
      <c r="D3" s="8" t="s">
        <v>12</v>
      </c>
      <c r="E3" s="8">
        <v>38</v>
      </c>
      <c r="F3" s="8">
        <v>1460</v>
      </c>
      <c r="G3" s="9">
        <v>37370</v>
      </c>
      <c r="H3" s="10">
        <v>100148</v>
      </c>
    </row>
    <row r="4" s="1" customFormat="1" ht="29" customHeight="1" spans="1:8">
      <c r="A4" s="11">
        <v>43796</v>
      </c>
      <c r="B4" s="6" t="s">
        <v>19</v>
      </c>
      <c r="C4" s="6"/>
      <c r="D4" s="6"/>
      <c r="E4" s="6"/>
      <c r="F4" s="6"/>
      <c r="G4" s="12">
        <v>-37370</v>
      </c>
      <c r="H4" s="6"/>
    </row>
    <row r="5" s="2" customFormat="1" ht="46" customHeight="1" spans="1:8">
      <c r="A5" s="7" t="s">
        <v>9</v>
      </c>
      <c r="B5" s="8" t="s">
        <v>10</v>
      </c>
      <c r="C5" s="8" t="s">
        <v>11</v>
      </c>
      <c r="D5" s="8" t="s">
        <v>12</v>
      </c>
      <c r="E5" s="8">
        <v>43</v>
      </c>
      <c r="F5" s="8">
        <v>2415</v>
      </c>
      <c r="G5" s="9">
        <v>61275</v>
      </c>
      <c r="H5" s="13" t="s">
        <v>13</v>
      </c>
    </row>
    <row r="6" s="2" customFormat="1" ht="29" customHeight="1" spans="1:8">
      <c r="A6" s="7">
        <v>43802</v>
      </c>
      <c r="B6" s="8" t="s">
        <v>19</v>
      </c>
      <c r="C6" s="8"/>
      <c r="D6" s="8"/>
      <c r="E6" s="8"/>
      <c r="F6" s="8"/>
      <c r="G6" s="9">
        <v>-61275</v>
      </c>
      <c r="H6" s="13"/>
    </row>
    <row r="7" s="2" customFormat="1" ht="29" customHeight="1" spans="1:8">
      <c r="A7" s="7" t="s">
        <v>14</v>
      </c>
      <c r="B7" s="8" t="s">
        <v>15</v>
      </c>
      <c r="C7" s="8" t="s">
        <v>11</v>
      </c>
      <c r="D7" s="8" t="s">
        <v>12</v>
      </c>
      <c r="E7" s="8">
        <v>32</v>
      </c>
      <c r="F7" s="8">
        <v>2166</v>
      </c>
      <c r="G7" s="9">
        <v>55050</v>
      </c>
      <c r="H7" s="13">
        <v>100134</v>
      </c>
    </row>
    <row r="8" s="2" customFormat="1" ht="29" customHeight="1" spans="1:8">
      <c r="A8" s="7">
        <v>43818</v>
      </c>
      <c r="B8" s="8" t="s">
        <v>19</v>
      </c>
      <c r="C8" s="8"/>
      <c r="D8" s="8"/>
      <c r="E8" s="8"/>
      <c r="F8" s="8"/>
      <c r="G8" s="9">
        <v>-55050</v>
      </c>
      <c r="H8" s="13"/>
    </row>
    <row r="9" ht="29" customHeight="1" spans="1:8">
      <c r="A9" s="14" t="s">
        <v>20</v>
      </c>
      <c r="B9" s="15"/>
      <c r="C9" s="15"/>
      <c r="D9" s="15"/>
      <c r="E9" s="15"/>
      <c r="F9" s="15"/>
      <c r="G9" s="16">
        <f>SUM(G3:G8)</f>
        <v>0</v>
      </c>
      <c r="H9" s="15"/>
    </row>
  </sheetData>
  <mergeCells count="1">
    <mergeCell ref="A1:H1"/>
  </mergeCells>
  <pageMargins left="0.472222222222222" right="0.432638888888889" top="0.629861111111111" bottom="1" header="0.236111111111111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总欠</vt:lpstr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GreatWall</dc:creator>
  <cp:lastModifiedBy>/mg</cp:lastModifiedBy>
  <dcterms:created xsi:type="dcterms:W3CDTF">2019-07-03T10:01:00Z</dcterms:created>
  <dcterms:modified xsi:type="dcterms:W3CDTF">2019-12-19T02:07:21Z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2052-11.1.0.9305</vt:lpwstr>
  </property>
</Properties>
</file>