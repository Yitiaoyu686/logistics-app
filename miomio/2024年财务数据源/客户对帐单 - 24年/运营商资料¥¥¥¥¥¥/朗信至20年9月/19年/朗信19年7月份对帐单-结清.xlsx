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4"/>
  </bookViews>
  <sheets>
    <sheet name="总欠" sheetId="1" r:id="rId1"/>
    <sheet name="8月1日私账支付" sheetId="2" r:id="rId2"/>
    <sheet name="8月13日私账支付" sheetId="3" r:id="rId3"/>
    <sheet name="8月15日私账支付" sheetId="4" r:id="rId4"/>
    <sheet name="8月21日私账支付" sheetId="5" r:id="rId5"/>
  </sheets>
  <calcPr calcId="144525"/>
</workbook>
</file>

<file path=xl/sharedStrings.xml><?xml version="1.0" encoding="utf-8"?>
<sst xmlns="http://schemas.openxmlformats.org/spreadsheetml/2006/main" count="105" uniqueCount="30">
  <si>
    <t>朗信7月份对帐单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</si>
  <si>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</si>
  <si>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</si>
  <si>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</si>
  <si>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</si>
  <si>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</si>
  <si>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</si>
  <si>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</si>
  <si>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</si>
  <si>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2019.07.03</t>
  </si>
  <si>
    <t>071-3459 9106</t>
  </si>
  <si>
    <t>HKG</t>
  </si>
  <si>
    <t>LOS</t>
  </si>
  <si>
    <t>JOB060145
JOB070078</t>
  </si>
  <si>
    <t>2019.07.10</t>
  </si>
  <si>
    <t>071-3477 1144</t>
  </si>
  <si>
    <t>JOB070094</t>
  </si>
  <si>
    <t>2019.07.16</t>
  </si>
  <si>
    <t>071-3477 2850</t>
  </si>
  <si>
    <t>JOB070112</t>
  </si>
  <si>
    <t>2019.07.20</t>
  </si>
  <si>
    <t>071-3477 7455</t>
  </si>
  <si>
    <t>JOB070123</t>
  </si>
  <si>
    <t>2019.07.23</t>
  </si>
  <si>
    <t xml:space="preserve">071-3477 8542   </t>
  </si>
  <si>
    <t>JOB070127</t>
  </si>
  <si>
    <t>2019.07.31</t>
  </si>
  <si>
    <t>071-3490 8613</t>
  </si>
  <si>
    <t>JOB070151</t>
  </si>
  <si>
    <t>支付：朗信明细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</si>
</sst>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16" borderId="11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58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2" borderId="0" xfId="0" applyFill="1" applyAlignment="1">
      <alignment horizontal="center" vertical="center"/>
    </xf>
    <xf numFmtId="58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G6" sqref="G6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19" t="s">
        <v>0</v>
      </c>
      <c r="B1" s="19"/>
      <c r="C1" s="19"/>
      <c r="D1" s="19"/>
      <c r="E1" s="19"/>
      <c r="F1" s="19"/>
      <c r="G1" s="19"/>
      <c r="H1" s="19"/>
    </row>
    <row r="2" s="1" customFormat="1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29" customHeight="1" spans="1:8">
      <c r="A3" s="6" t="s">
        <v>9</v>
      </c>
      <c r="B3" s="7" t="s">
        <v>10</v>
      </c>
      <c r="C3" s="8" t="s">
        <v>11</v>
      </c>
      <c r="D3" s="8" t="s">
        <v>12</v>
      </c>
      <c r="E3" s="8">
        <v>44</v>
      </c>
      <c r="F3" s="8">
        <v>2060</v>
      </c>
      <c r="G3" s="9">
        <v>51480</v>
      </c>
      <c r="H3" s="20" t="s">
        <v>13</v>
      </c>
    </row>
    <row r="4" s="1" customFormat="1" ht="29" customHeight="1" spans="1:8">
      <c r="A4" s="6" t="s">
        <v>14</v>
      </c>
      <c r="B4" s="7" t="s">
        <v>15</v>
      </c>
      <c r="C4" s="8" t="s">
        <v>11</v>
      </c>
      <c r="D4" s="8" t="s">
        <v>12</v>
      </c>
      <c r="E4" s="8">
        <v>25</v>
      </c>
      <c r="F4" s="8">
        <v>1599</v>
      </c>
      <c r="G4" s="9">
        <v>39366.2</v>
      </c>
      <c r="H4" s="20" t="s">
        <v>16</v>
      </c>
    </row>
    <row r="5" s="1" customFormat="1" ht="29" customHeight="1" spans="1:8">
      <c r="A5" s="6" t="s">
        <v>17</v>
      </c>
      <c r="B5" s="7" t="s">
        <v>18</v>
      </c>
      <c r="C5" s="8" t="s">
        <v>11</v>
      </c>
      <c r="D5" s="8" t="s">
        <v>12</v>
      </c>
      <c r="E5" s="8">
        <v>18</v>
      </c>
      <c r="F5" s="8">
        <v>745</v>
      </c>
      <c r="G5" s="9">
        <v>18611</v>
      </c>
      <c r="H5" s="5" t="s">
        <v>19</v>
      </c>
    </row>
    <row r="6" s="1" customFormat="1" ht="29" customHeight="1" spans="1:8">
      <c r="A6" s="6" t="s">
        <v>20</v>
      </c>
      <c r="B6" s="7" t="s">
        <v>21</v>
      </c>
      <c r="C6" s="8" t="s">
        <v>11</v>
      </c>
      <c r="D6" s="8" t="s">
        <v>12</v>
      </c>
      <c r="E6" s="8">
        <v>21</v>
      </c>
      <c r="F6" s="8">
        <v>1814</v>
      </c>
      <c r="G6" s="9">
        <v>43690.4</v>
      </c>
      <c r="H6" s="5" t="s">
        <v>22</v>
      </c>
    </row>
    <row r="7" s="1" customFormat="1" ht="29" customHeight="1" spans="1:8">
      <c r="A7" s="6" t="s">
        <v>23</v>
      </c>
      <c r="B7" s="7" t="s">
        <v>24</v>
      </c>
      <c r="C7" s="8" t="s">
        <v>11</v>
      </c>
      <c r="D7" s="8" t="s">
        <v>12</v>
      </c>
      <c r="E7" s="8">
        <v>44</v>
      </c>
      <c r="F7" s="8">
        <v>2349</v>
      </c>
      <c r="G7" s="9">
        <v>56316.4</v>
      </c>
      <c r="H7" s="5" t="s">
        <v>25</v>
      </c>
    </row>
    <row r="8" s="1" customFormat="1" ht="29" customHeight="1" spans="1:8">
      <c r="A8" s="6" t="s">
        <v>26</v>
      </c>
      <c r="B8" s="7" t="s">
        <v>27</v>
      </c>
      <c r="C8" s="8" t="s">
        <v>11</v>
      </c>
      <c r="D8" s="8" t="s">
        <v>12</v>
      </c>
      <c r="E8" s="8">
        <v>22</v>
      </c>
      <c r="F8" s="8">
        <v>4443</v>
      </c>
      <c r="G8" s="9">
        <v>106179.1</v>
      </c>
      <c r="H8" s="5" t="s">
        <v>28</v>
      </c>
    </row>
    <row r="9" ht="29" customHeight="1" spans="1:8">
      <c r="A9" s="10"/>
      <c r="B9" s="10"/>
      <c r="C9" s="10"/>
      <c r="D9" s="10"/>
      <c r="E9" s="10"/>
      <c r="F9" s="10"/>
      <c r="G9" s="11">
        <f>SUM(G3:G8)</f>
        <v>315643.1</v>
      </c>
      <c r="H9" s="10"/>
    </row>
  </sheetData>
  <mergeCells count="1">
    <mergeCell ref="A1:H1"/>
  </mergeCells>
  <pageMargins left="0.550694444444444" right="0.66875" top="0.314583333333333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$A1:$XFD1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2" t="s">
        <v>29</v>
      </c>
      <c r="B1" s="2"/>
      <c r="C1" s="2"/>
      <c r="D1" s="2"/>
      <c r="E1" s="2"/>
      <c r="F1" s="2"/>
      <c r="G1" s="2"/>
      <c r="H1" s="2"/>
    </row>
    <row r="2" s="1" customFormat="1" ht="39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2" customFormat="1" ht="37" customHeight="1" spans="1:8">
      <c r="A3" s="13" t="s">
        <v>9</v>
      </c>
      <c r="B3" s="14" t="s">
        <v>10</v>
      </c>
      <c r="C3" s="15" t="s">
        <v>11</v>
      </c>
      <c r="D3" s="15" t="s">
        <v>12</v>
      </c>
      <c r="E3" s="15">
        <v>44</v>
      </c>
      <c r="F3" s="15">
        <v>2060</v>
      </c>
      <c r="G3" s="16">
        <v>51480</v>
      </c>
      <c r="H3" s="17" t="s">
        <v>13</v>
      </c>
    </row>
    <row r="4" s="12" customFormat="1" ht="29" customHeight="1" spans="1:8">
      <c r="A4" s="13" t="s">
        <v>14</v>
      </c>
      <c r="B4" s="14" t="s">
        <v>15</v>
      </c>
      <c r="C4" s="15" t="s">
        <v>11</v>
      </c>
      <c r="D4" s="15" t="s">
        <v>12</v>
      </c>
      <c r="E4" s="15">
        <v>25</v>
      </c>
      <c r="F4" s="15">
        <v>1599</v>
      </c>
      <c r="G4" s="16">
        <v>39366.2</v>
      </c>
      <c r="H4" s="17" t="s">
        <v>16</v>
      </c>
    </row>
    <row r="5" s="12" customFormat="1" ht="29" customHeight="1" spans="1:8">
      <c r="A5" s="13" t="s">
        <v>17</v>
      </c>
      <c r="B5" s="14" t="s">
        <v>18</v>
      </c>
      <c r="C5" s="15" t="s">
        <v>11</v>
      </c>
      <c r="D5" s="15" t="s">
        <v>12</v>
      </c>
      <c r="E5" s="15">
        <v>18</v>
      </c>
      <c r="F5" s="15">
        <v>745</v>
      </c>
      <c r="G5" s="16">
        <v>18611</v>
      </c>
      <c r="H5" s="18" t="s">
        <v>19</v>
      </c>
    </row>
    <row r="6" ht="29" customHeight="1" spans="1:8">
      <c r="A6" s="10"/>
      <c r="B6" s="10"/>
      <c r="C6" s="10"/>
      <c r="D6" s="10"/>
      <c r="E6" s="10"/>
      <c r="F6" s="10"/>
      <c r="G6" s="11">
        <f>SUM(G3:G5)</f>
        <v>109457.2</v>
      </c>
      <c r="H6" s="10"/>
    </row>
  </sheetData>
  <mergeCells count="1">
    <mergeCell ref="A1:H1"/>
  </mergeCells>
  <pageMargins left="0.550694444444444" right="0.66875" top="0.472222222222222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1"/>
    </sheetView>
  </sheetViews>
  <sheetFormatPr defaultColWidth="9" defaultRowHeight="13.5" outlineLevelRow="3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2" t="s">
        <v>29</v>
      </c>
      <c r="B1" s="2"/>
      <c r="C1" s="2"/>
      <c r="D1" s="2"/>
      <c r="E1" s="2"/>
      <c r="F1" s="2"/>
      <c r="G1" s="2"/>
      <c r="H1" s="2"/>
    </row>
    <row r="2" s="1" customFormat="1" ht="43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43" customHeight="1" spans="1:8">
      <c r="A3" s="6" t="s">
        <v>20</v>
      </c>
      <c r="B3" s="7" t="s">
        <v>21</v>
      </c>
      <c r="C3" s="8" t="s">
        <v>11</v>
      </c>
      <c r="D3" s="8" t="s">
        <v>12</v>
      </c>
      <c r="E3" s="8">
        <v>21</v>
      </c>
      <c r="F3" s="8">
        <v>1814</v>
      </c>
      <c r="G3" s="9">
        <v>43690.4</v>
      </c>
      <c r="H3" s="5" t="s">
        <v>22</v>
      </c>
    </row>
    <row r="4" ht="43" customHeight="1" spans="1:8">
      <c r="A4" s="10"/>
      <c r="B4" s="10"/>
      <c r="C4" s="10"/>
      <c r="D4" s="10"/>
      <c r="E4" s="10"/>
      <c r="F4" s="10"/>
      <c r="G4" s="11">
        <f>SUM(G3:G3)</f>
        <v>43690.4</v>
      </c>
      <c r="H4" s="10"/>
    </row>
  </sheetData>
  <mergeCells count="1">
    <mergeCell ref="A1:H1"/>
  </mergeCells>
  <pageMargins left="0.550694444444444" right="0.66875" top="1.18055555555556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$A1:$XFD1"/>
    </sheetView>
  </sheetViews>
  <sheetFormatPr defaultColWidth="9" defaultRowHeight="13.5" outlineLevelRow="3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2" t="s">
        <v>29</v>
      </c>
      <c r="B1" s="2"/>
      <c r="C1" s="2"/>
      <c r="D1" s="2"/>
      <c r="E1" s="2"/>
      <c r="F1" s="2"/>
      <c r="G1" s="2"/>
      <c r="H1" s="2"/>
    </row>
    <row r="2" s="1" customFormat="1" ht="54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54" customHeight="1" spans="1:8">
      <c r="A3" s="6" t="s">
        <v>26</v>
      </c>
      <c r="B3" s="7" t="s">
        <v>27</v>
      </c>
      <c r="C3" s="8" t="s">
        <v>11</v>
      </c>
      <c r="D3" s="8" t="s">
        <v>12</v>
      </c>
      <c r="E3" s="8">
        <v>22</v>
      </c>
      <c r="F3" s="8">
        <v>4443</v>
      </c>
      <c r="G3" s="9">
        <v>106179.1</v>
      </c>
      <c r="H3" s="5" t="s">
        <v>28</v>
      </c>
    </row>
    <row r="4" ht="54" customHeight="1" spans="1:8">
      <c r="A4" s="10"/>
      <c r="B4" s="10"/>
      <c r="C4" s="10"/>
      <c r="D4" s="10"/>
      <c r="E4" s="10"/>
      <c r="F4" s="10"/>
      <c r="G4" s="11">
        <f>SUM(G3:G3)</f>
        <v>106179.1</v>
      </c>
      <c r="H4" s="10"/>
    </row>
  </sheetData>
  <mergeCells count="1">
    <mergeCell ref="A1:H1"/>
  </mergeCells>
  <pageMargins left="0.550694444444444" right="0.66875" top="0.904861111111111" bottom="1" header="0.236111111111111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3" sqref="D3"/>
    </sheetView>
  </sheetViews>
  <sheetFormatPr defaultColWidth="9" defaultRowHeight="13.5" outlineLevelRow="3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customWidth="1"/>
    <col min="8" max="8" width="12.875" customWidth="1"/>
  </cols>
  <sheetData>
    <row r="1" ht="36" customHeight="1" spans="1:8">
      <c r="A1" s="2" t="s">
        <v>29</v>
      </c>
      <c r="B1" s="2"/>
      <c r="C1" s="2"/>
      <c r="D1" s="2"/>
      <c r="E1" s="2"/>
      <c r="F1" s="2"/>
      <c r="G1" s="2"/>
      <c r="H1" s="2"/>
    </row>
    <row r="2" s="1" customFormat="1" ht="51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</row>
    <row r="3" s="1" customFormat="1" ht="51" customHeight="1" spans="1:8">
      <c r="A3" s="6" t="s">
        <v>23</v>
      </c>
      <c r="B3" s="7" t="s">
        <v>24</v>
      </c>
      <c r="C3" s="8" t="s">
        <v>11</v>
      </c>
      <c r="D3" s="8" t="s">
        <v>12</v>
      </c>
      <c r="E3" s="8">
        <v>44</v>
      </c>
      <c r="F3" s="8">
        <v>2349</v>
      </c>
      <c r="G3" s="9">
        <v>56316.4</v>
      </c>
      <c r="H3" s="5" t="s">
        <v>25</v>
      </c>
    </row>
    <row r="4" ht="51" customHeight="1" spans="1:8">
      <c r="A4" s="10"/>
      <c r="B4" s="10"/>
      <c r="C4" s="10"/>
      <c r="D4" s="10"/>
      <c r="E4" s="10"/>
      <c r="F4" s="10"/>
      <c r="G4" s="11">
        <f>SUM(G3:G3)</f>
        <v>56316.4</v>
      </c>
      <c r="H4" s="10"/>
    </row>
  </sheetData>
  <mergeCells count="1">
    <mergeCell ref="A1:H1"/>
  </mergeCells>
  <pageMargins left="0.550694444444444" right="0.66875" top="0.747916666666667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8月1日私账支付</vt:lpstr>
      <vt:lpstr>8月13日私账支付</vt:lpstr>
      <vt:lpstr>8月15日私账支付</vt:lpstr>
      <vt:lpstr>8月21日私账支付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2019-08-21T06:27:16Z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