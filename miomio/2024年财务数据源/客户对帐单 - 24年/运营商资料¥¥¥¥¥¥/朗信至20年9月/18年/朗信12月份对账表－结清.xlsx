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tabRatio="755"/>
  </bookViews>
  <sheets>
    <sheet name="2018" sheetId="200" r:id="rId1"/>
  </sheets>
  <calcPr calcId="144525"/>
</workbook>
</file>

<file path=xl/sharedStrings.xml><?xml version="1.0" encoding="utf-8"?>
<sst xmlns="http://schemas.openxmlformats.org/spreadsheetml/2006/main" count="46">
  <si>
    <t>朗信國際物流香港有限公司</t>
  </si>
  <si>
    <t>喵喵国际货运代理有限公司对账表</t>
  </si>
  <si>
    <t>日期</t>
  </si>
  <si>
    <t>提单号码</t>
  </si>
  <si>
    <t>起运港</t>
  </si>
  <si>
    <t>目的港</t>
  </si>
  <si>
    <t>航班号</t>
  </si>
  <si>
    <t>件数</t>
  </si>
  <si>
    <t>重量</t>
  </si>
  <si>
    <t>应收RMB</t>
  </si>
  <si>
    <t>备注</t>
  </si>
  <si>
    <r>
      <rPr>
        <sz val="10"/>
        <rFont val="Times New Roman"/>
        <charset val="134"/>
      </rPr>
      <t>21</t>
    </r>
    <r>
      <rPr>
        <sz val="10"/>
        <rFont val="宋体"/>
        <charset val="134"/>
      </rPr>
      <t>件报关</t>
    </r>
    <r>
      <rPr>
        <sz val="10"/>
        <rFont val="Times New Roman"/>
        <charset val="134"/>
      </rPr>
      <t>-1</t>
    </r>
    <r>
      <rPr>
        <sz val="10"/>
        <rFont val="宋体"/>
        <charset val="134"/>
      </rPr>
      <t>件</t>
    </r>
  </si>
  <si>
    <t>CAN</t>
  </si>
  <si>
    <t>HKG</t>
  </si>
  <si>
    <t>JOB120002</t>
  </si>
  <si>
    <t>071-3314 8404</t>
  </si>
  <si>
    <t>LOS</t>
  </si>
  <si>
    <t>ET3629/04DEC</t>
  </si>
  <si>
    <t>JOB120007</t>
  </si>
  <si>
    <t>203-7211 3473</t>
  </si>
  <si>
    <t>MNL</t>
  </si>
  <si>
    <t>5J119/10DEC</t>
  </si>
  <si>
    <t>JOB120051</t>
  </si>
  <si>
    <t>235-3380 7104</t>
  </si>
  <si>
    <t>DSS</t>
  </si>
  <si>
    <t>TK6787/15DEC</t>
  </si>
  <si>
    <t>JOB120045</t>
  </si>
  <si>
    <t>071-3314 9152</t>
  </si>
  <si>
    <t>ACC</t>
  </si>
  <si>
    <t>ET3729/14DEC</t>
  </si>
  <si>
    <t>JOB120065</t>
  </si>
  <si>
    <t>176-0164 6573</t>
  </si>
  <si>
    <t>LAD</t>
  </si>
  <si>
    <t>EK9841/22DEC</t>
  </si>
  <si>
    <t>JOB120077</t>
  </si>
  <si>
    <t>176-0365 3731</t>
  </si>
  <si>
    <t>EK9883/25DEC</t>
  </si>
  <si>
    <t>JOB120090
JOB120087</t>
  </si>
  <si>
    <t>176-0362 4972</t>
  </si>
  <si>
    <t>EK9883/27DEC</t>
  </si>
  <si>
    <t>JOB120090</t>
  </si>
  <si>
    <r>
      <rPr>
        <sz val="10"/>
        <rFont val="Times New Roman"/>
        <charset val="134"/>
      </rPr>
      <t>6</t>
    </r>
    <r>
      <rPr>
        <sz val="10"/>
        <rFont val="宋体"/>
        <charset val="134"/>
      </rPr>
      <t>件报关派送</t>
    </r>
  </si>
  <si>
    <t>JOB010038</t>
  </si>
  <si>
    <t>合   计</t>
  </si>
  <si>
    <t>4/1＝5万；9/1＝102533.90</t>
  </si>
  <si>
    <t>十万  21/1已转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</si>
</sst>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  <numFmt numFmtId="177" formatCode="0.00_);[Red]\(0.00\)"/>
    <numFmt numFmtId="178" formatCode="&quot;￥&quot;#,##0.00_);[Red]\(&quot;￥&quot;#,##0.00\)"/>
  </numFmts>
  <fonts count="31">
    <font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0"/>
      <name val="Times New Roman"/>
      <charset val="134"/>
    </font>
    <font>
      <sz val="10"/>
      <color rgb="FFFF0000"/>
      <name val="宋体"/>
      <charset val="134"/>
    </font>
    <font>
      <sz val="10"/>
      <color indexed="8"/>
      <name val="宋体"/>
      <charset val="134"/>
    </font>
    <font>
      <sz val="12"/>
      <name val="Times New Roman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u/>
      <sz val="11"/>
      <color rgb="FF0000FF"/>
      <name val="宋体"/>
      <charset val="0"/>
      <scheme val="minor"/>
    </font>
    <font>
      <sz val="12"/>
      <color indexed="8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63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6" fillId="11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/>
    <xf numFmtId="0" fontId="10" fillId="2" borderId="3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/>
    <xf numFmtId="0" fontId="25" fillId="0" borderId="0" applyNumberFormat="0" applyFill="0" applyBorder="0" applyAlignment="0" applyProtection="0">
      <alignment vertical="center"/>
    </xf>
    <xf numFmtId="0" fontId="19" fillId="0" borderId="0"/>
    <xf numFmtId="0" fontId="27" fillId="0" borderId="8" applyNumberFormat="0" applyFill="0" applyAlignment="0" applyProtection="0">
      <alignment vertical="center"/>
    </xf>
    <xf numFmtId="0" fontId="19" fillId="0" borderId="0"/>
    <xf numFmtId="0" fontId="29" fillId="0" borderId="8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2" fillId="15" borderId="4" applyNumberFormat="0" applyAlignment="0" applyProtection="0">
      <alignment vertical="center"/>
    </xf>
    <xf numFmtId="0" fontId="24" fillId="18" borderId="6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9" fillId="0" borderId="0"/>
    <xf numFmtId="0" fontId="1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9" fillId="0" borderId="0"/>
    <xf numFmtId="0" fontId="19" fillId="0" borderId="0"/>
    <xf numFmtId="0" fontId="19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58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58" fontId="5" fillId="0" borderId="1" xfId="56" applyNumberFormat="1" applyFont="1" applyBorder="1" applyAlignment="1">
      <alignment horizontal="center" vertical="center"/>
    </xf>
    <xf numFmtId="0" fontId="5" fillId="0" borderId="1" xfId="56" applyFont="1" applyBorder="1" applyAlignment="1">
      <alignment horizontal="center" vertical="center"/>
    </xf>
    <xf numFmtId="0" fontId="1" fillId="0" borderId="1" xfId="56" applyFont="1" applyBorder="1" applyAlignment="1">
      <alignment horizontal="center" vertical="center"/>
    </xf>
    <xf numFmtId="177" fontId="6" fillId="0" borderId="1" xfId="56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78" fontId="2" fillId="0" borderId="1" xfId="0" applyNumberFormat="1" applyFont="1" applyBorder="1" applyAlignment="1">
      <alignment horizontal="center" vertical="center"/>
    </xf>
    <xf numFmtId="0" fontId="5" fillId="0" borderId="0" xfId="0" applyFont="1" applyBorder="1"/>
    <xf numFmtId="0" fontId="5" fillId="0" borderId="0" xfId="0" applyFont="1"/>
    <xf numFmtId="0" fontId="1" fillId="0" borderId="0" xfId="0" applyFont="1" applyAlignment="1">
      <alignment horizontal="center"/>
    </xf>
    <xf numFmtId="178" fontId="1" fillId="0" borderId="1" xfId="0" applyNumberFormat="1" applyFont="1" applyBorder="1" applyAlignment="1">
      <alignment horizontal="center"/>
    </xf>
    <xf numFmtId="0" fontId="7" fillId="0" borderId="0" xfId="60" applyFont="1" applyBorder="1"/>
    <xf numFmtId="178" fontId="1" fillId="0" borderId="2" xfId="0" applyNumberFormat="1" applyFont="1" applyBorder="1" applyAlignment="1">
      <alignment horizontal="center"/>
    </xf>
    <xf numFmtId="0" fontId="8" fillId="0" borderId="0" xfId="0" applyFont="1" applyBorder="1"/>
    <xf numFmtId="0" fontId="8" fillId="0" borderId="0" xfId="0" applyFont="1"/>
    <xf numFmtId="0" fontId="1" fillId="0" borderId="1" xfId="0" applyFont="1" applyBorder="1" applyAlignment="1">
      <alignment horizontal="center" vertical="center" wrapText="1"/>
    </xf>
  </cellXfs>
  <cellStyles count="6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12" xfId="19"/>
    <cellStyle name="解释性文本" xfId="20" builtinId="53"/>
    <cellStyle name="常规 8" xfId="21"/>
    <cellStyle name="标题 1" xfId="22" builtinId="16"/>
    <cellStyle name="常规 9" xfId="23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常规 10" xfId="51"/>
    <cellStyle name="40% - 强调文字颜色 6" xfId="52" builtinId="51"/>
    <cellStyle name="60% - 强调文字颜色 6" xfId="53" builtinId="52"/>
    <cellStyle name="常规 11" xfId="54"/>
    <cellStyle name="常规 13" xfId="55"/>
    <cellStyle name="常规 14" xfId="56"/>
    <cellStyle name="常规 15" xfId="57"/>
    <cellStyle name="常规 2" xfId="58"/>
    <cellStyle name="常规 3" xfId="59"/>
    <cellStyle name="常规 4" xfId="60"/>
    <cellStyle name="常规 5" xfId="61"/>
    <cellStyle name="常规 7" xfId="6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I12" sqref="I12"/>
    </sheetView>
  </sheetViews>
  <sheetFormatPr defaultColWidth="9" defaultRowHeight="14.25"/>
  <cols>
    <col min="1" max="1" width="7.375" customWidth="1"/>
    <col min="2" max="2" width="10.875" customWidth="1"/>
    <col min="3" max="3" width="8.75" customWidth="1"/>
    <col min="4" max="4" width="6.5" customWidth="1"/>
    <col min="5" max="5" width="12" customWidth="1"/>
    <col min="6" max="6" width="6" customWidth="1"/>
    <col min="7" max="7" width="6.125" style="1" customWidth="1"/>
    <col min="8" max="8" width="13.125" style="6" customWidth="1"/>
    <col min="9" max="9" width="19.875" style="7" customWidth="1"/>
    <col min="12" max="12" width="14.875"/>
  </cols>
  <sheetData>
    <row r="1" s="1" customFormat="1" spans="1:9">
      <c r="A1" s="8" t="s">
        <v>0</v>
      </c>
      <c r="B1" s="8"/>
      <c r="C1" s="8"/>
      <c r="D1" s="8"/>
      <c r="E1" s="8"/>
      <c r="F1" s="8"/>
      <c r="G1" s="8"/>
      <c r="H1" s="8"/>
      <c r="I1" s="8"/>
    </row>
    <row r="2" s="2" customFormat="1" ht="22" customHeight="1" spans="1:9">
      <c r="A2" s="9" t="s">
        <v>1</v>
      </c>
      <c r="B2" s="10"/>
      <c r="C2" s="10"/>
      <c r="D2" s="10"/>
      <c r="E2" s="10"/>
      <c r="F2" s="10"/>
      <c r="G2" s="10"/>
      <c r="H2" s="10"/>
      <c r="I2" s="9"/>
    </row>
    <row r="3" s="3" customFormat="1" ht="15" customHeight="1" spans="1:9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2" t="s">
        <v>8</v>
      </c>
      <c r="H3" s="13" t="s">
        <v>9</v>
      </c>
      <c r="I3" s="12" t="s">
        <v>10</v>
      </c>
    </row>
    <row r="4" s="2" customFormat="1" ht="15" customHeight="1" spans="1:9">
      <c r="A4" s="14">
        <v>43434</v>
      </c>
      <c r="B4" s="15" t="s">
        <v>11</v>
      </c>
      <c r="C4" s="16" t="s">
        <v>12</v>
      </c>
      <c r="D4" s="16" t="s">
        <v>13</v>
      </c>
      <c r="E4" s="15"/>
      <c r="F4" s="16">
        <v>22</v>
      </c>
      <c r="G4" s="17">
        <v>294</v>
      </c>
      <c r="H4" s="18">
        <v>1375.2</v>
      </c>
      <c r="I4" s="17" t="s">
        <v>14</v>
      </c>
    </row>
    <row r="5" s="4" customFormat="1" ht="15" customHeight="1" spans="1:9">
      <c r="A5" s="14">
        <v>43434</v>
      </c>
      <c r="B5" s="16" t="s">
        <v>15</v>
      </c>
      <c r="C5" s="16" t="s">
        <v>13</v>
      </c>
      <c r="D5" s="16" t="s">
        <v>16</v>
      </c>
      <c r="E5" s="16" t="s">
        <v>17</v>
      </c>
      <c r="F5" s="16">
        <v>5</v>
      </c>
      <c r="G5" s="17">
        <v>539</v>
      </c>
      <c r="H5" s="18">
        <v>17548</v>
      </c>
      <c r="I5" s="17" t="s">
        <v>18</v>
      </c>
    </row>
    <row r="6" s="4" customFormat="1" ht="15" customHeight="1" spans="1:9">
      <c r="A6" s="14">
        <v>43441</v>
      </c>
      <c r="B6" s="16" t="s">
        <v>19</v>
      </c>
      <c r="C6" s="16" t="s">
        <v>13</v>
      </c>
      <c r="D6" s="16" t="s">
        <v>20</v>
      </c>
      <c r="E6" s="16" t="s">
        <v>21</v>
      </c>
      <c r="F6" s="16">
        <v>1</v>
      </c>
      <c r="G6" s="17">
        <v>183</v>
      </c>
      <c r="H6" s="18">
        <v>3207.4</v>
      </c>
      <c r="I6" s="17" t="s">
        <v>22</v>
      </c>
    </row>
    <row r="7" s="4" customFormat="1" ht="15" customHeight="1" spans="1:9">
      <c r="A7" s="14">
        <v>43445</v>
      </c>
      <c r="B7" s="16" t="s">
        <v>23</v>
      </c>
      <c r="C7" s="16" t="s">
        <v>13</v>
      </c>
      <c r="D7" s="16" t="s">
        <v>24</v>
      </c>
      <c r="E7" s="16" t="s">
        <v>25</v>
      </c>
      <c r="F7" s="16">
        <v>6</v>
      </c>
      <c r="G7" s="17">
        <v>275</v>
      </c>
      <c r="H7" s="18">
        <v>11550</v>
      </c>
      <c r="I7" s="17" t="s">
        <v>26</v>
      </c>
    </row>
    <row r="8" s="4" customFormat="1" ht="15" customHeight="1" spans="1:9">
      <c r="A8" s="14">
        <v>43446</v>
      </c>
      <c r="B8" s="16" t="s">
        <v>27</v>
      </c>
      <c r="C8" s="16" t="s">
        <v>13</v>
      </c>
      <c r="D8" s="16" t="s">
        <v>28</v>
      </c>
      <c r="E8" s="16" t="s">
        <v>29</v>
      </c>
      <c r="F8" s="16">
        <v>3</v>
      </c>
      <c r="G8" s="17">
        <v>130</v>
      </c>
      <c r="H8" s="18">
        <v>5045</v>
      </c>
      <c r="I8" s="17" t="s">
        <v>30</v>
      </c>
    </row>
    <row r="9" s="4" customFormat="1" ht="15" customHeight="1" spans="1:9">
      <c r="A9" s="14">
        <v>43453</v>
      </c>
      <c r="B9" s="16" t="s">
        <v>31</v>
      </c>
      <c r="C9" s="16" t="s">
        <v>13</v>
      </c>
      <c r="D9" s="16" t="s">
        <v>32</v>
      </c>
      <c r="E9" s="16" t="s">
        <v>33</v>
      </c>
      <c r="F9" s="16">
        <v>7</v>
      </c>
      <c r="G9" s="17">
        <v>335</v>
      </c>
      <c r="H9" s="18">
        <v>11658</v>
      </c>
      <c r="I9" s="17" t="s">
        <v>34</v>
      </c>
    </row>
    <row r="10" s="4" customFormat="1" ht="28" customHeight="1" spans="1:9">
      <c r="A10" s="14">
        <v>43821</v>
      </c>
      <c r="B10" s="16" t="s">
        <v>35</v>
      </c>
      <c r="C10" s="16" t="s">
        <v>13</v>
      </c>
      <c r="D10" s="16" t="s">
        <v>16</v>
      </c>
      <c r="E10" s="16" t="s">
        <v>36</v>
      </c>
      <c r="F10" s="16">
        <v>9</v>
      </c>
      <c r="G10" s="17">
        <v>6328</v>
      </c>
      <c r="H10" s="18">
        <v>184927.6</v>
      </c>
      <c r="I10" s="33" t="s">
        <v>37</v>
      </c>
    </row>
    <row r="11" s="4" customFormat="1" ht="15" customHeight="1" spans="1:9">
      <c r="A11" s="14">
        <v>43821</v>
      </c>
      <c r="B11" s="16" t="s">
        <v>38</v>
      </c>
      <c r="C11" s="16" t="s">
        <v>13</v>
      </c>
      <c r="D11" s="16" t="s">
        <v>16</v>
      </c>
      <c r="E11" s="16" t="s">
        <v>39</v>
      </c>
      <c r="F11" s="16">
        <v>15</v>
      </c>
      <c r="G11" s="17">
        <v>533</v>
      </c>
      <c r="H11" s="18">
        <v>16299.9</v>
      </c>
      <c r="I11" s="17" t="s">
        <v>40</v>
      </c>
    </row>
    <row r="12" s="4" customFormat="1" ht="15" customHeight="1" spans="1:9">
      <c r="A12" s="19">
        <v>43462</v>
      </c>
      <c r="B12" s="20" t="s">
        <v>41</v>
      </c>
      <c r="C12" s="20" t="s">
        <v>12</v>
      </c>
      <c r="D12" s="20" t="s">
        <v>13</v>
      </c>
      <c r="E12" s="20"/>
      <c r="F12" s="20">
        <v>6</v>
      </c>
      <c r="G12" s="21">
        <v>94</v>
      </c>
      <c r="H12" s="22">
        <v>922.8</v>
      </c>
      <c r="I12" s="21" t="s">
        <v>42</v>
      </c>
    </row>
    <row r="13" s="2" customFormat="1" ht="15" customHeight="1" spans="1:9">
      <c r="A13" s="15"/>
      <c r="B13" s="15"/>
      <c r="C13" s="15"/>
      <c r="D13" s="15"/>
      <c r="E13" s="23" t="s">
        <v>43</v>
      </c>
      <c r="F13" s="15"/>
      <c r="G13" s="17"/>
      <c r="H13" s="24">
        <f>SUM(H4:H12)</f>
        <v>252533.9</v>
      </c>
      <c r="I13" s="17"/>
    </row>
    <row r="14" s="5" customFormat="1" ht="24" spans="1:9">
      <c r="A14" s="25"/>
      <c r="B14" s="25"/>
      <c r="C14" s="26"/>
      <c r="D14" s="26"/>
      <c r="E14" s="26"/>
      <c r="F14" s="26"/>
      <c r="G14" s="27"/>
      <c r="H14" s="28">
        <v>152533.9</v>
      </c>
      <c r="I14" s="33" t="s">
        <v>44</v>
      </c>
    </row>
    <row r="15" s="5" customFormat="1" ht="24" customHeight="1" spans="1:9">
      <c r="A15" s="29"/>
      <c r="B15" s="25"/>
      <c r="C15" s="26"/>
      <c r="D15" s="26"/>
      <c r="E15" s="26"/>
      <c r="F15" s="26"/>
      <c r="G15" s="4"/>
      <c r="H15" s="30">
        <f>SUM(H13-H14)</f>
        <v>100000</v>
      </c>
      <c r="I15" s="17" t="s">
        <v>45</v>
      </c>
    </row>
    <row r="16" ht="15.75" spans="1:6">
      <c r="A16" s="31"/>
      <c r="B16" s="31"/>
      <c r="C16" s="32"/>
      <c r="D16" s="32"/>
      <c r="E16" s="32"/>
      <c r="F16" s="32"/>
    </row>
    <row r="17" ht="15.75" spans="1:6">
      <c r="A17" s="31"/>
      <c r="B17" s="31"/>
      <c r="C17" s="32"/>
      <c r="D17" s="32"/>
      <c r="E17" s="32"/>
      <c r="F17" s="32"/>
    </row>
    <row r="18" ht="15.75" spans="1:6">
      <c r="A18" s="31"/>
      <c r="B18" s="31"/>
      <c r="C18" s="32"/>
      <c r="D18" s="32"/>
      <c r="E18" s="32"/>
      <c r="F18" s="32"/>
    </row>
    <row r="19" ht="15.75" spans="1:6">
      <c r="A19" s="32"/>
      <c r="B19" s="32"/>
      <c r="C19" s="32"/>
      <c r="D19" s="32"/>
      <c r="E19" s="32"/>
      <c r="F19" s="32"/>
    </row>
    <row r="20" ht="15.75" spans="1:6">
      <c r="A20" s="32"/>
      <c r="B20" s="32"/>
      <c r="C20" s="32"/>
      <c r="D20" s="32"/>
      <c r="E20" s="32"/>
      <c r="F20" s="32"/>
    </row>
    <row r="21" ht="15.75" spans="1:6">
      <c r="A21" s="32"/>
      <c r="B21" s="32"/>
      <c r="C21" s="32"/>
      <c r="D21" s="32"/>
      <c r="E21" s="32"/>
      <c r="F21" s="32"/>
    </row>
    <row r="22" ht="15.75" spans="1:6">
      <c r="A22" s="32"/>
      <c r="B22" s="32"/>
      <c r="C22" s="32"/>
      <c r="D22" s="32"/>
      <c r="E22" s="32"/>
      <c r="F22" s="32"/>
    </row>
    <row r="23" ht="15.75" spans="1:6">
      <c r="A23" s="32"/>
      <c r="B23" s="32"/>
      <c r="C23" s="32"/>
      <c r="D23" s="32"/>
      <c r="E23" s="32"/>
      <c r="F23" s="32"/>
    </row>
    <row r="24" ht="15.75" spans="1:6">
      <c r="A24" s="32"/>
      <c r="B24" s="32"/>
      <c r="C24" s="32"/>
      <c r="D24" s="32"/>
      <c r="E24" s="32"/>
      <c r="F24" s="32"/>
    </row>
    <row r="25" ht="15.75" spans="1:6">
      <c r="A25" s="32"/>
      <c r="B25" s="32"/>
      <c r="C25" s="32"/>
      <c r="D25" s="32"/>
      <c r="E25" s="32"/>
      <c r="F25" s="32"/>
    </row>
    <row r="26" ht="15.75" spans="1:6">
      <c r="A26" s="32"/>
      <c r="B26" s="32"/>
      <c r="C26" s="32"/>
      <c r="D26" s="32"/>
      <c r="E26" s="32"/>
      <c r="F26" s="32"/>
    </row>
    <row r="27" ht="15.75" spans="1:1">
      <c r="A27" s="32"/>
    </row>
  </sheetData>
  <mergeCells count="2">
    <mergeCell ref="A1:I1"/>
    <mergeCell ref="A2:I2"/>
  </mergeCells>
  <printOptions horizontalCentered="1"/>
  <pageMargins left="0.196527777777778" right="0.15625" top="0.432638888888889" bottom="0.590277777777778" header="0.275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1996-12-17T01:32:00Z</dcterms:created>
  <cp:lastPrinted>2016-08-03T02:42:00Z</cp:lastPrinted>
  <dcterms:modified xsi:type="dcterms:W3CDTF">2019-02-14T04:15:20Z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2052-11.1.0.8214</vt:lpwstr>
  </property>
</Properties>
</file>