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activeTab="1"/>
  </bookViews>
  <sheets>
    <sheet name="总欠 " sheetId="4" r:id="rId1"/>
    <sheet name="1" sheetId="2" r:id="rId2"/>
  </sheets>
  <calcPr calcId="144525"/>
</workbook>
</file>

<file path=xl/sharedStrings.xml><?xml version="1.0" encoding="utf-8"?>
<sst xmlns="http://schemas.openxmlformats.org/spreadsheetml/2006/main" count="233" uniqueCount="79">
  <si>
    <t>威都12月份对帐单</t>
  </si>
  <si>
    <t>TO:</t>
  </si>
  <si>
    <t>广州喵喵国际货运代理有限公司</t>
  </si>
  <si>
    <t>工作单号</t>
  </si>
  <si>
    <t>MBL NO</t>
  </si>
  <si>
    <t>入仓编号</t>
  </si>
  <si>
    <t>起运港</t>
  </si>
  <si>
    <t>目的港</t>
  </si>
  <si>
    <t>件数</t>
  </si>
  <si>
    <t>重量</t>
  </si>
  <si>
    <t>DEBIT</t>
  </si>
  <si>
    <t>备注</t>
  </si>
  <si>
    <t>WDAE19111373</t>
  </si>
  <si>
    <t>071-35876536</t>
  </si>
  <si>
    <t>LCMM191123</t>
  </si>
  <si>
    <t>HKG</t>
  </si>
  <si>
    <t>LOS</t>
  </si>
  <si>
    <t>WDAE19111555</t>
  </si>
  <si>
    <t>235-52363323</t>
  </si>
  <si>
    <t>0</t>
  </si>
  <si>
    <t>CAN</t>
  </si>
  <si>
    <t>OTP</t>
  </si>
  <si>
    <t>WDAE19111615</t>
  </si>
  <si>
    <t>071-35724043</t>
  </si>
  <si>
    <t>110190/120113</t>
  </si>
  <si>
    <t>WDAE19120007</t>
  </si>
  <si>
    <t>235-52363404</t>
  </si>
  <si>
    <t>WDAE19120212</t>
  </si>
  <si>
    <t>071-36026561</t>
  </si>
  <si>
    <t>WXL19120462-ALINA</t>
  </si>
  <si>
    <t>ACC</t>
  </si>
  <si>
    <t>WDAE19120233</t>
  </si>
  <si>
    <t>071-36028252</t>
  </si>
  <si>
    <t>WXL19120503-ALINA</t>
  </si>
  <si>
    <t>WDAE19120604</t>
  </si>
  <si>
    <t>071-36028661</t>
  </si>
  <si>
    <t>WXL19120865-ALINA</t>
  </si>
  <si>
    <t>WDAE19120605</t>
  </si>
  <si>
    <t>WXL19121076-ALINA</t>
  </si>
  <si>
    <t>WDAE19120658</t>
  </si>
  <si>
    <t>071-36036405</t>
  </si>
  <si>
    <t>WXL19121167-ALINA</t>
  </si>
  <si>
    <t>WDAE19121025</t>
  </si>
  <si>
    <t>071-36037525</t>
  </si>
  <si>
    <t>WXL1912159-ALINA</t>
  </si>
  <si>
    <t>WDAE19121093</t>
  </si>
  <si>
    <t>071-36181294</t>
  </si>
  <si>
    <t>WXL19121682-ALINA</t>
  </si>
  <si>
    <t>WDAE19121139</t>
  </si>
  <si>
    <t>071-36037245</t>
  </si>
  <si>
    <t>WXL19121387-ALINA</t>
  </si>
  <si>
    <t>WDAE19121140</t>
  </si>
  <si>
    <t>WXL19121209-ALINA</t>
  </si>
  <si>
    <t>WDAE19121203</t>
  </si>
  <si>
    <t>071-36182134</t>
  </si>
  <si>
    <t>WXL19122081-ALINA</t>
  </si>
  <si>
    <t>WDAE19121259</t>
  </si>
  <si>
    <t>071-36181412</t>
  </si>
  <si>
    <t>WXL19121806-ALINA</t>
  </si>
  <si>
    <t>WDAE19121261</t>
  </si>
  <si>
    <t>071-36182720</t>
  </si>
  <si>
    <t>WXL19122352ACC-ALINA</t>
  </si>
  <si>
    <t>WDAE19121275</t>
  </si>
  <si>
    <t>WXL19122373ACC-ALINA</t>
  </si>
  <si>
    <t>WDAE19121397</t>
  </si>
  <si>
    <t>071-36183534</t>
  </si>
  <si>
    <t>WXL19122573ACC-ALINA</t>
  </si>
  <si>
    <t>WDAE19121398</t>
  </si>
  <si>
    <t>071-36183361</t>
  </si>
  <si>
    <t>WIN19122491-ALINA</t>
  </si>
  <si>
    <t>EBB</t>
  </si>
  <si>
    <t>WDAE19121651</t>
  </si>
  <si>
    <t>071-36184050</t>
  </si>
  <si>
    <t>WXL19122702ACC-ALINA</t>
  </si>
  <si>
    <t>合计</t>
  </si>
  <si>
    <t>支付：威都清单</t>
  </si>
  <si>
    <t>私账支付</t>
  </si>
  <si>
    <t>公账支付</t>
  </si>
  <si>
    <t>结清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</si>
</sst>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&quot;JOB&quot;000000"/>
    <numFmt numFmtId="177" formatCode="&quot;￥&quot;#,##0.00_);[Red]\(&quot;￥&quot;#,##0.00\)"/>
  </numFmts>
  <fonts count="39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5"/>
      <name val="宋体"/>
      <charset val="134"/>
    </font>
    <font>
      <sz val="9"/>
      <name val="宋体"/>
      <charset val="134"/>
    </font>
    <font>
      <sz val="9"/>
      <name val="Courier New"/>
      <charset val="134"/>
    </font>
    <font>
      <sz val="10"/>
      <name val="Courier New"/>
      <charset val="134"/>
    </font>
    <font>
      <sz val="9"/>
      <color rgb="FF00B050"/>
      <name val="宋体"/>
      <charset val="134"/>
    </font>
    <font>
      <sz val="10"/>
      <name val="宋体"/>
      <charset val="134"/>
    </font>
    <font>
      <sz val="12"/>
      <name val="宋体"/>
      <charset val="134"/>
    </font>
    <font>
      <sz val="9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b/>
      <sz val="14"/>
      <name val="宋体"/>
      <charset val="134"/>
    </font>
    <font>
      <b/>
      <sz val="8"/>
      <name val="宋体"/>
      <charset val="134"/>
    </font>
    <font>
      <sz val="11"/>
      <name val="Courier New"/>
      <charset val="134"/>
    </font>
    <font>
      <sz val="11"/>
      <name val="宋体"/>
      <charset val="134"/>
    </font>
    <font>
      <sz val="8"/>
      <name val="Courier New"/>
      <charset val="134"/>
    </font>
    <font>
      <sz val="8"/>
      <name val="宋体"/>
      <charset val="134"/>
    </font>
    <font>
      <sz val="7"/>
      <name val="Courier New"/>
      <charset val="134"/>
    </font>
    <font>
      <b/>
      <sz val="9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2" fillId="1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7" applyNumberFormat="0" applyFill="0" applyAlignment="0" applyProtection="0">
      <alignment vertical="center"/>
    </xf>
    <xf numFmtId="0" fontId="36" fillId="0" borderId="7" applyNumberFormat="0" applyFill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8" fillId="20" borderId="4" applyNumberFormat="0" applyAlignment="0" applyProtection="0">
      <alignment vertical="center"/>
    </xf>
    <xf numFmtId="0" fontId="30" fillId="20" borderId="3" applyNumberFormat="0" applyAlignment="0" applyProtection="0">
      <alignment vertical="center"/>
    </xf>
    <xf numFmtId="0" fontId="32" fillId="23" borderId="5" applyNumberFormat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>
      <alignment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177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 wrapText="1"/>
    </xf>
    <xf numFmtId="177" fontId="5" fillId="2" borderId="1" xfId="0" applyNumberFormat="1" applyFont="1" applyFill="1" applyBorder="1" applyAlignment="1">
      <alignment vertical="center" wrapText="1"/>
    </xf>
    <xf numFmtId="58" fontId="3" fillId="0" borderId="1" xfId="0" applyNumberFormat="1" applyFont="1" applyFill="1" applyBorder="1" applyAlignment="1">
      <alignment horizontal="center" vertical="center" wrapText="1"/>
    </xf>
    <xf numFmtId="177" fontId="5" fillId="0" borderId="1" xfId="0" applyNumberFormat="1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 wrapText="1"/>
    </xf>
    <xf numFmtId="176" fontId="8" fillId="0" borderId="1" xfId="0" applyNumberFormat="1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left" vertical="center"/>
    </xf>
    <xf numFmtId="0" fontId="9" fillId="0" borderId="0" xfId="0" applyFont="1" applyFill="1" applyAlignment="1">
      <alignment horizontal="center" vertical="center"/>
    </xf>
    <xf numFmtId="0" fontId="10" fillId="0" borderId="0" xfId="0" applyFont="1">
      <alignment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0" fillId="0" borderId="0" xfId="0" applyNumberFormat="1" applyFont="1">
      <alignment vertical="center"/>
    </xf>
    <xf numFmtId="0" fontId="11" fillId="0" borderId="0" xfId="0" applyFont="1" applyFill="1" applyAlignment="1">
      <alignment horizontal="center" vertical="center" wrapText="1"/>
    </xf>
    <xf numFmtId="0" fontId="12" fillId="0" borderId="0" xfId="0" applyFont="1" applyFill="1" applyAlignment="1">
      <alignment horizontal="center" vertical="center" wrapText="1"/>
    </xf>
    <xf numFmtId="177" fontId="11" fillId="0" borderId="0" xfId="0" applyNumberFormat="1" applyFont="1" applyFill="1" applyAlignment="1">
      <alignment horizontal="center" vertical="center" wrapText="1"/>
    </xf>
    <xf numFmtId="0" fontId="13" fillId="0" borderId="0" xfId="0" applyFont="1" applyFill="1" applyBorder="1" applyAlignment="1">
      <alignment horizontal="right" vertical="center" wrapText="1"/>
    </xf>
    <xf numFmtId="0" fontId="14" fillId="0" borderId="0" xfId="0" applyFont="1" applyFill="1" applyBorder="1" applyAlignment="1">
      <alignment horizontal="left" vertical="center" wrapText="1"/>
    </xf>
    <xf numFmtId="0" fontId="15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center" vertical="center" wrapText="1"/>
    </xf>
    <xf numFmtId="177" fontId="13" fillId="0" borderId="0" xfId="0" applyNumberFormat="1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17" fillId="0" borderId="1" xfId="0" applyFont="1" applyFill="1" applyBorder="1" applyAlignment="1">
      <alignment vertical="center"/>
    </xf>
    <xf numFmtId="177" fontId="5" fillId="3" borderId="1" xfId="0" applyNumberFormat="1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177" fontId="18" fillId="0" borderId="1" xfId="0" applyNumberFormat="1" applyFont="1" applyFill="1" applyBorder="1" applyAlignment="1">
      <alignment horizontal="center" vertical="center"/>
    </xf>
    <xf numFmtId="176" fontId="19" fillId="0" borderId="0" xfId="0" applyNumberFormat="1" applyFont="1" applyFill="1" applyAlignment="1">
      <alignment horizontal="center" vertical="center" wrapText="1"/>
    </xf>
    <xf numFmtId="176" fontId="0" fillId="0" borderId="0" xfId="0" applyNumberFormat="1" applyFont="1" applyFill="1" applyAlignment="1">
      <alignment horizontal="center" vertical="center"/>
    </xf>
    <xf numFmtId="176" fontId="14" fillId="0" borderId="1" xfId="0" applyNumberFormat="1" applyFont="1" applyFill="1" applyBorder="1" applyAlignment="1">
      <alignment horizontal="center" vertical="center" wrapText="1"/>
    </xf>
    <xf numFmtId="176" fontId="0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workbookViewId="0">
      <selection activeCell="A4" sqref="$A4:$XFD12"/>
    </sheetView>
  </sheetViews>
  <sheetFormatPr defaultColWidth="9" defaultRowHeight="13.5"/>
  <cols>
    <col min="1" max="1" width="13.875" customWidth="1"/>
    <col min="2" max="2" width="13" customWidth="1"/>
    <col min="3" max="3" width="17" style="20" customWidth="1"/>
    <col min="4" max="7" width="5.75" style="21" customWidth="1"/>
    <col min="8" max="8" width="15.125" style="22" customWidth="1"/>
    <col min="9" max="9" width="15.375" style="23" customWidth="1"/>
    <col min="11" max="11" width="12" customWidth="1"/>
  </cols>
  <sheetData>
    <row r="1" s="1" customFormat="1" ht="24" customHeight="1" spans="1:9">
      <c r="A1" s="24" t="s">
        <v>0</v>
      </c>
      <c r="B1" s="24"/>
      <c r="C1" s="25"/>
      <c r="D1" s="24"/>
      <c r="E1" s="24"/>
      <c r="F1" s="24"/>
      <c r="G1" s="24"/>
      <c r="H1" s="26"/>
      <c r="I1" s="39"/>
    </row>
    <row r="2" s="18" customFormat="1" ht="18" customHeight="1" spans="1:9">
      <c r="A2" s="27" t="s">
        <v>1</v>
      </c>
      <c r="B2" s="28" t="s">
        <v>2</v>
      </c>
      <c r="C2" s="29"/>
      <c r="D2" s="30"/>
      <c r="E2" s="30"/>
      <c r="F2" s="30"/>
      <c r="G2" s="30"/>
      <c r="H2" s="31"/>
      <c r="I2" s="40"/>
    </row>
    <row r="3" s="1" customFormat="1" ht="22" customHeight="1" spans="1:9">
      <c r="A3" s="5" t="s">
        <v>3</v>
      </c>
      <c r="B3" s="6" t="s">
        <v>4</v>
      </c>
      <c r="C3" s="32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7" t="s">
        <v>10</v>
      </c>
      <c r="I3" s="41" t="s">
        <v>11</v>
      </c>
    </row>
    <row r="4" spans="1:9">
      <c r="A4" s="8" t="s">
        <v>12</v>
      </c>
      <c r="B4" s="33" t="s">
        <v>13</v>
      </c>
      <c r="C4" s="34" t="s">
        <v>14</v>
      </c>
      <c r="D4" s="9" t="s">
        <v>15</v>
      </c>
      <c r="E4" s="9" t="s">
        <v>16</v>
      </c>
      <c r="F4" s="9">
        <v>60</v>
      </c>
      <c r="G4" s="9">
        <v>2819</v>
      </c>
      <c r="H4" s="12">
        <v>76413</v>
      </c>
      <c r="I4" s="41">
        <v>110185</v>
      </c>
    </row>
    <row r="5" spans="1:9">
      <c r="A5" s="8" t="s">
        <v>17</v>
      </c>
      <c r="B5" s="33" t="s">
        <v>18</v>
      </c>
      <c r="C5" s="34" t="s">
        <v>19</v>
      </c>
      <c r="D5" s="9" t="s">
        <v>20</v>
      </c>
      <c r="E5" s="9" t="s">
        <v>21</v>
      </c>
      <c r="F5" s="9">
        <v>21</v>
      </c>
      <c r="G5" s="9">
        <v>1239</v>
      </c>
      <c r="H5" s="12">
        <v>34144.7</v>
      </c>
      <c r="I5" s="41">
        <v>120110</v>
      </c>
    </row>
    <row r="6" spans="1:9">
      <c r="A6" s="8" t="s">
        <v>22</v>
      </c>
      <c r="B6" s="33" t="s">
        <v>23</v>
      </c>
      <c r="C6" s="34" t="s">
        <v>19</v>
      </c>
      <c r="D6" s="9" t="s">
        <v>20</v>
      </c>
      <c r="E6" s="9" t="s">
        <v>16</v>
      </c>
      <c r="F6" s="9">
        <v>163</v>
      </c>
      <c r="G6" s="9">
        <v>8456</v>
      </c>
      <c r="H6" s="12">
        <v>297651.2</v>
      </c>
      <c r="I6" s="41" t="s">
        <v>24</v>
      </c>
    </row>
    <row r="7" spans="1:9">
      <c r="A7" s="8" t="s">
        <v>25</v>
      </c>
      <c r="B7" s="33" t="s">
        <v>26</v>
      </c>
      <c r="C7" s="34" t="s">
        <v>19</v>
      </c>
      <c r="D7" s="9" t="s">
        <v>20</v>
      </c>
      <c r="E7" s="9" t="s">
        <v>21</v>
      </c>
      <c r="F7" s="9">
        <v>18</v>
      </c>
      <c r="G7" s="9">
        <v>1114</v>
      </c>
      <c r="H7" s="12">
        <v>30732.2</v>
      </c>
      <c r="I7" s="41">
        <v>120127</v>
      </c>
    </row>
    <row r="8" spans="1:9">
      <c r="A8" s="8" t="s">
        <v>27</v>
      </c>
      <c r="B8" s="33" t="s">
        <v>28</v>
      </c>
      <c r="C8" s="34" t="s">
        <v>29</v>
      </c>
      <c r="D8" s="9" t="s">
        <v>15</v>
      </c>
      <c r="E8" s="9" t="s">
        <v>30</v>
      </c>
      <c r="F8" s="9">
        <v>7</v>
      </c>
      <c r="G8" s="9">
        <v>280</v>
      </c>
      <c r="H8" s="12">
        <v>9940</v>
      </c>
      <c r="I8" s="41">
        <v>120118</v>
      </c>
    </row>
    <row r="9" spans="1:9">
      <c r="A9" s="8" t="s">
        <v>31</v>
      </c>
      <c r="B9" s="33" t="s">
        <v>32</v>
      </c>
      <c r="C9" s="34" t="s">
        <v>33</v>
      </c>
      <c r="D9" s="9" t="s">
        <v>15</v>
      </c>
      <c r="E9" s="9" t="s">
        <v>30</v>
      </c>
      <c r="F9" s="9">
        <v>18</v>
      </c>
      <c r="G9" s="9">
        <v>753</v>
      </c>
      <c r="H9" s="12">
        <v>27631.5</v>
      </c>
      <c r="I9" s="41">
        <v>120130</v>
      </c>
    </row>
    <row r="10" spans="1:9">
      <c r="A10" s="8" t="s">
        <v>34</v>
      </c>
      <c r="B10" s="33" t="s">
        <v>35</v>
      </c>
      <c r="C10" s="34" t="s">
        <v>36</v>
      </c>
      <c r="D10" s="9" t="s">
        <v>15</v>
      </c>
      <c r="E10" s="9" t="s">
        <v>30</v>
      </c>
      <c r="F10" s="9">
        <v>10</v>
      </c>
      <c r="G10" s="9">
        <v>410</v>
      </c>
      <c r="H10" s="12">
        <v>14590.5</v>
      </c>
      <c r="I10" s="41">
        <v>120128</v>
      </c>
    </row>
    <row r="11" spans="1:9">
      <c r="A11" s="8" t="s">
        <v>37</v>
      </c>
      <c r="B11" s="33" t="s">
        <v>35</v>
      </c>
      <c r="C11" s="34" t="s">
        <v>38</v>
      </c>
      <c r="D11" s="9" t="s">
        <v>15</v>
      </c>
      <c r="E11" s="9" t="s">
        <v>30</v>
      </c>
      <c r="F11" s="9">
        <v>9</v>
      </c>
      <c r="G11" s="9">
        <v>370</v>
      </c>
      <c r="H11" s="12">
        <v>13135</v>
      </c>
      <c r="I11" s="41">
        <v>120138</v>
      </c>
    </row>
    <row r="12" spans="1:9">
      <c r="A12" s="8" t="s">
        <v>39</v>
      </c>
      <c r="B12" s="33" t="s">
        <v>40</v>
      </c>
      <c r="C12" s="34" t="s">
        <v>41</v>
      </c>
      <c r="D12" s="9" t="s">
        <v>15</v>
      </c>
      <c r="E12" s="9" t="s">
        <v>30</v>
      </c>
      <c r="F12" s="9">
        <v>8</v>
      </c>
      <c r="G12" s="9">
        <v>323</v>
      </c>
      <c r="H12" s="12">
        <v>11466.5</v>
      </c>
      <c r="I12" s="41">
        <v>120139</v>
      </c>
    </row>
    <row r="13" spans="1:9">
      <c r="A13" s="8" t="s">
        <v>42</v>
      </c>
      <c r="B13" s="33" t="s">
        <v>43</v>
      </c>
      <c r="C13" s="34" t="s">
        <v>44</v>
      </c>
      <c r="D13" s="9" t="s">
        <v>15</v>
      </c>
      <c r="E13" s="9" t="s">
        <v>30</v>
      </c>
      <c r="F13" s="9">
        <v>2</v>
      </c>
      <c r="G13" s="9">
        <v>84</v>
      </c>
      <c r="H13" s="35">
        <v>2982</v>
      </c>
      <c r="I13" s="41">
        <v>120147</v>
      </c>
    </row>
    <row r="14" spans="1:9">
      <c r="A14" s="8" t="s">
        <v>45</v>
      </c>
      <c r="B14" s="33" t="s">
        <v>46</v>
      </c>
      <c r="C14" s="34" t="s">
        <v>47</v>
      </c>
      <c r="D14" s="9" t="s">
        <v>15</v>
      </c>
      <c r="E14" s="9" t="s">
        <v>30</v>
      </c>
      <c r="F14" s="9">
        <v>2</v>
      </c>
      <c r="G14" s="9">
        <v>82</v>
      </c>
      <c r="H14" s="35">
        <v>2911</v>
      </c>
      <c r="I14" s="41">
        <v>120150</v>
      </c>
    </row>
    <row r="15" spans="1:9">
      <c r="A15" s="8" t="s">
        <v>48</v>
      </c>
      <c r="B15" s="33" t="s">
        <v>49</v>
      </c>
      <c r="C15" s="34" t="s">
        <v>50</v>
      </c>
      <c r="D15" s="9" t="s">
        <v>15</v>
      </c>
      <c r="E15" s="9" t="s">
        <v>30</v>
      </c>
      <c r="F15" s="9">
        <v>2</v>
      </c>
      <c r="G15" s="9">
        <v>82</v>
      </c>
      <c r="H15" s="35">
        <v>2911</v>
      </c>
      <c r="I15" s="41">
        <v>120145</v>
      </c>
    </row>
    <row r="16" spans="1:9">
      <c r="A16" s="8" t="s">
        <v>51</v>
      </c>
      <c r="B16" s="33" t="s">
        <v>49</v>
      </c>
      <c r="C16" s="34" t="s">
        <v>52</v>
      </c>
      <c r="D16" s="9" t="s">
        <v>15</v>
      </c>
      <c r="E16" s="9" t="s">
        <v>30</v>
      </c>
      <c r="F16" s="9">
        <v>5</v>
      </c>
      <c r="G16" s="9">
        <v>203</v>
      </c>
      <c r="H16" s="35">
        <v>7206.5</v>
      </c>
      <c r="I16" s="41">
        <v>120140</v>
      </c>
    </row>
    <row r="17" spans="1:9">
      <c r="A17" s="8" t="s">
        <v>53</v>
      </c>
      <c r="B17" s="33" t="s">
        <v>54</v>
      </c>
      <c r="C17" s="34" t="s">
        <v>55</v>
      </c>
      <c r="D17" s="9" t="s">
        <v>15</v>
      </c>
      <c r="E17" s="9" t="s">
        <v>30</v>
      </c>
      <c r="F17" s="9">
        <v>3</v>
      </c>
      <c r="G17" s="9">
        <v>121</v>
      </c>
      <c r="H17" s="35">
        <v>4779.5</v>
      </c>
      <c r="I17" s="41">
        <v>120165</v>
      </c>
    </row>
    <row r="18" spans="1:9">
      <c r="A18" s="8" t="s">
        <v>56</v>
      </c>
      <c r="B18" s="33" t="s">
        <v>57</v>
      </c>
      <c r="C18" s="34" t="s">
        <v>58</v>
      </c>
      <c r="D18" s="9" t="s">
        <v>15</v>
      </c>
      <c r="E18" s="9" t="s">
        <v>30</v>
      </c>
      <c r="F18" s="9">
        <v>5</v>
      </c>
      <c r="G18" s="9">
        <v>206</v>
      </c>
      <c r="H18" s="35">
        <v>7313</v>
      </c>
      <c r="I18" s="41">
        <v>120162</v>
      </c>
    </row>
    <row r="19" spans="1:9">
      <c r="A19" s="8" t="s">
        <v>59</v>
      </c>
      <c r="B19" s="33" t="s">
        <v>60</v>
      </c>
      <c r="C19" s="34" t="s">
        <v>61</v>
      </c>
      <c r="D19" s="9" t="s">
        <v>15</v>
      </c>
      <c r="E19" s="9" t="s">
        <v>30</v>
      </c>
      <c r="F19" s="9">
        <v>4</v>
      </c>
      <c r="G19" s="9">
        <v>156</v>
      </c>
      <c r="H19" s="35">
        <v>6319.2</v>
      </c>
      <c r="I19" s="41">
        <v>120172</v>
      </c>
    </row>
    <row r="20" spans="1:9">
      <c r="A20" s="8" t="s">
        <v>62</v>
      </c>
      <c r="B20" s="33" t="s">
        <v>60</v>
      </c>
      <c r="C20" s="34" t="s">
        <v>63</v>
      </c>
      <c r="D20" s="9" t="s">
        <v>15</v>
      </c>
      <c r="E20" s="9" t="s">
        <v>30</v>
      </c>
      <c r="F20" s="9">
        <v>5</v>
      </c>
      <c r="G20" s="9">
        <v>204</v>
      </c>
      <c r="H20" s="35">
        <v>7282.8</v>
      </c>
      <c r="I20" s="41">
        <v>120171</v>
      </c>
    </row>
    <row r="21" spans="1:9">
      <c r="A21" s="8" t="s">
        <v>64</v>
      </c>
      <c r="B21" s="33" t="s">
        <v>65</v>
      </c>
      <c r="C21" s="34" t="s">
        <v>66</v>
      </c>
      <c r="D21" s="9" t="s">
        <v>15</v>
      </c>
      <c r="E21" s="9" t="s">
        <v>30</v>
      </c>
      <c r="F21" s="9">
        <v>3</v>
      </c>
      <c r="G21" s="9">
        <v>119</v>
      </c>
      <c r="H21" s="35">
        <v>4248.3</v>
      </c>
      <c r="I21" s="41">
        <v>120176</v>
      </c>
    </row>
    <row r="22" spans="1:9">
      <c r="A22" s="8" t="s">
        <v>67</v>
      </c>
      <c r="B22" s="33" t="s">
        <v>68</v>
      </c>
      <c r="C22" s="34" t="s">
        <v>69</v>
      </c>
      <c r="D22" s="9" t="s">
        <v>15</v>
      </c>
      <c r="E22" s="9" t="s">
        <v>70</v>
      </c>
      <c r="F22" s="9">
        <v>1</v>
      </c>
      <c r="G22" s="9">
        <v>45</v>
      </c>
      <c r="H22" s="35">
        <v>1732.5</v>
      </c>
      <c r="I22" s="41">
        <v>120168</v>
      </c>
    </row>
    <row r="23" spans="1:9">
      <c r="A23" s="8" t="s">
        <v>71</v>
      </c>
      <c r="B23" s="33" t="s">
        <v>72</v>
      </c>
      <c r="C23" s="34" t="s">
        <v>73</v>
      </c>
      <c r="D23" s="9" t="s">
        <v>15</v>
      </c>
      <c r="E23" s="9" t="s">
        <v>30</v>
      </c>
      <c r="F23" s="9">
        <v>2</v>
      </c>
      <c r="G23" s="9">
        <v>85</v>
      </c>
      <c r="H23" s="35">
        <v>3034.5</v>
      </c>
      <c r="I23" s="41">
        <v>120178</v>
      </c>
    </row>
    <row r="24" s="19" customFormat="1" ht="18" customHeight="1" spans="1:9">
      <c r="A24" s="36" t="s">
        <v>74</v>
      </c>
      <c r="B24" s="36"/>
      <c r="C24" s="37"/>
      <c r="D24" s="36"/>
      <c r="E24" s="36"/>
      <c r="F24" s="36"/>
      <c r="G24" s="36"/>
      <c r="H24" s="38">
        <f>SUM(H4:H23)</f>
        <v>566424.9</v>
      </c>
      <c r="I24" s="42"/>
    </row>
  </sheetData>
  <mergeCells count="2">
    <mergeCell ref="A1:I1"/>
    <mergeCell ref="B2:G2"/>
  </mergeCells>
  <pageMargins left="0.393055555555556" right="0.236111111111111" top="0.275" bottom="1" header="0.156944444444444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tabSelected="1" topLeftCell="A13" workbookViewId="0">
      <selection activeCell="E21" sqref="E21"/>
    </sheetView>
  </sheetViews>
  <sheetFormatPr defaultColWidth="9" defaultRowHeight="13.5"/>
  <cols>
    <col min="1" max="2" width="13.75" customWidth="1"/>
    <col min="3" max="3" width="13.625" customWidth="1"/>
    <col min="4" max="5" width="5.125" customWidth="1"/>
    <col min="6" max="6" width="3.625" customWidth="1"/>
    <col min="7" max="7" width="5.375" customWidth="1"/>
    <col min="8" max="8" width="16.5" customWidth="1"/>
    <col min="9" max="9" width="15" customWidth="1"/>
    <col min="12" max="12" width="11.5" customWidth="1"/>
  </cols>
  <sheetData>
    <row r="1" s="1" customFormat="1" ht="40" customHeight="1" spans="1:9">
      <c r="A1" s="4" t="s">
        <v>75</v>
      </c>
      <c r="B1" s="4"/>
      <c r="C1" s="4"/>
      <c r="D1" s="4"/>
      <c r="E1" s="4"/>
      <c r="F1" s="4"/>
      <c r="G1" s="4"/>
      <c r="H1" s="4"/>
      <c r="I1" s="4"/>
    </row>
    <row r="2" s="1" customFormat="1" ht="31" customHeight="1" spans="1:9">
      <c r="A2" s="5" t="s">
        <v>3</v>
      </c>
      <c r="B2" s="6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7" t="s">
        <v>10</v>
      </c>
      <c r="I2" s="5" t="s">
        <v>11</v>
      </c>
    </row>
    <row r="3" s="2" customFormat="1" ht="25" customHeight="1" spans="1:9">
      <c r="A3" s="8" t="s">
        <v>27</v>
      </c>
      <c r="B3" s="8" t="s">
        <v>28</v>
      </c>
      <c r="C3" s="8" t="s">
        <v>29</v>
      </c>
      <c r="D3" s="9" t="s">
        <v>15</v>
      </c>
      <c r="E3" s="9" t="s">
        <v>30</v>
      </c>
      <c r="F3" s="9">
        <v>7</v>
      </c>
      <c r="G3" s="9">
        <v>280</v>
      </c>
      <c r="H3" s="10">
        <v>9940</v>
      </c>
      <c r="I3" s="16">
        <v>120118</v>
      </c>
    </row>
    <row r="4" s="2" customFormat="1" ht="27" customHeight="1" spans="1:9">
      <c r="A4" s="8" t="s">
        <v>42</v>
      </c>
      <c r="B4" s="8" t="s">
        <v>43</v>
      </c>
      <c r="C4" s="8" t="s">
        <v>44</v>
      </c>
      <c r="D4" s="9" t="s">
        <v>15</v>
      </c>
      <c r="E4" s="9" t="s">
        <v>30</v>
      </c>
      <c r="F4" s="9">
        <v>2</v>
      </c>
      <c r="G4" s="9">
        <v>84</v>
      </c>
      <c r="H4" s="10">
        <v>2982</v>
      </c>
      <c r="I4" s="16">
        <v>120147</v>
      </c>
    </row>
    <row r="5" s="2" customFormat="1" ht="27" customHeight="1" spans="1:9">
      <c r="A5" s="8" t="s">
        <v>45</v>
      </c>
      <c r="B5" s="8" t="s">
        <v>46</v>
      </c>
      <c r="C5" s="8" t="s">
        <v>47</v>
      </c>
      <c r="D5" s="9" t="s">
        <v>15</v>
      </c>
      <c r="E5" s="9" t="s">
        <v>30</v>
      </c>
      <c r="F5" s="9">
        <v>2</v>
      </c>
      <c r="G5" s="9">
        <v>82</v>
      </c>
      <c r="H5" s="10">
        <v>2911</v>
      </c>
      <c r="I5" s="16">
        <v>120150</v>
      </c>
    </row>
    <row r="6" s="2" customFormat="1" ht="27" customHeight="1" spans="1:9">
      <c r="A6" s="8" t="s">
        <v>48</v>
      </c>
      <c r="B6" s="8" t="s">
        <v>49</v>
      </c>
      <c r="C6" s="8" t="s">
        <v>50</v>
      </c>
      <c r="D6" s="9" t="s">
        <v>15</v>
      </c>
      <c r="E6" s="9" t="s">
        <v>30</v>
      </c>
      <c r="F6" s="9">
        <v>2</v>
      </c>
      <c r="G6" s="9">
        <v>82</v>
      </c>
      <c r="H6" s="10">
        <v>2911</v>
      </c>
      <c r="I6" s="16">
        <v>120145</v>
      </c>
    </row>
    <row r="7" s="2" customFormat="1" ht="27" customHeight="1" spans="1:9">
      <c r="A7" s="8" t="s">
        <v>51</v>
      </c>
      <c r="B7" s="8" t="s">
        <v>49</v>
      </c>
      <c r="C7" s="8" t="s">
        <v>52</v>
      </c>
      <c r="D7" s="9" t="s">
        <v>15</v>
      </c>
      <c r="E7" s="9" t="s">
        <v>30</v>
      </c>
      <c r="F7" s="9">
        <v>5</v>
      </c>
      <c r="G7" s="9">
        <v>203</v>
      </c>
      <c r="H7" s="10">
        <v>7206.5</v>
      </c>
      <c r="I7" s="16">
        <v>120140</v>
      </c>
    </row>
    <row r="8" s="2" customFormat="1" ht="27" customHeight="1" spans="1:9">
      <c r="A8" s="8" t="s">
        <v>53</v>
      </c>
      <c r="B8" s="8" t="s">
        <v>54</v>
      </c>
      <c r="C8" s="8" t="s">
        <v>55</v>
      </c>
      <c r="D8" s="9" t="s">
        <v>15</v>
      </c>
      <c r="E8" s="9" t="s">
        <v>30</v>
      </c>
      <c r="F8" s="9">
        <v>3</v>
      </c>
      <c r="G8" s="9">
        <v>121</v>
      </c>
      <c r="H8" s="10">
        <v>4779.5</v>
      </c>
      <c r="I8" s="16">
        <v>120165</v>
      </c>
    </row>
    <row r="9" s="2" customFormat="1" ht="27" customHeight="1" spans="1:9">
      <c r="A9" s="8" t="s">
        <v>56</v>
      </c>
      <c r="B9" s="8" t="s">
        <v>57</v>
      </c>
      <c r="C9" s="8" t="s">
        <v>58</v>
      </c>
      <c r="D9" s="9" t="s">
        <v>15</v>
      </c>
      <c r="E9" s="9" t="s">
        <v>30</v>
      </c>
      <c r="F9" s="9">
        <v>5</v>
      </c>
      <c r="G9" s="9">
        <v>206</v>
      </c>
      <c r="H9" s="10">
        <v>7313</v>
      </c>
      <c r="I9" s="16">
        <v>120162</v>
      </c>
    </row>
    <row r="10" s="2" customFormat="1" ht="27" customHeight="1" spans="1:9">
      <c r="A10" s="8" t="s">
        <v>59</v>
      </c>
      <c r="B10" s="8" t="s">
        <v>60</v>
      </c>
      <c r="C10" s="8" t="s">
        <v>61</v>
      </c>
      <c r="D10" s="9" t="s">
        <v>15</v>
      </c>
      <c r="E10" s="9" t="s">
        <v>30</v>
      </c>
      <c r="F10" s="9">
        <v>4</v>
      </c>
      <c r="G10" s="9">
        <v>156</v>
      </c>
      <c r="H10" s="10">
        <v>6319.2</v>
      </c>
      <c r="I10" s="16">
        <v>120172</v>
      </c>
    </row>
    <row r="11" s="2" customFormat="1" ht="27" customHeight="1" spans="1:9">
      <c r="A11" s="8" t="s">
        <v>62</v>
      </c>
      <c r="B11" s="8" t="s">
        <v>60</v>
      </c>
      <c r="C11" s="8" t="s">
        <v>63</v>
      </c>
      <c r="D11" s="9" t="s">
        <v>15</v>
      </c>
      <c r="E11" s="9" t="s">
        <v>30</v>
      </c>
      <c r="F11" s="9">
        <v>5</v>
      </c>
      <c r="G11" s="9">
        <v>204</v>
      </c>
      <c r="H11" s="10">
        <v>7282.8</v>
      </c>
      <c r="I11" s="16">
        <v>120171</v>
      </c>
    </row>
    <row r="12" s="2" customFormat="1" ht="27" customHeight="1" spans="1:9">
      <c r="A12" s="8" t="s">
        <v>64</v>
      </c>
      <c r="B12" s="8" t="s">
        <v>65</v>
      </c>
      <c r="C12" s="8" t="s">
        <v>66</v>
      </c>
      <c r="D12" s="9" t="s">
        <v>15</v>
      </c>
      <c r="E12" s="9" t="s">
        <v>30</v>
      </c>
      <c r="F12" s="9">
        <v>3</v>
      </c>
      <c r="G12" s="9">
        <v>119</v>
      </c>
      <c r="H12" s="10">
        <v>4248.3</v>
      </c>
      <c r="I12" s="16">
        <v>120176</v>
      </c>
    </row>
    <row r="13" s="2" customFormat="1" ht="27" customHeight="1" spans="1:9">
      <c r="A13" s="8" t="s">
        <v>67</v>
      </c>
      <c r="B13" s="8" t="s">
        <v>68</v>
      </c>
      <c r="C13" s="8" t="s">
        <v>69</v>
      </c>
      <c r="D13" s="9" t="s">
        <v>15</v>
      </c>
      <c r="E13" s="9" t="s">
        <v>70</v>
      </c>
      <c r="F13" s="9">
        <v>1</v>
      </c>
      <c r="G13" s="9">
        <v>45</v>
      </c>
      <c r="H13" s="10">
        <v>1732.5</v>
      </c>
      <c r="I13" s="16">
        <v>120168</v>
      </c>
    </row>
    <row r="14" s="2" customFormat="1" ht="27" customHeight="1" spans="1:9">
      <c r="A14" s="8" t="s">
        <v>71</v>
      </c>
      <c r="B14" s="8" t="s">
        <v>72</v>
      </c>
      <c r="C14" s="8" t="s">
        <v>73</v>
      </c>
      <c r="D14" s="9" t="s">
        <v>15</v>
      </c>
      <c r="E14" s="9" t="s">
        <v>30</v>
      </c>
      <c r="F14" s="9">
        <v>2</v>
      </c>
      <c r="G14" s="9">
        <v>85</v>
      </c>
      <c r="H14" s="10">
        <v>3034.5</v>
      </c>
      <c r="I14" s="16">
        <v>120178</v>
      </c>
    </row>
    <row r="15" s="1" customFormat="1" ht="30" customHeight="1" spans="1:9">
      <c r="A15" s="11">
        <v>43878</v>
      </c>
      <c r="B15" s="5" t="s">
        <v>76</v>
      </c>
      <c r="C15" s="5"/>
      <c r="D15" s="5"/>
      <c r="E15" s="5"/>
      <c r="F15" s="5"/>
      <c r="G15" s="5"/>
      <c r="H15" s="7">
        <v>-60660.3</v>
      </c>
      <c r="I15" s="17"/>
    </row>
    <row r="16" s="2" customFormat="1" ht="25" customHeight="1" spans="1:9">
      <c r="A16" s="8" t="s">
        <v>12</v>
      </c>
      <c r="B16" s="8" t="s">
        <v>13</v>
      </c>
      <c r="C16" s="8" t="s">
        <v>14</v>
      </c>
      <c r="D16" s="9" t="s">
        <v>15</v>
      </c>
      <c r="E16" s="9" t="s">
        <v>16</v>
      </c>
      <c r="F16" s="9">
        <v>60</v>
      </c>
      <c r="G16" s="9">
        <v>2819</v>
      </c>
      <c r="H16" s="12">
        <v>76413</v>
      </c>
      <c r="I16" s="16">
        <v>110185</v>
      </c>
    </row>
    <row r="17" s="1" customFormat="1" ht="30" customHeight="1" spans="1:9">
      <c r="A17" s="11">
        <v>43882</v>
      </c>
      <c r="B17" s="5" t="s">
        <v>76</v>
      </c>
      <c r="C17" s="5"/>
      <c r="D17" s="5"/>
      <c r="E17" s="5"/>
      <c r="F17" s="5"/>
      <c r="G17" s="5"/>
      <c r="H17" s="7">
        <v>-76413</v>
      </c>
      <c r="I17" s="17"/>
    </row>
    <row r="18" s="2" customFormat="1" ht="25" customHeight="1" spans="1:9">
      <c r="A18" s="8" t="s">
        <v>31</v>
      </c>
      <c r="B18" s="8" t="s">
        <v>32</v>
      </c>
      <c r="C18" s="8" t="s">
        <v>33</v>
      </c>
      <c r="D18" s="9" t="s">
        <v>15</v>
      </c>
      <c r="E18" s="9" t="s">
        <v>30</v>
      </c>
      <c r="F18" s="9">
        <v>18</v>
      </c>
      <c r="G18" s="9">
        <v>753</v>
      </c>
      <c r="H18" s="12">
        <v>27631.5</v>
      </c>
      <c r="I18" s="16">
        <v>120130</v>
      </c>
    </row>
    <row r="19" s="2" customFormat="1" ht="25" customHeight="1" spans="1:9">
      <c r="A19" s="8" t="s">
        <v>37</v>
      </c>
      <c r="B19" s="8" t="s">
        <v>35</v>
      </c>
      <c r="C19" s="8" t="s">
        <v>38</v>
      </c>
      <c r="D19" s="9" t="s">
        <v>15</v>
      </c>
      <c r="E19" s="9" t="s">
        <v>30</v>
      </c>
      <c r="F19" s="9">
        <v>9</v>
      </c>
      <c r="G19" s="9">
        <v>370</v>
      </c>
      <c r="H19" s="12">
        <v>13135</v>
      </c>
      <c r="I19" s="16">
        <v>120138</v>
      </c>
    </row>
    <row r="20" s="2" customFormat="1" ht="25" customHeight="1" spans="1:9">
      <c r="A20" s="8" t="s">
        <v>39</v>
      </c>
      <c r="B20" s="8" t="s">
        <v>40</v>
      </c>
      <c r="C20" s="8" t="s">
        <v>41</v>
      </c>
      <c r="D20" s="9" t="s">
        <v>15</v>
      </c>
      <c r="E20" s="9" t="s">
        <v>30</v>
      </c>
      <c r="F20" s="9">
        <v>8</v>
      </c>
      <c r="G20" s="9">
        <v>323</v>
      </c>
      <c r="H20" s="12">
        <v>11466.5</v>
      </c>
      <c r="I20" s="16">
        <v>120139</v>
      </c>
    </row>
    <row r="21" s="1" customFormat="1" ht="30" customHeight="1" spans="1:9">
      <c r="A21" s="11">
        <v>43883</v>
      </c>
      <c r="B21" s="5" t="s">
        <v>76</v>
      </c>
      <c r="C21" s="5"/>
      <c r="D21" s="5"/>
      <c r="E21" s="5"/>
      <c r="F21" s="5"/>
      <c r="G21" s="5"/>
      <c r="H21" s="7">
        <v>-52233</v>
      </c>
      <c r="I21" s="17"/>
    </row>
    <row r="22" s="2" customFormat="1" ht="25" customHeight="1" spans="1:9">
      <c r="A22" s="8" t="s">
        <v>17</v>
      </c>
      <c r="B22" s="8" t="s">
        <v>18</v>
      </c>
      <c r="C22" s="8">
        <v>0</v>
      </c>
      <c r="D22" s="9" t="s">
        <v>20</v>
      </c>
      <c r="E22" s="9" t="s">
        <v>21</v>
      </c>
      <c r="F22" s="9">
        <v>21</v>
      </c>
      <c r="G22" s="9">
        <v>1239</v>
      </c>
      <c r="H22" s="12">
        <v>34144.7</v>
      </c>
      <c r="I22" s="16">
        <v>120110</v>
      </c>
    </row>
    <row r="23" s="2" customFormat="1" ht="25" customHeight="1" spans="1:9">
      <c r="A23" s="8" t="s">
        <v>25</v>
      </c>
      <c r="B23" s="8" t="s">
        <v>26</v>
      </c>
      <c r="C23" s="8" t="s">
        <v>19</v>
      </c>
      <c r="D23" s="9" t="s">
        <v>20</v>
      </c>
      <c r="E23" s="9" t="s">
        <v>21</v>
      </c>
      <c r="F23" s="9">
        <v>18</v>
      </c>
      <c r="G23" s="9">
        <v>1114</v>
      </c>
      <c r="H23" s="12">
        <v>30732.2</v>
      </c>
      <c r="I23" s="16">
        <v>120127</v>
      </c>
    </row>
    <row r="24" s="2" customFormat="1" ht="25" customHeight="1" spans="1:9">
      <c r="A24" s="8" t="s">
        <v>34</v>
      </c>
      <c r="B24" s="8" t="s">
        <v>35</v>
      </c>
      <c r="C24" s="8" t="s">
        <v>36</v>
      </c>
      <c r="D24" s="9" t="s">
        <v>15</v>
      </c>
      <c r="E24" s="9" t="s">
        <v>30</v>
      </c>
      <c r="F24" s="9">
        <v>10</v>
      </c>
      <c r="G24" s="9">
        <v>410</v>
      </c>
      <c r="H24" s="12">
        <v>14590.5</v>
      </c>
      <c r="I24" s="16">
        <v>120128</v>
      </c>
    </row>
    <row r="25" s="1" customFormat="1" ht="30" customHeight="1" spans="1:9">
      <c r="A25" s="11">
        <v>43885</v>
      </c>
      <c r="B25" s="5" t="s">
        <v>76</v>
      </c>
      <c r="C25" s="5"/>
      <c r="D25" s="5"/>
      <c r="E25" s="5"/>
      <c r="F25" s="5"/>
      <c r="G25" s="5"/>
      <c r="H25" s="7">
        <v>-79467.4</v>
      </c>
      <c r="I25" s="17"/>
    </row>
    <row r="26" s="2" customFormat="1" ht="25" customHeight="1" spans="1:9">
      <c r="A26" s="8" t="s">
        <v>22</v>
      </c>
      <c r="B26" s="8" t="s">
        <v>23</v>
      </c>
      <c r="C26" s="8" t="s">
        <v>19</v>
      </c>
      <c r="D26" s="9" t="s">
        <v>20</v>
      </c>
      <c r="E26" s="9" t="s">
        <v>16</v>
      </c>
      <c r="F26" s="9">
        <v>163</v>
      </c>
      <c r="G26" s="9">
        <v>8456</v>
      </c>
      <c r="H26" s="12">
        <v>297651.2</v>
      </c>
      <c r="I26" s="16" t="s">
        <v>24</v>
      </c>
    </row>
    <row r="27" s="2" customFormat="1" ht="25" customHeight="1" spans="1:9">
      <c r="A27" s="11">
        <v>43885</v>
      </c>
      <c r="B27" s="5" t="s">
        <v>76</v>
      </c>
      <c r="C27" s="8"/>
      <c r="D27" s="9"/>
      <c r="E27" s="9"/>
      <c r="F27" s="9"/>
      <c r="G27" s="9"/>
      <c r="H27" s="12">
        <v>-80000</v>
      </c>
      <c r="I27" s="16"/>
    </row>
    <row r="28" s="2" customFormat="1" ht="25" customHeight="1" spans="1:9">
      <c r="A28" s="11">
        <v>43885</v>
      </c>
      <c r="B28" s="5" t="s">
        <v>76</v>
      </c>
      <c r="C28" s="8"/>
      <c r="D28" s="9"/>
      <c r="E28" s="9"/>
      <c r="F28" s="9"/>
      <c r="G28" s="9"/>
      <c r="H28" s="12">
        <v>-100000</v>
      </c>
      <c r="I28" s="16"/>
    </row>
    <row r="29" s="2" customFormat="1" ht="25" customHeight="1" spans="1:9">
      <c r="A29" s="11">
        <v>43886</v>
      </c>
      <c r="B29" s="5" t="s">
        <v>76</v>
      </c>
      <c r="C29" s="8"/>
      <c r="D29" s="9"/>
      <c r="E29" s="9"/>
      <c r="F29" s="9"/>
      <c r="G29" s="9"/>
      <c r="H29" s="12">
        <v>-82651.2</v>
      </c>
      <c r="I29" s="16"/>
    </row>
    <row r="30" s="2" customFormat="1" ht="25" customHeight="1" spans="1:9">
      <c r="A30" s="11">
        <v>43886</v>
      </c>
      <c r="B30" s="13" t="s">
        <v>77</v>
      </c>
      <c r="C30" s="8"/>
      <c r="D30" s="9"/>
      <c r="E30" s="9"/>
      <c r="F30" s="9"/>
      <c r="G30" s="9"/>
      <c r="H30" s="12">
        <v>-35000</v>
      </c>
      <c r="I30" s="16"/>
    </row>
    <row r="31" s="3" customFormat="1" ht="33" customHeight="1" spans="1:9">
      <c r="A31" s="14" t="s">
        <v>78</v>
      </c>
      <c r="B31" s="14"/>
      <c r="C31" s="14"/>
      <c r="D31" s="14"/>
      <c r="E31" s="14"/>
      <c r="F31" s="14"/>
      <c r="G31" s="14"/>
      <c r="H31" s="15">
        <f>SUM(H3:H30)</f>
        <v>0</v>
      </c>
      <c r="I31" s="14"/>
    </row>
  </sheetData>
  <mergeCells count="1">
    <mergeCell ref="A1:I1"/>
  </mergeCells>
  <pageMargins left="0.550694444444444" right="0.236111111111111" top="0.314583333333333" bottom="1" header="0.236111111111111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总欠 </vt:lpstr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2019-07-15T05:10:00Z</dcterms:created>
  <dcterms:modified xsi:type="dcterms:W3CDTF">2020-02-25T06:43:28Z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2052-11.1.0.9440</vt:lpwstr>
  </property>
</Properties>
</file>