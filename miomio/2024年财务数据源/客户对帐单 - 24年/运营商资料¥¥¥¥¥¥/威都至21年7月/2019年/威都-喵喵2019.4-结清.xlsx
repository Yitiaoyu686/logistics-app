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/>
  </bookViews>
  <sheets>
    <sheet name="总欠" sheetId="1" r:id="rId1"/>
    <sheet name="5月8日公帐支付" sheetId="2" r:id="rId2"/>
    <sheet name="5月22日私账支付" sheetId="3" r:id="rId3"/>
    <sheet name="6月24日私账支付" sheetId="4" r:id="rId4"/>
  </sheets>
  <calcPr calcId="144525"/>
</workbook>
</file>

<file path=xl/sharedStrings.xml><?xml version="1.0" encoding="utf-8"?>
<sst xmlns="http://schemas.openxmlformats.org/spreadsheetml/2006/main" count="168" uniqueCount="53">
  <si>
    <t>威都4月份对帐单</t>
  </si>
  <si>
    <t>TO:</t>
  </si>
  <si>
    <t>广州喵喵国际货运代理有限公司</t>
  </si>
  <si>
    <t>工作单号</t>
  </si>
  <si>
    <t>MBL NO</t>
  </si>
  <si>
    <t>入仓编号</t>
  </si>
  <si>
    <t>起运港</t>
  </si>
  <si>
    <t>目的港</t>
  </si>
  <si>
    <t>件数</t>
  </si>
  <si>
    <t>重量</t>
  </si>
  <si>
    <t>DEBIT</t>
  </si>
  <si>
    <t>备注</t>
  </si>
  <si>
    <t>WDAE19040056</t>
  </si>
  <si>
    <t>071-33894766</t>
  </si>
  <si>
    <t>WIN19040031</t>
  </si>
  <si>
    <t>HKG</t>
  </si>
  <si>
    <t>ACC</t>
  </si>
  <si>
    <t>WDAE19040118</t>
  </si>
  <si>
    <t>071-33897905</t>
  </si>
  <si>
    <t>WIN19040089</t>
  </si>
  <si>
    <t>LOS</t>
  </si>
  <si>
    <t>WDAE19040185</t>
  </si>
  <si>
    <t>071-33898045</t>
  </si>
  <si>
    <t>WIN19040164</t>
  </si>
  <si>
    <t>WDAE19040481</t>
  </si>
  <si>
    <t>071-34079916</t>
  </si>
  <si>
    <t>WIN19040459</t>
  </si>
  <si>
    <t>WDAE19040498</t>
  </si>
  <si>
    <t>071-34080922</t>
  </si>
  <si>
    <t>WXL19040482</t>
  </si>
  <si>
    <t>WDAE19040533</t>
  </si>
  <si>
    <t>071-34081084</t>
  </si>
  <si>
    <t>WXL19040522</t>
  </si>
  <si>
    <t>WDAE19041208</t>
  </si>
  <si>
    <t>071-34183063</t>
  </si>
  <si>
    <t>WIN19041210</t>
  </si>
  <si>
    <t>WDAE19050112</t>
  </si>
  <si>
    <t>071-34086544</t>
  </si>
  <si>
    <t>WIN19050101</t>
  </si>
  <si>
    <t>WDAE19041066</t>
  </si>
  <si>
    <t>071-34182886</t>
  </si>
  <si>
    <t>WIN19041061</t>
  </si>
  <si>
    <t>WDAE19041079</t>
  </si>
  <si>
    <t>071-34182912</t>
  </si>
  <si>
    <t>WIN19041062</t>
  </si>
  <si>
    <t>WDAE19050098</t>
  </si>
  <si>
    <t>071-34184220</t>
  </si>
  <si>
    <t>WIN19050086</t>
  </si>
  <si>
    <t>WDAE19050111</t>
  </si>
  <si>
    <t>071-34087303</t>
  </si>
  <si>
    <t>WIN19050102</t>
  </si>
  <si>
    <t>合计</t>
  </si>
  <si>
    <t>支付：威都明细</t>
  </si>
</sst>
</file>

<file path=xl/styles.xml><?xml version="1.0" encoding="utf-8"?>
<styleSheet xmlns="http://schemas.openxmlformats.org/spreadsheetml/2006/main">
  <numFmts count="6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&quot;JOB&quot;000000"/>
    <numFmt numFmtId="177" formatCode="&quot;￥&quot;#,##0.00_);[Red]\(&quot;￥&quot;#,##0.00\)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5"/>
      <name val="宋体"/>
      <charset val="134"/>
    </font>
    <font>
      <sz val="10"/>
      <name val="Courier New"/>
      <charset val="134"/>
    </font>
    <font>
      <sz val="10"/>
      <name val="宋体"/>
      <charset val="134"/>
    </font>
    <font>
      <sz val="9.5"/>
      <name val="Courier New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7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2" borderId="4" applyNumberFormat="0" applyFon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2" fillId="6" borderId="3" applyNumberFormat="0" applyAlignment="0" applyProtection="0">
      <alignment vertical="center"/>
    </xf>
    <xf numFmtId="0" fontId="8" fillId="6" borderId="2" applyNumberFormat="0" applyAlignment="0" applyProtection="0">
      <alignment vertical="center"/>
    </xf>
    <xf numFmtId="0" fontId="21" fillId="18" borderId="7" applyNumberFormat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0" fillId="0" borderId="0" xfId="0" applyFill="1">
      <alignment vertical="center"/>
    </xf>
    <xf numFmtId="177" fontId="0" fillId="0" borderId="0" xfId="0" applyNumberForma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177" fontId="3" fillId="0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177" fontId="1" fillId="0" borderId="1" xfId="0" applyNumberFormat="1" applyFont="1" applyBorder="1">
      <alignment vertical="center"/>
    </xf>
    <xf numFmtId="0" fontId="0" fillId="0" borderId="0" xfId="0" applyAlignment="1">
      <alignment vertical="center" wrapText="1"/>
    </xf>
    <xf numFmtId="177" fontId="0" fillId="0" borderId="0" xfId="0" applyNumberFormat="1" applyAlignment="1">
      <alignment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vertical="center" wrapText="1"/>
    </xf>
    <xf numFmtId="177" fontId="5" fillId="0" borderId="0" xfId="0" applyNumberFormat="1" applyFont="1" applyFill="1" applyBorder="1" applyAlignment="1">
      <alignment vertical="center" wrapText="1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177" fontId="3" fillId="0" borderId="1" xfId="0" applyNumberFormat="1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7" fontId="3" fillId="0" borderId="1" xfId="0" applyNumberFormat="1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9"/>
  <sheetViews>
    <sheetView tabSelected="1" workbookViewId="0">
      <selection activeCell="H16" sqref="H16"/>
    </sheetView>
  </sheetViews>
  <sheetFormatPr defaultColWidth="9" defaultRowHeight="13.5"/>
  <cols>
    <col min="1" max="2" width="13.75" customWidth="1"/>
    <col min="3" max="3" width="12.625" customWidth="1"/>
    <col min="4" max="4" width="5.5" customWidth="1"/>
    <col min="6" max="6" width="3.875" customWidth="1"/>
    <col min="7" max="7" width="5.375" customWidth="1"/>
    <col min="8" max="8" width="13.375" style="2"/>
    <col min="9" max="9" width="17.55" style="3" customWidth="1"/>
  </cols>
  <sheetData>
    <row r="1" ht="19.5" spans="1:9">
      <c r="A1" s="21" t="s">
        <v>0</v>
      </c>
      <c r="B1" s="21"/>
      <c r="C1" s="21"/>
      <c r="D1" s="21"/>
      <c r="E1" s="21"/>
      <c r="F1" s="21"/>
      <c r="G1" s="21"/>
      <c r="H1" s="21"/>
      <c r="I1" s="21"/>
    </row>
    <row r="2" ht="24" customHeight="1" spans="1:8">
      <c r="A2" s="22" t="s">
        <v>1</v>
      </c>
      <c r="B2" s="22" t="s">
        <v>2</v>
      </c>
      <c r="C2" s="22"/>
      <c r="D2" s="22"/>
      <c r="E2" s="22"/>
      <c r="F2" s="22"/>
      <c r="G2" s="22"/>
      <c r="H2" s="23"/>
    </row>
    <row r="3" ht="29" customHeight="1" spans="1:9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6" t="s">
        <v>10</v>
      </c>
      <c r="I3" s="18" t="s">
        <v>11</v>
      </c>
    </row>
    <row r="4" s="24" customFormat="1" ht="18" customHeight="1" spans="1:9">
      <c r="A4" s="26" t="s">
        <v>12</v>
      </c>
      <c r="B4" s="26" t="s">
        <v>13</v>
      </c>
      <c r="C4" s="26" t="s">
        <v>14</v>
      </c>
      <c r="D4" s="27" t="s">
        <v>15</v>
      </c>
      <c r="E4" s="27" t="s">
        <v>16</v>
      </c>
      <c r="F4" s="27">
        <v>2</v>
      </c>
      <c r="G4" s="27">
        <v>81</v>
      </c>
      <c r="H4" s="28">
        <v>2835</v>
      </c>
      <c r="I4" s="34">
        <v>30137</v>
      </c>
    </row>
    <row r="5" s="24" customFormat="1" ht="18" customHeight="1" spans="1:9">
      <c r="A5" s="26" t="s">
        <v>17</v>
      </c>
      <c r="B5" s="26" t="s">
        <v>18</v>
      </c>
      <c r="C5" s="26" t="s">
        <v>19</v>
      </c>
      <c r="D5" s="27" t="s">
        <v>15</v>
      </c>
      <c r="E5" s="27" t="s">
        <v>20</v>
      </c>
      <c r="F5" s="27">
        <v>16</v>
      </c>
      <c r="G5" s="27">
        <v>544</v>
      </c>
      <c r="H5" s="28">
        <v>13791.2</v>
      </c>
      <c r="I5" s="34">
        <v>40068</v>
      </c>
    </row>
    <row r="6" s="24" customFormat="1" ht="18" customHeight="1" spans="1:9">
      <c r="A6" s="26" t="s">
        <v>21</v>
      </c>
      <c r="B6" s="26" t="s">
        <v>22</v>
      </c>
      <c r="C6" s="26" t="s">
        <v>23</v>
      </c>
      <c r="D6" s="27" t="s">
        <v>15</v>
      </c>
      <c r="E6" s="27" t="s">
        <v>16</v>
      </c>
      <c r="F6" s="27">
        <v>2</v>
      </c>
      <c r="G6" s="27">
        <v>79</v>
      </c>
      <c r="H6" s="28">
        <v>2765</v>
      </c>
      <c r="I6" s="34">
        <v>40067</v>
      </c>
    </row>
    <row r="7" s="24" customFormat="1" ht="18" customHeight="1" spans="1:9">
      <c r="A7" s="26" t="s">
        <v>24</v>
      </c>
      <c r="B7" s="26" t="s">
        <v>25</v>
      </c>
      <c r="C7" s="26" t="s">
        <v>26</v>
      </c>
      <c r="D7" s="27" t="s">
        <v>15</v>
      </c>
      <c r="E7" s="27" t="s">
        <v>20</v>
      </c>
      <c r="F7" s="27">
        <v>10</v>
      </c>
      <c r="G7" s="27">
        <v>424</v>
      </c>
      <c r="H7" s="28">
        <v>11024</v>
      </c>
      <c r="I7" s="34">
        <v>40090</v>
      </c>
    </row>
    <row r="8" s="24" customFormat="1" ht="18" customHeight="1" spans="1:9">
      <c r="A8" s="26" t="s">
        <v>27</v>
      </c>
      <c r="B8" s="26" t="s">
        <v>28</v>
      </c>
      <c r="C8" s="26" t="s">
        <v>29</v>
      </c>
      <c r="D8" s="27" t="s">
        <v>15</v>
      </c>
      <c r="E8" s="27" t="s">
        <v>16</v>
      </c>
      <c r="F8" s="27">
        <v>2</v>
      </c>
      <c r="G8" s="27">
        <v>81</v>
      </c>
      <c r="H8" s="28">
        <v>2870</v>
      </c>
      <c r="I8" s="34">
        <v>40092</v>
      </c>
    </row>
    <row r="9" s="24" customFormat="1" ht="18" customHeight="1" spans="1:9">
      <c r="A9" s="26" t="s">
        <v>30</v>
      </c>
      <c r="B9" s="26" t="s">
        <v>31</v>
      </c>
      <c r="C9" s="26" t="s">
        <v>32</v>
      </c>
      <c r="D9" s="27" t="s">
        <v>15</v>
      </c>
      <c r="E9" s="27" t="s">
        <v>16</v>
      </c>
      <c r="F9" s="27">
        <v>10</v>
      </c>
      <c r="G9" s="27">
        <v>358</v>
      </c>
      <c r="H9" s="28">
        <v>12886.2</v>
      </c>
      <c r="I9" s="34">
        <v>40096</v>
      </c>
    </row>
    <row r="10" s="24" customFormat="1" ht="18" customHeight="1" spans="1:9">
      <c r="A10" s="26" t="s">
        <v>33</v>
      </c>
      <c r="B10" s="26" t="s">
        <v>34</v>
      </c>
      <c r="C10" s="26" t="s">
        <v>35</v>
      </c>
      <c r="D10" s="27" t="s">
        <v>15</v>
      </c>
      <c r="E10" s="27" t="s">
        <v>20</v>
      </c>
      <c r="F10" s="27">
        <v>38</v>
      </c>
      <c r="G10" s="29">
        <v>1532</v>
      </c>
      <c r="H10" s="30">
        <v>35952</v>
      </c>
      <c r="I10" s="34">
        <v>40126</v>
      </c>
    </row>
    <row r="11" s="24" customFormat="1" ht="18" customHeight="1" spans="1:9">
      <c r="A11" s="26" t="s">
        <v>36</v>
      </c>
      <c r="B11" s="26" t="s">
        <v>37</v>
      </c>
      <c r="C11" s="26" t="s">
        <v>38</v>
      </c>
      <c r="D11" s="27" t="s">
        <v>15</v>
      </c>
      <c r="E11" s="27" t="s">
        <v>16</v>
      </c>
      <c r="F11" s="27">
        <v>5</v>
      </c>
      <c r="G11" s="29">
        <v>199</v>
      </c>
      <c r="H11" s="30">
        <v>6965</v>
      </c>
      <c r="I11" s="34">
        <v>40102</v>
      </c>
    </row>
    <row r="12" s="25" customFormat="1" ht="18" customHeight="1" spans="1:9">
      <c r="A12" s="31" t="s">
        <v>39</v>
      </c>
      <c r="B12" s="31" t="s">
        <v>40</v>
      </c>
      <c r="C12" s="31" t="s">
        <v>41</v>
      </c>
      <c r="D12" s="32" t="s">
        <v>15</v>
      </c>
      <c r="E12" s="32" t="s">
        <v>20</v>
      </c>
      <c r="F12" s="32">
        <v>34</v>
      </c>
      <c r="G12" s="32">
        <v>2533</v>
      </c>
      <c r="H12" s="33">
        <v>61092</v>
      </c>
      <c r="I12" s="35">
        <v>40122</v>
      </c>
    </row>
    <row r="13" s="24" customFormat="1" ht="18" customHeight="1" spans="1:9">
      <c r="A13" s="26" t="s">
        <v>42</v>
      </c>
      <c r="B13" s="26" t="s">
        <v>43</v>
      </c>
      <c r="C13" s="26" t="s">
        <v>44</v>
      </c>
      <c r="D13" s="27" t="s">
        <v>15</v>
      </c>
      <c r="E13" s="27" t="s">
        <v>16</v>
      </c>
      <c r="F13" s="27">
        <v>14</v>
      </c>
      <c r="G13" s="27">
        <v>503</v>
      </c>
      <c r="H13" s="28">
        <v>17801.7</v>
      </c>
      <c r="I13" s="34">
        <v>40119</v>
      </c>
    </row>
    <row r="14" s="24" customFormat="1" ht="18" customHeight="1" spans="1:9">
      <c r="A14" s="26" t="s">
        <v>45</v>
      </c>
      <c r="B14" s="26" t="s">
        <v>46</v>
      </c>
      <c r="C14" s="26" t="s">
        <v>47</v>
      </c>
      <c r="D14" s="27" t="s">
        <v>15</v>
      </c>
      <c r="E14" s="27" t="s">
        <v>20</v>
      </c>
      <c r="F14" s="27">
        <v>2</v>
      </c>
      <c r="G14" s="29">
        <v>527</v>
      </c>
      <c r="H14" s="30">
        <v>13369.6</v>
      </c>
      <c r="I14" s="34">
        <v>40133</v>
      </c>
    </row>
    <row r="15" s="24" customFormat="1" ht="18" customHeight="1" spans="1:9">
      <c r="A15" s="26" t="s">
        <v>48</v>
      </c>
      <c r="B15" s="26" t="s">
        <v>49</v>
      </c>
      <c r="C15" s="26" t="s">
        <v>50</v>
      </c>
      <c r="D15" s="27" t="s">
        <v>15</v>
      </c>
      <c r="E15" s="27" t="s">
        <v>16</v>
      </c>
      <c r="F15" s="27">
        <v>3</v>
      </c>
      <c r="G15" s="29">
        <v>117</v>
      </c>
      <c r="H15" s="30">
        <v>4095</v>
      </c>
      <c r="I15" s="34">
        <v>40111</v>
      </c>
    </row>
    <row r="16" ht="18" customHeight="1" spans="1:9">
      <c r="A16" s="13" t="s">
        <v>51</v>
      </c>
      <c r="B16" s="14"/>
      <c r="C16" s="14"/>
      <c r="D16" s="14"/>
      <c r="E16" s="14"/>
      <c r="F16" s="14"/>
      <c r="G16" s="14"/>
      <c r="H16" s="15">
        <f>SUM(H4:H15)</f>
        <v>185446.7</v>
      </c>
      <c r="I16" s="13"/>
    </row>
    <row r="19" spans="7:8">
      <c r="G19" s="16"/>
      <c r="H19" s="17"/>
    </row>
  </sheetData>
  <mergeCells count="2">
    <mergeCell ref="A1:I1"/>
    <mergeCell ref="B2:G2"/>
  </mergeCells>
  <pageMargins left="0.393055555555556" right="0.393055555555556" top="0.354166666666667" bottom="1" header="0.27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"/>
  <sheetViews>
    <sheetView workbookViewId="0">
      <selection activeCell="H4" sqref="H4:H11"/>
    </sheetView>
  </sheetViews>
  <sheetFormatPr defaultColWidth="9" defaultRowHeight="13.5"/>
  <cols>
    <col min="1" max="2" width="13.75" customWidth="1"/>
    <col min="3" max="3" width="12.625" customWidth="1"/>
    <col min="4" max="4" width="5.5" customWidth="1"/>
    <col min="6" max="6" width="3.875" customWidth="1"/>
    <col min="7" max="7" width="5.375" customWidth="1"/>
    <col min="8" max="8" width="13.375" style="2"/>
    <col min="9" max="9" width="14.125" style="3" customWidth="1"/>
  </cols>
  <sheetData>
    <row r="1" ht="19.5" spans="1:9">
      <c r="A1" s="21" t="s">
        <v>0</v>
      </c>
      <c r="B1" s="21"/>
      <c r="C1" s="21"/>
      <c r="D1" s="21"/>
      <c r="E1" s="21"/>
      <c r="F1" s="21"/>
      <c r="G1" s="21"/>
      <c r="H1" s="21"/>
      <c r="I1" s="21"/>
    </row>
    <row r="2" ht="29" customHeight="1" spans="1:8">
      <c r="A2" s="22" t="s">
        <v>1</v>
      </c>
      <c r="B2" s="22" t="s">
        <v>2</v>
      </c>
      <c r="C2" s="22"/>
      <c r="D2" s="22"/>
      <c r="E2" s="22"/>
      <c r="F2" s="22"/>
      <c r="G2" s="22"/>
      <c r="H2" s="23"/>
    </row>
    <row r="3" ht="29" customHeight="1" spans="1:9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6" t="s">
        <v>10</v>
      </c>
      <c r="I3" s="18" t="s">
        <v>11</v>
      </c>
    </row>
    <row r="4" ht="25" customHeight="1" spans="1:9">
      <c r="A4" s="7" t="s">
        <v>12</v>
      </c>
      <c r="B4" s="7" t="s">
        <v>13</v>
      </c>
      <c r="C4" s="7" t="s">
        <v>14</v>
      </c>
      <c r="D4" s="5" t="s">
        <v>15</v>
      </c>
      <c r="E4" s="5" t="s">
        <v>16</v>
      </c>
      <c r="F4" s="5">
        <v>2</v>
      </c>
      <c r="G4" s="5">
        <v>81</v>
      </c>
      <c r="H4" s="6">
        <v>2835</v>
      </c>
      <c r="I4" s="19">
        <v>30137</v>
      </c>
    </row>
    <row r="5" ht="25" customHeight="1" spans="1:9">
      <c r="A5" s="7" t="s">
        <v>17</v>
      </c>
      <c r="B5" s="7" t="s">
        <v>18</v>
      </c>
      <c r="C5" s="7" t="s">
        <v>19</v>
      </c>
      <c r="D5" s="5" t="s">
        <v>15</v>
      </c>
      <c r="E5" s="5" t="s">
        <v>20</v>
      </c>
      <c r="F5" s="5">
        <v>16</v>
      </c>
      <c r="G5" s="5">
        <v>544</v>
      </c>
      <c r="H5" s="6">
        <v>13791.2</v>
      </c>
      <c r="I5" s="19">
        <v>40068</v>
      </c>
    </row>
    <row r="6" ht="25" customHeight="1" spans="1:9">
      <c r="A6" s="7" t="s">
        <v>21</v>
      </c>
      <c r="B6" s="7" t="s">
        <v>22</v>
      </c>
      <c r="C6" s="7" t="s">
        <v>23</v>
      </c>
      <c r="D6" s="5" t="s">
        <v>15</v>
      </c>
      <c r="E6" s="5" t="s">
        <v>16</v>
      </c>
      <c r="F6" s="5">
        <v>2</v>
      </c>
      <c r="G6" s="5">
        <v>79</v>
      </c>
      <c r="H6" s="6">
        <v>2765</v>
      </c>
      <c r="I6" s="19">
        <v>40067</v>
      </c>
    </row>
    <row r="7" ht="25" customHeight="1" spans="1:9">
      <c r="A7" s="7" t="s">
        <v>24</v>
      </c>
      <c r="B7" s="7" t="s">
        <v>25</v>
      </c>
      <c r="C7" s="7" t="s">
        <v>26</v>
      </c>
      <c r="D7" s="5" t="s">
        <v>15</v>
      </c>
      <c r="E7" s="5" t="s">
        <v>20</v>
      </c>
      <c r="F7" s="5">
        <v>10</v>
      </c>
      <c r="G7" s="5">
        <v>424</v>
      </c>
      <c r="H7" s="6">
        <v>11024</v>
      </c>
      <c r="I7" s="19">
        <v>40090</v>
      </c>
    </row>
    <row r="8" ht="25" customHeight="1" spans="1:9">
      <c r="A8" s="7" t="s">
        <v>27</v>
      </c>
      <c r="B8" s="7" t="s">
        <v>28</v>
      </c>
      <c r="C8" s="7" t="s">
        <v>29</v>
      </c>
      <c r="D8" s="5" t="s">
        <v>15</v>
      </c>
      <c r="E8" s="5" t="s">
        <v>16</v>
      </c>
      <c r="F8" s="5">
        <v>2</v>
      </c>
      <c r="G8" s="5">
        <v>81</v>
      </c>
      <c r="H8" s="6">
        <v>2870</v>
      </c>
      <c r="I8" s="19">
        <v>40092</v>
      </c>
    </row>
    <row r="9" ht="25" customHeight="1" spans="1:9">
      <c r="A9" s="7" t="s">
        <v>30</v>
      </c>
      <c r="B9" s="7" t="s">
        <v>31</v>
      </c>
      <c r="C9" s="7" t="s">
        <v>32</v>
      </c>
      <c r="D9" s="5" t="s">
        <v>15</v>
      </c>
      <c r="E9" s="5" t="s">
        <v>16</v>
      </c>
      <c r="F9" s="5">
        <v>10</v>
      </c>
      <c r="G9" s="5">
        <v>358</v>
      </c>
      <c r="H9" s="6">
        <v>12886.2</v>
      </c>
      <c r="I9" s="19">
        <v>40096</v>
      </c>
    </row>
    <row r="10" ht="25" customHeight="1" spans="1:9">
      <c r="A10" s="7" t="s">
        <v>33</v>
      </c>
      <c r="B10" s="7" t="s">
        <v>34</v>
      </c>
      <c r="C10" s="7" t="s">
        <v>35</v>
      </c>
      <c r="D10" s="5" t="s">
        <v>15</v>
      </c>
      <c r="E10" s="5" t="s">
        <v>20</v>
      </c>
      <c r="F10" s="5">
        <v>38</v>
      </c>
      <c r="G10" s="8">
        <v>1532</v>
      </c>
      <c r="H10" s="9">
        <v>35952</v>
      </c>
      <c r="I10" s="19">
        <v>40126</v>
      </c>
    </row>
    <row r="11" ht="25" customHeight="1" spans="1:9">
      <c r="A11" s="7" t="s">
        <v>36</v>
      </c>
      <c r="B11" s="7" t="s">
        <v>37</v>
      </c>
      <c r="C11" s="7" t="s">
        <v>38</v>
      </c>
      <c r="D11" s="5" t="s">
        <v>15</v>
      </c>
      <c r="E11" s="5" t="s">
        <v>16</v>
      </c>
      <c r="F11" s="5">
        <v>5</v>
      </c>
      <c r="G11" s="8">
        <v>199</v>
      </c>
      <c r="H11" s="9">
        <v>6965</v>
      </c>
      <c r="I11" s="19">
        <v>40102</v>
      </c>
    </row>
    <row r="12" ht="25" customHeight="1" spans="1:9">
      <c r="A12" s="13" t="s">
        <v>51</v>
      </c>
      <c r="B12" s="14"/>
      <c r="C12" s="14"/>
      <c r="D12" s="14"/>
      <c r="E12" s="14"/>
      <c r="F12" s="14"/>
      <c r="G12" s="14"/>
      <c r="H12" s="15">
        <f>SUM(H4:H11)</f>
        <v>89088.4</v>
      </c>
      <c r="I12" s="13"/>
    </row>
    <row r="15" spans="7:8">
      <c r="G15" s="16"/>
      <c r="H15" s="17"/>
    </row>
  </sheetData>
  <mergeCells count="2">
    <mergeCell ref="A1:I1"/>
    <mergeCell ref="B2:G2"/>
  </mergeCells>
  <pageMargins left="0.590277777777778" right="0.156944444444444" top="0.354166666666667" bottom="1" header="0.236111111111111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B5" sqref="B5"/>
    </sheetView>
  </sheetViews>
  <sheetFormatPr defaultColWidth="9" defaultRowHeight="13.5" outlineLevelRow="7"/>
  <cols>
    <col min="1" max="2" width="13.75" customWidth="1"/>
    <col min="3" max="3" width="12.625" customWidth="1"/>
    <col min="4" max="4" width="5.5" customWidth="1"/>
    <col min="6" max="6" width="3.875" customWidth="1"/>
    <col min="7" max="7" width="5.375" customWidth="1"/>
    <col min="8" max="8" width="13.375" style="2"/>
    <col min="9" max="9" width="14.125" style="3" customWidth="1"/>
  </cols>
  <sheetData>
    <row r="1" ht="57" customHeight="1" spans="1:9">
      <c r="A1" s="4" t="s">
        <v>52</v>
      </c>
      <c r="B1" s="4"/>
      <c r="C1" s="4"/>
      <c r="D1" s="4"/>
      <c r="E1" s="4"/>
      <c r="F1" s="4"/>
      <c r="G1" s="4"/>
      <c r="H1" s="4"/>
      <c r="I1" s="4"/>
    </row>
    <row r="2" ht="29" customHeight="1" spans="1:9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6" t="s">
        <v>10</v>
      </c>
      <c r="I2" s="18" t="s">
        <v>11</v>
      </c>
    </row>
    <row r="3" s="1" customFormat="1" ht="36" customHeight="1" spans="1:9">
      <c r="A3" s="7" t="s">
        <v>45</v>
      </c>
      <c r="B3" s="7" t="s">
        <v>46</v>
      </c>
      <c r="C3" s="7" t="s">
        <v>47</v>
      </c>
      <c r="D3" s="5" t="s">
        <v>15</v>
      </c>
      <c r="E3" s="5" t="s">
        <v>20</v>
      </c>
      <c r="F3" s="5">
        <v>2</v>
      </c>
      <c r="G3" s="8">
        <v>527</v>
      </c>
      <c r="H3" s="9">
        <v>13369.6</v>
      </c>
      <c r="I3" s="19">
        <v>40133</v>
      </c>
    </row>
    <row r="4" s="1" customFormat="1" ht="36" customHeight="1" spans="1:9">
      <c r="A4" s="7" t="s">
        <v>42</v>
      </c>
      <c r="B4" s="7" t="s">
        <v>43</v>
      </c>
      <c r="C4" s="7" t="s">
        <v>44</v>
      </c>
      <c r="D4" s="5" t="s">
        <v>15</v>
      </c>
      <c r="E4" s="5" t="s">
        <v>16</v>
      </c>
      <c r="F4" s="5">
        <v>14</v>
      </c>
      <c r="G4" s="5">
        <v>503</v>
      </c>
      <c r="H4" s="6">
        <v>17801.7</v>
      </c>
      <c r="I4" s="19">
        <v>40119</v>
      </c>
    </row>
    <row r="5" ht="36" customHeight="1" spans="1:9">
      <c r="A5" s="13" t="s">
        <v>51</v>
      </c>
      <c r="B5" s="14"/>
      <c r="C5" s="14"/>
      <c r="D5" s="14"/>
      <c r="E5" s="14"/>
      <c r="F5" s="14"/>
      <c r="G5" s="14"/>
      <c r="H5" s="15">
        <f>SUM(H3:H4)</f>
        <v>31171.3</v>
      </c>
      <c r="I5" s="13"/>
    </row>
    <row r="8" spans="7:8">
      <c r="G8" s="16"/>
      <c r="H8" s="17"/>
    </row>
  </sheetData>
  <mergeCells count="1">
    <mergeCell ref="A1:I1"/>
  </mergeCells>
  <pageMargins left="0.629861111111111" right="0.432638888888889" top="0.629861111111111" bottom="1" header="0.27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"/>
  <sheetViews>
    <sheetView workbookViewId="0">
      <selection activeCell="A1" sqref="$A1:$XFD1"/>
    </sheetView>
  </sheetViews>
  <sheetFormatPr defaultColWidth="9" defaultRowHeight="13.5" outlineLevelRow="7"/>
  <cols>
    <col min="1" max="1" width="13.75" customWidth="1"/>
    <col min="2" max="2" width="16.8583333333333" customWidth="1"/>
    <col min="3" max="3" width="12.625" customWidth="1"/>
    <col min="4" max="4" width="5.5" customWidth="1"/>
    <col min="6" max="6" width="3.875" customWidth="1"/>
    <col min="7" max="7" width="5.375" customWidth="1"/>
    <col min="8" max="8" width="13.375" style="2"/>
    <col min="9" max="9" width="11.7416666666667" style="3" customWidth="1"/>
  </cols>
  <sheetData>
    <row r="1" ht="57" customHeight="1" spans="1:9">
      <c r="A1" s="4" t="s">
        <v>52</v>
      </c>
      <c r="B1" s="4"/>
      <c r="C1" s="4"/>
      <c r="D1" s="4"/>
      <c r="E1" s="4"/>
      <c r="F1" s="4"/>
      <c r="G1" s="4"/>
      <c r="H1" s="4"/>
      <c r="I1" s="4"/>
    </row>
    <row r="2" ht="37" customHeight="1" spans="1:9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6" t="s">
        <v>10</v>
      </c>
      <c r="I2" s="18" t="s">
        <v>11</v>
      </c>
    </row>
    <row r="3" s="1" customFormat="1" ht="37" customHeight="1" spans="1:9">
      <c r="A3" s="7" t="s">
        <v>48</v>
      </c>
      <c r="B3" s="7" t="s">
        <v>49</v>
      </c>
      <c r="C3" s="7" t="s">
        <v>50</v>
      </c>
      <c r="D3" s="5" t="s">
        <v>15</v>
      </c>
      <c r="E3" s="5" t="s">
        <v>16</v>
      </c>
      <c r="F3" s="5">
        <v>3</v>
      </c>
      <c r="G3" s="8">
        <v>117</v>
      </c>
      <c r="H3" s="9">
        <v>4095</v>
      </c>
      <c r="I3" s="19">
        <v>40111</v>
      </c>
    </row>
    <row r="4" ht="37" customHeight="1" spans="1:9">
      <c r="A4" s="10" t="s">
        <v>39</v>
      </c>
      <c r="B4" s="10" t="s">
        <v>40</v>
      </c>
      <c r="C4" s="10" t="s">
        <v>41</v>
      </c>
      <c r="D4" s="11" t="s">
        <v>15</v>
      </c>
      <c r="E4" s="11" t="s">
        <v>20</v>
      </c>
      <c r="F4" s="11">
        <v>34</v>
      </c>
      <c r="G4" s="11">
        <v>2533</v>
      </c>
      <c r="H4" s="12">
        <v>61092</v>
      </c>
      <c r="I4" s="20">
        <v>40122</v>
      </c>
    </row>
    <row r="5" ht="37" customHeight="1" spans="1:9">
      <c r="A5" s="13" t="s">
        <v>51</v>
      </c>
      <c r="B5" s="14"/>
      <c r="C5" s="14"/>
      <c r="D5" s="14"/>
      <c r="E5" s="14"/>
      <c r="F5" s="14"/>
      <c r="G5" s="14"/>
      <c r="H5" s="15">
        <f>SUM(H3:H4)</f>
        <v>65187</v>
      </c>
      <c r="I5" s="13"/>
    </row>
    <row r="8" spans="7:8">
      <c r="G8" s="16"/>
      <c r="H8" s="17"/>
    </row>
  </sheetData>
  <mergeCells count="1">
    <mergeCell ref="A1:I1"/>
  </mergeCells>
  <pageMargins left="0.511805555555556" right="0.156944444444444" top="0.354166666666667" bottom="1" header="0.27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总欠</vt:lpstr>
      <vt:lpstr>5月8日公帐支付</vt:lpstr>
      <vt:lpstr>5月22日私账支付</vt:lpstr>
      <vt:lpstr>6月24日私账支付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GreatWall</dc:creator>
  <cp:lastModifiedBy>/mg</cp:lastModifiedBy>
  <dcterms:created xsi:type="dcterms:W3CDTF">2019-05-06T07:01:00Z</dcterms:created>
  <dcterms:modified xsi:type="dcterms:W3CDTF">2021-06-07T04:27:31Z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2052-11.8.6.8556</vt:lpwstr>
  </property>
</Properties>
</file>