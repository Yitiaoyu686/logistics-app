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总欠 " sheetId="4" r:id="rId1"/>
    <sheet name="结清" sheetId="2" r:id="rId2"/>
  </sheets>
  <calcPr calcId="144525"/>
</workbook>
</file>

<file path=xl/sharedStrings.xml><?xml version="1.0" encoding="utf-8"?>
<sst xmlns="http://schemas.openxmlformats.org/spreadsheetml/2006/main" count="177" uniqueCount="62">
  <si>
    <t>威都11月份对帐单</t>
  </si>
  <si>
    <t>TO:</t>
  </si>
  <si>
    <t>广州喵喵国际货运代理有限公司</t>
  </si>
  <si>
    <t>工作单号</t>
  </si>
  <si>
    <t>MBL NO</t>
  </si>
  <si>
    <t>入仓编号</t>
  </si>
  <si>
    <t>起运港</t>
  </si>
  <si>
    <t>目的港</t>
  </si>
  <si>
    <t>件数</t>
  </si>
  <si>
    <t>重量</t>
  </si>
  <si>
    <t>DEBIT</t>
  </si>
  <si>
    <t>备注</t>
  </si>
  <si>
    <t>WDAE19101459</t>
  </si>
  <si>
    <t>071-35627911</t>
  </si>
  <si>
    <t>HKG</t>
  </si>
  <si>
    <t>ACC</t>
  </si>
  <si>
    <t>WDAE19101534</t>
  </si>
  <si>
    <t>071-35633006</t>
  </si>
  <si>
    <t>WDAE19110307</t>
  </si>
  <si>
    <t>071-35628526</t>
  </si>
  <si>
    <t>LCMM191026</t>
  </si>
  <si>
    <t>WDAE19110424</t>
  </si>
  <si>
    <t>071-35636812</t>
  </si>
  <si>
    <t>WIN1911108ACC-BG</t>
  </si>
  <si>
    <t>WDAE19110458</t>
  </si>
  <si>
    <t>071-35636823</t>
  </si>
  <si>
    <t>LCMM191110</t>
  </si>
  <si>
    <t>LOS</t>
  </si>
  <si>
    <t>WDAE19110532</t>
  </si>
  <si>
    <t>235-52363010</t>
  </si>
  <si>
    <t>0</t>
  </si>
  <si>
    <t>CAN</t>
  </si>
  <si>
    <t>OTP</t>
  </si>
  <si>
    <t>WDAE19110574</t>
  </si>
  <si>
    <t>071-35645816</t>
  </si>
  <si>
    <t>LCMM191113</t>
  </si>
  <si>
    <t>WDAE19110591</t>
  </si>
  <si>
    <t>235-52362903</t>
  </si>
  <si>
    <t>WDAE19110753</t>
  </si>
  <si>
    <t>071-35646951</t>
  </si>
  <si>
    <t>LCMM191114</t>
  </si>
  <si>
    <t>WDAE19111007</t>
  </si>
  <si>
    <t>071-35866681</t>
  </si>
  <si>
    <t>LCMM191120</t>
  </si>
  <si>
    <t>WDAE19111063</t>
  </si>
  <si>
    <t>071-35866972</t>
  </si>
  <si>
    <t>WXL1911209-ALINA</t>
  </si>
  <si>
    <t>WDAE19111178</t>
  </si>
  <si>
    <t>071-35867823</t>
  </si>
  <si>
    <t>LCMM191121</t>
  </si>
  <si>
    <t>WDAE19111207</t>
  </si>
  <si>
    <t>071-35874823</t>
  </si>
  <si>
    <t>WXL1911227-ALINA</t>
  </si>
  <si>
    <t>WDAE19111448</t>
  </si>
  <si>
    <t>071-35877085</t>
  </si>
  <si>
    <t>WXL19112571-ALINA</t>
  </si>
  <si>
    <t>WDAE19111616</t>
  </si>
  <si>
    <t>WIN19112701-ALINA</t>
  </si>
  <si>
    <t>合计</t>
  </si>
  <si>
    <t>支付：威都清单</t>
  </si>
  <si>
    <t>公账支付</t>
  </si>
  <si>
    <t>私账支付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</si>
</sst>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&quot;￥&quot;#,##0.00_);[Red]\(&quot;￥&quot;#,##0.00\)"/>
    <numFmt numFmtId="177" formatCode="&quot;JOB&quot;000000"/>
  </numFmts>
  <fonts count="31">
    <font>
      <sz val="11"/>
      <color theme="1"/>
      <name val="宋体"/>
      <charset val="134"/>
      <scheme val="minor"/>
    </font>
    <font>
      <b/>
      <sz val="15"/>
      <name val="宋体"/>
      <charset val="134"/>
    </font>
    <font>
      <sz val="9"/>
      <name val="宋体"/>
      <charset val="134"/>
    </font>
    <font>
      <sz val="9"/>
      <name val="Courier New"/>
      <charset val="134"/>
    </font>
    <font>
      <sz val="10"/>
      <color theme="1"/>
      <name val="宋体"/>
      <charset val="134"/>
      <scheme val="minor"/>
    </font>
    <font>
      <sz val="12"/>
      <name val="宋体"/>
      <charset val="134"/>
    </font>
    <font>
      <sz val="9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name val="Courier New"/>
      <charset val="134"/>
    </font>
    <font>
      <sz val="11"/>
      <name val="宋体"/>
      <charset val="134"/>
    </font>
    <font>
      <b/>
      <sz val="9"/>
      <color theme="1"/>
      <name val="宋体"/>
      <charset val="134"/>
      <scheme val="minor"/>
    </font>
    <font>
      <b/>
      <sz val="12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4" fillId="15" borderId="6" applyNumberFormat="0" applyAlignment="0" applyProtection="0">
      <alignment vertical="center"/>
    </xf>
    <xf numFmtId="0" fontId="25" fillId="15" borderId="2" applyNumberFormat="0" applyAlignment="0" applyProtection="0">
      <alignment vertical="center"/>
    </xf>
    <xf numFmtId="0" fontId="26" fillId="16" borderId="7" applyNumberForma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58" fontId="2" fillId="0" borderId="1" xfId="0" applyNumberFormat="1" applyFont="1" applyFill="1" applyBorder="1" applyAlignment="1">
      <alignment horizontal="center" vertical="center" wrapText="1"/>
    </xf>
    <xf numFmtId="58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7" fillId="0" borderId="0" xfId="0" applyNumberFormat="1" applyFont="1">
      <alignment vertical="center"/>
    </xf>
    <xf numFmtId="0" fontId="1" fillId="0" borderId="0" xfId="0" applyFont="1" applyFill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Border="1" applyAlignment="1">
      <alignment horizontal="righ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center" vertical="center" wrapText="1"/>
    </xf>
    <xf numFmtId="176" fontId="8" fillId="0" borderId="0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177" fontId="11" fillId="0" borderId="0" xfId="0" applyNumberFormat="1" applyFont="1" applyFill="1" applyAlignment="1">
      <alignment horizontal="center" vertical="center" wrapText="1"/>
    </xf>
    <xf numFmtId="177" fontId="7" fillId="0" borderId="0" xfId="0" applyNumberFormat="1" applyFont="1" applyFill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A4" sqref="$A4:$XFD18"/>
    </sheetView>
  </sheetViews>
  <sheetFormatPr defaultColWidth="9" defaultRowHeight="14.25"/>
  <cols>
    <col min="1" max="3" width="14.625" customWidth="1"/>
    <col min="4" max="7" width="5.75" style="14" customWidth="1"/>
    <col min="8" max="8" width="14" style="15" customWidth="1"/>
    <col min="9" max="9" width="14.5" style="16" customWidth="1"/>
    <col min="11" max="11" width="12" customWidth="1"/>
  </cols>
  <sheetData>
    <row r="1" s="1" customFormat="1" ht="27" customHeight="1" spans="1:9">
      <c r="A1" s="17" t="s">
        <v>0</v>
      </c>
      <c r="B1" s="17"/>
      <c r="C1" s="17"/>
      <c r="D1" s="17"/>
      <c r="E1" s="17"/>
      <c r="F1" s="17"/>
      <c r="G1" s="17"/>
      <c r="H1" s="18"/>
      <c r="I1" s="26"/>
    </row>
    <row r="2" s="12" customFormat="1" ht="18" customHeight="1" spans="1:9">
      <c r="A2" s="19" t="s">
        <v>1</v>
      </c>
      <c r="B2" s="20" t="s">
        <v>2</v>
      </c>
      <c r="C2" s="21"/>
      <c r="D2" s="22"/>
      <c r="E2" s="22"/>
      <c r="F2" s="22"/>
      <c r="G2" s="22"/>
      <c r="H2" s="23"/>
      <c r="I2" s="27"/>
    </row>
    <row r="3" s="1" customFormat="1" ht="22" customHeight="1" spans="1:9">
      <c r="A3" s="4" t="s">
        <v>3</v>
      </c>
      <c r="B3" s="5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6" t="s">
        <v>10</v>
      </c>
      <c r="I3" s="11" t="s">
        <v>11</v>
      </c>
    </row>
    <row r="4" s="1" customFormat="1" ht="18" customHeight="1" spans="1:9">
      <c r="A4" s="4" t="s">
        <v>12</v>
      </c>
      <c r="B4" s="5" t="s">
        <v>13</v>
      </c>
      <c r="C4" s="4" t="s">
        <v>12</v>
      </c>
      <c r="D4" s="4" t="s">
        <v>14</v>
      </c>
      <c r="E4" s="4" t="s">
        <v>15</v>
      </c>
      <c r="F4" s="4">
        <v>6</v>
      </c>
      <c r="G4" s="4">
        <v>241</v>
      </c>
      <c r="H4" s="6">
        <v>8531.4</v>
      </c>
      <c r="I4" s="11">
        <v>100171</v>
      </c>
    </row>
    <row r="5" s="1" customFormat="1" ht="18" customHeight="1" spans="1:9">
      <c r="A5" s="4" t="s">
        <v>16</v>
      </c>
      <c r="B5" s="5" t="s">
        <v>17</v>
      </c>
      <c r="C5" s="4" t="s">
        <v>16</v>
      </c>
      <c r="D5" s="4" t="s">
        <v>14</v>
      </c>
      <c r="E5" s="4" t="s">
        <v>15</v>
      </c>
      <c r="F5" s="4">
        <v>9</v>
      </c>
      <c r="G5" s="4">
        <v>350</v>
      </c>
      <c r="H5" s="6">
        <v>12490</v>
      </c>
      <c r="I5" s="11">
        <v>110114</v>
      </c>
    </row>
    <row r="6" s="1" customFormat="1" ht="18" customHeight="1" spans="1:9">
      <c r="A6" s="4" t="s">
        <v>18</v>
      </c>
      <c r="B6" s="5" t="s">
        <v>19</v>
      </c>
      <c r="C6" s="4" t="s">
        <v>20</v>
      </c>
      <c r="D6" s="4" t="s">
        <v>14</v>
      </c>
      <c r="E6" s="4" t="s">
        <v>15</v>
      </c>
      <c r="F6" s="4">
        <v>9</v>
      </c>
      <c r="G6" s="4">
        <v>361</v>
      </c>
      <c r="H6" s="6">
        <v>12868.4</v>
      </c>
      <c r="I6" s="11">
        <v>110109</v>
      </c>
    </row>
    <row r="7" s="1" customFormat="1" ht="18" customHeight="1" spans="1:9">
      <c r="A7" s="4" t="s">
        <v>21</v>
      </c>
      <c r="B7" s="5" t="s">
        <v>22</v>
      </c>
      <c r="C7" s="4" t="s">
        <v>23</v>
      </c>
      <c r="D7" s="4" t="s">
        <v>14</v>
      </c>
      <c r="E7" s="4" t="s">
        <v>15</v>
      </c>
      <c r="F7" s="4">
        <v>4</v>
      </c>
      <c r="G7" s="4">
        <v>159</v>
      </c>
      <c r="H7" s="6">
        <v>7316.7</v>
      </c>
      <c r="I7" s="11">
        <v>110140</v>
      </c>
    </row>
    <row r="8" s="1" customFormat="1" ht="18" customHeight="1" spans="1:9">
      <c r="A8" s="4" t="s">
        <v>24</v>
      </c>
      <c r="B8" s="5" t="s">
        <v>25</v>
      </c>
      <c r="C8" s="4" t="s">
        <v>26</v>
      </c>
      <c r="D8" s="4" t="s">
        <v>14</v>
      </c>
      <c r="E8" s="4" t="s">
        <v>27</v>
      </c>
      <c r="F8" s="4">
        <v>36</v>
      </c>
      <c r="G8" s="4">
        <v>1338</v>
      </c>
      <c r="H8" s="6">
        <v>36292.2</v>
      </c>
      <c r="I8" s="11">
        <v>110143</v>
      </c>
    </row>
    <row r="9" s="1" customFormat="1" ht="18" customHeight="1" spans="1:9">
      <c r="A9" s="4" t="s">
        <v>28</v>
      </c>
      <c r="B9" s="5" t="s">
        <v>29</v>
      </c>
      <c r="C9" s="4" t="s">
        <v>30</v>
      </c>
      <c r="D9" s="4" t="s">
        <v>31</v>
      </c>
      <c r="E9" s="4" t="s">
        <v>32</v>
      </c>
      <c r="F9" s="4">
        <v>23</v>
      </c>
      <c r="G9" s="4">
        <v>1315</v>
      </c>
      <c r="H9" s="6">
        <v>36219.5</v>
      </c>
      <c r="I9" s="11">
        <v>110191</v>
      </c>
    </row>
    <row r="10" s="1" customFormat="1" ht="18" customHeight="1" spans="1:9">
      <c r="A10" s="4" t="s">
        <v>33</v>
      </c>
      <c r="B10" s="5" t="s">
        <v>34</v>
      </c>
      <c r="C10" s="4" t="s">
        <v>35</v>
      </c>
      <c r="D10" s="4" t="s">
        <v>14</v>
      </c>
      <c r="E10" s="4" t="s">
        <v>27</v>
      </c>
      <c r="F10" s="4">
        <v>18</v>
      </c>
      <c r="G10" s="4">
        <v>1131</v>
      </c>
      <c r="H10" s="6">
        <v>30837</v>
      </c>
      <c r="I10" s="11">
        <v>110145</v>
      </c>
    </row>
    <row r="11" s="1" customFormat="1" ht="18" customHeight="1" spans="1:9">
      <c r="A11" s="4" t="s">
        <v>36</v>
      </c>
      <c r="B11" s="5" t="s">
        <v>37</v>
      </c>
      <c r="C11" s="4" t="s">
        <v>30</v>
      </c>
      <c r="D11" s="4" t="s">
        <v>31</v>
      </c>
      <c r="E11" s="4" t="s">
        <v>32</v>
      </c>
      <c r="F11" s="4">
        <v>32</v>
      </c>
      <c r="G11" s="4">
        <v>1941</v>
      </c>
      <c r="H11" s="6">
        <v>56997.2</v>
      </c>
      <c r="I11" s="11">
        <v>110165</v>
      </c>
    </row>
    <row r="12" s="1" customFormat="1" ht="18" customHeight="1" spans="1:9">
      <c r="A12" s="4" t="s">
        <v>38</v>
      </c>
      <c r="B12" s="5" t="s">
        <v>39</v>
      </c>
      <c r="C12" s="4" t="s">
        <v>40</v>
      </c>
      <c r="D12" s="4" t="s">
        <v>14</v>
      </c>
      <c r="E12" s="4" t="s">
        <v>27</v>
      </c>
      <c r="F12" s="4">
        <v>26</v>
      </c>
      <c r="G12" s="4">
        <v>1338</v>
      </c>
      <c r="H12" s="6">
        <v>36292.2</v>
      </c>
      <c r="I12" s="11">
        <v>110157</v>
      </c>
    </row>
    <row r="13" s="1" customFormat="1" ht="18" customHeight="1" spans="1:9">
      <c r="A13" s="4" t="s">
        <v>41</v>
      </c>
      <c r="B13" s="5" t="s">
        <v>42</v>
      </c>
      <c r="C13" s="4" t="s">
        <v>43</v>
      </c>
      <c r="D13" s="4" t="s">
        <v>14</v>
      </c>
      <c r="E13" s="4" t="s">
        <v>27</v>
      </c>
      <c r="F13" s="4">
        <v>28</v>
      </c>
      <c r="G13" s="4">
        <v>1098</v>
      </c>
      <c r="H13" s="6">
        <v>29946</v>
      </c>
      <c r="I13" s="11">
        <v>110166</v>
      </c>
    </row>
    <row r="14" s="1" customFormat="1" ht="18" customHeight="1" spans="1:9">
      <c r="A14" s="4" t="s">
        <v>44</v>
      </c>
      <c r="B14" s="5" t="s">
        <v>45</v>
      </c>
      <c r="C14" s="4" t="s">
        <v>46</v>
      </c>
      <c r="D14" s="4" t="s">
        <v>14</v>
      </c>
      <c r="E14" s="4" t="s">
        <v>15</v>
      </c>
      <c r="F14" s="4">
        <v>19</v>
      </c>
      <c r="G14" s="4">
        <v>779</v>
      </c>
      <c r="H14" s="6">
        <v>27654.5</v>
      </c>
      <c r="I14" s="11">
        <v>110167</v>
      </c>
    </row>
    <row r="15" s="1" customFormat="1" ht="18" customHeight="1" spans="1:9">
      <c r="A15" s="4" t="s">
        <v>47</v>
      </c>
      <c r="B15" s="5" t="s">
        <v>48</v>
      </c>
      <c r="C15" s="4" t="s">
        <v>49</v>
      </c>
      <c r="D15" s="4" t="s">
        <v>14</v>
      </c>
      <c r="E15" s="4" t="s">
        <v>27</v>
      </c>
      <c r="F15" s="4">
        <v>31</v>
      </c>
      <c r="G15" s="4">
        <v>1193</v>
      </c>
      <c r="H15" s="6">
        <v>32391.7</v>
      </c>
      <c r="I15" s="11">
        <v>110170</v>
      </c>
    </row>
    <row r="16" s="1" customFormat="1" ht="18" customHeight="1" spans="1:9">
      <c r="A16" s="4" t="s">
        <v>50</v>
      </c>
      <c r="B16" s="5" t="s">
        <v>51</v>
      </c>
      <c r="C16" s="4" t="s">
        <v>52</v>
      </c>
      <c r="D16" s="4" t="s">
        <v>14</v>
      </c>
      <c r="E16" s="4" t="s">
        <v>15</v>
      </c>
      <c r="F16" s="4">
        <v>7</v>
      </c>
      <c r="G16" s="4">
        <v>294</v>
      </c>
      <c r="H16" s="6">
        <v>10437</v>
      </c>
      <c r="I16" s="11">
        <v>110175</v>
      </c>
    </row>
    <row r="17" s="1" customFormat="1" ht="18" customHeight="1" spans="1:9">
      <c r="A17" s="4" t="s">
        <v>53</v>
      </c>
      <c r="B17" s="5" t="s">
        <v>54</v>
      </c>
      <c r="C17" s="4" t="s">
        <v>55</v>
      </c>
      <c r="D17" s="4" t="s">
        <v>14</v>
      </c>
      <c r="E17" s="4" t="s">
        <v>15</v>
      </c>
      <c r="F17" s="4">
        <v>6</v>
      </c>
      <c r="G17" s="4">
        <v>250</v>
      </c>
      <c r="H17" s="6">
        <v>8875</v>
      </c>
      <c r="I17" s="11">
        <v>110182</v>
      </c>
    </row>
    <row r="18" s="1" customFormat="1" ht="18" customHeight="1" spans="1:9">
      <c r="A18" s="4" t="s">
        <v>56</v>
      </c>
      <c r="B18" s="5" t="s">
        <v>54</v>
      </c>
      <c r="C18" s="4" t="s">
        <v>57</v>
      </c>
      <c r="D18" s="4" t="s">
        <v>14</v>
      </c>
      <c r="E18" s="4" t="s">
        <v>15</v>
      </c>
      <c r="F18" s="4">
        <v>3</v>
      </c>
      <c r="G18" s="4">
        <v>125</v>
      </c>
      <c r="H18" s="6">
        <v>4437.5</v>
      </c>
      <c r="I18" s="11">
        <v>110188</v>
      </c>
    </row>
    <row r="19" s="13" customFormat="1" ht="18" customHeight="1" spans="1:9">
      <c r="A19" s="24" t="s">
        <v>58</v>
      </c>
      <c r="B19" s="24"/>
      <c r="C19" s="24"/>
      <c r="D19" s="24"/>
      <c r="E19" s="24"/>
      <c r="F19" s="24"/>
      <c r="G19" s="24"/>
      <c r="H19" s="25">
        <f>SUM(H4:H18)</f>
        <v>351586.3</v>
      </c>
      <c r="I19" s="28"/>
    </row>
  </sheetData>
  <mergeCells count="2">
    <mergeCell ref="A1:I1"/>
    <mergeCell ref="B2:G2"/>
  </mergeCells>
  <pageMargins left="0.393055555555556" right="0.236111111111111" top="0.275" bottom="1" header="0.156944444444444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topLeftCell="A4" workbookViewId="0">
      <selection activeCell="H16" sqref="H16"/>
    </sheetView>
  </sheetViews>
  <sheetFormatPr defaultColWidth="9" defaultRowHeight="13.5"/>
  <cols>
    <col min="1" max="2" width="13.75" customWidth="1"/>
    <col min="3" max="3" width="13.625" customWidth="1"/>
    <col min="4" max="5" width="5.125" customWidth="1"/>
    <col min="6" max="6" width="3.625" customWidth="1"/>
    <col min="7" max="7" width="5.375" customWidth="1"/>
    <col min="8" max="8" width="16.5" customWidth="1"/>
    <col min="9" max="9" width="12.25" customWidth="1"/>
  </cols>
  <sheetData>
    <row r="1" s="1" customFormat="1" ht="40" customHeight="1" spans="1:9">
      <c r="A1" s="3" t="s">
        <v>59</v>
      </c>
      <c r="B1" s="3"/>
      <c r="C1" s="3"/>
      <c r="D1" s="3"/>
      <c r="E1" s="3"/>
      <c r="F1" s="3"/>
      <c r="G1" s="3"/>
      <c r="H1" s="3"/>
      <c r="I1" s="3"/>
    </row>
    <row r="2" s="1" customFormat="1" ht="41" customHeight="1" spans="1:9">
      <c r="A2" s="4" t="s">
        <v>3</v>
      </c>
      <c r="B2" s="5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6" t="s">
        <v>10</v>
      </c>
      <c r="I2" s="4" t="s">
        <v>11</v>
      </c>
    </row>
    <row r="3" s="1" customFormat="1" ht="30" customHeight="1" spans="1:9">
      <c r="A3" s="4" t="s">
        <v>12</v>
      </c>
      <c r="B3" s="5" t="s">
        <v>13</v>
      </c>
      <c r="C3" s="4" t="s">
        <v>12</v>
      </c>
      <c r="D3" s="4" t="s">
        <v>14</v>
      </c>
      <c r="E3" s="4" t="s">
        <v>15</v>
      </c>
      <c r="F3" s="4">
        <v>6</v>
      </c>
      <c r="G3" s="4">
        <v>241</v>
      </c>
      <c r="H3" s="6">
        <v>8531.4</v>
      </c>
      <c r="I3" s="11">
        <v>100171</v>
      </c>
    </row>
    <row r="4" s="1" customFormat="1" ht="30" customHeight="1" spans="1:9">
      <c r="A4" s="4" t="s">
        <v>16</v>
      </c>
      <c r="B4" s="5" t="s">
        <v>17</v>
      </c>
      <c r="C4" s="4" t="s">
        <v>16</v>
      </c>
      <c r="D4" s="4" t="s">
        <v>14</v>
      </c>
      <c r="E4" s="4" t="s">
        <v>15</v>
      </c>
      <c r="F4" s="4">
        <v>9</v>
      </c>
      <c r="G4" s="4">
        <v>350</v>
      </c>
      <c r="H4" s="6">
        <v>12490</v>
      </c>
      <c r="I4" s="11">
        <v>110114</v>
      </c>
    </row>
    <row r="5" s="1" customFormat="1" ht="30" customHeight="1" spans="1:9">
      <c r="A5" s="4" t="s">
        <v>18</v>
      </c>
      <c r="B5" s="5" t="s">
        <v>19</v>
      </c>
      <c r="C5" s="4" t="s">
        <v>20</v>
      </c>
      <c r="D5" s="4" t="s">
        <v>14</v>
      </c>
      <c r="E5" s="4" t="s">
        <v>15</v>
      </c>
      <c r="F5" s="4">
        <v>9</v>
      </c>
      <c r="G5" s="4">
        <v>361</v>
      </c>
      <c r="H5" s="6">
        <v>12868.4</v>
      </c>
      <c r="I5" s="11">
        <v>110109</v>
      </c>
    </row>
    <row r="6" s="1" customFormat="1" ht="30" customHeight="1" spans="1:9">
      <c r="A6" s="7">
        <v>43823</v>
      </c>
      <c r="B6" s="4" t="s">
        <v>60</v>
      </c>
      <c r="C6" s="4"/>
      <c r="D6" s="4"/>
      <c r="E6" s="4"/>
      <c r="F6" s="4"/>
      <c r="G6" s="4"/>
      <c r="H6" s="6">
        <v>-33889.8</v>
      </c>
      <c r="I6" s="11"/>
    </row>
    <row r="7" s="1" customFormat="1" ht="30" customHeight="1" spans="1:9">
      <c r="A7" s="4" t="s">
        <v>21</v>
      </c>
      <c r="B7" s="5" t="s">
        <v>22</v>
      </c>
      <c r="C7" s="4" t="s">
        <v>23</v>
      </c>
      <c r="D7" s="4" t="s">
        <v>14</v>
      </c>
      <c r="E7" s="4" t="s">
        <v>15</v>
      </c>
      <c r="F7" s="4">
        <v>4</v>
      </c>
      <c r="G7" s="4">
        <v>159</v>
      </c>
      <c r="H7" s="6">
        <v>7316.7</v>
      </c>
      <c r="I7" s="11">
        <v>110140</v>
      </c>
    </row>
    <row r="8" s="1" customFormat="1" ht="30" customHeight="1" spans="1:9">
      <c r="A8" s="4" t="s">
        <v>53</v>
      </c>
      <c r="B8" s="5" t="s">
        <v>54</v>
      </c>
      <c r="C8" s="4" t="s">
        <v>55</v>
      </c>
      <c r="D8" s="4" t="s">
        <v>14</v>
      </c>
      <c r="E8" s="4" t="s">
        <v>15</v>
      </c>
      <c r="F8" s="4">
        <v>6</v>
      </c>
      <c r="G8" s="4">
        <v>250</v>
      </c>
      <c r="H8" s="6">
        <v>8875</v>
      </c>
      <c r="I8" s="11">
        <v>110182</v>
      </c>
    </row>
    <row r="9" s="1" customFormat="1" ht="30" customHeight="1" spans="1:9">
      <c r="A9" s="4" t="s">
        <v>56</v>
      </c>
      <c r="B9" s="5" t="s">
        <v>54</v>
      </c>
      <c r="C9" s="4" t="s">
        <v>57</v>
      </c>
      <c r="D9" s="4" t="s">
        <v>14</v>
      </c>
      <c r="E9" s="4" t="s">
        <v>15</v>
      </c>
      <c r="F9" s="4">
        <v>3</v>
      </c>
      <c r="G9" s="4">
        <v>125</v>
      </c>
      <c r="H9" s="6">
        <v>4437.5</v>
      </c>
      <c r="I9" s="11">
        <v>110188</v>
      </c>
    </row>
    <row r="10" s="1" customFormat="1" ht="30" customHeight="1" spans="1:9">
      <c r="A10" s="4" t="s">
        <v>44</v>
      </c>
      <c r="B10" s="5" t="s">
        <v>45</v>
      </c>
      <c r="C10" s="4" t="s">
        <v>46</v>
      </c>
      <c r="D10" s="4" t="s">
        <v>14</v>
      </c>
      <c r="E10" s="4" t="s">
        <v>15</v>
      </c>
      <c r="F10" s="4">
        <v>19</v>
      </c>
      <c r="G10" s="4">
        <v>779</v>
      </c>
      <c r="H10" s="6">
        <v>27654.5</v>
      </c>
      <c r="I10" s="11">
        <v>110167</v>
      </c>
    </row>
    <row r="11" s="1" customFormat="1" ht="30" customHeight="1" spans="1:9">
      <c r="A11" s="4" t="s">
        <v>50</v>
      </c>
      <c r="B11" s="5" t="s">
        <v>51</v>
      </c>
      <c r="C11" s="4" t="s">
        <v>52</v>
      </c>
      <c r="D11" s="4" t="s">
        <v>14</v>
      </c>
      <c r="E11" s="4" t="s">
        <v>15</v>
      </c>
      <c r="F11" s="4">
        <v>7</v>
      </c>
      <c r="G11" s="4">
        <v>294</v>
      </c>
      <c r="H11" s="6">
        <v>10437</v>
      </c>
      <c r="I11" s="11">
        <v>110175</v>
      </c>
    </row>
    <row r="12" s="1" customFormat="1" ht="30" customHeight="1" spans="1:9">
      <c r="A12" s="7">
        <v>43826</v>
      </c>
      <c r="B12" s="4" t="s">
        <v>61</v>
      </c>
      <c r="C12" s="4"/>
      <c r="D12" s="4"/>
      <c r="E12" s="4"/>
      <c r="F12" s="4"/>
      <c r="G12" s="4"/>
      <c r="H12" s="6">
        <v>-58720.7</v>
      </c>
      <c r="I12" s="11"/>
    </row>
    <row r="13" s="1" customFormat="1" ht="30" customHeight="1" spans="1:9">
      <c r="A13" s="4" t="s">
        <v>24</v>
      </c>
      <c r="B13" s="5" t="s">
        <v>25</v>
      </c>
      <c r="C13" s="4" t="s">
        <v>26</v>
      </c>
      <c r="D13" s="4" t="s">
        <v>14</v>
      </c>
      <c r="E13" s="4" t="s">
        <v>27</v>
      </c>
      <c r="F13" s="4">
        <v>36</v>
      </c>
      <c r="G13" s="4">
        <v>1338</v>
      </c>
      <c r="H13" s="6">
        <v>36292.2</v>
      </c>
      <c r="I13" s="11">
        <v>110143</v>
      </c>
    </row>
    <row r="14" s="1" customFormat="1" ht="30" customHeight="1" spans="1:9">
      <c r="A14" s="7">
        <v>43830</v>
      </c>
      <c r="B14" s="4" t="s">
        <v>61</v>
      </c>
      <c r="C14" s="4"/>
      <c r="D14" s="4"/>
      <c r="E14" s="4"/>
      <c r="F14" s="4"/>
      <c r="G14" s="4"/>
      <c r="H14" s="6">
        <v>-36292.2</v>
      </c>
      <c r="I14" s="11"/>
    </row>
    <row r="15" s="1" customFormat="1" ht="30" customHeight="1" spans="1:9">
      <c r="A15" s="4" t="s">
        <v>36</v>
      </c>
      <c r="B15" s="5" t="s">
        <v>37</v>
      </c>
      <c r="C15" s="4" t="s">
        <v>30</v>
      </c>
      <c r="D15" s="4" t="s">
        <v>31</v>
      </c>
      <c r="E15" s="4" t="s">
        <v>32</v>
      </c>
      <c r="F15" s="4">
        <v>32</v>
      </c>
      <c r="G15" s="4">
        <v>1941</v>
      </c>
      <c r="H15" s="6">
        <v>56997.2</v>
      </c>
      <c r="I15" s="11">
        <v>110165</v>
      </c>
    </row>
    <row r="16" s="1" customFormat="1" ht="30" customHeight="1" spans="1:9">
      <c r="A16" s="7">
        <v>43838</v>
      </c>
      <c r="B16" s="4" t="s">
        <v>61</v>
      </c>
      <c r="C16" s="4"/>
      <c r="D16" s="4"/>
      <c r="E16" s="4"/>
      <c r="F16" s="4"/>
      <c r="G16" s="4"/>
      <c r="H16" s="6">
        <v>-56997.2</v>
      </c>
      <c r="I16" s="11"/>
    </row>
    <row r="17" s="1" customFormat="1" ht="30" customHeight="1" spans="1:9">
      <c r="A17" s="4" t="s">
        <v>28</v>
      </c>
      <c r="B17" s="5" t="s">
        <v>29</v>
      </c>
      <c r="C17" s="4" t="s">
        <v>30</v>
      </c>
      <c r="D17" s="4" t="s">
        <v>31</v>
      </c>
      <c r="E17" s="4" t="s">
        <v>32</v>
      </c>
      <c r="F17" s="4">
        <v>23</v>
      </c>
      <c r="G17" s="4">
        <v>1315</v>
      </c>
      <c r="H17" s="6">
        <v>36219.5</v>
      </c>
      <c r="I17" s="11">
        <v>110191</v>
      </c>
    </row>
    <row r="18" s="1" customFormat="1" ht="30" customHeight="1" spans="1:9">
      <c r="A18" s="4" t="s">
        <v>33</v>
      </c>
      <c r="B18" s="5" t="s">
        <v>34</v>
      </c>
      <c r="C18" s="4" t="s">
        <v>35</v>
      </c>
      <c r="D18" s="4" t="s">
        <v>14</v>
      </c>
      <c r="E18" s="4" t="s">
        <v>27</v>
      </c>
      <c r="F18" s="4">
        <v>18</v>
      </c>
      <c r="G18" s="4">
        <v>1131</v>
      </c>
      <c r="H18" s="6">
        <v>30837</v>
      </c>
      <c r="I18" s="11">
        <v>110145</v>
      </c>
    </row>
    <row r="19" s="1" customFormat="1" ht="30" customHeight="1" spans="1:9">
      <c r="A19" s="4" t="s">
        <v>38</v>
      </c>
      <c r="B19" s="5" t="s">
        <v>39</v>
      </c>
      <c r="C19" s="4" t="s">
        <v>40</v>
      </c>
      <c r="D19" s="4" t="s">
        <v>14</v>
      </c>
      <c r="E19" s="4" t="s">
        <v>27</v>
      </c>
      <c r="F19" s="4">
        <v>26</v>
      </c>
      <c r="G19" s="4">
        <v>1338</v>
      </c>
      <c r="H19" s="6">
        <v>36292.2</v>
      </c>
      <c r="I19" s="11">
        <v>110157</v>
      </c>
    </row>
    <row r="20" s="1" customFormat="1" ht="30" customHeight="1" spans="1:9">
      <c r="A20" s="4" t="s">
        <v>41</v>
      </c>
      <c r="B20" s="5" t="s">
        <v>42</v>
      </c>
      <c r="C20" s="4" t="s">
        <v>43</v>
      </c>
      <c r="D20" s="4" t="s">
        <v>14</v>
      </c>
      <c r="E20" s="4" t="s">
        <v>27</v>
      </c>
      <c r="F20" s="4">
        <v>28</v>
      </c>
      <c r="G20" s="4">
        <v>1098</v>
      </c>
      <c r="H20" s="6">
        <v>29946</v>
      </c>
      <c r="I20" s="11">
        <v>110166</v>
      </c>
    </row>
    <row r="21" s="1" customFormat="1" ht="30" customHeight="1" spans="1:9">
      <c r="A21" s="4" t="s">
        <v>47</v>
      </c>
      <c r="B21" s="5" t="s">
        <v>48</v>
      </c>
      <c r="C21" s="4" t="s">
        <v>49</v>
      </c>
      <c r="D21" s="4" t="s">
        <v>14</v>
      </c>
      <c r="E21" s="4" t="s">
        <v>27</v>
      </c>
      <c r="F21" s="4">
        <v>31</v>
      </c>
      <c r="G21" s="4">
        <v>1193</v>
      </c>
      <c r="H21" s="6">
        <v>32391.7</v>
      </c>
      <c r="I21" s="11">
        <v>110170</v>
      </c>
    </row>
    <row r="22" s="2" customFormat="1" ht="33" customHeight="1" spans="1:9">
      <c r="A22" s="8">
        <v>43847</v>
      </c>
      <c r="B22" s="9"/>
      <c r="C22" s="9"/>
      <c r="D22" s="9"/>
      <c r="E22" s="9"/>
      <c r="F22" s="9"/>
      <c r="G22" s="9"/>
      <c r="H22" s="10">
        <v>-165686.4</v>
      </c>
      <c r="I22" s="9"/>
    </row>
  </sheetData>
  <mergeCells count="1">
    <mergeCell ref="A1:I1"/>
  </mergeCells>
  <pageMargins left="0.550694444444444" right="0.236111111111111" top="0.314583333333333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 </vt:lpstr>
      <vt:lpstr>结清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2019-07-15T05:10:00Z</dcterms:created>
  <dcterms:modified xsi:type="dcterms:W3CDTF">2020-01-17T09:29:18Z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