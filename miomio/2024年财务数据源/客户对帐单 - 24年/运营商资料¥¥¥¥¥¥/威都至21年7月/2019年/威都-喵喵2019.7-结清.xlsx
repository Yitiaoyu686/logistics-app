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5"/>
  </bookViews>
  <sheets>
    <sheet name="总欠" sheetId="1" r:id="rId1"/>
    <sheet name="8月19日公账支付" sheetId="3" r:id="rId2"/>
    <sheet name="9月12日公账支付" sheetId="4" r:id="rId3"/>
    <sheet name="9月19日公账支付" sheetId="5" r:id="rId4"/>
    <sheet name="9月23日私账支付" sheetId="6" r:id="rId5"/>
    <sheet name="9月26日私账支付" sheetId="7" r:id="rId6"/>
  </sheets>
  <calcPr calcId="144525"/>
</workbook>
</file>

<file path=xl/sharedStrings.xml><?xml version="1.0" encoding="utf-8"?>
<sst xmlns="http://schemas.openxmlformats.org/spreadsheetml/2006/main" count="148" uniqueCount="41">
  <si>
    <t>威都7月份对帐单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</si>
  <si>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</si>
  <si>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</si>
  <si>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</si>
  <si>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</si>
  <si>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</si>
  <si>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</si>
  <si>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</si>
  <si>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</si>
  <si>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</si>
  <si>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</si>
  <si>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</si>
  <si>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WDAE19070328</t>
  </si>
  <si>
    <t>071-34765975</t>
  </si>
  <si>
    <t>WIN19070208</t>
  </si>
  <si>
    <t>HKG</t>
  </si>
  <si>
    <t>LOS</t>
  </si>
  <si>
    <t>WDAE19070528</t>
  </si>
  <si>
    <t>071-34768963</t>
  </si>
  <si>
    <t>WIN19070397</t>
  </si>
  <si>
    <t>ACC</t>
  </si>
  <si>
    <t>WDAE19070598</t>
  </si>
  <si>
    <t>071-34769103</t>
  </si>
  <si>
    <t>WIN19070484</t>
  </si>
  <si>
    <t>WDAE19070599</t>
  </si>
  <si>
    <t>071-34768753</t>
  </si>
  <si>
    <t>WIN19070483</t>
  </si>
  <si>
    <t>WDAE19070738</t>
  </si>
  <si>
    <t>071-34769836</t>
  </si>
  <si>
    <t>WIN19070560</t>
  </si>
  <si>
    <t>WDAE19071330</t>
  </si>
  <si>
    <t>071-34770400</t>
  </si>
  <si>
    <t>WIN19071234</t>
  </si>
  <si>
    <t>WDAE19071332</t>
  </si>
  <si>
    <t>071-34904914</t>
  </si>
  <si>
    <t>WIN19071233</t>
  </si>
  <si>
    <t>WDAE19071475</t>
  </si>
  <si>
    <t>071-34765360</t>
  </si>
  <si>
    <t>WIN19060056</t>
  </si>
  <si>
    <t>合计</t>
  </si>
  <si>
    <t>支付：威都清单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</si>
</sst>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28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name val="Courier New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23" fillId="27" borderId="3" applyNumberFormat="0" applyAlignment="0" applyProtection="0">
      <alignment vertical="center"/>
    </xf>
    <xf numFmtId="0" fontId="24" fillId="30" borderId="8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177" fontId="7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E18" sqref="E18"/>
    </sheetView>
  </sheetViews>
  <sheetFormatPr defaultColWidth="9" defaultRowHeight="13.5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6.5" style="3" customWidth="1"/>
    <col min="9" max="9" width="12.25" customWidth="1"/>
    <col min="11" max="11" width="12" customWidth="1"/>
  </cols>
  <sheetData>
    <row r="1" s="1" customFormat="1" ht="27" customHeight="1" spans="1:9">
      <c r="A1" s="15" t="s">
        <v>0</v>
      </c>
      <c r="B1" s="15"/>
      <c r="C1" s="15"/>
      <c r="D1" s="15"/>
      <c r="E1" s="15"/>
      <c r="F1" s="15"/>
      <c r="G1" s="15"/>
      <c r="H1" s="16"/>
      <c r="I1" s="15"/>
    </row>
    <row r="2" s="14" customFormat="1" ht="18" customHeight="1" spans="1:9">
      <c r="A2" s="17" t="s">
        <v>1</v>
      </c>
      <c r="B2" s="18" t="s">
        <v>2</v>
      </c>
      <c r="C2" s="19"/>
      <c r="D2" s="19"/>
      <c r="E2" s="19"/>
      <c r="F2" s="19"/>
      <c r="G2" s="19"/>
      <c r="H2" s="20"/>
      <c r="I2" s="21"/>
    </row>
    <row r="3" s="1" customFormat="1" ht="22" customHeight="1" spans="1:9">
      <c r="A3" s="5" t="s">
        <v>3</v>
      </c>
      <c r="B3" s="6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7" t="s">
        <v>10</v>
      </c>
      <c r="I3" s="5" t="s">
        <v>11</v>
      </c>
    </row>
    <row r="4" s="2" customFormat="1" ht="24" customHeight="1" spans="1:9">
      <c r="A4" s="8" t="s">
        <v>12</v>
      </c>
      <c r="B4" s="8" t="s">
        <v>13</v>
      </c>
      <c r="C4" s="8" t="s">
        <v>14</v>
      </c>
      <c r="D4" s="9" t="s">
        <v>15</v>
      </c>
      <c r="E4" s="9" t="s">
        <v>16</v>
      </c>
      <c r="F4" s="9">
        <v>30</v>
      </c>
      <c r="G4" s="9">
        <v>1430</v>
      </c>
      <c r="H4" s="10">
        <v>31760</v>
      </c>
      <c r="I4" s="13">
        <v>70086</v>
      </c>
    </row>
    <row r="5" s="2" customFormat="1" ht="24" customHeight="1" spans="1:9">
      <c r="A5" s="8" t="s">
        <v>17</v>
      </c>
      <c r="B5" s="8" t="s">
        <v>18</v>
      </c>
      <c r="C5" s="8" t="s">
        <v>19</v>
      </c>
      <c r="D5" s="9" t="s">
        <v>15</v>
      </c>
      <c r="E5" s="9" t="s">
        <v>20</v>
      </c>
      <c r="F5" s="9">
        <v>5</v>
      </c>
      <c r="G5" s="9">
        <v>203</v>
      </c>
      <c r="H5" s="10">
        <v>7186.2</v>
      </c>
      <c r="I5" s="13">
        <v>70098</v>
      </c>
    </row>
    <row r="6" s="2" customFormat="1" ht="24" customHeight="1" spans="1:9">
      <c r="A6" s="8" t="s">
        <v>21</v>
      </c>
      <c r="B6" s="8" t="s">
        <v>22</v>
      </c>
      <c r="C6" s="8" t="s">
        <v>23</v>
      </c>
      <c r="D6" s="9" t="s">
        <v>15</v>
      </c>
      <c r="E6" s="9" t="s">
        <v>16</v>
      </c>
      <c r="F6" s="9">
        <v>19</v>
      </c>
      <c r="G6" s="9">
        <v>3768</v>
      </c>
      <c r="H6" s="10">
        <v>85980</v>
      </c>
      <c r="I6" s="13">
        <v>70103</v>
      </c>
    </row>
    <row r="7" s="2" customFormat="1" ht="24" customHeight="1" spans="1:9">
      <c r="A7" s="8" t="s">
        <v>24</v>
      </c>
      <c r="B7" s="8" t="s">
        <v>25</v>
      </c>
      <c r="C7" s="8" t="s">
        <v>26</v>
      </c>
      <c r="D7" s="9" t="s">
        <v>15</v>
      </c>
      <c r="E7" s="9" t="s">
        <v>20</v>
      </c>
      <c r="F7" s="9">
        <v>3</v>
      </c>
      <c r="G7" s="9">
        <v>120</v>
      </c>
      <c r="H7" s="10">
        <v>4248</v>
      </c>
      <c r="I7" s="13">
        <v>70096</v>
      </c>
    </row>
    <row r="8" s="2" customFormat="1" ht="24" customHeight="1" spans="1:9">
      <c r="A8" s="8" t="s">
        <v>27</v>
      </c>
      <c r="B8" s="8" t="s">
        <v>28</v>
      </c>
      <c r="C8" s="8" t="s">
        <v>29</v>
      </c>
      <c r="D8" s="9" t="s">
        <v>15</v>
      </c>
      <c r="E8" s="9" t="s">
        <v>20</v>
      </c>
      <c r="F8" s="9">
        <v>9</v>
      </c>
      <c r="G8" s="9">
        <v>375</v>
      </c>
      <c r="H8" s="10">
        <v>12900</v>
      </c>
      <c r="I8" s="13">
        <v>70105</v>
      </c>
    </row>
    <row r="9" s="2" customFormat="1" ht="24" customHeight="1" spans="1:9">
      <c r="A9" s="8" t="s">
        <v>30</v>
      </c>
      <c r="B9" s="8" t="s">
        <v>31</v>
      </c>
      <c r="C9" s="8" t="s">
        <v>32</v>
      </c>
      <c r="D9" s="9" t="s">
        <v>15</v>
      </c>
      <c r="E9" s="9" t="s">
        <v>20</v>
      </c>
      <c r="F9" s="9">
        <v>8</v>
      </c>
      <c r="G9" s="9">
        <v>322</v>
      </c>
      <c r="H9" s="10">
        <v>11076.8</v>
      </c>
      <c r="I9" s="13">
        <v>70111</v>
      </c>
    </row>
    <row r="10" s="2" customFormat="1" ht="24" customHeight="1" spans="1:9">
      <c r="A10" s="8" t="s">
        <v>33</v>
      </c>
      <c r="B10" s="8" t="s">
        <v>34</v>
      </c>
      <c r="C10" s="8" t="s">
        <v>35</v>
      </c>
      <c r="D10" s="9" t="s">
        <v>15</v>
      </c>
      <c r="E10" s="9" t="s">
        <v>16</v>
      </c>
      <c r="F10" s="9">
        <v>22</v>
      </c>
      <c r="G10" s="9">
        <v>1517</v>
      </c>
      <c r="H10" s="10">
        <v>35949.5</v>
      </c>
      <c r="I10" s="13">
        <v>70141</v>
      </c>
    </row>
    <row r="11" s="2" customFormat="1" ht="24" customHeight="1" spans="1:9">
      <c r="A11" s="8" t="s">
        <v>36</v>
      </c>
      <c r="B11" s="8" t="s">
        <v>37</v>
      </c>
      <c r="C11" s="8" t="s">
        <v>38</v>
      </c>
      <c r="D11" s="9" t="s">
        <v>15</v>
      </c>
      <c r="E11" s="9" t="s">
        <v>20</v>
      </c>
      <c r="F11" s="9">
        <v>6</v>
      </c>
      <c r="G11" s="9">
        <v>218</v>
      </c>
      <c r="H11" s="10">
        <v>8467.2</v>
      </c>
      <c r="I11" s="13">
        <v>70079</v>
      </c>
    </row>
    <row r="12" s="2" customFormat="1" ht="24" customHeight="1" spans="1:9">
      <c r="A12" s="11" t="s">
        <v>39</v>
      </c>
      <c r="B12" s="11"/>
      <c r="C12" s="11"/>
      <c r="D12" s="11"/>
      <c r="E12" s="11"/>
      <c r="F12" s="11"/>
      <c r="G12" s="11"/>
      <c r="H12" s="12">
        <f>SUM(H4:H11)</f>
        <v>197567.7</v>
      </c>
      <c r="I12" s="11"/>
    </row>
  </sheetData>
  <mergeCells count="2">
    <mergeCell ref="A1:I1"/>
    <mergeCell ref="B2:G2"/>
  </mergeCells>
  <pageMargins left="0.550694444444444" right="0.236111111111111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$A1:$XFD1"/>
    </sheetView>
  </sheetViews>
  <sheetFormatPr defaultColWidth="9" defaultRowHeight="13.5" outlineLevelRow="3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6.5" style="3" customWidth="1"/>
    <col min="9" max="9" width="12.25" customWidth="1"/>
    <col min="11" max="11" width="12" customWidth="1"/>
  </cols>
  <sheetData>
    <row r="1" s="1" customFormat="1" ht="40" customHeight="1" spans="1:9">
      <c r="A1" s="4" t="s">
        <v>40</v>
      </c>
      <c r="B1" s="4"/>
      <c r="C1" s="4"/>
      <c r="D1" s="4"/>
      <c r="E1" s="4"/>
      <c r="F1" s="4"/>
      <c r="G1" s="4"/>
      <c r="H1" s="4"/>
      <c r="I1" s="4"/>
    </row>
    <row r="2" s="1" customFormat="1" ht="44" customHeight="1" spans="1:9">
      <c r="A2" s="5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7" t="s">
        <v>10</v>
      </c>
      <c r="I2" s="5" t="s">
        <v>11</v>
      </c>
    </row>
    <row r="3" s="2" customFormat="1" ht="44" customHeight="1" spans="1:9">
      <c r="A3" s="8" t="s">
        <v>12</v>
      </c>
      <c r="B3" s="8" t="s">
        <v>13</v>
      </c>
      <c r="C3" s="8" t="s">
        <v>14</v>
      </c>
      <c r="D3" s="9" t="s">
        <v>15</v>
      </c>
      <c r="E3" s="9" t="s">
        <v>16</v>
      </c>
      <c r="F3" s="9">
        <v>30</v>
      </c>
      <c r="G3" s="9">
        <v>1430</v>
      </c>
      <c r="H3" s="10">
        <v>31760</v>
      </c>
      <c r="I3" s="13">
        <v>70086</v>
      </c>
    </row>
    <row r="4" s="2" customFormat="1" ht="44" customHeight="1" spans="1:9">
      <c r="A4" s="11" t="s">
        <v>39</v>
      </c>
      <c r="B4" s="11"/>
      <c r="C4" s="11"/>
      <c r="D4" s="11"/>
      <c r="E4" s="11"/>
      <c r="F4" s="11"/>
      <c r="G4" s="11"/>
      <c r="H4" s="12">
        <f>SUM(H3:H3)</f>
        <v>31760</v>
      </c>
      <c r="I4" s="11"/>
    </row>
  </sheetData>
  <mergeCells count="1">
    <mergeCell ref="A1:I1"/>
  </mergeCells>
  <pageMargins left="0.550694444444444" right="0.236111111111111" top="0.629861111111111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$A1:$XFD1"/>
    </sheetView>
  </sheetViews>
  <sheetFormatPr defaultColWidth="9" defaultRowHeight="13.5" outlineLevelRow="5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6.5" style="3" customWidth="1"/>
    <col min="9" max="9" width="12.25" customWidth="1"/>
    <col min="11" max="11" width="12" customWidth="1"/>
  </cols>
  <sheetData>
    <row r="1" s="1" customFormat="1" ht="40" customHeight="1" spans="1:9">
      <c r="A1" s="4" t="s">
        <v>40</v>
      </c>
      <c r="B1" s="4"/>
      <c r="C1" s="4"/>
      <c r="D1" s="4"/>
      <c r="E1" s="4"/>
      <c r="F1" s="4"/>
      <c r="G1" s="4"/>
      <c r="H1" s="4"/>
      <c r="I1" s="4"/>
    </row>
    <row r="2" s="1" customFormat="1" ht="42" customHeight="1" spans="1:9">
      <c r="A2" s="5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7" t="s">
        <v>10</v>
      </c>
      <c r="I2" s="5" t="s">
        <v>11</v>
      </c>
    </row>
    <row r="3" s="2" customFormat="1" ht="42" customHeight="1" spans="1:9">
      <c r="A3" s="8" t="s">
        <v>17</v>
      </c>
      <c r="B3" s="8" t="s">
        <v>18</v>
      </c>
      <c r="C3" s="8" t="s">
        <v>19</v>
      </c>
      <c r="D3" s="9" t="s">
        <v>15</v>
      </c>
      <c r="E3" s="9" t="s">
        <v>20</v>
      </c>
      <c r="F3" s="9">
        <v>5</v>
      </c>
      <c r="G3" s="9">
        <v>203</v>
      </c>
      <c r="H3" s="10">
        <v>7186.2</v>
      </c>
      <c r="I3" s="13">
        <v>70098</v>
      </c>
    </row>
    <row r="4" s="2" customFormat="1" ht="42" customHeight="1" spans="1:9">
      <c r="A4" s="8" t="s">
        <v>24</v>
      </c>
      <c r="B4" s="8" t="s">
        <v>25</v>
      </c>
      <c r="C4" s="8" t="s">
        <v>26</v>
      </c>
      <c r="D4" s="9" t="s">
        <v>15</v>
      </c>
      <c r="E4" s="9" t="s">
        <v>20</v>
      </c>
      <c r="F4" s="9">
        <v>3</v>
      </c>
      <c r="G4" s="9">
        <v>120</v>
      </c>
      <c r="H4" s="10">
        <v>4248</v>
      </c>
      <c r="I4" s="13">
        <v>70096</v>
      </c>
    </row>
    <row r="5" s="2" customFormat="1" ht="42" customHeight="1" spans="1:9">
      <c r="A5" s="8" t="s">
        <v>27</v>
      </c>
      <c r="B5" s="8" t="s">
        <v>28</v>
      </c>
      <c r="C5" s="8" t="s">
        <v>29</v>
      </c>
      <c r="D5" s="9" t="s">
        <v>15</v>
      </c>
      <c r="E5" s="9" t="s">
        <v>20</v>
      </c>
      <c r="F5" s="9">
        <v>9</v>
      </c>
      <c r="G5" s="9">
        <v>375</v>
      </c>
      <c r="H5" s="10">
        <v>12900</v>
      </c>
      <c r="I5" s="13">
        <v>70105</v>
      </c>
    </row>
    <row r="6" s="2" customFormat="1" ht="42" customHeight="1" spans="1:9">
      <c r="A6" s="11" t="s">
        <v>39</v>
      </c>
      <c r="B6" s="11"/>
      <c r="C6" s="11"/>
      <c r="D6" s="11"/>
      <c r="E6" s="11"/>
      <c r="F6" s="11"/>
      <c r="G6" s="11"/>
      <c r="H6" s="12">
        <f>SUM(H3:H5)</f>
        <v>24334.2</v>
      </c>
      <c r="I6" s="11"/>
    </row>
  </sheetData>
  <mergeCells count="1">
    <mergeCell ref="A1:I1"/>
  </mergeCells>
  <pageMargins left="0.550694444444444" right="0.236111111111111" top="0.472222222222222" bottom="1" header="0.236111111111111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$A1:$XFD1"/>
    </sheetView>
  </sheetViews>
  <sheetFormatPr defaultColWidth="9" defaultRowHeight="13.5" outlineLevelRow="4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6.5" style="3" customWidth="1"/>
    <col min="9" max="9" width="12.25" customWidth="1"/>
    <col min="11" max="11" width="12" customWidth="1"/>
  </cols>
  <sheetData>
    <row r="1" s="1" customFormat="1" ht="40" customHeight="1" spans="1:9">
      <c r="A1" s="4" t="s">
        <v>40</v>
      </c>
      <c r="B1" s="4"/>
      <c r="C1" s="4"/>
      <c r="D1" s="4"/>
      <c r="E1" s="4"/>
      <c r="F1" s="4"/>
      <c r="G1" s="4"/>
      <c r="H1" s="4"/>
      <c r="I1" s="4"/>
    </row>
    <row r="2" s="1" customFormat="1" ht="45" customHeight="1" spans="1:9">
      <c r="A2" s="5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7" t="s">
        <v>10</v>
      </c>
      <c r="I2" s="5" t="s">
        <v>11</v>
      </c>
    </row>
    <row r="3" s="2" customFormat="1" ht="45" customHeight="1" spans="1:9">
      <c r="A3" s="8" t="s">
        <v>30</v>
      </c>
      <c r="B3" s="8" t="s">
        <v>31</v>
      </c>
      <c r="C3" s="8" t="s">
        <v>32</v>
      </c>
      <c r="D3" s="9" t="s">
        <v>15</v>
      </c>
      <c r="E3" s="9" t="s">
        <v>20</v>
      </c>
      <c r="F3" s="9">
        <v>8</v>
      </c>
      <c r="G3" s="9">
        <v>322</v>
      </c>
      <c r="H3" s="10">
        <v>11076.8</v>
      </c>
      <c r="I3" s="13">
        <v>70111</v>
      </c>
    </row>
    <row r="4" s="2" customFormat="1" ht="45" customHeight="1" spans="1:9">
      <c r="A4" s="8" t="s">
        <v>36</v>
      </c>
      <c r="B4" s="8" t="s">
        <v>37</v>
      </c>
      <c r="C4" s="8" t="s">
        <v>38</v>
      </c>
      <c r="D4" s="9" t="s">
        <v>15</v>
      </c>
      <c r="E4" s="9" t="s">
        <v>20</v>
      </c>
      <c r="F4" s="9">
        <v>6</v>
      </c>
      <c r="G4" s="9">
        <v>218</v>
      </c>
      <c r="H4" s="10">
        <v>8467.2</v>
      </c>
      <c r="I4" s="13">
        <v>70079</v>
      </c>
    </row>
    <row r="5" s="2" customFormat="1" ht="45" customHeight="1" spans="1:9">
      <c r="A5" s="11" t="s">
        <v>39</v>
      </c>
      <c r="B5" s="11"/>
      <c r="C5" s="11"/>
      <c r="D5" s="11"/>
      <c r="E5" s="11"/>
      <c r="F5" s="11"/>
      <c r="G5" s="11"/>
      <c r="H5" s="12">
        <f>SUM(H3:H4)</f>
        <v>19544</v>
      </c>
      <c r="I5" s="11"/>
    </row>
  </sheetData>
  <mergeCells count="1">
    <mergeCell ref="A1:I1"/>
  </mergeCells>
  <pageMargins left="0.550694444444444" right="0.236111111111111" top="0.590277777777778" bottom="1" header="0.236111111111111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I4" sqref="I4"/>
    </sheetView>
  </sheetViews>
  <sheetFormatPr defaultColWidth="9" defaultRowHeight="13.5" outlineLevelRow="3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6.5" style="3" customWidth="1"/>
    <col min="9" max="9" width="12.25" customWidth="1"/>
    <col min="11" max="11" width="12" customWidth="1"/>
  </cols>
  <sheetData>
    <row r="1" s="1" customFormat="1" ht="40" customHeight="1" spans="1:9">
      <c r="A1" s="4" t="s">
        <v>40</v>
      </c>
      <c r="B1" s="4"/>
      <c r="C1" s="4"/>
      <c r="D1" s="4"/>
      <c r="E1" s="4"/>
      <c r="F1" s="4"/>
      <c r="G1" s="4"/>
      <c r="H1" s="4"/>
      <c r="I1" s="4"/>
    </row>
    <row r="2" s="1" customFormat="1" ht="51" customHeight="1" spans="1:9">
      <c r="A2" s="5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7" t="s">
        <v>10</v>
      </c>
      <c r="I2" s="5" t="s">
        <v>11</v>
      </c>
    </row>
    <row r="3" s="2" customFormat="1" ht="51" customHeight="1" spans="1:9">
      <c r="A3" s="8" t="s">
        <v>33</v>
      </c>
      <c r="B3" s="8" t="s">
        <v>34</v>
      </c>
      <c r="C3" s="8" t="s">
        <v>35</v>
      </c>
      <c r="D3" s="9" t="s">
        <v>15</v>
      </c>
      <c r="E3" s="9" t="s">
        <v>16</v>
      </c>
      <c r="F3" s="9">
        <v>22</v>
      </c>
      <c r="G3" s="9">
        <v>1517</v>
      </c>
      <c r="H3" s="10">
        <v>35949.5</v>
      </c>
      <c r="I3" s="13">
        <v>70141</v>
      </c>
    </row>
    <row r="4" s="2" customFormat="1" ht="51" customHeight="1" spans="1:9">
      <c r="A4" s="11" t="s">
        <v>39</v>
      </c>
      <c r="B4" s="11"/>
      <c r="C4" s="11"/>
      <c r="D4" s="11"/>
      <c r="E4" s="11"/>
      <c r="F4" s="11"/>
      <c r="G4" s="11"/>
      <c r="H4" s="12">
        <f>SUM(H3:H3)</f>
        <v>35949.5</v>
      </c>
      <c r="I4" s="11"/>
    </row>
  </sheetData>
  <mergeCells count="1">
    <mergeCell ref="A1:I1"/>
  </mergeCells>
  <pageMargins left="0.550694444444444" right="0.236111111111111" top="0.314583333333333" bottom="1" header="0.236111111111111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C14" sqref="C14"/>
    </sheetView>
  </sheetViews>
  <sheetFormatPr defaultColWidth="9" defaultRowHeight="13.5" outlineLevelRow="3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6.5" style="3" customWidth="1"/>
    <col min="9" max="9" width="12.25" customWidth="1"/>
    <col min="11" max="11" width="12" customWidth="1"/>
  </cols>
  <sheetData>
    <row r="1" s="1" customFormat="1" ht="40" customHeight="1" spans="1:9">
      <c r="A1" s="4" t="s">
        <v>40</v>
      </c>
      <c r="B1" s="4"/>
      <c r="C1" s="4"/>
      <c r="D1" s="4"/>
      <c r="E1" s="4"/>
      <c r="F1" s="4"/>
      <c r="G1" s="4"/>
      <c r="H1" s="4"/>
      <c r="I1" s="4"/>
    </row>
    <row r="2" s="1" customFormat="1" ht="51" customHeight="1" spans="1:9">
      <c r="A2" s="5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7" t="s">
        <v>10</v>
      </c>
      <c r="I2" s="5" t="s">
        <v>11</v>
      </c>
    </row>
    <row r="3" s="2" customFormat="1" ht="51" customHeight="1" spans="1:9">
      <c r="A3" s="8" t="s">
        <v>21</v>
      </c>
      <c r="B3" s="8" t="s">
        <v>22</v>
      </c>
      <c r="C3" s="8" t="s">
        <v>23</v>
      </c>
      <c r="D3" s="9" t="s">
        <v>15</v>
      </c>
      <c r="E3" s="9" t="s">
        <v>16</v>
      </c>
      <c r="F3" s="9">
        <v>19</v>
      </c>
      <c r="G3" s="9">
        <v>3768</v>
      </c>
      <c r="H3" s="10">
        <v>85980</v>
      </c>
      <c r="I3" s="13">
        <v>70103</v>
      </c>
    </row>
    <row r="4" s="2" customFormat="1" ht="51" customHeight="1" spans="1:9">
      <c r="A4" s="11" t="s">
        <v>39</v>
      </c>
      <c r="B4" s="11"/>
      <c r="C4" s="11"/>
      <c r="D4" s="11"/>
      <c r="E4" s="11"/>
      <c r="F4" s="11"/>
      <c r="G4" s="11"/>
      <c r="H4" s="12">
        <f>SUM(H3:H3)</f>
        <v>85980</v>
      </c>
      <c r="I4" s="11"/>
    </row>
  </sheetData>
  <mergeCells count="1">
    <mergeCell ref="A1:I1"/>
  </mergeCells>
  <pageMargins left="0.550694444444444" right="0.236111111111111" top="0.629861111111111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总欠</vt:lpstr>
      <vt:lpstr>8月19日公账支付</vt:lpstr>
      <vt:lpstr>9月12日公账支付</vt:lpstr>
      <vt:lpstr>9月19日公账支付</vt:lpstr>
      <vt:lpstr>9月23日私账支付</vt:lpstr>
      <vt:lpstr>9月26日私账支付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2019-09-26T08:06:27Z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