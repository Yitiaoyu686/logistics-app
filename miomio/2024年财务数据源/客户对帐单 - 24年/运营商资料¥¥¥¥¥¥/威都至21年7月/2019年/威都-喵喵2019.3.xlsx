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4"/>
  </bookViews>
  <sheets>
    <sheet name="总欠" sheetId="1" r:id="rId1"/>
    <sheet name="4月16日公帐支付" sheetId="3" r:id="rId2"/>
    <sheet name="4月19日公帐支付" sheetId="4" r:id="rId3"/>
    <sheet name="4月24日公帐支付" sheetId="5" r:id="rId4"/>
    <sheet name="欠" sheetId="6" r:id="rId5"/>
  </sheets>
  <calcPr calcId="144525"/>
</workbook>
</file>

<file path=xl/sharedStrings.xml><?xml version="1.0" encoding="utf-8"?>
<sst xmlns="http://schemas.openxmlformats.org/spreadsheetml/2006/main" count="234" uniqueCount="71">
  <si>
    <t>威都3月份对帐单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</si>
  <si>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</si>
  <si>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</si>
  <si>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</si>
  <si>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</si>
  <si>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</si>
  <si>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</si>
  <si>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</si>
  <si>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</si>
  <si>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</si>
  <si>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</si>
  <si>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</si>
  <si>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WDAE19030226</t>
  </si>
  <si>
    <t>071-33688281</t>
  </si>
  <si>
    <t>WIN19030210</t>
  </si>
  <si>
    <t>HKG</t>
  </si>
  <si>
    <t>ACC</t>
  </si>
  <si>
    <t>ＪＯＢ030062</t>
  </si>
  <si>
    <t>WDAE19030272</t>
  </si>
  <si>
    <t>071-33686914</t>
  </si>
  <si>
    <t>WIN19030255</t>
  </si>
  <si>
    <t>ＪＯＢ030071</t>
  </si>
  <si>
    <t>WDAE19030277</t>
  </si>
  <si>
    <t>071-33696902</t>
  </si>
  <si>
    <t>WIN19030256</t>
  </si>
  <si>
    <t>LOS</t>
  </si>
  <si>
    <t>ＪＯＢ030085</t>
  </si>
  <si>
    <t>WDAE19030432</t>
  </si>
  <si>
    <t>071-33696810</t>
  </si>
  <si>
    <t>WIN19030403</t>
  </si>
  <si>
    <t>ＪＯＢ030084</t>
  </si>
  <si>
    <t>WDAE19030456</t>
  </si>
  <si>
    <t>071-33696703</t>
  </si>
  <si>
    <t>WIN19030438</t>
  </si>
  <si>
    <t>ＪＯＢ030075</t>
  </si>
  <si>
    <t>WDAE19030541</t>
  </si>
  <si>
    <t>071-33887313</t>
  </si>
  <si>
    <t>WIN19030546</t>
  </si>
  <si>
    <t>ＪＯＢ030095</t>
  </si>
  <si>
    <t>WDAE19030548</t>
  </si>
  <si>
    <t>071-33697016</t>
  </si>
  <si>
    <t>WIN19030536</t>
  </si>
  <si>
    <t>ＪＯＢ030088</t>
  </si>
  <si>
    <t>WDAE19031058</t>
  </si>
  <si>
    <t>071-33888536</t>
  </si>
  <si>
    <t>WIN19031071</t>
  </si>
  <si>
    <t>ＪＯＢ030108</t>
  </si>
  <si>
    <t>WDAE19031059</t>
  </si>
  <si>
    <t>071-33887464</t>
  </si>
  <si>
    <t>WIN19031070</t>
  </si>
  <si>
    <t>ＪＯＢ030098</t>
  </si>
  <si>
    <t>WDAE19031060</t>
  </si>
  <si>
    <t>071-33887626</t>
  </si>
  <si>
    <t>WIN19031068</t>
  </si>
  <si>
    <t>ＪＯＢ030102</t>
  </si>
  <si>
    <t>WDAE19031061</t>
  </si>
  <si>
    <t>071-33891454</t>
  </si>
  <si>
    <t>WIN19031066</t>
  </si>
  <si>
    <t>ＪＯＢ030116</t>
  </si>
  <si>
    <t>WDAE19031062</t>
  </si>
  <si>
    <t>071-33891756</t>
  </si>
  <si>
    <t>WIN19031065</t>
  </si>
  <si>
    <t>ＪＯＢ030124
ＪＯＢ030113
ＪＯＢ030120</t>
  </si>
  <si>
    <t>WDAE19031067</t>
  </si>
  <si>
    <t>071-33891782</t>
  </si>
  <si>
    <t>WIN19031064</t>
  </si>
  <si>
    <t>ＪＯＢ030122
ＪＯＢ030123</t>
  </si>
  <si>
    <t>WDAE19031118</t>
  </si>
  <si>
    <t>071-33687964</t>
  </si>
  <si>
    <t>WIN19031129</t>
  </si>
  <si>
    <t>ＪＯＢ030055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</si>
</sst>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.5"/>
      <color theme="1"/>
      <name val="宋体"/>
      <charset val="134"/>
      <scheme val="minor"/>
    </font>
    <font>
      <b/>
      <sz val="15"/>
      <name val="宋体"/>
      <charset val="134"/>
    </font>
    <font>
      <b/>
      <sz val="15"/>
      <name val="Courier New"/>
      <charset val="134"/>
    </font>
    <font>
      <sz val="10"/>
      <name val="Courier New"/>
      <charset val="134"/>
    </font>
    <font>
      <sz val="9"/>
      <name val="Courier New"/>
      <charset val="134"/>
    </font>
    <font>
      <sz val="10"/>
      <color theme="1"/>
      <name val="宋体"/>
      <charset val="134"/>
      <scheme val="minor"/>
    </font>
    <font>
      <b/>
      <sz val="9.5"/>
      <name val="Courier New"/>
      <charset val="134"/>
    </font>
    <font>
      <sz val="9.5"/>
      <name val="Courier New"/>
      <charset val="134"/>
    </font>
    <font>
      <sz val="9.5"/>
      <name val="宋体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7" fillId="0" borderId="1" xfId="0" applyNumberFormat="1" applyFont="1" applyBorder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0" xfId="0" applyFill="1">
      <alignment vertical="center"/>
    </xf>
    <xf numFmtId="0" fontId="6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G26" sqref="G26"/>
    </sheetView>
  </sheetViews>
  <sheetFormatPr defaultColWidth="9" defaultRowHeight="13.5"/>
  <cols>
    <col min="1" max="1" width="12.125" customWidth="1"/>
    <col min="2" max="2" width="13.75" customWidth="1"/>
    <col min="3" max="3" width="12.625" customWidth="1"/>
    <col min="4" max="4" width="7.125" customWidth="1"/>
    <col min="6" max="7" width="6.875" customWidth="1"/>
    <col min="8" max="8" width="13.975" customWidth="1"/>
    <col min="9" max="9" width="13.375" style="2" customWidth="1"/>
  </cols>
  <sheetData>
    <row r="1" s="1" customFormat="1" ht="18" customHeight="1" spans="1:9">
      <c r="A1" s="3" t="s">
        <v>0</v>
      </c>
      <c r="B1" s="4"/>
      <c r="C1" s="4"/>
      <c r="D1" s="4"/>
      <c r="E1" s="4"/>
      <c r="F1" s="4"/>
      <c r="G1" s="4"/>
      <c r="H1" s="4"/>
      <c r="I1" s="12"/>
    </row>
    <row r="2" s="1" customFormat="1" ht="18" customHeight="1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13"/>
    </row>
    <row r="3" s="1" customFormat="1" ht="18" customHeight="1" spans="1:9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14" t="s">
        <v>11</v>
      </c>
    </row>
    <row r="4" ht="15" customHeight="1" spans="1:9">
      <c r="A4" s="7" t="s">
        <v>12</v>
      </c>
      <c r="B4" s="7" t="s">
        <v>13</v>
      </c>
      <c r="C4" s="7" t="s">
        <v>14</v>
      </c>
      <c r="D4" s="8" t="s">
        <v>15</v>
      </c>
      <c r="E4" s="8" t="s">
        <v>16</v>
      </c>
      <c r="F4" s="8">
        <v>7</v>
      </c>
      <c r="G4" s="8">
        <v>252</v>
      </c>
      <c r="H4" s="9">
        <v>8668.8</v>
      </c>
      <c r="I4" s="16" t="s">
        <v>17</v>
      </c>
    </row>
    <row r="5" ht="15" customHeight="1" spans="1:9">
      <c r="A5" s="7" t="s">
        <v>18</v>
      </c>
      <c r="B5" s="7" t="s">
        <v>19</v>
      </c>
      <c r="C5" s="7" t="s">
        <v>20</v>
      </c>
      <c r="D5" s="8" t="s">
        <v>15</v>
      </c>
      <c r="E5" s="8" t="s">
        <v>16</v>
      </c>
      <c r="F5" s="8">
        <v>8</v>
      </c>
      <c r="G5" s="8">
        <v>314</v>
      </c>
      <c r="H5" s="9">
        <v>10644.6</v>
      </c>
      <c r="I5" s="16" t="s">
        <v>21</v>
      </c>
    </row>
    <row r="6" ht="15" customHeight="1" spans="1:9">
      <c r="A6" s="7" t="s">
        <v>22</v>
      </c>
      <c r="B6" s="7" t="s">
        <v>23</v>
      </c>
      <c r="C6" s="7" t="s">
        <v>24</v>
      </c>
      <c r="D6" s="8" t="s">
        <v>15</v>
      </c>
      <c r="E6" s="8" t="s">
        <v>25</v>
      </c>
      <c r="F6" s="8">
        <v>3</v>
      </c>
      <c r="G6" s="8">
        <v>117</v>
      </c>
      <c r="H6" s="9">
        <v>3755.7</v>
      </c>
      <c r="I6" s="16" t="s">
        <v>26</v>
      </c>
    </row>
    <row r="7" ht="15" customHeight="1" spans="1:9">
      <c r="A7" s="7" t="s">
        <v>27</v>
      </c>
      <c r="B7" s="7" t="s">
        <v>28</v>
      </c>
      <c r="C7" s="7" t="s">
        <v>29</v>
      </c>
      <c r="D7" s="8" t="s">
        <v>15</v>
      </c>
      <c r="E7" s="8" t="s">
        <v>16</v>
      </c>
      <c r="F7" s="8">
        <v>11</v>
      </c>
      <c r="G7" s="8">
        <v>426</v>
      </c>
      <c r="H7" s="9">
        <v>14441.4</v>
      </c>
      <c r="I7" s="16" t="s">
        <v>30</v>
      </c>
    </row>
    <row r="8" ht="15" customHeight="1" spans="1:9">
      <c r="A8" s="7" t="s">
        <v>31</v>
      </c>
      <c r="B8" s="7" t="s">
        <v>32</v>
      </c>
      <c r="C8" s="7" t="s">
        <v>33</v>
      </c>
      <c r="D8" s="8" t="s">
        <v>15</v>
      </c>
      <c r="E8" s="8" t="s">
        <v>16</v>
      </c>
      <c r="F8" s="8">
        <v>3</v>
      </c>
      <c r="G8" s="8">
        <v>110</v>
      </c>
      <c r="H8" s="9">
        <v>3850</v>
      </c>
      <c r="I8" s="16" t="s">
        <v>34</v>
      </c>
    </row>
    <row r="9" ht="15" customHeight="1" spans="1:9">
      <c r="A9" s="7" t="s">
        <v>35</v>
      </c>
      <c r="B9" s="7" t="s">
        <v>36</v>
      </c>
      <c r="C9" s="7" t="s">
        <v>37</v>
      </c>
      <c r="D9" s="8" t="s">
        <v>15</v>
      </c>
      <c r="E9" s="8" t="s">
        <v>25</v>
      </c>
      <c r="F9" s="8">
        <v>4</v>
      </c>
      <c r="G9" s="8">
        <v>156</v>
      </c>
      <c r="H9" s="9">
        <v>5702</v>
      </c>
      <c r="I9" s="16" t="s">
        <v>38</v>
      </c>
    </row>
    <row r="10" ht="15" customHeight="1" spans="1:9">
      <c r="A10" s="7" t="s">
        <v>39</v>
      </c>
      <c r="B10" s="7" t="s">
        <v>40</v>
      </c>
      <c r="C10" s="7" t="s">
        <v>41</v>
      </c>
      <c r="D10" s="8" t="s">
        <v>15</v>
      </c>
      <c r="E10" s="8" t="s">
        <v>16</v>
      </c>
      <c r="F10" s="8">
        <v>2</v>
      </c>
      <c r="G10" s="8">
        <v>85</v>
      </c>
      <c r="H10" s="9">
        <v>2975</v>
      </c>
      <c r="I10" s="16" t="s">
        <v>42</v>
      </c>
    </row>
    <row r="11" ht="15" customHeight="1" spans="1:9">
      <c r="A11" s="7" t="s">
        <v>43</v>
      </c>
      <c r="B11" s="7" t="s">
        <v>44</v>
      </c>
      <c r="C11" s="7" t="s">
        <v>45</v>
      </c>
      <c r="D11" s="8" t="s">
        <v>15</v>
      </c>
      <c r="E11" s="8" t="s">
        <v>16</v>
      </c>
      <c r="F11" s="8">
        <v>6</v>
      </c>
      <c r="G11" s="8">
        <v>243</v>
      </c>
      <c r="H11" s="9">
        <v>8505</v>
      </c>
      <c r="I11" s="16" t="s">
        <v>46</v>
      </c>
    </row>
    <row r="12" ht="15" customHeight="1" spans="1:9">
      <c r="A12" s="7" t="s">
        <v>47</v>
      </c>
      <c r="B12" s="7" t="s">
        <v>48</v>
      </c>
      <c r="C12" s="7" t="s">
        <v>49</v>
      </c>
      <c r="D12" s="8" t="s">
        <v>15</v>
      </c>
      <c r="E12" s="8" t="s">
        <v>16</v>
      </c>
      <c r="F12" s="8">
        <v>4</v>
      </c>
      <c r="G12" s="8">
        <v>155</v>
      </c>
      <c r="H12" s="9">
        <v>5425</v>
      </c>
      <c r="I12" s="16" t="s">
        <v>50</v>
      </c>
    </row>
    <row r="13" ht="15" customHeight="1" spans="1:9">
      <c r="A13" s="7" t="s">
        <v>51</v>
      </c>
      <c r="B13" s="7" t="s">
        <v>52</v>
      </c>
      <c r="C13" s="7" t="s">
        <v>53</v>
      </c>
      <c r="D13" s="8" t="s">
        <v>15</v>
      </c>
      <c r="E13" s="8" t="s">
        <v>16</v>
      </c>
      <c r="F13" s="8">
        <v>6</v>
      </c>
      <c r="G13" s="8">
        <v>229</v>
      </c>
      <c r="H13" s="9">
        <v>7763.1</v>
      </c>
      <c r="I13" s="16" t="s">
        <v>54</v>
      </c>
    </row>
    <row r="14" ht="15" customHeight="1" spans="1:9">
      <c r="A14" s="7" t="s">
        <v>55</v>
      </c>
      <c r="B14" s="7" t="s">
        <v>56</v>
      </c>
      <c r="C14" s="7" t="s">
        <v>57</v>
      </c>
      <c r="D14" s="8" t="s">
        <v>15</v>
      </c>
      <c r="E14" s="8" t="s">
        <v>16</v>
      </c>
      <c r="F14" s="8">
        <v>4</v>
      </c>
      <c r="G14" s="8">
        <v>155</v>
      </c>
      <c r="H14" s="9">
        <v>5425</v>
      </c>
      <c r="I14" s="16" t="s">
        <v>58</v>
      </c>
    </row>
    <row r="15" ht="36" spans="1:9">
      <c r="A15" s="7" t="s">
        <v>59</v>
      </c>
      <c r="B15" s="7" t="s">
        <v>60</v>
      </c>
      <c r="C15" s="7" t="s">
        <v>61</v>
      </c>
      <c r="D15" s="8" t="s">
        <v>15</v>
      </c>
      <c r="E15" s="8" t="s">
        <v>16</v>
      </c>
      <c r="F15" s="8">
        <v>14</v>
      </c>
      <c r="G15" s="8">
        <v>495</v>
      </c>
      <c r="H15" s="9">
        <v>16780.5</v>
      </c>
      <c r="I15" s="15" t="s">
        <v>62</v>
      </c>
    </row>
    <row r="16" ht="24" spans="1:9">
      <c r="A16" s="7" t="s">
        <v>63</v>
      </c>
      <c r="B16" s="7" t="s">
        <v>64</v>
      </c>
      <c r="C16" s="7" t="s">
        <v>65</v>
      </c>
      <c r="D16" s="8" t="s">
        <v>15</v>
      </c>
      <c r="E16" s="8" t="s">
        <v>25</v>
      </c>
      <c r="F16" s="8">
        <v>34</v>
      </c>
      <c r="G16" s="8">
        <v>1097</v>
      </c>
      <c r="H16" s="9">
        <v>26649.5</v>
      </c>
      <c r="I16" s="15" t="s">
        <v>66</v>
      </c>
    </row>
    <row r="17" ht="18" customHeight="1" spans="1:9">
      <c r="A17" s="7" t="s">
        <v>67</v>
      </c>
      <c r="B17" s="7" t="s">
        <v>68</v>
      </c>
      <c r="C17" s="7" t="s">
        <v>69</v>
      </c>
      <c r="D17" s="8" t="s">
        <v>15</v>
      </c>
      <c r="E17" s="8" t="s">
        <v>16</v>
      </c>
      <c r="F17" s="8">
        <v>4</v>
      </c>
      <c r="G17" s="8">
        <v>147</v>
      </c>
      <c r="H17" s="9">
        <v>5145</v>
      </c>
      <c r="I17" s="16" t="s">
        <v>70</v>
      </c>
    </row>
    <row r="18" ht="18" customHeight="1" spans="1:9">
      <c r="A18" s="10"/>
      <c r="B18" s="10"/>
      <c r="C18" s="10"/>
      <c r="D18" s="10"/>
      <c r="E18" s="10"/>
      <c r="F18" s="10"/>
      <c r="G18" s="10"/>
      <c r="H18" s="11">
        <f>SUM(H4:H17)</f>
        <v>125730.6</v>
      </c>
      <c r="I18" s="16"/>
    </row>
  </sheetData>
  <mergeCells count="3">
    <mergeCell ref="A1:I1"/>
    <mergeCell ref="B2:G2"/>
    <mergeCell ref="H2:I2"/>
  </mergeCells>
  <pageMargins left="0.472222222222222" right="0.275" top="0.275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H12" sqref="H12"/>
    </sheetView>
  </sheetViews>
  <sheetFormatPr defaultColWidth="9" defaultRowHeight="13.5"/>
  <cols>
    <col min="1" max="1" width="12.125" customWidth="1"/>
    <col min="2" max="2" width="13.75" customWidth="1"/>
    <col min="3" max="3" width="12.625" customWidth="1"/>
    <col min="4" max="4" width="7.125" customWidth="1"/>
    <col min="6" max="7" width="6.875" customWidth="1"/>
    <col min="8" max="8" width="13.975" customWidth="1"/>
    <col min="9" max="9" width="13.375" style="2" customWidth="1"/>
  </cols>
  <sheetData>
    <row r="1" s="1" customFormat="1" ht="18" customHeight="1" spans="1:9">
      <c r="A1" s="3" t="s">
        <v>0</v>
      </c>
      <c r="B1" s="4"/>
      <c r="C1" s="4"/>
      <c r="D1" s="4"/>
      <c r="E1" s="4"/>
      <c r="F1" s="4"/>
      <c r="G1" s="4"/>
      <c r="H1" s="4"/>
      <c r="I1" s="12"/>
    </row>
    <row r="2" s="1" customFormat="1" ht="18" customHeight="1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13"/>
    </row>
    <row r="3" s="1" customFormat="1" ht="18" customHeight="1" spans="1:9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14" t="s">
        <v>11</v>
      </c>
    </row>
    <row r="4" s="17" customFormat="1" ht="27" customHeight="1" spans="1:9">
      <c r="A4" s="18" t="s">
        <v>12</v>
      </c>
      <c r="B4" s="18" t="s">
        <v>13</v>
      </c>
      <c r="C4" s="18" t="s">
        <v>14</v>
      </c>
      <c r="D4" s="6" t="s">
        <v>15</v>
      </c>
      <c r="E4" s="6" t="s">
        <v>16</v>
      </c>
      <c r="F4" s="6">
        <v>7</v>
      </c>
      <c r="G4" s="6">
        <v>252</v>
      </c>
      <c r="H4" s="19">
        <v>8668.8</v>
      </c>
      <c r="I4" s="21" t="s">
        <v>17</v>
      </c>
    </row>
    <row r="5" s="17" customFormat="1" ht="27" customHeight="1" spans="1:9">
      <c r="A5" s="18" t="s">
        <v>18</v>
      </c>
      <c r="B5" s="18" t="s">
        <v>19</v>
      </c>
      <c r="C5" s="18" t="s">
        <v>20</v>
      </c>
      <c r="D5" s="6" t="s">
        <v>15</v>
      </c>
      <c r="E5" s="6" t="s">
        <v>16</v>
      </c>
      <c r="F5" s="6">
        <v>8</v>
      </c>
      <c r="G5" s="6">
        <v>314</v>
      </c>
      <c r="H5" s="19">
        <v>10644.6</v>
      </c>
      <c r="I5" s="21" t="s">
        <v>21</v>
      </c>
    </row>
    <row r="6" s="17" customFormat="1" ht="27" customHeight="1" spans="1:9">
      <c r="A6" s="18" t="s">
        <v>22</v>
      </c>
      <c r="B6" s="18" t="s">
        <v>23</v>
      </c>
      <c r="C6" s="18" t="s">
        <v>24</v>
      </c>
      <c r="D6" s="6" t="s">
        <v>15</v>
      </c>
      <c r="E6" s="6" t="s">
        <v>25</v>
      </c>
      <c r="F6" s="6">
        <v>3</v>
      </c>
      <c r="G6" s="6">
        <v>117</v>
      </c>
      <c r="H6" s="19">
        <v>3755.7</v>
      </c>
      <c r="I6" s="21" t="s">
        <v>26</v>
      </c>
    </row>
    <row r="7" s="17" customFormat="1" ht="27" customHeight="1" spans="1:9">
      <c r="A7" s="18" t="s">
        <v>27</v>
      </c>
      <c r="B7" s="18" t="s">
        <v>28</v>
      </c>
      <c r="C7" s="18" t="s">
        <v>29</v>
      </c>
      <c r="D7" s="6" t="s">
        <v>15</v>
      </c>
      <c r="E7" s="6" t="s">
        <v>16</v>
      </c>
      <c r="F7" s="6">
        <v>11</v>
      </c>
      <c r="G7" s="6">
        <v>426</v>
      </c>
      <c r="H7" s="19">
        <v>14441.4</v>
      </c>
      <c r="I7" s="21" t="s">
        <v>30</v>
      </c>
    </row>
    <row r="8" s="17" customFormat="1" ht="27" customHeight="1" spans="1:9">
      <c r="A8" s="18" t="s">
        <v>31</v>
      </c>
      <c r="B8" s="18" t="s">
        <v>32</v>
      </c>
      <c r="C8" s="18" t="s">
        <v>33</v>
      </c>
      <c r="D8" s="6" t="s">
        <v>15</v>
      </c>
      <c r="E8" s="6" t="s">
        <v>16</v>
      </c>
      <c r="F8" s="6">
        <v>3</v>
      </c>
      <c r="G8" s="6">
        <v>110</v>
      </c>
      <c r="H8" s="19">
        <v>3850</v>
      </c>
      <c r="I8" s="21" t="s">
        <v>34</v>
      </c>
    </row>
    <row r="9" s="17" customFormat="1" ht="27" customHeight="1" spans="1:9">
      <c r="A9" s="18" t="s">
        <v>35</v>
      </c>
      <c r="B9" s="18" t="s">
        <v>36</v>
      </c>
      <c r="C9" s="18" t="s">
        <v>37</v>
      </c>
      <c r="D9" s="6" t="s">
        <v>15</v>
      </c>
      <c r="E9" s="6" t="s">
        <v>25</v>
      </c>
      <c r="F9" s="6">
        <v>4</v>
      </c>
      <c r="G9" s="6">
        <v>156</v>
      </c>
      <c r="H9" s="19">
        <v>5702</v>
      </c>
      <c r="I9" s="21" t="s">
        <v>38</v>
      </c>
    </row>
    <row r="10" s="17" customFormat="1" ht="27" customHeight="1" spans="1:9">
      <c r="A10" s="18" t="s">
        <v>39</v>
      </c>
      <c r="B10" s="18" t="s">
        <v>40</v>
      </c>
      <c r="C10" s="18" t="s">
        <v>41</v>
      </c>
      <c r="D10" s="6" t="s">
        <v>15</v>
      </c>
      <c r="E10" s="6" t="s">
        <v>16</v>
      </c>
      <c r="F10" s="6">
        <v>2</v>
      </c>
      <c r="G10" s="6">
        <v>85</v>
      </c>
      <c r="H10" s="19">
        <v>2975</v>
      </c>
      <c r="I10" s="21" t="s">
        <v>42</v>
      </c>
    </row>
    <row r="11" s="17" customFormat="1" ht="27" customHeight="1" spans="1:9">
      <c r="A11" s="18" t="s">
        <v>43</v>
      </c>
      <c r="B11" s="18" t="s">
        <v>44</v>
      </c>
      <c r="C11" s="18" t="s">
        <v>45</v>
      </c>
      <c r="D11" s="6" t="s">
        <v>15</v>
      </c>
      <c r="E11" s="6" t="s">
        <v>16</v>
      </c>
      <c r="F11" s="6">
        <v>6</v>
      </c>
      <c r="G11" s="6">
        <v>243</v>
      </c>
      <c r="H11" s="19">
        <v>8505</v>
      </c>
      <c r="I11" s="21" t="s">
        <v>46</v>
      </c>
    </row>
    <row r="12" ht="27" customHeight="1" spans="1:9">
      <c r="A12" s="10"/>
      <c r="B12" s="10"/>
      <c r="C12" s="10"/>
      <c r="D12" s="10"/>
      <c r="E12" s="10"/>
      <c r="F12" s="10"/>
      <c r="G12" s="10"/>
      <c r="H12" s="11">
        <f>SUM(H4:H11)</f>
        <v>58542.5</v>
      </c>
      <c r="I12" s="16"/>
    </row>
  </sheetData>
  <mergeCells count="3">
    <mergeCell ref="A1:I1"/>
    <mergeCell ref="B2:G2"/>
    <mergeCell ref="H2:I2"/>
  </mergeCells>
  <pageMargins left="0.472222222222222" right="0.275" top="0.472222222222222" bottom="1" header="0.196527777777778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H14" sqref="H14"/>
    </sheetView>
  </sheetViews>
  <sheetFormatPr defaultColWidth="9" defaultRowHeight="13.5" outlineLevelRow="7"/>
  <cols>
    <col min="1" max="1" width="12.125" customWidth="1"/>
    <col min="2" max="2" width="13.75" customWidth="1"/>
    <col min="3" max="3" width="12.625" customWidth="1"/>
    <col min="4" max="4" width="7.125" customWidth="1"/>
    <col min="6" max="7" width="6.875" customWidth="1"/>
    <col min="8" max="8" width="13.975" customWidth="1"/>
    <col min="9" max="9" width="13.375" style="2" customWidth="1"/>
  </cols>
  <sheetData>
    <row r="1" s="1" customFormat="1" ht="18" customHeight="1" spans="1:9">
      <c r="A1" s="3" t="s">
        <v>0</v>
      </c>
      <c r="B1" s="4"/>
      <c r="C1" s="4"/>
      <c r="D1" s="4"/>
      <c r="E1" s="4"/>
      <c r="F1" s="4"/>
      <c r="G1" s="4"/>
      <c r="H1" s="4"/>
      <c r="I1" s="12"/>
    </row>
    <row r="2" s="1" customFormat="1" ht="18" customHeight="1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13"/>
    </row>
    <row r="3" s="1" customFormat="1" ht="30" customHeight="1" spans="1:9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14" t="s">
        <v>11</v>
      </c>
    </row>
    <row r="4" s="17" customFormat="1" ht="30" customHeight="1" spans="1:9">
      <c r="A4" s="18" t="s">
        <v>47</v>
      </c>
      <c r="B4" s="18" t="s">
        <v>48</v>
      </c>
      <c r="C4" s="18" t="s">
        <v>49</v>
      </c>
      <c r="D4" s="6" t="s">
        <v>15</v>
      </c>
      <c r="E4" s="6" t="s">
        <v>16</v>
      </c>
      <c r="F4" s="6">
        <v>4</v>
      </c>
      <c r="G4" s="6">
        <v>155</v>
      </c>
      <c r="H4" s="19">
        <v>5425</v>
      </c>
      <c r="I4" s="21" t="s">
        <v>50</v>
      </c>
    </row>
    <row r="5" s="17" customFormat="1" ht="30" customHeight="1" spans="1:9">
      <c r="A5" s="18" t="s">
        <v>51</v>
      </c>
      <c r="B5" s="18" t="s">
        <v>52</v>
      </c>
      <c r="C5" s="18" t="s">
        <v>53</v>
      </c>
      <c r="D5" s="6" t="s">
        <v>15</v>
      </c>
      <c r="E5" s="6" t="s">
        <v>16</v>
      </c>
      <c r="F5" s="6">
        <v>6</v>
      </c>
      <c r="G5" s="6">
        <v>229</v>
      </c>
      <c r="H5" s="19">
        <v>7763.1</v>
      </c>
      <c r="I5" s="21" t="s">
        <v>54</v>
      </c>
    </row>
    <row r="6" s="17" customFormat="1" ht="30" customHeight="1" spans="1:9">
      <c r="A6" s="18" t="s">
        <v>55</v>
      </c>
      <c r="B6" s="18" t="s">
        <v>56</v>
      </c>
      <c r="C6" s="18" t="s">
        <v>57</v>
      </c>
      <c r="D6" s="6" t="s">
        <v>15</v>
      </c>
      <c r="E6" s="6" t="s">
        <v>16</v>
      </c>
      <c r="F6" s="6">
        <v>4</v>
      </c>
      <c r="G6" s="6">
        <v>155</v>
      </c>
      <c r="H6" s="19">
        <v>5425</v>
      </c>
      <c r="I6" s="21" t="s">
        <v>58</v>
      </c>
    </row>
    <row r="7" s="17" customFormat="1" ht="45" customHeight="1" spans="1:9">
      <c r="A7" s="18" t="s">
        <v>59</v>
      </c>
      <c r="B7" s="18" t="s">
        <v>60</v>
      </c>
      <c r="C7" s="18" t="s">
        <v>61</v>
      </c>
      <c r="D7" s="6" t="s">
        <v>15</v>
      </c>
      <c r="E7" s="6" t="s">
        <v>16</v>
      </c>
      <c r="F7" s="6">
        <v>14</v>
      </c>
      <c r="G7" s="6">
        <v>495</v>
      </c>
      <c r="H7" s="19">
        <v>16780.5</v>
      </c>
      <c r="I7" s="22" t="s">
        <v>62</v>
      </c>
    </row>
    <row r="8" ht="30" customHeight="1" spans="1:9">
      <c r="A8" s="10"/>
      <c r="B8" s="10"/>
      <c r="C8" s="10"/>
      <c r="D8" s="10"/>
      <c r="E8" s="10"/>
      <c r="F8" s="10"/>
      <c r="G8" s="10"/>
      <c r="H8" s="20">
        <f>SUM(H4:H7)</f>
        <v>35393.6</v>
      </c>
      <c r="I8" s="16"/>
    </row>
  </sheetData>
  <mergeCells count="3">
    <mergeCell ref="A1:I1"/>
    <mergeCell ref="B2:G2"/>
    <mergeCell ref="H2:I2"/>
  </mergeCells>
  <pageMargins left="0.472222222222222" right="0.275" top="0.472222222222222" bottom="1" header="0.196527777777778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24" sqref="G24"/>
    </sheetView>
  </sheetViews>
  <sheetFormatPr defaultColWidth="9" defaultRowHeight="13.5" outlineLevelRow="5"/>
  <cols>
    <col min="1" max="1" width="12.125" customWidth="1"/>
    <col min="2" max="2" width="13.75" customWidth="1"/>
    <col min="3" max="3" width="12.625" customWidth="1"/>
    <col min="4" max="4" width="7.125" customWidth="1"/>
    <col min="6" max="7" width="6.875" customWidth="1"/>
    <col min="8" max="8" width="13.975" customWidth="1"/>
    <col min="9" max="9" width="13.375" style="2" customWidth="1"/>
  </cols>
  <sheetData>
    <row r="1" s="1" customFormat="1" ht="18" customHeight="1" spans="1:9">
      <c r="A1" s="3" t="s">
        <v>0</v>
      </c>
      <c r="B1" s="4"/>
      <c r="C1" s="4"/>
      <c r="D1" s="4"/>
      <c r="E1" s="4"/>
      <c r="F1" s="4"/>
      <c r="G1" s="4"/>
      <c r="H1" s="4"/>
      <c r="I1" s="12"/>
    </row>
    <row r="2" s="1" customFormat="1" ht="18" customHeight="1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13"/>
    </row>
    <row r="3" s="1" customFormat="1" ht="44" customHeight="1" spans="1:9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14" t="s">
        <v>11</v>
      </c>
    </row>
    <row r="4" ht="44" customHeight="1" spans="1:9">
      <c r="A4" s="7" t="s">
        <v>63</v>
      </c>
      <c r="B4" s="7" t="s">
        <v>64</v>
      </c>
      <c r="C4" s="7" t="s">
        <v>65</v>
      </c>
      <c r="D4" s="8" t="s">
        <v>15</v>
      </c>
      <c r="E4" s="8" t="s">
        <v>25</v>
      </c>
      <c r="F4" s="8">
        <v>34</v>
      </c>
      <c r="G4" s="8">
        <v>1097</v>
      </c>
      <c r="H4" s="9">
        <v>16004.9</v>
      </c>
      <c r="I4" s="15" t="s">
        <v>66</v>
      </c>
    </row>
    <row r="5" ht="44" customHeight="1" spans="1:9">
      <c r="A5" s="7" t="s">
        <v>67</v>
      </c>
      <c r="B5" s="7" t="s">
        <v>68</v>
      </c>
      <c r="C5" s="7" t="s">
        <v>69</v>
      </c>
      <c r="D5" s="8" t="s">
        <v>15</v>
      </c>
      <c r="E5" s="8" t="s">
        <v>16</v>
      </c>
      <c r="F5" s="8">
        <v>4</v>
      </c>
      <c r="G5" s="8">
        <v>147</v>
      </c>
      <c r="H5" s="9">
        <v>5145</v>
      </c>
      <c r="I5" s="16" t="s">
        <v>70</v>
      </c>
    </row>
    <row r="6" ht="44" customHeight="1" spans="1:9">
      <c r="A6" s="10"/>
      <c r="B6" s="10"/>
      <c r="C6" s="10"/>
      <c r="D6" s="10"/>
      <c r="E6" s="10"/>
      <c r="F6" s="10"/>
      <c r="G6" s="10"/>
      <c r="H6" s="11">
        <f>SUM(H4:H5)</f>
        <v>21149.9</v>
      </c>
      <c r="I6" s="16"/>
    </row>
  </sheetData>
  <mergeCells count="3">
    <mergeCell ref="A1:I1"/>
    <mergeCell ref="B2:G2"/>
    <mergeCell ref="H2:I2"/>
  </mergeCells>
  <pageMargins left="0.472222222222222" right="0.275" top="0.747916666666667" bottom="1" header="0.196527777777778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G11" sqref="G11"/>
    </sheetView>
  </sheetViews>
  <sheetFormatPr defaultColWidth="9" defaultRowHeight="13.5" outlineLevelRow="4"/>
  <cols>
    <col min="1" max="1" width="12.125" customWidth="1"/>
    <col min="2" max="2" width="13.75" customWidth="1"/>
    <col min="3" max="3" width="12.625" customWidth="1"/>
    <col min="4" max="4" width="7.125" customWidth="1"/>
    <col min="6" max="7" width="6.875" customWidth="1"/>
    <col min="8" max="8" width="13.975" customWidth="1"/>
    <col min="9" max="9" width="13.375" style="2" customWidth="1"/>
  </cols>
  <sheetData>
    <row r="1" s="1" customFormat="1" ht="18" customHeight="1" spans="1:9">
      <c r="A1" s="3" t="s">
        <v>0</v>
      </c>
      <c r="B1" s="4"/>
      <c r="C1" s="4"/>
      <c r="D1" s="4"/>
      <c r="E1" s="4"/>
      <c r="F1" s="4"/>
      <c r="G1" s="4"/>
      <c r="H1" s="4"/>
      <c r="I1" s="12"/>
    </row>
    <row r="2" s="1" customFormat="1" ht="18" customHeight="1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13"/>
    </row>
    <row r="3" s="1" customFormat="1" ht="30" customHeight="1" spans="1:9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14" t="s">
        <v>11</v>
      </c>
    </row>
    <row r="4" ht="30" customHeight="1" spans="1:9">
      <c r="A4" s="7" t="s">
        <v>63</v>
      </c>
      <c r="B4" s="7" t="s">
        <v>64</v>
      </c>
      <c r="C4" s="7" t="s">
        <v>65</v>
      </c>
      <c r="D4" s="8" t="s">
        <v>15</v>
      </c>
      <c r="E4" s="8" t="s">
        <v>25</v>
      </c>
      <c r="F4" s="8">
        <v>34</v>
      </c>
      <c r="G4" s="8">
        <v>1097</v>
      </c>
      <c r="H4" s="9">
        <v>10644.6</v>
      </c>
      <c r="I4" s="15" t="s">
        <v>66</v>
      </c>
    </row>
    <row r="5" ht="30" customHeight="1" spans="1:9">
      <c r="A5" s="10"/>
      <c r="B5" s="10"/>
      <c r="C5" s="10"/>
      <c r="D5" s="10"/>
      <c r="E5" s="10"/>
      <c r="F5" s="10"/>
      <c r="G5" s="10"/>
      <c r="H5" s="11">
        <f>SUM(H4:H4)</f>
        <v>10644.6</v>
      </c>
      <c r="I5" s="16"/>
    </row>
  </sheetData>
  <mergeCells count="3">
    <mergeCell ref="A1:I1"/>
    <mergeCell ref="B2:G2"/>
    <mergeCell ref="H2:I2"/>
  </mergeCells>
  <pageMargins left="0.472222222222222" right="0.275" top="0.275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总欠</vt:lpstr>
      <vt:lpstr>4月16日公帐支付</vt:lpstr>
      <vt:lpstr>4月19日公帐支付</vt:lpstr>
      <vt:lpstr>4月24日公帐支付</vt:lpstr>
      <vt:lpstr>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2019-04-03T09:37:00Z</dcterms:created>
  <dcterms:modified xsi:type="dcterms:W3CDTF">2019-06-24T03:22:11Z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