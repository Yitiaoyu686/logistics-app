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3"/>
  </bookViews>
  <sheets>
    <sheet name="总欠" sheetId="1" r:id="rId1"/>
    <sheet name="7月29日私帐支付" sheetId="2" r:id="rId2"/>
    <sheet name="8月6日公账支付" sheetId="3" r:id="rId3"/>
    <sheet name="8月13日私账支付" sheetId="4" r:id="rId4"/>
  </sheets>
  <calcPr calcId="144525"/>
</workbook>
</file>

<file path=xl/sharedStrings.xml><?xml version="1.0" encoding="utf-8"?>
<sst xmlns="http://schemas.openxmlformats.org/spreadsheetml/2006/main" count="146" uniqueCount="47">
  <si>
    <t>威都6月份对帐单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</si>
  <si>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</si>
  <si>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</si>
  <si>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</si>
  <si>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</si>
  <si>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</si>
  <si>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</si>
  <si>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</si>
  <si>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</si>
  <si>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</si>
  <si>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</si>
  <si>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</si>
  <si>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WDAE19060054</t>
  </si>
  <si>
    <t>071-34495786</t>
  </si>
  <si>
    <t>WIN19060049</t>
  </si>
  <si>
    <t>HKG</t>
  </si>
  <si>
    <t>LOS</t>
  </si>
  <si>
    <t>WDAE19060062</t>
  </si>
  <si>
    <t>071-34505660</t>
  </si>
  <si>
    <t>WIN19060102</t>
  </si>
  <si>
    <t>ACC</t>
  </si>
  <si>
    <t>WDAE19060064</t>
  </si>
  <si>
    <t>071-34505656</t>
  </si>
  <si>
    <t>WIN19060101</t>
  </si>
  <si>
    <t>WDAE19060065</t>
  </si>
  <si>
    <t>071-34185303</t>
  </si>
  <si>
    <t>WIN19060100</t>
  </si>
  <si>
    <t>WDAE19060069</t>
  </si>
  <si>
    <t>071-34495823</t>
  </si>
  <si>
    <t>WIN19060099</t>
  </si>
  <si>
    <t>WDAE19060070</t>
  </si>
  <si>
    <t>071-34506485</t>
  </si>
  <si>
    <t>WIN19060098</t>
  </si>
  <si>
    <t>WDAE19060630</t>
  </si>
  <si>
    <t>071-34507200</t>
  </si>
  <si>
    <t>WIN19060588</t>
  </si>
  <si>
    <t>WDAE19061006</t>
  </si>
  <si>
    <t>071-34590194</t>
  </si>
  <si>
    <t>WIN19060906</t>
  </si>
  <si>
    <t>WDAE19061008</t>
  </si>
  <si>
    <t>071-34589752</t>
  </si>
  <si>
    <t>WIN19060904</t>
  </si>
  <si>
    <t>WDAE19061162</t>
  </si>
  <si>
    <t>071-34591443</t>
  </si>
  <si>
    <t>WIN19061165</t>
  </si>
  <si>
    <t>合计</t>
  </si>
  <si>
    <t>支付：威都清单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</si>
</sst>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#0.00"/>
    <numFmt numFmtId="177" formatCode="&quot;JOB&quot;000000"/>
    <numFmt numFmtId="178" formatCode="&quot;￥&quot;#,##0.00_);[Red]\(&quot;￥&quot;#,##0.00\)"/>
  </numFmts>
  <fonts count="29">
    <font>
      <sz val="11"/>
      <color theme="1"/>
      <name val="宋体"/>
      <charset val="134"/>
      <scheme val="minor"/>
    </font>
    <font>
      <b/>
      <sz val="15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color theme="1"/>
      <name val="Courier New"/>
      <charset val="0"/>
    </font>
    <font>
      <sz val="10"/>
      <name val="Courier New"/>
      <charset val="0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name val="Courier New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6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3" fillId="28" borderId="6" applyNumberFormat="0" applyAlignment="0" applyProtection="0">
      <alignment vertical="center"/>
    </xf>
    <xf numFmtId="0" fontId="24" fillId="28" borderId="3" applyNumberFormat="0" applyAlignment="0" applyProtection="0">
      <alignment vertical="center"/>
    </xf>
    <xf numFmtId="0" fontId="25" fillId="31" borderId="7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178" fontId="8" fillId="0" borderId="0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H14" sqref="H14"/>
    </sheetView>
  </sheetViews>
  <sheetFormatPr defaultColWidth="9" defaultRowHeight="13.5"/>
  <cols>
    <col min="1" max="2" width="13.75" customWidth="1"/>
    <col min="3" max="3" width="13.625" customWidth="1"/>
    <col min="4" max="5" width="5.125" customWidth="1"/>
    <col min="6" max="6" width="3.625" customWidth="1"/>
    <col min="7" max="7" width="5.375" customWidth="1"/>
    <col min="8" max="8" width="16.5" customWidth="1"/>
    <col min="9" max="9" width="12.25" customWidth="1"/>
  </cols>
  <sheetData>
    <row r="1" s="1" customFormat="1" ht="27" customHeight="1" spans="1:9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="18" customFormat="1" ht="18" customHeight="1" spans="1:9">
      <c r="A2" s="20" t="s">
        <v>1</v>
      </c>
      <c r="B2" s="21" t="s">
        <v>2</v>
      </c>
      <c r="C2" s="22"/>
      <c r="D2" s="22"/>
      <c r="E2" s="22"/>
      <c r="F2" s="22"/>
      <c r="G2" s="22"/>
      <c r="H2" s="23"/>
      <c r="I2" s="25"/>
    </row>
    <row r="3" s="1" customFormat="1" ht="22" customHeight="1" spans="1:9">
      <c r="A3" s="4" t="s">
        <v>3</v>
      </c>
      <c r="B3" s="5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6" t="s">
        <v>10</v>
      </c>
      <c r="I3" s="4" t="s">
        <v>11</v>
      </c>
    </row>
    <row r="4" s="1" customFormat="1" ht="19" customHeight="1" spans="1:9">
      <c r="A4" s="10" t="s">
        <v>12</v>
      </c>
      <c r="B4" s="10" t="s">
        <v>13</v>
      </c>
      <c r="C4" s="10" t="s">
        <v>14</v>
      </c>
      <c r="D4" s="11" t="s">
        <v>15</v>
      </c>
      <c r="E4" s="11" t="s">
        <v>16</v>
      </c>
      <c r="F4" s="11">
        <v>9</v>
      </c>
      <c r="G4" s="11">
        <v>473</v>
      </c>
      <c r="H4" s="17">
        <v>12266.9</v>
      </c>
      <c r="I4" s="15">
        <v>60064</v>
      </c>
    </row>
    <row r="5" s="1" customFormat="1" ht="19" customHeight="1" spans="1:9">
      <c r="A5" s="10" t="s">
        <v>17</v>
      </c>
      <c r="B5" s="10" t="s">
        <v>18</v>
      </c>
      <c r="C5" s="10" t="s">
        <v>19</v>
      </c>
      <c r="D5" s="11" t="s">
        <v>15</v>
      </c>
      <c r="E5" s="11" t="s">
        <v>20</v>
      </c>
      <c r="F5" s="11">
        <v>4</v>
      </c>
      <c r="G5" s="11">
        <v>163</v>
      </c>
      <c r="H5" s="17">
        <v>5851.7</v>
      </c>
      <c r="I5" s="15">
        <v>60096</v>
      </c>
    </row>
    <row r="6" s="1" customFormat="1" ht="19" customHeight="1" spans="1:9">
      <c r="A6" s="10" t="s">
        <v>21</v>
      </c>
      <c r="B6" s="10" t="s">
        <v>22</v>
      </c>
      <c r="C6" s="10" t="s">
        <v>23</v>
      </c>
      <c r="D6" s="11" t="s">
        <v>15</v>
      </c>
      <c r="E6" s="11" t="s">
        <v>16</v>
      </c>
      <c r="F6" s="11">
        <v>11</v>
      </c>
      <c r="G6" s="11">
        <v>1442</v>
      </c>
      <c r="H6" s="17">
        <v>36482.6</v>
      </c>
      <c r="I6" s="15">
        <v>60098</v>
      </c>
    </row>
    <row r="7" s="1" customFormat="1" ht="19" customHeight="1" spans="1:9">
      <c r="A7" s="10" t="s">
        <v>24</v>
      </c>
      <c r="B7" s="10" t="s">
        <v>25</v>
      </c>
      <c r="C7" s="10" t="s">
        <v>26</v>
      </c>
      <c r="D7" s="11" t="s">
        <v>15</v>
      </c>
      <c r="E7" s="11" t="s">
        <v>20</v>
      </c>
      <c r="F7" s="11">
        <v>13</v>
      </c>
      <c r="G7" s="11">
        <v>533</v>
      </c>
      <c r="H7" s="17">
        <v>18601.7</v>
      </c>
      <c r="I7" s="15">
        <v>60079</v>
      </c>
    </row>
    <row r="8" s="1" customFormat="1" ht="19" customHeight="1" spans="1:9">
      <c r="A8" s="10" t="s">
        <v>27</v>
      </c>
      <c r="B8" s="10" t="s">
        <v>28</v>
      </c>
      <c r="C8" s="10" t="s">
        <v>29</v>
      </c>
      <c r="D8" s="11" t="s">
        <v>15</v>
      </c>
      <c r="E8" s="11" t="s">
        <v>20</v>
      </c>
      <c r="F8" s="11">
        <v>4</v>
      </c>
      <c r="G8" s="11">
        <v>135</v>
      </c>
      <c r="H8" s="17">
        <v>5596.5</v>
      </c>
      <c r="I8" s="15">
        <v>60074</v>
      </c>
    </row>
    <row r="9" s="1" customFormat="1" ht="19" customHeight="1" spans="1:9">
      <c r="A9" s="10" t="s">
        <v>30</v>
      </c>
      <c r="B9" s="10" t="s">
        <v>31</v>
      </c>
      <c r="C9" s="10" t="s">
        <v>32</v>
      </c>
      <c r="D9" s="11" t="s">
        <v>15</v>
      </c>
      <c r="E9" s="11" t="s">
        <v>20</v>
      </c>
      <c r="F9" s="11">
        <v>7</v>
      </c>
      <c r="G9" s="11">
        <v>280</v>
      </c>
      <c r="H9" s="17">
        <v>10052</v>
      </c>
      <c r="I9" s="15">
        <v>60103</v>
      </c>
    </row>
    <row r="10" s="1" customFormat="1" ht="19" customHeight="1" spans="1:9">
      <c r="A10" s="10" t="s">
        <v>33</v>
      </c>
      <c r="B10" s="10" t="s">
        <v>34</v>
      </c>
      <c r="C10" s="10" t="s">
        <v>35</v>
      </c>
      <c r="D10" s="11" t="s">
        <v>15</v>
      </c>
      <c r="E10" s="11" t="s">
        <v>20</v>
      </c>
      <c r="F10" s="11">
        <v>5</v>
      </c>
      <c r="G10" s="11">
        <v>200</v>
      </c>
      <c r="H10" s="17">
        <v>7180</v>
      </c>
      <c r="I10" s="15">
        <v>60113</v>
      </c>
    </row>
    <row r="11" s="1" customFormat="1" ht="19" customHeight="1" spans="1:9">
      <c r="A11" s="7" t="s">
        <v>36</v>
      </c>
      <c r="B11" s="7" t="s">
        <v>37</v>
      </c>
      <c r="C11" s="7" t="s">
        <v>38</v>
      </c>
      <c r="D11" s="8" t="s">
        <v>15</v>
      </c>
      <c r="E11" s="8" t="s">
        <v>16</v>
      </c>
      <c r="F11" s="8">
        <v>14</v>
      </c>
      <c r="G11" s="8">
        <v>965</v>
      </c>
      <c r="H11" s="24">
        <v>22677.5</v>
      </c>
      <c r="I11" s="15">
        <v>60132</v>
      </c>
    </row>
    <row r="12" s="1" customFormat="1" ht="19" customHeight="1" spans="1:9">
      <c r="A12" s="10" t="s">
        <v>39</v>
      </c>
      <c r="B12" s="10" t="s">
        <v>40</v>
      </c>
      <c r="C12" s="10" t="s">
        <v>41</v>
      </c>
      <c r="D12" s="11" t="s">
        <v>15</v>
      </c>
      <c r="E12" s="11" t="s">
        <v>20</v>
      </c>
      <c r="F12" s="11">
        <v>2</v>
      </c>
      <c r="G12" s="11">
        <v>77</v>
      </c>
      <c r="H12" s="17">
        <v>2764.3</v>
      </c>
      <c r="I12" s="15">
        <v>60121</v>
      </c>
    </row>
    <row r="13" s="1" customFormat="1" ht="19" customHeight="1" spans="1:9">
      <c r="A13" s="10" t="s">
        <v>42</v>
      </c>
      <c r="B13" s="10" t="s">
        <v>43</v>
      </c>
      <c r="C13" s="10" t="s">
        <v>44</v>
      </c>
      <c r="D13" s="11" t="s">
        <v>15</v>
      </c>
      <c r="E13" s="11" t="s">
        <v>20</v>
      </c>
      <c r="F13" s="11">
        <v>10</v>
      </c>
      <c r="G13" s="11">
        <v>414</v>
      </c>
      <c r="H13" s="17">
        <v>14448.6</v>
      </c>
      <c r="I13" s="15">
        <v>60137</v>
      </c>
    </row>
    <row r="14" s="2" customFormat="1" ht="19" customHeight="1" spans="1:9">
      <c r="A14" s="13" t="s">
        <v>45</v>
      </c>
      <c r="B14" s="13"/>
      <c r="C14" s="13"/>
      <c r="D14" s="13"/>
      <c r="E14" s="13"/>
      <c r="F14" s="13"/>
      <c r="G14" s="13"/>
      <c r="H14" s="14">
        <f>SUM(H4:H13)</f>
        <v>135921.8</v>
      </c>
      <c r="I14" s="13"/>
    </row>
  </sheetData>
  <mergeCells count="2">
    <mergeCell ref="A1:I1"/>
    <mergeCell ref="B2:G2"/>
  </mergeCells>
  <pageMargins left="0.550694444444444" right="0.236111111111111" top="0.314583333333333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A1" sqref="$A1:$XFD1"/>
    </sheetView>
  </sheetViews>
  <sheetFormatPr defaultColWidth="9" defaultRowHeight="13.5" outlineLevelRow="7"/>
  <cols>
    <col min="1" max="2" width="13.75" customWidth="1"/>
    <col min="3" max="3" width="13.625" customWidth="1"/>
    <col min="4" max="5" width="5.125" customWidth="1"/>
    <col min="6" max="6" width="3.625" customWidth="1"/>
    <col min="7" max="7" width="5.375" customWidth="1"/>
    <col min="8" max="8" width="16.5" customWidth="1"/>
    <col min="9" max="9" width="12.25" customWidth="1"/>
  </cols>
  <sheetData>
    <row r="1" s="1" customFormat="1" ht="40" customHeight="1" spans="1:9">
      <c r="A1" s="3" t="s">
        <v>46</v>
      </c>
      <c r="B1" s="3"/>
      <c r="C1" s="3"/>
      <c r="D1" s="3"/>
      <c r="E1" s="3"/>
      <c r="F1" s="3"/>
      <c r="G1" s="3"/>
      <c r="H1" s="3"/>
      <c r="I1" s="3"/>
    </row>
    <row r="2" s="1" customFormat="1" ht="41" customHeight="1" spans="1:9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6" t="s">
        <v>10</v>
      </c>
      <c r="I2" s="4" t="s">
        <v>11</v>
      </c>
    </row>
    <row r="3" s="1" customFormat="1" ht="31" customHeight="1" spans="1:9">
      <c r="A3" s="10" t="s">
        <v>17</v>
      </c>
      <c r="B3" s="10" t="s">
        <v>18</v>
      </c>
      <c r="C3" s="10" t="s">
        <v>19</v>
      </c>
      <c r="D3" s="11" t="s">
        <v>15</v>
      </c>
      <c r="E3" s="11" t="s">
        <v>20</v>
      </c>
      <c r="F3" s="11">
        <v>4</v>
      </c>
      <c r="G3" s="11">
        <v>163</v>
      </c>
      <c r="H3" s="12">
        <v>5851.7</v>
      </c>
      <c r="I3" s="15">
        <v>60096</v>
      </c>
    </row>
    <row r="4" s="1" customFormat="1" ht="31" customHeight="1" spans="1:9">
      <c r="A4" s="10" t="s">
        <v>27</v>
      </c>
      <c r="B4" s="10" t="s">
        <v>28</v>
      </c>
      <c r="C4" s="10" t="s">
        <v>29</v>
      </c>
      <c r="D4" s="11" t="s">
        <v>15</v>
      </c>
      <c r="E4" s="11" t="s">
        <v>20</v>
      </c>
      <c r="F4" s="11">
        <v>4</v>
      </c>
      <c r="G4" s="11">
        <v>135</v>
      </c>
      <c r="H4" s="12">
        <v>5596.5</v>
      </c>
      <c r="I4" s="15">
        <v>60074</v>
      </c>
    </row>
    <row r="5" s="1" customFormat="1" ht="31" customHeight="1" spans="1:9">
      <c r="A5" s="10" t="s">
        <v>33</v>
      </c>
      <c r="B5" s="10" t="s">
        <v>34</v>
      </c>
      <c r="C5" s="10" t="s">
        <v>35</v>
      </c>
      <c r="D5" s="11" t="s">
        <v>15</v>
      </c>
      <c r="E5" s="11" t="s">
        <v>20</v>
      </c>
      <c r="F5" s="11">
        <v>5</v>
      </c>
      <c r="G5" s="11">
        <v>200</v>
      </c>
      <c r="H5" s="12">
        <v>7180</v>
      </c>
      <c r="I5" s="15">
        <v>60113</v>
      </c>
    </row>
    <row r="6" s="1" customFormat="1" ht="31" customHeight="1" spans="1:9">
      <c r="A6" s="10" t="s">
        <v>39</v>
      </c>
      <c r="B6" s="10" t="s">
        <v>40</v>
      </c>
      <c r="C6" s="10" t="s">
        <v>41</v>
      </c>
      <c r="D6" s="11" t="s">
        <v>15</v>
      </c>
      <c r="E6" s="11" t="s">
        <v>20</v>
      </c>
      <c r="F6" s="11">
        <v>2</v>
      </c>
      <c r="G6" s="11">
        <v>77</v>
      </c>
      <c r="H6" s="17">
        <v>2764.3</v>
      </c>
      <c r="I6" s="15">
        <v>60121</v>
      </c>
    </row>
    <row r="7" s="1" customFormat="1" ht="31" customHeight="1" spans="1:9">
      <c r="A7" s="10" t="s">
        <v>30</v>
      </c>
      <c r="B7" s="10" t="s">
        <v>31</v>
      </c>
      <c r="C7" s="10" t="s">
        <v>32</v>
      </c>
      <c r="D7" s="11" t="s">
        <v>15</v>
      </c>
      <c r="E7" s="11" t="s">
        <v>20</v>
      </c>
      <c r="F7" s="11">
        <v>7</v>
      </c>
      <c r="G7" s="11">
        <v>280</v>
      </c>
      <c r="H7" s="12">
        <v>10052</v>
      </c>
      <c r="I7" s="15">
        <v>60103</v>
      </c>
    </row>
    <row r="8" s="2" customFormat="1" ht="31" customHeight="1" spans="1:9">
      <c r="A8" s="13" t="s">
        <v>45</v>
      </c>
      <c r="B8" s="13"/>
      <c r="C8" s="13"/>
      <c r="D8" s="13"/>
      <c r="E8" s="13"/>
      <c r="F8" s="13"/>
      <c r="G8" s="13"/>
      <c r="H8" s="14">
        <f>SUM(H3:H7)</f>
        <v>31444.5</v>
      </c>
      <c r="I8" s="13"/>
    </row>
  </sheetData>
  <mergeCells count="1">
    <mergeCell ref="A1:I1"/>
  </mergeCells>
  <pageMargins left="0.550694444444444" right="0.236111111111111" top="0.314583333333333" bottom="1" header="0.236111111111111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$A1:$XFD1"/>
    </sheetView>
  </sheetViews>
  <sheetFormatPr defaultColWidth="9" defaultRowHeight="13.5" outlineLevelRow="5"/>
  <cols>
    <col min="1" max="2" width="13.75" customWidth="1"/>
    <col min="3" max="3" width="13.625" customWidth="1"/>
    <col min="4" max="5" width="5.125" customWidth="1"/>
    <col min="6" max="6" width="3.625" customWidth="1"/>
    <col min="7" max="7" width="5.375" customWidth="1"/>
    <col min="8" max="8" width="16.5" customWidth="1"/>
    <col min="9" max="9" width="12.25" customWidth="1"/>
  </cols>
  <sheetData>
    <row r="1" s="1" customFormat="1" ht="40" customHeight="1" spans="1:9">
      <c r="A1" s="3" t="s">
        <v>46</v>
      </c>
      <c r="B1" s="3"/>
      <c r="C1" s="3"/>
      <c r="D1" s="3"/>
      <c r="E1" s="3"/>
      <c r="F1" s="3"/>
      <c r="G1" s="3"/>
      <c r="H1" s="3"/>
      <c r="I1" s="3"/>
    </row>
    <row r="2" s="1" customFormat="1" ht="41" customHeight="1" spans="1:9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6" t="s">
        <v>10</v>
      </c>
      <c r="I2" s="4" t="s">
        <v>11</v>
      </c>
    </row>
    <row r="3" s="1" customFormat="1" ht="41" customHeight="1" spans="1:9">
      <c r="A3" s="10" t="s">
        <v>12</v>
      </c>
      <c r="B3" s="10" t="s">
        <v>13</v>
      </c>
      <c r="C3" s="10" t="s">
        <v>14</v>
      </c>
      <c r="D3" s="11" t="s">
        <v>15</v>
      </c>
      <c r="E3" s="11" t="s">
        <v>16</v>
      </c>
      <c r="F3" s="11">
        <v>9</v>
      </c>
      <c r="G3" s="11">
        <v>473</v>
      </c>
      <c r="H3" s="12">
        <v>12266.9</v>
      </c>
      <c r="I3" s="15">
        <v>60064</v>
      </c>
    </row>
    <row r="4" s="1" customFormat="1" ht="41" customHeight="1" spans="1:9">
      <c r="A4" s="10" t="s">
        <v>24</v>
      </c>
      <c r="B4" s="10" t="s">
        <v>25</v>
      </c>
      <c r="C4" s="10" t="s">
        <v>26</v>
      </c>
      <c r="D4" s="11" t="s">
        <v>15</v>
      </c>
      <c r="E4" s="11" t="s">
        <v>20</v>
      </c>
      <c r="F4" s="11">
        <v>13</v>
      </c>
      <c r="G4" s="11">
        <v>533</v>
      </c>
      <c r="H4" s="12">
        <v>18601.7</v>
      </c>
      <c r="I4" s="15">
        <v>60079</v>
      </c>
    </row>
    <row r="5" s="1" customFormat="1" ht="41" customHeight="1" spans="1:9">
      <c r="A5" s="10" t="s">
        <v>42</v>
      </c>
      <c r="B5" s="10" t="s">
        <v>43</v>
      </c>
      <c r="C5" s="10" t="s">
        <v>44</v>
      </c>
      <c r="D5" s="11" t="s">
        <v>15</v>
      </c>
      <c r="E5" s="11" t="s">
        <v>20</v>
      </c>
      <c r="F5" s="11">
        <v>10</v>
      </c>
      <c r="G5" s="11">
        <v>414</v>
      </c>
      <c r="H5" s="12">
        <v>14448.6</v>
      </c>
      <c r="I5" s="15">
        <v>60137</v>
      </c>
    </row>
    <row r="6" s="2" customFormat="1" ht="41" customHeight="1" spans="1:9">
      <c r="A6" s="13" t="s">
        <v>45</v>
      </c>
      <c r="B6" s="13"/>
      <c r="C6" s="13"/>
      <c r="D6" s="13"/>
      <c r="E6" s="13"/>
      <c r="F6" s="13"/>
      <c r="G6" s="13"/>
      <c r="H6" s="16">
        <f>SUM(H3:H5)</f>
        <v>45317.2</v>
      </c>
      <c r="I6" s="13"/>
    </row>
  </sheetData>
  <mergeCells count="1">
    <mergeCell ref="A1:I1"/>
  </mergeCells>
  <pageMargins left="0.550694444444444" right="0.236111111111111" top="0.511805555555556" bottom="1" header="0.236111111111111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C5" sqref="C5"/>
    </sheetView>
  </sheetViews>
  <sheetFormatPr defaultColWidth="9" defaultRowHeight="13.5" outlineLevelRow="4"/>
  <cols>
    <col min="1" max="2" width="13.75" customWidth="1"/>
    <col min="3" max="3" width="13.625" customWidth="1"/>
    <col min="4" max="5" width="5.125" customWidth="1"/>
    <col min="6" max="6" width="3.625" customWidth="1"/>
    <col min="7" max="7" width="5.375" customWidth="1"/>
    <col min="8" max="8" width="16.5" customWidth="1"/>
    <col min="9" max="9" width="12.25" customWidth="1"/>
  </cols>
  <sheetData>
    <row r="1" s="1" customFormat="1" ht="40" customHeight="1" spans="1:9">
      <c r="A1" s="3" t="s">
        <v>46</v>
      </c>
      <c r="B1" s="3"/>
      <c r="C1" s="3"/>
      <c r="D1" s="3"/>
      <c r="E1" s="3"/>
      <c r="F1" s="3"/>
      <c r="G1" s="3"/>
      <c r="H1" s="3"/>
      <c r="I1" s="3"/>
    </row>
    <row r="2" s="1" customFormat="1" ht="48" customHeight="1" spans="1:9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6" t="s">
        <v>10</v>
      </c>
      <c r="I2" s="4" t="s">
        <v>11</v>
      </c>
    </row>
    <row r="3" s="1" customFormat="1" ht="48" customHeight="1" spans="1:9">
      <c r="A3" s="7" t="s">
        <v>36</v>
      </c>
      <c r="B3" s="7" t="s">
        <v>37</v>
      </c>
      <c r="C3" s="7" t="s">
        <v>38</v>
      </c>
      <c r="D3" s="8" t="s">
        <v>15</v>
      </c>
      <c r="E3" s="8" t="s">
        <v>16</v>
      </c>
      <c r="F3" s="8">
        <v>14</v>
      </c>
      <c r="G3" s="8">
        <v>965</v>
      </c>
      <c r="H3" s="9">
        <v>22677.5</v>
      </c>
      <c r="I3" s="15">
        <v>60132</v>
      </c>
    </row>
    <row r="4" s="1" customFormat="1" ht="48" customHeight="1" spans="1:9">
      <c r="A4" s="10" t="s">
        <v>21</v>
      </c>
      <c r="B4" s="10" t="s">
        <v>22</v>
      </c>
      <c r="C4" s="10" t="s">
        <v>23</v>
      </c>
      <c r="D4" s="11" t="s">
        <v>15</v>
      </c>
      <c r="E4" s="11" t="s">
        <v>16</v>
      </c>
      <c r="F4" s="11">
        <v>11</v>
      </c>
      <c r="G4" s="11">
        <v>1442</v>
      </c>
      <c r="H4" s="12">
        <v>36482.6</v>
      </c>
      <c r="I4" s="15">
        <v>60098</v>
      </c>
    </row>
    <row r="5" s="2" customFormat="1" ht="48" customHeight="1" spans="1:9">
      <c r="A5" s="13" t="s">
        <v>45</v>
      </c>
      <c r="B5" s="13"/>
      <c r="C5" s="13"/>
      <c r="D5" s="13"/>
      <c r="E5" s="13"/>
      <c r="F5" s="13"/>
      <c r="G5" s="13"/>
      <c r="H5" s="14">
        <f>SUM(H3:H4)</f>
        <v>59160.1</v>
      </c>
      <c r="I5" s="13"/>
    </row>
  </sheetData>
  <mergeCells count="1">
    <mergeCell ref="A1:I1"/>
  </mergeCells>
  <pageMargins left="0.550694444444444" right="0.236111111111111" top="0.590277777777778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总欠</vt:lpstr>
      <vt:lpstr>7月29日私帐支付</vt:lpstr>
      <vt:lpstr>8月6日公账支付</vt:lpstr>
      <vt:lpstr>8月13日私账支付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2019-08-13T02:39:57Z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2052-11.1.0.8952</vt:lpwstr>
  </property>
</Properties>
</file>