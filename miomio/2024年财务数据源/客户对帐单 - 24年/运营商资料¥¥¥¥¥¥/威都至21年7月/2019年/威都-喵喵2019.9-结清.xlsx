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 " sheetId="4" r:id="rId1"/>
    <sheet name="总欠  (2)" sheetId="7" r:id="rId2"/>
    <sheet name="1" sheetId="2" r:id="rId3"/>
  </sheets>
  <definedNames>
    <definedName name="_xlnm.Print_Area" localSheetId="1">'总欠  (2)'!$A$1:$I$20</definedName>
  </definedNames>
  <calcPr calcId="144525"/>
</workbook>
</file>

<file path=xl/sharedStrings.xml><?xml version="1.0" encoding="utf-8"?>
<sst xmlns="http://schemas.openxmlformats.org/spreadsheetml/2006/main" count="169" uniqueCount="49">
  <si>
    <t>威都9月份对帐单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</si>
  <si>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</si>
  <si>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</si>
  <si>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</si>
  <si>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</si>
  <si>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</si>
  <si>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</si>
  <si>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</si>
  <si>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</si>
  <si>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</si>
  <si>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</si>
  <si>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</si>
  <si>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WDAE19081282</t>
  </si>
  <si>
    <t>071-35247855</t>
  </si>
  <si>
    <t>HKG</t>
  </si>
  <si>
    <t>LOS</t>
  </si>
  <si>
    <t>WDAE19081283</t>
  </si>
  <si>
    <t>071-35110913</t>
  </si>
  <si>
    <t>ACC</t>
  </si>
  <si>
    <t>WDAE19081284</t>
  </si>
  <si>
    <t>071-35382524</t>
  </si>
  <si>
    <t>WDAE19090105</t>
  </si>
  <si>
    <t>071-35111101</t>
  </si>
  <si>
    <t>LAD</t>
  </si>
  <si>
    <t>WDAE19090150</t>
  </si>
  <si>
    <t>071-35111182</t>
  </si>
  <si>
    <t>WDAE19090353</t>
  </si>
  <si>
    <t>071-35247192</t>
  </si>
  <si>
    <t>WDAE19090569</t>
  </si>
  <si>
    <t>071-35382034</t>
  </si>
  <si>
    <t>WDAE19090819</t>
  </si>
  <si>
    <t>071-35251672</t>
  </si>
  <si>
    <t>WDAE19091073</t>
  </si>
  <si>
    <t>071-35382491</t>
  </si>
  <si>
    <t>WDAE19091471</t>
  </si>
  <si>
    <t>071-35384554</t>
  </si>
  <si>
    <t>WDAE19091559</t>
  </si>
  <si>
    <t>071-35391484</t>
  </si>
  <si>
    <t>KAN</t>
  </si>
  <si>
    <t>WDAE19091560</t>
  </si>
  <si>
    <t>071-35391871</t>
  </si>
  <si>
    <t>WDAE19091641</t>
  </si>
  <si>
    <t>071-35396395</t>
  </si>
  <si>
    <t>合计</t>
  </si>
  <si>
    <t>支付：威都9月份运费清单</t>
  </si>
  <si>
    <t>支付</t>
  </si>
  <si>
    <t>公账支付</t>
  </si>
  <si>
    <t>欠</t>
  </si>
  <si>
    <t>支付：威都清单</t>
  </si>
</sst>
</file>

<file path=xl/styles.xml><?xml version="1.0" encoding="utf-8"?>
<styleSheet xmlns="http://schemas.openxmlformats.org/spreadsheetml/2006/main">
  <numFmts count="6">
    <numFmt numFmtId="176" formatCode="&quot;￥&quot;#,##0.00_);[Red]\(&quot;￥&quot;#,##0.00\)"/>
    <numFmt numFmtId="44" formatCode="_ &quot;￥&quot;* #,##0.00_ ;_ &quot;￥&quot;* \-#,##0.00_ ;_ &quot;￥&quot;* &quot;-&quot;??_ ;_ @_ "/>
    <numFmt numFmtId="177" formatCode="&quot;JOB&quot;000000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name val="Courier New"/>
      <charset val="134"/>
    </font>
    <font>
      <b/>
      <sz val="11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26" borderId="8" applyNumberFormat="0" applyAlignment="0" applyProtection="0">
      <alignment vertical="center"/>
    </xf>
    <xf numFmtId="0" fontId="28" fillId="26" borderId="3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176" fontId="10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C8" sqref="C8"/>
    </sheetView>
  </sheetViews>
  <sheetFormatPr defaultColWidth="9" defaultRowHeight="13.5"/>
  <cols>
    <col min="1" max="1" width="15.0333333333333" customWidth="1"/>
    <col min="2" max="2" width="15.2166666666667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5.625" style="11" customWidth="1"/>
    <col min="9" max="9" width="12.25" customWidth="1"/>
    <col min="11" max="11" width="12" customWidth="1"/>
  </cols>
  <sheetData>
    <row r="1" s="1" customFormat="1" ht="27" customHeight="1" spans="1:9">
      <c r="A1" s="24" t="s">
        <v>0</v>
      </c>
      <c r="B1" s="24"/>
      <c r="C1" s="24"/>
      <c r="D1" s="24"/>
      <c r="E1" s="24"/>
      <c r="F1" s="24"/>
      <c r="G1" s="24"/>
      <c r="H1" s="25"/>
      <c r="I1" s="24"/>
    </row>
    <row r="2" s="23" customFormat="1" ht="18" customHeight="1" spans="1:9">
      <c r="A2" s="26" t="s">
        <v>1</v>
      </c>
      <c r="B2" s="27" t="s">
        <v>2</v>
      </c>
      <c r="C2" s="28"/>
      <c r="D2" s="28"/>
      <c r="E2" s="28"/>
      <c r="F2" s="28"/>
      <c r="G2" s="28"/>
      <c r="H2" s="29"/>
      <c r="I2" s="30"/>
    </row>
    <row r="3" s="1" customFormat="1" ht="22" customHeight="1" spans="1:9">
      <c r="A3" s="4" t="s">
        <v>3</v>
      </c>
      <c r="B3" s="5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6" t="s">
        <v>10</v>
      </c>
      <c r="I3" s="4" t="s">
        <v>11</v>
      </c>
    </row>
    <row r="4" s="9" customFormat="1" ht="19" customHeight="1" spans="1:9">
      <c r="A4" s="13" t="s">
        <v>12</v>
      </c>
      <c r="B4" s="13" t="s">
        <v>13</v>
      </c>
      <c r="C4" s="13" t="s">
        <v>12</v>
      </c>
      <c r="D4" s="5" t="s">
        <v>14</v>
      </c>
      <c r="E4" s="5" t="s">
        <v>15</v>
      </c>
      <c r="F4" s="5">
        <v>28</v>
      </c>
      <c r="G4" s="5">
        <v>1336</v>
      </c>
      <c r="H4" s="6">
        <v>31121</v>
      </c>
      <c r="I4" s="31">
        <v>90135</v>
      </c>
    </row>
    <row r="5" s="9" customFormat="1" ht="19" customHeight="1" spans="1:9">
      <c r="A5" s="13" t="s">
        <v>16</v>
      </c>
      <c r="B5" s="13" t="s">
        <v>17</v>
      </c>
      <c r="C5" s="13" t="s">
        <v>16</v>
      </c>
      <c r="D5" s="5" t="s">
        <v>14</v>
      </c>
      <c r="E5" s="5" t="s">
        <v>18</v>
      </c>
      <c r="F5" s="5">
        <v>5</v>
      </c>
      <c r="G5" s="5">
        <v>211</v>
      </c>
      <c r="H5" s="6">
        <v>8219.4</v>
      </c>
      <c r="I5" s="31">
        <v>90111</v>
      </c>
    </row>
    <row r="6" s="9" customFormat="1" ht="19" customHeight="1" spans="1:9">
      <c r="A6" s="13" t="s">
        <v>19</v>
      </c>
      <c r="B6" s="13" t="s">
        <v>20</v>
      </c>
      <c r="C6" s="13" t="s">
        <v>19</v>
      </c>
      <c r="D6" s="5" t="s">
        <v>14</v>
      </c>
      <c r="E6" s="5" t="s">
        <v>18</v>
      </c>
      <c r="F6" s="5">
        <v>14</v>
      </c>
      <c r="G6" s="5">
        <v>554</v>
      </c>
      <c r="H6" s="6">
        <v>19057.6</v>
      </c>
      <c r="I6" s="31">
        <v>90163</v>
      </c>
    </row>
    <row r="7" s="9" customFormat="1" ht="19" customHeight="1" spans="1:9">
      <c r="A7" s="13" t="s">
        <v>21</v>
      </c>
      <c r="B7" s="13" t="s">
        <v>22</v>
      </c>
      <c r="C7" s="13" t="s">
        <v>21</v>
      </c>
      <c r="D7" s="5" t="s">
        <v>14</v>
      </c>
      <c r="E7" s="5" t="s">
        <v>23</v>
      </c>
      <c r="F7" s="5">
        <v>2</v>
      </c>
      <c r="G7" s="5">
        <v>571</v>
      </c>
      <c r="H7" s="6">
        <v>16273.5</v>
      </c>
      <c r="I7" s="31">
        <v>90116</v>
      </c>
    </row>
    <row r="8" s="9" customFormat="1" ht="19" customHeight="1" spans="1:9">
      <c r="A8" s="13" t="s">
        <v>24</v>
      </c>
      <c r="B8" s="13" t="s">
        <v>25</v>
      </c>
      <c r="C8" s="13" t="s">
        <v>24</v>
      </c>
      <c r="D8" s="5" t="s">
        <v>14</v>
      </c>
      <c r="E8" s="5" t="s">
        <v>15</v>
      </c>
      <c r="F8" s="5">
        <v>26</v>
      </c>
      <c r="G8" s="5">
        <v>1815</v>
      </c>
      <c r="H8" s="6">
        <v>45493.5</v>
      </c>
      <c r="I8" s="31">
        <v>90115</v>
      </c>
    </row>
    <row r="9" s="9" customFormat="1" ht="19" customHeight="1" spans="1:9">
      <c r="A9" s="13" t="s">
        <v>26</v>
      </c>
      <c r="B9" s="13" t="s">
        <v>27</v>
      </c>
      <c r="C9" s="13" t="s">
        <v>26</v>
      </c>
      <c r="D9" s="5" t="s">
        <v>14</v>
      </c>
      <c r="E9" s="5" t="s">
        <v>23</v>
      </c>
      <c r="F9" s="5">
        <v>1</v>
      </c>
      <c r="G9" s="5">
        <v>150</v>
      </c>
      <c r="H9" s="6">
        <v>4875</v>
      </c>
      <c r="I9" s="31">
        <v>90132</v>
      </c>
    </row>
    <row r="10" s="9" customFormat="1" ht="19" customHeight="1" spans="1:9">
      <c r="A10" s="13" t="s">
        <v>28</v>
      </c>
      <c r="B10" s="13" t="s">
        <v>29</v>
      </c>
      <c r="C10" s="13" t="s">
        <v>28</v>
      </c>
      <c r="D10" s="5" t="s">
        <v>14</v>
      </c>
      <c r="E10" s="5" t="s">
        <v>15</v>
      </c>
      <c r="F10" s="5">
        <v>20</v>
      </c>
      <c r="G10" s="5">
        <v>4022</v>
      </c>
      <c r="H10" s="6">
        <v>99541.2</v>
      </c>
      <c r="I10" s="31">
        <v>90152</v>
      </c>
    </row>
    <row r="11" s="9" customFormat="1" ht="19" customHeight="1" spans="1:9">
      <c r="A11" s="13" t="s">
        <v>30</v>
      </c>
      <c r="B11" s="13" t="s">
        <v>31</v>
      </c>
      <c r="C11" s="13" t="s">
        <v>30</v>
      </c>
      <c r="D11" s="5" t="s">
        <v>14</v>
      </c>
      <c r="E11" s="5" t="s">
        <v>23</v>
      </c>
      <c r="F11" s="5">
        <v>4</v>
      </c>
      <c r="G11" s="5">
        <v>148</v>
      </c>
      <c r="H11" s="6">
        <v>4810</v>
      </c>
      <c r="I11" s="31">
        <v>90146</v>
      </c>
    </row>
    <row r="12" s="9" customFormat="1" ht="19" customHeight="1" spans="1:9">
      <c r="A12" s="13" t="s">
        <v>32</v>
      </c>
      <c r="B12" s="13" t="s">
        <v>33</v>
      </c>
      <c r="C12" s="13" t="s">
        <v>32</v>
      </c>
      <c r="D12" s="5" t="s">
        <v>14</v>
      </c>
      <c r="E12" s="5" t="s">
        <v>18</v>
      </c>
      <c r="F12" s="5">
        <v>3</v>
      </c>
      <c r="G12" s="5">
        <v>349</v>
      </c>
      <c r="H12" s="6">
        <v>9946.5</v>
      </c>
      <c r="I12" s="31">
        <v>90153</v>
      </c>
    </row>
    <row r="13" s="9" customFormat="1" ht="19" customHeight="1" spans="1:9">
      <c r="A13" s="13" t="s">
        <v>34</v>
      </c>
      <c r="B13" s="13" t="s">
        <v>35</v>
      </c>
      <c r="C13" s="13" t="s">
        <v>34</v>
      </c>
      <c r="D13" s="5" t="s">
        <v>14</v>
      </c>
      <c r="E13" s="5" t="s">
        <v>23</v>
      </c>
      <c r="F13" s="5">
        <v>4</v>
      </c>
      <c r="G13" s="5">
        <v>651</v>
      </c>
      <c r="H13" s="6">
        <v>18553.5</v>
      </c>
      <c r="I13" s="31">
        <v>90176</v>
      </c>
    </row>
    <row r="14" s="9" customFormat="1" ht="19" customHeight="1" spans="1:9">
      <c r="A14" s="13" t="s">
        <v>36</v>
      </c>
      <c r="B14" s="13" t="s">
        <v>37</v>
      </c>
      <c r="C14" s="13" t="s">
        <v>36</v>
      </c>
      <c r="D14" s="5" t="s">
        <v>14</v>
      </c>
      <c r="E14" s="5" t="s">
        <v>38</v>
      </c>
      <c r="F14" s="5">
        <v>2</v>
      </c>
      <c r="G14" s="5">
        <v>1500</v>
      </c>
      <c r="H14" s="6">
        <v>37950.5</v>
      </c>
      <c r="I14" s="31">
        <v>90174</v>
      </c>
    </row>
    <row r="15" s="9" customFormat="1" ht="19" customHeight="1" spans="1:9">
      <c r="A15" s="13" t="s">
        <v>39</v>
      </c>
      <c r="B15" s="13" t="s">
        <v>40</v>
      </c>
      <c r="C15" s="13" t="s">
        <v>39</v>
      </c>
      <c r="D15" s="5" t="s">
        <v>14</v>
      </c>
      <c r="E15" s="5" t="s">
        <v>18</v>
      </c>
      <c r="F15" s="5">
        <v>14</v>
      </c>
      <c r="G15" s="5">
        <v>543</v>
      </c>
      <c r="H15" s="6">
        <v>18624.9</v>
      </c>
      <c r="I15" s="31">
        <v>90173</v>
      </c>
    </row>
    <row r="16" s="9" customFormat="1" ht="19" customHeight="1" spans="1:9">
      <c r="A16" s="13" t="s">
        <v>41</v>
      </c>
      <c r="B16" s="13" t="s">
        <v>42</v>
      </c>
      <c r="C16" s="13" t="s">
        <v>41</v>
      </c>
      <c r="D16" s="5" t="s">
        <v>14</v>
      </c>
      <c r="E16" s="5" t="s">
        <v>23</v>
      </c>
      <c r="F16" s="5">
        <v>5</v>
      </c>
      <c r="G16" s="5">
        <v>239</v>
      </c>
      <c r="H16" s="6">
        <v>7767.5</v>
      </c>
      <c r="I16" s="31">
        <v>90177</v>
      </c>
    </row>
    <row r="17" s="10" customFormat="1" ht="18" customHeight="1" spans="1:9">
      <c r="A17" s="15" t="s">
        <v>43</v>
      </c>
      <c r="B17" s="15"/>
      <c r="C17" s="15"/>
      <c r="D17" s="15"/>
      <c r="E17" s="15"/>
      <c r="F17" s="15"/>
      <c r="G17" s="15"/>
      <c r="H17" s="16">
        <f>SUM(H8:H16)</f>
        <v>247562.6</v>
      </c>
      <c r="I17" s="15"/>
    </row>
  </sheetData>
  <mergeCells count="2">
    <mergeCell ref="A1:I1"/>
    <mergeCell ref="B2:G2"/>
  </mergeCells>
  <pageMargins left="0.550694444444444" right="0.236111111111111" top="0.236111111111111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K7" sqref="K7"/>
    </sheetView>
  </sheetViews>
  <sheetFormatPr defaultColWidth="9" defaultRowHeight="13.5"/>
  <cols>
    <col min="1" max="1" width="15.0333333333333" customWidth="1"/>
    <col min="2" max="2" width="15.5833333333333" customWidth="1"/>
    <col min="3" max="3" width="15.275" customWidth="1"/>
    <col min="4" max="5" width="5.125" customWidth="1"/>
    <col min="6" max="6" width="3.625" customWidth="1"/>
    <col min="7" max="7" width="5.375" customWidth="1"/>
    <col min="8" max="8" width="15.625" style="11" customWidth="1"/>
    <col min="9" max="9" width="12.25" style="12" customWidth="1"/>
  </cols>
  <sheetData>
    <row r="1" s="1" customFormat="1" ht="29" customHeight="1" spans="1:9">
      <c r="A1" s="3" t="s">
        <v>44</v>
      </c>
      <c r="B1" s="3"/>
      <c r="C1" s="3"/>
      <c r="D1" s="3"/>
      <c r="E1" s="3"/>
      <c r="F1" s="3"/>
      <c r="G1" s="3"/>
      <c r="H1" s="3"/>
      <c r="I1" s="19"/>
    </row>
    <row r="2" s="1" customFormat="1" ht="22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20" t="s">
        <v>11</v>
      </c>
    </row>
    <row r="3" s="9" customFormat="1" ht="29" customHeight="1" spans="1:9">
      <c r="A3" s="13" t="s">
        <v>12</v>
      </c>
      <c r="B3" s="13" t="s">
        <v>13</v>
      </c>
      <c r="C3" s="13" t="s">
        <v>12</v>
      </c>
      <c r="D3" s="5" t="s">
        <v>14</v>
      </c>
      <c r="E3" s="5" t="s">
        <v>15</v>
      </c>
      <c r="F3" s="5">
        <v>28</v>
      </c>
      <c r="G3" s="5">
        <v>1336</v>
      </c>
      <c r="H3" s="6">
        <v>31121</v>
      </c>
      <c r="I3" s="21">
        <v>90135</v>
      </c>
    </row>
    <row r="4" s="9" customFormat="1" ht="29" customHeight="1" spans="1:9">
      <c r="A4" s="13" t="s">
        <v>16</v>
      </c>
      <c r="B4" s="13" t="s">
        <v>17</v>
      </c>
      <c r="C4" s="13" t="s">
        <v>16</v>
      </c>
      <c r="D4" s="5" t="s">
        <v>14</v>
      </c>
      <c r="E4" s="5" t="s">
        <v>18</v>
      </c>
      <c r="F4" s="5">
        <v>5</v>
      </c>
      <c r="G4" s="5">
        <v>211</v>
      </c>
      <c r="H4" s="6">
        <v>8219.4</v>
      </c>
      <c r="I4" s="21">
        <v>90111</v>
      </c>
    </row>
    <row r="5" s="9" customFormat="1" ht="29" customHeight="1" spans="1:9">
      <c r="A5" s="13" t="s">
        <v>19</v>
      </c>
      <c r="B5" s="13" t="s">
        <v>20</v>
      </c>
      <c r="C5" s="13" t="s">
        <v>19</v>
      </c>
      <c r="D5" s="5" t="s">
        <v>14</v>
      </c>
      <c r="E5" s="5" t="s">
        <v>18</v>
      </c>
      <c r="F5" s="5">
        <v>14</v>
      </c>
      <c r="G5" s="5">
        <v>554</v>
      </c>
      <c r="H5" s="6">
        <v>19057.6</v>
      </c>
      <c r="I5" s="21">
        <v>90163</v>
      </c>
    </row>
    <row r="6" s="9" customFormat="1" ht="29" customHeight="1" spans="1:9">
      <c r="A6" s="13" t="s">
        <v>21</v>
      </c>
      <c r="B6" s="13" t="s">
        <v>22</v>
      </c>
      <c r="C6" s="13" t="s">
        <v>21</v>
      </c>
      <c r="D6" s="5" t="s">
        <v>14</v>
      </c>
      <c r="E6" s="5" t="s">
        <v>23</v>
      </c>
      <c r="F6" s="5">
        <v>2</v>
      </c>
      <c r="G6" s="5">
        <v>571</v>
      </c>
      <c r="H6" s="6">
        <v>16273.5</v>
      </c>
      <c r="I6" s="21">
        <v>90116</v>
      </c>
    </row>
    <row r="7" s="10" customFormat="1" ht="26" customHeight="1" spans="1:9">
      <c r="A7" s="14">
        <v>43763</v>
      </c>
      <c r="B7" s="15" t="s">
        <v>45</v>
      </c>
      <c r="C7" s="15"/>
      <c r="D7" s="15"/>
      <c r="E7" s="15"/>
      <c r="F7" s="15"/>
      <c r="G7" s="15"/>
      <c r="H7" s="16">
        <v>-74671.5</v>
      </c>
      <c r="I7" s="22"/>
    </row>
    <row r="8" s="9" customFormat="1" ht="34" customHeight="1" spans="1:9">
      <c r="A8" s="13" t="s">
        <v>26</v>
      </c>
      <c r="B8" s="13" t="s">
        <v>27</v>
      </c>
      <c r="C8" s="13" t="s">
        <v>26</v>
      </c>
      <c r="D8" s="5" t="s">
        <v>14</v>
      </c>
      <c r="E8" s="5" t="s">
        <v>23</v>
      </c>
      <c r="F8" s="5">
        <v>1</v>
      </c>
      <c r="G8" s="5">
        <v>150</v>
      </c>
      <c r="H8" s="6">
        <v>4875</v>
      </c>
      <c r="I8" s="21">
        <v>90132</v>
      </c>
    </row>
    <row r="9" s="9" customFormat="1" ht="34" customHeight="1" spans="1:9">
      <c r="A9" s="13" t="s">
        <v>30</v>
      </c>
      <c r="B9" s="13" t="s">
        <v>31</v>
      </c>
      <c r="C9" s="13" t="s">
        <v>30</v>
      </c>
      <c r="D9" s="5" t="s">
        <v>14</v>
      </c>
      <c r="E9" s="5" t="s">
        <v>23</v>
      </c>
      <c r="F9" s="5">
        <v>4</v>
      </c>
      <c r="G9" s="5">
        <v>148</v>
      </c>
      <c r="H9" s="6">
        <v>4810</v>
      </c>
      <c r="I9" s="21">
        <v>90146</v>
      </c>
    </row>
    <row r="10" s="9" customFormat="1" ht="34" customHeight="1" spans="1:9">
      <c r="A10" s="13" t="s">
        <v>32</v>
      </c>
      <c r="B10" s="13" t="s">
        <v>33</v>
      </c>
      <c r="C10" s="13" t="s">
        <v>32</v>
      </c>
      <c r="D10" s="5" t="s">
        <v>14</v>
      </c>
      <c r="E10" s="5" t="s">
        <v>18</v>
      </c>
      <c r="F10" s="5">
        <v>3</v>
      </c>
      <c r="G10" s="5">
        <v>349</v>
      </c>
      <c r="H10" s="6">
        <v>9946.5</v>
      </c>
      <c r="I10" s="21">
        <v>90153</v>
      </c>
    </row>
    <row r="11" s="9" customFormat="1" ht="34" customHeight="1" spans="1:9">
      <c r="A11" s="13" t="s">
        <v>41</v>
      </c>
      <c r="B11" s="13" t="s">
        <v>42</v>
      </c>
      <c r="C11" s="13" t="s">
        <v>41</v>
      </c>
      <c r="D11" s="5" t="s">
        <v>14</v>
      </c>
      <c r="E11" s="5" t="s">
        <v>23</v>
      </c>
      <c r="F11" s="5">
        <v>5</v>
      </c>
      <c r="G11" s="5">
        <v>239</v>
      </c>
      <c r="H11" s="6">
        <v>7767.5</v>
      </c>
      <c r="I11" s="21">
        <v>90177</v>
      </c>
    </row>
    <row r="12" s="9" customFormat="1" ht="34" customHeight="1" spans="1:9">
      <c r="A12" s="13" t="s">
        <v>39</v>
      </c>
      <c r="B12" s="13" t="s">
        <v>40</v>
      </c>
      <c r="C12" s="13" t="s">
        <v>39</v>
      </c>
      <c r="D12" s="5" t="s">
        <v>14</v>
      </c>
      <c r="E12" s="5" t="s">
        <v>18</v>
      </c>
      <c r="F12" s="5">
        <v>14</v>
      </c>
      <c r="G12" s="5">
        <v>543</v>
      </c>
      <c r="H12" s="6">
        <v>18624.9</v>
      </c>
      <c r="I12" s="21">
        <v>90173</v>
      </c>
    </row>
    <row r="13" s="10" customFormat="1" ht="30" customHeight="1" spans="1:9">
      <c r="A13" s="14">
        <v>43770</v>
      </c>
      <c r="B13" s="15" t="s">
        <v>46</v>
      </c>
      <c r="C13" s="15"/>
      <c r="D13" s="15"/>
      <c r="E13" s="15"/>
      <c r="F13" s="15"/>
      <c r="G13" s="15"/>
      <c r="H13" s="16">
        <v>-46023.9</v>
      </c>
      <c r="I13" s="22"/>
    </row>
    <row r="14" s="9" customFormat="1" ht="38" customHeight="1" spans="1:9">
      <c r="A14" s="13" t="s">
        <v>28</v>
      </c>
      <c r="B14" s="13" t="s">
        <v>29</v>
      </c>
      <c r="C14" s="13" t="s">
        <v>28</v>
      </c>
      <c r="D14" s="5" t="s">
        <v>14</v>
      </c>
      <c r="E14" s="5" t="s">
        <v>15</v>
      </c>
      <c r="F14" s="5">
        <v>20</v>
      </c>
      <c r="G14" s="5">
        <v>4022</v>
      </c>
      <c r="H14" s="6">
        <v>99541.2</v>
      </c>
      <c r="I14" s="21">
        <v>90152</v>
      </c>
    </row>
    <row r="15" s="9" customFormat="1" ht="38" customHeight="1" spans="1:9">
      <c r="A15" s="13" t="s">
        <v>34</v>
      </c>
      <c r="B15" s="13" t="s">
        <v>35</v>
      </c>
      <c r="C15" s="13" t="s">
        <v>34</v>
      </c>
      <c r="D15" s="5" t="s">
        <v>14</v>
      </c>
      <c r="E15" s="5" t="s">
        <v>23</v>
      </c>
      <c r="F15" s="5">
        <v>4</v>
      </c>
      <c r="G15" s="5">
        <v>651</v>
      </c>
      <c r="H15" s="6">
        <v>18553.5</v>
      </c>
      <c r="I15" s="21">
        <v>90176</v>
      </c>
    </row>
    <row r="16" s="9" customFormat="1" ht="35" customHeight="1" spans="1:9">
      <c r="A16" s="17">
        <v>43787</v>
      </c>
      <c r="B16" s="15" t="s">
        <v>45</v>
      </c>
      <c r="C16" s="13"/>
      <c r="D16" s="5"/>
      <c r="E16" s="5"/>
      <c r="F16" s="5"/>
      <c r="G16" s="5"/>
      <c r="H16" s="18">
        <v>-118094.7</v>
      </c>
      <c r="I16" s="21"/>
    </row>
    <row r="17" s="9" customFormat="1" ht="35" customHeight="1" spans="1:9">
      <c r="A17" s="13" t="s">
        <v>24</v>
      </c>
      <c r="B17" s="13" t="s">
        <v>25</v>
      </c>
      <c r="C17" s="13" t="s">
        <v>24</v>
      </c>
      <c r="D17" s="5" t="s">
        <v>14</v>
      </c>
      <c r="E17" s="5" t="s">
        <v>15</v>
      </c>
      <c r="F17" s="5">
        <v>26</v>
      </c>
      <c r="G17" s="5">
        <v>1815</v>
      </c>
      <c r="H17" s="6">
        <v>45493.5</v>
      </c>
      <c r="I17" s="21">
        <v>90115</v>
      </c>
    </row>
    <row r="18" s="9" customFormat="1" ht="35" customHeight="1" spans="1:9">
      <c r="A18" s="13" t="s">
        <v>36</v>
      </c>
      <c r="B18" s="13" t="s">
        <v>37</v>
      </c>
      <c r="C18" s="13" t="s">
        <v>36</v>
      </c>
      <c r="D18" s="5" t="s">
        <v>14</v>
      </c>
      <c r="E18" s="5" t="s">
        <v>38</v>
      </c>
      <c r="F18" s="5">
        <v>2</v>
      </c>
      <c r="G18" s="5">
        <v>1500</v>
      </c>
      <c r="H18" s="6">
        <v>37950.5</v>
      </c>
      <c r="I18" s="21">
        <v>90174</v>
      </c>
    </row>
    <row r="19" s="9" customFormat="1" ht="35" customHeight="1" spans="1:9">
      <c r="A19" s="17">
        <v>43795</v>
      </c>
      <c r="B19" s="15" t="s">
        <v>45</v>
      </c>
      <c r="C19" s="13"/>
      <c r="D19" s="5"/>
      <c r="E19" s="5"/>
      <c r="F19" s="5"/>
      <c r="G19" s="5"/>
      <c r="H19" s="6">
        <v>-83444</v>
      </c>
      <c r="I19" s="21"/>
    </row>
    <row r="20" s="10" customFormat="1" ht="35" customHeight="1" spans="1:9">
      <c r="A20" s="15" t="s">
        <v>47</v>
      </c>
      <c r="B20" s="15"/>
      <c r="C20" s="15"/>
      <c r="D20" s="15"/>
      <c r="E20" s="15"/>
      <c r="F20" s="15"/>
      <c r="G20" s="15"/>
      <c r="H20" s="16">
        <f>SUM(H3:H19)</f>
        <v>0</v>
      </c>
      <c r="I20" s="22"/>
    </row>
  </sheetData>
  <mergeCells count="1">
    <mergeCell ref="A1:I1"/>
  </mergeCells>
  <pageMargins left="0.550694444444444" right="0.236111111111111" top="1.02361111111111" bottom="1" header="0.156944444444444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$A1:$XFD1"/>
    </sheetView>
  </sheetViews>
  <sheetFormatPr defaultColWidth="9" defaultRowHeight="13.5" outlineLevelRow="2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2.25" customWidth="1"/>
  </cols>
  <sheetData>
    <row r="1" s="1" customFormat="1" ht="40" customHeight="1" spans="1:9">
      <c r="A1" s="3" t="s">
        <v>48</v>
      </c>
      <c r="B1" s="3"/>
      <c r="C1" s="3"/>
      <c r="D1" s="3"/>
      <c r="E1" s="3"/>
      <c r="F1" s="3"/>
      <c r="G1" s="3"/>
      <c r="H1" s="3"/>
      <c r="I1" s="3"/>
    </row>
    <row r="2" s="1" customFormat="1" ht="41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2" customFormat="1" ht="31" customHeight="1" spans="1:9">
      <c r="A3" s="7" t="s">
        <v>43</v>
      </c>
      <c r="B3" s="7"/>
      <c r="C3" s="7"/>
      <c r="D3" s="7"/>
      <c r="E3" s="7"/>
      <c r="F3" s="7"/>
      <c r="G3" s="7"/>
      <c r="H3" s="8" t="e">
        <f>SUM(#REF!)</f>
        <v>#REF!</v>
      </c>
      <c r="I3" s="7"/>
    </row>
  </sheetData>
  <mergeCells count="1">
    <mergeCell ref="A1:I1"/>
  </mergeCells>
  <pageMargins left="0.550694444444444" right="0.236111111111111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总欠 </vt:lpstr>
      <vt:lpstr>总欠  (2)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2019-12-05T10:08:19Z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