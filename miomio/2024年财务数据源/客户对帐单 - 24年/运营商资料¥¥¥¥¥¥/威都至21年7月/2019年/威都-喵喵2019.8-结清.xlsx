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总欠 " sheetId="4" r:id="rId1"/>
    <sheet name="10月11日私账支付" sheetId="5" r:id="rId2"/>
    <sheet name="10月16日私账支付" sheetId="6" r:id="rId3"/>
    <sheet name="10月18日公账支付" sheetId="7" r:id="rId4"/>
    <sheet name="10月21日私账支付" sheetId="8" r:id="rId5"/>
    <sheet name="1" sheetId="2" r:id="rId6"/>
  </sheets>
  <calcPr calcId="144525"/>
</workbook>
</file>

<file path=xl/sharedStrings.xml><?xml version="1.0" encoding="utf-8"?>
<sst xmlns="http://schemas.openxmlformats.org/spreadsheetml/2006/main" count="158" uniqueCount="37">
  <si>
    <t>威都8月份对帐单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</si>
  <si>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</si>
  <si>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</si>
  <si>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</si>
  <si>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</si>
  <si>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</si>
  <si>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</si>
  <si>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</si>
  <si>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</si>
  <si>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</si>
  <si>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</si>
  <si>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</si>
  <si>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WDAE19080058</t>
  </si>
  <si>
    <t>071-34914154</t>
  </si>
  <si>
    <t>HKG</t>
  </si>
  <si>
    <t>KGL</t>
  </si>
  <si>
    <t>WDAE19080060</t>
  </si>
  <si>
    <t>071-35105291</t>
  </si>
  <si>
    <t>ACC</t>
  </si>
  <si>
    <t>WDAE19080061</t>
  </si>
  <si>
    <t>071-35103644</t>
  </si>
  <si>
    <t>LOS</t>
  </si>
  <si>
    <t>WDAE19081252</t>
  </si>
  <si>
    <t>071-35114063</t>
  </si>
  <si>
    <t>WDAE19081253</t>
  </si>
  <si>
    <t>071-35113175</t>
  </si>
  <si>
    <t>WDAE19081274</t>
  </si>
  <si>
    <t>071-35203696</t>
  </si>
  <si>
    <t>LAD</t>
  </si>
  <si>
    <t>WDAE19081280</t>
  </si>
  <si>
    <t>071-35203674</t>
  </si>
  <si>
    <t>WDAE19081281</t>
  </si>
  <si>
    <t>071-35204050</t>
  </si>
  <si>
    <t>WDAE19081352</t>
  </si>
  <si>
    <t>071-35203685</t>
  </si>
  <si>
    <t>合计</t>
  </si>
  <si>
    <t>支付：威都清单</t>
  </si>
</sst>
</file>

<file path=xl/styles.xml><?xml version="1.0" encoding="utf-8"?>
<styleSheet xmlns="http://schemas.openxmlformats.org/spreadsheetml/2006/main">
  <numFmts count="6">
    <numFmt numFmtId="176" formatCode="&quot;JOB&quot;000000"/>
    <numFmt numFmtId="177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color theme="1"/>
      <name val="宋体"/>
      <charset val="134"/>
      <scheme val="minor"/>
    </font>
    <font>
      <sz val="10"/>
      <name val="Courier New"/>
      <charset val="134"/>
    </font>
    <font>
      <b/>
      <sz val="10"/>
      <color theme="1"/>
      <name val="宋体"/>
      <charset val="134"/>
      <scheme val="minor"/>
    </font>
    <font>
      <sz val="11"/>
      <name val="Courier New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27" fillId="14" borderId="5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177" fontId="7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D8" sqref="D8"/>
    </sheetView>
  </sheetViews>
  <sheetFormatPr defaultColWidth="9" defaultRowHeight="13.5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9" customWidth="1"/>
    <col min="9" max="9" width="12.25" customWidth="1"/>
    <col min="11" max="11" width="12" customWidth="1"/>
  </cols>
  <sheetData>
    <row r="1" s="1" customFormat="1" ht="27" customHeight="1" spans="1:9">
      <c r="A1" s="17" t="s">
        <v>0</v>
      </c>
      <c r="B1" s="17"/>
      <c r="C1" s="17"/>
      <c r="D1" s="17"/>
      <c r="E1" s="17"/>
      <c r="F1" s="17"/>
      <c r="G1" s="17"/>
      <c r="H1" s="18"/>
      <c r="I1" s="17"/>
    </row>
    <row r="2" s="16" customFormat="1" ht="18" customHeight="1" spans="1:9">
      <c r="A2" s="19" t="s">
        <v>1</v>
      </c>
      <c r="B2" s="20" t="s">
        <v>2</v>
      </c>
      <c r="C2" s="21"/>
      <c r="D2" s="21"/>
      <c r="E2" s="21"/>
      <c r="F2" s="21"/>
      <c r="G2" s="21"/>
      <c r="H2" s="22"/>
      <c r="I2" s="23"/>
    </row>
    <row r="3" s="1" customFormat="1" ht="22" customHeight="1" spans="1:9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6" t="s">
        <v>10</v>
      </c>
      <c r="I3" s="4" t="s">
        <v>11</v>
      </c>
    </row>
    <row r="4" s="2" customFormat="1" ht="24" customHeight="1" spans="1:9">
      <c r="A4" s="10" t="s">
        <v>12</v>
      </c>
      <c r="B4" s="10" t="s">
        <v>13</v>
      </c>
      <c r="C4" s="10" t="s">
        <v>12</v>
      </c>
      <c r="D4" s="11" t="s">
        <v>14</v>
      </c>
      <c r="E4" s="11" t="s">
        <v>15</v>
      </c>
      <c r="F4" s="11">
        <v>3</v>
      </c>
      <c r="G4" s="12">
        <v>76</v>
      </c>
      <c r="H4" s="13">
        <v>2698</v>
      </c>
      <c r="I4" s="15">
        <v>80097</v>
      </c>
    </row>
    <row r="5" s="2" customFormat="1" ht="24" customHeight="1" spans="1:9">
      <c r="A5" s="10" t="s">
        <v>16</v>
      </c>
      <c r="B5" s="10" t="s">
        <v>17</v>
      </c>
      <c r="C5" s="10" t="s">
        <v>16</v>
      </c>
      <c r="D5" s="11" t="s">
        <v>14</v>
      </c>
      <c r="E5" s="11" t="s">
        <v>18</v>
      </c>
      <c r="F5" s="11">
        <v>11</v>
      </c>
      <c r="G5" s="12">
        <v>416</v>
      </c>
      <c r="H5" s="13">
        <v>15060.4</v>
      </c>
      <c r="I5" s="15">
        <v>80122</v>
      </c>
    </row>
    <row r="6" s="2" customFormat="1" ht="24" customHeight="1" spans="1:9">
      <c r="A6" s="10" t="s">
        <v>19</v>
      </c>
      <c r="B6" s="10" t="s">
        <v>20</v>
      </c>
      <c r="C6" s="10" t="s">
        <v>19</v>
      </c>
      <c r="D6" s="11" t="s">
        <v>14</v>
      </c>
      <c r="E6" s="11" t="s">
        <v>21</v>
      </c>
      <c r="F6" s="11">
        <v>22</v>
      </c>
      <c r="G6" s="12">
        <v>1798</v>
      </c>
      <c r="H6" s="13">
        <v>41474.2</v>
      </c>
      <c r="I6" s="15">
        <v>80120</v>
      </c>
    </row>
    <row r="7" s="2" customFormat="1" ht="24" customHeight="1" spans="1:9">
      <c r="A7" s="10" t="s">
        <v>22</v>
      </c>
      <c r="B7" s="10" t="s">
        <v>23</v>
      </c>
      <c r="C7" s="10" t="s">
        <v>22</v>
      </c>
      <c r="D7" s="11" t="s">
        <v>14</v>
      </c>
      <c r="E7" s="11" t="s">
        <v>18</v>
      </c>
      <c r="F7" s="11">
        <v>5</v>
      </c>
      <c r="G7" s="12">
        <v>850</v>
      </c>
      <c r="H7" s="13">
        <v>21347</v>
      </c>
      <c r="I7" s="15">
        <v>80146</v>
      </c>
    </row>
    <row r="8" s="2" customFormat="1" ht="24" customHeight="1" spans="1:9">
      <c r="A8" s="10" t="s">
        <v>24</v>
      </c>
      <c r="B8" s="10" t="s">
        <v>25</v>
      </c>
      <c r="C8" s="10" t="s">
        <v>24</v>
      </c>
      <c r="D8" s="11" t="s">
        <v>14</v>
      </c>
      <c r="E8" s="11" t="s">
        <v>18</v>
      </c>
      <c r="F8" s="11">
        <v>10</v>
      </c>
      <c r="G8" s="12">
        <v>400</v>
      </c>
      <c r="H8" s="13">
        <v>13598.2</v>
      </c>
      <c r="I8" s="15">
        <v>80145</v>
      </c>
    </row>
    <row r="9" s="2" customFormat="1" ht="24" customHeight="1" spans="1:9">
      <c r="A9" s="10" t="s">
        <v>26</v>
      </c>
      <c r="B9" s="10" t="s">
        <v>27</v>
      </c>
      <c r="C9" s="10" t="s">
        <v>26</v>
      </c>
      <c r="D9" s="11" t="s">
        <v>14</v>
      </c>
      <c r="E9" s="11" t="s">
        <v>28</v>
      </c>
      <c r="F9" s="11">
        <v>3</v>
      </c>
      <c r="G9" s="12">
        <v>145</v>
      </c>
      <c r="H9" s="13">
        <v>4422.5</v>
      </c>
      <c r="I9" s="15">
        <v>80147</v>
      </c>
    </row>
    <row r="10" s="2" customFormat="1" ht="24" customHeight="1" spans="1:9">
      <c r="A10" s="10" t="s">
        <v>29</v>
      </c>
      <c r="B10" s="10" t="s">
        <v>30</v>
      </c>
      <c r="C10" s="10" t="s">
        <v>29</v>
      </c>
      <c r="D10" s="11" t="s">
        <v>14</v>
      </c>
      <c r="E10" s="11" t="s">
        <v>21</v>
      </c>
      <c r="F10" s="11">
        <v>29</v>
      </c>
      <c r="G10" s="12">
        <v>1312</v>
      </c>
      <c r="H10" s="13">
        <v>29112.8</v>
      </c>
      <c r="I10" s="15">
        <v>80152</v>
      </c>
    </row>
    <row r="11" s="2" customFormat="1" ht="24" customHeight="1" spans="1:9">
      <c r="A11" s="10" t="s">
        <v>31</v>
      </c>
      <c r="B11" s="10" t="s">
        <v>32</v>
      </c>
      <c r="C11" s="10" t="s">
        <v>31</v>
      </c>
      <c r="D11" s="11" t="s">
        <v>14</v>
      </c>
      <c r="E11" s="11" t="s">
        <v>21</v>
      </c>
      <c r="F11" s="11">
        <v>43</v>
      </c>
      <c r="G11" s="12">
        <v>2246</v>
      </c>
      <c r="H11" s="13">
        <v>52556.4</v>
      </c>
      <c r="I11" s="15">
        <v>80162</v>
      </c>
    </row>
    <row r="12" s="2" customFormat="1" ht="24" customHeight="1" spans="1:9">
      <c r="A12" s="10" t="s">
        <v>33</v>
      </c>
      <c r="B12" s="10" t="s">
        <v>34</v>
      </c>
      <c r="C12" s="10" t="s">
        <v>33</v>
      </c>
      <c r="D12" s="11" t="s">
        <v>14</v>
      </c>
      <c r="E12" s="11" t="s">
        <v>15</v>
      </c>
      <c r="F12" s="11">
        <v>4</v>
      </c>
      <c r="G12" s="12">
        <v>212</v>
      </c>
      <c r="H12" s="13">
        <v>6996</v>
      </c>
      <c r="I12" s="15">
        <v>80151</v>
      </c>
    </row>
    <row r="13" s="2" customFormat="1" ht="24" customHeight="1" spans="1:9">
      <c r="A13" s="7" t="s">
        <v>35</v>
      </c>
      <c r="B13" s="7"/>
      <c r="C13" s="7"/>
      <c r="D13" s="7"/>
      <c r="E13" s="7"/>
      <c r="F13" s="7"/>
      <c r="G13" s="7"/>
      <c r="H13" s="14">
        <f>SUM(H4:H12)</f>
        <v>187265.5</v>
      </c>
      <c r="I13" s="7"/>
    </row>
  </sheetData>
  <mergeCells count="2">
    <mergeCell ref="A1:I1"/>
    <mergeCell ref="B2:G2"/>
  </mergeCells>
  <pageMargins left="0.550694444444444" right="0.236111111111111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$A1:$XFD1"/>
    </sheetView>
  </sheetViews>
  <sheetFormatPr defaultColWidth="9" defaultRowHeight="13.5" outlineLevelRow="6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9" customWidth="1"/>
    <col min="9" max="9" width="12.25" customWidth="1"/>
    <col min="11" max="11" width="12" customWidth="1"/>
  </cols>
  <sheetData>
    <row r="1" s="1" customFormat="1" ht="40" customHeight="1" spans="1:9">
      <c r="A1" s="3" t="s">
        <v>36</v>
      </c>
      <c r="B1" s="3"/>
      <c r="C1" s="3"/>
      <c r="D1" s="3"/>
      <c r="E1" s="3"/>
      <c r="F1" s="3"/>
      <c r="G1" s="3"/>
      <c r="H1" s="3"/>
      <c r="I1" s="3"/>
    </row>
    <row r="2" s="1" customFormat="1" ht="22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2" customFormat="1" ht="24" customHeight="1" spans="1:9">
      <c r="A3" s="10" t="s">
        <v>12</v>
      </c>
      <c r="B3" s="10" t="s">
        <v>13</v>
      </c>
      <c r="C3" s="10" t="s">
        <v>12</v>
      </c>
      <c r="D3" s="11" t="s">
        <v>14</v>
      </c>
      <c r="E3" s="11" t="s">
        <v>15</v>
      </c>
      <c r="F3" s="11">
        <v>3</v>
      </c>
      <c r="G3" s="12">
        <v>76</v>
      </c>
      <c r="H3" s="13">
        <v>2698</v>
      </c>
      <c r="I3" s="15">
        <v>80097</v>
      </c>
    </row>
    <row r="4" s="2" customFormat="1" ht="24" customHeight="1" spans="1:9">
      <c r="A4" s="10" t="s">
        <v>26</v>
      </c>
      <c r="B4" s="10" t="s">
        <v>27</v>
      </c>
      <c r="C4" s="10" t="s">
        <v>26</v>
      </c>
      <c r="D4" s="11" t="s">
        <v>14</v>
      </c>
      <c r="E4" s="11" t="s">
        <v>28</v>
      </c>
      <c r="F4" s="11">
        <v>3</v>
      </c>
      <c r="G4" s="12">
        <v>145</v>
      </c>
      <c r="H4" s="13">
        <v>4422.5</v>
      </c>
      <c r="I4" s="15">
        <v>80147</v>
      </c>
    </row>
    <row r="5" s="2" customFormat="1" ht="24" customHeight="1" spans="1:9">
      <c r="A5" s="10" t="s">
        <v>33</v>
      </c>
      <c r="B5" s="10" t="s">
        <v>34</v>
      </c>
      <c r="C5" s="10" t="s">
        <v>33</v>
      </c>
      <c r="D5" s="11" t="s">
        <v>14</v>
      </c>
      <c r="E5" s="11" t="s">
        <v>15</v>
      </c>
      <c r="F5" s="11">
        <v>4</v>
      </c>
      <c r="G5" s="12">
        <v>212</v>
      </c>
      <c r="H5" s="13">
        <v>6996</v>
      </c>
      <c r="I5" s="15">
        <v>80151</v>
      </c>
    </row>
    <row r="6" s="2" customFormat="1" ht="24" customHeight="1" spans="1:9">
      <c r="A6" s="10" t="s">
        <v>24</v>
      </c>
      <c r="B6" s="10" t="s">
        <v>25</v>
      </c>
      <c r="C6" s="10" t="s">
        <v>24</v>
      </c>
      <c r="D6" s="11" t="s">
        <v>14</v>
      </c>
      <c r="E6" s="11" t="s">
        <v>18</v>
      </c>
      <c r="F6" s="11">
        <v>10</v>
      </c>
      <c r="G6" s="12">
        <v>400</v>
      </c>
      <c r="H6" s="13">
        <v>13598.2</v>
      </c>
      <c r="I6" s="15">
        <v>80145</v>
      </c>
    </row>
    <row r="7" s="2" customFormat="1" ht="24" customHeight="1" spans="1:9">
      <c r="A7" s="7" t="s">
        <v>35</v>
      </c>
      <c r="B7" s="7"/>
      <c r="C7" s="7"/>
      <c r="D7" s="7"/>
      <c r="E7" s="7"/>
      <c r="F7" s="7"/>
      <c r="G7" s="7"/>
      <c r="H7" s="14">
        <f>SUM(H3:H6)</f>
        <v>27714.7</v>
      </c>
      <c r="I7" s="7"/>
    </row>
  </sheetData>
  <mergeCells count="1">
    <mergeCell ref="A1:I1"/>
  </mergeCells>
  <pageMargins left="0.550694444444444" right="0.236111111111111" top="0.550694444444444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E5" sqref="E5"/>
    </sheetView>
  </sheetViews>
  <sheetFormatPr defaultColWidth="9" defaultRowHeight="13.5" outlineLevelRow="4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9" customWidth="1"/>
    <col min="9" max="9" width="12.25" customWidth="1"/>
    <col min="11" max="11" width="12" customWidth="1"/>
  </cols>
  <sheetData>
    <row r="1" s="1" customFormat="1" ht="40" customHeight="1" spans="1:9">
      <c r="A1" s="3" t="s">
        <v>36</v>
      </c>
      <c r="B1" s="3"/>
      <c r="C1" s="3"/>
      <c r="D1" s="3"/>
      <c r="E1" s="3"/>
      <c r="F1" s="3"/>
      <c r="G1" s="3"/>
      <c r="H1" s="3"/>
      <c r="I1" s="3"/>
    </row>
    <row r="2" s="1" customFormat="1" ht="48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2" customFormat="1" ht="48" customHeight="1" spans="1:9">
      <c r="A3" s="10" t="s">
        <v>22</v>
      </c>
      <c r="B3" s="10" t="s">
        <v>23</v>
      </c>
      <c r="C3" s="10" t="s">
        <v>22</v>
      </c>
      <c r="D3" s="11" t="s">
        <v>14</v>
      </c>
      <c r="E3" s="11" t="s">
        <v>18</v>
      </c>
      <c r="F3" s="11">
        <v>5</v>
      </c>
      <c r="G3" s="12">
        <v>850</v>
      </c>
      <c r="H3" s="13">
        <v>21347</v>
      </c>
      <c r="I3" s="15">
        <v>80146</v>
      </c>
    </row>
    <row r="4" s="2" customFormat="1" ht="48" customHeight="1" spans="1:9">
      <c r="A4" s="10" t="s">
        <v>29</v>
      </c>
      <c r="B4" s="10" t="s">
        <v>30</v>
      </c>
      <c r="C4" s="10" t="s">
        <v>29</v>
      </c>
      <c r="D4" s="11" t="s">
        <v>14</v>
      </c>
      <c r="E4" s="11" t="s">
        <v>21</v>
      </c>
      <c r="F4" s="11">
        <v>29</v>
      </c>
      <c r="G4" s="12">
        <v>1312</v>
      </c>
      <c r="H4" s="13">
        <v>29112.8</v>
      </c>
      <c r="I4" s="15">
        <v>80152</v>
      </c>
    </row>
    <row r="5" s="2" customFormat="1" ht="48" customHeight="1" spans="1:9">
      <c r="A5" s="7" t="s">
        <v>35</v>
      </c>
      <c r="B5" s="7"/>
      <c r="C5" s="7"/>
      <c r="D5" s="7"/>
      <c r="E5" s="7"/>
      <c r="F5" s="7"/>
      <c r="G5" s="7"/>
      <c r="H5" s="14">
        <f>SUM(H3:H4)</f>
        <v>50459.8</v>
      </c>
      <c r="I5" s="7"/>
    </row>
  </sheetData>
  <mergeCells count="1">
    <mergeCell ref="A1:I1"/>
  </mergeCells>
  <pageMargins left="0.550694444444444" right="0.236111111111111" top="0.629861111111111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C11" sqref="C11"/>
    </sheetView>
  </sheetViews>
  <sheetFormatPr defaultColWidth="9" defaultRowHeight="13.5" outlineLevelRow="3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9" customWidth="1"/>
    <col min="9" max="9" width="12.25" customWidth="1"/>
    <col min="11" max="11" width="12" customWidth="1"/>
  </cols>
  <sheetData>
    <row r="1" s="1" customFormat="1" ht="40" customHeight="1" spans="1:9">
      <c r="A1" s="3" t="s">
        <v>36</v>
      </c>
      <c r="B1" s="3"/>
      <c r="C1" s="3"/>
      <c r="D1" s="3"/>
      <c r="E1" s="3"/>
      <c r="F1" s="3"/>
      <c r="G1" s="3"/>
      <c r="H1" s="3"/>
      <c r="I1" s="3"/>
    </row>
    <row r="2" s="1" customFormat="1" ht="45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2" customFormat="1" ht="45" customHeight="1" spans="1:9">
      <c r="A3" s="10" t="s">
        <v>16</v>
      </c>
      <c r="B3" s="10" t="s">
        <v>17</v>
      </c>
      <c r="C3" s="10" t="s">
        <v>16</v>
      </c>
      <c r="D3" s="11" t="s">
        <v>14</v>
      </c>
      <c r="E3" s="11" t="s">
        <v>18</v>
      </c>
      <c r="F3" s="11">
        <v>11</v>
      </c>
      <c r="G3" s="12">
        <v>416</v>
      </c>
      <c r="H3" s="13">
        <v>15060.4</v>
      </c>
      <c r="I3" s="15">
        <v>80122</v>
      </c>
    </row>
    <row r="4" s="2" customFormat="1" ht="45" customHeight="1" spans="1:9">
      <c r="A4" s="7" t="s">
        <v>35</v>
      </c>
      <c r="B4" s="7"/>
      <c r="C4" s="7"/>
      <c r="D4" s="7"/>
      <c r="E4" s="7"/>
      <c r="F4" s="7"/>
      <c r="G4" s="7"/>
      <c r="H4" s="14">
        <f>SUM(H3:H3)</f>
        <v>15060.4</v>
      </c>
      <c r="I4" s="7"/>
    </row>
  </sheetData>
  <mergeCells count="1">
    <mergeCell ref="A1:I1"/>
  </mergeCells>
  <pageMargins left="0.550694444444444" right="0.236111111111111" top="0.904861111111111" bottom="1" header="0.236111111111111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C5" sqref="C5"/>
    </sheetView>
  </sheetViews>
  <sheetFormatPr defaultColWidth="9" defaultRowHeight="13.5" outlineLevelRow="4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9" customWidth="1"/>
    <col min="9" max="9" width="12.25" customWidth="1"/>
    <col min="11" max="11" width="12" customWidth="1"/>
  </cols>
  <sheetData>
    <row r="1" s="1" customFormat="1" ht="40" customHeight="1" spans="1:9">
      <c r="A1" s="3" t="s">
        <v>36</v>
      </c>
      <c r="B1" s="3"/>
      <c r="C1" s="3"/>
      <c r="D1" s="3"/>
      <c r="E1" s="3"/>
      <c r="F1" s="3"/>
      <c r="G1" s="3"/>
      <c r="H1" s="3"/>
      <c r="I1" s="3"/>
    </row>
    <row r="2" s="1" customFormat="1" ht="48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2" customFormat="1" ht="48" customHeight="1" spans="1:9">
      <c r="A3" s="10" t="s">
        <v>31</v>
      </c>
      <c r="B3" s="10" t="s">
        <v>32</v>
      </c>
      <c r="C3" s="10" t="s">
        <v>31</v>
      </c>
      <c r="D3" s="11" t="s">
        <v>14</v>
      </c>
      <c r="E3" s="11" t="s">
        <v>21</v>
      </c>
      <c r="F3" s="11">
        <v>43</v>
      </c>
      <c r="G3" s="12">
        <v>2246</v>
      </c>
      <c r="H3" s="13">
        <v>52556.4</v>
      </c>
      <c r="I3" s="15">
        <v>80162</v>
      </c>
    </row>
    <row r="4" s="2" customFormat="1" ht="49" customHeight="1" spans="1:9">
      <c r="A4" s="10" t="s">
        <v>19</v>
      </c>
      <c r="B4" s="10" t="s">
        <v>20</v>
      </c>
      <c r="C4" s="10" t="s">
        <v>19</v>
      </c>
      <c r="D4" s="11" t="s">
        <v>14</v>
      </c>
      <c r="E4" s="11" t="s">
        <v>21</v>
      </c>
      <c r="F4" s="11">
        <v>22</v>
      </c>
      <c r="G4" s="12">
        <v>1798</v>
      </c>
      <c r="H4" s="13">
        <v>41474.2</v>
      </c>
      <c r="I4" s="15">
        <v>80120</v>
      </c>
    </row>
    <row r="5" s="2" customFormat="1" ht="48" customHeight="1" spans="1:9">
      <c r="A5" s="7" t="s">
        <v>35</v>
      </c>
      <c r="B5" s="7"/>
      <c r="C5" s="7"/>
      <c r="D5" s="7"/>
      <c r="E5" s="7"/>
      <c r="F5" s="7"/>
      <c r="G5" s="7"/>
      <c r="H5" s="14">
        <f>SUM(H3:H4)</f>
        <v>94030.6</v>
      </c>
      <c r="I5" s="7"/>
    </row>
  </sheetData>
  <mergeCells count="1">
    <mergeCell ref="A1:I1"/>
  </mergeCells>
  <pageMargins left="0.550694444444444" right="0.236111111111111" top="0.590277777777778" bottom="1" header="0.236111111111111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H19" sqref="H19"/>
    </sheetView>
  </sheetViews>
  <sheetFormatPr defaultColWidth="9" defaultRowHeight="13.5" outlineLevelRow="2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40" customHeight="1" spans="1:9">
      <c r="A1" s="3" t="s">
        <v>36</v>
      </c>
      <c r="B1" s="3"/>
      <c r="C1" s="3"/>
      <c r="D1" s="3"/>
      <c r="E1" s="3"/>
      <c r="F1" s="3"/>
      <c r="G1" s="3"/>
      <c r="H1" s="3"/>
      <c r="I1" s="3"/>
    </row>
    <row r="2" s="1" customFormat="1" ht="41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2" customFormat="1" ht="31" customHeight="1" spans="1:9">
      <c r="A3" s="7" t="s">
        <v>35</v>
      </c>
      <c r="B3" s="7"/>
      <c r="C3" s="7"/>
      <c r="D3" s="7"/>
      <c r="E3" s="7"/>
      <c r="F3" s="7"/>
      <c r="G3" s="7"/>
      <c r="H3" s="8" t="e">
        <f>SUM(#REF!)</f>
        <v>#REF!</v>
      </c>
      <c r="I3" s="7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总欠 </vt:lpstr>
      <vt:lpstr>10月11日私账支付</vt:lpstr>
      <vt:lpstr>10月16日私账支付</vt:lpstr>
      <vt:lpstr>10月18日公账支付</vt:lpstr>
      <vt:lpstr>10月21日私账支付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2019-10-21T07:38:03Z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