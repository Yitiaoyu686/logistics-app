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总欠 " sheetId="4" r:id="rId1"/>
    <sheet name="1" sheetId="2" r:id="rId2"/>
  </sheets>
  <definedNames>
    <definedName name="_xlnm.Print_Area" localSheetId="1">'1'!$A$26:$I$30</definedName>
  </definedNames>
  <calcPr calcId="144525"/>
</workbook>
</file>

<file path=xl/sharedStrings.xml><?xml version="1.0" encoding="utf-8"?>
<sst xmlns="http://schemas.openxmlformats.org/spreadsheetml/2006/main" count="131" uniqueCount="44">
  <si>
    <t>威都2020年3月份对帐单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</si>
  <si>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</si>
  <si>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</si>
  <si>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</si>
  <si>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</si>
  <si>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</si>
  <si>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</si>
  <si>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</si>
  <si>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</si>
  <si>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</si>
  <si>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</si>
  <si>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</si>
  <si>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WDAE20020135</t>
  </si>
  <si>
    <t>071-36548256</t>
  </si>
  <si>
    <t>0</t>
  </si>
  <si>
    <t>HKG</t>
  </si>
  <si>
    <t>LOS</t>
  </si>
  <si>
    <t>WDAE20020137</t>
  </si>
  <si>
    <t>071-36548271</t>
  </si>
  <si>
    <t>ACC</t>
  </si>
  <si>
    <t>WDAE20030201</t>
  </si>
  <si>
    <t>071-36557323</t>
  </si>
  <si>
    <t>WIN20030185LAD-ALINA</t>
  </si>
  <si>
    <t>LAD</t>
  </si>
  <si>
    <t>WDAE20030203</t>
  </si>
  <si>
    <t>071-36548842</t>
  </si>
  <si>
    <t>LCMM200303</t>
  </si>
  <si>
    <t>BZV</t>
  </si>
  <si>
    <t>WDAE20030204</t>
  </si>
  <si>
    <t>071-36548831</t>
  </si>
  <si>
    <t>LCMM200302</t>
  </si>
  <si>
    <t>WDAE20030209</t>
  </si>
  <si>
    <t>071-36548713</t>
  </si>
  <si>
    <t>WDAE20030216</t>
  </si>
  <si>
    <t>WDAE20030217</t>
  </si>
  <si>
    <t>071-36562654</t>
  </si>
  <si>
    <t>WDAE20030218</t>
  </si>
  <si>
    <t>071-36558690</t>
  </si>
  <si>
    <t>合计</t>
  </si>
  <si>
    <t>支付：威都清单</t>
  </si>
  <si>
    <t>私账支付</t>
  </si>
  <si>
    <t>欠</t>
  </si>
  <si>
    <t>公账支付</t>
  </si>
  <si>
    <t>077-50024306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</si>
</sst>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&quot;JOB&quot;000000"/>
    <numFmt numFmtId="177" formatCode="&quot;￥&quot;#,##0.00_);[Red]\(&quot;￥&quot;#,##0.00\)"/>
  </numFmts>
  <fonts count="37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name val="Courier New"/>
      <charset val="134"/>
    </font>
    <font>
      <sz val="10"/>
      <color theme="1"/>
      <name val="宋体"/>
      <charset val="134"/>
      <scheme val="minor"/>
    </font>
    <font>
      <sz val="9"/>
      <color rgb="FF00B050"/>
      <name val="宋体"/>
      <charset val="134"/>
    </font>
    <font>
      <sz val="9"/>
      <name val="微软雅黑"/>
      <charset val="134"/>
    </font>
    <font>
      <sz val="10"/>
      <name val="宋体"/>
      <charset val="134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name val="宋体"/>
      <charset val="134"/>
    </font>
    <font>
      <sz val="11"/>
      <name val="Courier New"/>
      <charset val="134"/>
    </font>
    <font>
      <sz val="11"/>
      <name val="宋体"/>
      <charset val="134"/>
    </font>
    <font>
      <sz val="8"/>
      <name val="Courier New"/>
      <charset val="134"/>
    </font>
    <font>
      <sz val="8"/>
      <name val="宋体"/>
      <charset val="134"/>
    </font>
    <font>
      <b/>
      <sz val="9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4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2" fillId="21" borderId="7" applyNumberFormat="0" applyAlignment="0" applyProtection="0">
      <alignment vertical="center"/>
    </xf>
    <xf numFmtId="0" fontId="33" fillId="21" borderId="4" applyNumberFormat="0" applyAlignment="0" applyProtection="0">
      <alignment vertical="center"/>
    </xf>
    <xf numFmtId="0" fontId="34" fillId="22" borderId="8" applyNumberFormat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1" fillId="0" borderId="0" xfId="0" applyFont="1" applyFill="1" applyAlignment="1">
      <alignment horizontal="left" vertical="center" wrapText="1"/>
    </xf>
    <xf numFmtId="177" fontId="1" fillId="0" borderId="0" xfId="0" applyNumberFormat="1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177" fontId="4" fillId="0" borderId="1" xfId="0" applyNumberFormat="1" applyFont="1" applyFill="1" applyBorder="1" applyAlignment="1">
      <alignment vertical="center" wrapText="1"/>
    </xf>
    <xf numFmtId="58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77" fontId="5" fillId="0" borderId="1" xfId="0" applyNumberFormat="1" applyFont="1" applyBorder="1" applyAlignment="1">
      <alignment horizontal="center" vertical="center"/>
    </xf>
    <xf numFmtId="58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Fill="1" applyBorder="1" applyAlignment="1">
      <alignment vertical="center" wrapText="1"/>
    </xf>
    <xf numFmtId="177" fontId="7" fillId="0" borderId="1" xfId="0" applyNumberFormat="1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177" fontId="0" fillId="0" borderId="0" xfId="0" applyNumberFormat="1" applyAlignment="1">
      <alignment horizontal="center" vertical="center"/>
    </xf>
    <xf numFmtId="176" fontId="5" fillId="0" borderId="0" xfId="0" applyNumberFormat="1" applyFont="1">
      <alignment vertical="center"/>
    </xf>
    <xf numFmtId="0" fontId="11" fillId="0" borderId="0" xfId="0" applyFont="1" applyFill="1" applyAlignment="1">
      <alignment horizontal="center" vertical="center" wrapText="1"/>
    </xf>
    <xf numFmtId="177" fontId="1" fillId="0" borderId="0" xfId="0" applyNumberFormat="1" applyFont="1" applyFill="1" applyAlignment="1">
      <alignment horizontal="center" vertical="center" wrapText="1"/>
    </xf>
    <xf numFmtId="0" fontId="12" fillId="0" borderId="0" xfId="0" applyFont="1" applyFill="1" applyBorder="1" applyAlignment="1">
      <alignment horizontal="righ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 wrapText="1"/>
    </xf>
    <xf numFmtId="177" fontId="12" fillId="0" borderId="0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7" fontId="16" fillId="0" borderId="1" xfId="0" applyNumberFormat="1" applyFont="1" applyFill="1" applyBorder="1" applyAlignment="1">
      <alignment horizontal="center" vertical="center"/>
    </xf>
    <xf numFmtId="176" fontId="17" fillId="0" borderId="0" xfId="0" applyNumberFormat="1" applyFont="1" applyFill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/>
    </xf>
    <xf numFmtId="176" fontId="5" fillId="0" borderId="1" xfId="0" applyNumberFormat="1" applyFont="1" applyBorder="1">
      <alignment vertical="center"/>
    </xf>
    <xf numFmtId="176" fontId="5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4" sqref="$A4:$XFD12"/>
    </sheetView>
  </sheetViews>
  <sheetFormatPr defaultColWidth="9" defaultRowHeight="13.5"/>
  <cols>
    <col min="1" max="1" width="13.875" customWidth="1"/>
    <col min="2" max="2" width="13" customWidth="1"/>
    <col min="3" max="3" width="17" style="33" customWidth="1"/>
    <col min="4" max="7" width="5.75" style="3" customWidth="1"/>
    <col min="8" max="8" width="15.125" style="34" customWidth="1"/>
    <col min="9" max="9" width="15.375" style="35" customWidth="1"/>
    <col min="11" max="11" width="12" customWidth="1"/>
  </cols>
  <sheetData>
    <row r="1" s="1" customFormat="1" ht="24" customHeight="1" spans="1:9">
      <c r="A1" s="27" t="s">
        <v>0</v>
      </c>
      <c r="B1" s="27"/>
      <c r="C1" s="36"/>
      <c r="D1" s="27"/>
      <c r="E1" s="27"/>
      <c r="F1" s="27"/>
      <c r="G1" s="27"/>
      <c r="H1" s="37"/>
      <c r="I1" s="47"/>
    </row>
    <row r="2" s="31" customFormat="1" ht="18" customHeight="1" spans="1:9">
      <c r="A2" s="38" t="s">
        <v>1</v>
      </c>
      <c r="B2" s="39" t="s">
        <v>2</v>
      </c>
      <c r="C2" s="40"/>
      <c r="D2" s="41"/>
      <c r="E2" s="41"/>
      <c r="F2" s="41"/>
      <c r="G2" s="41"/>
      <c r="H2" s="42"/>
      <c r="I2" s="48"/>
    </row>
    <row r="3" s="1" customFormat="1" ht="22" customHeight="1" spans="1:9">
      <c r="A3" s="7" t="s">
        <v>3</v>
      </c>
      <c r="B3" s="8" t="s">
        <v>4</v>
      </c>
      <c r="C3" s="43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9" t="s">
        <v>10</v>
      </c>
      <c r="I3" s="29" t="s">
        <v>11</v>
      </c>
    </row>
    <row r="4" ht="21" customHeight="1" spans="1:9">
      <c r="A4" s="10" t="s">
        <v>12</v>
      </c>
      <c r="B4" s="10" t="s">
        <v>13</v>
      </c>
      <c r="C4" s="10" t="s">
        <v>14</v>
      </c>
      <c r="D4" s="10" t="s">
        <v>15</v>
      </c>
      <c r="E4" s="10" t="s">
        <v>16</v>
      </c>
      <c r="F4" s="10">
        <v>11</v>
      </c>
      <c r="G4" s="10">
        <v>1389</v>
      </c>
      <c r="H4" s="11">
        <v>35424.6</v>
      </c>
      <c r="I4" s="49">
        <v>20069</v>
      </c>
    </row>
    <row r="5" ht="21" customHeight="1" spans="1:9">
      <c r="A5" s="10" t="s">
        <v>17</v>
      </c>
      <c r="B5" s="10" t="s">
        <v>18</v>
      </c>
      <c r="C5" s="10" t="s">
        <v>14</v>
      </c>
      <c r="D5" s="10" t="s">
        <v>15</v>
      </c>
      <c r="E5" s="10" t="s">
        <v>19</v>
      </c>
      <c r="F5" s="10">
        <v>14</v>
      </c>
      <c r="G5" s="10">
        <v>563</v>
      </c>
      <c r="H5" s="11">
        <v>19536.1</v>
      </c>
      <c r="I5" s="49">
        <v>30140</v>
      </c>
    </row>
    <row r="6" ht="24" customHeight="1" spans="1:9">
      <c r="A6" s="10" t="s">
        <v>20</v>
      </c>
      <c r="B6" s="10" t="s">
        <v>21</v>
      </c>
      <c r="C6" s="10" t="s">
        <v>22</v>
      </c>
      <c r="D6" s="10" t="s">
        <v>15</v>
      </c>
      <c r="E6" s="10" t="s">
        <v>23</v>
      </c>
      <c r="F6" s="10">
        <v>5</v>
      </c>
      <c r="G6" s="10">
        <v>237</v>
      </c>
      <c r="H6" s="11">
        <v>7110</v>
      </c>
      <c r="I6" s="49">
        <v>30146</v>
      </c>
    </row>
    <row r="7" ht="20" customHeight="1" spans="1:9">
      <c r="A7" s="10" t="s">
        <v>24</v>
      </c>
      <c r="B7" s="10" t="s">
        <v>25</v>
      </c>
      <c r="C7" s="10" t="s">
        <v>26</v>
      </c>
      <c r="D7" s="10" t="s">
        <v>15</v>
      </c>
      <c r="E7" s="10" t="s">
        <v>27</v>
      </c>
      <c r="F7" s="10">
        <v>4</v>
      </c>
      <c r="G7" s="10">
        <v>228</v>
      </c>
      <c r="H7" s="11">
        <v>9469</v>
      </c>
      <c r="I7" s="49">
        <v>30149</v>
      </c>
    </row>
    <row r="8" ht="20" customHeight="1" spans="1:9">
      <c r="A8" s="10" t="s">
        <v>28</v>
      </c>
      <c r="B8" s="10" t="s">
        <v>29</v>
      </c>
      <c r="C8" s="10" t="s">
        <v>30</v>
      </c>
      <c r="D8" s="10" t="s">
        <v>15</v>
      </c>
      <c r="E8" s="10" t="s">
        <v>16</v>
      </c>
      <c r="F8" s="10">
        <v>17</v>
      </c>
      <c r="G8" s="10">
        <v>1889</v>
      </c>
      <c r="H8" s="11">
        <v>45447.1</v>
      </c>
      <c r="I8" s="49">
        <v>30144</v>
      </c>
    </row>
    <row r="9" ht="20" customHeight="1" spans="1:9">
      <c r="A9" s="10" t="s">
        <v>31</v>
      </c>
      <c r="B9" s="10" t="s">
        <v>32</v>
      </c>
      <c r="C9" s="10" t="s">
        <v>14</v>
      </c>
      <c r="D9" s="10" t="s">
        <v>15</v>
      </c>
      <c r="E9" s="10" t="s">
        <v>19</v>
      </c>
      <c r="F9" s="10">
        <v>5</v>
      </c>
      <c r="G9" s="10">
        <v>189</v>
      </c>
      <c r="H9" s="11">
        <v>8045.4</v>
      </c>
      <c r="I9" s="49">
        <v>30141</v>
      </c>
    </row>
    <row r="10" ht="20" customHeight="1" spans="1:9">
      <c r="A10" s="10" t="s">
        <v>33</v>
      </c>
      <c r="B10" s="10" t="s">
        <v>32</v>
      </c>
      <c r="C10" s="10" t="s">
        <v>14</v>
      </c>
      <c r="D10" s="10" t="s">
        <v>15</v>
      </c>
      <c r="E10" s="10" t="s">
        <v>19</v>
      </c>
      <c r="F10" s="10">
        <v>5</v>
      </c>
      <c r="G10" s="10">
        <v>162</v>
      </c>
      <c r="H10" s="11">
        <v>6553.2</v>
      </c>
      <c r="I10" s="49">
        <v>30142</v>
      </c>
    </row>
    <row r="11" ht="20" customHeight="1" spans="1:9">
      <c r="A11" s="10" t="s">
        <v>34</v>
      </c>
      <c r="B11" s="10" t="s">
        <v>35</v>
      </c>
      <c r="C11" s="10" t="s">
        <v>14</v>
      </c>
      <c r="D11" s="10" t="s">
        <v>15</v>
      </c>
      <c r="E11" s="10" t="s">
        <v>19</v>
      </c>
      <c r="F11" s="10">
        <v>8</v>
      </c>
      <c r="G11" s="10">
        <v>324</v>
      </c>
      <c r="H11" s="11">
        <v>12506.4</v>
      </c>
      <c r="I11" s="49">
        <v>30155</v>
      </c>
    </row>
    <row r="12" ht="20" customHeight="1" spans="1:9">
      <c r="A12" s="10" t="s">
        <v>36</v>
      </c>
      <c r="B12" s="10" t="s">
        <v>37</v>
      </c>
      <c r="C12" s="10" t="s">
        <v>14</v>
      </c>
      <c r="D12" s="10" t="s">
        <v>15</v>
      </c>
      <c r="E12" s="10" t="s">
        <v>16</v>
      </c>
      <c r="F12" s="10">
        <v>25</v>
      </c>
      <c r="G12" s="10">
        <v>1554</v>
      </c>
      <c r="H12" s="11">
        <v>39927</v>
      </c>
      <c r="I12" s="49">
        <v>30151</v>
      </c>
    </row>
    <row r="13" s="32" customFormat="1" ht="19" customHeight="1" spans="1:9">
      <c r="A13" s="44" t="s">
        <v>38</v>
      </c>
      <c r="B13" s="44"/>
      <c r="C13" s="45"/>
      <c r="D13" s="44"/>
      <c r="E13" s="44"/>
      <c r="F13" s="44"/>
      <c r="G13" s="44"/>
      <c r="H13" s="46">
        <f>SUM(H4:H12)</f>
        <v>184018.8</v>
      </c>
      <c r="I13" s="50"/>
    </row>
  </sheetData>
  <mergeCells count="2">
    <mergeCell ref="A1:I1"/>
    <mergeCell ref="B2:G2"/>
  </mergeCells>
  <pageMargins left="0.393055555555556" right="0.236111111111111" top="0.196527777777778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tabSelected="1" workbookViewId="0">
      <selection activeCell="I28" sqref="I28"/>
    </sheetView>
  </sheetViews>
  <sheetFormatPr defaultColWidth="9" defaultRowHeight="13.5"/>
  <cols>
    <col min="1" max="1" width="13.75" style="3" customWidth="1"/>
    <col min="2" max="2" width="15.7666666666667" customWidth="1"/>
    <col min="3" max="3" width="13.625" customWidth="1"/>
    <col min="4" max="5" width="5.125" customWidth="1"/>
    <col min="6" max="6" width="3.625" customWidth="1"/>
    <col min="7" max="7" width="5.375" customWidth="1"/>
    <col min="8" max="8" width="15.125" style="4" customWidth="1"/>
    <col min="9" max="9" width="15" style="3" customWidth="1"/>
    <col min="12" max="12" width="11.5" customWidth="1"/>
  </cols>
  <sheetData>
    <row r="1" s="1" customFormat="1" ht="32" customHeight="1" spans="1:9">
      <c r="A1" s="5" t="s">
        <v>39</v>
      </c>
      <c r="B1" s="5"/>
      <c r="C1" s="5"/>
      <c r="D1" s="5"/>
      <c r="E1" s="5"/>
      <c r="F1" s="5"/>
      <c r="G1" s="5"/>
      <c r="H1" s="6"/>
      <c r="I1" s="27"/>
    </row>
    <row r="2" s="1" customFormat="1" ht="31" customHeight="1" spans="1:9">
      <c r="A2" s="7" t="s">
        <v>3</v>
      </c>
      <c r="B2" s="8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9" t="s">
        <v>10</v>
      </c>
      <c r="I2" s="7" t="s">
        <v>11</v>
      </c>
    </row>
    <row r="3" customFormat="1" ht="28" customHeight="1" spans="1:9">
      <c r="A3" s="10" t="s">
        <v>12</v>
      </c>
      <c r="B3" s="10" t="s">
        <v>13</v>
      </c>
      <c r="C3" s="10" t="s">
        <v>14</v>
      </c>
      <c r="D3" s="10" t="s">
        <v>15</v>
      </c>
      <c r="E3" s="10" t="s">
        <v>16</v>
      </c>
      <c r="F3" s="10">
        <v>11</v>
      </c>
      <c r="G3" s="10">
        <v>1389</v>
      </c>
      <c r="H3" s="11">
        <v>35424.6</v>
      </c>
      <c r="I3" s="28">
        <v>20069</v>
      </c>
    </row>
    <row r="4" customFormat="1" ht="28" customHeight="1" spans="1:9">
      <c r="A4" s="10" t="s">
        <v>17</v>
      </c>
      <c r="B4" s="10" t="s">
        <v>18</v>
      </c>
      <c r="C4" s="10" t="s">
        <v>14</v>
      </c>
      <c r="D4" s="10" t="s">
        <v>15</v>
      </c>
      <c r="E4" s="10" t="s">
        <v>19</v>
      </c>
      <c r="F4" s="10">
        <v>14</v>
      </c>
      <c r="G4" s="10">
        <v>563</v>
      </c>
      <c r="H4" s="11">
        <v>19536.1</v>
      </c>
      <c r="I4" s="28">
        <v>30140</v>
      </c>
    </row>
    <row r="5" customFormat="1" ht="31" customHeight="1" spans="1:9">
      <c r="A5" s="12">
        <v>43937</v>
      </c>
      <c r="B5" s="13" t="s">
        <v>40</v>
      </c>
      <c r="C5" s="14"/>
      <c r="D5" s="13"/>
      <c r="E5" s="13"/>
      <c r="F5" s="13"/>
      <c r="G5" s="13"/>
      <c r="H5" s="15">
        <v>-54960.7</v>
      </c>
      <c r="I5" s="29"/>
    </row>
    <row r="6" customFormat="1" ht="20" customHeight="1" spans="1:9">
      <c r="A6" s="10" t="s">
        <v>28</v>
      </c>
      <c r="B6" s="10" t="s">
        <v>29</v>
      </c>
      <c r="C6" s="10" t="s">
        <v>30</v>
      </c>
      <c r="D6" s="10" t="s">
        <v>15</v>
      </c>
      <c r="E6" s="10" t="s">
        <v>16</v>
      </c>
      <c r="F6" s="10">
        <v>17</v>
      </c>
      <c r="G6" s="10">
        <v>1889</v>
      </c>
      <c r="H6" s="11">
        <v>45447.1</v>
      </c>
      <c r="I6" s="28">
        <v>30144</v>
      </c>
    </row>
    <row r="7" customFormat="1" ht="20" customHeight="1" spans="1:9">
      <c r="A7" s="10" t="s">
        <v>36</v>
      </c>
      <c r="B7" s="10" t="s">
        <v>37</v>
      </c>
      <c r="C7" s="10" t="s">
        <v>14</v>
      </c>
      <c r="D7" s="10" t="s">
        <v>15</v>
      </c>
      <c r="E7" s="10" t="s">
        <v>16</v>
      </c>
      <c r="F7" s="10">
        <v>25</v>
      </c>
      <c r="G7" s="10">
        <v>1554</v>
      </c>
      <c r="H7" s="11">
        <v>39927</v>
      </c>
      <c r="I7" s="28">
        <v>30151</v>
      </c>
    </row>
    <row r="8" customFormat="1" ht="31" customHeight="1" spans="1:9">
      <c r="A8" s="12">
        <v>43958</v>
      </c>
      <c r="B8" s="13" t="s">
        <v>40</v>
      </c>
      <c r="C8" s="14"/>
      <c r="D8" s="13"/>
      <c r="E8" s="13"/>
      <c r="F8" s="13"/>
      <c r="G8" s="13"/>
      <c r="H8" s="15">
        <v>-85374.1</v>
      </c>
      <c r="I8" s="29"/>
    </row>
    <row r="9" customFormat="1" ht="34" customHeight="1" spans="1:9">
      <c r="A9" s="10" t="s">
        <v>20</v>
      </c>
      <c r="B9" s="10" t="s">
        <v>21</v>
      </c>
      <c r="C9" s="10" t="s">
        <v>22</v>
      </c>
      <c r="D9" s="10" t="s">
        <v>15</v>
      </c>
      <c r="E9" s="10" t="s">
        <v>23</v>
      </c>
      <c r="F9" s="10">
        <v>5</v>
      </c>
      <c r="G9" s="10">
        <v>237</v>
      </c>
      <c r="H9" s="11">
        <v>7110</v>
      </c>
      <c r="I9" s="28">
        <v>30146</v>
      </c>
    </row>
    <row r="10" customFormat="1" ht="20" customHeight="1" spans="1:9">
      <c r="A10" s="10" t="s">
        <v>24</v>
      </c>
      <c r="B10" s="10" t="s">
        <v>25</v>
      </c>
      <c r="C10" s="10" t="s">
        <v>26</v>
      </c>
      <c r="D10" s="10" t="s">
        <v>15</v>
      </c>
      <c r="E10" s="10" t="s">
        <v>27</v>
      </c>
      <c r="F10" s="10">
        <v>4</v>
      </c>
      <c r="G10" s="10">
        <v>228</v>
      </c>
      <c r="H10" s="11">
        <v>9469</v>
      </c>
      <c r="I10" s="28">
        <v>30149</v>
      </c>
    </row>
    <row r="11" customFormat="1" ht="20" customHeight="1" spans="1:9">
      <c r="A11" s="10" t="s">
        <v>31</v>
      </c>
      <c r="B11" s="10" t="s">
        <v>32</v>
      </c>
      <c r="C11" s="10" t="s">
        <v>14</v>
      </c>
      <c r="D11" s="10" t="s">
        <v>15</v>
      </c>
      <c r="E11" s="10" t="s">
        <v>19</v>
      </c>
      <c r="F11" s="10">
        <v>5</v>
      </c>
      <c r="G11" s="10">
        <v>189</v>
      </c>
      <c r="H11" s="11">
        <v>8045.4</v>
      </c>
      <c r="I11" s="28">
        <v>30141</v>
      </c>
    </row>
    <row r="12" customFormat="1" ht="20" customHeight="1" spans="1:9">
      <c r="A12" s="10" t="s">
        <v>33</v>
      </c>
      <c r="B12" s="10" t="s">
        <v>32</v>
      </c>
      <c r="C12" s="10" t="s">
        <v>14</v>
      </c>
      <c r="D12" s="10" t="s">
        <v>15</v>
      </c>
      <c r="E12" s="10" t="s">
        <v>19</v>
      </c>
      <c r="F12" s="10">
        <v>5</v>
      </c>
      <c r="G12" s="10">
        <v>162</v>
      </c>
      <c r="H12" s="11">
        <v>6553.2</v>
      </c>
      <c r="I12" s="28">
        <v>30142</v>
      </c>
    </row>
    <row r="13" customFormat="1" ht="20" customHeight="1" spans="1:9">
      <c r="A13" s="10" t="s">
        <v>34</v>
      </c>
      <c r="B13" s="10" t="s">
        <v>35</v>
      </c>
      <c r="C13" s="10" t="s">
        <v>14</v>
      </c>
      <c r="D13" s="10" t="s">
        <v>15</v>
      </c>
      <c r="E13" s="10" t="s">
        <v>19</v>
      </c>
      <c r="F13" s="10">
        <v>8</v>
      </c>
      <c r="G13" s="10">
        <v>324</v>
      </c>
      <c r="H13" s="11">
        <v>12506.4</v>
      </c>
      <c r="I13" s="28">
        <v>30155</v>
      </c>
    </row>
    <row r="14" s="2" customFormat="1" ht="33" customHeight="1" spans="1:9">
      <c r="A14" s="16">
        <v>43962</v>
      </c>
      <c r="B14" s="13" t="s">
        <v>40</v>
      </c>
      <c r="C14" s="17"/>
      <c r="D14" s="17"/>
      <c r="E14" s="17"/>
      <c r="F14" s="17"/>
      <c r="G14" s="17"/>
      <c r="H14" s="18">
        <v>-43684</v>
      </c>
      <c r="I14" s="17"/>
    </row>
    <row r="15" ht="27" customHeight="1" spans="1:9">
      <c r="A15" s="17" t="s">
        <v>41</v>
      </c>
      <c r="B15" s="19"/>
      <c r="C15" s="19"/>
      <c r="D15" s="19"/>
      <c r="E15" s="19"/>
      <c r="F15" s="19"/>
      <c r="G15" s="19"/>
      <c r="H15" s="20">
        <f>SUM(H3:H14)</f>
        <v>0</v>
      </c>
      <c r="I15" s="30"/>
    </row>
    <row r="21" spans="2:2">
      <c r="B21" s="7" t="s">
        <v>40</v>
      </c>
    </row>
    <row r="22" spans="2:2">
      <c r="B22" s="21" t="s">
        <v>42</v>
      </c>
    </row>
    <row r="26" s="1" customFormat="1" ht="32" customHeight="1" spans="1:9">
      <c r="A26" s="5" t="s">
        <v>39</v>
      </c>
      <c r="B26" s="5"/>
      <c r="C26" s="5"/>
      <c r="D26" s="5"/>
      <c r="E26" s="5"/>
      <c r="F26" s="5"/>
      <c r="G26" s="5"/>
      <c r="H26" s="6"/>
      <c r="I26" s="27"/>
    </row>
    <row r="27" s="1" customFormat="1" ht="48" customHeight="1" spans="1:9">
      <c r="A27" s="7" t="s">
        <v>3</v>
      </c>
      <c r="B27" s="8" t="s">
        <v>4</v>
      </c>
      <c r="C27" s="7" t="s">
        <v>5</v>
      </c>
      <c r="D27" s="7" t="s">
        <v>6</v>
      </c>
      <c r="E27" s="7" t="s">
        <v>7</v>
      </c>
      <c r="F27" s="7" t="s">
        <v>8</v>
      </c>
      <c r="G27" s="7" t="s">
        <v>9</v>
      </c>
      <c r="H27" s="9" t="s">
        <v>10</v>
      </c>
      <c r="I27" s="7" t="s">
        <v>11</v>
      </c>
    </row>
    <row r="28" ht="48" customHeight="1" spans="1:9">
      <c r="A28" s="22"/>
      <c r="B28" s="10" t="s">
        <v>43</v>
      </c>
      <c r="C28" s="23"/>
      <c r="D28" s="23"/>
      <c r="E28" s="23"/>
      <c r="F28" s="24">
        <v>75</v>
      </c>
      <c r="G28" s="24">
        <v>2157.5</v>
      </c>
      <c r="H28" s="25">
        <v>161812.5</v>
      </c>
      <c r="I28" s="28">
        <v>50138</v>
      </c>
    </row>
    <row r="29" customFormat="1" ht="31" customHeight="1" spans="1:9">
      <c r="A29" s="12">
        <v>43959</v>
      </c>
      <c r="B29" s="13" t="s">
        <v>40</v>
      </c>
      <c r="C29" s="14"/>
      <c r="D29" s="13"/>
      <c r="E29" s="13"/>
      <c r="F29" s="13"/>
      <c r="G29" s="13"/>
      <c r="H29" s="15">
        <v>-161812.5</v>
      </c>
      <c r="I29" s="29"/>
    </row>
    <row r="38" ht="14.25" spans="3:5">
      <c r="C38" s="26"/>
      <c r="E38" s="26"/>
    </row>
  </sheetData>
  <mergeCells count="2">
    <mergeCell ref="A1:I1"/>
    <mergeCell ref="A26:I26"/>
  </mergeCells>
  <pageMargins left="0.786805555555556" right="0.236111111111111" top="0.511805555555556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 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2020-05-11T04:12:40Z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