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总欠 " sheetId="4" r:id="rId1"/>
    <sheet name="1" sheetId="2" r:id="rId2"/>
  </sheets>
  <definedNames>
    <definedName name="_xlnm.Print_Area" localSheetId="1">'1'!$A$1:$I$13</definedName>
  </definedNames>
  <calcPr calcId="144525"/>
</workbook>
</file>

<file path=xl/sharedStrings.xml><?xml version="1.0" encoding="utf-8"?>
<sst xmlns="http://schemas.openxmlformats.org/spreadsheetml/2006/main" count="80" uniqueCount="37">
  <si>
    <t>威都2020年9月份对帐单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</si>
  <si>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</si>
  <si>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</si>
  <si>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</si>
  <si>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</si>
  <si>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</si>
  <si>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</si>
  <si>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</si>
  <si>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</si>
  <si>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</si>
  <si>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</si>
  <si>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</si>
  <si>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WDAE20090947</t>
  </si>
  <si>
    <t>071-38493792</t>
  </si>
  <si>
    <t>82025604</t>
  </si>
  <si>
    <t>HKG</t>
  </si>
  <si>
    <t>LOS</t>
  </si>
  <si>
    <t>WDAE20091063</t>
  </si>
  <si>
    <t>071-38493195</t>
  </si>
  <si>
    <t>82025593</t>
  </si>
  <si>
    <t>TNR</t>
  </si>
  <si>
    <t>WDAE20091076</t>
  </si>
  <si>
    <t>071-38493206</t>
  </si>
  <si>
    <t>82025594</t>
  </si>
  <si>
    <t>LLW</t>
  </si>
  <si>
    <t>WDAE20091077</t>
  </si>
  <si>
    <t>071-38644922</t>
  </si>
  <si>
    <t>82025642</t>
  </si>
  <si>
    <t>合计</t>
  </si>
  <si>
    <t>支付：威都清单</t>
  </si>
  <si>
    <t>JOB90202</t>
  </si>
  <si>
    <t>JOB90199</t>
  </si>
  <si>
    <t>JOB90200</t>
  </si>
  <si>
    <t>JOB90206</t>
  </si>
  <si>
    <t>公账支付</t>
  </si>
  <si>
    <t>071-50024306</t>
  </si>
  <si>
    <t>JOB050138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</si>
</sst>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  <numFmt numFmtId="178" formatCode="#0.00"/>
  </numFmts>
  <fonts count="35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name val="宋体"/>
      <charset val="134"/>
    </font>
    <font>
      <sz val="9"/>
      <name val="微软雅黑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6" fillId="2" borderId="2" applyNumberFormat="0" applyAlignment="0" applyProtection="0">
      <alignment vertical="center"/>
    </xf>
    <xf numFmtId="0" fontId="29" fillId="2" borderId="4" applyNumberFormat="0" applyAlignment="0" applyProtection="0">
      <alignment vertical="center"/>
    </xf>
    <xf numFmtId="0" fontId="34" fillId="19" borderId="9" applyNumberFormat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 wrapText="1"/>
    </xf>
    <xf numFmtId="177" fontId="1" fillId="0" borderId="0" xfId="0" applyNumberFormat="1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0" fontId="6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77" fontId="10" fillId="0" borderId="0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8"/>
  <sheetViews>
    <sheetView workbookViewId="0">
      <selection activeCell="A4" sqref="$A4:$XFD7"/>
    </sheetView>
  </sheetViews>
  <sheetFormatPr defaultColWidth="9" defaultRowHeight="13.5" outlineLevelRow="7"/>
  <cols>
    <col min="1" max="1" width="13.875" customWidth="1"/>
    <col min="2" max="2" width="13.5" customWidth="1"/>
    <col min="3" max="3" width="13.25" style="23" customWidth="1"/>
    <col min="4" max="7" width="5.75" style="2" customWidth="1"/>
    <col min="8" max="8" width="12" style="24" customWidth="1"/>
    <col min="9" max="9" width="15.375" style="25" customWidth="1"/>
    <col min="11" max="11" width="12" customWidth="1"/>
  </cols>
  <sheetData>
    <row r="1" s="1" customFormat="1" ht="33" customHeight="1" spans="1:9">
      <c r="A1" s="19" t="s">
        <v>0</v>
      </c>
      <c r="B1" s="19"/>
      <c r="C1" s="26"/>
      <c r="D1" s="19"/>
      <c r="E1" s="19"/>
      <c r="F1" s="19"/>
      <c r="G1" s="19"/>
      <c r="H1" s="27"/>
      <c r="I1" s="38"/>
    </row>
    <row r="2" s="21" customFormat="1" ht="24" customHeight="1" spans="1:9">
      <c r="A2" s="28" t="s">
        <v>1</v>
      </c>
      <c r="B2" s="29" t="s">
        <v>2</v>
      </c>
      <c r="C2" s="30"/>
      <c r="D2" s="31"/>
      <c r="E2" s="31"/>
      <c r="F2" s="31"/>
      <c r="G2" s="31"/>
      <c r="H2" s="32"/>
      <c r="I2" s="39"/>
    </row>
    <row r="3" s="1" customFormat="1" ht="30" customHeight="1" spans="1:9">
      <c r="A3" s="6" t="s">
        <v>3</v>
      </c>
      <c r="B3" s="7" t="s">
        <v>4</v>
      </c>
      <c r="C3" s="33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8" t="s">
        <v>10</v>
      </c>
      <c r="I3" s="40" t="s">
        <v>11</v>
      </c>
    </row>
    <row r="4" ht="27" customHeight="1" spans="1:9">
      <c r="A4" s="9" t="s">
        <v>12</v>
      </c>
      <c r="B4" s="9" t="s">
        <v>13</v>
      </c>
      <c r="C4" s="9" t="s">
        <v>14</v>
      </c>
      <c r="D4" s="10" t="s">
        <v>15</v>
      </c>
      <c r="E4" s="10" t="s">
        <v>16</v>
      </c>
      <c r="F4" s="11">
        <v>20</v>
      </c>
      <c r="G4" s="11">
        <v>1354</v>
      </c>
      <c r="H4" s="34">
        <v>58522</v>
      </c>
      <c r="I4" s="20">
        <v>90202</v>
      </c>
    </row>
    <row r="5" ht="27" customHeight="1" spans="1:9">
      <c r="A5" s="9" t="s">
        <v>17</v>
      </c>
      <c r="B5" s="9" t="s">
        <v>18</v>
      </c>
      <c r="C5" s="9" t="s">
        <v>19</v>
      </c>
      <c r="D5" s="10" t="s">
        <v>15</v>
      </c>
      <c r="E5" s="10" t="s">
        <v>20</v>
      </c>
      <c r="F5" s="11">
        <v>2</v>
      </c>
      <c r="G5" s="11">
        <v>71</v>
      </c>
      <c r="H5" s="34">
        <v>4467.7</v>
      </c>
      <c r="I5" s="20">
        <v>90199</v>
      </c>
    </row>
    <row r="6" ht="27" customHeight="1" spans="1:9">
      <c r="A6" s="9" t="s">
        <v>21</v>
      </c>
      <c r="B6" s="9" t="s">
        <v>22</v>
      </c>
      <c r="C6" s="9" t="s">
        <v>23</v>
      </c>
      <c r="D6" s="10" t="s">
        <v>15</v>
      </c>
      <c r="E6" s="10" t="s">
        <v>24</v>
      </c>
      <c r="F6" s="11">
        <v>5</v>
      </c>
      <c r="G6" s="11">
        <v>177</v>
      </c>
      <c r="H6" s="34">
        <v>10636.8</v>
      </c>
      <c r="I6" s="20">
        <v>90200</v>
      </c>
    </row>
    <row r="7" ht="27" customHeight="1" spans="1:9">
      <c r="A7" s="9" t="s">
        <v>25</v>
      </c>
      <c r="B7" s="9" t="s">
        <v>26</v>
      </c>
      <c r="C7" s="9" t="s">
        <v>27</v>
      </c>
      <c r="D7" s="10" t="s">
        <v>15</v>
      </c>
      <c r="E7" s="10" t="s">
        <v>24</v>
      </c>
      <c r="F7" s="11">
        <v>6</v>
      </c>
      <c r="G7" s="11">
        <v>289</v>
      </c>
      <c r="H7" s="34">
        <v>17483.1</v>
      </c>
      <c r="I7" s="20">
        <v>90206</v>
      </c>
    </row>
    <row r="8" s="22" customFormat="1" ht="30" customHeight="1" spans="1:9">
      <c r="A8" s="35" t="s">
        <v>28</v>
      </c>
      <c r="B8" s="35"/>
      <c r="C8" s="36"/>
      <c r="D8" s="35"/>
      <c r="E8" s="35"/>
      <c r="F8" s="35"/>
      <c r="G8" s="35"/>
      <c r="H8" s="37">
        <f>SUM(H4:H7)</f>
        <v>91109.6</v>
      </c>
      <c r="I8" s="41"/>
    </row>
  </sheetData>
  <mergeCells count="2">
    <mergeCell ref="A1:I1"/>
    <mergeCell ref="B2:G2"/>
  </mergeCells>
  <pageMargins left="0.66875" right="0.236111111111111" top="0.354166666666667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0"/>
  <sheetViews>
    <sheetView tabSelected="1" workbookViewId="0">
      <selection activeCell="C9" sqref="C9"/>
    </sheetView>
  </sheetViews>
  <sheetFormatPr defaultColWidth="9" defaultRowHeight="13.5"/>
  <cols>
    <col min="1" max="1" width="13.75" style="2" customWidth="1"/>
    <col min="2" max="2" width="15.7666666666667" customWidth="1"/>
    <col min="3" max="3" width="8.375" customWidth="1"/>
    <col min="4" max="5" width="6.125" customWidth="1"/>
    <col min="6" max="6" width="4.25" customWidth="1"/>
    <col min="7" max="7" width="6.125" customWidth="1"/>
    <col min="8" max="8" width="15.125" style="3" customWidth="1"/>
    <col min="9" max="9" width="12.625" style="2" customWidth="1"/>
    <col min="12" max="12" width="11.5" customWidth="1"/>
  </cols>
  <sheetData>
    <row r="1" s="1" customFormat="1" ht="32" customHeight="1" spans="1:9">
      <c r="A1" s="4" t="s">
        <v>29</v>
      </c>
      <c r="B1" s="4"/>
      <c r="C1" s="4"/>
      <c r="D1" s="4"/>
      <c r="E1" s="4"/>
      <c r="F1" s="4"/>
      <c r="G1" s="4"/>
      <c r="H1" s="5"/>
      <c r="I1" s="19"/>
    </row>
    <row r="2" s="1" customFormat="1" ht="31" customHeight="1" spans="1:9">
      <c r="A2" s="6" t="s">
        <v>3</v>
      </c>
      <c r="B2" s="7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8" t="s">
        <v>10</v>
      </c>
      <c r="I2" s="6" t="s">
        <v>11</v>
      </c>
    </row>
    <row r="3" customFormat="1" ht="27" customHeight="1" spans="1:9">
      <c r="A3" s="9" t="s">
        <v>12</v>
      </c>
      <c r="B3" s="9" t="s">
        <v>13</v>
      </c>
      <c r="C3" s="9" t="s">
        <v>14</v>
      </c>
      <c r="D3" s="10" t="s">
        <v>15</v>
      </c>
      <c r="E3" s="10" t="s">
        <v>16</v>
      </c>
      <c r="F3" s="11">
        <v>20</v>
      </c>
      <c r="G3" s="11">
        <v>1354</v>
      </c>
      <c r="H3" s="12">
        <v>58522</v>
      </c>
      <c r="I3" s="20" t="s">
        <v>30</v>
      </c>
    </row>
    <row r="4" customFormat="1" ht="27" customHeight="1" spans="1:9">
      <c r="A4" s="9" t="s">
        <v>17</v>
      </c>
      <c r="B4" s="9" t="s">
        <v>18</v>
      </c>
      <c r="C4" s="9" t="s">
        <v>19</v>
      </c>
      <c r="D4" s="10" t="s">
        <v>15</v>
      </c>
      <c r="E4" s="10" t="s">
        <v>20</v>
      </c>
      <c r="F4" s="11">
        <v>2</v>
      </c>
      <c r="G4" s="11">
        <v>71</v>
      </c>
      <c r="H4" s="12">
        <v>4467.7</v>
      </c>
      <c r="I4" s="20" t="s">
        <v>31</v>
      </c>
    </row>
    <row r="5" customFormat="1" ht="27" customHeight="1" spans="1:9">
      <c r="A5" s="9" t="s">
        <v>21</v>
      </c>
      <c r="B5" s="9" t="s">
        <v>22</v>
      </c>
      <c r="C5" s="9" t="s">
        <v>23</v>
      </c>
      <c r="D5" s="10" t="s">
        <v>15</v>
      </c>
      <c r="E5" s="10" t="s">
        <v>24</v>
      </c>
      <c r="F5" s="11">
        <v>5</v>
      </c>
      <c r="G5" s="11">
        <v>177</v>
      </c>
      <c r="H5" s="12">
        <v>10636.8</v>
      </c>
      <c r="I5" s="20" t="s">
        <v>32</v>
      </c>
    </row>
    <row r="6" customFormat="1" ht="27" customHeight="1" spans="1:9">
      <c r="A6" s="9" t="s">
        <v>25</v>
      </c>
      <c r="B6" s="9" t="s">
        <v>26</v>
      </c>
      <c r="C6" s="9" t="s">
        <v>27</v>
      </c>
      <c r="D6" s="10" t="s">
        <v>15</v>
      </c>
      <c r="E6" s="10" t="s">
        <v>24</v>
      </c>
      <c r="F6" s="11">
        <v>6</v>
      </c>
      <c r="G6" s="11">
        <v>289</v>
      </c>
      <c r="H6" s="12">
        <v>17483.1</v>
      </c>
      <c r="I6" s="20" t="s">
        <v>33</v>
      </c>
    </row>
    <row r="7" s="2" customFormat="1" ht="30" customHeight="1" spans="1:9">
      <c r="A7" s="13">
        <v>44154</v>
      </c>
      <c r="B7" s="14" t="s">
        <v>34</v>
      </c>
      <c r="C7" s="11"/>
      <c r="D7" s="11"/>
      <c r="E7" s="11"/>
      <c r="F7" s="11"/>
      <c r="G7" s="11"/>
      <c r="H7" s="12">
        <v>-91109.6</v>
      </c>
      <c r="I7" s="20"/>
    </row>
    <row r="11" s="1" customFormat="1" ht="31" customHeight="1" spans="1:9">
      <c r="A11" s="6" t="s">
        <v>3</v>
      </c>
      <c r="B11" s="7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G11" s="6" t="s">
        <v>9</v>
      </c>
      <c r="H11" s="8" t="s">
        <v>10</v>
      </c>
      <c r="I11" s="6" t="s">
        <v>11</v>
      </c>
    </row>
    <row r="12" ht="58" customHeight="1" spans="1:9">
      <c r="A12" s="15"/>
      <c r="B12" s="16" t="s">
        <v>35</v>
      </c>
      <c r="C12" s="16"/>
      <c r="D12" s="16"/>
      <c r="E12" s="16"/>
      <c r="F12" s="16"/>
      <c r="G12" s="16"/>
      <c r="H12" s="17">
        <v>169687.5</v>
      </c>
      <c r="I12" s="15" t="s">
        <v>36</v>
      </c>
    </row>
    <row r="13" s="2" customFormat="1" ht="49" customHeight="1" spans="1:9">
      <c r="A13" s="13">
        <v>43959</v>
      </c>
      <c r="B13" s="14" t="s">
        <v>34</v>
      </c>
      <c r="C13" s="11"/>
      <c r="D13" s="11"/>
      <c r="E13" s="11"/>
      <c r="F13" s="11"/>
      <c r="G13" s="11"/>
      <c r="H13" s="12">
        <v>-169687.5</v>
      </c>
      <c r="I13" s="20"/>
    </row>
    <row r="14" ht="58" customHeight="1"/>
    <row r="15" ht="58" customHeight="1"/>
    <row r="16" ht="58" customHeight="1"/>
    <row r="17" ht="58" customHeight="1"/>
    <row r="20" ht="14.25" spans="3:5">
      <c r="C20" s="18"/>
      <c r="E20" s="18"/>
    </row>
  </sheetData>
  <mergeCells count="1">
    <mergeCell ref="A1:I1"/>
  </mergeCells>
  <pageMargins left="0.786805555555556" right="0.236111111111111" top="0.629861111111111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2020-11-24T08:24:11Z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