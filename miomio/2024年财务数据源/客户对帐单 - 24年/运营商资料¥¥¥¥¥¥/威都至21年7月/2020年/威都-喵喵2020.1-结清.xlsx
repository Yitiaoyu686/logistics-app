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总欠 " sheetId="4" r:id="rId1"/>
    <sheet name="1" sheetId="2" r:id="rId2"/>
  </sheets>
  <definedNames>
    <definedName name="_xlnm.Print_Area" localSheetId="1">'1'!$A$1:$I$11</definedName>
  </definedNames>
  <calcPr calcId="144525"/>
</workbook>
</file>

<file path=xl/sharedStrings.xml><?xml version="1.0" encoding="utf-8"?>
<sst xmlns="http://schemas.openxmlformats.org/spreadsheetml/2006/main" count="143" uniqueCount="51">
  <si>
    <t>威都2020年1月份对帐单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</si>
  <si>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</si>
  <si>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</si>
  <si>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</si>
  <si>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</si>
  <si>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</si>
  <si>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</si>
  <si>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</si>
  <si>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</si>
  <si>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</si>
  <si>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</si>
  <si>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</si>
  <si>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WDAE20010426</t>
  </si>
  <si>
    <t>071-36200404</t>
  </si>
  <si>
    <t>LCMM200105</t>
  </si>
  <si>
    <t>HKG</t>
  </si>
  <si>
    <t>LOS</t>
  </si>
  <si>
    <t>WDAE20010428</t>
  </si>
  <si>
    <t>071-36193662</t>
  </si>
  <si>
    <t>WXL200709ACC-ALINA</t>
  </si>
  <si>
    <t>ACC</t>
  </si>
  <si>
    <t>WDAE19121094</t>
  </si>
  <si>
    <t>071-36192166</t>
  </si>
  <si>
    <t>WXL19121806-ALINA</t>
  </si>
  <si>
    <t>WDAE20010429</t>
  </si>
  <si>
    <t>071-36091112</t>
  </si>
  <si>
    <t>0</t>
  </si>
  <si>
    <t>CAN</t>
  </si>
  <si>
    <t>LAD</t>
  </si>
  <si>
    <t>WDAE20010430</t>
  </si>
  <si>
    <t>071-36200533</t>
  </si>
  <si>
    <t>WDAE20010433</t>
  </si>
  <si>
    <t>071-36088754</t>
  </si>
  <si>
    <t>DLA</t>
  </si>
  <si>
    <t>WDAE20010675</t>
  </si>
  <si>
    <t>235-56282553</t>
  </si>
  <si>
    <t>OTP</t>
  </si>
  <si>
    <t>WDAE20010676</t>
  </si>
  <si>
    <t>071-36213100</t>
  </si>
  <si>
    <t>WDAE20010677</t>
  </si>
  <si>
    <t>071-36203160</t>
  </si>
  <si>
    <t>WDAE20010678</t>
  </si>
  <si>
    <t>WDAE20011168</t>
  </si>
  <si>
    <t>071-36203311</t>
  </si>
  <si>
    <t>WIN2020031LOS-ALINA</t>
  </si>
  <si>
    <t>010124/010158/
010159</t>
  </si>
  <si>
    <t>合计</t>
  </si>
  <si>
    <t>支付：威都清单</t>
  </si>
  <si>
    <t>私账支付</t>
  </si>
  <si>
    <t>公账支付</t>
  </si>
  <si>
    <t>欠</t>
  </si>
</sst>
</file>

<file path=xl/styles.xml><?xml version="1.0" encoding="utf-8"?>
<styleSheet xmlns="http://schemas.openxmlformats.org/spreadsheetml/2006/main">
  <numFmts count="6">
    <numFmt numFmtId="176" formatCode="&quot;JOB&quot;000000"/>
    <numFmt numFmtId="177" formatCode="&quot;￥&quot;#,##0.00_);[Red]\(&quot;￥&quot;#,##0.00\)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36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Courier New"/>
      <charset val="134"/>
    </font>
    <font>
      <sz val="10"/>
      <color theme="1"/>
      <name val="宋体"/>
      <charset val="134"/>
      <scheme val="minor"/>
    </font>
    <font>
      <sz val="9"/>
      <color rgb="FF00B050"/>
      <name val="宋体"/>
      <charset val="134"/>
    </font>
    <font>
      <sz val="10"/>
      <name val="宋体"/>
      <charset val="134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b/>
      <sz val="9"/>
      <color theme="1"/>
      <name val="宋体"/>
      <charset val="134"/>
      <scheme val="minor"/>
    </font>
    <font>
      <b/>
      <sz val="10"/>
      <name val="宋体"/>
      <charset val="134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3" fillId="7" borderId="9" applyNumberFormat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30" fillId="20" borderId="6" applyNumberFormat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177" fontId="4" fillId="0" borderId="1" xfId="0" applyNumberFormat="1" applyFont="1" applyFill="1" applyBorder="1" applyAlignment="1">
      <alignment vertical="center" wrapText="1"/>
    </xf>
    <xf numFmtId="58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176" fontId="5" fillId="0" borderId="0" xfId="0" applyNumberFormat="1" applyFont="1">
      <alignment vertical="center"/>
    </xf>
    <xf numFmtId="0" fontId="1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righ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 wrapText="1"/>
    </xf>
    <xf numFmtId="177" fontId="11" fillId="0" borderId="0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A4" sqref="$A4:$XFD14"/>
    </sheetView>
  </sheetViews>
  <sheetFormatPr defaultColWidth="9" defaultRowHeight="13.5"/>
  <cols>
    <col min="1" max="1" width="13.875" customWidth="1"/>
    <col min="2" max="2" width="13" customWidth="1"/>
    <col min="3" max="3" width="17" style="20" customWidth="1"/>
    <col min="4" max="7" width="5.75" style="3" customWidth="1"/>
    <col min="8" max="8" width="15.125" style="21" customWidth="1"/>
    <col min="9" max="9" width="15.375" style="22" customWidth="1"/>
    <col min="11" max="11" width="12" customWidth="1"/>
  </cols>
  <sheetData>
    <row r="1" s="1" customFormat="1" ht="24" customHeight="1" spans="1:9">
      <c r="A1" s="23" t="s">
        <v>0</v>
      </c>
      <c r="B1" s="23"/>
      <c r="C1" s="24"/>
      <c r="D1" s="23"/>
      <c r="E1" s="23"/>
      <c r="F1" s="23"/>
      <c r="G1" s="23"/>
      <c r="H1" s="25"/>
      <c r="I1" s="35"/>
    </row>
    <row r="2" s="18" customFormat="1" ht="18" customHeight="1" spans="1:9">
      <c r="A2" s="26" t="s">
        <v>1</v>
      </c>
      <c r="B2" s="27" t="s">
        <v>2</v>
      </c>
      <c r="C2" s="28"/>
      <c r="D2" s="29"/>
      <c r="E2" s="29"/>
      <c r="F2" s="29"/>
      <c r="G2" s="29"/>
      <c r="H2" s="30"/>
      <c r="I2" s="36"/>
    </row>
    <row r="3" s="1" customFormat="1" ht="22" customHeight="1" spans="1:9">
      <c r="A3" s="5" t="s">
        <v>3</v>
      </c>
      <c r="B3" s="6" t="s">
        <v>4</v>
      </c>
      <c r="C3" s="31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7" t="s">
        <v>10</v>
      </c>
      <c r="I3" s="17" t="s">
        <v>11</v>
      </c>
    </row>
    <row r="4" ht="19" customHeight="1" spans="1:9">
      <c r="A4" s="9" t="s">
        <v>12</v>
      </c>
      <c r="B4" s="9" t="s">
        <v>13</v>
      </c>
      <c r="C4" s="9" t="s">
        <v>14</v>
      </c>
      <c r="D4" s="10" t="s">
        <v>15</v>
      </c>
      <c r="E4" s="10" t="s">
        <v>16</v>
      </c>
      <c r="F4" s="10">
        <v>31</v>
      </c>
      <c r="G4" s="10">
        <v>1748</v>
      </c>
      <c r="H4" s="11">
        <v>49069.2</v>
      </c>
      <c r="I4" s="17">
        <v>10130</v>
      </c>
    </row>
    <row r="5" ht="19" customHeight="1" spans="1:9">
      <c r="A5" s="9" t="s">
        <v>17</v>
      </c>
      <c r="B5" s="9" t="s">
        <v>18</v>
      </c>
      <c r="C5" s="9" t="s">
        <v>19</v>
      </c>
      <c r="D5" s="10" t="s">
        <v>15</v>
      </c>
      <c r="E5" s="10" t="s">
        <v>20</v>
      </c>
      <c r="F5" s="10">
        <v>2</v>
      </c>
      <c r="G5" s="10">
        <v>80</v>
      </c>
      <c r="H5" s="11">
        <v>2856</v>
      </c>
      <c r="I5" s="17">
        <v>10128</v>
      </c>
    </row>
    <row r="6" ht="19" customHeight="1" spans="1:9">
      <c r="A6" s="9" t="s">
        <v>21</v>
      </c>
      <c r="B6" s="9" t="s">
        <v>22</v>
      </c>
      <c r="C6" s="9" t="s">
        <v>23</v>
      </c>
      <c r="D6" s="10" t="s">
        <v>15</v>
      </c>
      <c r="E6" s="10" t="s">
        <v>20</v>
      </c>
      <c r="F6" s="10">
        <v>4</v>
      </c>
      <c r="G6" s="10">
        <v>165</v>
      </c>
      <c r="H6" s="11">
        <v>5890.5</v>
      </c>
      <c r="I6" s="17">
        <v>10120</v>
      </c>
    </row>
    <row r="7" ht="19" customHeight="1" spans="1:9">
      <c r="A7" s="9" t="s">
        <v>24</v>
      </c>
      <c r="B7" s="9" t="s">
        <v>25</v>
      </c>
      <c r="C7" s="9" t="s">
        <v>26</v>
      </c>
      <c r="D7" s="10" t="s">
        <v>27</v>
      </c>
      <c r="E7" s="10" t="s">
        <v>28</v>
      </c>
      <c r="F7" s="10">
        <v>13</v>
      </c>
      <c r="G7" s="10">
        <v>802</v>
      </c>
      <c r="H7" s="11">
        <v>22656</v>
      </c>
      <c r="I7" s="17">
        <v>10136</v>
      </c>
    </row>
    <row r="8" ht="19" customHeight="1" spans="1:9">
      <c r="A8" s="9" t="s">
        <v>29</v>
      </c>
      <c r="B8" s="9" t="s">
        <v>30</v>
      </c>
      <c r="C8" s="9" t="s">
        <v>26</v>
      </c>
      <c r="D8" s="10" t="s">
        <v>15</v>
      </c>
      <c r="E8" s="10" t="s">
        <v>20</v>
      </c>
      <c r="F8" s="10">
        <v>4</v>
      </c>
      <c r="G8" s="10">
        <v>163</v>
      </c>
      <c r="H8" s="11">
        <v>5819.1</v>
      </c>
      <c r="I8" s="17">
        <v>10134</v>
      </c>
    </row>
    <row r="9" ht="19" customHeight="1" spans="1:9">
      <c r="A9" s="9" t="s">
        <v>31</v>
      </c>
      <c r="B9" s="9" t="s">
        <v>32</v>
      </c>
      <c r="C9" s="9" t="s">
        <v>26</v>
      </c>
      <c r="D9" s="10" t="s">
        <v>27</v>
      </c>
      <c r="E9" s="10" t="s">
        <v>33</v>
      </c>
      <c r="F9" s="10">
        <v>1</v>
      </c>
      <c r="G9" s="10">
        <v>591</v>
      </c>
      <c r="H9" s="11">
        <v>17220.8</v>
      </c>
      <c r="I9" s="17">
        <v>10122</v>
      </c>
    </row>
    <row r="10" ht="19" customHeight="1" spans="1:9">
      <c r="A10" s="9" t="s">
        <v>34</v>
      </c>
      <c r="B10" s="9" t="s">
        <v>35</v>
      </c>
      <c r="C10" s="9" t="s">
        <v>26</v>
      </c>
      <c r="D10" s="10" t="s">
        <v>27</v>
      </c>
      <c r="E10" s="10" t="s">
        <v>36</v>
      </c>
      <c r="F10" s="10">
        <v>30</v>
      </c>
      <c r="G10" s="10">
        <v>854</v>
      </c>
      <c r="H10" s="11">
        <v>13140</v>
      </c>
      <c r="I10" s="17">
        <v>20061</v>
      </c>
    </row>
    <row r="11" ht="19" customHeight="1" spans="1:9">
      <c r="A11" s="9" t="s">
        <v>37</v>
      </c>
      <c r="B11" s="9" t="s">
        <v>38</v>
      </c>
      <c r="C11" s="9" t="s">
        <v>26</v>
      </c>
      <c r="D11" s="10" t="s">
        <v>15</v>
      </c>
      <c r="E11" s="10" t="s">
        <v>16</v>
      </c>
      <c r="F11" s="10">
        <v>31</v>
      </c>
      <c r="G11" s="10">
        <v>1455</v>
      </c>
      <c r="H11" s="11">
        <v>37900.5</v>
      </c>
      <c r="I11" s="17">
        <v>10155</v>
      </c>
    </row>
    <row r="12" ht="19" customHeight="1" spans="1:9">
      <c r="A12" s="9" t="s">
        <v>39</v>
      </c>
      <c r="B12" s="9" t="s">
        <v>40</v>
      </c>
      <c r="C12" s="9" t="s">
        <v>26</v>
      </c>
      <c r="D12" s="10" t="s">
        <v>15</v>
      </c>
      <c r="E12" s="10" t="s">
        <v>20</v>
      </c>
      <c r="F12" s="10">
        <v>18</v>
      </c>
      <c r="G12" s="10">
        <v>737</v>
      </c>
      <c r="H12" s="11">
        <v>25573.9</v>
      </c>
      <c r="I12" s="17">
        <v>10142</v>
      </c>
    </row>
    <row r="13" ht="19" customHeight="1" spans="1:9">
      <c r="A13" s="9" t="s">
        <v>41</v>
      </c>
      <c r="B13" s="9" t="s">
        <v>40</v>
      </c>
      <c r="C13" s="9" t="s">
        <v>26</v>
      </c>
      <c r="D13" s="10" t="s">
        <v>15</v>
      </c>
      <c r="E13" s="10" t="s">
        <v>20</v>
      </c>
      <c r="F13" s="10">
        <v>8</v>
      </c>
      <c r="G13" s="10">
        <v>327</v>
      </c>
      <c r="H13" s="11">
        <v>11673.9</v>
      </c>
      <c r="I13" s="17">
        <v>10151</v>
      </c>
    </row>
    <row r="14" ht="26" customHeight="1" spans="1:9">
      <c r="A14" s="9" t="s">
        <v>42</v>
      </c>
      <c r="B14" s="9" t="s">
        <v>43</v>
      </c>
      <c r="C14" s="9" t="s">
        <v>44</v>
      </c>
      <c r="D14" s="10" t="s">
        <v>15</v>
      </c>
      <c r="E14" s="10" t="s">
        <v>16</v>
      </c>
      <c r="F14" s="10">
        <v>29</v>
      </c>
      <c r="G14" s="10">
        <v>1964</v>
      </c>
      <c r="H14" s="11">
        <v>51064</v>
      </c>
      <c r="I14" s="17" t="s">
        <v>45</v>
      </c>
    </row>
    <row r="15" s="19" customFormat="1" ht="19" customHeight="1" spans="1:9">
      <c r="A15" s="32" t="s">
        <v>46</v>
      </c>
      <c r="B15" s="32"/>
      <c r="C15" s="33"/>
      <c r="D15" s="32"/>
      <c r="E15" s="32"/>
      <c r="F15" s="32"/>
      <c r="G15" s="32"/>
      <c r="H15" s="34">
        <f>SUM(H4:H14)</f>
        <v>242863.9</v>
      </c>
      <c r="I15" s="37"/>
    </row>
  </sheetData>
  <mergeCells count="2">
    <mergeCell ref="A1:I1"/>
    <mergeCell ref="B2:G2"/>
  </mergeCells>
  <pageMargins left="0.393055555555556" right="0.236111111111111" top="0.196527777777778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M9" sqref="M9"/>
    </sheetView>
  </sheetViews>
  <sheetFormatPr defaultColWidth="9" defaultRowHeight="13.5"/>
  <cols>
    <col min="1" max="1" width="13.75" style="3" customWidth="1"/>
    <col min="2" max="2" width="13.75" customWidth="1"/>
    <col min="3" max="3" width="13.625" customWidth="1"/>
    <col min="4" max="5" width="5.125" customWidth="1"/>
    <col min="6" max="6" width="3.625" customWidth="1"/>
    <col min="7" max="7" width="5.375" customWidth="1"/>
    <col min="8" max="8" width="16.5" customWidth="1"/>
    <col min="9" max="9" width="15" customWidth="1"/>
    <col min="12" max="12" width="11.5" customWidth="1"/>
  </cols>
  <sheetData>
    <row r="1" s="1" customFormat="1" ht="32" customHeight="1" spans="1:9">
      <c r="A1" s="4" t="s">
        <v>47</v>
      </c>
      <c r="B1" s="4"/>
      <c r="C1" s="4"/>
      <c r="D1" s="4"/>
      <c r="E1" s="4"/>
      <c r="F1" s="4"/>
      <c r="G1" s="4"/>
      <c r="H1" s="4"/>
      <c r="I1" s="4"/>
    </row>
    <row r="2" s="1" customFormat="1" ht="31" customHeight="1" spans="1:9">
      <c r="A2" s="5" t="s">
        <v>3</v>
      </c>
      <c r="B2" s="6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7" t="s">
        <v>10</v>
      </c>
      <c r="I2" s="5" t="s">
        <v>11</v>
      </c>
    </row>
    <row r="3" customFormat="1" ht="19" customHeight="1" spans="1:9">
      <c r="A3" s="8" t="s">
        <v>12</v>
      </c>
      <c r="B3" s="9" t="s">
        <v>13</v>
      </c>
      <c r="C3" s="9" t="s">
        <v>14</v>
      </c>
      <c r="D3" s="10" t="s">
        <v>15</v>
      </c>
      <c r="E3" s="10" t="s">
        <v>16</v>
      </c>
      <c r="F3" s="10">
        <v>31</v>
      </c>
      <c r="G3" s="10">
        <v>1748</v>
      </c>
      <c r="H3" s="11">
        <v>49069.2</v>
      </c>
      <c r="I3" s="17">
        <v>10130</v>
      </c>
    </row>
    <row r="4" customFormat="1" ht="19" customHeight="1" spans="1:9">
      <c r="A4" s="8" t="s">
        <v>17</v>
      </c>
      <c r="B4" s="9" t="s">
        <v>18</v>
      </c>
      <c r="C4" s="9" t="s">
        <v>19</v>
      </c>
      <c r="D4" s="10" t="s">
        <v>15</v>
      </c>
      <c r="E4" s="10" t="s">
        <v>20</v>
      </c>
      <c r="F4" s="10">
        <v>2</v>
      </c>
      <c r="G4" s="10">
        <v>80</v>
      </c>
      <c r="H4" s="11">
        <v>2856</v>
      </c>
      <c r="I4" s="17">
        <v>10128</v>
      </c>
    </row>
    <row r="5" customFormat="1" ht="19" customHeight="1" spans="1:9">
      <c r="A5" s="12">
        <v>43895</v>
      </c>
      <c r="B5" s="5" t="s">
        <v>48</v>
      </c>
      <c r="C5" s="9"/>
      <c r="D5" s="10"/>
      <c r="E5" s="10"/>
      <c r="F5" s="10"/>
      <c r="G5" s="10"/>
      <c r="H5" s="11">
        <v>-51925.2</v>
      </c>
      <c r="I5" s="17"/>
    </row>
    <row r="6" customFormat="1" ht="19" customHeight="1" spans="1:9">
      <c r="A6" s="8" t="s">
        <v>21</v>
      </c>
      <c r="B6" s="9" t="s">
        <v>22</v>
      </c>
      <c r="C6" s="9" t="s">
        <v>23</v>
      </c>
      <c r="D6" s="10" t="s">
        <v>15</v>
      </c>
      <c r="E6" s="10" t="s">
        <v>20</v>
      </c>
      <c r="F6" s="10">
        <v>4</v>
      </c>
      <c r="G6" s="10">
        <v>165</v>
      </c>
      <c r="H6" s="11">
        <v>5890.5</v>
      </c>
      <c r="I6" s="17">
        <v>10120</v>
      </c>
    </row>
    <row r="7" customFormat="1" ht="19" customHeight="1" spans="1:9">
      <c r="A7" s="8" t="s">
        <v>24</v>
      </c>
      <c r="B7" s="9" t="s">
        <v>25</v>
      </c>
      <c r="C7" s="9" t="s">
        <v>26</v>
      </c>
      <c r="D7" s="10" t="s">
        <v>27</v>
      </c>
      <c r="E7" s="10" t="s">
        <v>28</v>
      </c>
      <c r="F7" s="10">
        <v>13</v>
      </c>
      <c r="G7" s="10">
        <v>802</v>
      </c>
      <c r="H7" s="11">
        <v>22656</v>
      </c>
      <c r="I7" s="17">
        <v>10136</v>
      </c>
    </row>
    <row r="8" customFormat="1" ht="19" customHeight="1" spans="1:9">
      <c r="A8" s="8" t="s">
        <v>29</v>
      </c>
      <c r="B8" s="9" t="s">
        <v>30</v>
      </c>
      <c r="C8" s="9" t="s">
        <v>26</v>
      </c>
      <c r="D8" s="10" t="s">
        <v>15</v>
      </c>
      <c r="E8" s="10" t="s">
        <v>20</v>
      </c>
      <c r="F8" s="10">
        <v>4</v>
      </c>
      <c r="G8" s="10">
        <v>163</v>
      </c>
      <c r="H8" s="11">
        <v>5819.1</v>
      </c>
      <c r="I8" s="17">
        <v>10134</v>
      </c>
    </row>
    <row r="9" customFormat="1" ht="19" customHeight="1" spans="1:9">
      <c r="A9" s="12">
        <v>43901</v>
      </c>
      <c r="B9" s="9" t="s">
        <v>49</v>
      </c>
      <c r="C9" s="9"/>
      <c r="D9" s="10"/>
      <c r="E9" s="10"/>
      <c r="F9" s="10"/>
      <c r="G9" s="10"/>
      <c r="H9" s="11">
        <v>-34365.6</v>
      </c>
      <c r="I9" s="17"/>
    </row>
    <row r="10" customFormat="1" ht="19" customHeight="1" spans="1:9">
      <c r="A10" s="8" t="s">
        <v>37</v>
      </c>
      <c r="B10" s="9" t="s">
        <v>38</v>
      </c>
      <c r="C10" s="9" t="s">
        <v>26</v>
      </c>
      <c r="D10" s="10" t="s">
        <v>15</v>
      </c>
      <c r="E10" s="10" t="s">
        <v>16</v>
      </c>
      <c r="F10" s="10">
        <v>31</v>
      </c>
      <c r="G10" s="10">
        <v>1455</v>
      </c>
      <c r="H10" s="11">
        <v>37900.5</v>
      </c>
      <c r="I10" s="17">
        <v>10155</v>
      </c>
    </row>
    <row r="11" customFormat="1" ht="19" customHeight="1" spans="1:9">
      <c r="A11" s="12">
        <v>43910</v>
      </c>
      <c r="B11" s="9" t="s">
        <v>49</v>
      </c>
      <c r="C11" s="9"/>
      <c r="D11" s="10"/>
      <c r="E11" s="10"/>
      <c r="F11" s="10"/>
      <c r="G11" s="10"/>
      <c r="H11" s="11">
        <v>-37900.5</v>
      </c>
      <c r="I11" s="17"/>
    </row>
    <row r="12" customFormat="1" ht="19" customHeight="1" spans="1:9">
      <c r="A12" s="8" t="s">
        <v>31</v>
      </c>
      <c r="B12" s="9" t="s">
        <v>32</v>
      </c>
      <c r="C12" s="9" t="s">
        <v>26</v>
      </c>
      <c r="D12" s="10" t="s">
        <v>27</v>
      </c>
      <c r="E12" s="10" t="s">
        <v>33</v>
      </c>
      <c r="F12" s="10">
        <v>1</v>
      </c>
      <c r="G12" s="10">
        <v>591</v>
      </c>
      <c r="H12" s="11">
        <v>17220.8</v>
      </c>
      <c r="I12" s="17">
        <v>10122</v>
      </c>
    </row>
    <row r="13" customFormat="1" ht="19" customHeight="1" spans="1:9">
      <c r="A13" s="8" t="s">
        <v>34</v>
      </c>
      <c r="B13" s="9" t="s">
        <v>35</v>
      </c>
      <c r="C13" s="9" t="s">
        <v>26</v>
      </c>
      <c r="D13" s="10" t="s">
        <v>27</v>
      </c>
      <c r="E13" s="10" t="s">
        <v>36</v>
      </c>
      <c r="F13" s="10">
        <v>30</v>
      </c>
      <c r="G13" s="10">
        <v>854</v>
      </c>
      <c r="H13" s="11">
        <v>13140</v>
      </c>
      <c r="I13" s="17">
        <v>20061</v>
      </c>
    </row>
    <row r="14" customFormat="1" ht="19" customHeight="1" spans="1:9">
      <c r="A14" s="8" t="s">
        <v>39</v>
      </c>
      <c r="B14" s="9" t="s">
        <v>40</v>
      </c>
      <c r="C14" s="9" t="s">
        <v>26</v>
      </c>
      <c r="D14" s="10" t="s">
        <v>15</v>
      </c>
      <c r="E14" s="10" t="s">
        <v>20</v>
      </c>
      <c r="F14" s="10">
        <v>18</v>
      </c>
      <c r="G14" s="10">
        <v>737</v>
      </c>
      <c r="H14" s="11">
        <v>25573.9</v>
      </c>
      <c r="I14" s="17">
        <v>10142</v>
      </c>
    </row>
    <row r="15" customFormat="1" ht="19" customHeight="1" spans="1:9">
      <c r="A15" s="8" t="s">
        <v>41</v>
      </c>
      <c r="B15" s="9" t="s">
        <v>40</v>
      </c>
      <c r="C15" s="9" t="s">
        <v>26</v>
      </c>
      <c r="D15" s="10" t="s">
        <v>15</v>
      </c>
      <c r="E15" s="10" t="s">
        <v>20</v>
      </c>
      <c r="F15" s="10">
        <v>8</v>
      </c>
      <c r="G15" s="10">
        <v>327</v>
      </c>
      <c r="H15" s="11">
        <v>11673.9</v>
      </c>
      <c r="I15" s="17">
        <v>10151</v>
      </c>
    </row>
    <row r="16" customFormat="1" ht="19" customHeight="1" spans="1:9">
      <c r="A16" s="12">
        <v>43913</v>
      </c>
      <c r="B16" s="5" t="s">
        <v>48</v>
      </c>
      <c r="C16" s="9"/>
      <c r="D16" s="10"/>
      <c r="E16" s="10"/>
      <c r="F16" s="10"/>
      <c r="G16" s="10"/>
      <c r="H16" s="11">
        <v>-67608.6</v>
      </c>
      <c r="I16" s="17"/>
    </row>
    <row r="17" customFormat="1" ht="26" customHeight="1" spans="1:9">
      <c r="A17" s="8" t="s">
        <v>42</v>
      </c>
      <c r="B17" s="9" t="s">
        <v>43</v>
      </c>
      <c r="C17" s="9" t="s">
        <v>44</v>
      </c>
      <c r="D17" s="10" t="s">
        <v>15</v>
      </c>
      <c r="E17" s="10" t="s">
        <v>16</v>
      </c>
      <c r="F17" s="10">
        <v>29</v>
      </c>
      <c r="G17" s="10">
        <v>1964</v>
      </c>
      <c r="H17" s="11">
        <v>51064</v>
      </c>
      <c r="I17" s="17" t="s">
        <v>45</v>
      </c>
    </row>
    <row r="18" customFormat="1" ht="26" customHeight="1" spans="1:9">
      <c r="A18" s="12">
        <v>43921</v>
      </c>
      <c r="B18" s="5" t="s">
        <v>48</v>
      </c>
      <c r="C18" s="9"/>
      <c r="D18" s="10"/>
      <c r="E18" s="10"/>
      <c r="F18" s="10"/>
      <c r="G18" s="10"/>
      <c r="H18" s="11">
        <v>-51064</v>
      </c>
      <c r="I18" s="17"/>
    </row>
    <row r="19" s="2" customFormat="1" ht="33" customHeight="1" spans="1:9">
      <c r="A19" s="13" t="s">
        <v>50</v>
      </c>
      <c r="B19" s="14"/>
      <c r="C19" s="14"/>
      <c r="D19" s="14"/>
      <c r="E19" s="14"/>
      <c r="F19" s="14"/>
      <c r="G19" s="14"/>
      <c r="H19" s="15">
        <f>SUM(H3:H18)</f>
        <v>0</v>
      </c>
      <c r="I19" s="14"/>
    </row>
    <row r="27" spans="2:2">
      <c r="B27" s="5" t="s">
        <v>48</v>
      </c>
    </row>
    <row r="28" spans="2:2">
      <c r="B28" s="16" t="s">
        <v>49</v>
      </c>
    </row>
  </sheetData>
  <mergeCells count="1">
    <mergeCell ref="A1:I1"/>
  </mergeCells>
  <pageMargins left="0.550694444444444" right="0.236111111111111" top="0.472222222222222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2020-03-31T08:30:37Z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