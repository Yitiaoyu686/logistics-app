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'1'!$A$1:$I$11</definedName>
  </definedNames>
  <calcPr calcId="144525"/>
</workbook>
</file>

<file path=xl/sharedStrings.xml><?xml version="1.0" encoding="utf-8"?>
<sst xmlns="http://schemas.openxmlformats.org/spreadsheetml/2006/main" count="75" uniqueCount="35">
  <si>
    <t>威都2020年8月份对帐单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</si>
  <si>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</si>
  <si>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</si>
  <si>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</si>
  <si>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</si>
  <si>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</si>
  <si>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</si>
  <si>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</si>
  <si>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</si>
  <si>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</si>
  <si>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</si>
  <si>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</si>
  <si>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WDAE20080944</t>
  </si>
  <si>
    <t>071-37975114</t>
  </si>
  <si>
    <t>HKG</t>
  </si>
  <si>
    <t>LOS</t>
  </si>
  <si>
    <t>080181/080182</t>
  </si>
  <si>
    <t>WDAE20080971</t>
  </si>
  <si>
    <t>071-37975125</t>
  </si>
  <si>
    <t>LLW</t>
  </si>
  <si>
    <t>WDAE20081176</t>
  </si>
  <si>
    <t>071-37976831</t>
  </si>
  <si>
    <t>WDAE20081178</t>
  </si>
  <si>
    <t>071-37976842</t>
  </si>
  <si>
    <t>WDAE20081500</t>
  </si>
  <si>
    <t>071-38469922</t>
  </si>
  <si>
    <t>合计</t>
  </si>
  <si>
    <t>支付：威都清单</t>
  </si>
  <si>
    <t>JOB080183</t>
  </si>
  <si>
    <t>JOB080186</t>
  </si>
  <si>
    <t>JOB080192</t>
  </si>
  <si>
    <t>私账支付</t>
  </si>
  <si>
    <t>JOB080181=30810
JOB08018243955.40</t>
  </si>
  <si>
    <t>JOB080184</t>
  </si>
  <si>
    <t>结清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</si>
</sst>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&quot;JOB&quot;000000"/>
    <numFmt numFmtId="177" formatCode="&quot;￥&quot;#,##0.00_);[Red]\(&quot;￥&quot;#,##0.00\)"/>
    <numFmt numFmtId="178" formatCode="#0.00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9"/>
      <name val="微软雅黑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9" borderId="9" applyNumberFormat="0" applyFon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32" fillId="27" borderId="8" applyNumberFormat="0" applyAlignment="0" applyProtection="0">
      <alignment vertical="center"/>
    </xf>
    <xf numFmtId="0" fontId="34" fillId="27" borderId="6" applyNumberFormat="0" applyAlignment="0" applyProtection="0">
      <alignment vertical="center"/>
    </xf>
    <xf numFmtId="0" fontId="26" fillId="16" borderId="5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2" fillId="0" borderId="0" xfId="0" applyFont="1" applyFill="1" applyAlignment="1">
      <alignment horizontal="left" vertical="center" wrapText="1"/>
    </xf>
    <xf numFmtId="177" fontId="2" fillId="0" borderId="0" xfId="0" applyNumberFormat="1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58" fontId="1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7" fontId="1" fillId="0" borderId="1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H9" sqref="H9"/>
    </sheetView>
  </sheetViews>
  <sheetFormatPr defaultColWidth="9" defaultRowHeight="13.5"/>
  <cols>
    <col min="1" max="1" width="13.875" customWidth="1"/>
    <col min="2" max="2" width="13.5" customWidth="1"/>
    <col min="3" max="3" width="13.25" style="30" customWidth="1"/>
    <col min="4" max="7" width="5.75" style="3" customWidth="1"/>
    <col min="8" max="8" width="15.125" style="31" customWidth="1"/>
    <col min="9" max="9" width="15.375" style="32" customWidth="1"/>
    <col min="11" max="11" width="12" customWidth="1"/>
  </cols>
  <sheetData>
    <row r="1" s="1" customFormat="1" ht="33" customHeight="1" spans="1:9">
      <c r="A1" s="33" t="s">
        <v>0</v>
      </c>
      <c r="B1" s="33"/>
      <c r="C1" s="34"/>
      <c r="D1" s="33"/>
      <c r="E1" s="33"/>
      <c r="F1" s="33"/>
      <c r="G1" s="33"/>
      <c r="H1" s="35"/>
      <c r="I1" s="46"/>
    </row>
    <row r="2" s="28" customFormat="1" ht="24" customHeight="1" spans="1:9">
      <c r="A2" s="36" t="s">
        <v>1</v>
      </c>
      <c r="B2" s="37" t="s">
        <v>2</v>
      </c>
      <c r="C2" s="38"/>
      <c r="D2" s="39"/>
      <c r="E2" s="39"/>
      <c r="F2" s="39"/>
      <c r="G2" s="39"/>
      <c r="H2" s="40"/>
      <c r="I2" s="47"/>
    </row>
    <row r="3" s="1" customFormat="1" ht="30" customHeight="1" spans="1:9">
      <c r="A3" s="7" t="s">
        <v>3</v>
      </c>
      <c r="B3" s="8" t="s">
        <v>4</v>
      </c>
      <c r="C3" s="41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9" t="s">
        <v>10</v>
      </c>
      <c r="I3" s="48" t="s">
        <v>11</v>
      </c>
    </row>
    <row r="4" ht="27" customHeight="1" spans="1:9">
      <c r="A4" s="11" t="s">
        <v>12</v>
      </c>
      <c r="B4" s="11" t="s">
        <v>13</v>
      </c>
      <c r="C4" s="14">
        <v>82025207</v>
      </c>
      <c r="D4" s="12" t="s">
        <v>14</v>
      </c>
      <c r="E4" s="12" t="s">
        <v>15</v>
      </c>
      <c r="F4" s="12">
        <v>33</v>
      </c>
      <c r="G4" s="12">
        <v>1571</v>
      </c>
      <c r="H4" s="42">
        <v>74765.4</v>
      </c>
      <c r="I4" s="24" t="s">
        <v>16</v>
      </c>
    </row>
    <row r="5" ht="27" customHeight="1" spans="1:9">
      <c r="A5" s="11" t="s">
        <v>17</v>
      </c>
      <c r="B5" s="11" t="s">
        <v>18</v>
      </c>
      <c r="C5" s="10" t="s">
        <v>17</v>
      </c>
      <c r="D5" s="12" t="s">
        <v>14</v>
      </c>
      <c r="E5" s="12" t="s">
        <v>19</v>
      </c>
      <c r="F5" s="12">
        <v>5</v>
      </c>
      <c r="G5" s="12">
        <v>176</v>
      </c>
      <c r="H5" s="42">
        <v>10314.4</v>
      </c>
      <c r="I5" s="24">
        <v>80183</v>
      </c>
    </row>
    <row r="6" ht="27" customHeight="1" spans="1:9">
      <c r="A6" s="11" t="s">
        <v>20</v>
      </c>
      <c r="B6" s="11" t="s">
        <v>21</v>
      </c>
      <c r="C6" s="14">
        <v>82025236</v>
      </c>
      <c r="D6" s="12" t="s">
        <v>14</v>
      </c>
      <c r="E6" s="12" t="s">
        <v>15</v>
      </c>
      <c r="F6" s="12">
        <v>29</v>
      </c>
      <c r="G6" s="12">
        <v>1460</v>
      </c>
      <c r="H6" s="42">
        <v>63664</v>
      </c>
      <c r="I6" s="24">
        <v>80184</v>
      </c>
    </row>
    <row r="7" ht="27" customHeight="1" spans="1:9">
      <c r="A7" s="11" t="s">
        <v>22</v>
      </c>
      <c r="B7" s="11" t="s">
        <v>23</v>
      </c>
      <c r="C7" s="14">
        <v>82025250</v>
      </c>
      <c r="D7" s="12" t="s">
        <v>14</v>
      </c>
      <c r="E7" s="12" t="s">
        <v>19</v>
      </c>
      <c r="F7" s="12">
        <v>7</v>
      </c>
      <c r="G7" s="12">
        <v>245</v>
      </c>
      <c r="H7" s="42">
        <v>14118.5</v>
      </c>
      <c r="I7" s="24">
        <v>80186</v>
      </c>
    </row>
    <row r="8" ht="27" customHeight="1" spans="1:9">
      <c r="A8" s="11" t="s">
        <v>24</v>
      </c>
      <c r="B8" s="11" t="s">
        <v>25</v>
      </c>
      <c r="C8" s="14">
        <v>0</v>
      </c>
      <c r="D8" s="12" t="s">
        <v>14</v>
      </c>
      <c r="E8" s="12" t="s">
        <v>19</v>
      </c>
      <c r="F8" s="12">
        <v>4</v>
      </c>
      <c r="G8" s="12">
        <v>144</v>
      </c>
      <c r="H8" s="42">
        <v>8871.6</v>
      </c>
      <c r="I8" s="24">
        <v>80192</v>
      </c>
    </row>
    <row r="9" s="29" customFormat="1" ht="30" customHeight="1" spans="1:9">
      <c r="A9" s="43" t="s">
        <v>26</v>
      </c>
      <c r="B9" s="43"/>
      <c r="C9" s="44"/>
      <c r="D9" s="43"/>
      <c r="E9" s="43"/>
      <c r="F9" s="43"/>
      <c r="G9" s="43"/>
      <c r="H9" s="45">
        <f>SUM(H4:H8)</f>
        <v>171733.9</v>
      </c>
      <c r="I9" s="49"/>
    </row>
  </sheetData>
  <mergeCells count="2">
    <mergeCell ref="A1:I1"/>
    <mergeCell ref="B2:G2"/>
  </mergeCells>
  <pageMargins left="0.66875" right="0.236111111111111" top="0.511805555555556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E7" sqref="E7"/>
    </sheetView>
  </sheetViews>
  <sheetFormatPr defaultColWidth="9" defaultRowHeight="13.5"/>
  <cols>
    <col min="1" max="1" width="13.75" style="3" customWidth="1"/>
    <col min="2" max="2" width="13.7833333333333" customWidth="1"/>
    <col min="3" max="3" width="8.375" customWidth="1"/>
    <col min="4" max="5" width="6.125" customWidth="1"/>
    <col min="6" max="6" width="4.25" customWidth="1"/>
    <col min="7" max="7" width="6.125" customWidth="1"/>
    <col min="8" max="8" width="15.125" style="4" customWidth="1"/>
    <col min="9" max="9" width="19.25" style="3" customWidth="1"/>
    <col min="12" max="12" width="11.5" customWidth="1"/>
  </cols>
  <sheetData>
    <row r="1" s="1" customFormat="1" ht="32" customHeight="1" spans="1:9">
      <c r="A1" s="5" t="s">
        <v>27</v>
      </c>
      <c r="B1" s="5"/>
      <c r="C1" s="5"/>
      <c r="D1" s="5"/>
      <c r="E1" s="5"/>
      <c r="F1" s="5"/>
      <c r="G1" s="5"/>
      <c r="H1" s="6"/>
      <c r="I1" s="5"/>
    </row>
    <row r="2" s="1" customFormat="1" ht="21" customHeight="1" spans="1:9">
      <c r="A2" s="7" t="s">
        <v>3</v>
      </c>
      <c r="B2" s="8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9" t="s">
        <v>10</v>
      </c>
      <c r="I2" s="7" t="s">
        <v>11</v>
      </c>
    </row>
    <row r="3" customFormat="1" ht="24" customHeight="1" spans="1:9">
      <c r="A3" s="10" t="s">
        <v>17</v>
      </c>
      <c r="B3" s="11" t="s">
        <v>18</v>
      </c>
      <c r="C3" s="10" t="s">
        <v>17</v>
      </c>
      <c r="D3" s="12" t="s">
        <v>14</v>
      </c>
      <c r="E3" s="12" t="s">
        <v>19</v>
      </c>
      <c r="F3" s="12">
        <v>5</v>
      </c>
      <c r="G3" s="12">
        <v>176</v>
      </c>
      <c r="H3" s="13">
        <v>10314.4</v>
      </c>
      <c r="I3" s="24" t="s">
        <v>28</v>
      </c>
    </row>
    <row r="4" customFormat="1" ht="24" customHeight="1" spans="1:9">
      <c r="A4" s="10" t="s">
        <v>22</v>
      </c>
      <c r="B4" s="11" t="s">
        <v>23</v>
      </c>
      <c r="C4" s="14">
        <v>82025250</v>
      </c>
      <c r="D4" s="12" t="s">
        <v>14</v>
      </c>
      <c r="E4" s="12" t="s">
        <v>19</v>
      </c>
      <c r="F4" s="12">
        <v>7</v>
      </c>
      <c r="G4" s="12">
        <v>245</v>
      </c>
      <c r="H4" s="13">
        <v>14118.5</v>
      </c>
      <c r="I4" s="24" t="s">
        <v>29</v>
      </c>
    </row>
    <row r="5" customFormat="1" ht="24" customHeight="1" spans="1:9">
      <c r="A5" s="10" t="s">
        <v>24</v>
      </c>
      <c r="B5" s="11" t="s">
        <v>25</v>
      </c>
      <c r="C5" s="14">
        <v>0</v>
      </c>
      <c r="D5" s="12" t="s">
        <v>14</v>
      </c>
      <c r="E5" s="12" t="s">
        <v>19</v>
      </c>
      <c r="F5" s="12">
        <v>4</v>
      </c>
      <c r="G5" s="12">
        <v>144</v>
      </c>
      <c r="H5" s="13">
        <v>8871.6</v>
      </c>
      <c r="I5" s="24" t="s">
        <v>30</v>
      </c>
    </row>
    <row r="6" customFormat="1" ht="24" customHeight="1" spans="1:9">
      <c r="A6" s="15">
        <v>44120</v>
      </c>
      <c r="B6" s="16" t="s">
        <v>31</v>
      </c>
      <c r="C6" s="14"/>
      <c r="D6" s="12"/>
      <c r="E6" s="12"/>
      <c r="F6" s="12"/>
      <c r="G6" s="12"/>
      <c r="H6" s="13">
        <v>-33304.5</v>
      </c>
      <c r="I6" s="24"/>
    </row>
    <row r="7" customFormat="1" ht="33" customHeight="1" spans="1:9">
      <c r="A7" s="10" t="s">
        <v>12</v>
      </c>
      <c r="B7" s="11" t="s">
        <v>13</v>
      </c>
      <c r="C7" s="14">
        <v>82025207</v>
      </c>
      <c r="D7" s="12" t="s">
        <v>14</v>
      </c>
      <c r="E7" s="12" t="s">
        <v>15</v>
      </c>
      <c r="F7" s="12">
        <v>33</v>
      </c>
      <c r="G7" s="12">
        <v>1571</v>
      </c>
      <c r="H7" s="13">
        <v>74765.4</v>
      </c>
      <c r="I7" s="25" t="s">
        <v>32</v>
      </c>
    </row>
    <row r="8" customFormat="1" ht="24" customHeight="1" spans="1:9">
      <c r="A8" s="15">
        <v>44120</v>
      </c>
      <c r="B8" s="16" t="s">
        <v>31</v>
      </c>
      <c r="C8" s="14"/>
      <c r="D8" s="12"/>
      <c r="E8" s="12"/>
      <c r="F8" s="12"/>
      <c r="G8" s="12"/>
      <c r="H8" s="13">
        <v>-586.5</v>
      </c>
      <c r="I8" s="24"/>
    </row>
    <row r="9" customFormat="1" ht="24" customHeight="1" spans="1:9">
      <c r="A9" s="10" t="s">
        <v>20</v>
      </c>
      <c r="B9" s="11" t="s">
        <v>21</v>
      </c>
      <c r="C9" s="14">
        <v>82025236</v>
      </c>
      <c r="D9" s="12" t="s">
        <v>14</v>
      </c>
      <c r="E9" s="12" t="s">
        <v>15</v>
      </c>
      <c r="F9" s="12">
        <v>29</v>
      </c>
      <c r="G9" s="12">
        <v>1460</v>
      </c>
      <c r="H9" s="13">
        <v>63664</v>
      </c>
      <c r="I9" s="24" t="s">
        <v>33</v>
      </c>
    </row>
    <row r="10" ht="24" customHeight="1" spans="1:9">
      <c r="A10" s="17">
        <v>44123</v>
      </c>
      <c r="B10" s="16" t="s">
        <v>31</v>
      </c>
      <c r="C10" s="18"/>
      <c r="D10" s="18"/>
      <c r="E10" s="18"/>
      <c r="F10" s="18"/>
      <c r="G10" s="18"/>
      <c r="H10" s="19">
        <v>-137842.9</v>
      </c>
      <c r="I10" s="26"/>
    </row>
    <row r="11" s="2" customFormat="1" ht="14" customHeight="1" spans="1:9">
      <c r="A11" s="20" t="s">
        <v>34</v>
      </c>
      <c r="B11" s="21"/>
      <c r="C11" s="21"/>
      <c r="D11" s="21"/>
      <c r="E11" s="21"/>
      <c r="F11" s="21"/>
      <c r="G11" s="21"/>
      <c r="H11" s="22">
        <f>SUM(H3:H10)</f>
        <v>0</v>
      </c>
      <c r="I11" s="27"/>
    </row>
    <row r="21" ht="14.25" spans="3:5">
      <c r="C21" s="23"/>
      <c r="E21" s="23"/>
    </row>
  </sheetData>
  <mergeCells count="1">
    <mergeCell ref="A1:I1"/>
  </mergeCells>
  <pageMargins left="0.786805555555556" right="0.236111111111111" top="0.511805555555556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2020-10-19T03:20:39Z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