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'1'!$A$1:$I$5</definedName>
  </definedNames>
  <calcPr calcId="144525"/>
</workbook>
</file>

<file path=xl/sharedStrings.xml><?xml version="1.0" encoding="utf-8"?>
<sst xmlns="http://schemas.openxmlformats.org/spreadsheetml/2006/main" count="41" uniqueCount="23">
  <si>
    <t>威都2020年6月份对帐单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</si>
  <si>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</si>
  <si>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</si>
  <si>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</si>
  <si>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</si>
  <si>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</si>
  <si>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</si>
  <si>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</si>
  <si>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</si>
  <si>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</si>
  <si>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</si>
  <si>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</si>
  <si>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WDAE20070168</t>
  </si>
  <si>
    <t>071-37455806</t>
  </si>
  <si>
    <t>HKG</t>
  </si>
  <si>
    <t>LOS</t>
  </si>
  <si>
    <t>WDAE20070169</t>
  </si>
  <si>
    <t>071-37538690</t>
  </si>
  <si>
    <t>LLW</t>
  </si>
  <si>
    <t>合计</t>
  </si>
  <si>
    <t>支付：威都清单</t>
  </si>
  <si>
    <t>私账支付</t>
  </si>
  <si>
    <t>结清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</si>
</sst>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&quot;JOB&quot;000000"/>
    <numFmt numFmtId="44" formatCode="_ &quot;￥&quot;* #,##0.00_ ;_ &quot;￥&quot;* \-#,##0.00_ ;_ &quot;￥&quot;* &quot;-&quot;??_ ;_ @_ "/>
    <numFmt numFmtId="177" formatCode="#0.00"/>
    <numFmt numFmtId="178" formatCode="&quot;￥&quot;#,##0.00_);[Red]\(&quot;￥&quot;#,##0.00\)"/>
    <numFmt numFmtId="42" formatCode="_ &quot;￥&quot;* #,##0_ ;_ &quot;￥&quot;* \-#,##0_ ;_ &quot;￥&quot;* &quot;-&quot;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2" fillId="20" borderId="7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178" fontId="1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78" fontId="11" fillId="0" borderId="0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"/>
  <sheetViews>
    <sheetView workbookViewId="0">
      <selection activeCell="H6" sqref="H6"/>
    </sheetView>
  </sheetViews>
  <sheetFormatPr defaultColWidth="9" defaultRowHeight="13.5" outlineLevelRow="5"/>
  <cols>
    <col min="1" max="1" width="13.875" customWidth="1"/>
    <col min="2" max="2" width="16.425" customWidth="1"/>
    <col min="3" max="3" width="10.025" style="25" customWidth="1"/>
    <col min="4" max="7" width="5.75" style="2" customWidth="1"/>
    <col min="8" max="8" width="15.125" style="26" customWidth="1"/>
    <col min="9" max="9" width="15.375" style="27" customWidth="1"/>
    <col min="11" max="11" width="12" customWidth="1"/>
  </cols>
  <sheetData>
    <row r="1" s="1" customFormat="1" ht="33" customHeight="1" spans="1:9">
      <c r="A1" s="20" t="s">
        <v>0</v>
      </c>
      <c r="B1" s="20"/>
      <c r="C1" s="28"/>
      <c r="D1" s="20"/>
      <c r="E1" s="20"/>
      <c r="F1" s="20"/>
      <c r="G1" s="20"/>
      <c r="H1" s="29"/>
      <c r="I1" s="40"/>
    </row>
    <row r="2" s="23" customFormat="1" ht="24" customHeight="1" spans="1:9">
      <c r="A2" s="30" t="s">
        <v>1</v>
      </c>
      <c r="B2" s="31" t="s">
        <v>2</v>
      </c>
      <c r="C2" s="32"/>
      <c r="D2" s="33"/>
      <c r="E2" s="33"/>
      <c r="F2" s="33"/>
      <c r="G2" s="33"/>
      <c r="H2" s="34"/>
      <c r="I2" s="41"/>
    </row>
    <row r="3" s="1" customFormat="1" ht="30" customHeight="1" spans="1:9">
      <c r="A3" s="6" t="s">
        <v>3</v>
      </c>
      <c r="B3" s="7" t="s">
        <v>4</v>
      </c>
      <c r="C3" s="35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8" t="s">
        <v>10</v>
      </c>
      <c r="I3" s="42" t="s">
        <v>11</v>
      </c>
    </row>
    <row r="4" ht="39" customHeight="1" spans="1:9">
      <c r="A4" s="9" t="s">
        <v>12</v>
      </c>
      <c r="B4" s="9" t="s">
        <v>13</v>
      </c>
      <c r="C4" s="10"/>
      <c r="D4" s="11" t="s">
        <v>14</v>
      </c>
      <c r="E4" s="11" t="s">
        <v>15</v>
      </c>
      <c r="F4" s="11">
        <v>21</v>
      </c>
      <c r="G4" s="10">
        <v>767</v>
      </c>
      <c r="H4" s="36">
        <v>40530</v>
      </c>
      <c r="I4" s="21">
        <v>60150</v>
      </c>
    </row>
    <row r="5" ht="39" customHeight="1" spans="1:9">
      <c r="A5" s="9" t="s">
        <v>16</v>
      </c>
      <c r="B5" s="9" t="s">
        <v>17</v>
      </c>
      <c r="C5" s="10"/>
      <c r="D5" s="11" t="s">
        <v>14</v>
      </c>
      <c r="E5" s="11" t="s">
        <v>18</v>
      </c>
      <c r="F5" s="11">
        <v>4</v>
      </c>
      <c r="G5" s="10">
        <v>164</v>
      </c>
      <c r="H5" s="36">
        <v>10098</v>
      </c>
      <c r="I5" s="21">
        <v>60160</v>
      </c>
    </row>
    <row r="6" s="24" customFormat="1" ht="39" customHeight="1" spans="1:9">
      <c r="A6" s="37" t="s">
        <v>19</v>
      </c>
      <c r="B6" s="37"/>
      <c r="C6" s="38"/>
      <c r="D6" s="37"/>
      <c r="E6" s="37"/>
      <c r="F6" s="37"/>
      <c r="G6" s="37"/>
      <c r="H6" s="39">
        <f>SUM(H4:H5)</f>
        <v>50628</v>
      </c>
      <c r="I6" s="43"/>
    </row>
  </sheetData>
  <mergeCells count="2">
    <mergeCell ref="A1:I1"/>
    <mergeCell ref="B2:G2"/>
  </mergeCells>
  <pageMargins left="0.66875" right="0.236111111111111" top="0.550694444444444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7"/>
  <sheetViews>
    <sheetView tabSelected="1" workbookViewId="0">
      <selection activeCell="L18" sqref="L18"/>
    </sheetView>
  </sheetViews>
  <sheetFormatPr defaultColWidth="9" defaultRowHeight="13.5"/>
  <cols>
    <col min="1" max="1" width="13.75" style="2" customWidth="1"/>
    <col min="2" max="2" width="15.7666666666667" customWidth="1"/>
    <col min="3" max="3" width="9.65833333333333" customWidth="1"/>
    <col min="4" max="5" width="5.125" customWidth="1"/>
    <col min="6" max="6" width="3.625" customWidth="1"/>
    <col min="7" max="7" width="5.375" customWidth="1"/>
    <col min="8" max="8" width="15.125" style="3" customWidth="1"/>
    <col min="9" max="9" width="15" style="2" customWidth="1"/>
    <col min="12" max="12" width="11.5" customWidth="1"/>
  </cols>
  <sheetData>
    <row r="1" s="1" customFormat="1" ht="32" customHeight="1" spans="1:9">
      <c r="A1" s="4" t="s">
        <v>20</v>
      </c>
      <c r="B1" s="4"/>
      <c r="C1" s="4"/>
      <c r="D1" s="4"/>
      <c r="E1" s="4"/>
      <c r="F1" s="4"/>
      <c r="G1" s="4"/>
      <c r="H1" s="5"/>
      <c r="I1" s="20"/>
    </row>
    <row r="2" s="1" customFormat="1" ht="31" customHeight="1" spans="1:9">
      <c r="A2" s="6" t="s">
        <v>3</v>
      </c>
      <c r="B2" s="7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8" t="s">
        <v>10</v>
      </c>
      <c r="I2" s="6" t="s">
        <v>11</v>
      </c>
    </row>
    <row r="3" customFormat="1" ht="39" customHeight="1" spans="1:9">
      <c r="A3" s="9" t="s">
        <v>12</v>
      </c>
      <c r="B3" s="9" t="s">
        <v>13</v>
      </c>
      <c r="C3" s="10"/>
      <c r="D3" s="11" t="s">
        <v>14</v>
      </c>
      <c r="E3" s="11" t="s">
        <v>15</v>
      </c>
      <c r="F3" s="11">
        <v>21</v>
      </c>
      <c r="G3" s="10">
        <v>767</v>
      </c>
      <c r="H3" s="12">
        <v>40530</v>
      </c>
      <c r="I3" s="21">
        <v>60150</v>
      </c>
    </row>
    <row r="4" customFormat="1" ht="39" customHeight="1" spans="1:9">
      <c r="A4" s="9" t="s">
        <v>16</v>
      </c>
      <c r="B4" s="9" t="s">
        <v>17</v>
      </c>
      <c r="C4" s="10"/>
      <c r="D4" s="11" t="s">
        <v>14</v>
      </c>
      <c r="E4" s="11" t="s">
        <v>18</v>
      </c>
      <c r="F4" s="11">
        <v>4</v>
      </c>
      <c r="G4" s="10">
        <v>164</v>
      </c>
      <c r="H4" s="12">
        <v>10098</v>
      </c>
      <c r="I4" s="21">
        <v>60160</v>
      </c>
    </row>
    <row r="5" s="2" customFormat="1" ht="30" customHeight="1" spans="1:9">
      <c r="A5" s="13">
        <v>44041</v>
      </c>
      <c r="B5" s="14" t="s">
        <v>21</v>
      </c>
      <c r="C5" s="11"/>
      <c r="D5" s="11"/>
      <c r="E5" s="11"/>
      <c r="F5" s="11"/>
      <c r="G5" s="11"/>
      <c r="H5" s="15">
        <v>-50628</v>
      </c>
      <c r="I5" s="21"/>
    </row>
    <row r="6" ht="27" customHeight="1" spans="1:9">
      <c r="A6" s="16" t="s">
        <v>22</v>
      </c>
      <c r="B6" s="17"/>
      <c r="C6" s="17"/>
      <c r="D6" s="17"/>
      <c r="E6" s="17"/>
      <c r="F6" s="17"/>
      <c r="G6" s="17"/>
      <c r="H6" s="18">
        <f>SUM(H3:H5)</f>
        <v>0</v>
      </c>
      <c r="I6" s="22"/>
    </row>
    <row r="17" ht="14.25" spans="3:5">
      <c r="C17" s="19"/>
      <c r="E17" s="19"/>
    </row>
  </sheetData>
  <mergeCells count="1">
    <mergeCell ref="A1:I1"/>
  </mergeCells>
  <pageMargins left="0.786805555555556" right="0.236111111111111" top="0.629861111111111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2020-12-14T07:01:01Z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