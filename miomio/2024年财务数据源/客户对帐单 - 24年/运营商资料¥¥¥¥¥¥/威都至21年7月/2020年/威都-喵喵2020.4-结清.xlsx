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 activeTab="1"/>
  </bookViews>
  <sheets>
    <sheet name="总欠 " sheetId="4" r:id="rId1"/>
    <sheet name="1" sheetId="2" r:id="rId2"/>
  </sheets>
  <definedNames>
    <definedName name="_xlnm.Print_Area" localSheetId="1">'1'!$A$11:$I$11</definedName>
  </definedNames>
  <calcPr calcId="144525"/>
</workbook>
</file>

<file path=xl/sharedStrings.xml><?xml version="1.0" encoding="utf-8"?>
<sst xmlns="http://schemas.openxmlformats.org/spreadsheetml/2006/main" count="50" uniqueCount="26">
  <si>
    <t>威都2020年5月份对帐单</t>
  </si>
  <si>
    <t>TO:</t>
  </si>
  <si>
    <t>广州喵喵国际货运代理有限公司</t>
  </si>
  <si>
    <t>工作单号</t>
  </si>
  <si>
    <t>MBL NO</t>
  </si>
  <si>
    <t>入仓编号</t>
  </si>
  <si>
    <t>起运港</t>
  </si>
  <si>
    <t>目的港</t>
  </si>
  <si>
    <t>件数</t>
  </si>
  <si>
    <t>重量</t>
  </si>
  <si>
    <t>DEBIT</t>
  </si>
  <si>
    <t>备注</t>
  </si>
  <si>
    <t>WDAE20050193</t>
  </si>
  <si>
    <t>071-37170291</t>
  </si>
  <si>
    <t>HKG</t>
  </si>
  <si>
    <t>LOS</t>
  </si>
  <si>
    <t>WDAE20050196</t>
  </si>
  <si>
    <t>071-37170280</t>
  </si>
  <si>
    <t>ACC</t>
  </si>
  <si>
    <t>WDAE20050526</t>
  </si>
  <si>
    <t>071-34193504</t>
  </si>
  <si>
    <t>LLW</t>
  </si>
  <si>
    <t>合计</t>
  </si>
  <si>
    <t>支付：威都清单</t>
  </si>
  <si>
    <t>私账支付</t>
  </si>
  <si>
    <t>欠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</si>
</sst>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&quot;JOB&quot;000000"/>
    <numFmt numFmtId="177" formatCode="&quot;￥&quot;#,##0.00_);[Red]\(&quot;￥&quot;#,##0.00\)"/>
  </numFmts>
  <fonts count="36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9"/>
      <name val="宋体"/>
      <charset val="134"/>
    </font>
    <font>
      <sz val="9"/>
      <name val="Courier New"/>
      <charset val="134"/>
    </font>
    <font>
      <sz val="10"/>
      <name val="Courier New"/>
      <charset val="134"/>
    </font>
    <font>
      <sz val="10"/>
      <name val="宋体"/>
      <charset val="134"/>
    </font>
    <font>
      <sz val="10"/>
      <color theme="1"/>
      <name val="宋体"/>
      <charset val="134"/>
      <scheme val="minor"/>
    </font>
    <font>
      <sz val="9"/>
      <name val="微软雅黑"/>
      <charset val="134"/>
    </font>
    <font>
      <sz val="9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8"/>
      <name val="宋体"/>
      <charset val="134"/>
    </font>
    <font>
      <sz val="11"/>
      <name val="Courier New"/>
      <charset val="134"/>
    </font>
    <font>
      <sz val="11"/>
      <name val="宋体"/>
      <charset val="134"/>
    </font>
    <font>
      <sz val="8"/>
      <name val="Courier New"/>
      <charset val="134"/>
    </font>
    <font>
      <sz val="8"/>
      <name val="宋体"/>
      <charset val="134"/>
    </font>
    <font>
      <b/>
      <sz val="9"/>
      <color theme="1"/>
      <name val="宋体"/>
      <charset val="134"/>
      <scheme val="minor"/>
    </font>
    <font>
      <b/>
      <sz val="11"/>
      <name val="宋体"/>
      <charset val="134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4" fillId="12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17" borderId="7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5" fillId="14" borderId="9" applyNumberFormat="0" applyAlignment="0" applyProtection="0">
      <alignment vertical="center"/>
    </xf>
    <xf numFmtId="0" fontId="25" fillId="14" borderId="4" applyNumberFormat="0" applyAlignment="0" applyProtection="0">
      <alignment vertical="center"/>
    </xf>
    <xf numFmtId="0" fontId="22" fillId="8" borderId="3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  <xf numFmtId="0" fontId="1" fillId="0" borderId="0" xfId="0" applyFont="1" applyFill="1" applyAlignment="1">
      <alignment horizontal="left" vertical="center" wrapText="1"/>
    </xf>
    <xf numFmtId="177" fontId="1" fillId="0" borderId="0" xfId="0" applyNumberFormat="1" applyFont="1" applyFill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 wrapText="1"/>
    </xf>
    <xf numFmtId="177" fontId="4" fillId="0" borderId="1" xfId="0" applyNumberFormat="1" applyFont="1" applyFill="1" applyBorder="1" applyAlignment="1">
      <alignment vertical="center" wrapText="1"/>
    </xf>
    <xf numFmtId="58" fontId="4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77" fontId="0" fillId="0" borderId="1" xfId="0" applyNumberFormat="1" applyBorder="1" applyAlignment="1">
      <alignment horizontal="center" vertical="center"/>
    </xf>
    <xf numFmtId="0" fontId="7" fillId="0" borderId="0" xfId="0" applyFont="1" applyFill="1" applyBorder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176" fontId="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center" vertical="center"/>
    </xf>
    <xf numFmtId="0" fontId="9" fillId="0" borderId="0" xfId="0" applyFont="1">
      <alignment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0" fontId="10" fillId="0" borderId="0" xfId="0" applyFont="1" applyFill="1" applyAlignment="1">
      <alignment horizontal="center" vertical="center" wrapText="1"/>
    </xf>
    <xf numFmtId="177" fontId="1" fillId="0" borderId="0" xfId="0" applyNumberFormat="1" applyFont="1" applyFill="1" applyAlignment="1">
      <alignment horizontal="center" vertical="center" wrapText="1"/>
    </xf>
    <xf numFmtId="0" fontId="11" fillId="0" borderId="0" xfId="0" applyFont="1" applyFill="1" applyBorder="1" applyAlignment="1">
      <alignment horizontal="righ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center" vertical="center" wrapText="1"/>
    </xf>
    <xf numFmtId="177" fontId="11" fillId="0" borderId="0" xfId="0" applyNumberFormat="1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77" fontId="15" fillId="0" borderId="1" xfId="0" applyNumberFormat="1" applyFont="1" applyFill="1" applyBorder="1" applyAlignment="1">
      <alignment horizontal="center" vertical="center"/>
    </xf>
    <xf numFmtId="176" fontId="16" fillId="0" borderId="0" xfId="0" applyNumberFormat="1" applyFont="1" applyFill="1" applyAlignment="1">
      <alignment horizontal="center" vertical="center" wrapText="1"/>
    </xf>
    <xf numFmtId="176" fontId="0" fillId="0" borderId="0" xfId="0" applyNumberFormat="1" applyFont="1" applyFill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 wrapText="1"/>
    </xf>
    <xf numFmtId="176" fontId="0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A4" sqref="$A4:$XFD6"/>
    </sheetView>
  </sheetViews>
  <sheetFormatPr defaultColWidth="9" defaultRowHeight="13.5" outlineLevelRow="6"/>
  <cols>
    <col min="1" max="1" width="13.875" customWidth="1"/>
    <col min="2" max="2" width="13" customWidth="1"/>
    <col min="3" max="3" width="12.875" style="25" customWidth="1"/>
    <col min="4" max="7" width="5.75" style="2" customWidth="1"/>
    <col min="8" max="8" width="15.125" style="26" customWidth="1"/>
    <col min="9" max="9" width="15.375" style="27" customWidth="1"/>
    <col min="11" max="11" width="12" customWidth="1"/>
  </cols>
  <sheetData>
    <row r="1" s="1" customFormat="1" ht="24" customHeight="1" spans="1:9">
      <c r="A1" s="20" t="s">
        <v>0</v>
      </c>
      <c r="B1" s="20"/>
      <c r="C1" s="28"/>
      <c r="D1" s="20"/>
      <c r="E1" s="20"/>
      <c r="F1" s="20"/>
      <c r="G1" s="20"/>
      <c r="H1" s="29"/>
      <c r="I1" s="39"/>
    </row>
    <row r="2" s="23" customFormat="1" ht="24" customHeight="1" spans="1:9">
      <c r="A2" s="30" t="s">
        <v>1</v>
      </c>
      <c r="B2" s="31" t="s">
        <v>2</v>
      </c>
      <c r="C2" s="32"/>
      <c r="D2" s="33"/>
      <c r="E2" s="33"/>
      <c r="F2" s="33"/>
      <c r="G2" s="33"/>
      <c r="H2" s="34"/>
      <c r="I2" s="40"/>
    </row>
    <row r="3" s="1" customFormat="1" ht="30" customHeight="1" spans="1:9">
      <c r="A3" s="6" t="s">
        <v>3</v>
      </c>
      <c r="B3" s="7" t="s">
        <v>4</v>
      </c>
      <c r="C3" s="35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8" t="s">
        <v>10</v>
      </c>
      <c r="I3" s="41" t="s">
        <v>11</v>
      </c>
    </row>
    <row r="4" ht="30" customHeight="1" spans="1:9">
      <c r="A4" s="9" t="s">
        <v>12</v>
      </c>
      <c r="B4" s="9" t="s">
        <v>13</v>
      </c>
      <c r="C4" s="10"/>
      <c r="D4" s="10" t="s">
        <v>14</v>
      </c>
      <c r="E4" s="10" t="s">
        <v>15</v>
      </c>
      <c r="F4" s="10">
        <v>23</v>
      </c>
      <c r="G4" s="10">
        <v>1863</v>
      </c>
      <c r="H4" s="11">
        <v>117369</v>
      </c>
      <c r="I4" s="21">
        <v>40166</v>
      </c>
    </row>
    <row r="5" ht="30" customHeight="1" spans="1:9">
      <c r="A5" s="9" t="s">
        <v>16</v>
      </c>
      <c r="B5" s="9" t="s">
        <v>17</v>
      </c>
      <c r="C5" s="10"/>
      <c r="D5" s="10" t="s">
        <v>14</v>
      </c>
      <c r="E5" s="10" t="s">
        <v>18</v>
      </c>
      <c r="F5" s="10">
        <v>12</v>
      </c>
      <c r="G5" s="10">
        <v>429</v>
      </c>
      <c r="H5" s="11">
        <v>26598</v>
      </c>
      <c r="I5" s="21">
        <v>40163</v>
      </c>
    </row>
    <row r="6" ht="30" customHeight="1" spans="1:9">
      <c r="A6" s="9" t="s">
        <v>19</v>
      </c>
      <c r="B6" s="9" t="s">
        <v>20</v>
      </c>
      <c r="C6" s="10"/>
      <c r="D6" s="10" t="s">
        <v>14</v>
      </c>
      <c r="E6" s="10" t="s">
        <v>21</v>
      </c>
      <c r="F6" s="10">
        <v>9</v>
      </c>
      <c r="G6" s="10">
        <v>327</v>
      </c>
      <c r="H6" s="11">
        <v>19416</v>
      </c>
      <c r="I6" s="21">
        <v>50151</v>
      </c>
    </row>
    <row r="7" s="24" customFormat="1" ht="30" customHeight="1" spans="1:9">
      <c r="A7" s="36" t="s">
        <v>22</v>
      </c>
      <c r="B7" s="36"/>
      <c r="C7" s="37"/>
      <c r="D7" s="36"/>
      <c r="E7" s="36"/>
      <c r="F7" s="36"/>
      <c r="G7" s="36"/>
      <c r="H7" s="38">
        <f>SUM(H4:H6)</f>
        <v>163383</v>
      </c>
      <c r="I7" s="42"/>
    </row>
  </sheetData>
  <mergeCells count="2">
    <mergeCell ref="A1:I1"/>
    <mergeCell ref="B2:G2"/>
  </mergeCells>
  <pageMargins left="0.66875" right="0.236111111111111" top="0.708333333333333" bottom="1" header="0.156944444444444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tabSelected="1" workbookViewId="0">
      <selection activeCell="G13" sqref="G13"/>
    </sheetView>
  </sheetViews>
  <sheetFormatPr defaultColWidth="9" defaultRowHeight="13.5"/>
  <cols>
    <col min="1" max="1" width="13.75" style="2" customWidth="1"/>
    <col min="2" max="2" width="15.7666666666667" customWidth="1"/>
    <col min="3" max="3" width="13.625" customWidth="1"/>
    <col min="4" max="5" width="5.125" customWidth="1"/>
    <col min="6" max="6" width="3.625" customWidth="1"/>
    <col min="7" max="7" width="5.375" customWidth="1"/>
    <col min="8" max="8" width="15.125" style="3" customWidth="1"/>
    <col min="9" max="9" width="15" style="2" customWidth="1"/>
    <col min="12" max="12" width="11.5" customWidth="1"/>
  </cols>
  <sheetData>
    <row r="1" s="1" customFormat="1" ht="32" customHeight="1" spans="1:9">
      <c r="A1" s="4" t="s">
        <v>23</v>
      </c>
      <c r="B1" s="4"/>
      <c r="C1" s="4"/>
      <c r="D1" s="4"/>
      <c r="E1" s="4"/>
      <c r="F1" s="4"/>
      <c r="G1" s="4"/>
      <c r="H1" s="5"/>
      <c r="I1" s="20"/>
    </row>
    <row r="2" s="1" customFormat="1" ht="31" customHeight="1" spans="1:9">
      <c r="A2" s="6" t="s">
        <v>3</v>
      </c>
      <c r="B2" s="7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8" t="s">
        <v>10</v>
      </c>
      <c r="I2" s="6" t="s">
        <v>11</v>
      </c>
    </row>
    <row r="3" customFormat="1" ht="30" customHeight="1" spans="1:9">
      <c r="A3" s="9" t="s">
        <v>16</v>
      </c>
      <c r="B3" s="9" t="s">
        <v>17</v>
      </c>
      <c r="C3" s="10"/>
      <c r="D3" s="10" t="s">
        <v>14</v>
      </c>
      <c r="E3" s="10" t="s">
        <v>18</v>
      </c>
      <c r="F3" s="10">
        <v>12</v>
      </c>
      <c r="G3" s="10">
        <v>429</v>
      </c>
      <c r="H3" s="11">
        <v>26598</v>
      </c>
      <c r="I3" s="21">
        <v>40163</v>
      </c>
    </row>
    <row r="4" customFormat="1" ht="30" customHeight="1" spans="1:9">
      <c r="A4" s="9" t="s">
        <v>19</v>
      </c>
      <c r="B4" s="9" t="s">
        <v>20</v>
      </c>
      <c r="C4" s="10"/>
      <c r="D4" s="10" t="s">
        <v>14</v>
      </c>
      <c r="E4" s="10" t="s">
        <v>21</v>
      </c>
      <c r="F4" s="10">
        <v>9</v>
      </c>
      <c r="G4" s="10">
        <v>327</v>
      </c>
      <c r="H4" s="11">
        <v>19416</v>
      </c>
      <c r="I4" s="21">
        <v>50151</v>
      </c>
    </row>
    <row r="5" s="2" customFormat="1" ht="30" customHeight="1" spans="1:9">
      <c r="A5" s="12">
        <v>44001</v>
      </c>
      <c r="B5" s="13" t="s">
        <v>24</v>
      </c>
      <c r="C5" s="14"/>
      <c r="D5" s="14"/>
      <c r="E5" s="14"/>
      <c r="F5" s="14"/>
      <c r="G5" s="14"/>
      <c r="H5" s="15">
        <v>-46014</v>
      </c>
      <c r="I5" s="21"/>
    </row>
    <row r="6" customFormat="1" ht="30" customHeight="1" spans="1:9">
      <c r="A6" s="9" t="s">
        <v>12</v>
      </c>
      <c r="B6" s="9" t="s">
        <v>13</v>
      </c>
      <c r="C6" s="10"/>
      <c r="D6" s="10" t="s">
        <v>14</v>
      </c>
      <c r="E6" s="10" t="s">
        <v>15</v>
      </c>
      <c r="F6" s="10">
        <v>23</v>
      </c>
      <c r="G6" s="10">
        <v>1863</v>
      </c>
      <c r="H6" s="11">
        <v>117369</v>
      </c>
      <c r="I6" s="21">
        <v>40166</v>
      </c>
    </row>
    <row r="7" s="2" customFormat="1" ht="30" customHeight="1" spans="1:9">
      <c r="A7" s="12">
        <v>44013</v>
      </c>
      <c r="B7" s="13" t="s">
        <v>24</v>
      </c>
      <c r="C7" s="14"/>
      <c r="D7" s="14"/>
      <c r="E7" s="14"/>
      <c r="F7" s="14"/>
      <c r="G7" s="14"/>
      <c r="H7" s="15">
        <v>-117369</v>
      </c>
      <c r="I7" s="21"/>
    </row>
    <row r="8" ht="27" customHeight="1" spans="1:9">
      <c r="A8" s="16" t="s">
        <v>25</v>
      </c>
      <c r="B8" s="17"/>
      <c r="C8" s="17"/>
      <c r="D8" s="17"/>
      <c r="E8" s="17"/>
      <c r="F8" s="17"/>
      <c r="G8" s="17"/>
      <c r="H8" s="18">
        <f>SUM(H3:H7)</f>
        <v>0</v>
      </c>
      <c r="I8" s="22"/>
    </row>
    <row r="19" ht="14.25" spans="3:5">
      <c r="C19" s="19"/>
      <c r="E19" s="19"/>
    </row>
  </sheetData>
  <mergeCells count="1">
    <mergeCell ref="A1:I1"/>
  </mergeCells>
  <pageMargins left="0.786805555555556" right="0.236111111111111" top="0.511805555555556" bottom="1" header="0.236111111111111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总欠 </vt:lpstr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2019-07-15T05:10:00Z</dcterms:created>
  <dcterms:modified xsi:type="dcterms:W3CDTF">2020-07-01T03:51:32Z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