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'1'!$A$1:$I$10</definedName>
    <definedName name="_xlnm.Print_Area" localSheetId="0">'总欠 '!$A$1:$I$7</definedName>
  </definedNames>
  <calcPr calcId="144525"/>
</workbook>
</file>

<file path=xl/sharedStrings.xml><?xml version="1.0" encoding="utf-8"?>
<sst xmlns="http://schemas.openxmlformats.org/spreadsheetml/2006/main" count="63" uniqueCount="33">
  <si>
    <t>威都2021年1月份对帐单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</si>
  <si>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</si>
  <si>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</si>
  <si>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</si>
  <si>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</si>
  <si>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</si>
  <si>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</si>
  <si>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</si>
  <si>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</si>
  <si>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</si>
  <si>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</si>
  <si>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</si>
  <si>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WDAE20100395</t>
  </si>
  <si>
    <t>071-39853085</t>
  </si>
  <si>
    <t>WUH</t>
  </si>
  <si>
    <t>LOS</t>
  </si>
  <si>
    <t>WDAE21010467</t>
  </si>
  <si>
    <t>071-39955451</t>
  </si>
  <si>
    <t>0</t>
  </si>
  <si>
    <t>CAN</t>
  </si>
  <si>
    <t>WDAE21020308</t>
  </si>
  <si>
    <t>235-44270914</t>
  </si>
  <si>
    <t>210226000020</t>
  </si>
  <si>
    <t>合计</t>
  </si>
  <si>
    <t>支付：威都清单</t>
  </si>
  <si>
    <t>件
数</t>
  </si>
  <si>
    <t>重
量</t>
  </si>
  <si>
    <t>私账支付</t>
  </si>
  <si>
    <t>欠</t>
  </si>
  <si>
    <t>JOB10196
上月欠</t>
  </si>
  <si>
    <t>抵扣运输费</t>
  </si>
  <si>
    <t>WDAE21020308
235-44270914</t>
  </si>
  <si>
    <t>210226000020;JOB010192报关扣货赔偿款</t>
  </si>
</sst>
</file>

<file path=xl/styles.xml><?xml version="1.0" encoding="utf-8"?>
<styleSheet xmlns="http://schemas.openxmlformats.org/spreadsheetml/2006/main">
  <numFmts count="8">
    <numFmt numFmtId="176" formatCode="yyyy/mm/dd"/>
    <numFmt numFmtId="42" formatCode="_ &quot;￥&quot;* #,##0_ ;_ &quot;￥&quot;* \-#,##0_ ;_ &quot;￥&quot;* &quot;-&quot;_ ;_ @_ "/>
    <numFmt numFmtId="177" formatCode="#0.00"/>
    <numFmt numFmtId="44" formatCode="_ &quot;￥&quot;* #,##0.00_ ;_ &quot;￥&quot;* \-#,##0.00_ ;_ &quot;￥&quot;* &quot;-&quot;??_ ;_ @_ "/>
    <numFmt numFmtId="178" formatCode="&quot;￥&quot;#,##0.00_);[Red]\(&quot;￥&quot;#,##0.00\)"/>
    <numFmt numFmtId="41" formatCode="_ * #,##0_ ;_ * \-#,##0_ ;_ * &quot;-&quot;_ ;_ @_ "/>
    <numFmt numFmtId="43" formatCode="_ * #,##0.00_ ;_ * \-#,##0.00_ ;_ * &quot;-&quot;??_ ;_ @_ "/>
    <numFmt numFmtId="179" formatCode="&quot;JOB&quot;000000"/>
  </numFmts>
  <fonts count="39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name val="微软雅黑"/>
      <charset val="134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6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1" fillId="2" borderId="3" applyNumberFormat="0" applyAlignment="0" applyProtection="0">
      <alignment vertical="center"/>
    </xf>
    <xf numFmtId="0" fontId="35" fillId="2" borderId="6" applyNumberFormat="0" applyAlignment="0" applyProtection="0">
      <alignment vertical="center"/>
    </xf>
    <xf numFmtId="0" fontId="34" fillId="17" borderId="9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 wrapText="1"/>
    </xf>
    <xf numFmtId="178" fontId="3" fillId="0" borderId="0" xfId="0" applyNumberFormat="1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178" fontId="6" fillId="0" borderId="1" xfId="0" applyNumberFormat="1" applyFont="1" applyFill="1" applyBorder="1" applyAlignment="1">
      <alignment vertical="center" wrapText="1"/>
    </xf>
    <xf numFmtId="58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 wrapText="1"/>
    </xf>
    <xf numFmtId="58" fontId="7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178" fontId="0" fillId="0" borderId="0" xfId="0" applyNumberForma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178" fontId="3" fillId="0" borderId="0" xfId="0" applyNumberFormat="1" applyFont="1" applyFill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178" fontId="15" fillId="0" borderId="0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 wrapText="1"/>
    </xf>
    <xf numFmtId="179" fontId="12" fillId="0" borderId="0" xfId="0" applyNumberFormat="1" applyFont="1" applyFill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 quotePrefix="1">
      <alignment vertical="center"/>
    </xf>
    <xf numFmtId="0" fontId="13" fillId="0" borderId="1" xfId="0" applyFont="1" applyFill="1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"/>
  <sheetViews>
    <sheetView workbookViewId="0">
      <selection activeCell="H15" sqref="H15"/>
    </sheetView>
  </sheetViews>
  <sheetFormatPr defaultColWidth="9" defaultRowHeight="13.5"/>
  <cols>
    <col min="1" max="1" width="13.875" customWidth="1"/>
    <col min="2" max="2" width="14.375" customWidth="1"/>
    <col min="3" max="3" width="14.3333333333333" style="34" customWidth="1"/>
    <col min="4" max="7" width="5.75" style="4" customWidth="1"/>
    <col min="8" max="8" width="14.35" style="35" customWidth="1"/>
    <col min="9" max="9" width="15.375" style="36" customWidth="1"/>
    <col min="11" max="11" width="12" customWidth="1"/>
  </cols>
  <sheetData>
    <row r="1" s="1" customFormat="1" ht="33" customHeight="1" spans="1:9">
      <c r="A1" s="27" t="s">
        <v>0</v>
      </c>
      <c r="B1" s="27"/>
      <c r="C1" s="37"/>
      <c r="D1" s="27"/>
      <c r="E1" s="27"/>
      <c r="F1" s="27"/>
      <c r="G1" s="27"/>
      <c r="H1" s="38"/>
      <c r="I1" s="49"/>
    </row>
    <row r="2" s="33" customFormat="1" ht="24" customHeight="1" spans="1:9">
      <c r="A2" s="39" t="s">
        <v>1</v>
      </c>
      <c r="B2" s="40" t="s">
        <v>2</v>
      </c>
      <c r="C2" s="41"/>
      <c r="D2" s="39"/>
      <c r="E2" s="39"/>
      <c r="F2" s="39"/>
      <c r="G2" s="39"/>
      <c r="H2" s="42"/>
      <c r="I2" s="50"/>
    </row>
    <row r="3" s="1" customFormat="1" ht="41" customHeight="1" spans="1:9">
      <c r="A3" s="8" t="s">
        <v>3</v>
      </c>
      <c r="B3" s="9" t="s">
        <v>4</v>
      </c>
      <c r="C3" s="43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10" t="s">
        <v>10</v>
      </c>
      <c r="I3" s="51" t="s">
        <v>11</v>
      </c>
    </row>
    <row r="4" ht="41" customHeight="1" spans="1:9">
      <c r="A4" s="11" t="s">
        <v>12</v>
      </c>
      <c r="B4" s="11" t="s">
        <v>13</v>
      </c>
      <c r="C4" s="11" t="s">
        <v>13</v>
      </c>
      <c r="D4" s="12" t="s">
        <v>14</v>
      </c>
      <c r="E4" s="12" t="s">
        <v>15</v>
      </c>
      <c r="F4" s="12">
        <v>33</v>
      </c>
      <c r="G4" s="12">
        <v>2579</v>
      </c>
      <c r="H4" s="13">
        <v>80299</v>
      </c>
      <c r="I4" s="28">
        <v>10192</v>
      </c>
    </row>
    <row r="5" ht="41" customHeight="1" spans="1:9">
      <c r="A5" s="11" t="s">
        <v>16</v>
      </c>
      <c r="B5" s="11" t="s">
        <v>17</v>
      </c>
      <c r="C5" s="11" t="s">
        <v>18</v>
      </c>
      <c r="D5" s="12" t="s">
        <v>19</v>
      </c>
      <c r="E5" s="12" t="s">
        <v>15</v>
      </c>
      <c r="F5" s="12">
        <v>75</v>
      </c>
      <c r="G5" s="12">
        <v>7116</v>
      </c>
      <c r="H5" s="13">
        <v>246213.6</v>
      </c>
      <c r="I5" s="28">
        <v>10196</v>
      </c>
    </row>
    <row r="6" s="3" customFormat="1" ht="27" customHeight="1" spans="1:9">
      <c r="A6" s="22" t="s">
        <v>20</v>
      </c>
      <c r="B6" s="44">
        <v>44256</v>
      </c>
      <c r="C6" s="22" t="s">
        <v>21</v>
      </c>
      <c r="D6" s="22" t="s">
        <v>15</v>
      </c>
      <c r="E6" s="22" t="s">
        <v>15</v>
      </c>
      <c r="F6" s="23"/>
      <c r="G6" s="23"/>
      <c r="H6" s="24">
        <v>-12600</v>
      </c>
      <c r="I6" s="52" t="s">
        <v>22</v>
      </c>
    </row>
    <row r="7" s="2" customFormat="1" ht="41" customHeight="1" spans="1:9">
      <c r="A7" s="17" t="s">
        <v>23</v>
      </c>
      <c r="B7" s="17"/>
      <c r="C7" s="18"/>
      <c r="D7" s="17"/>
      <c r="E7" s="17"/>
      <c r="F7" s="17"/>
      <c r="G7" s="17"/>
      <c r="H7" s="19">
        <f>SUM(H4:H6)</f>
        <v>313912.6</v>
      </c>
      <c r="I7" s="29"/>
    </row>
    <row r="8" spans="1:8">
      <c r="A8" s="45"/>
      <c r="B8" s="45"/>
      <c r="C8" s="46"/>
      <c r="D8" s="47"/>
      <c r="E8" s="47"/>
      <c r="F8" s="47"/>
      <c r="G8" s="47"/>
      <c r="H8" s="48"/>
    </row>
    <row r="9" spans="1:8">
      <c r="A9" s="45"/>
      <c r="B9" s="45"/>
      <c r="C9" s="46"/>
      <c r="D9" s="47"/>
      <c r="E9" s="47"/>
      <c r="F9" s="47"/>
      <c r="G9" s="47"/>
      <c r="H9" s="48"/>
    </row>
  </sheetData>
  <mergeCells count="2">
    <mergeCell ref="A1:I1"/>
    <mergeCell ref="B2:G2"/>
  </mergeCells>
  <pageMargins left="0.550694444444444" right="0.236111111111111" top="0.550694444444444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3"/>
  <sheetViews>
    <sheetView tabSelected="1" workbookViewId="0">
      <selection activeCell="C9" sqref="C9"/>
    </sheetView>
  </sheetViews>
  <sheetFormatPr defaultColWidth="9" defaultRowHeight="13.5"/>
  <cols>
    <col min="1" max="1" width="13.75" style="4" customWidth="1"/>
    <col min="2" max="2" width="13.75" customWidth="1"/>
    <col min="3" max="3" width="12.125" customWidth="1"/>
    <col min="4" max="5" width="6.125" customWidth="1"/>
    <col min="6" max="6" width="4.25" customWidth="1"/>
    <col min="7" max="7" width="5.375" customWidth="1"/>
    <col min="8" max="8" width="14.5" style="5" customWidth="1"/>
    <col min="9" max="9" width="16.625" style="4" customWidth="1"/>
    <col min="12" max="12" width="11.5" customWidth="1"/>
  </cols>
  <sheetData>
    <row r="1" s="1" customFormat="1" ht="32" customHeight="1" spans="1:9">
      <c r="A1" s="6" t="s">
        <v>24</v>
      </c>
      <c r="B1" s="6"/>
      <c r="C1" s="6"/>
      <c r="D1" s="6"/>
      <c r="E1" s="6"/>
      <c r="F1" s="6"/>
      <c r="G1" s="6"/>
      <c r="H1" s="7"/>
      <c r="I1" s="27"/>
    </row>
    <row r="2" s="1" customFormat="1" ht="31" customHeight="1" spans="1:9">
      <c r="A2" s="8" t="s">
        <v>3</v>
      </c>
      <c r="B2" s="9" t="s">
        <v>4</v>
      </c>
      <c r="C2" s="8" t="s">
        <v>5</v>
      </c>
      <c r="D2" s="8" t="s">
        <v>6</v>
      </c>
      <c r="E2" s="8" t="s">
        <v>7</v>
      </c>
      <c r="F2" s="8" t="s">
        <v>25</v>
      </c>
      <c r="G2" s="8" t="s">
        <v>26</v>
      </c>
      <c r="H2" s="10" t="s">
        <v>10</v>
      </c>
      <c r="I2" s="8" t="s">
        <v>11</v>
      </c>
    </row>
    <row r="3" customFormat="1" ht="41" customHeight="1" spans="1:9">
      <c r="A3" s="11" t="s">
        <v>16</v>
      </c>
      <c r="B3" s="11" t="s">
        <v>17</v>
      </c>
      <c r="C3" s="11" t="s">
        <v>18</v>
      </c>
      <c r="D3" s="12" t="s">
        <v>19</v>
      </c>
      <c r="E3" s="12" t="s">
        <v>15</v>
      </c>
      <c r="F3" s="12">
        <v>75</v>
      </c>
      <c r="G3" s="12">
        <v>7116</v>
      </c>
      <c r="H3" s="13">
        <v>246213.6</v>
      </c>
      <c r="I3" s="28">
        <v>10196</v>
      </c>
    </row>
    <row r="4" customFormat="1" ht="37" customHeight="1" spans="1:9">
      <c r="A4" s="14">
        <v>44237</v>
      </c>
      <c r="B4" s="15" t="s">
        <v>27</v>
      </c>
      <c r="C4" s="16"/>
      <c r="D4" s="12"/>
      <c r="E4" s="12"/>
      <c r="F4" s="12"/>
      <c r="G4" s="12"/>
      <c r="H4" s="13">
        <v>-150000</v>
      </c>
      <c r="I4" s="28"/>
    </row>
    <row r="5" s="2" customFormat="1" ht="33" customHeight="1" spans="1:9">
      <c r="A5" s="17" t="s">
        <v>28</v>
      </c>
      <c r="B5" s="17"/>
      <c r="C5" s="18"/>
      <c r="D5" s="17"/>
      <c r="E5" s="17"/>
      <c r="F5" s="17"/>
      <c r="G5" s="17"/>
      <c r="H5" s="19">
        <f>SUM(H3:H4)</f>
        <v>96213.6</v>
      </c>
      <c r="I5" s="29"/>
    </row>
    <row r="6" customFormat="1" ht="41" customHeight="1" spans="1:9">
      <c r="A6" s="11" t="s">
        <v>16</v>
      </c>
      <c r="B6" s="11" t="s">
        <v>17</v>
      </c>
      <c r="C6" s="11" t="s">
        <v>18</v>
      </c>
      <c r="D6" s="12" t="s">
        <v>19</v>
      </c>
      <c r="E6" s="12" t="s">
        <v>15</v>
      </c>
      <c r="F6" s="12">
        <v>75</v>
      </c>
      <c r="G6" s="12">
        <v>7116</v>
      </c>
      <c r="H6" s="13">
        <v>96213.6</v>
      </c>
      <c r="I6" s="30" t="s">
        <v>29</v>
      </c>
    </row>
    <row r="7" customFormat="1" ht="41" customHeight="1" spans="1:9">
      <c r="A7" s="11" t="s">
        <v>12</v>
      </c>
      <c r="B7" s="11" t="s">
        <v>13</v>
      </c>
      <c r="C7" s="16" t="s">
        <v>13</v>
      </c>
      <c r="D7" s="12" t="s">
        <v>14</v>
      </c>
      <c r="E7" s="12" t="s">
        <v>15</v>
      </c>
      <c r="F7" s="12">
        <v>33</v>
      </c>
      <c r="G7" s="12">
        <v>2579</v>
      </c>
      <c r="H7" s="13">
        <v>80299</v>
      </c>
      <c r="I7" s="28">
        <v>10192</v>
      </c>
    </row>
    <row r="8" s="3" customFormat="1" ht="48" customHeight="1" spans="1:9">
      <c r="A8" s="20">
        <v>44256</v>
      </c>
      <c r="B8" s="21" t="s">
        <v>30</v>
      </c>
      <c r="C8" s="21" t="s">
        <v>31</v>
      </c>
      <c r="D8" s="22" t="s">
        <v>15</v>
      </c>
      <c r="E8" s="22" t="s">
        <v>15</v>
      </c>
      <c r="F8" s="23"/>
      <c r="G8" s="23"/>
      <c r="H8" s="24">
        <v>-12600</v>
      </c>
      <c r="I8" s="53" t="s">
        <v>32</v>
      </c>
    </row>
    <row r="9" s="3" customFormat="1" ht="27" customHeight="1" spans="1:9">
      <c r="A9" s="25">
        <v>44281</v>
      </c>
      <c r="B9" s="20" t="s">
        <v>27</v>
      </c>
      <c r="C9" s="22"/>
      <c r="D9" s="22"/>
      <c r="E9" s="22"/>
      <c r="F9" s="23"/>
      <c r="G9" s="23"/>
      <c r="H9" s="24">
        <v>-163912.6</v>
      </c>
      <c r="I9" s="32"/>
    </row>
    <row r="10" s="2" customFormat="1" ht="33" customHeight="1" spans="1:9">
      <c r="A10" s="17" t="s">
        <v>28</v>
      </c>
      <c r="B10" s="17"/>
      <c r="C10" s="18"/>
      <c r="D10" s="17"/>
      <c r="E10" s="17"/>
      <c r="F10" s="17"/>
      <c r="G10" s="17"/>
      <c r="H10" s="19">
        <f>SUM(H6:H9)</f>
        <v>0</v>
      </c>
      <c r="I10" s="29"/>
    </row>
    <row r="13" ht="14.25" spans="3:5">
      <c r="C13" s="26"/>
      <c r="E13" s="26"/>
    </row>
  </sheetData>
  <mergeCells count="1">
    <mergeCell ref="A1:I1"/>
  </mergeCells>
  <pageMargins left="0.511805555555556" right="0.236111111111111" top="0.904861111111111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2021-03-26T07:34:05Z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