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2"/>
  </bookViews>
  <sheets>
    <sheet name="2022-2023" sheetId="1" r:id="rId1"/>
    <sheet name="2024" sheetId="2" r:id="rId2"/>
    <sheet name="2025" sheetId="3" r:id="rId3"/>
  </sheets>
  <definedNames>
    <definedName name="_xlnm._FilterDatabase" localSheetId="0" hidden="1">'2022-2023'!$A$3:$L$170</definedName>
    <definedName name="_xlnm._FilterDatabase" localSheetId="1" hidden="1">'2024'!$A$3:$L$171</definedName>
    <definedName name="_xlnm._FilterDatabase" localSheetId="2" hidden="1">'2025'!$A$3:$O$172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Shirl</author>
  </authors>
  <commentList>
    <comment ref="H19" authorId="0">
      <text>
        <r>
          <rPr>
            <b/>
            <sz val="9"/>
            <rFont val="宋体"/>
            <charset val="134"/>
          </rPr>
          <t>Shirl:</t>
        </r>
        <r>
          <rPr>
            <sz val="9"/>
            <rFont val="宋体"/>
            <charset val="134"/>
          </rPr>
          <t xml:space="preserve">
过机费、停车登记费总计860
按比例计算，此批总重2515,694/2515=28%
860*28%=240.8</t>
        </r>
      </text>
    </comment>
    <comment ref="H20" authorId="0">
      <text>
        <r>
          <rPr>
            <b/>
            <sz val="9"/>
            <rFont val="宋体"/>
            <charset val="134"/>
          </rPr>
          <t>Shirl:</t>
        </r>
        <r>
          <rPr>
            <sz val="9"/>
            <rFont val="宋体"/>
            <charset val="134"/>
          </rPr>
          <t xml:space="preserve">
过机费、停车登记费总计860
按比例计算，此批总重2995,680/2995=23%
860*23%=197.8</t>
        </r>
      </text>
    </comment>
    <comment ref="H22" authorId="0">
      <text>
        <r>
          <rPr>
            <b/>
            <sz val="9"/>
            <rFont val="宋体"/>
            <charset val="134"/>
          </rPr>
          <t>Shirl:</t>
        </r>
        <r>
          <rPr>
            <sz val="9"/>
            <rFont val="宋体"/>
            <charset val="134"/>
          </rPr>
          <t xml:space="preserve">
过机费、停车登记费总计1580
按比例计算，此批总重2892,861.5/2892=30%
1580*30%=474</t>
        </r>
      </text>
    </comment>
  </commentList>
</comments>
</file>

<file path=xl/sharedStrings.xml><?xml version="1.0" encoding="utf-8"?>
<sst xmlns="http://schemas.openxmlformats.org/spreadsheetml/2006/main" count="384" uniqueCount="112">
  <si>
    <t>赛捷订单与财务明细(喵喵国际）</t>
  </si>
  <si>
    <t>2022-2023年</t>
  </si>
  <si>
    <r>
      <rPr>
        <b/>
        <sz val="10"/>
        <color rgb="FF002060"/>
        <rFont val="Arial"/>
        <charset val="134"/>
      </rPr>
      <t>Date</t>
    </r>
    <r>
      <rPr>
        <b/>
        <sz val="10"/>
        <color rgb="FF002060"/>
        <rFont val="Microsoft JhengHei"/>
        <charset val="134"/>
      </rPr>
      <t>日期</t>
    </r>
  </si>
  <si>
    <r>
      <rPr>
        <b/>
        <sz val="10"/>
        <color rgb="FF002060"/>
        <rFont val="Microsoft JhengHei"/>
        <charset val="134"/>
      </rPr>
      <t>订单号</t>
    </r>
  </si>
  <si>
    <t>起运港</t>
  </si>
  <si>
    <t>件数</t>
  </si>
  <si>
    <r>
      <rPr>
        <b/>
        <sz val="10"/>
        <color rgb="FF002060"/>
        <rFont val="Microsoft JhengHei"/>
        <charset val="134"/>
      </rPr>
      <t>单价</t>
    </r>
    <r>
      <rPr>
        <b/>
        <sz val="10"/>
        <color rgb="FF002060"/>
        <rFont val="Arial"/>
        <charset val="134"/>
      </rPr>
      <t>RMB</t>
    </r>
  </si>
  <si>
    <r>
      <rPr>
        <b/>
        <sz val="10"/>
        <color rgb="FF002060"/>
        <rFont val="Microsoft JhengHei"/>
        <charset val="134"/>
      </rPr>
      <t>重量</t>
    </r>
    <r>
      <rPr>
        <b/>
        <sz val="10"/>
        <color rgb="FF002060"/>
        <rFont val="Arial"/>
        <charset val="134"/>
      </rPr>
      <t>KG</t>
    </r>
  </si>
  <si>
    <r>
      <rPr>
        <b/>
        <sz val="10"/>
        <color theme="1"/>
        <rFont val="Microsoft JhengHei"/>
        <charset val="134"/>
      </rPr>
      <t>总费用</t>
    </r>
    <r>
      <rPr>
        <b/>
        <sz val="10"/>
        <color theme="1"/>
        <rFont val="Arial"/>
        <charset val="134"/>
      </rPr>
      <t>RMB</t>
    </r>
  </si>
  <si>
    <t>其它费用</t>
  </si>
  <si>
    <r>
      <rPr>
        <b/>
        <sz val="10"/>
        <color rgb="FFFF0000"/>
        <rFont val="Microsoft JhengHei"/>
        <charset val="134"/>
      </rPr>
      <t>描述</t>
    </r>
  </si>
  <si>
    <r>
      <rPr>
        <b/>
        <sz val="10"/>
        <color rgb="FF002060"/>
        <rFont val="Microsoft JhengHei"/>
        <charset val="134"/>
      </rPr>
      <t>喵喵应收</t>
    </r>
    <r>
      <rPr>
        <b/>
        <sz val="10"/>
        <color rgb="FF002060"/>
        <rFont val="Arial"/>
        <charset val="134"/>
      </rPr>
      <t>(RMB)</t>
    </r>
  </si>
  <si>
    <r>
      <rPr>
        <b/>
        <sz val="10"/>
        <color rgb="FF002060"/>
        <rFont val="Microsoft JhengHei"/>
        <charset val="134"/>
      </rPr>
      <t>已支付</t>
    </r>
    <r>
      <rPr>
        <b/>
        <sz val="10"/>
        <color rgb="FF002060"/>
        <rFont val="Arial"/>
        <charset val="134"/>
      </rPr>
      <t>(RMB)</t>
    </r>
  </si>
  <si>
    <r>
      <rPr>
        <b/>
        <sz val="10"/>
        <color rgb="FFFF0000"/>
        <rFont val="Microsoft JhengHei"/>
        <charset val="134"/>
      </rPr>
      <t>尚欠款</t>
    </r>
    <r>
      <rPr>
        <b/>
        <sz val="10"/>
        <color rgb="FFFF0000"/>
        <rFont val="Arial"/>
        <charset val="134"/>
      </rPr>
      <t>(RMB)</t>
    </r>
  </si>
  <si>
    <t>HKG</t>
  </si>
  <si>
    <t>071-46769251</t>
  </si>
  <si>
    <t>071-46455566</t>
  </si>
  <si>
    <t>071-46455581</t>
  </si>
  <si>
    <t>071-45410304</t>
  </si>
  <si>
    <t>071-46998490</t>
  </si>
  <si>
    <t>071-41659380</t>
  </si>
  <si>
    <t>071-42261343</t>
  </si>
  <si>
    <t>071-42843780</t>
  </si>
  <si>
    <t>071-43215410</t>
  </si>
  <si>
    <t>071-42449260</t>
  </si>
  <si>
    <t>071-42641211</t>
  </si>
  <si>
    <t>071-47350461</t>
  </si>
  <si>
    <t>071-47350704</t>
  </si>
  <si>
    <t>071-47630450</t>
  </si>
  <si>
    <t>071-47350870</t>
  </si>
  <si>
    <t>支付运费</t>
  </si>
  <si>
    <t>071-47630520</t>
  </si>
  <si>
    <t>071-47630660</t>
  </si>
  <si>
    <t>071-47630704</t>
  </si>
  <si>
    <t>071-47630774</t>
  </si>
  <si>
    <t>071-47909120</t>
  </si>
  <si>
    <t>071-47630881</t>
  </si>
  <si>
    <t>071-47918603</t>
  </si>
  <si>
    <t>071-47918651</t>
  </si>
  <si>
    <t>071-47914694</t>
  </si>
  <si>
    <t>071-47924262</t>
  </si>
  <si>
    <t>235-64023536</t>
  </si>
  <si>
    <t>235-65168821</t>
  </si>
  <si>
    <t>235-65168832</t>
  </si>
  <si>
    <t>235-05698221</t>
  </si>
  <si>
    <t>235-27949036</t>
  </si>
  <si>
    <r>
      <rPr>
        <sz val="10"/>
        <color theme="1"/>
        <rFont val="Arial"/>
        <charset val="134"/>
      </rPr>
      <t>6</t>
    </r>
    <r>
      <rPr>
        <sz val="10"/>
        <color theme="1"/>
        <rFont val="宋体"/>
        <charset val="134"/>
      </rPr>
      <t>月</t>
    </r>
    <r>
      <rPr>
        <sz val="10"/>
        <color theme="1"/>
        <rFont val="Arial"/>
        <charset val="134"/>
      </rPr>
      <t>15</t>
    </r>
  </si>
  <si>
    <r>
      <rPr>
        <sz val="10"/>
        <color theme="1"/>
        <rFont val="Arial"/>
        <charset val="134"/>
      </rPr>
      <t>6</t>
    </r>
    <r>
      <rPr>
        <sz val="10"/>
        <color theme="1"/>
        <rFont val="宋体"/>
        <charset val="134"/>
      </rPr>
      <t>月</t>
    </r>
    <r>
      <rPr>
        <sz val="10"/>
        <color theme="1"/>
        <rFont val="Arial"/>
        <charset val="134"/>
      </rPr>
      <t>14</t>
    </r>
  </si>
  <si>
    <r>
      <rPr>
        <sz val="10"/>
        <color theme="1"/>
        <rFont val="Arial"/>
        <charset val="134"/>
      </rPr>
      <t>6</t>
    </r>
    <r>
      <rPr>
        <sz val="10"/>
        <color theme="1"/>
        <rFont val="宋体"/>
        <charset val="134"/>
      </rPr>
      <t>月</t>
    </r>
    <r>
      <rPr>
        <sz val="10"/>
        <color theme="1"/>
        <rFont val="Arial"/>
        <charset val="134"/>
      </rPr>
      <t>17</t>
    </r>
  </si>
  <si>
    <r>
      <rPr>
        <sz val="10"/>
        <color theme="1"/>
        <rFont val="宋体"/>
        <charset val="134"/>
      </rPr>
      <t>7月</t>
    </r>
    <r>
      <rPr>
        <sz val="10"/>
        <color theme="1"/>
        <rFont val="Arial"/>
        <charset val="134"/>
      </rPr>
      <t>1</t>
    </r>
  </si>
  <si>
    <r>
      <rPr>
        <sz val="10"/>
        <color theme="1"/>
        <rFont val="宋体"/>
        <charset val="134"/>
      </rPr>
      <t>喵喵欠赛捷</t>
    </r>
    <r>
      <rPr>
        <sz val="10"/>
        <color theme="1"/>
        <rFont val="Arial"/>
        <charset val="134"/>
      </rPr>
      <t>15925</t>
    </r>
    <r>
      <rPr>
        <sz val="10"/>
        <color theme="1"/>
        <rFont val="宋体"/>
        <charset val="134"/>
      </rPr>
      <t>元，赛捷欠我个人</t>
    </r>
    <r>
      <rPr>
        <sz val="10"/>
        <color theme="1"/>
        <rFont val="Arial"/>
        <charset val="134"/>
      </rPr>
      <t>6129</t>
    </r>
    <r>
      <rPr>
        <sz val="10"/>
        <color theme="1"/>
        <rFont val="宋体"/>
        <charset val="134"/>
      </rPr>
      <t>元，对冲后喵喵尚欠</t>
    </r>
    <r>
      <rPr>
        <sz val="10"/>
        <color theme="1"/>
        <rFont val="Arial"/>
        <charset val="134"/>
      </rPr>
      <t>9796</t>
    </r>
    <r>
      <rPr>
        <sz val="10"/>
        <color theme="1"/>
        <rFont val="宋体"/>
        <charset val="134"/>
      </rPr>
      <t>元</t>
    </r>
  </si>
  <si>
    <t>顶派应收</t>
  </si>
  <si>
    <t>071-49959523</t>
  </si>
  <si>
    <t>CTU</t>
  </si>
  <si>
    <t>071-49959140</t>
  </si>
  <si>
    <t>支付顶派</t>
  </si>
  <si>
    <t>071-49961354</t>
  </si>
  <si>
    <t>MFM</t>
  </si>
  <si>
    <t>支付顶派，其中8059.5元属于顶派应收款，84011.5为喵喵应收款</t>
  </si>
  <si>
    <t>支付宝</t>
  </si>
  <si>
    <t>微信</t>
  </si>
  <si>
    <t>喵喵支付宝</t>
  </si>
  <si>
    <t>罗生私账</t>
  </si>
  <si>
    <t>喵喵公账</t>
  </si>
  <si>
    <t>2024年度</t>
  </si>
  <si>
    <t>转2023年表格余额</t>
  </si>
  <si>
    <r>
      <rPr>
        <sz val="10"/>
        <color rgb="FFFF0000"/>
        <rFont val="宋体"/>
        <charset val="134"/>
      </rPr>
      <t>转</t>
    </r>
    <r>
      <rPr>
        <sz val="10"/>
        <color rgb="FFFF0000"/>
        <rFont val="Arial"/>
        <charset val="134"/>
      </rPr>
      <t>2023</t>
    </r>
    <r>
      <rPr>
        <sz val="10"/>
        <color rgb="FFFF0000"/>
        <rFont val="宋体"/>
        <charset val="134"/>
      </rPr>
      <t>年表格余额</t>
    </r>
  </si>
  <si>
    <t>支付</t>
  </si>
  <si>
    <t>罗月梅</t>
  </si>
  <si>
    <r>
      <rPr>
        <sz val="10"/>
        <color theme="1"/>
        <rFont val="宋体"/>
        <charset val="134"/>
      </rPr>
      <t>微信支付</t>
    </r>
    <r>
      <rPr>
        <sz val="10"/>
        <color theme="1"/>
        <rFont val="Arial"/>
        <charset val="134"/>
      </rPr>
      <t>2</t>
    </r>
    <r>
      <rPr>
        <sz val="10"/>
        <color theme="1"/>
        <rFont val="宋体"/>
        <charset val="134"/>
      </rPr>
      <t>笔</t>
    </r>
    <r>
      <rPr>
        <sz val="10"/>
        <color theme="1"/>
        <rFont val="Arial"/>
        <charset val="134"/>
      </rPr>
      <t>5</t>
    </r>
    <r>
      <rPr>
        <sz val="10"/>
        <color theme="1"/>
        <rFont val="宋体"/>
        <charset val="134"/>
      </rPr>
      <t>万</t>
    </r>
  </si>
  <si>
    <t>公司支付宝</t>
  </si>
  <si>
    <t>支付奈拉23,780,000.00 折合CNY1000,00.00</t>
  </si>
  <si>
    <r>
      <rPr>
        <sz val="10"/>
        <color theme="1"/>
        <rFont val="宋体"/>
        <charset val="134"/>
      </rPr>
      <t>公司公账</t>
    </r>
    <r>
      <rPr>
        <sz val="10"/>
        <color theme="1"/>
        <rFont val="Arial"/>
        <charset val="134"/>
      </rPr>
      <t>120,000</t>
    </r>
  </si>
  <si>
    <t>2025年度</t>
  </si>
  <si>
    <r>
      <rPr>
        <b/>
        <sz val="9"/>
        <color rgb="FF002060"/>
        <rFont val="Arial"/>
        <charset val="134"/>
      </rPr>
      <t>Date</t>
    </r>
    <r>
      <rPr>
        <b/>
        <sz val="9"/>
        <color rgb="FF002060"/>
        <rFont val="Microsoft JhengHei"/>
        <charset val="134"/>
      </rPr>
      <t>日期</t>
    </r>
  </si>
  <si>
    <t>订单号</t>
  </si>
  <si>
    <t>人民币计价</t>
  </si>
  <si>
    <t>奈拉计价</t>
  </si>
  <si>
    <t>描述</t>
  </si>
  <si>
    <r>
      <rPr>
        <b/>
        <sz val="9"/>
        <color rgb="FF002060"/>
        <rFont val="Microsoft JhengHei"/>
        <charset val="134"/>
      </rPr>
      <t>喵喵应收</t>
    </r>
    <r>
      <rPr>
        <b/>
        <sz val="9"/>
        <color rgb="FF002060"/>
        <rFont val="Arial"/>
        <charset val="134"/>
      </rPr>
      <t>(RMB)</t>
    </r>
  </si>
  <si>
    <r>
      <rPr>
        <b/>
        <sz val="9"/>
        <color rgb="FF002060"/>
        <rFont val="Microsoft JhengHei"/>
        <charset val="134"/>
      </rPr>
      <t>已支付</t>
    </r>
    <r>
      <rPr>
        <b/>
        <sz val="9"/>
        <color rgb="FF002060"/>
        <rFont val="Arial"/>
        <charset val="134"/>
      </rPr>
      <t>(RMB)</t>
    </r>
  </si>
  <si>
    <r>
      <rPr>
        <b/>
        <sz val="9"/>
        <color rgb="FFFF0000"/>
        <rFont val="Microsoft JhengHei"/>
        <charset val="134"/>
      </rPr>
      <t>尚欠款</t>
    </r>
    <r>
      <rPr>
        <b/>
        <sz val="9"/>
        <color rgb="FFFF0000"/>
        <rFont val="Arial"/>
        <charset val="134"/>
      </rPr>
      <t>(RMB)</t>
    </r>
  </si>
  <si>
    <r>
      <rPr>
        <b/>
        <sz val="9"/>
        <color rgb="FF002060"/>
        <rFont val="Microsoft JhengHei"/>
        <charset val="134"/>
      </rPr>
      <t>喵喵应收</t>
    </r>
    <r>
      <rPr>
        <b/>
        <sz val="9"/>
        <color rgb="FF002060"/>
        <rFont val="Arial"/>
        <charset val="134"/>
      </rPr>
      <t>(NGN)</t>
    </r>
  </si>
  <si>
    <r>
      <rPr>
        <b/>
        <sz val="9"/>
        <color rgb="FF002060"/>
        <rFont val="Microsoft JhengHei"/>
        <charset val="134"/>
      </rPr>
      <t>已支付</t>
    </r>
    <r>
      <rPr>
        <b/>
        <sz val="9"/>
        <color rgb="FF002060"/>
        <rFont val="Arial"/>
        <charset val="134"/>
      </rPr>
      <t>(NGN)</t>
    </r>
  </si>
  <si>
    <r>
      <rPr>
        <b/>
        <sz val="9"/>
        <color rgb="FFFF0000"/>
        <rFont val="Microsoft JhengHei"/>
        <charset val="134"/>
      </rPr>
      <t>尚欠款</t>
    </r>
    <r>
      <rPr>
        <b/>
        <sz val="9"/>
        <color rgb="FFFF0000"/>
        <rFont val="Arial"/>
        <charset val="134"/>
      </rPr>
      <t>(NGN)</t>
    </r>
  </si>
  <si>
    <r>
      <rPr>
        <b/>
        <sz val="9"/>
        <color rgb="FF002060"/>
        <rFont val="Microsoft JhengHei"/>
        <charset val="134"/>
      </rPr>
      <t>单价</t>
    </r>
    <r>
      <rPr>
        <b/>
        <sz val="9"/>
        <color rgb="FF002060"/>
        <rFont val="Arial"/>
        <charset val="134"/>
      </rPr>
      <t>RMB</t>
    </r>
  </si>
  <si>
    <r>
      <rPr>
        <b/>
        <sz val="9"/>
        <color rgb="FF002060"/>
        <rFont val="Microsoft JhengHei"/>
        <charset val="134"/>
      </rPr>
      <t>重量</t>
    </r>
    <r>
      <rPr>
        <b/>
        <sz val="9"/>
        <color rgb="FF002060"/>
        <rFont val="Arial"/>
        <charset val="134"/>
      </rPr>
      <t>KG</t>
    </r>
  </si>
  <si>
    <r>
      <rPr>
        <b/>
        <sz val="9"/>
        <color theme="1"/>
        <rFont val="Microsoft JhengHei"/>
        <charset val="134"/>
      </rPr>
      <t>总费用</t>
    </r>
    <r>
      <rPr>
        <b/>
        <sz val="9"/>
        <color theme="1"/>
        <rFont val="Arial"/>
        <charset val="134"/>
      </rPr>
      <t>RMB</t>
    </r>
  </si>
  <si>
    <t>其它费用RMB</t>
  </si>
  <si>
    <t>单价NGN</t>
  </si>
  <si>
    <t>总费用NGN</t>
  </si>
  <si>
    <t>其它费用NGN</t>
  </si>
  <si>
    <t>转2024年表格余额</t>
  </si>
  <si>
    <t>071-55596634</t>
  </si>
  <si>
    <r>
      <rPr>
        <sz val="9"/>
        <color theme="1"/>
        <rFont val="宋体"/>
        <charset val="134"/>
      </rPr>
      <t>对冲</t>
    </r>
    <r>
      <rPr>
        <sz val="9"/>
        <color theme="1"/>
        <rFont val="Arial"/>
        <charset val="134"/>
      </rPr>
      <t>RMB 34228</t>
    </r>
    <r>
      <rPr>
        <sz val="9"/>
        <color theme="1"/>
        <rFont val="宋体"/>
        <charset val="134"/>
      </rPr>
      <t>，</t>
    </r>
    <r>
      <rPr>
        <sz val="9"/>
        <color theme="1"/>
        <rFont val="Arial"/>
        <charset val="134"/>
      </rPr>
      <t>NGN 866800</t>
    </r>
  </si>
  <si>
    <t>071-55889293</t>
  </si>
  <si>
    <r>
      <rPr>
        <sz val="9"/>
        <color theme="1"/>
        <rFont val="宋体"/>
        <charset val="134"/>
      </rPr>
      <t>对冲</t>
    </r>
    <r>
      <rPr>
        <sz val="9"/>
        <color theme="1"/>
        <rFont val="Arial"/>
        <charset val="134"/>
      </rPr>
      <t>RMB 38052</t>
    </r>
    <r>
      <rPr>
        <sz val="9"/>
        <color theme="1"/>
        <rFont val="宋体"/>
        <charset val="134"/>
      </rPr>
      <t>，</t>
    </r>
    <r>
      <rPr>
        <sz val="9"/>
        <color theme="1"/>
        <rFont val="Arial"/>
        <charset val="134"/>
      </rPr>
      <t>NGN 724800</t>
    </r>
  </si>
  <si>
    <t>071-55596844</t>
  </si>
  <si>
    <r>
      <rPr>
        <sz val="9"/>
        <color theme="1"/>
        <rFont val="宋体"/>
        <charset val="134"/>
      </rPr>
      <t>对冲</t>
    </r>
    <r>
      <rPr>
        <sz val="9"/>
        <color theme="1"/>
        <rFont val="Arial"/>
        <charset val="134"/>
      </rPr>
      <t>RMB 65360, NGN 1466000</t>
    </r>
  </si>
  <si>
    <t>071-55596962</t>
  </si>
  <si>
    <r>
      <rPr>
        <sz val="9"/>
        <color theme="1"/>
        <rFont val="宋体"/>
        <charset val="134"/>
      </rPr>
      <t>对冲</t>
    </r>
    <r>
      <rPr>
        <sz val="9"/>
        <color theme="1"/>
        <rFont val="Arial"/>
        <charset val="134"/>
      </rPr>
      <t>RMB 70177, NGN 2151600</t>
    </r>
  </si>
  <si>
    <t>071-55901274</t>
  </si>
  <si>
    <r>
      <rPr>
        <sz val="9"/>
        <color theme="1"/>
        <rFont val="宋体"/>
        <charset val="134"/>
      </rPr>
      <t>对冲</t>
    </r>
    <r>
      <rPr>
        <sz val="9"/>
        <color theme="1"/>
        <rFont val="Arial"/>
        <charset val="134"/>
      </rPr>
      <t>RMB 27200, NGN 512000</t>
    </r>
  </si>
  <si>
    <t>176-02938832</t>
  </si>
  <si>
    <t>CAN</t>
  </si>
  <si>
    <r>
      <rPr>
        <sz val="9"/>
        <color theme="1"/>
        <rFont val="宋体"/>
        <charset val="134"/>
      </rPr>
      <t>对冲</t>
    </r>
    <r>
      <rPr>
        <sz val="9"/>
        <color theme="1"/>
        <rFont val="Arial"/>
        <charset val="134"/>
      </rPr>
      <t>RMB 13745, NGN 652000</t>
    </r>
  </si>
  <si>
    <t>235-92964104</t>
  </si>
  <si>
    <r>
      <rPr>
        <sz val="9"/>
        <color theme="1"/>
        <rFont val="宋体"/>
        <charset val="134"/>
      </rPr>
      <t>对冲</t>
    </r>
    <r>
      <rPr>
        <sz val="9"/>
        <color theme="1"/>
        <rFont val="Arial"/>
        <charset val="134"/>
      </rPr>
      <t>RMB 92337.5</t>
    </r>
  </si>
  <si>
    <t>157-08772956</t>
  </si>
  <si>
    <r>
      <rPr>
        <sz val="9"/>
        <color theme="1"/>
        <rFont val="宋体"/>
        <charset val="134"/>
      </rPr>
      <t>对冲</t>
    </r>
    <r>
      <rPr>
        <sz val="9"/>
        <color theme="1"/>
        <rFont val="Arial"/>
        <charset val="134"/>
      </rPr>
      <t>RMB 63910</t>
    </r>
    <r>
      <rPr>
        <sz val="9"/>
        <color theme="1"/>
        <rFont val="宋体"/>
        <charset val="134"/>
      </rPr>
      <t>，</t>
    </r>
    <r>
      <rPr>
        <sz val="9"/>
        <color theme="1"/>
        <rFont val="Arial"/>
        <charset val="134"/>
      </rPr>
      <t>NGN 1332000</t>
    </r>
  </si>
  <si>
    <t>235-92964174</t>
  </si>
  <si>
    <r>
      <rPr>
        <sz val="9"/>
        <color theme="1"/>
        <rFont val="宋体"/>
        <charset val="134"/>
      </rPr>
      <t>对冲</t>
    </r>
    <r>
      <rPr>
        <sz val="9"/>
        <color theme="1"/>
        <rFont val="Arial"/>
        <charset val="134"/>
      </rPr>
      <t>RMB 44577.5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</si>
</sst>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0_ "/>
    <numFmt numFmtId="178" formatCode="#,##0.00_ "/>
    <numFmt numFmtId="179" formatCode="[$-409]dd\-mmm\-yy;@"/>
    <numFmt numFmtId="180" formatCode="yyyy/m/d;@"/>
    <numFmt numFmtId="181" formatCode="0_);[Red]\(0\)"/>
  </numFmts>
  <fonts count="66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20"/>
      <color rgb="FF002060"/>
      <name val="Microsoft JhengHei"/>
      <charset val="134"/>
    </font>
    <font>
      <b/>
      <sz val="18"/>
      <color rgb="FF002060"/>
      <name val="Microsoft JhengHei"/>
      <charset val="134"/>
    </font>
    <font>
      <b/>
      <sz val="9"/>
      <color rgb="FF002060"/>
      <name val="Arial"/>
      <charset val="134"/>
    </font>
    <font>
      <b/>
      <sz val="9"/>
      <color rgb="FF002060"/>
      <name val="Microsoft JhengHei"/>
      <charset val="134"/>
    </font>
    <font>
      <b/>
      <sz val="9"/>
      <color theme="1"/>
      <name val="Microsoft JhengHei"/>
      <charset val="134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9"/>
      <color theme="1"/>
      <name val="Arial"/>
      <charset val="134"/>
    </font>
    <font>
      <b/>
      <sz val="9"/>
      <name val="Microsoft JhengHei"/>
      <charset val="134"/>
    </font>
    <font>
      <sz val="9"/>
      <color theme="1"/>
      <name val="Arial"/>
      <charset val="134"/>
    </font>
    <font>
      <sz val="11"/>
      <color theme="1"/>
      <name val="Calibri"/>
      <charset val="134"/>
    </font>
    <font>
      <sz val="11"/>
      <name val="Calibri"/>
      <charset val="134"/>
    </font>
    <font>
      <sz val="9"/>
      <name val="Microsoft JhengHei"/>
      <charset val="134"/>
    </font>
    <font>
      <sz val="9"/>
      <color theme="1"/>
      <name val="Microsoft JhengHei"/>
      <charset val="134"/>
    </font>
    <font>
      <b/>
      <sz val="9"/>
      <color rgb="FFFF0000"/>
      <name val="Microsoft JhengHei"/>
      <charset val="134"/>
    </font>
    <font>
      <b/>
      <sz val="9"/>
      <color rgb="FFFF0000"/>
      <name val="Arial"/>
      <charset val="134"/>
    </font>
    <font>
      <sz val="9"/>
      <color rgb="FFFF0000"/>
      <name val="宋体"/>
      <charset val="134"/>
    </font>
    <font>
      <sz val="9"/>
      <color rgb="FFFF0000"/>
      <name val="Arial"/>
      <charset val="134"/>
    </font>
    <font>
      <sz val="9"/>
      <color theme="1"/>
      <name val="宋体"/>
      <charset val="134"/>
    </font>
    <font>
      <b/>
      <sz val="9"/>
      <color rgb="FFFF0000"/>
      <name val="宋体"/>
      <charset val="134"/>
    </font>
    <font>
      <sz val="9"/>
      <name val="Arial"/>
      <charset val="134"/>
    </font>
    <font>
      <b/>
      <sz val="10"/>
      <color rgb="FF002060"/>
      <name val="Arial"/>
      <charset val="134"/>
    </font>
    <font>
      <b/>
      <sz val="10"/>
      <color rgb="FF002060"/>
      <name val="Microsoft JhengHei"/>
      <charset val="134"/>
    </font>
    <font>
      <b/>
      <sz val="10"/>
      <color theme="1"/>
      <name val="Microsoft JhengHei"/>
      <charset val="134"/>
    </font>
    <font>
      <b/>
      <sz val="10"/>
      <color theme="1"/>
      <name val="宋体"/>
      <charset val="134"/>
      <scheme val="minor"/>
    </font>
    <font>
      <b/>
      <sz val="10"/>
      <color theme="1"/>
      <name val="Arial"/>
      <charset val="134"/>
    </font>
    <font>
      <b/>
      <sz val="10"/>
      <name val="Microsoft JhengHei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  <scheme val="minor"/>
    </font>
    <font>
      <sz val="10"/>
      <name val="Microsoft JhengHei"/>
      <charset val="134"/>
    </font>
    <font>
      <sz val="9.75"/>
      <color theme="1"/>
      <name val="Microsoft JhengHei"/>
      <charset val="134"/>
    </font>
    <font>
      <b/>
      <sz val="20"/>
      <color rgb="FF002060"/>
      <name val="Arial"/>
      <charset val="134"/>
    </font>
    <font>
      <b/>
      <sz val="20"/>
      <color rgb="FFFF0000"/>
      <name val="Arial"/>
      <charset val="134"/>
    </font>
    <font>
      <b/>
      <sz val="18"/>
      <color rgb="FF002060"/>
      <name val="Arial"/>
      <charset val="134"/>
    </font>
    <font>
      <b/>
      <sz val="18"/>
      <color rgb="FFFF0000"/>
      <name val="Arial"/>
      <charset val="134"/>
    </font>
    <font>
      <b/>
      <sz val="10"/>
      <color rgb="FFFF0000"/>
      <name val="Arial"/>
      <charset val="134"/>
    </font>
    <font>
      <sz val="10"/>
      <color rgb="FFFF0000"/>
      <name val="宋体"/>
      <charset val="134"/>
    </font>
    <font>
      <sz val="10"/>
      <color rgb="FFFF0000"/>
      <name val="Arial"/>
      <charset val="134"/>
    </font>
    <font>
      <sz val="10"/>
      <color theme="1"/>
      <name val="宋体"/>
      <charset val="134"/>
    </font>
    <font>
      <sz val="10"/>
      <color theme="1"/>
      <name val="Microsoft JhengHei"/>
      <charset val="134"/>
    </font>
    <font>
      <b/>
      <sz val="10"/>
      <color rgb="FFFF0000"/>
      <name val="宋体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FF0000"/>
      <name val="Microsoft JhengHei"/>
      <charset val="134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8" applyNumberFormat="0" applyFill="0" applyAlignment="0" applyProtection="0">
      <alignment vertical="center"/>
    </xf>
    <xf numFmtId="0" fontId="50" fillId="0" borderId="8" applyNumberFormat="0" applyFill="0" applyAlignment="0" applyProtection="0">
      <alignment vertical="center"/>
    </xf>
    <xf numFmtId="0" fontId="51" fillId="0" borderId="9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10" borderId="10" applyNumberFormat="0" applyAlignment="0" applyProtection="0">
      <alignment vertical="center"/>
    </xf>
    <xf numFmtId="0" fontId="53" fillId="11" borderId="11" applyNumberFormat="0" applyAlignment="0" applyProtection="0">
      <alignment vertical="center"/>
    </xf>
    <xf numFmtId="0" fontId="54" fillId="11" borderId="10" applyNumberFormat="0" applyAlignment="0" applyProtection="0">
      <alignment vertical="center"/>
    </xf>
    <xf numFmtId="0" fontId="55" fillId="12" borderId="12" applyNumberFormat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7" fillId="0" borderId="14" applyNumberFormat="0" applyFill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18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1" fillId="35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2" fillId="37" borderId="0" applyNumberFormat="0" applyBorder="0" applyAlignment="0" applyProtection="0">
      <alignment vertical="center"/>
    </xf>
    <xf numFmtId="0" fontId="62" fillId="38" borderId="0" applyNumberFormat="0" applyBorder="0" applyAlignment="0" applyProtection="0">
      <alignment vertical="center"/>
    </xf>
    <xf numFmtId="0" fontId="61" fillId="39" borderId="0" applyNumberFormat="0" applyBorder="0" applyAlignment="0" applyProtection="0">
      <alignment vertical="center"/>
    </xf>
  </cellStyleXfs>
  <cellXfs count="155">
    <xf numFmtId="0" fontId="0" fillId="0" borderId="0" xfId="0"/>
    <xf numFmtId="177" fontId="0" fillId="0" borderId="0" xfId="0" applyNumberFormat="1" applyAlignment="1">
      <alignment horizontal="center" vertical="center"/>
    </xf>
    <xf numFmtId="178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79" fontId="2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179" fontId="4" fillId="2" borderId="1" xfId="0" applyNumberFormat="1" applyFont="1" applyFill="1" applyBorder="1" applyAlignment="1">
      <alignment horizontal="center" vertical="center" wrapText="1"/>
    </xf>
    <xf numFmtId="177" fontId="5" fillId="2" borderId="1" xfId="0" applyNumberFormat="1" applyFont="1" applyFill="1" applyBorder="1" applyAlignment="1">
      <alignment horizontal="center" vertical="center" wrapText="1"/>
    </xf>
    <xf numFmtId="178" fontId="5" fillId="2" borderId="2" xfId="0" applyNumberFormat="1" applyFont="1" applyFill="1" applyBorder="1" applyAlignment="1">
      <alignment horizontal="center" vertical="center" wrapText="1"/>
    </xf>
    <xf numFmtId="178" fontId="5" fillId="2" borderId="3" xfId="0" applyNumberFormat="1" applyFont="1" applyFill="1" applyBorder="1" applyAlignment="1">
      <alignment horizontal="center" vertical="center" wrapText="1"/>
    </xf>
    <xf numFmtId="178" fontId="5" fillId="2" borderId="4" xfId="0" applyNumberFormat="1" applyFont="1" applyFill="1" applyBorder="1" applyAlignment="1">
      <alignment horizontal="center" vertical="center" wrapText="1"/>
    </xf>
    <xf numFmtId="179" fontId="4" fillId="2" borderId="5" xfId="0" applyNumberFormat="1" applyFont="1" applyFill="1" applyBorder="1" applyAlignment="1">
      <alignment horizontal="center" vertical="center" wrapText="1"/>
    </xf>
    <xf numFmtId="177" fontId="4" fillId="2" borderId="5" xfId="0" applyNumberFormat="1" applyFont="1" applyFill="1" applyBorder="1" applyAlignment="1">
      <alignment horizontal="center" vertical="center" wrapText="1"/>
    </xf>
    <xf numFmtId="177" fontId="5" fillId="2" borderId="5" xfId="0" applyNumberFormat="1" applyFont="1" applyFill="1" applyBorder="1" applyAlignment="1">
      <alignment horizontal="center" vertical="center" wrapText="1"/>
    </xf>
    <xf numFmtId="178" fontId="5" fillId="2" borderId="6" xfId="0" applyNumberFormat="1" applyFont="1" applyFill="1" applyBorder="1" applyAlignment="1">
      <alignment horizontal="center" vertical="center" wrapText="1"/>
    </xf>
    <xf numFmtId="178" fontId="6" fillId="2" borderId="6" xfId="0" applyNumberFormat="1" applyFont="1" applyFill="1" applyBorder="1" applyAlignment="1">
      <alignment horizontal="center" vertical="center" wrapText="1"/>
    </xf>
    <xf numFmtId="58" fontId="7" fillId="0" borderId="6" xfId="0" applyNumberFormat="1" applyFont="1" applyFill="1" applyBorder="1" applyAlignment="1">
      <alignment horizontal="center" vertical="center"/>
    </xf>
    <xf numFmtId="177" fontId="8" fillId="0" borderId="6" xfId="0" applyNumberFormat="1" applyFont="1" applyFill="1" applyBorder="1" applyAlignment="1">
      <alignment horizontal="center" vertical="center"/>
    </xf>
    <xf numFmtId="177" fontId="9" fillId="3" borderId="4" xfId="0" applyNumberFormat="1" applyFont="1" applyFill="1" applyBorder="1" applyAlignment="1">
      <alignment horizontal="center" vertical="center" wrapText="1"/>
    </xf>
    <xf numFmtId="177" fontId="9" fillId="4" borderId="6" xfId="0" applyNumberFormat="1" applyFont="1" applyFill="1" applyBorder="1" applyAlignment="1">
      <alignment horizontal="center" vertical="center" wrapText="1"/>
    </xf>
    <xf numFmtId="178" fontId="9" fillId="4" borderId="6" xfId="0" applyNumberFormat="1" applyFont="1" applyFill="1" applyBorder="1" applyAlignment="1">
      <alignment horizontal="center" vertical="center"/>
    </xf>
    <xf numFmtId="178" fontId="10" fillId="5" borderId="6" xfId="0" applyNumberFormat="1" applyFont="1" applyFill="1" applyBorder="1" applyAlignment="1">
      <alignment horizontal="center" vertical="center"/>
    </xf>
    <xf numFmtId="178" fontId="11" fillId="4" borderId="6" xfId="0" applyNumberFormat="1" applyFont="1" applyFill="1" applyBorder="1" applyAlignment="1">
      <alignment horizontal="center" vertical="center" wrapText="1"/>
    </xf>
    <xf numFmtId="177" fontId="12" fillId="0" borderId="6" xfId="0" applyNumberFormat="1" applyFont="1" applyFill="1" applyBorder="1" applyAlignment="1">
      <alignment horizontal="center" vertical="center"/>
    </xf>
    <xf numFmtId="180" fontId="12" fillId="0" borderId="6" xfId="0" applyNumberFormat="1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178" fontId="9" fillId="3" borderId="6" xfId="0" applyNumberFormat="1" applyFont="1" applyFill="1" applyBorder="1" applyAlignment="1">
      <alignment horizontal="center" vertical="center"/>
    </xf>
    <xf numFmtId="178" fontId="11" fillId="3" borderId="6" xfId="0" applyNumberFormat="1" applyFont="1" applyFill="1" applyBorder="1" applyAlignment="1">
      <alignment horizontal="center" vertical="center" wrapText="1"/>
    </xf>
    <xf numFmtId="179" fontId="11" fillId="3" borderId="6" xfId="0" applyNumberFormat="1" applyFont="1" applyFill="1" applyBorder="1" applyAlignment="1">
      <alignment horizontal="center" vertical="center"/>
    </xf>
    <xf numFmtId="178" fontId="11" fillId="3" borderId="6" xfId="0" applyNumberFormat="1" applyFont="1" applyFill="1" applyBorder="1" applyAlignment="1">
      <alignment horizontal="center" vertical="center"/>
    </xf>
    <xf numFmtId="179" fontId="11" fillId="3" borderId="2" xfId="0" applyNumberFormat="1" applyFont="1" applyFill="1" applyBorder="1" applyAlignment="1">
      <alignment horizontal="center" vertical="center"/>
    </xf>
    <xf numFmtId="178" fontId="11" fillId="6" borderId="6" xfId="0" applyNumberFormat="1" applyFont="1" applyFill="1" applyBorder="1" applyAlignment="1">
      <alignment horizontal="center" vertical="center"/>
    </xf>
    <xf numFmtId="177" fontId="11" fillId="3" borderId="6" xfId="0" applyNumberFormat="1" applyFont="1" applyFill="1" applyBorder="1" applyAlignment="1">
      <alignment horizontal="center" vertical="center" wrapText="1"/>
    </xf>
    <xf numFmtId="177" fontId="7" fillId="0" borderId="6" xfId="0" applyNumberFormat="1" applyFont="1" applyFill="1" applyBorder="1" applyAlignment="1">
      <alignment horizontal="center" vertical="center"/>
    </xf>
    <xf numFmtId="177" fontId="11" fillId="3" borderId="4" xfId="0" applyNumberFormat="1" applyFont="1" applyFill="1" applyBorder="1" applyAlignment="1">
      <alignment horizontal="center" vertical="center" wrapText="1"/>
    </xf>
    <xf numFmtId="177" fontId="14" fillId="5" borderId="6" xfId="0" applyNumberFormat="1" applyFont="1" applyFill="1" applyBorder="1" applyAlignment="1">
      <alignment horizontal="center" vertical="center"/>
    </xf>
    <xf numFmtId="179" fontId="11" fillId="7" borderId="2" xfId="0" applyNumberFormat="1" applyFont="1" applyFill="1" applyBorder="1" applyAlignment="1">
      <alignment horizontal="center" vertical="center"/>
    </xf>
    <xf numFmtId="177" fontId="11" fillId="7" borderId="4" xfId="0" applyNumberFormat="1" applyFont="1" applyFill="1" applyBorder="1" applyAlignment="1">
      <alignment horizontal="center" vertical="center" wrapText="1"/>
    </xf>
    <xf numFmtId="177" fontId="11" fillId="7" borderId="6" xfId="0" applyNumberFormat="1" applyFont="1" applyFill="1" applyBorder="1" applyAlignment="1">
      <alignment horizontal="center" vertical="center" wrapText="1"/>
    </xf>
    <xf numFmtId="178" fontId="11" fillId="7" borderId="6" xfId="0" applyNumberFormat="1" applyFont="1" applyFill="1" applyBorder="1" applyAlignment="1">
      <alignment horizontal="center" vertical="center"/>
    </xf>
    <xf numFmtId="178" fontId="11" fillId="7" borderId="6" xfId="0" applyNumberFormat="1" applyFont="1" applyFill="1" applyBorder="1" applyAlignment="1">
      <alignment horizontal="center" vertical="center" wrapText="1"/>
    </xf>
    <xf numFmtId="179" fontId="11" fillId="4" borderId="6" xfId="0" applyNumberFormat="1" applyFont="1" applyFill="1" applyBorder="1" applyAlignment="1">
      <alignment horizontal="center" vertical="center"/>
    </xf>
    <xf numFmtId="177" fontId="15" fillId="5" borderId="6" xfId="0" applyNumberFormat="1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/>
    </xf>
    <xf numFmtId="179" fontId="16" fillId="2" borderId="6" xfId="0" applyNumberFormat="1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179" fontId="17" fillId="2" borderId="6" xfId="0" applyNumberFormat="1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179" fontId="18" fillId="3" borderId="6" xfId="0" applyNumberFormat="1" applyFont="1" applyFill="1" applyBorder="1" applyAlignment="1">
      <alignment horizontal="center" vertical="center" wrapText="1"/>
    </xf>
    <xf numFmtId="178" fontId="11" fillId="3" borderId="6" xfId="1" applyNumberFormat="1" applyFont="1" applyFill="1" applyBorder="1" applyAlignment="1">
      <alignment horizontal="center" vertical="center"/>
    </xf>
    <xf numFmtId="178" fontId="19" fillId="3" borderId="6" xfId="1" applyNumberFormat="1" applyFont="1" applyFill="1" applyBorder="1" applyAlignment="1">
      <alignment horizontal="center" vertical="center"/>
    </xf>
    <xf numFmtId="179" fontId="19" fillId="3" borderId="6" xfId="0" applyNumberFormat="1" applyFont="1" applyFill="1" applyBorder="1" applyAlignment="1">
      <alignment horizontal="center" vertical="center" wrapText="1"/>
    </xf>
    <xf numFmtId="178" fontId="11" fillId="8" borderId="6" xfId="1" applyNumberFormat="1" applyFont="1" applyFill="1" applyBorder="1" applyAlignment="1">
      <alignment horizontal="center" vertical="center"/>
    </xf>
    <xf numFmtId="179" fontId="11" fillId="3" borderId="6" xfId="0" applyNumberFormat="1" applyFont="1" applyFill="1" applyBorder="1" applyAlignment="1">
      <alignment horizontal="center" vertical="center" wrapText="1"/>
    </xf>
    <xf numFmtId="179" fontId="20" fillId="3" borderId="6" xfId="0" applyNumberFormat="1" applyFont="1" applyFill="1" applyBorder="1" applyAlignment="1">
      <alignment horizontal="center" vertical="center" wrapText="1"/>
    </xf>
    <xf numFmtId="178" fontId="11" fillId="6" borderId="6" xfId="0" applyNumberFormat="1" applyFont="1" applyFill="1" applyBorder="1" applyAlignment="1">
      <alignment horizontal="center" vertical="center" wrapText="1"/>
    </xf>
    <xf numFmtId="179" fontId="20" fillId="6" borderId="6" xfId="0" applyNumberFormat="1" applyFont="1" applyFill="1" applyBorder="1" applyAlignment="1">
      <alignment horizontal="center" vertical="center" wrapText="1"/>
    </xf>
    <xf numFmtId="178" fontId="11" fillId="6" borderId="6" xfId="1" applyNumberFormat="1" applyFont="1" applyFill="1" applyBorder="1" applyAlignment="1">
      <alignment horizontal="center" vertical="center"/>
    </xf>
    <xf numFmtId="179" fontId="11" fillId="7" borderId="6" xfId="0" applyNumberFormat="1" applyFont="1" applyFill="1" applyBorder="1" applyAlignment="1">
      <alignment horizontal="center" vertical="center" wrapText="1"/>
    </xf>
    <xf numFmtId="178" fontId="11" fillId="7" borderId="6" xfId="1" applyNumberFormat="1" applyFont="1" applyFill="1" applyBorder="1" applyAlignment="1">
      <alignment horizontal="center" vertical="center"/>
    </xf>
    <xf numFmtId="181" fontId="7" fillId="0" borderId="6" xfId="0" applyNumberFormat="1" applyFont="1" applyFill="1" applyBorder="1" applyAlignment="1">
      <alignment horizontal="center" vertical="center"/>
    </xf>
    <xf numFmtId="177" fontId="15" fillId="0" borderId="6" xfId="0" applyNumberFormat="1" applyFont="1" applyFill="1" applyBorder="1" applyAlignment="1">
      <alignment horizontal="center" vertical="center"/>
    </xf>
    <xf numFmtId="179" fontId="20" fillId="3" borderId="6" xfId="0" applyNumberFormat="1" applyFont="1" applyFill="1" applyBorder="1" applyAlignment="1">
      <alignment horizontal="center" vertical="center"/>
    </xf>
    <xf numFmtId="181" fontId="15" fillId="0" borderId="6" xfId="0" applyNumberFormat="1" applyFont="1" applyFill="1" applyBorder="1" applyAlignment="1">
      <alignment horizontal="center" vertical="center"/>
    </xf>
    <xf numFmtId="178" fontId="14" fillId="5" borderId="6" xfId="0" applyNumberFormat="1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 wrapText="1"/>
    </xf>
    <xf numFmtId="177" fontId="7" fillId="0" borderId="0" xfId="0" applyNumberFormat="1" applyFont="1" applyAlignment="1">
      <alignment horizontal="center" vertical="center"/>
    </xf>
    <xf numFmtId="178" fontId="21" fillId="3" borderId="6" xfId="0" applyNumberFormat="1" applyFont="1" applyFill="1" applyBorder="1" applyAlignment="1">
      <alignment horizontal="center" vertical="center" wrapText="1"/>
    </xf>
    <xf numFmtId="0" fontId="22" fillId="5" borderId="6" xfId="0" applyFont="1" applyFill="1" applyBorder="1" applyAlignment="1">
      <alignment horizontal="center" vertical="center"/>
    </xf>
    <xf numFmtId="178" fontId="20" fillId="3" borderId="6" xfId="0" applyNumberFormat="1" applyFont="1" applyFill="1" applyBorder="1" applyAlignment="1">
      <alignment horizontal="center" vertical="center" wrapText="1"/>
    </xf>
    <xf numFmtId="178" fontId="20" fillId="3" borderId="6" xfId="0" applyNumberFormat="1" applyFont="1" applyFill="1" applyBorder="1" applyAlignment="1">
      <alignment horizontal="left" vertical="center" wrapText="1"/>
    </xf>
    <xf numFmtId="178" fontId="11" fillId="0" borderId="6" xfId="0" applyNumberFormat="1" applyFont="1" applyFill="1" applyBorder="1" applyAlignment="1">
      <alignment horizontal="center" vertical="center"/>
    </xf>
    <xf numFmtId="179" fontId="21" fillId="3" borderId="6" xfId="0" applyNumberFormat="1" applyFont="1" applyFill="1" applyBorder="1" applyAlignment="1">
      <alignment horizontal="center" vertical="center"/>
    </xf>
    <xf numFmtId="178" fontId="18" fillId="3" borderId="6" xfId="0" applyNumberFormat="1" applyFont="1" applyFill="1" applyBorder="1" applyAlignment="1">
      <alignment horizontal="left" vertical="center" wrapText="1"/>
    </xf>
    <xf numFmtId="177" fontId="23" fillId="0" borderId="0" xfId="0" applyNumberFormat="1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179" fontId="23" fillId="2" borderId="6" xfId="0" applyNumberFormat="1" applyFont="1" applyFill="1" applyBorder="1" applyAlignment="1">
      <alignment horizontal="center" vertical="center" wrapText="1"/>
    </xf>
    <xf numFmtId="177" fontId="23" fillId="2" borderId="6" xfId="0" applyNumberFormat="1" applyFont="1" applyFill="1" applyBorder="1" applyAlignment="1">
      <alignment horizontal="center" vertical="center" wrapText="1"/>
    </xf>
    <xf numFmtId="177" fontId="24" fillId="2" borderId="6" xfId="0" applyNumberFormat="1" applyFont="1" applyFill="1" applyBorder="1" applyAlignment="1">
      <alignment horizontal="center" vertical="center" wrapText="1"/>
    </xf>
    <xf numFmtId="178" fontId="24" fillId="2" borderId="6" xfId="0" applyNumberFormat="1" applyFont="1" applyFill="1" applyBorder="1" applyAlignment="1">
      <alignment horizontal="center" vertical="center" wrapText="1"/>
    </xf>
    <xf numFmtId="178" fontId="25" fillId="2" borderId="6" xfId="0" applyNumberFormat="1" applyFont="1" applyFill="1" applyBorder="1" applyAlignment="1">
      <alignment horizontal="center" vertical="center" wrapText="1"/>
    </xf>
    <xf numFmtId="177" fontId="26" fillId="0" borderId="6" xfId="0" applyNumberFormat="1" applyFont="1" applyFill="1" applyBorder="1" applyAlignment="1">
      <alignment horizontal="center" vertical="center"/>
    </xf>
    <xf numFmtId="177" fontId="27" fillId="3" borderId="4" xfId="0" applyNumberFormat="1" applyFont="1" applyFill="1" applyBorder="1" applyAlignment="1">
      <alignment horizontal="center" vertical="center" wrapText="1"/>
    </xf>
    <xf numFmtId="177" fontId="27" fillId="4" borderId="6" xfId="0" applyNumberFormat="1" applyFont="1" applyFill="1" applyBorder="1" applyAlignment="1">
      <alignment horizontal="center" vertical="center" wrapText="1"/>
    </xf>
    <xf numFmtId="178" fontId="27" fillId="4" borderId="6" xfId="0" applyNumberFormat="1" applyFont="1" applyFill="1" applyBorder="1" applyAlignment="1">
      <alignment horizontal="center" vertical="center"/>
    </xf>
    <xf numFmtId="178" fontId="28" fillId="5" borderId="6" xfId="0" applyNumberFormat="1" applyFont="1" applyFill="1" applyBorder="1" applyAlignment="1">
      <alignment horizontal="center" vertical="center"/>
    </xf>
    <xf numFmtId="178" fontId="29" fillId="4" borderId="6" xfId="0" applyNumberFormat="1" applyFont="1" applyFill="1" applyBorder="1" applyAlignment="1">
      <alignment horizontal="center" vertical="center" wrapText="1"/>
    </xf>
    <xf numFmtId="177" fontId="30" fillId="0" borderId="6" xfId="0" applyNumberFormat="1" applyFont="1" applyFill="1" applyBorder="1" applyAlignment="1">
      <alignment horizontal="center" vertical="center"/>
    </xf>
    <xf numFmtId="177" fontId="27" fillId="3" borderId="6" xfId="0" applyNumberFormat="1" applyFont="1" applyFill="1" applyBorder="1" applyAlignment="1">
      <alignment horizontal="center" vertical="center" wrapText="1"/>
    </xf>
    <xf numFmtId="178" fontId="27" fillId="3" borderId="6" xfId="0" applyNumberFormat="1" applyFont="1" applyFill="1" applyBorder="1" applyAlignment="1">
      <alignment horizontal="center" vertical="center"/>
    </xf>
    <xf numFmtId="178" fontId="29" fillId="3" borderId="6" xfId="0" applyNumberFormat="1" applyFont="1" applyFill="1" applyBorder="1" applyAlignment="1">
      <alignment horizontal="center" vertical="center" wrapText="1"/>
    </xf>
    <xf numFmtId="179" fontId="29" fillId="3" borderId="6" xfId="0" applyNumberFormat="1" applyFont="1" applyFill="1" applyBorder="1" applyAlignment="1">
      <alignment horizontal="center" vertical="center"/>
    </xf>
    <xf numFmtId="177" fontId="29" fillId="3" borderId="4" xfId="0" applyNumberFormat="1" applyFont="1" applyFill="1" applyBorder="1" applyAlignment="1">
      <alignment horizontal="center" vertical="center" wrapText="1"/>
    </xf>
    <xf numFmtId="177" fontId="29" fillId="3" borderId="6" xfId="0" applyNumberFormat="1" applyFont="1" applyFill="1" applyBorder="1" applyAlignment="1">
      <alignment horizontal="center" vertical="center" wrapText="1"/>
    </xf>
    <xf numFmtId="178" fontId="31" fillId="5" borderId="6" xfId="0" applyNumberFormat="1" applyFont="1" applyFill="1" applyBorder="1" applyAlignment="1">
      <alignment horizontal="center" vertical="center"/>
    </xf>
    <xf numFmtId="178" fontId="29" fillId="3" borderId="6" xfId="0" applyNumberFormat="1" applyFont="1" applyFill="1" applyBorder="1" applyAlignment="1">
      <alignment horizontal="center" vertical="center"/>
    </xf>
    <xf numFmtId="179" fontId="29" fillId="3" borderId="2" xfId="0" applyNumberFormat="1" applyFont="1" applyFill="1" applyBorder="1" applyAlignment="1">
      <alignment horizontal="center" vertical="center"/>
    </xf>
    <xf numFmtId="177" fontId="29" fillId="6" borderId="4" xfId="0" applyNumberFormat="1" applyFont="1" applyFill="1" applyBorder="1" applyAlignment="1">
      <alignment horizontal="center" vertical="center" wrapText="1"/>
    </xf>
    <xf numFmtId="177" fontId="29" fillId="6" borderId="6" xfId="0" applyNumberFormat="1" applyFont="1" applyFill="1" applyBorder="1" applyAlignment="1">
      <alignment horizontal="center" vertical="center" wrapText="1"/>
    </xf>
    <xf numFmtId="178" fontId="29" fillId="6" borderId="6" xfId="0" applyNumberFormat="1" applyFont="1" applyFill="1" applyBorder="1" applyAlignment="1">
      <alignment horizontal="center" vertical="center"/>
    </xf>
    <xf numFmtId="178" fontId="29" fillId="6" borderId="6" xfId="0" applyNumberFormat="1" applyFont="1" applyFill="1" applyBorder="1" applyAlignment="1">
      <alignment horizontal="center" vertical="center" wrapText="1"/>
    </xf>
    <xf numFmtId="177" fontId="31" fillId="5" borderId="6" xfId="0" applyNumberFormat="1" applyFont="1" applyFill="1" applyBorder="1" applyAlignment="1">
      <alignment horizontal="center" vertical="center"/>
    </xf>
    <xf numFmtId="179" fontId="29" fillId="7" borderId="2" xfId="0" applyNumberFormat="1" applyFont="1" applyFill="1" applyBorder="1" applyAlignment="1">
      <alignment horizontal="center" vertical="center"/>
    </xf>
    <xf numFmtId="177" fontId="29" fillId="7" borderId="4" xfId="0" applyNumberFormat="1" applyFont="1" applyFill="1" applyBorder="1" applyAlignment="1">
      <alignment horizontal="center" vertical="center" wrapText="1"/>
    </xf>
    <xf numFmtId="177" fontId="29" fillId="7" borderId="6" xfId="0" applyNumberFormat="1" applyFont="1" applyFill="1" applyBorder="1" applyAlignment="1">
      <alignment horizontal="center" vertical="center" wrapText="1"/>
    </xf>
    <xf numFmtId="178" fontId="29" fillId="7" borderId="6" xfId="0" applyNumberFormat="1" applyFont="1" applyFill="1" applyBorder="1" applyAlignment="1">
      <alignment horizontal="center" vertical="center"/>
    </xf>
    <xf numFmtId="178" fontId="29" fillId="7" borderId="6" xfId="0" applyNumberFormat="1" applyFont="1" applyFill="1" applyBorder="1" applyAlignment="1">
      <alignment horizontal="center" vertical="center" wrapText="1"/>
    </xf>
    <xf numFmtId="179" fontId="29" fillId="4" borderId="6" xfId="0" applyNumberFormat="1" applyFont="1" applyFill="1" applyBorder="1" applyAlignment="1">
      <alignment horizontal="center" vertical="center"/>
    </xf>
    <xf numFmtId="177" fontId="32" fillId="5" borderId="6" xfId="0" applyNumberFormat="1" applyFont="1" applyFill="1" applyBorder="1" applyAlignment="1">
      <alignment horizontal="center" vertical="center" wrapText="1"/>
    </xf>
    <xf numFmtId="0" fontId="31" fillId="5" borderId="6" xfId="0" applyFont="1" applyFill="1" applyBorder="1" applyAlignment="1">
      <alignment horizontal="center" vertical="center"/>
    </xf>
    <xf numFmtId="179" fontId="33" fillId="0" borderId="0" xfId="0" applyNumberFormat="1" applyFont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177" fontId="35" fillId="0" borderId="0" xfId="0" applyNumberFormat="1" applyFont="1" applyAlignment="1">
      <alignment horizontal="center" vertical="center" wrapText="1"/>
    </xf>
    <xf numFmtId="177" fontId="36" fillId="0" borderId="0" xfId="0" applyNumberFormat="1" applyFont="1" applyAlignment="1">
      <alignment horizontal="center" vertical="center" wrapText="1"/>
    </xf>
    <xf numFmtId="179" fontId="37" fillId="2" borderId="6" xfId="0" applyNumberFormat="1" applyFont="1" applyFill="1" applyBorder="1" applyAlignment="1">
      <alignment horizontal="center" vertical="center" wrapText="1"/>
    </xf>
    <xf numFmtId="0" fontId="37" fillId="2" borderId="6" xfId="0" applyFont="1" applyFill="1" applyBorder="1" applyAlignment="1">
      <alignment horizontal="center" vertical="center" wrapText="1"/>
    </xf>
    <xf numFmtId="179" fontId="38" fillId="3" borderId="6" xfId="0" applyNumberFormat="1" applyFont="1" applyFill="1" applyBorder="1" applyAlignment="1">
      <alignment horizontal="center" vertical="center" wrapText="1"/>
    </xf>
    <xf numFmtId="178" fontId="29" fillId="3" borderId="6" xfId="1" applyNumberFormat="1" applyFont="1" applyFill="1" applyBorder="1" applyAlignment="1">
      <alignment horizontal="center" vertical="center"/>
    </xf>
    <xf numFmtId="178" fontId="39" fillId="3" borderId="6" xfId="1" applyNumberFormat="1" applyFont="1" applyFill="1" applyBorder="1" applyAlignment="1">
      <alignment horizontal="center" vertical="center"/>
    </xf>
    <xf numFmtId="179" fontId="39" fillId="3" borderId="6" xfId="0" applyNumberFormat="1" applyFont="1" applyFill="1" applyBorder="1" applyAlignment="1">
      <alignment horizontal="center" vertical="center" wrapText="1"/>
    </xf>
    <xf numFmtId="178" fontId="29" fillId="8" borderId="6" xfId="1" applyNumberFormat="1" applyFont="1" applyFill="1" applyBorder="1" applyAlignment="1">
      <alignment horizontal="center" vertical="center"/>
    </xf>
    <xf numFmtId="179" fontId="29" fillId="3" borderId="6" xfId="0" applyNumberFormat="1" applyFont="1" applyFill="1" applyBorder="1" applyAlignment="1">
      <alignment horizontal="center" vertical="center" wrapText="1"/>
    </xf>
    <xf numFmtId="179" fontId="29" fillId="6" borderId="6" xfId="0" applyNumberFormat="1" applyFont="1" applyFill="1" applyBorder="1" applyAlignment="1">
      <alignment horizontal="center" vertical="center" wrapText="1"/>
    </xf>
    <xf numFmtId="178" fontId="29" fillId="6" borderId="6" xfId="1" applyNumberFormat="1" applyFont="1" applyFill="1" applyBorder="1" applyAlignment="1">
      <alignment horizontal="center" vertical="center"/>
    </xf>
    <xf numFmtId="179" fontId="40" fillId="3" borderId="6" xfId="0" applyNumberFormat="1" applyFont="1" applyFill="1" applyBorder="1" applyAlignment="1">
      <alignment horizontal="center" vertical="center" wrapText="1"/>
    </xf>
    <xf numFmtId="179" fontId="29" fillId="7" borderId="6" xfId="0" applyNumberFormat="1" applyFont="1" applyFill="1" applyBorder="1" applyAlignment="1">
      <alignment horizontal="center" vertical="center" wrapText="1"/>
    </xf>
    <xf numFmtId="178" fontId="29" fillId="7" borderId="6" xfId="1" applyNumberFormat="1" applyFont="1" applyFill="1" applyBorder="1" applyAlignment="1">
      <alignment horizontal="center" vertical="center"/>
    </xf>
    <xf numFmtId="181" fontId="0" fillId="0" borderId="6" xfId="0" applyNumberFormat="1" applyFill="1" applyBorder="1" applyAlignment="1">
      <alignment horizontal="center" vertical="center"/>
    </xf>
    <xf numFmtId="177" fontId="41" fillId="0" borderId="6" xfId="0" applyNumberFormat="1" applyFont="1" applyFill="1" applyBorder="1" applyAlignment="1">
      <alignment horizontal="center" vertical="center"/>
    </xf>
    <xf numFmtId="179" fontId="40" fillId="3" borderId="6" xfId="0" applyNumberFormat="1" applyFont="1" applyFill="1" applyBorder="1" applyAlignment="1">
      <alignment horizontal="center" vertical="center"/>
    </xf>
    <xf numFmtId="181" fontId="41" fillId="0" borderId="6" xfId="0" applyNumberFormat="1" applyFont="1" applyFill="1" applyBorder="1" applyAlignment="1">
      <alignment horizontal="center" vertical="center"/>
    </xf>
    <xf numFmtId="177" fontId="0" fillId="0" borderId="6" xfId="0" applyNumberFormat="1" applyFill="1" applyBorder="1" applyAlignment="1">
      <alignment horizontal="center" vertical="center"/>
    </xf>
    <xf numFmtId="0" fontId="32" fillId="5" borderId="6" xfId="0" applyFont="1" applyFill="1" applyBorder="1" applyAlignment="1">
      <alignment horizontal="center" vertical="center" wrapText="1"/>
    </xf>
    <xf numFmtId="177" fontId="0" fillId="0" borderId="6" xfId="0" applyNumberFormat="1" applyFont="1" applyFill="1" applyBorder="1" applyAlignment="1">
      <alignment horizontal="center" vertical="center"/>
    </xf>
    <xf numFmtId="177" fontId="30" fillId="0" borderId="0" xfId="0" applyNumberFormat="1" applyFont="1" applyAlignment="1">
      <alignment horizontal="center" vertical="center"/>
    </xf>
    <xf numFmtId="178" fontId="42" fillId="3" borderId="6" xfId="0" applyNumberFormat="1" applyFont="1" applyFill="1" applyBorder="1" applyAlignment="1">
      <alignment horizontal="center" vertical="center" wrapText="1"/>
    </xf>
    <xf numFmtId="0" fontId="43" fillId="5" borderId="6" xfId="0" applyFont="1" applyFill="1" applyBorder="1" applyAlignment="1">
      <alignment horizontal="center" vertical="center"/>
    </xf>
    <xf numFmtId="178" fontId="40" fillId="3" borderId="6" xfId="0" applyNumberFormat="1" applyFont="1" applyFill="1" applyBorder="1" applyAlignment="1">
      <alignment horizontal="center" vertical="center" wrapText="1"/>
    </xf>
    <xf numFmtId="178" fontId="40" fillId="3" borderId="6" xfId="0" applyNumberFormat="1" applyFont="1" applyFill="1" applyBorder="1" applyAlignment="1">
      <alignment horizontal="left" vertical="center" wrapText="1"/>
    </xf>
    <xf numFmtId="178" fontId="29" fillId="0" borderId="6" xfId="0" applyNumberFormat="1" applyFont="1" applyFill="1" applyBorder="1" applyAlignment="1">
      <alignment horizontal="center" vertical="center"/>
    </xf>
    <xf numFmtId="179" fontId="42" fillId="3" borderId="6" xfId="0" applyNumberFormat="1" applyFont="1" applyFill="1" applyBorder="1" applyAlignment="1">
      <alignment horizontal="center" vertical="center"/>
    </xf>
    <xf numFmtId="178" fontId="38" fillId="3" borderId="6" xfId="0" applyNumberFormat="1" applyFont="1" applyFill="1" applyBorder="1" applyAlignment="1">
      <alignment horizontal="left" vertical="center" wrapText="1"/>
    </xf>
    <xf numFmtId="177" fontId="30" fillId="8" borderId="6" xfId="0" applyNumberFormat="1" applyFont="1" applyFill="1" applyBorder="1" applyAlignment="1">
      <alignment horizontal="center" vertical="center"/>
    </xf>
    <xf numFmtId="178" fontId="39" fillId="6" borderId="6" xfId="1" applyNumberFormat="1" applyFont="1" applyFill="1" applyBorder="1" applyAlignment="1">
      <alignment horizontal="center" vertical="center"/>
    </xf>
    <xf numFmtId="178" fontId="39" fillId="7" borderId="6" xfId="1" applyNumberFormat="1" applyFont="1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7" fontId="29" fillId="8" borderId="6" xfId="0" applyNumberFormat="1" applyFont="1" applyFill="1" applyBorder="1" applyAlignment="1">
      <alignment horizontal="center" vertical="center" wrapText="1"/>
    </xf>
    <xf numFmtId="178" fontId="29" fillId="8" borderId="6" xfId="0" applyNumberFormat="1" applyFont="1" applyFill="1" applyBorder="1" applyAlignment="1">
      <alignment horizontal="center" vertical="center"/>
    </xf>
    <xf numFmtId="177" fontId="30" fillId="4" borderId="6" xfId="0" applyNumberFormat="1" applyFont="1" applyFill="1" applyBorder="1" applyAlignment="1">
      <alignment horizontal="center" vertical="center"/>
    </xf>
    <xf numFmtId="177" fontId="29" fillId="4" borderId="6" xfId="0" applyNumberFormat="1" applyFont="1" applyFill="1" applyBorder="1" applyAlignment="1">
      <alignment horizontal="center" vertical="center" wrapText="1"/>
    </xf>
    <xf numFmtId="178" fontId="29" fillId="4" borderId="6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2" defaultPivotStyle="PivotStyleLight16"/>
  <colors>
    <mruColors>
      <color rgb="00FF0000"/>
      <color rgb="00FFFF00"/>
      <color rgb="00F37A29"/>
      <color rgb="00F92383"/>
      <color rgb="00F12B5A"/>
      <color rgb="00DC406C"/>
      <color rgb="00FB01CF"/>
      <color rgb="00FB008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2"/>
  <sheetViews>
    <sheetView workbookViewId="0">
      <pane ySplit="3" topLeftCell="A159" activePane="bottomLeft" state="frozen"/>
      <selection/>
      <selection pane="bottomLeft" activeCell="B169" sqref="B169"/>
    </sheetView>
  </sheetViews>
  <sheetFormatPr defaultColWidth="9" defaultRowHeight="14"/>
  <cols>
    <col min="1" max="1" width="14.6272727272727" customWidth="1"/>
    <col min="2" max="2" width="17.1272727272727" style="1" customWidth="1"/>
    <col min="3" max="5" width="10.6272727272727" customWidth="1"/>
    <col min="6" max="6" width="10.6272727272727" style="2" customWidth="1"/>
    <col min="7" max="8" width="13.1272727272727" customWidth="1"/>
    <col min="9" max="9" width="34.1272727272727" style="3" customWidth="1"/>
    <col min="10" max="12" width="13.1272727272727" style="4" customWidth="1"/>
    <col min="13" max="13" width="16"/>
  </cols>
  <sheetData>
    <row r="1" ht="30" customHeight="1" spans="1:12">
      <c r="A1" s="5" t="s">
        <v>0</v>
      </c>
      <c r="B1" s="76"/>
      <c r="C1" s="77"/>
      <c r="D1" s="77"/>
      <c r="E1" s="78"/>
      <c r="F1" s="78"/>
      <c r="G1" s="78"/>
      <c r="H1" s="78"/>
      <c r="I1" s="114"/>
      <c r="J1" s="78"/>
      <c r="K1" s="78"/>
      <c r="L1" s="115"/>
    </row>
    <row r="2" ht="30" customHeight="1" spans="1:12">
      <c r="A2" s="6" t="s">
        <v>1</v>
      </c>
      <c r="B2" s="76"/>
      <c r="C2" s="6"/>
      <c r="D2" s="6"/>
      <c r="E2" s="79"/>
      <c r="F2" s="79"/>
      <c r="G2" s="79"/>
      <c r="H2" s="79"/>
      <c r="I2" s="116"/>
      <c r="J2" s="79"/>
      <c r="K2" s="79"/>
      <c r="L2" s="117"/>
    </row>
    <row r="3" ht="30" customHeight="1" spans="1:12">
      <c r="A3" s="80" t="s">
        <v>2</v>
      </c>
      <c r="B3" s="81" t="s">
        <v>3</v>
      </c>
      <c r="C3" s="82" t="s">
        <v>4</v>
      </c>
      <c r="D3" s="82" t="s">
        <v>5</v>
      </c>
      <c r="E3" s="83" t="s">
        <v>6</v>
      </c>
      <c r="F3" s="83" t="s">
        <v>7</v>
      </c>
      <c r="G3" s="84" t="s">
        <v>8</v>
      </c>
      <c r="H3" s="83" t="s">
        <v>9</v>
      </c>
      <c r="I3" s="118" t="s">
        <v>10</v>
      </c>
      <c r="J3" s="83" t="s">
        <v>11</v>
      </c>
      <c r="K3" s="83" t="s">
        <v>12</v>
      </c>
      <c r="L3" s="119" t="s">
        <v>13</v>
      </c>
    </row>
    <row r="4" ht="20" customHeight="1" spans="1:12">
      <c r="A4" s="17">
        <v>44875</v>
      </c>
      <c r="B4" s="85">
        <v>221110000007</v>
      </c>
      <c r="C4" s="86" t="s">
        <v>14</v>
      </c>
      <c r="D4" s="92"/>
      <c r="E4" s="93">
        <v>53.5</v>
      </c>
      <c r="F4" s="89">
        <v>497</v>
      </c>
      <c r="G4" s="93">
        <f t="shared" ref="G4:G67" si="0">E4*F4</f>
        <v>26589.5</v>
      </c>
      <c r="H4" s="94">
        <v>400</v>
      </c>
      <c r="I4" s="123" t="s">
        <v>15</v>
      </c>
      <c r="J4" s="121">
        <f>G4+H4</f>
        <v>26989.5</v>
      </c>
      <c r="K4" s="99"/>
      <c r="L4" s="122">
        <f>J4-K4</f>
        <v>26989.5</v>
      </c>
    </row>
    <row r="5" ht="20" customHeight="1" spans="1:12">
      <c r="A5" s="17">
        <v>44898</v>
      </c>
      <c r="B5" s="85">
        <v>221129000042</v>
      </c>
      <c r="C5" s="86" t="s">
        <v>14</v>
      </c>
      <c r="D5" s="92"/>
      <c r="E5" s="93">
        <v>54.5</v>
      </c>
      <c r="F5" s="89">
        <v>1107</v>
      </c>
      <c r="G5" s="93">
        <f t="shared" si="0"/>
        <v>60331.5</v>
      </c>
      <c r="H5" s="94">
        <v>790</v>
      </c>
      <c r="I5" s="123" t="s">
        <v>16</v>
      </c>
      <c r="J5" s="121">
        <f t="shared" ref="J5:J68" si="1">G5+H5</f>
        <v>61121.5</v>
      </c>
      <c r="K5" s="99"/>
      <c r="L5" s="122">
        <f t="shared" ref="L5:L68" si="2">L4+J5-K5</f>
        <v>88111</v>
      </c>
    </row>
    <row r="6" ht="20" customHeight="1" spans="1:12">
      <c r="A6" s="17">
        <v>44900</v>
      </c>
      <c r="B6" s="85">
        <v>221203000001</v>
      </c>
      <c r="C6" s="86" t="s">
        <v>14</v>
      </c>
      <c r="D6" s="87"/>
      <c r="E6" s="88">
        <v>54.5</v>
      </c>
      <c r="F6" s="89">
        <v>666</v>
      </c>
      <c r="G6" s="88">
        <f t="shared" si="0"/>
        <v>36297</v>
      </c>
      <c r="H6" s="90">
        <v>530</v>
      </c>
      <c r="I6" s="123" t="s">
        <v>17</v>
      </c>
      <c r="J6" s="124">
        <f t="shared" si="1"/>
        <v>36827</v>
      </c>
      <c r="K6" s="99"/>
      <c r="L6" s="122">
        <f t="shared" si="2"/>
        <v>124938</v>
      </c>
    </row>
    <row r="7" ht="20" customHeight="1" spans="1:12">
      <c r="A7" s="17">
        <v>44905</v>
      </c>
      <c r="B7" s="85">
        <v>221207000006</v>
      </c>
      <c r="C7" s="86" t="s">
        <v>14</v>
      </c>
      <c r="D7" s="87"/>
      <c r="E7" s="88">
        <v>54.5</v>
      </c>
      <c r="F7" s="89">
        <v>671</v>
      </c>
      <c r="G7" s="88">
        <f t="shared" si="0"/>
        <v>36569.5</v>
      </c>
      <c r="H7" s="90">
        <v>520</v>
      </c>
      <c r="I7" s="123" t="s">
        <v>18</v>
      </c>
      <c r="J7" s="124">
        <f t="shared" si="1"/>
        <v>37089.5</v>
      </c>
      <c r="K7" s="99"/>
      <c r="L7" s="122">
        <f t="shared" si="2"/>
        <v>162027.5</v>
      </c>
    </row>
    <row r="8" ht="20" customHeight="1" spans="1:12">
      <c r="A8" s="17">
        <v>44909</v>
      </c>
      <c r="B8" s="85">
        <v>221212000013</v>
      </c>
      <c r="C8" s="86" t="s">
        <v>14</v>
      </c>
      <c r="D8" s="87"/>
      <c r="E8" s="88">
        <v>54.5</v>
      </c>
      <c r="F8" s="89">
        <v>514</v>
      </c>
      <c r="G8" s="88">
        <f t="shared" si="0"/>
        <v>28013</v>
      </c>
      <c r="H8" s="90">
        <v>420</v>
      </c>
      <c r="I8" s="123" t="s">
        <v>19</v>
      </c>
      <c r="J8" s="124">
        <f t="shared" si="1"/>
        <v>28433</v>
      </c>
      <c r="K8" s="99"/>
      <c r="L8" s="122">
        <f t="shared" si="2"/>
        <v>190460.5</v>
      </c>
    </row>
    <row r="9" ht="20" customHeight="1" spans="1:12">
      <c r="A9" s="17">
        <v>44912</v>
      </c>
      <c r="B9" s="91">
        <v>221214000026</v>
      </c>
      <c r="C9" s="96" t="s">
        <v>14</v>
      </c>
      <c r="D9" s="97"/>
      <c r="E9" s="88">
        <v>54.5</v>
      </c>
      <c r="F9" s="98">
        <v>565</v>
      </c>
      <c r="G9" s="99">
        <f t="shared" si="0"/>
        <v>30792.5</v>
      </c>
      <c r="H9" s="94">
        <v>420</v>
      </c>
      <c r="I9" s="123" t="s">
        <v>20</v>
      </c>
      <c r="J9" s="121">
        <f t="shared" si="1"/>
        <v>31212.5</v>
      </c>
      <c r="K9" s="99"/>
      <c r="L9" s="122">
        <f t="shared" si="2"/>
        <v>221673</v>
      </c>
    </row>
    <row r="10" ht="20" customHeight="1" spans="1:12">
      <c r="A10" s="100"/>
      <c r="B10" s="91">
        <v>221219000016</v>
      </c>
      <c r="C10" s="96" t="s">
        <v>14</v>
      </c>
      <c r="D10" s="97"/>
      <c r="E10" s="88">
        <v>54.5</v>
      </c>
      <c r="F10" s="99">
        <v>532</v>
      </c>
      <c r="G10" s="99">
        <f t="shared" si="0"/>
        <v>28994</v>
      </c>
      <c r="H10" s="94">
        <v>420</v>
      </c>
      <c r="I10" s="123" t="s">
        <v>21</v>
      </c>
      <c r="J10" s="121">
        <f t="shared" si="1"/>
        <v>29414</v>
      </c>
      <c r="K10" s="99"/>
      <c r="L10" s="122">
        <f t="shared" si="2"/>
        <v>251087</v>
      </c>
    </row>
    <row r="11" ht="20" customHeight="1" spans="1:12">
      <c r="A11" s="100"/>
      <c r="B11" s="146">
        <v>221224000006</v>
      </c>
      <c r="C11" s="96" t="s">
        <v>14</v>
      </c>
      <c r="D11" s="97"/>
      <c r="E11" s="88">
        <v>54.5</v>
      </c>
      <c r="F11" s="99">
        <v>438</v>
      </c>
      <c r="G11" s="99">
        <f t="shared" si="0"/>
        <v>23871</v>
      </c>
      <c r="H11" s="94"/>
      <c r="I11" s="125" t="s">
        <v>22</v>
      </c>
      <c r="J11" s="121">
        <f t="shared" si="1"/>
        <v>23871</v>
      </c>
      <c r="K11" s="99"/>
      <c r="L11" s="122">
        <f t="shared" si="2"/>
        <v>274958</v>
      </c>
    </row>
    <row r="12" ht="20" customHeight="1" spans="1:12">
      <c r="A12" s="100"/>
      <c r="B12" s="146">
        <v>221224000007</v>
      </c>
      <c r="C12" s="96" t="s">
        <v>14</v>
      </c>
      <c r="D12" s="97"/>
      <c r="E12" s="88">
        <v>54.5</v>
      </c>
      <c r="F12" s="99">
        <v>453</v>
      </c>
      <c r="G12" s="99">
        <f t="shared" si="0"/>
        <v>24688.5</v>
      </c>
      <c r="H12" s="94"/>
      <c r="I12" s="125" t="s">
        <v>23</v>
      </c>
      <c r="J12" s="121">
        <f t="shared" si="1"/>
        <v>24688.5</v>
      </c>
      <c r="K12" s="99"/>
      <c r="L12" s="122">
        <f t="shared" si="2"/>
        <v>299646.5</v>
      </c>
    </row>
    <row r="13" ht="20" customHeight="1" spans="1:12">
      <c r="A13" s="100"/>
      <c r="B13" s="146">
        <v>230102000002</v>
      </c>
      <c r="C13" s="96" t="s">
        <v>14</v>
      </c>
      <c r="D13" s="97"/>
      <c r="E13" s="99">
        <v>54.5</v>
      </c>
      <c r="F13" s="99">
        <v>536</v>
      </c>
      <c r="G13" s="99">
        <f t="shared" si="0"/>
        <v>29212</v>
      </c>
      <c r="H13" s="94"/>
      <c r="I13" s="125" t="s">
        <v>24</v>
      </c>
      <c r="J13" s="121">
        <f t="shared" si="1"/>
        <v>29212</v>
      </c>
      <c r="K13" s="99"/>
      <c r="L13" s="122">
        <f t="shared" si="2"/>
        <v>328858.5</v>
      </c>
    </row>
    <row r="14" ht="20" customHeight="1" spans="1:12">
      <c r="A14" s="100"/>
      <c r="B14" s="91">
        <v>230103000060</v>
      </c>
      <c r="C14" s="96" t="s">
        <v>14</v>
      </c>
      <c r="D14" s="97">
        <v>12</v>
      </c>
      <c r="E14" s="99">
        <v>54.5</v>
      </c>
      <c r="F14" s="99">
        <v>380</v>
      </c>
      <c r="G14" s="99">
        <f t="shared" si="0"/>
        <v>20710</v>
      </c>
      <c r="H14" s="94"/>
      <c r="I14" s="125" t="s">
        <v>25</v>
      </c>
      <c r="J14" s="121">
        <f t="shared" si="1"/>
        <v>20710</v>
      </c>
      <c r="K14" s="99"/>
      <c r="L14" s="122">
        <f t="shared" si="2"/>
        <v>349568.5</v>
      </c>
    </row>
    <row r="15" ht="20" customHeight="1" spans="1:12">
      <c r="A15" s="100"/>
      <c r="B15" s="91">
        <v>230110000047</v>
      </c>
      <c r="C15" s="101" t="s">
        <v>14</v>
      </c>
      <c r="D15" s="102">
        <v>16</v>
      </c>
      <c r="E15" s="103">
        <v>54.5</v>
      </c>
      <c r="F15" s="103">
        <v>765</v>
      </c>
      <c r="G15" s="103">
        <f t="shared" si="0"/>
        <v>41692.5</v>
      </c>
      <c r="H15" s="104"/>
      <c r="I15" s="126" t="s">
        <v>26</v>
      </c>
      <c r="J15" s="127">
        <f t="shared" si="1"/>
        <v>41692.5</v>
      </c>
      <c r="K15" s="103"/>
      <c r="L15" s="147">
        <f t="shared" si="2"/>
        <v>391261</v>
      </c>
    </row>
    <row r="16" ht="20" customHeight="1" spans="1:12">
      <c r="A16" s="100"/>
      <c r="B16" s="91">
        <v>230115000020</v>
      </c>
      <c r="C16" s="101" t="s">
        <v>14</v>
      </c>
      <c r="D16" s="102">
        <v>33</v>
      </c>
      <c r="E16" s="103">
        <v>53</v>
      </c>
      <c r="F16" s="103">
        <v>1343</v>
      </c>
      <c r="G16" s="103">
        <f t="shared" si="0"/>
        <v>71179</v>
      </c>
      <c r="H16" s="104"/>
      <c r="I16" s="126" t="s">
        <v>27</v>
      </c>
      <c r="J16" s="127">
        <f t="shared" si="1"/>
        <v>71179</v>
      </c>
      <c r="K16" s="103"/>
      <c r="L16" s="147">
        <f t="shared" si="2"/>
        <v>462440</v>
      </c>
    </row>
    <row r="17" ht="20" customHeight="1" spans="1:12">
      <c r="A17" s="100"/>
      <c r="B17" s="85">
        <v>230210000025</v>
      </c>
      <c r="C17" s="96" t="s">
        <v>14</v>
      </c>
      <c r="D17" s="97">
        <v>12</v>
      </c>
      <c r="E17" s="99">
        <v>43.5</v>
      </c>
      <c r="F17" s="99">
        <v>461</v>
      </c>
      <c r="G17" s="99">
        <f t="shared" si="0"/>
        <v>20053.5</v>
      </c>
      <c r="H17" s="94"/>
      <c r="I17" s="125" t="s">
        <v>28</v>
      </c>
      <c r="J17" s="121">
        <f t="shared" si="1"/>
        <v>20053.5</v>
      </c>
      <c r="K17" s="99"/>
      <c r="L17" s="122">
        <f t="shared" si="2"/>
        <v>482493.5</v>
      </c>
    </row>
    <row r="18" ht="20" customHeight="1" spans="1:12">
      <c r="A18" s="100"/>
      <c r="B18" s="85">
        <v>230208000020</v>
      </c>
      <c r="C18" s="96" t="s">
        <v>14</v>
      </c>
      <c r="D18" s="97">
        <v>24</v>
      </c>
      <c r="E18" s="99">
        <v>43.5</v>
      </c>
      <c r="F18" s="99">
        <v>1002</v>
      </c>
      <c r="G18" s="99">
        <f t="shared" si="0"/>
        <v>43587</v>
      </c>
      <c r="H18" s="94"/>
      <c r="I18" s="125" t="s">
        <v>29</v>
      </c>
      <c r="J18" s="121">
        <f t="shared" si="1"/>
        <v>43587</v>
      </c>
      <c r="K18" s="99"/>
      <c r="L18" s="122">
        <f t="shared" si="2"/>
        <v>526080.5</v>
      </c>
    </row>
    <row r="19" ht="20" customHeight="1" spans="1:12">
      <c r="A19" s="17">
        <v>44979</v>
      </c>
      <c r="B19" s="91"/>
      <c r="C19" s="96"/>
      <c r="D19" s="97"/>
      <c r="E19" s="99"/>
      <c r="F19" s="99"/>
      <c r="G19" s="99">
        <f t="shared" si="0"/>
        <v>0</v>
      </c>
      <c r="H19" s="94"/>
      <c r="I19" s="128" t="s">
        <v>30</v>
      </c>
      <c r="J19" s="121">
        <f t="shared" si="1"/>
        <v>0</v>
      </c>
      <c r="K19" s="99">
        <v>228728</v>
      </c>
      <c r="L19" s="122">
        <f t="shared" si="2"/>
        <v>297352.5</v>
      </c>
    </row>
    <row r="20" ht="20" customHeight="1" spans="1:12">
      <c r="A20" s="100"/>
      <c r="B20" s="91">
        <v>230215000005</v>
      </c>
      <c r="C20" s="96" t="s">
        <v>14</v>
      </c>
      <c r="D20" s="97"/>
      <c r="E20" s="99">
        <v>43.5</v>
      </c>
      <c r="F20" s="99">
        <v>510</v>
      </c>
      <c r="G20" s="99">
        <f t="shared" si="0"/>
        <v>22185</v>
      </c>
      <c r="H20" s="94"/>
      <c r="I20" s="125" t="s">
        <v>31</v>
      </c>
      <c r="J20" s="121">
        <f t="shared" si="1"/>
        <v>22185</v>
      </c>
      <c r="K20" s="99"/>
      <c r="L20" s="122">
        <f t="shared" si="2"/>
        <v>319537.5</v>
      </c>
    </row>
    <row r="21" ht="20" customHeight="1" spans="1:12">
      <c r="A21" s="100"/>
      <c r="B21" s="91">
        <v>230217000051</v>
      </c>
      <c r="C21" s="96" t="s">
        <v>14</v>
      </c>
      <c r="D21" s="97">
        <v>14</v>
      </c>
      <c r="E21" s="99">
        <v>43.5</v>
      </c>
      <c r="F21" s="99">
        <v>582</v>
      </c>
      <c r="G21" s="99">
        <f t="shared" si="0"/>
        <v>25317</v>
      </c>
      <c r="H21" s="94"/>
      <c r="I21" s="125" t="s">
        <v>32</v>
      </c>
      <c r="J21" s="121">
        <f t="shared" si="1"/>
        <v>25317</v>
      </c>
      <c r="K21" s="99"/>
      <c r="L21" s="122">
        <f t="shared" si="2"/>
        <v>344854.5</v>
      </c>
    </row>
    <row r="22" ht="20" customHeight="1" spans="1:12">
      <c r="A22" s="100"/>
      <c r="B22" s="91">
        <v>230222000023</v>
      </c>
      <c r="C22" s="96" t="s">
        <v>14</v>
      </c>
      <c r="D22" s="97">
        <v>16</v>
      </c>
      <c r="E22" s="99">
        <v>43.5</v>
      </c>
      <c r="F22" s="99">
        <v>602</v>
      </c>
      <c r="G22" s="99">
        <f t="shared" si="0"/>
        <v>26187</v>
      </c>
      <c r="H22" s="94"/>
      <c r="I22" s="125" t="s">
        <v>33</v>
      </c>
      <c r="J22" s="121">
        <f t="shared" si="1"/>
        <v>26187</v>
      </c>
      <c r="K22" s="99"/>
      <c r="L22" s="122">
        <f t="shared" si="2"/>
        <v>371041.5</v>
      </c>
    </row>
    <row r="23" ht="20" customHeight="1" spans="1:12">
      <c r="A23" s="100"/>
      <c r="B23" s="91">
        <v>230225000006</v>
      </c>
      <c r="C23" s="96" t="s">
        <v>14</v>
      </c>
      <c r="D23" s="97">
        <v>14</v>
      </c>
      <c r="E23" s="99">
        <v>43.5</v>
      </c>
      <c r="F23" s="99">
        <v>613</v>
      </c>
      <c r="G23" s="99">
        <f t="shared" si="0"/>
        <v>26665.5</v>
      </c>
      <c r="H23" s="94"/>
      <c r="I23" s="125" t="s">
        <v>34</v>
      </c>
      <c r="J23" s="121">
        <f t="shared" si="1"/>
        <v>26665.5</v>
      </c>
      <c r="K23" s="99"/>
      <c r="L23" s="122">
        <f t="shared" si="2"/>
        <v>397707</v>
      </c>
    </row>
    <row r="24" ht="20" customHeight="1" spans="1:12">
      <c r="A24" s="100"/>
      <c r="B24" s="91">
        <v>230301000008</v>
      </c>
      <c r="C24" s="96" t="s">
        <v>14</v>
      </c>
      <c r="D24" s="97">
        <v>18</v>
      </c>
      <c r="E24" s="99">
        <v>43.5</v>
      </c>
      <c r="F24" s="99">
        <v>567</v>
      </c>
      <c r="G24" s="99">
        <f t="shared" si="0"/>
        <v>24664.5</v>
      </c>
      <c r="H24" s="94"/>
      <c r="I24" s="125" t="s">
        <v>35</v>
      </c>
      <c r="J24" s="121">
        <f t="shared" si="1"/>
        <v>24664.5</v>
      </c>
      <c r="K24" s="99"/>
      <c r="L24" s="122">
        <f t="shared" si="2"/>
        <v>422371.5</v>
      </c>
    </row>
    <row r="25" ht="20" customHeight="1" spans="1:12">
      <c r="A25" s="100"/>
      <c r="B25" s="91">
        <v>230303000038</v>
      </c>
      <c r="C25" s="96" t="s">
        <v>14</v>
      </c>
      <c r="D25" s="97">
        <v>11</v>
      </c>
      <c r="E25" s="99">
        <v>44.5</v>
      </c>
      <c r="F25" s="99">
        <v>482</v>
      </c>
      <c r="G25" s="99">
        <f t="shared" si="0"/>
        <v>21449</v>
      </c>
      <c r="H25" s="94"/>
      <c r="I25" s="125" t="s">
        <v>36</v>
      </c>
      <c r="J25" s="121">
        <f t="shared" si="1"/>
        <v>21449</v>
      </c>
      <c r="K25" s="99"/>
      <c r="L25" s="122">
        <f t="shared" si="2"/>
        <v>443820.5</v>
      </c>
    </row>
    <row r="26" ht="20" customHeight="1" spans="1:12">
      <c r="A26" s="100"/>
      <c r="B26" s="91">
        <v>230307000029</v>
      </c>
      <c r="C26" s="96" t="s">
        <v>14</v>
      </c>
      <c r="D26" s="97">
        <v>20</v>
      </c>
      <c r="E26" s="99">
        <v>44.5</v>
      </c>
      <c r="F26" s="99">
        <v>646</v>
      </c>
      <c r="G26" s="99">
        <f t="shared" si="0"/>
        <v>28747</v>
      </c>
      <c r="H26" s="94"/>
      <c r="I26" s="125" t="s">
        <v>37</v>
      </c>
      <c r="J26" s="121">
        <f t="shared" si="1"/>
        <v>28747</v>
      </c>
      <c r="K26" s="99"/>
      <c r="L26" s="122">
        <f t="shared" si="2"/>
        <v>472567.5</v>
      </c>
    </row>
    <row r="27" ht="20" customHeight="1" spans="1:12">
      <c r="A27" s="100"/>
      <c r="B27" s="91">
        <v>230311000006</v>
      </c>
      <c r="C27" s="96" t="s">
        <v>14</v>
      </c>
      <c r="D27" s="97">
        <v>16</v>
      </c>
      <c r="E27" s="99">
        <v>44.5</v>
      </c>
      <c r="F27" s="99">
        <v>582</v>
      </c>
      <c r="G27" s="99">
        <f t="shared" si="0"/>
        <v>25899</v>
      </c>
      <c r="H27" s="94"/>
      <c r="I27" s="125" t="s">
        <v>38</v>
      </c>
      <c r="J27" s="121">
        <f t="shared" si="1"/>
        <v>25899</v>
      </c>
      <c r="K27" s="99"/>
      <c r="L27" s="122">
        <f t="shared" si="2"/>
        <v>498466.5</v>
      </c>
    </row>
    <row r="28" ht="20" customHeight="1" spans="1:12">
      <c r="A28" s="100"/>
      <c r="B28" s="91">
        <v>230315000011</v>
      </c>
      <c r="C28" s="96" t="s">
        <v>14</v>
      </c>
      <c r="D28" s="97">
        <v>19</v>
      </c>
      <c r="E28" s="99">
        <v>44.5</v>
      </c>
      <c r="F28" s="99">
        <v>725</v>
      </c>
      <c r="G28" s="99">
        <f t="shared" si="0"/>
        <v>32262.5</v>
      </c>
      <c r="H28" s="94"/>
      <c r="I28" s="125" t="s">
        <v>39</v>
      </c>
      <c r="J28" s="121">
        <f t="shared" si="1"/>
        <v>32262.5</v>
      </c>
      <c r="K28" s="99"/>
      <c r="L28" s="122">
        <f t="shared" si="2"/>
        <v>530729</v>
      </c>
    </row>
    <row r="29" ht="20" customHeight="1" spans="1:12">
      <c r="A29" s="17">
        <v>45015</v>
      </c>
      <c r="B29" s="91"/>
      <c r="C29" s="96"/>
      <c r="D29" s="97"/>
      <c r="E29" s="99"/>
      <c r="F29" s="99"/>
      <c r="G29" s="99">
        <f t="shared" si="0"/>
        <v>0</v>
      </c>
      <c r="H29" s="94"/>
      <c r="I29" s="125" t="s">
        <v>30</v>
      </c>
      <c r="J29" s="121">
        <f t="shared" si="1"/>
        <v>0</v>
      </c>
      <c r="K29" s="99">
        <v>100000</v>
      </c>
      <c r="L29" s="122">
        <f t="shared" si="2"/>
        <v>430729</v>
      </c>
    </row>
    <row r="30" ht="20" customHeight="1" spans="1:12">
      <c r="A30" s="17">
        <v>45016</v>
      </c>
      <c r="B30" s="91"/>
      <c r="C30" s="96"/>
      <c r="D30" s="97"/>
      <c r="E30" s="99"/>
      <c r="F30" s="99"/>
      <c r="G30" s="99">
        <f t="shared" si="0"/>
        <v>0</v>
      </c>
      <c r="H30" s="94"/>
      <c r="I30" s="128" t="s">
        <v>30</v>
      </c>
      <c r="J30" s="121">
        <f t="shared" si="1"/>
        <v>0</v>
      </c>
      <c r="K30" s="99">
        <v>80000</v>
      </c>
      <c r="L30" s="122">
        <f t="shared" si="2"/>
        <v>350729</v>
      </c>
    </row>
    <row r="31" ht="20" customHeight="1" spans="1:12">
      <c r="A31" s="100"/>
      <c r="B31" s="91">
        <v>230318000016</v>
      </c>
      <c r="C31" s="96" t="s">
        <v>14</v>
      </c>
      <c r="D31" s="97">
        <v>16</v>
      </c>
      <c r="E31" s="99">
        <v>44.5</v>
      </c>
      <c r="F31" s="99">
        <v>606</v>
      </c>
      <c r="G31" s="99">
        <f t="shared" si="0"/>
        <v>26967</v>
      </c>
      <c r="H31" s="94"/>
      <c r="I31" s="125"/>
      <c r="J31" s="121">
        <f t="shared" si="1"/>
        <v>26967</v>
      </c>
      <c r="K31" s="99"/>
      <c r="L31" s="122">
        <f t="shared" si="2"/>
        <v>377696</v>
      </c>
    </row>
    <row r="32" ht="20" customHeight="1" spans="1:12">
      <c r="A32" s="100"/>
      <c r="B32" s="91">
        <v>230324000031</v>
      </c>
      <c r="C32" s="96" t="s">
        <v>14</v>
      </c>
      <c r="D32" s="97">
        <v>17</v>
      </c>
      <c r="E32" s="99">
        <v>44.5</v>
      </c>
      <c r="F32" s="99">
        <v>643</v>
      </c>
      <c r="G32" s="99">
        <f t="shared" si="0"/>
        <v>28613.5</v>
      </c>
      <c r="H32" s="94"/>
      <c r="I32" s="125"/>
      <c r="J32" s="121">
        <f t="shared" si="1"/>
        <v>28613.5</v>
      </c>
      <c r="K32" s="99"/>
      <c r="L32" s="122">
        <f t="shared" si="2"/>
        <v>406309.5</v>
      </c>
    </row>
    <row r="33" ht="20" customHeight="1" spans="1:12">
      <c r="A33" s="100"/>
      <c r="B33" s="91">
        <v>230325000003</v>
      </c>
      <c r="C33" s="96" t="s">
        <v>14</v>
      </c>
      <c r="D33" s="97">
        <v>20</v>
      </c>
      <c r="E33" s="99">
        <v>44.5</v>
      </c>
      <c r="F33" s="99">
        <v>780</v>
      </c>
      <c r="G33" s="99">
        <f t="shared" si="0"/>
        <v>34710</v>
      </c>
      <c r="H33" s="94"/>
      <c r="I33" s="125"/>
      <c r="J33" s="121">
        <f t="shared" si="1"/>
        <v>34710</v>
      </c>
      <c r="K33" s="99"/>
      <c r="L33" s="122">
        <f t="shared" si="2"/>
        <v>441019.5</v>
      </c>
    </row>
    <row r="34" ht="20" customHeight="1" spans="1:12">
      <c r="A34" s="106"/>
      <c r="B34" s="91">
        <v>230329000012</v>
      </c>
      <c r="C34" s="107" t="s">
        <v>14</v>
      </c>
      <c r="D34" s="108">
        <v>9</v>
      </c>
      <c r="E34" s="109">
        <v>44.5</v>
      </c>
      <c r="F34" s="109">
        <v>486</v>
      </c>
      <c r="G34" s="109">
        <f t="shared" si="0"/>
        <v>21627</v>
      </c>
      <c r="H34" s="110"/>
      <c r="I34" s="129" t="s">
        <v>40</v>
      </c>
      <c r="J34" s="130">
        <f t="shared" si="1"/>
        <v>21627</v>
      </c>
      <c r="K34" s="109"/>
      <c r="L34" s="148">
        <f t="shared" si="2"/>
        <v>462646.5</v>
      </c>
    </row>
    <row r="35" ht="20" customHeight="1" spans="1:12">
      <c r="A35" s="100"/>
      <c r="B35" s="91">
        <v>230331000048</v>
      </c>
      <c r="C35" s="96" t="s">
        <v>14</v>
      </c>
      <c r="D35" s="97">
        <v>14</v>
      </c>
      <c r="E35" s="99">
        <v>47</v>
      </c>
      <c r="F35" s="99">
        <v>589</v>
      </c>
      <c r="G35" s="99">
        <f t="shared" si="0"/>
        <v>27683</v>
      </c>
      <c r="H35" s="94"/>
      <c r="I35" s="125" t="s">
        <v>41</v>
      </c>
      <c r="J35" s="121">
        <f t="shared" si="1"/>
        <v>27683</v>
      </c>
      <c r="K35" s="99"/>
      <c r="L35" s="122">
        <f t="shared" si="2"/>
        <v>490329.5</v>
      </c>
    </row>
    <row r="36" ht="20" customHeight="1" spans="1:12">
      <c r="A36" s="100"/>
      <c r="B36" s="91">
        <v>230406000043</v>
      </c>
      <c r="C36" s="96" t="s">
        <v>14</v>
      </c>
      <c r="D36" s="97">
        <v>25</v>
      </c>
      <c r="E36" s="99">
        <v>47</v>
      </c>
      <c r="F36" s="99">
        <v>1023</v>
      </c>
      <c r="G36" s="99">
        <f t="shared" si="0"/>
        <v>48081</v>
      </c>
      <c r="H36" s="94"/>
      <c r="I36" s="125" t="s">
        <v>42</v>
      </c>
      <c r="J36" s="121">
        <f t="shared" si="1"/>
        <v>48081</v>
      </c>
      <c r="K36" s="99"/>
      <c r="L36" s="122">
        <f t="shared" si="2"/>
        <v>538410.5</v>
      </c>
    </row>
    <row r="37" ht="20" customHeight="1" spans="1:12">
      <c r="A37" s="100"/>
      <c r="B37" s="91">
        <v>230410000046</v>
      </c>
      <c r="C37" s="96" t="s">
        <v>14</v>
      </c>
      <c r="D37" s="97">
        <v>28</v>
      </c>
      <c r="E37" s="99">
        <v>47</v>
      </c>
      <c r="F37" s="99">
        <v>1101</v>
      </c>
      <c r="G37" s="99">
        <f t="shared" si="0"/>
        <v>51747</v>
      </c>
      <c r="H37" s="94"/>
      <c r="I37" s="125" t="s">
        <v>43</v>
      </c>
      <c r="J37" s="121">
        <f t="shared" si="1"/>
        <v>51747</v>
      </c>
      <c r="K37" s="99"/>
      <c r="L37" s="122">
        <f t="shared" si="2"/>
        <v>590157.5</v>
      </c>
    </row>
    <row r="38" ht="20" customHeight="1" spans="1:12">
      <c r="A38" s="100"/>
      <c r="B38" s="91">
        <v>230415000005</v>
      </c>
      <c r="C38" s="96" t="s">
        <v>14</v>
      </c>
      <c r="D38" s="97">
        <v>22</v>
      </c>
      <c r="E38" s="99">
        <v>47</v>
      </c>
      <c r="F38" s="99">
        <v>937</v>
      </c>
      <c r="G38" s="99">
        <f t="shared" si="0"/>
        <v>44039</v>
      </c>
      <c r="H38" s="94"/>
      <c r="I38" s="125" t="s">
        <v>44</v>
      </c>
      <c r="J38" s="121">
        <f t="shared" si="1"/>
        <v>44039</v>
      </c>
      <c r="K38" s="99"/>
      <c r="L38" s="122">
        <f t="shared" si="2"/>
        <v>634196.5</v>
      </c>
    </row>
    <row r="39" ht="20" customHeight="1" spans="1:12">
      <c r="A39" s="100"/>
      <c r="B39" s="91">
        <v>230419000029</v>
      </c>
      <c r="C39" s="96" t="s">
        <v>14</v>
      </c>
      <c r="D39" s="97">
        <v>28</v>
      </c>
      <c r="E39" s="99">
        <v>47</v>
      </c>
      <c r="F39" s="99">
        <v>1145</v>
      </c>
      <c r="G39" s="99">
        <f t="shared" si="0"/>
        <v>53815</v>
      </c>
      <c r="H39" s="94"/>
      <c r="I39" s="125" t="s">
        <v>45</v>
      </c>
      <c r="J39" s="121">
        <f t="shared" si="1"/>
        <v>53815</v>
      </c>
      <c r="K39" s="99"/>
      <c r="L39" s="122">
        <f t="shared" si="2"/>
        <v>688011.5</v>
      </c>
    </row>
    <row r="40" ht="20" customHeight="1" spans="1:12">
      <c r="A40" s="17">
        <v>45041</v>
      </c>
      <c r="B40" s="91"/>
      <c r="C40" s="96"/>
      <c r="D40" s="97"/>
      <c r="E40" s="99"/>
      <c r="F40" s="99"/>
      <c r="G40" s="99">
        <f t="shared" si="0"/>
        <v>0</v>
      </c>
      <c r="H40" s="94"/>
      <c r="I40" s="125" t="s">
        <v>30</v>
      </c>
      <c r="J40" s="121">
        <f t="shared" si="1"/>
        <v>0</v>
      </c>
      <c r="K40" s="99">
        <v>200000</v>
      </c>
      <c r="L40" s="122">
        <f t="shared" si="2"/>
        <v>488011.5</v>
      </c>
    </row>
    <row r="41" ht="20" customHeight="1" spans="1:12">
      <c r="A41" s="17">
        <v>45013</v>
      </c>
      <c r="B41" s="91"/>
      <c r="C41" s="96"/>
      <c r="D41" s="97"/>
      <c r="E41" s="99"/>
      <c r="F41" s="99"/>
      <c r="G41" s="99">
        <f t="shared" si="0"/>
        <v>0</v>
      </c>
      <c r="H41" s="94"/>
      <c r="I41" s="125" t="s">
        <v>30</v>
      </c>
      <c r="J41" s="121">
        <f t="shared" si="1"/>
        <v>0</v>
      </c>
      <c r="K41" s="99">
        <v>75535</v>
      </c>
      <c r="L41" s="122">
        <f t="shared" si="2"/>
        <v>412476.5</v>
      </c>
    </row>
    <row r="42" ht="20" customHeight="1" spans="1:12">
      <c r="A42" s="100"/>
      <c r="B42" s="91">
        <v>230422000003</v>
      </c>
      <c r="C42" s="96" t="s">
        <v>14</v>
      </c>
      <c r="D42" s="97">
        <v>18</v>
      </c>
      <c r="E42" s="99">
        <v>47</v>
      </c>
      <c r="F42" s="99">
        <v>797</v>
      </c>
      <c r="G42" s="99">
        <f t="shared" si="0"/>
        <v>37459</v>
      </c>
      <c r="H42" s="94"/>
      <c r="I42" s="125"/>
      <c r="J42" s="121">
        <f t="shared" si="1"/>
        <v>37459</v>
      </c>
      <c r="K42" s="99"/>
      <c r="L42" s="122">
        <f t="shared" si="2"/>
        <v>449935.5</v>
      </c>
    </row>
    <row r="43" ht="20" customHeight="1" spans="1:12">
      <c r="A43" s="100"/>
      <c r="B43" s="91">
        <v>230426000004</v>
      </c>
      <c r="C43" s="96" t="s">
        <v>14</v>
      </c>
      <c r="D43" s="97">
        <v>14</v>
      </c>
      <c r="E43" s="99">
        <v>47</v>
      </c>
      <c r="F43" s="99">
        <v>718</v>
      </c>
      <c r="G43" s="99">
        <f t="shared" si="0"/>
        <v>33746</v>
      </c>
      <c r="H43" s="94"/>
      <c r="I43" s="125"/>
      <c r="J43" s="121">
        <f t="shared" si="1"/>
        <v>33746</v>
      </c>
      <c r="K43" s="99"/>
      <c r="L43" s="122">
        <f t="shared" si="2"/>
        <v>483681.5</v>
      </c>
    </row>
    <row r="44" ht="20" customHeight="1" spans="1:12">
      <c r="A44" s="100"/>
      <c r="B44" s="91">
        <v>230428000031</v>
      </c>
      <c r="C44" s="96" t="s">
        <v>14</v>
      </c>
      <c r="D44" s="97">
        <v>19</v>
      </c>
      <c r="E44" s="99">
        <v>47</v>
      </c>
      <c r="F44" s="99">
        <v>838</v>
      </c>
      <c r="G44" s="99">
        <f t="shared" si="0"/>
        <v>39386</v>
      </c>
      <c r="H44" s="94"/>
      <c r="I44" s="125"/>
      <c r="J44" s="121">
        <f t="shared" si="1"/>
        <v>39386</v>
      </c>
      <c r="K44" s="99"/>
      <c r="L44" s="122">
        <f t="shared" si="2"/>
        <v>523067.5</v>
      </c>
    </row>
    <row r="45" ht="20" customHeight="1" spans="1:12">
      <c r="A45" s="100"/>
      <c r="B45" s="91">
        <v>230506000020</v>
      </c>
      <c r="C45" s="96" t="s">
        <v>14</v>
      </c>
      <c r="D45" s="97">
        <v>18</v>
      </c>
      <c r="E45" s="99">
        <v>47</v>
      </c>
      <c r="F45" s="99">
        <v>617</v>
      </c>
      <c r="G45" s="99">
        <f t="shared" si="0"/>
        <v>28999</v>
      </c>
      <c r="H45" s="94"/>
      <c r="I45" s="125"/>
      <c r="J45" s="121">
        <f t="shared" si="1"/>
        <v>28999</v>
      </c>
      <c r="K45" s="99"/>
      <c r="L45" s="122">
        <f t="shared" si="2"/>
        <v>552066.5</v>
      </c>
    </row>
    <row r="46" ht="20" customHeight="1" spans="1:12">
      <c r="A46" s="17">
        <v>45070</v>
      </c>
      <c r="B46" s="125" t="s">
        <v>30</v>
      </c>
      <c r="C46" s="96"/>
      <c r="D46" s="97"/>
      <c r="E46" s="99"/>
      <c r="F46" s="99"/>
      <c r="G46" s="99">
        <f t="shared" si="0"/>
        <v>0</v>
      </c>
      <c r="H46" s="94"/>
      <c r="I46" s="125"/>
      <c r="J46" s="121">
        <f t="shared" si="1"/>
        <v>0</v>
      </c>
      <c r="K46" s="99">
        <v>20000</v>
      </c>
      <c r="L46" s="122">
        <f t="shared" si="2"/>
        <v>532066.5</v>
      </c>
    </row>
    <row r="47" ht="20" customHeight="1" spans="1:12">
      <c r="A47" s="17">
        <v>45070</v>
      </c>
      <c r="B47" s="125" t="s">
        <v>30</v>
      </c>
      <c r="C47" s="96"/>
      <c r="D47" s="97"/>
      <c r="E47" s="99"/>
      <c r="F47" s="99"/>
      <c r="G47" s="99">
        <f t="shared" si="0"/>
        <v>0</v>
      </c>
      <c r="H47" s="94"/>
      <c r="I47" s="125"/>
      <c r="J47" s="121">
        <f t="shared" si="1"/>
        <v>0</v>
      </c>
      <c r="K47" s="99">
        <v>40000</v>
      </c>
      <c r="L47" s="122">
        <f t="shared" si="2"/>
        <v>492066.5</v>
      </c>
    </row>
    <row r="48" ht="20" customHeight="1" spans="1:12">
      <c r="A48" s="17">
        <v>45070</v>
      </c>
      <c r="B48" s="125" t="s">
        <v>30</v>
      </c>
      <c r="C48" s="96"/>
      <c r="D48" s="97"/>
      <c r="E48" s="99"/>
      <c r="F48" s="99"/>
      <c r="G48" s="99">
        <f t="shared" si="0"/>
        <v>0</v>
      </c>
      <c r="H48" s="94"/>
      <c r="I48" s="125"/>
      <c r="J48" s="121">
        <f t="shared" si="1"/>
        <v>0</v>
      </c>
      <c r="K48" s="99">
        <v>40000</v>
      </c>
      <c r="L48" s="122">
        <f t="shared" si="2"/>
        <v>452066.5</v>
      </c>
    </row>
    <row r="49" ht="20" customHeight="1" spans="1:12">
      <c r="A49" s="17">
        <v>45071</v>
      </c>
      <c r="B49" s="125" t="s">
        <v>30</v>
      </c>
      <c r="C49" s="96"/>
      <c r="D49" s="97"/>
      <c r="E49" s="99"/>
      <c r="F49" s="99"/>
      <c r="G49" s="99">
        <f t="shared" si="0"/>
        <v>0</v>
      </c>
      <c r="H49" s="94"/>
      <c r="I49" s="125"/>
      <c r="J49" s="121">
        <f t="shared" si="1"/>
        <v>0</v>
      </c>
      <c r="K49" s="99">
        <v>50000</v>
      </c>
      <c r="L49" s="122">
        <f t="shared" si="2"/>
        <v>402066.5</v>
      </c>
    </row>
    <row r="50" ht="20" customHeight="1" spans="1:12">
      <c r="A50" s="17">
        <v>45071</v>
      </c>
      <c r="B50" s="125" t="s">
        <v>30</v>
      </c>
      <c r="C50" s="96"/>
      <c r="D50" s="97"/>
      <c r="E50" s="99"/>
      <c r="F50" s="99"/>
      <c r="G50" s="99">
        <f t="shared" si="0"/>
        <v>0</v>
      </c>
      <c r="H50" s="94"/>
      <c r="I50" s="94"/>
      <c r="J50" s="121">
        <f t="shared" si="1"/>
        <v>0</v>
      </c>
      <c r="K50" s="99">
        <v>30000</v>
      </c>
      <c r="L50" s="122">
        <f t="shared" si="2"/>
        <v>372066.5</v>
      </c>
    </row>
    <row r="51" ht="20" customHeight="1" spans="1:12">
      <c r="A51" s="17">
        <v>45071</v>
      </c>
      <c r="B51" s="125" t="s">
        <v>30</v>
      </c>
      <c r="C51" s="96"/>
      <c r="D51" s="97"/>
      <c r="E51" s="99"/>
      <c r="F51" s="99"/>
      <c r="G51" s="99">
        <f t="shared" si="0"/>
        <v>0</v>
      </c>
      <c r="H51" s="94"/>
      <c r="I51" s="94"/>
      <c r="J51" s="121">
        <f t="shared" si="1"/>
        <v>0</v>
      </c>
      <c r="K51" s="99">
        <v>20000</v>
      </c>
      <c r="L51" s="122">
        <f t="shared" si="2"/>
        <v>352066.5</v>
      </c>
    </row>
    <row r="52" ht="20" customHeight="1" spans="1:12">
      <c r="A52" s="17">
        <v>45070</v>
      </c>
      <c r="B52" s="125" t="s">
        <v>30</v>
      </c>
      <c r="C52" s="96"/>
      <c r="D52" s="97"/>
      <c r="E52" s="99"/>
      <c r="F52" s="99"/>
      <c r="G52" s="99">
        <f t="shared" si="0"/>
        <v>0</v>
      </c>
      <c r="H52" s="94"/>
      <c r="I52" s="94"/>
      <c r="J52" s="121">
        <f t="shared" si="1"/>
        <v>0</v>
      </c>
      <c r="K52" s="99">
        <v>49000</v>
      </c>
      <c r="L52" s="122">
        <f t="shared" si="2"/>
        <v>303066.5</v>
      </c>
    </row>
    <row r="53" ht="20" customHeight="1" spans="1:12">
      <c r="A53" s="17">
        <v>45070</v>
      </c>
      <c r="B53" s="125" t="s">
        <v>30</v>
      </c>
      <c r="C53" s="96"/>
      <c r="D53" s="97"/>
      <c r="E53" s="99"/>
      <c r="F53" s="99"/>
      <c r="G53" s="99">
        <f t="shared" si="0"/>
        <v>0</v>
      </c>
      <c r="H53" s="94"/>
      <c r="I53" s="94"/>
      <c r="J53" s="121">
        <f t="shared" si="1"/>
        <v>0</v>
      </c>
      <c r="K53" s="99">
        <v>40730</v>
      </c>
      <c r="L53" s="122">
        <f t="shared" si="2"/>
        <v>262336.5</v>
      </c>
    </row>
    <row r="54" ht="20" customHeight="1" spans="1:12">
      <c r="A54" s="100"/>
      <c r="B54" s="91">
        <v>230510000012</v>
      </c>
      <c r="C54" s="96" t="s">
        <v>14</v>
      </c>
      <c r="D54" s="97">
        <v>14</v>
      </c>
      <c r="E54" s="99">
        <v>47</v>
      </c>
      <c r="F54" s="99">
        <v>574</v>
      </c>
      <c r="G54" s="99">
        <f t="shared" si="0"/>
        <v>26978</v>
      </c>
      <c r="H54" s="94"/>
      <c r="I54" s="94"/>
      <c r="J54" s="121">
        <f t="shared" si="1"/>
        <v>26978</v>
      </c>
      <c r="K54" s="99"/>
      <c r="L54" s="122">
        <f t="shared" si="2"/>
        <v>289314.5</v>
      </c>
    </row>
    <row r="55" ht="20" customHeight="1" spans="1:12">
      <c r="A55" s="100"/>
      <c r="B55" s="91">
        <v>230512000046</v>
      </c>
      <c r="C55" s="96" t="s">
        <v>14</v>
      </c>
      <c r="D55" s="97">
        <v>16</v>
      </c>
      <c r="E55" s="99">
        <v>47</v>
      </c>
      <c r="F55" s="99">
        <v>690</v>
      </c>
      <c r="G55" s="99">
        <f t="shared" si="0"/>
        <v>32430</v>
      </c>
      <c r="H55" s="94"/>
      <c r="I55" s="94"/>
      <c r="J55" s="121">
        <f t="shared" si="1"/>
        <v>32430</v>
      </c>
      <c r="K55" s="99"/>
      <c r="L55" s="122">
        <f t="shared" si="2"/>
        <v>321744.5</v>
      </c>
    </row>
    <row r="56" ht="20" customHeight="1" spans="1:12">
      <c r="A56" s="100"/>
      <c r="B56" s="91">
        <v>230517000011</v>
      </c>
      <c r="C56" s="96" t="s">
        <v>14</v>
      </c>
      <c r="D56" s="97">
        <v>16</v>
      </c>
      <c r="E56" s="99">
        <v>47</v>
      </c>
      <c r="F56" s="99">
        <v>635</v>
      </c>
      <c r="G56" s="99">
        <f t="shared" si="0"/>
        <v>29845</v>
      </c>
      <c r="H56" s="94"/>
      <c r="I56" s="94"/>
      <c r="J56" s="121">
        <f t="shared" si="1"/>
        <v>29845</v>
      </c>
      <c r="K56" s="99"/>
      <c r="L56" s="122">
        <f t="shared" si="2"/>
        <v>351589.5</v>
      </c>
    </row>
    <row r="57" ht="20" customHeight="1" spans="1:12">
      <c r="A57" s="100"/>
      <c r="B57" s="91">
        <v>230522000032</v>
      </c>
      <c r="C57" s="96" t="s">
        <v>14</v>
      </c>
      <c r="D57" s="97">
        <v>18</v>
      </c>
      <c r="E57" s="99">
        <v>47</v>
      </c>
      <c r="F57" s="99">
        <v>802</v>
      </c>
      <c r="G57" s="99">
        <f t="shared" si="0"/>
        <v>37694</v>
      </c>
      <c r="H57" s="94"/>
      <c r="I57" s="94"/>
      <c r="J57" s="121">
        <f t="shared" si="1"/>
        <v>37694</v>
      </c>
      <c r="K57" s="99"/>
      <c r="L57" s="122">
        <f t="shared" si="2"/>
        <v>389283.5</v>
      </c>
    </row>
    <row r="58" ht="20" customHeight="1" spans="1:12">
      <c r="A58" s="100"/>
      <c r="B58" s="91">
        <v>230523000049</v>
      </c>
      <c r="C58" s="96" t="s">
        <v>14</v>
      </c>
      <c r="D58" s="97">
        <v>18</v>
      </c>
      <c r="E58" s="99">
        <v>48.5</v>
      </c>
      <c r="F58" s="99">
        <v>746</v>
      </c>
      <c r="G58" s="99">
        <f t="shared" si="0"/>
        <v>36181</v>
      </c>
      <c r="H58" s="94"/>
      <c r="I58" s="94"/>
      <c r="J58" s="121">
        <f t="shared" si="1"/>
        <v>36181</v>
      </c>
      <c r="K58" s="99"/>
      <c r="L58" s="122">
        <f t="shared" si="2"/>
        <v>425464.5</v>
      </c>
    </row>
    <row r="59" ht="20" customHeight="1" spans="1:12">
      <c r="A59" s="100"/>
      <c r="B59" s="91">
        <v>230526000037</v>
      </c>
      <c r="C59" s="96" t="s">
        <v>14</v>
      </c>
      <c r="D59" s="97">
        <v>20</v>
      </c>
      <c r="E59" s="99">
        <v>48.5</v>
      </c>
      <c r="F59" s="99">
        <v>778</v>
      </c>
      <c r="G59" s="99">
        <f t="shared" si="0"/>
        <v>37733</v>
      </c>
      <c r="H59" s="94"/>
      <c r="I59" s="94"/>
      <c r="J59" s="121">
        <f t="shared" si="1"/>
        <v>37733</v>
      </c>
      <c r="K59" s="99"/>
      <c r="L59" s="122">
        <f t="shared" si="2"/>
        <v>463197.5</v>
      </c>
    </row>
    <row r="60" ht="20" customHeight="1" spans="1:12">
      <c r="A60" s="100"/>
      <c r="B60" s="91">
        <v>230531000010</v>
      </c>
      <c r="C60" s="96" t="s">
        <v>14</v>
      </c>
      <c r="D60" s="97">
        <v>22</v>
      </c>
      <c r="E60" s="99">
        <v>47</v>
      </c>
      <c r="F60" s="99">
        <v>868</v>
      </c>
      <c r="G60" s="99">
        <f t="shared" si="0"/>
        <v>40796</v>
      </c>
      <c r="H60" s="94"/>
      <c r="I60" s="94"/>
      <c r="J60" s="121">
        <f t="shared" si="1"/>
        <v>40796</v>
      </c>
      <c r="K60" s="99"/>
      <c r="L60" s="122">
        <f t="shared" si="2"/>
        <v>503993.5</v>
      </c>
    </row>
    <row r="61" ht="20" customHeight="1" spans="1:12">
      <c r="A61" s="100"/>
      <c r="B61" s="91">
        <v>230603000002</v>
      </c>
      <c r="C61" s="96" t="s">
        <v>14</v>
      </c>
      <c r="D61" s="97">
        <v>23</v>
      </c>
      <c r="E61" s="99">
        <v>47</v>
      </c>
      <c r="F61" s="99">
        <v>862</v>
      </c>
      <c r="G61" s="99">
        <f t="shared" si="0"/>
        <v>40514</v>
      </c>
      <c r="H61" s="94"/>
      <c r="I61" s="94"/>
      <c r="J61" s="121">
        <f t="shared" si="1"/>
        <v>40514</v>
      </c>
      <c r="K61" s="99"/>
      <c r="L61" s="122">
        <f t="shared" si="2"/>
        <v>544507.5</v>
      </c>
    </row>
    <row r="62" ht="20" customHeight="1" spans="1:12">
      <c r="A62" s="100"/>
      <c r="B62" s="91">
        <v>230607000010</v>
      </c>
      <c r="C62" s="96" t="s">
        <v>14</v>
      </c>
      <c r="D62" s="97">
        <v>19</v>
      </c>
      <c r="E62" s="99">
        <v>47</v>
      </c>
      <c r="F62" s="99">
        <v>830</v>
      </c>
      <c r="G62" s="99">
        <f t="shared" si="0"/>
        <v>39010</v>
      </c>
      <c r="H62" s="94"/>
      <c r="I62" s="94"/>
      <c r="J62" s="121">
        <f t="shared" si="1"/>
        <v>39010</v>
      </c>
      <c r="K62" s="99"/>
      <c r="L62" s="122">
        <f t="shared" si="2"/>
        <v>583517.5</v>
      </c>
    </row>
    <row r="63" ht="20" customHeight="1" spans="1:12">
      <c r="A63" s="100"/>
      <c r="B63" s="91">
        <v>230610000007</v>
      </c>
      <c r="C63" s="96" t="s">
        <v>14</v>
      </c>
      <c r="D63" s="97">
        <v>29</v>
      </c>
      <c r="E63" s="99">
        <v>47</v>
      </c>
      <c r="F63" s="99">
        <v>1005</v>
      </c>
      <c r="G63" s="99">
        <f t="shared" si="0"/>
        <v>47235</v>
      </c>
      <c r="H63" s="94"/>
      <c r="I63" s="94"/>
      <c r="J63" s="121">
        <f t="shared" si="1"/>
        <v>47235</v>
      </c>
      <c r="K63" s="99"/>
      <c r="L63" s="122">
        <f t="shared" si="2"/>
        <v>630752.5</v>
      </c>
    </row>
    <row r="64" ht="20" customHeight="1" spans="1:13">
      <c r="A64" s="100"/>
      <c r="B64" s="91">
        <v>230614000015</v>
      </c>
      <c r="C64" s="96" t="s">
        <v>14</v>
      </c>
      <c r="D64" s="97">
        <v>19</v>
      </c>
      <c r="E64" s="99">
        <v>47</v>
      </c>
      <c r="F64" s="99">
        <v>686</v>
      </c>
      <c r="G64" s="99">
        <f t="shared" si="0"/>
        <v>32242</v>
      </c>
      <c r="H64" s="94"/>
      <c r="I64" s="94"/>
      <c r="J64" s="121">
        <f t="shared" si="1"/>
        <v>32242</v>
      </c>
      <c r="K64" s="94"/>
      <c r="L64" s="122">
        <f t="shared" si="2"/>
        <v>662994.5</v>
      </c>
      <c r="M64" s="149"/>
    </row>
    <row r="65" ht="20" customHeight="1" spans="1:13">
      <c r="A65" s="100"/>
      <c r="B65" s="91">
        <v>230617000010</v>
      </c>
      <c r="C65" s="96" t="s">
        <v>14</v>
      </c>
      <c r="D65" s="97">
        <v>24</v>
      </c>
      <c r="E65" s="99">
        <v>47</v>
      </c>
      <c r="F65" s="99">
        <v>907</v>
      </c>
      <c r="G65" s="99">
        <f t="shared" si="0"/>
        <v>42629</v>
      </c>
      <c r="H65" s="94"/>
      <c r="I65" s="94"/>
      <c r="J65" s="121">
        <f t="shared" si="1"/>
        <v>42629</v>
      </c>
      <c r="K65" s="94"/>
      <c r="L65" s="122">
        <f t="shared" si="2"/>
        <v>705623.5</v>
      </c>
      <c r="M65" s="149"/>
    </row>
    <row r="66" ht="20" customHeight="1" spans="1:13">
      <c r="A66" s="100"/>
      <c r="B66" s="91">
        <v>230620000028</v>
      </c>
      <c r="C66" s="96" t="s">
        <v>14</v>
      </c>
      <c r="D66" s="97">
        <v>20</v>
      </c>
      <c r="E66" s="99">
        <v>47</v>
      </c>
      <c r="F66" s="99">
        <v>878</v>
      </c>
      <c r="G66" s="99">
        <f t="shared" si="0"/>
        <v>41266</v>
      </c>
      <c r="H66" s="94"/>
      <c r="I66" s="94"/>
      <c r="J66" s="121">
        <f t="shared" si="1"/>
        <v>41266</v>
      </c>
      <c r="K66" s="94"/>
      <c r="L66" s="122">
        <f t="shared" si="2"/>
        <v>746889.5</v>
      </c>
      <c r="M66" s="149"/>
    </row>
    <row r="67" ht="20" customHeight="1" spans="1:13">
      <c r="A67" s="100"/>
      <c r="B67" s="91">
        <v>230625000057</v>
      </c>
      <c r="C67" s="96" t="s">
        <v>14</v>
      </c>
      <c r="D67" s="97">
        <v>23</v>
      </c>
      <c r="E67" s="99">
        <v>47</v>
      </c>
      <c r="F67" s="99">
        <v>1125</v>
      </c>
      <c r="G67" s="99">
        <f t="shared" si="0"/>
        <v>52875</v>
      </c>
      <c r="H67" s="94"/>
      <c r="I67" s="94"/>
      <c r="J67" s="121">
        <f t="shared" si="1"/>
        <v>52875</v>
      </c>
      <c r="K67" s="94"/>
      <c r="L67" s="122">
        <f t="shared" si="2"/>
        <v>799764.5</v>
      </c>
      <c r="M67" s="149"/>
    </row>
    <row r="68" ht="20" customHeight="1" spans="1:13">
      <c r="A68" s="100" t="s">
        <v>46</v>
      </c>
      <c r="B68" s="91" t="s">
        <v>30</v>
      </c>
      <c r="C68" s="96"/>
      <c r="D68" s="97"/>
      <c r="E68" s="99"/>
      <c r="F68" s="99"/>
      <c r="G68" s="99">
        <f t="shared" ref="G68:G92" si="3">E68*F68</f>
        <v>0</v>
      </c>
      <c r="H68" s="94"/>
      <c r="I68" s="94"/>
      <c r="J68" s="121">
        <f t="shared" si="1"/>
        <v>0</v>
      </c>
      <c r="K68" s="94">
        <v>100000</v>
      </c>
      <c r="L68" s="122">
        <f t="shared" si="2"/>
        <v>699764.5</v>
      </c>
      <c r="M68" s="149"/>
    </row>
    <row r="69" ht="20" customHeight="1" spans="1:13">
      <c r="A69" s="100" t="s">
        <v>47</v>
      </c>
      <c r="B69" s="91" t="s">
        <v>30</v>
      </c>
      <c r="C69" s="96"/>
      <c r="D69" s="97"/>
      <c r="E69" s="99"/>
      <c r="F69" s="99"/>
      <c r="G69" s="99">
        <f t="shared" si="3"/>
        <v>0</v>
      </c>
      <c r="H69" s="94"/>
      <c r="I69" s="94"/>
      <c r="J69" s="121">
        <f t="shared" ref="J69:J92" si="4">G69+H69</f>
        <v>0</v>
      </c>
      <c r="K69" s="94">
        <v>46641</v>
      </c>
      <c r="L69" s="122">
        <f t="shared" ref="L69:L92" si="5">L68+J69-K69</f>
        <v>653123.5</v>
      </c>
      <c r="M69" s="149"/>
    </row>
    <row r="70" ht="20" customHeight="1" spans="1:12">
      <c r="A70" s="95" t="s">
        <v>48</v>
      </c>
      <c r="B70" s="91" t="s">
        <v>30</v>
      </c>
      <c r="C70" s="97"/>
      <c r="D70" s="97"/>
      <c r="E70" s="99"/>
      <c r="F70" s="99"/>
      <c r="G70" s="99">
        <f t="shared" si="3"/>
        <v>0</v>
      </c>
      <c r="H70" s="94"/>
      <c r="I70" s="94"/>
      <c r="J70" s="121">
        <f t="shared" si="4"/>
        <v>0</v>
      </c>
      <c r="K70" s="99">
        <v>50000</v>
      </c>
      <c r="L70" s="122">
        <f t="shared" si="5"/>
        <v>603123.5</v>
      </c>
    </row>
    <row r="71" ht="20" customHeight="1" spans="1:12">
      <c r="A71" s="95" t="s">
        <v>48</v>
      </c>
      <c r="B71" s="91" t="s">
        <v>30</v>
      </c>
      <c r="C71" s="97"/>
      <c r="D71" s="97"/>
      <c r="E71" s="99"/>
      <c r="F71" s="99"/>
      <c r="G71" s="99">
        <f t="shared" si="3"/>
        <v>0</v>
      </c>
      <c r="H71" s="94"/>
      <c r="I71" s="94"/>
      <c r="J71" s="121">
        <f t="shared" si="4"/>
        <v>0</v>
      </c>
      <c r="K71" s="99">
        <v>50000</v>
      </c>
      <c r="L71" s="122">
        <f t="shared" si="5"/>
        <v>553123.5</v>
      </c>
    </row>
    <row r="72" ht="20" customHeight="1" spans="1:12">
      <c r="A72" s="133" t="s">
        <v>49</v>
      </c>
      <c r="B72" s="91" t="s">
        <v>30</v>
      </c>
      <c r="C72" s="97"/>
      <c r="D72" s="97"/>
      <c r="E72" s="99"/>
      <c r="F72" s="99"/>
      <c r="G72" s="99">
        <f t="shared" si="3"/>
        <v>0</v>
      </c>
      <c r="H72" s="94"/>
      <c r="I72" s="94"/>
      <c r="J72" s="121">
        <f t="shared" si="4"/>
        <v>0</v>
      </c>
      <c r="K72" s="99">
        <v>200000</v>
      </c>
      <c r="L72" s="122">
        <f t="shared" si="5"/>
        <v>353123.5</v>
      </c>
    </row>
    <row r="73" ht="20" customHeight="1" spans="1:12">
      <c r="A73" s="17">
        <v>45110</v>
      </c>
      <c r="B73" s="91" t="s">
        <v>30</v>
      </c>
      <c r="C73" s="97"/>
      <c r="D73" s="97"/>
      <c r="E73" s="99"/>
      <c r="F73" s="99"/>
      <c r="G73" s="99">
        <f t="shared" si="3"/>
        <v>0</v>
      </c>
      <c r="H73" s="94"/>
      <c r="I73" s="94"/>
      <c r="J73" s="121">
        <f t="shared" si="4"/>
        <v>0</v>
      </c>
      <c r="K73" s="99">
        <v>50000</v>
      </c>
      <c r="L73" s="122">
        <f t="shared" si="5"/>
        <v>303123.5</v>
      </c>
    </row>
    <row r="74" ht="20" customHeight="1" spans="1:12">
      <c r="A74" s="17">
        <v>45110</v>
      </c>
      <c r="B74" s="91" t="s">
        <v>30</v>
      </c>
      <c r="C74" s="97"/>
      <c r="D74" s="97"/>
      <c r="E74" s="99"/>
      <c r="F74" s="99"/>
      <c r="G74" s="99">
        <f t="shared" si="3"/>
        <v>0</v>
      </c>
      <c r="H74" s="94"/>
      <c r="I74" s="94"/>
      <c r="J74" s="121">
        <f t="shared" si="4"/>
        <v>0</v>
      </c>
      <c r="K74" s="99">
        <v>44835</v>
      </c>
      <c r="L74" s="122">
        <f t="shared" si="5"/>
        <v>258288.5</v>
      </c>
    </row>
    <row r="75" ht="20" customHeight="1" spans="1:12">
      <c r="A75" s="95"/>
      <c r="B75" s="91">
        <v>230628000004</v>
      </c>
      <c r="C75" s="97" t="s">
        <v>14</v>
      </c>
      <c r="D75" s="97">
        <v>19</v>
      </c>
      <c r="E75" s="99">
        <v>47</v>
      </c>
      <c r="F75" s="99">
        <v>928</v>
      </c>
      <c r="G75" s="99">
        <f t="shared" si="3"/>
        <v>43616</v>
      </c>
      <c r="H75" s="94"/>
      <c r="I75" s="94"/>
      <c r="J75" s="121">
        <f t="shared" si="4"/>
        <v>43616</v>
      </c>
      <c r="K75" s="99"/>
      <c r="L75" s="122">
        <f t="shared" si="5"/>
        <v>301904.5</v>
      </c>
    </row>
    <row r="76" ht="20" customHeight="1" spans="1:12">
      <c r="A76" s="95"/>
      <c r="B76" s="91">
        <v>230630000041</v>
      </c>
      <c r="C76" s="97" t="s">
        <v>14</v>
      </c>
      <c r="D76" s="97">
        <v>21</v>
      </c>
      <c r="E76" s="99">
        <v>46</v>
      </c>
      <c r="F76" s="99">
        <v>895</v>
      </c>
      <c r="G76" s="99">
        <f t="shared" si="3"/>
        <v>41170</v>
      </c>
      <c r="H76" s="94"/>
      <c r="I76" s="94"/>
      <c r="J76" s="121">
        <f t="shared" si="4"/>
        <v>41170</v>
      </c>
      <c r="K76" s="99"/>
      <c r="L76" s="122">
        <f t="shared" si="5"/>
        <v>343074.5</v>
      </c>
    </row>
    <row r="77" ht="20" customHeight="1" spans="1:12">
      <c r="A77" s="95"/>
      <c r="B77" s="91">
        <v>230705000027</v>
      </c>
      <c r="C77" s="97" t="s">
        <v>14</v>
      </c>
      <c r="D77" s="97">
        <v>11</v>
      </c>
      <c r="E77" s="99">
        <v>46</v>
      </c>
      <c r="F77" s="99">
        <v>517</v>
      </c>
      <c r="G77" s="99">
        <f t="shared" si="3"/>
        <v>23782</v>
      </c>
      <c r="H77" s="94"/>
      <c r="I77" s="94"/>
      <c r="J77" s="121">
        <f t="shared" si="4"/>
        <v>23782</v>
      </c>
      <c r="K77" s="99"/>
      <c r="L77" s="122">
        <f t="shared" si="5"/>
        <v>366856.5</v>
      </c>
    </row>
    <row r="78" ht="20" customHeight="1" spans="1:12">
      <c r="A78" s="95"/>
      <c r="B78" s="91">
        <v>230708000016</v>
      </c>
      <c r="C78" s="97" t="s">
        <v>14</v>
      </c>
      <c r="D78" s="97">
        <v>24</v>
      </c>
      <c r="E78" s="99">
        <v>47</v>
      </c>
      <c r="F78" s="99">
        <v>1080</v>
      </c>
      <c r="G78" s="99">
        <f t="shared" si="3"/>
        <v>50760</v>
      </c>
      <c r="H78" s="94"/>
      <c r="I78" s="94"/>
      <c r="J78" s="121">
        <f t="shared" si="4"/>
        <v>50760</v>
      </c>
      <c r="K78" s="99"/>
      <c r="L78" s="122">
        <f t="shared" si="5"/>
        <v>417616.5</v>
      </c>
    </row>
    <row r="79" ht="20" customHeight="1" spans="1:12">
      <c r="A79" s="95"/>
      <c r="B79" s="91">
        <v>230712000019</v>
      </c>
      <c r="C79" s="97" t="s">
        <v>14</v>
      </c>
      <c r="D79" s="97">
        <v>19</v>
      </c>
      <c r="E79" s="99">
        <v>47</v>
      </c>
      <c r="F79" s="99">
        <v>740</v>
      </c>
      <c r="G79" s="99">
        <f t="shared" si="3"/>
        <v>34780</v>
      </c>
      <c r="H79" s="94"/>
      <c r="I79" s="94"/>
      <c r="J79" s="121">
        <f t="shared" si="4"/>
        <v>34780</v>
      </c>
      <c r="K79" s="99"/>
      <c r="L79" s="122">
        <f t="shared" si="5"/>
        <v>452396.5</v>
      </c>
    </row>
    <row r="80" ht="20" customHeight="1" spans="1:12">
      <c r="A80" s="95"/>
      <c r="B80" s="91">
        <v>230715000008</v>
      </c>
      <c r="C80" s="97" t="s">
        <v>14</v>
      </c>
      <c r="D80" s="97">
        <v>24</v>
      </c>
      <c r="E80" s="99">
        <v>47</v>
      </c>
      <c r="F80" s="99">
        <v>960</v>
      </c>
      <c r="G80" s="99">
        <f t="shared" si="3"/>
        <v>45120</v>
      </c>
      <c r="H80" s="94"/>
      <c r="I80" s="94"/>
      <c r="J80" s="121">
        <f t="shared" si="4"/>
        <v>45120</v>
      </c>
      <c r="K80" s="99"/>
      <c r="L80" s="122">
        <f t="shared" si="5"/>
        <v>497516.5</v>
      </c>
    </row>
    <row r="81" ht="20" customHeight="1" spans="1:12">
      <c r="A81" s="95"/>
      <c r="B81" s="91">
        <v>230719000022</v>
      </c>
      <c r="C81" s="97" t="s">
        <v>14</v>
      </c>
      <c r="D81" s="97">
        <v>15</v>
      </c>
      <c r="E81" s="99">
        <v>47</v>
      </c>
      <c r="F81" s="99">
        <v>756</v>
      </c>
      <c r="G81" s="99">
        <f t="shared" si="3"/>
        <v>35532</v>
      </c>
      <c r="H81" s="94"/>
      <c r="I81" s="94"/>
      <c r="J81" s="121">
        <f t="shared" si="4"/>
        <v>35532</v>
      </c>
      <c r="K81" s="99"/>
      <c r="L81" s="122">
        <f t="shared" si="5"/>
        <v>533048.5</v>
      </c>
    </row>
    <row r="82" ht="20" customHeight="1" spans="1:12">
      <c r="A82" s="95"/>
      <c r="B82" s="91">
        <v>230722000010</v>
      </c>
      <c r="C82" s="97" t="s">
        <v>14</v>
      </c>
      <c r="D82" s="97">
        <v>11</v>
      </c>
      <c r="E82" s="99">
        <v>47</v>
      </c>
      <c r="F82" s="99">
        <v>1060</v>
      </c>
      <c r="G82" s="99">
        <f t="shared" si="3"/>
        <v>49820</v>
      </c>
      <c r="H82" s="94"/>
      <c r="I82" s="94"/>
      <c r="J82" s="121">
        <f t="shared" si="4"/>
        <v>49820</v>
      </c>
      <c r="K82" s="99"/>
      <c r="L82" s="122">
        <f t="shared" si="5"/>
        <v>582868.5</v>
      </c>
    </row>
    <row r="83" ht="20" customHeight="1" spans="1:12">
      <c r="A83" s="95"/>
      <c r="B83" s="91">
        <v>230726000013</v>
      </c>
      <c r="C83" s="97" t="s">
        <v>14</v>
      </c>
      <c r="D83" s="97">
        <v>21</v>
      </c>
      <c r="E83" s="99">
        <v>47</v>
      </c>
      <c r="F83" s="99">
        <v>811</v>
      </c>
      <c r="G83" s="99">
        <f t="shared" si="3"/>
        <v>38117</v>
      </c>
      <c r="H83" s="94"/>
      <c r="I83" s="94"/>
      <c r="J83" s="121">
        <f t="shared" si="4"/>
        <v>38117</v>
      </c>
      <c r="K83" s="99"/>
      <c r="L83" s="122">
        <f t="shared" si="5"/>
        <v>620985.5</v>
      </c>
    </row>
    <row r="84" ht="20" customHeight="1" spans="1:12">
      <c r="A84" s="95"/>
      <c r="B84" s="91">
        <v>230728000034</v>
      </c>
      <c r="C84" s="97" t="s">
        <v>14</v>
      </c>
      <c r="D84" s="97">
        <v>21</v>
      </c>
      <c r="E84" s="99">
        <v>47</v>
      </c>
      <c r="F84" s="99">
        <v>868</v>
      </c>
      <c r="G84" s="99">
        <f t="shared" si="3"/>
        <v>40796</v>
      </c>
      <c r="H84" s="94"/>
      <c r="I84" s="94"/>
      <c r="J84" s="121">
        <f t="shared" si="4"/>
        <v>40796</v>
      </c>
      <c r="K84" s="99"/>
      <c r="L84" s="122">
        <f t="shared" si="5"/>
        <v>661781.5</v>
      </c>
    </row>
    <row r="85" ht="29" customHeight="1" spans="1:12">
      <c r="A85" s="17">
        <v>45145</v>
      </c>
      <c r="B85" s="91"/>
      <c r="C85" s="97"/>
      <c r="D85" s="97"/>
      <c r="E85" s="99"/>
      <c r="F85" s="99"/>
      <c r="G85" s="99">
        <f t="shared" si="3"/>
        <v>0</v>
      </c>
      <c r="H85" s="94"/>
      <c r="I85" s="142" t="s">
        <v>50</v>
      </c>
      <c r="J85" s="121">
        <f t="shared" si="4"/>
        <v>0</v>
      </c>
      <c r="K85" s="99">
        <v>9796</v>
      </c>
      <c r="L85" s="122">
        <f t="shared" si="5"/>
        <v>651985.5</v>
      </c>
    </row>
    <row r="86" ht="20" customHeight="1" spans="1:12">
      <c r="A86" s="17">
        <v>45142</v>
      </c>
      <c r="B86" s="91" t="s">
        <v>30</v>
      </c>
      <c r="C86" s="97"/>
      <c r="D86" s="97"/>
      <c r="E86" s="99"/>
      <c r="F86" s="99"/>
      <c r="G86" s="99">
        <f t="shared" si="3"/>
        <v>0</v>
      </c>
      <c r="H86" s="94"/>
      <c r="I86" s="94"/>
      <c r="J86" s="121">
        <f t="shared" si="4"/>
        <v>0</v>
      </c>
      <c r="K86" s="99">
        <v>50000</v>
      </c>
      <c r="L86" s="122">
        <f t="shared" si="5"/>
        <v>601985.5</v>
      </c>
    </row>
    <row r="87" ht="20" customHeight="1" spans="1:12">
      <c r="A87" s="17">
        <v>45142</v>
      </c>
      <c r="B87" s="91" t="s">
        <v>30</v>
      </c>
      <c r="C87" s="97"/>
      <c r="D87" s="97"/>
      <c r="E87" s="99"/>
      <c r="F87" s="99"/>
      <c r="G87" s="99">
        <f t="shared" si="3"/>
        <v>0</v>
      </c>
      <c r="H87" s="94"/>
      <c r="I87" s="94"/>
      <c r="J87" s="121">
        <f t="shared" si="4"/>
        <v>0</v>
      </c>
      <c r="K87" s="99">
        <v>50000</v>
      </c>
      <c r="L87" s="122">
        <f t="shared" si="5"/>
        <v>551985.5</v>
      </c>
    </row>
    <row r="88" ht="20" customHeight="1" spans="1:12">
      <c r="A88" s="95"/>
      <c r="B88" s="91">
        <v>230802000007</v>
      </c>
      <c r="C88" s="97" t="s">
        <v>14</v>
      </c>
      <c r="D88" s="97">
        <v>15</v>
      </c>
      <c r="E88" s="99">
        <v>47</v>
      </c>
      <c r="F88" s="99">
        <v>717</v>
      </c>
      <c r="G88" s="99">
        <f t="shared" si="3"/>
        <v>33699</v>
      </c>
      <c r="H88" s="94"/>
      <c r="I88" s="94"/>
      <c r="J88" s="121">
        <f t="shared" si="4"/>
        <v>33699</v>
      </c>
      <c r="K88" s="99"/>
      <c r="L88" s="122">
        <f t="shared" si="5"/>
        <v>585684.5</v>
      </c>
    </row>
    <row r="89" ht="20" customHeight="1" spans="1:12">
      <c r="A89" s="95"/>
      <c r="B89" s="91">
        <v>230805000014</v>
      </c>
      <c r="C89" s="97" t="s">
        <v>14</v>
      </c>
      <c r="D89" s="97">
        <v>18</v>
      </c>
      <c r="E89" s="99">
        <v>47</v>
      </c>
      <c r="F89" s="99">
        <v>726</v>
      </c>
      <c r="G89" s="99">
        <f t="shared" si="3"/>
        <v>34122</v>
      </c>
      <c r="H89" s="94"/>
      <c r="I89" s="94"/>
      <c r="J89" s="121">
        <f t="shared" si="4"/>
        <v>34122</v>
      </c>
      <c r="K89" s="99"/>
      <c r="L89" s="122">
        <f t="shared" si="5"/>
        <v>619806.5</v>
      </c>
    </row>
    <row r="90" ht="20" customHeight="1" spans="1:12">
      <c r="A90" s="17">
        <v>45152</v>
      </c>
      <c r="B90" s="91" t="s">
        <v>30</v>
      </c>
      <c r="C90" s="97"/>
      <c r="D90" s="97"/>
      <c r="E90" s="99"/>
      <c r="F90" s="99"/>
      <c r="G90" s="99">
        <f t="shared" si="3"/>
        <v>0</v>
      </c>
      <c r="H90" s="94"/>
      <c r="I90" s="94"/>
      <c r="J90" s="121">
        <f t="shared" si="4"/>
        <v>0</v>
      </c>
      <c r="K90" s="99">
        <v>100000</v>
      </c>
      <c r="L90" s="122">
        <f t="shared" si="5"/>
        <v>519806.5</v>
      </c>
    </row>
    <row r="91" ht="20" customHeight="1" spans="1:12">
      <c r="A91" s="17">
        <v>45161</v>
      </c>
      <c r="B91" s="91" t="s">
        <v>30</v>
      </c>
      <c r="C91" s="97"/>
      <c r="D91" s="97"/>
      <c r="E91" s="99"/>
      <c r="F91" s="99"/>
      <c r="G91" s="99">
        <f t="shared" si="3"/>
        <v>0</v>
      </c>
      <c r="H91" s="94"/>
      <c r="I91" s="94"/>
      <c r="J91" s="121">
        <f t="shared" si="4"/>
        <v>0</v>
      </c>
      <c r="K91" s="99">
        <v>200000</v>
      </c>
      <c r="L91" s="122">
        <f t="shared" si="5"/>
        <v>319806.5</v>
      </c>
    </row>
    <row r="92" ht="20" customHeight="1" spans="1:12">
      <c r="A92" s="95"/>
      <c r="B92" s="91">
        <v>230809000029</v>
      </c>
      <c r="C92" s="97" t="s">
        <v>14</v>
      </c>
      <c r="D92" s="97">
        <v>22</v>
      </c>
      <c r="E92" s="99">
        <v>47</v>
      </c>
      <c r="F92" s="98">
        <v>962</v>
      </c>
      <c r="G92" s="99">
        <f t="shared" si="3"/>
        <v>45214</v>
      </c>
      <c r="H92" s="94"/>
      <c r="I92" s="94"/>
      <c r="J92" s="121">
        <f t="shared" si="4"/>
        <v>45214</v>
      </c>
      <c r="K92" s="99"/>
      <c r="L92" s="122">
        <f t="shared" si="5"/>
        <v>365020.5</v>
      </c>
    </row>
    <row r="93" ht="20" customHeight="1" spans="1:12">
      <c r="A93" s="95"/>
      <c r="B93" s="91">
        <v>230814000032</v>
      </c>
      <c r="C93" s="97" t="s">
        <v>14</v>
      </c>
      <c r="D93" s="97">
        <v>24</v>
      </c>
      <c r="E93" s="99">
        <v>47</v>
      </c>
      <c r="F93" s="98">
        <v>895</v>
      </c>
      <c r="G93" s="99">
        <f t="shared" ref="G93:G98" si="6">E93*F93</f>
        <v>42065</v>
      </c>
      <c r="H93" s="94"/>
      <c r="I93" s="94"/>
      <c r="J93" s="121">
        <f t="shared" ref="J93:J98" si="7">G93+H93</f>
        <v>42065</v>
      </c>
      <c r="K93" s="99"/>
      <c r="L93" s="122">
        <f t="shared" ref="L93:L98" si="8">L92+J93-K93</f>
        <v>407085.5</v>
      </c>
    </row>
    <row r="94" ht="20" customHeight="1" spans="1:12">
      <c r="A94" s="95"/>
      <c r="B94" s="91">
        <v>230816000023</v>
      </c>
      <c r="C94" s="97" t="s">
        <v>14</v>
      </c>
      <c r="D94" s="97">
        <v>24</v>
      </c>
      <c r="E94" s="99">
        <v>47</v>
      </c>
      <c r="F94" s="98">
        <v>817</v>
      </c>
      <c r="G94" s="99">
        <f t="shared" si="6"/>
        <v>38399</v>
      </c>
      <c r="H94" s="94"/>
      <c r="I94" s="94"/>
      <c r="J94" s="121">
        <f t="shared" si="7"/>
        <v>38399</v>
      </c>
      <c r="K94" s="99"/>
      <c r="L94" s="122">
        <f t="shared" si="8"/>
        <v>445484.5</v>
      </c>
    </row>
    <row r="95" ht="20" customHeight="1" spans="1:12">
      <c r="A95" s="95"/>
      <c r="B95" s="91">
        <v>230819000017</v>
      </c>
      <c r="C95" s="97" t="s">
        <v>14</v>
      </c>
      <c r="D95" s="97">
        <v>19</v>
      </c>
      <c r="E95" s="99">
        <v>47</v>
      </c>
      <c r="F95" s="98">
        <v>747</v>
      </c>
      <c r="G95" s="99">
        <f t="shared" si="6"/>
        <v>35109</v>
      </c>
      <c r="H95" s="94"/>
      <c r="I95" s="94"/>
      <c r="J95" s="121">
        <f t="shared" si="7"/>
        <v>35109</v>
      </c>
      <c r="K95" s="99"/>
      <c r="L95" s="122">
        <f t="shared" si="8"/>
        <v>480593.5</v>
      </c>
    </row>
    <row r="96" ht="20" customHeight="1" spans="1:12">
      <c r="A96" s="95"/>
      <c r="B96" s="91">
        <v>230823000001</v>
      </c>
      <c r="C96" s="97" t="s">
        <v>14</v>
      </c>
      <c r="D96" s="97">
        <v>18</v>
      </c>
      <c r="E96" s="99">
        <v>47</v>
      </c>
      <c r="F96" s="98">
        <v>607</v>
      </c>
      <c r="G96" s="99">
        <f t="shared" si="6"/>
        <v>28529</v>
      </c>
      <c r="H96" s="94"/>
      <c r="I96" s="94"/>
      <c r="J96" s="121">
        <f t="shared" si="7"/>
        <v>28529</v>
      </c>
      <c r="K96" s="99"/>
      <c r="L96" s="122">
        <f t="shared" si="8"/>
        <v>509122.5</v>
      </c>
    </row>
    <row r="97" ht="20" customHeight="1" spans="1:12">
      <c r="A97" s="95"/>
      <c r="B97" s="91">
        <v>230826000001</v>
      </c>
      <c r="C97" s="97" t="s">
        <v>14</v>
      </c>
      <c r="D97" s="97">
        <v>20</v>
      </c>
      <c r="E97" s="99">
        <v>47</v>
      </c>
      <c r="F97" s="98">
        <v>815</v>
      </c>
      <c r="G97" s="99">
        <f t="shared" si="6"/>
        <v>38305</v>
      </c>
      <c r="H97" s="94"/>
      <c r="I97" s="94"/>
      <c r="J97" s="121">
        <f t="shared" si="7"/>
        <v>38305</v>
      </c>
      <c r="K97" s="99"/>
      <c r="L97" s="122">
        <f t="shared" si="8"/>
        <v>547427.5</v>
      </c>
    </row>
    <row r="98" ht="20" customHeight="1" spans="1:12">
      <c r="A98" s="95"/>
      <c r="B98" s="91">
        <v>230830000023</v>
      </c>
      <c r="C98" s="97" t="s">
        <v>14</v>
      </c>
      <c r="D98" s="97">
        <v>24</v>
      </c>
      <c r="E98" s="99">
        <v>47</v>
      </c>
      <c r="F98" s="98">
        <v>974</v>
      </c>
      <c r="G98" s="99">
        <f t="shared" si="6"/>
        <v>45778</v>
      </c>
      <c r="H98" s="94"/>
      <c r="I98" s="94"/>
      <c r="J98" s="121">
        <f t="shared" si="7"/>
        <v>45778</v>
      </c>
      <c r="K98" s="99"/>
      <c r="L98" s="122">
        <f t="shared" si="8"/>
        <v>593205.5</v>
      </c>
    </row>
    <row r="99" ht="20" customHeight="1" spans="1:12">
      <c r="A99" s="17">
        <v>45175</v>
      </c>
      <c r="B99" s="91" t="s">
        <v>30</v>
      </c>
      <c r="C99" s="97"/>
      <c r="D99" s="97"/>
      <c r="E99" s="99"/>
      <c r="F99" s="99"/>
      <c r="G99" s="99">
        <f t="shared" ref="G99:G114" si="9">E99*F99</f>
        <v>0</v>
      </c>
      <c r="H99" s="94"/>
      <c r="I99" s="94"/>
      <c r="J99" s="121">
        <f t="shared" ref="J99:J114" si="10">G99+H99</f>
        <v>0</v>
      </c>
      <c r="K99" s="99">
        <v>200000</v>
      </c>
      <c r="L99" s="122">
        <f t="shared" ref="L99:L114" si="11">L98+J99-K99</f>
        <v>393205.5</v>
      </c>
    </row>
    <row r="100" ht="20" customHeight="1" spans="1:12">
      <c r="A100" s="95"/>
      <c r="B100" s="91">
        <v>230904000039</v>
      </c>
      <c r="C100" s="97" t="s">
        <v>14</v>
      </c>
      <c r="D100" s="97">
        <v>25</v>
      </c>
      <c r="E100" s="99">
        <v>47</v>
      </c>
      <c r="F100" s="99">
        <v>965</v>
      </c>
      <c r="G100" s="99">
        <f t="shared" si="9"/>
        <v>45355</v>
      </c>
      <c r="H100" s="94"/>
      <c r="I100" s="94"/>
      <c r="J100" s="121">
        <f t="shared" si="10"/>
        <v>45355</v>
      </c>
      <c r="K100" s="99"/>
      <c r="L100" s="122">
        <f t="shared" si="11"/>
        <v>438560.5</v>
      </c>
    </row>
    <row r="101" ht="20" customHeight="1" spans="1:12">
      <c r="A101" s="95"/>
      <c r="B101" s="91">
        <v>230906000001</v>
      </c>
      <c r="C101" s="97" t="s">
        <v>14</v>
      </c>
      <c r="D101" s="97">
        <v>16</v>
      </c>
      <c r="E101" s="99">
        <v>47</v>
      </c>
      <c r="F101" s="99">
        <v>759</v>
      </c>
      <c r="G101" s="99">
        <f t="shared" si="9"/>
        <v>35673</v>
      </c>
      <c r="H101" s="94"/>
      <c r="I101" s="94"/>
      <c r="J101" s="121">
        <f t="shared" si="10"/>
        <v>35673</v>
      </c>
      <c r="K101" s="99"/>
      <c r="L101" s="122">
        <f t="shared" si="11"/>
        <v>474233.5</v>
      </c>
    </row>
    <row r="102" ht="20" customHeight="1" spans="1:12">
      <c r="A102" s="95"/>
      <c r="B102" s="91">
        <v>230909000003</v>
      </c>
      <c r="C102" s="97" t="s">
        <v>14</v>
      </c>
      <c r="D102" s="97">
        <v>16</v>
      </c>
      <c r="E102" s="99">
        <v>47</v>
      </c>
      <c r="F102" s="99">
        <v>711</v>
      </c>
      <c r="G102" s="99">
        <f t="shared" si="9"/>
        <v>33417</v>
      </c>
      <c r="H102" s="94"/>
      <c r="I102" s="94"/>
      <c r="J102" s="121">
        <f t="shared" si="10"/>
        <v>33417</v>
      </c>
      <c r="K102" s="99"/>
      <c r="L102" s="122">
        <f t="shared" si="11"/>
        <v>507650.5</v>
      </c>
    </row>
    <row r="103" ht="20" customHeight="1" spans="1:12">
      <c r="A103" s="95"/>
      <c r="B103" s="91">
        <v>230912000043</v>
      </c>
      <c r="C103" s="97" t="s">
        <v>14</v>
      </c>
      <c r="D103" s="97">
        <v>19</v>
      </c>
      <c r="E103" s="99">
        <v>47</v>
      </c>
      <c r="F103" s="99">
        <v>882</v>
      </c>
      <c r="G103" s="99">
        <f t="shared" si="9"/>
        <v>41454</v>
      </c>
      <c r="H103" s="94"/>
      <c r="I103" s="94"/>
      <c r="J103" s="121">
        <f t="shared" si="10"/>
        <v>41454</v>
      </c>
      <c r="K103" s="99"/>
      <c r="L103" s="122">
        <f t="shared" si="11"/>
        <v>549104.5</v>
      </c>
    </row>
    <row r="104" ht="20" customHeight="1" spans="1:12">
      <c r="A104" s="95"/>
      <c r="B104" s="91">
        <v>230916000015</v>
      </c>
      <c r="C104" s="97" t="s">
        <v>14</v>
      </c>
      <c r="D104" s="97">
        <v>30</v>
      </c>
      <c r="E104" s="99">
        <v>47</v>
      </c>
      <c r="F104" s="99">
        <v>1321</v>
      </c>
      <c r="G104" s="99">
        <f t="shared" si="9"/>
        <v>62087</v>
      </c>
      <c r="H104" s="94"/>
      <c r="I104" s="94"/>
      <c r="J104" s="121">
        <f t="shared" si="10"/>
        <v>62087</v>
      </c>
      <c r="K104" s="99"/>
      <c r="L104" s="122">
        <f t="shared" si="11"/>
        <v>611191.5</v>
      </c>
    </row>
    <row r="105" ht="20" customHeight="1" spans="1:12">
      <c r="A105" s="95"/>
      <c r="B105" s="91">
        <v>230920000043</v>
      </c>
      <c r="C105" s="97" t="s">
        <v>14</v>
      </c>
      <c r="D105" s="97">
        <v>25</v>
      </c>
      <c r="E105" s="99">
        <v>47</v>
      </c>
      <c r="F105" s="99">
        <v>1073</v>
      </c>
      <c r="G105" s="99">
        <f t="shared" si="9"/>
        <v>50431</v>
      </c>
      <c r="H105" s="94"/>
      <c r="I105" s="94"/>
      <c r="J105" s="121">
        <f t="shared" si="10"/>
        <v>50431</v>
      </c>
      <c r="K105" s="99"/>
      <c r="L105" s="122">
        <f t="shared" si="11"/>
        <v>661622.5</v>
      </c>
    </row>
    <row r="106" ht="20" customHeight="1" spans="1:12">
      <c r="A106" s="95"/>
      <c r="B106" s="91">
        <v>230923000023</v>
      </c>
      <c r="C106" s="97" t="s">
        <v>14</v>
      </c>
      <c r="D106" s="97">
        <v>20</v>
      </c>
      <c r="E106" s="99">
        <v>47</v>
      </c>
      <c r="F106" s="98">
        <v>804</v>
      </c>
      <c r="G106" s="99">
        <f t="shared" si="9"/>
        <v>37788</v>
      </c>
      <c r="H106" s="94"/>
      <c r="I106" s="94"/>
      <c r="J106" s="121">
        <f t="shared" si="10"/>
        <v>37788</v>
      </c>
      <c r="K106" s="99"/>
      <c r="L106" s="122">
        <f t="shared" si="11"/>
        <v>699410.5</v>
      </c>
    </row>
    <row r="107" ht="20" customHeight="1" spans="1:12">
      <c r="A107" s="95"/>
      <c r="B107" s="91">
        <v>230927000019</v>
      </c>
      <c r="C107" s="97" t="s">
        <v>14</v>
      </c>
      <c r="D107" s="97">
        <v>26</v>
      </c>
      <c r="E107" s="99">
        <v>47</v>
      </c>
      <c r="F107" s="98">
        <v>1162</v>
      </c>
      <c r="G107" s="99">
        <f t="shared" si="9"/>
        <v>54614</v>
      </c>
      <c r="H107" s="94"/>
      <c r="I107" s="94"/>
      <c r="J107" s="121">
        <f t="shared" si="10"/>
        <v>54614</v>
      </c>
      <c r="K107" s="99"/>
      <c r="L107" s="122">
        <f t="shared" si="11"/>
        <v>754024.5</v>
      </c>
    </row>
    <row r="108" ht="20" customHeight="1" spans="1:12">
      <c r="A108" s="95"/>
      <c r="B108" s="91">
        <v>231007000037</v>
      </c>
      <c r="C108" s="97" t="s">
        <v>14</v>
      </c>
      <c r="D108" s="97">
        <v>21</v>
      </c>
      <c r="E108" s="99">
        <v>47</v>
      </c>
      <c r="F108" s="98">
        <v>1136</v>
      </c>
      <c r="G108" s="99">
        <f t="shared" si="9"/>
        <v>53392</v>
      </c>
      <c r="H108" s="94"/>
      <c r="I108" s="94"/>
      <c r="J108" s="121">
        <f t="shared" si="10"/>
        <v>53392</v>
      </c>
      <c r="K108" s="99"/>
      <c r="L108" s="122">
        <f t="shared" si="11"/>
        <v>807416.5</v>
      </c>
    </row>
    <row r="109" ht="20" customHeight="1" spans="1:12">
      <c r="A109" s="95">
        <v>45210</v>
      </c>
      <c r="B109" s="91" t="s">
        <v>30</v>
      </c>
      <c r="C109" s="97"/>
      <c r="D109" s="97"/>
      <c r="E109" s="99"/>
      <c r="F109" s="99"/>
      <c r="G109" s="99">
        <f t="shared" si="9"/>
        <v>0</v>
      </c>
      <c r="H109" s="94"/>
      <c r="I109" s="94"/>
      <c r="J109" s="121">
        <f t="shared" si="10"/>
        <v>0</v>
      </c>
      <c r="K109" s="99">
        <v>200000</v>
      </c>
      <c r="L109" s="122">
        <f t="shared" si="11"/>
        <v>607416.5</v>
      </c>
    </row>
    <row r="110" ht="20" customHeight="1" spans="1:12">
      <c r="A110" s="95"/>
      <c r="B110" s="91">
        <v>231011000019</v>
      </c>
      <c r="C110" s="97" t="s">
        <v>14</v>
      </c>
      <c r="D110" s="97">
        <v>21</v>
      </c>
      <c r="E110" s="99">
        <v>48</v>
      </c>
      <c r="F110" s="99">
        <v>814</v>
      </c>
      <c r="G110" s="99">
        <f t="shared" si="9"/>
        <v>39072</v>
      </c>
      <c r="H110" s="94"/>
      <c r="I110" s="94"/>
      <c r="J110" s="121">
        <f t="shared" si="10"/>
        <v>39072</v>
      </c>
      <c r="K110" s="99"/>
      <c r="L110" s="122">
        <f t="shared" si="11"/>
        <v>646488.5</v>
      </c>
    </row>
    <row r="111" ht="20" customHeight="1" spans="1:12">
      <c r="A111" s="95"/>
      <c r="B111" s="91">
        <v>231014000012</v>
      </c>
      <c r="C111" s="97" t="s">
        <v>14</v>
      </c>
      <c r="D111" s="97">
        <v>21</v>
      </c>
      <c r="E111" s="99">
        <v>49</v>
      </c>
      <c r="F111" s="99">
        <v>896</v>
      </c>
      <c r="G111" s="99">
        <f t="shared" si="9"/>
        <v>43904</v>
      </c>
      <c r="H111" s="94"/>
      <c r="I111" s="94"/>
      <c r="J111" s="121">
        <f t="shared" si="10"/>
        <v>43904</v>
      </c>
      <c r="K111" s="99"/>
      <c r="L111" s="122">
        <f t="shared" si="11"/>
        <v>690392.5</v>
      </c>
    </row>
    <row r="112" ht="20" customHeight="1" spans="1:12">
      <c r="A112" s="95"/>
      <c r="B112" s="91">
        <v>231019000049</v>
      </c>
      <c r="C112" s="97" t="s">
        <v>14</v>
      </c>
      <c r="D112" s="97">
        <v>29</v>
      </c>
      <c r="E112" s="99">
        <v>50.8</v>
      </c>
      <c r="F112" s="99">
        <v>1107</v>
      </c>
      <c r="G112" s="99">
        <f t="shared" si="9"/>
        <v>56235.6</v>
      </c>
      <c r="H112" s="94"/>
      <c r="I112" s="94"/>
      <c r="J112" s="121">
        <f t="shared" si="10"/>
        <v>56235.6</v>
      </c>
      <c r="K112" s="99"/>
      <c r="L112" s="122">
        <f t="shared" si="11"/>
        <v>746628.1</v>
      </c>
    </row>
    <row r="113" ht="20" customHeight="1" spans="1:12">
      <c r="A113" s="95"/>
      <c r="B113" s="91">
        <v>231021000010</v>
      </c>
      <c r="C113" s="97" t="s">
        <v>14</v>
      </c>
      <c r="D113" s="97">
        <v>25</v>
      </c>
      <c r="E113" s="99">
        <v>50.8</v>
      </c>
      <c r="F113" s="99">
        <v>1086</v>
      </c>
      <c r="G113" s="99">
        <f t="shared" si="9"/>
        <v>55168.8</v>
      </c>
      <c r="H113" s="94"/>
      <c r="I113" s="94"/>
      <c r="J113" s="121">
        <f t="shared" si="10"/>
        <v>55168.8</v>
      </c>
      <c r="K113" s="99"/>
      <c r="L113" s="122">
        <f t="shared" si="11"/>
        <v>801796.9</v>
      </c>
    </row>
    <row r="114" ht="20" customHeight="1" spans="1:12">
      <c r="A114" s="95"/>
      <c r="B114" s="91">
        <v>231025000013</v>
      </c>
      <c r="C114" s="97" t="s">
        <v>14</v>
      </c>
      <c r="D114" s="97">
        <v>15</v>
      </c>
      <c r="E114" s="99">
        <v>50.8</v>
      </c>
      <c r="F114" s="99">
        <v>757</v>
      </c>
      <c r="G114" s="99">
        <f t="shared" si="9"/>
        <v>38455.6</v>
      </c>
      <c r="H114" s="94"/>
      <c r="I114" s="94"/>
      <c r="J114" s="121">
        <f t="shared" si="10"/>
        <v>38455.6</v>
      </c>
      <c r="K114" s="99"/>
      <c r="L114" s="122">
        <f t="shared" si="11"/>
        <v>840252.5</v>
      </c>
    </row>
    <row r="115" ht="20" customHeight="1" spans="1:12">
      <c r="A115" s="139" t="s">
        <v>51</v>
      </c>
      <c r="B115" s="91" t="s">
        <v>52</v>
      </c>
      <c r="C115" s="97" t="s">
        <v>53</v>
      </c>
      <c r="D115" s="97">
        <v>88</v>
      </c>
      <c r="E115" s="99">
        <v>35</v>
      </c>
      <c r="F115" s="99">
        <v>3080</v>
      </c>
      <c r="G115" s="99">
        <f t="shared" ref="G115:G129" si="12">E115*F115</f>
        <v>107800</v>
      </c>
      <c r="H115" s="94"/>
      <c r="I115" s="141" t="s">
        <v>51</v>
      </c>
      <c r="J115" s="121">
        <f t="shared" ref="J115:J129" si="13">G115+H115</f>
        <v>107800</v>
      </c>
      <c r="K115" s="99"/>
      <c r="L115" s="122">
        <f t="shared" ref="L115:L129" si="14">L114+J115-K115</f>
        <v>948052.5</v>
      </c>
    </row>
    <row r="116" ht="20" customHeight="1" spans="1:12">
      <c r="A116" s="139" t="s">
        <v>51</v>
      </c>
      <c r="B116" s="91" t="s">
        <v>54</v>
      </c>
      <c r="C116" s="97" t="s">
        <v>53</v>
      </c>
      <c r="D116" s="97">
        <v>55</v>
      </c>
      <c r="E116" s="99">
        <v>35</v>
      </c>
      <c r="F116" s="99">
        <v>2231</v>
      </c>
      <c r="G116" s="99">
        <f t="shared" si="12"/>
        <v>78085</v>
      </c>
      <c r="H116" s="94"/>
      <c r="I116" s="141" t="s">
        <v>51</v>
      </c>
      <c r="J116" s="121">
        <f t="shared" si="13"/>
        <v>78085</v>
      </c>
      <c r="K116" s="99"/>
      <c r="L116" s="122">
        <f t="shared" si="14"/>
        <v>1026137.5</v>
      </c>
    </row>
    <row r="117" ht="20" customHeight="1" spans="1:12">
      <c r="A117" s="95">
        <v>45229</v>
      </c>
      <c r="B117" s="91" t="s">
        <v>30</v>
      </c>
      <c r="C117" s="97"/>
      <c r="D117" s="97"/>
      <c r="E117" s="99"/>
      <c r="F117" s="99"/>
      <c r="G117" s="99">
        <f t="shared" si="12"/>
        <v>0</v>
      </c>
      <c r="H117" s="94"/>
      <c r="I117" s="94"/>
      <c r="J117" s="121">
        <f t="shared" si="13"/>
        <v>0</v>
      </c>
      <c r="K117" s="99">
        <v>70000</v>
      </c>
      <c r="L117" s="122">
        <f t="shared" si="14"/>
        <v>956137.5</v>
      </c>
    </row>
    <row r="118" ht="20" customHeight="1" spans="1:12">
      <c r="A118" s="95">
        <v>45229</v>
      </c>
      <c r="B118" s="91" t="s">
        <v>30</v>
      </c>
      <c r="C118" s="97"/>
      <c r="D118" s="97"/>
      <c r="E118" s="99"/>
      <c r="F118" s="99"/>
      <c r="G118" s="99">
        <f t="shared" si="12"/>
        <v>0</v>
      </c>
      <c r="H118" s="94"/>
      <c r="I118" s="94"/>
      <c r="J118" s="121">
        <f t="shared" si="13"/>
        <v>0</v>
      </c>
      <c r="K118" s="99">
        <v>70000</v>
      </c>
      <c r="L118" s="122">
        <f t="shared" si="14"/>
        <v>886137.5</v>
      </c>
    </row>
    <row r="119" ht="20" customHeight="1" spans="1:12">
      <c r="A119" s="95">
        <v>45229</v>
      </c>
      <c r="B119" s="91" t="s">
        <v>30</v>
      </c>
      <c r="C119" s="97"/>
      <c r="D119" s="97"/>
      <c r="E119" s="99"/>
      <c r="F119" s="99"/>
      <c r="G119" s="99">
        <f t="shared" si="12"/>
        <v>0</v>
      </c>
      <c r="H119" s="94"/>
      <c r="I119" s="94"/>
      <c r="J119" s="121">
        <f t="shared" si="13"/>
        <v>0</v>
      </c>
      <c r="K119" s="99">
        <v>50000</v>
      </c>
      <c r="L119" s="122">
        <f t="shared" si="14"/>
        <v>836137.5</v>
      </c>
    </row>
    <row r="120" ht="20" customHeight="1" spans="1:12">
      <c r="A120" s="95">
        <v>45229</v>
      </c>
      <c r="B120" s="91" t="s">
        <v>30</v>
      </c>
      <c r="C120" s="97"/>
      <c r="D120" s="97"/>
      <c r="E120" s="99"/>
      <c r="F120" s="99"/>
      <c r="G120" s="99">
        <f t="shared" si="12"/>
        <v>0</v>
      </c>
      <c r="H120" s="94"/>
      <c r="I120" s="94"/>
      <c r="J120" s="121">
        <f t="shared" si="13"/>
        <v>0</v>
      </c>
      <c r="K120" s="99">
        <v>50000</v>
      </c>
      <c r="L120" s="122">
        <f t="shared" si="14"/>
        <v>786137.5</v>
      </c>
    </row>
    <row r="121" ht="20" customHeight="1" spans="1:12">
      <c r="A121" s="95">
        <v>45229</v>
      </c>
      <c r="B121" s="91" t="s">
        <v>30</v>
      </c>
      <c r="C121" s="97"/>
      <c r="D121" s="97"/>
      <c r="E121" s="99"/>
      <c r="F121" s="99"/>
      <c r="G121" s="99">
        <f t="shared" si="12"/>
        <v>0</v>
      </c>
      <c r="H121" s="94"/>
      <c r="I121" s="94"/>
      <c r="J121" s="121">
        <f t="shared" si="13"/>
        <v>0</v>
      </c>
      <c r="K121" s="99">
        <v>60000</v>
      </c>
      <c r="L121" s="122">
        <f t="shared" si="14"/>
        <v>726137.5</v>
      </c>
    </row>
    <row r="122" ht="20" customHeight="1" spans="1:12">
      <c r="A122" s="95"/>
      <c r="B122" s="91">
        <v>231029000001</v>
      </c>
      <c r="C122" s="97" t="s">
        <v>14</v>
      </c>
      <c r="D122" s="97">
        <v>21</v>
      </c>
      <c r="E122" s="99">
        <v>50.8</v>
      </c>
      <c r="F122" s="113">
        <v>886</v>
      </c>
      <c r="G122" s="99">
        <f t="shared" si="12"/>
        <v>45008.8</v>
      </c>
      <c r="H122" s="94"/>
      <c r="I122" s="94"/>
      <c r="J122" s="121">
        <f t="shared" si="13"/>
        <v>45008.8</v>
      </c>
      <c r="K122" s="99"/>
      <c r="L122" s="122">
        <f t="shared" si="14"/>
        <v>771146.3</v>
      </c>
    </row>
    <row r="123" ht="20" customHeight="1" spans="1:12">
      <c r="A123" s="95"/>
      <c r="B123" s="91">
        <v>231031000038</v>
      </c>
      <c r="C123" s="97" t="s">
        <v>14</v>
      </c>
      <c r="D123" s="97">
        <v>15</v>
      </c>
      <c r="E123" s="99">
        <v>50.8</v>
      </c>
      <c r="F123" s="113">
        <v>628</v>
      </c>
      <c r="G123" s="99">
        <f t="shared" si="12"/>
        <v>31902.4</v>
      </c>
      <c r="H123" s="94"/>
      <c r="I123" s="94"/>
      <c r="J123" s="121">
        <f t="shared" si="13"/>
        <v>31902.4</v>
      </c>
      <c r="K123" s="99"/>
      <c r="L123" s="122">
        <f t="shared" si="14"/>
        <v>803048.7</v>
      </c>
    </row>
    <row r="124" ht="20" customHeight="1" spans="1:12">
      <c r="A124" s="95">
        <v>45233</v>
      </c>
      <c r="B124" s="91" t="s">
        <v>30</v>
      </c>
      <c r="C124" s="97"/>
      <c r="D124" s="97"/>
      <c r="E124" s="99"/>
      <c r="F124" s="99"/>
      <c r="G124" s="99">
        <f t="shared" si="12"/>
        <v>0</v>
      </c>
      <c r="H124" s="94"/>
      <c r="I124" s="94"/>
      <c r="J124" s="121">
        <f t="shared" si="13"/>
        <v>0</v>
      </c>
      <c r="K124" s="99">
        <v>160000</v>
      </c>
      <c r="L124" s="122">
        <f t="shared" si="14"/>
        <v>643048.7</v>
      </c>
    </row>
    <row r="125" ht="20" customHeight="1" spans="1:12">
      <c r="A125" s="95">
        <v>45246</v>
      </c>
      <c r="B125" s="91" t="s">
        <v>30</v>
      </c>
      <c r="C125" s="97"/>
      <c r="D125" s="97"/>
      <c r="E125" s="99"/>
      <c r="F125" s="99"/>
      <c r="G125" s="99">
        <f t="shared" si="12"/>
        <v>0</v>
      </c>
      <c r="H125" s="94"/>
      <c r="I125" s="94"/>
      <c r="J125" s="121">
        <f t="shared" si="13"/>
        <v>0</v>
      </c>
      <c r="K125" s="99">
        <v>100000</v>
      </c>
      <c r="L125" s="122">
        <f t="shared" si="14"/>
        <v>543048.7</v>
      </c>
    </row>
    <row r="126" ht="20" customHeight="1" spans="1:12">
      <c r="A126" s="95"/>
      <c r="B126" s="91">
        <v>231104000015</v>
      </c>
      <c r="C126" s="97"/>
      <c r="D126" s="97">
        <v>11</v>
      </c>
      <c r="E126" s="99">
        <v>52.3</v>
      </c>
      <c r="F126" s="99">
        <v>487</v>
      </c>
      <c r="G126" s="99">
        <f t="shared" si="12"/>
        <v>25470.1</v>
      </c>
      <c r="H126" s="94"/>
      <c r="I126" s="94"/>
      <c r="J126" s="121">
        <f t="shared" si="13"/>
        <v>25470.1</v>
      </c>
      <c r="K126" s="99"/>
      <c r="L126" s="122">
        <f t="shared" si="14"/>
        <v>568518.8</v>
      </c>
    </row>
    <row r="127" ht="20" customHeight="1" spans="1:12">
      <c r="A127" s="95"/>
      <c r="B127" s="91">
        <v>231108000032</v>
      </c>
      <c r="C127" s="97"/>
      <c r="D127" s="97">
        <v>12</v>
      </c>
      <c r="E127" s="99">
        <v>52.3</v>
      </c>
      <c r="F127" s="99">
        <v>569</v>
      </c>
      <c r="G127" s="99">
        <f t="shared" si="12"/>
        <v>29758.7</v>
      </c>
      <c r="H127" s="94"/>
      <c r="I127" s="94"/>
      <c r="J127" s="121">
        <f t="shared" si="13"/>
        <v>29758.7</v>
      </c>
      <c r="K127" s="99"/>
      <c r="L127" s="122">
        <f t="shared" si="14"/>
        <v>598277.5</v>
      </c>
    </row>
    <row r="128" ht="20" customHeight="1" spans="1:12">
      <c r="A128" s="95"/>
      <c r="B128" s="91">
        <v>231113000061</v>
      </c>
      <c r="C128" s="97"/>
      <c r="D128" s="97">
        <v>15</v>
      </c>
      <c r="E128" s="99">
        <v>57.3</v>
      </c>
      <c r="F128" s="99">
        <v>729</v>
      </c>
      <c r="G128" s="99">
        <f t="shared" si="12"/>
        <v>41771.7</v>
      </c>
      <c r="H128" s="94"/>
      <c r="I128" s="94"/>
      <c r="J128" s="121">
        <f t="shared" si="13"/>
        <v>41771.7</v>
      </c>
      <c r="K128" s="99"/>
      <c r="L128" s="122">
        <f t="shared" si="14"/>
        <v>640049.2</v>
      </c>
    </row>
    <row r="129" ht="20" customHeight="1" spans="1:12">
      <c r="A129" s="95"/>
      <c r="B129" s="91">
        <v>231115000012</v>
      </c>
      <c r="C129" s="97"/>
      <c r="D129" s="97">
        <v>12</v>
      </c>
      <c r="E129" s="99">
        <v>57.3</v>
      </c>
      <c r="F129" s="99">
        <v>626.5</v>
      </c>
      <c r="G129" s="99">
        <f t="shared" si="12"/>
        <v>35898.45</v>
      </c>
      <c r="H129" s="94"/>
      <c r="I129" s="94"/>
      <c r="J129" s="121">
        <f t="shared" si="13"/>
        <v>35898.45</v>
      </c>
      <c r="K129" s="99"/>
      <c r="L129" s="122">
        <f t="shared" si="14"/>
        <v>675947.65</v>
      </c>
    </row>
    <row r="130" ht="20" customHeight="1" spans="1:12">
      <c r="A130" s="95"/>
      <c r="B130" s="91">
        <v>231120000051</v>
      </c>
      <c r="C130" s="97"/>
      <c r="D130" s="97">
        <v>16</v>
      </c>
      <c r="E130" s="99">
        <v>57.3</v>
      </c>
      <c r="F130" s="99">
        <v>715</v>
      </c>
      <c r="G130" s="99">
        <f t="shared" ref="G130:G148" si="15">E130*F130</f>
        <v>40969.5</v>
      </c>
      <c r="H130" s="94"/>
      <c r="I130" s="94"/>
      <c r="J130" s="121">
        <f t="shared" ref="J130:J148" si="16">G130+H130</f>
        <v>40969.5</v>
      </c>
      <c r="K130" s="99"/>
      <c r="L130" s="122">
        <f t="shared" ref="L130:L148" si="17">L129+J130-K130</f>
        <v>716917.15</v>
      </c>
    </row>
    <row r="131" ht="20" customHeight="1" spans="1:12">
      <c r="A131" s="95"/>
      <c r="B131" s="91">
        <v>231122000018</v>
      </c>
      <c r="C131" s="97"/>
      <c r="D131" s="97">
        <v>19</v>
      </c>
      <c r="E131" s="99">
        <v>61.8</v>
      </c>
      <c r="F131" s="99">
        <v>800</v>
      </c>
      <c r="G131" s="99">
        <f t="shared" si="15"/>
        <v>49440</v>
      </c>
      <c r="H131" s="94"/>
      <c r="I131" s="94"/>
      <c r="J131" s="121">
        <f t="shared" si="16"/>
        <v>49440</v>
      </c>
      <c r="K131" s="99"/>
      <c r="L131" s="122">
        <f t="shared" si="17"/>
        <v>766357.15</v>
      </c>
    </row>
    <row r="132" ht="20" customHeight="1" spans="1:12">
      <c r="A132" s="95">
        <v>45248</v>
      </c>
      <c r="B132" s="91" t="s">
        <v>30</v>
      </c>
      <c r="C132" s="97"/>
      <c r="D132" s="97"/>
      <c r="E132" s="99"/>
      <c r="F132" s="99"/>
      <c r="G132" s="99">
        <f t="shared" si="15"/>
        <v>0</v>
      </c>
      <c r="H132" s="94"/>
      <c r="I132" s="94"/>
      <c r="J132" s="121">
        <f t="shared" si="16"/>
        <v>0</v>
      </c>
      <c r="K132" s="99">
        <v>129000</v>
      </c>
      <c r="L132" s="122">
        <f t="shared" si="17"/>
        <v>637357.15</v>
      </c>
    </row>
    <row r="133" ht="20" customHeight="1" spans="1:12">
      <c r="A133" s="95">
        <v>45259</v>
      </c>
      <c r="B133" s="91" t="s">
        <v>30</v>
      </c>
      <c r="C133" s="97"/>
      <c r="D133" s="97"/>
      <c r="E133" s="99"/>
      <c r="F133" s="99"/>
      <c r="G133" s="99">
        <f t="shared" si="15"/>
        <v>0</v>
      </c>
      <c r="H133" s="94"/>
      <c r="I133" s="94"/>
      <c r="J133" s="121">
        <f t="shared" si="16"/>
        <v>0</v>
      </c>
      <c r="K133" s="99">
        <v>60000</v>
      </c>
      <c r="L133" s="122">
        <f t="shared" si="17"/>
        <v>577357.15</v>
      </c>
    </row>
    <row r="134" ht="20" customHeight="1" spans="1:12">
      <c r="A134" s="95">
        <v>45264</v>
      </c>
      <c r="B134" s="91" t="s">
        <v>30</v>
      </c>
      <c r="C134" s="97"/>
      <c r="D134" s="97"/>
      <c r="E134" s="99"/>
      <c r="F134" s="99"/>
      <c r="G134" s="99">
        <f t="shared" si="15"/>
        <v>0</v>
      </c>
      <c r="H134" s="94"/>
      <c r="I134" s="94"/>
      <c r="J134" s="121">
        <f t="shared" si="16"/>
        <v>0</v>
      </c>
      <c r="K134" s="99">
        <v>100000</v>
      </c>
      <c r="L134" s="122">
        <f t="shared" si="17"/>
        <v>477357.15</v>
      </c>
    </row>
    <row r="135" ht="20" customHeight="1" spans="1:12">
      <c r="A135" s="95">
        <v>45265</v>
      </c>
      <c r="B135" s="91" t="s">
        <v>55</v>
      </c>
      <c r="C135" s="97"/>
      <c r="D135" s="97"/>
      <c r="E135" s="99"/>
      <c r="F135" s="99"/>
      <c r="G135" s="99">
        <f t="shared" si="15"/>
        <v>0</v>
      </c>
      <c r="H135" s="94"/>
      <c r="I135" s="141" t="s">
        <v>55</v>
      </c>
      <c r="J135" s="121">
        <f t="shared" si="16"/>
        <v>0</v>
      </c>
      <c r="K135" s="99">
        <v>100000</v>
      </c>
      <c r="L135" s="122">
        <f t="shared" si="17"/>
        <v>377357.15</v>
      </c>
    </row>
    <row r="136" ht="20" customHeight="1" spans="1:12">
      <c r="A136" s="95"/>
      <c r="B136" s="91">
        <v>231125000028</v>
      </c>
      <c r="C136" s="97"/>
      <c r="D136" s="97">
        <v>14</v>
      </c>
      <c r="E136" s="99">
        <v>61.8</v>
      </c>
      <c r="F136" s="99">
        <v>744</v>
      </c>
      <c r="G136" s="99">
        <f t="shared" si="15"/>
        <v>45979.2</v>
      </c>
      <c r="H136" s="94"/>
      <c r="I136" s="94"/>
      <c r="J136" s="121">
        <f t="shared" si="16"/>
        <v>45979.2</v>
      </c>
      <c r="K136" s="99"/>
      <c r="L136" s="122">
        <f t="shared" si="17"/>
        <v>423336.35</v>
      </c>
    </row>
    <row r="137" ht="20" customHeight="1" spans="1:12">
      <c r="A137" s="95"/>
      <c r="B137" s="91">
        <v>231129000015</v>
      </c>
      <c r="C137" s="97"/>
      <c r="D137" s="97">
        <v>24</v>
      </c>
      <c r="E137" s="99">
        <v>61.8</v>
      </c>
      <c r="F137" s="99">
        <v>1120</v>
      </c>
      <c r="G137" s="99">
        <f t="shared" si="15"/>
        <v>69216</v>
      </c>
      <c r="H137" s="94"/>
      <c r="I137" s="94"/>
      <c r="J137" s="121">
        <f t="shared" si="16"/>
        <v>69216</v>
      </c>
      <c r="K137" s="99"/>
      <c r="L137" s="122">
        <f t="shared" si="17"/>
        <v>492552.35</v>
      </c>
    </row>
    <row r="138" ht="20" customHeight="1" spans="1:12">
      <c r="A138" s="95"/>
      <c r="B138" s="91">
        <v>231205000012</v>
      </c>
      <c r="C138" s="97"/>
      <c r="D138" s="97">
        <v>17</v>
      </c>
      <c r="E138" s="99">
        <v>61.8</v>
      </c>
      <c r="F138" s="99">
        <v>713</v>
      </c>
      <c r="G138" s="99">
        <f t="shared" si="15"/>
        <v>44063.4</v>
      </c>
      <c r="H138" s="94"/>
      <c r="I138" s="94"/>
      <c r="J138" s="121">
        <f t="shared" si="16"/>
        <v>44063.4</v>
      </c>
      <c r="K138" s="99"/>
      <c r="L138" s="122">
        <f t="shared" si="17"/>
        <v>536615.75</v>
      </c>
    </row>
    <row r="139" ht="20" customHeight="1" spans="1:12">
      <c r="A139" s="95"/>
      <c r="B139" s="91">
        <v>231206000004</v>
      </c>
      <c r="C139" s="97"/>
      <c r="D139" s="97">
        <v>18</v>
      </c>
      <c r="E139" s="99">
        <v>61.8</v>
      </c>
      <c r="F139" s="99">
        <v>866</v>
      </c>
      <c r="G139" s="99">
        <f t="shared" si="15"/>
        <v>53518.8</v>
      </c>
      <c r="H139" s="94"/>
      <c r="I139" s="94"/>
      <c r="J139" s="121">
        <f t="shared" si="16"/>
        <v>53518.8</v>
      </c>
      <c r="K139" s="99"/>
      <c r="L139" s="122">
        <f t="shared" si="17"/>
        <v>590134.55</v>
      </c>
    </row>
    <row r="140" ht="20" customHeight="1" spans="1:12">
      <c r="A140" s="95">
        <v>45271</v>
      </c>
      <c r="B140" s="91" t="s">
        <v>55</v>
      </c>
      <c r="C140" s="97"/>
      <c r="D140" s="97"/>
      <c r="E140" s="99"/>
      <c r="F140" s="99"/>
      <c r="G140" s="99">
        <f t="shared" si="15"/>
        <v>0</v>
      </c>
      <c r="H140" s="94"/>
      <c r="I140" s="141" t="s">
        <v>55</v>
      </c>
      <c r="J140" s="121">
        <f t="shared" si="16"/>
        <v>0</v>
      </c>
      <c r="K140" s="99">
        <v>95534</v>
      </c>
      <c r="L140" s="122">
        <f t="shared" si="17"/>
        <v>494600.55</v>
      </c>
    </row>
    <row r="141" ht="20" customHeight="1" spans="1:12">
      <c r="A141" s="144" t="s">
        <v>51</v>
      </c>
      <c r="B141" s="91" t="s">
        <v>56</v>
      </c>
      <c r="C141" s="97" t="s">
        <v>53</v>
      </c>
      <c r="D141" s="97">
        <v>45</v>
      </c>
      <c r="E141" s="99">
        <v>38.5</v>
      </c>
      <c r="F141" s="99">
        <v>1575</v>
      </c>
      <c r="G141" s="99">
        <f t="shared" si="15"/>
        <v>60637.5</v>
      </c>
      <c r="H141" s="94"/>
      <c r="I141" s="94"/>
      <c r="J141" s="121">
        <f t="shared" si="16"/>
        <v>60637.5</v>
      </c>
      <c r="K141" s="99"/>
      <c r="L141" s="122">
        <f t="shared" si="17"/>
        <v>555238.05</v>
      </c>
    </row>
    <row r="142" ht="20" customHeight="1" spans="1:12">
      <c r="A142" s="95"/>
      <c r="B142" s="91">
        <v>231209000015</v>
      </c>
      <c r="C142" s="97" t="s">
        <v>14</v>
      </c>
      <c r="D142" s="97">
        <v>13</v>
      </c>
      <c r="E142" s="99">
        <v>61.8</v>
      </c>
      <c r="F142" s="99">
        <v>586</v>
      </c>
      <c r="G142" s="99">
        <f t="shared" si="15"/>
        <v>36214.8</v>
      </c>
      <c r="H142" s="94"/>
      <c r="I142" s="94"/>
      <c r="J142" s="121">
        <f t="shared" si="16"/>
        <v>36214.8</v>
      </c>
      <c r="K142" s="99"/>
      <c r="L142" s="122">
        <f t="shared" si="17"/>
        <v>591452.85</v>
      </c>
    </row>
    <row r="143" ht="20" customHeight="1" spans="1:12">
      <c r="A143" s="95"/>
      <c r="B143" s="146">
        <v>231216000001</v>
      </c>
      <c r="C143" s="150" t="s">
        <v>57</v>
      </c>
      <c r="D143" s="150">
        <v>12</v>
      </c>
      <c r="E143" s="151">
        <v>66.8</v>
      </c>
      <c r="F143" s="151">
        <v>565.5</v>
      </c>
      <c r="G143" s="151">
        <f t="shared" si="15"/>
        <v>37775.4</v>
      </c>
      <c r="H143" s="94"/>
      <c r="I143" s="94"/>
      <c r="J143" s="121">
        <f t="shared" si="16"/>
        <v>37775.4</v>
      </c>
      <c r="K143" s="99"/>
      <c r="L143" s="122">
        <f t="shared" si="17"/>
        <v>629228.25</v>
      </c>
    </row>
    <row r="144" ht="20" customHeight="1" spans="1:12">
      <c r="A144" s="95"/>
      <c r="B144" s="146">
        <v>231213000008</v>
      </c>
      <c r="C144" s="150" t="s">
        <v>57</v>
      </c>
      <c r="D144" s="150">
        <v>13</v>
      </c>
      <c r="E144" s="151">
        <v>66.8</v>
      </c>
      <c r="F144" s="151">
        <v>575</v>
      </c>
      <c r="G144" s="151">
        <f t="shared" si="15"/>
        <v>38410</v>
      </c>
      <c r="H144" s="94"/>
      <c r="I144" s="94"/>
      <c r="J144" s="121">
        <f t="shared" si="16"/>
        <v>38410</v>
      </c>
      <c r="K144" s="99"/>
      <c r="L144" s="122">
        <f t="shared" si="17"/>
        <v>667638.25</v>
      </c>
    </row>
    <row r="145" ht="20" customHeight="1" spans="1:12">
      <c r="A145" s="95"/>
      <c r="B145" s="146">
        <v>231220000016</v>
      </c>
      <c r="C145" s="150" t="s">
        <v>57</v>
      </c>
      <c r="D145" s="150">
        <v>15</v>
      </c>
      <c r="E145" s="151">
        <v>66.8</v>
      </c>
      <c r="F145" s="151">
        <v>551</v>
      </c>
      <c r="G145" s="151">
        <f t="shared" si="15"/>
        <v>36806.8</v>
      </c>
      <c r="H145" s="94"/>
      <c r="I145" s="94"/>
      <c r="J145" s="121">
        <f t="shared" si="16"/>
        <v>36806.8</v>
      </c>
      <c r="K145" s="99"/>
      <c r="L145" s="122">
        <f t="shared" si="17"/>
        <v>704445.05</v>
      </c>
    </row>
    <row r="146" ht="20" customHeight="1" spans="1:12">
      <c r="A146" s="95"/>
      <c r="B146" s="152">
        <v>231227000007</v>
      </c>
      <c r="C146" s="153" t="s">
        <v>57</v>
      </c>
      <c r="D146" s="153">
        <v>17</v>
      </c>
      <c r="E146" s="154">
        <v>57</v>
      </c>
      <c r="F146" s="154">
        <v>651.5</v>
      </c>
      <c r="G146" s="154">
        <f t="shared" si="15"/>
        <v>37135.5</v>
      </c>
      <c r="H146" s="94"/>
      <c r="I146" s="94"/>
      <c r="J146" s="121">
        <f t="shared" si="16"/>
        <v>37135.5</v>
      </c>
      <c r="K146" s="99"/>
      <c r="L146" s="122">
        <f t="shared" si="17"/>
        <v>741580.55</v>
      </c>
    </row>
    <row r="147" ht="20" customHeight="1" spans="1:12">
      <c r="A147" s="95"/>
      <c r="B147" s="91">
        <v>231229000035</v>
      </c>
      <c r="C147" s="97" t="s">
        <v>57</v>
      </c>
      <c r="D147" s="97">
        <v>8</v>
      </c>
      <c r="E147" s="99">
        <v>55</v>
      </c>
      <c r="F147" s="99">
        <v>308</v>
      </c>
      <c r="G147" s="99">
        <f t="shared" si="15"/>
        <v>16940</v>
      </c>
      <c r="H147" s="94"/>
      <c r="I147" s="94"/>
      <c r="J147" s="121">
        <f t="shared" si="16"/>
        <v>16940</v>
      </c>
      <c r="K147" s="99"/>
      <c r="L147" s="122">
        <f t="shared" si="17"/>
        <v>758520.55</v>
      </c>
    </row>
    <row r="148" ht="20" customHeight="1" spans="1:12">
      <c r="A148" s="95">
        <v>45306</v>
      </c>
      <c r="B148" s="91" t="s">
        <v>30</v>
      </c>
      <c r="C148" s="97"/>
      <c r="D148" s="97"/>
      <c r="E148" s="99"/>
      <c r="F148" s="99"/>
      <c r="G148" s="99">
        <f t="shared" si="15"/>
        <v>0</v>
      </c>
      <c r="H148" s="94"/>
      <c r="I148" s="94"/>
      <c r="J148" s="121">
        <f t="shared" si="16"/>
        <v>0</v>
      </c>
      <c r="K148" s="99">
        <v>100000</v>
      </c>
      <c r="L148" s="122">
        <f t="shared" si="17"/>
        <v>658520.55</v>
      </c>
    </row>
    <row r="149" ht="20" customHeight="1" spans="1:12">
      <c r="A149" s="95"/>
      <c r="B149" s="91">
        <v>240103000053</v>
      </c>
      <c r="C149" s="97" t="s">
        <v>57</v>
      </c>
      <c r="D149" s="97">
        <v>9</v>
      </c>
      <c r="E149" s="99">
        <v>53</v>
      </c>
      <c r="F149" s="99">
        <v>384</v>
      </c>
      <c r="G149" s="99">
        <f t="shared" ref="G149:G170" si="18">E149*F149</f>
        <v>20352</v>
      </c>
      <c r="H149" s="94"/>
      <c r="I149" s="94"/>
      <c r="J149" s="121">
        <f t="shared" ref="J149:J170" si="19">G149+H149</f>
        <v>20352</v>
      </c>
      <c r="K149" s="99"/>
      <c r="L149" s="122">
        <f t="shared" ref="L149:L170" si="20">L148+J149-K149</f>
        <v>678872.55</v>
      </c>
    </row>
    <row r="150" ht="20" customHeight="1" spans="1:12">
      <c r="A150" s="95"/>
      <c r="B150" s="91">
        <v>240106000020</v>
      </c>
      <c r="C150" s="97" t="s">
        <v>57</v>
      </c>
      <c r="D150" s="97">
        <v>6</v>
      </c>
      <c r="E150" s="99">
        <v>53</v>
      </c>
      <c r="F150" s="99">
        <v>263.5</v>
      </c>
      <c r="G150" s="99">
        <f t="shared" si="18"/>
        <v>13965.5</v>
      </c>
      <c r="H150" s="94"/>
      <c r="I150" s="94"/>
      <c r="J150" s="121">
        <f t="shared" si="19"/>
        <v>13965.5</v>
      </c>
      <c r="K150" s="99"/>
      <c r="L150" s="122">
        <f t="shared" si="20"/>
        <v>692838.05</v>
      </c>
    </row>
    <row r="151" ht="20" customHeight="1" spans="1:12">
      <c r="A151" s="95"/>
      <c r="B151" s="91">
        <v>240109000043</v>
      </c>
      <c r="C151" s="97" t="s">
        <v>57</v>
      </c>
      <c r="D151" s="97">
        <v>10</v>
      </c>
      <c r="E151" s="99">
        <v>51</v>
      </c>
      <c r="F151" s="99">
        <v>508.5</v>
      </c>
      <c r="G151" s="99">
        <f t="shared" si="18"/>
        <v>25933.5</v>
      </c>
      <c r="H151" s="94"/>
      <c r="I151" s="94"/>
      <c r="J151" s="121">
        <f t="shared" si="19"/>
        <v>25933.5</v>
      </c>
      <c r="K151" s="99"/>
      <c r="L151" s="122">
        <f t="shared" si="20"/>
        <v>718771.55</v>
      </c>
    </row>
    <row r="152" ht="20" customHeight="1" spans="1:12">
      <c r="A152" s="95"/>
      <c r="B152" s="91">
        <v>240113000009</v>
      </c>
      <c r="C152" s="97" t="s">
        <v>57</v>
      </c>
      <c r="D152" s="97">
        <v>10</v>
      </c>
      <c r="E152" s="99">
        <v>51</v>
      </c>
      <c r="F152" s="99">
        <v>440</v>
      </c>
      <c r="G152" s="99">
        <f t="shared" si="18"/>
        <v>22440</v>
      </c>
      <c r="H152" s="94"/>
      <c r="I152" s="94"/>
      <c r="J152" s="121">
        <f t="shared" si="19"/>
        <v>22440</v>
      </c>
      <c r="K152" s="99"/>
      <c r="L152" s="122">
        <f t="shared" si="20"/>
        <v>741211.55</v>
      </c>
    </row>
    <row r="153" ht="20" customHeight="1" spans="1:12">
      <c r="A153" s="95"/>
      <c r="B153" s="91">
        <v>240117000007</v>
      </c>
      <c r="C153" s="97" t="s">
        <v>57</v>
      </c>
      <c r="D153" s="97">
        <v>13</v>
      </c>
      <c r="E153" s="99">
        <v>51</v>
      </c>
      <c r="F153" s="99">
        <v>656</v>
      </c>
      <c r="G153" s="99">
        <f t="shared" si="18"/>
        <v>33456</v>
      </c>
      <c r="H153" s="94"/>
      <c r="I153" s="94"/>
      <c r="J153" s="121">
        <f t="shared" si="19"/>
        <v>33456</v>
      </c>
      <c r="K153" s="99"/>
      <c r="L153" s="122">
        <f t="shared" si="20"/>
        <v>774667.55</v>
      </c>
    </row>
    <row r="154" ht="20" customHeight="1" spans="1:12">
      <c r="A154" s="95"/>
      <c r="B154" s="91">
        <v>240123000050</v>
      </c>
      <c r="C154" s="97" t="s">
        <v>57</v>
      </c>
      <c r="D154" s="97">
        <v>16</v>
      </c>
      <c r="E154" s="99">
        <v>51</v>
      </c>
      <c r="F154" s="99">
        <v>908</v>
      </c>
      <c r="G154" s="99">
        <f t="shared" si="18"/>
        <v>46308</v>
      </c>
      <c r="H154" s="94"/>
      <c r="I154" s="94"/>
      <c r="J154" s="121">
        <f t="shared" si="19"/>
        <v>46308</v>
      </c>
      <c r="K154" s="99"/>
      <c r="L154" s="122">
        <f t="shared" si="20"/>
        <v>820975.55</v>
      </c>
    </row>
    <row r="155" ht="20" customHeight="1" spans="1:12">
      <c r="A155" s="95"/>
      <c r="B155" s="91">
        <v>240125000029</v>
      </c>
      <c r="C155" s="97" t="s">
        <v>57</v>
      </c>
      <c r="D155" s="97">
        <v>16</v>
      </c>
      <c r="E155" s="99">
        <v>51</v>
      </c>
      <c r="F155" s="99">
        <v>811</v>
      </c>
      <c r="G155" s="99">
        <f t="shared" si="18"/>
        <v>41361</v>
      </c>
      <c r="H155" s="94"/>
      <c r="I155" s="94"/>
      <c r="J155" s="121">
        <f t="shared" si="19"/>
        <v>41361</v>
      </c>
      <c r="K155" s="99"/>
      <c r="L155" s="122">
        <f t="shared" si="20"/>
        <v>862336.55</v>
      </c>
    </row>
    <row r="156" ht="20" customHeight="1" spans="1:12">
      <c r="A156" s="95">
        <v>45320</v>
      </c>
      <c r="B156" s="91" t="s">
        <v>30</v>
      </c>
      <c r="C156" s="97"/>
      <c r="D156" s="97"/>
      <c r="E156" s="99"/>
      <c r="F156" s="99"/>
      <c r="G156" s="99">
        <f t="shared" si="18"/>
        <v>0</v>
      </c>
      <c r="H156" s="94"/>
      <c r="I156" s="94" t="s">
        <v>55</v>
      </c>
      <c r="J156" s="121">
        <f t="shared" si="19"/>
        <v>0</v>
      </c>
      <c r="K156" s="99">
        <v>42929</v>
      </c>
      <c r="L156" s="122">
        <f t="shared" si="20"/>
        <v>819407.55</v>
      </c>
    </row>
    <row r="157" ht="31" customHeight="1" spans="1:12">
      <c r="A157" s="95">
        <v>45320</v>
      </c>
      <c r="B157" s="91" t="s">
        <v>30</v>
      </c>
      <c r="C157" s="97"/>
      <c r="D157" s="97"/>
      <c r="E157" s="99"/>
      <c r="F157" s="99"/>
      <c r="G157" s="99">
        <f t="shared" si="18"/>
        <v>0</v>
      </c>
      <c r="H157" s="94"/>
      <c r="I157" s="145" t="s">
        <v>58</v>
      </c>
      <c r="J157" s="121">
        <f t="shared" si="19"/>
        <v>0</v>
      </c>
      <c r="K157" s="99">
        <v>92071</v>
      </c>
      <c r="L157" s="122">
        <f t="shared" si="20"/>
        <v>727336.55</v>
      </c>
    </row>
    <row r="158" ht="20" customHeight="1" spans="1:12">
      <c r="A158" s="95"/>
      <c r="B158" s="135">
        <v>240130000041</v>
      </c>
      <c r="C158" s="97" t="s">
        <v>57</v>
      </c>
      <c r="D158" s="97">
        <v>14</v>
      </c>
      <c r="E158" s="99">
        <v>51</v>
      </c>
      <c r="F158" s="99">
        <v>748</v>
      </c>
      <c r="G158" s="99">
        <f t="shared" si="18"/>
        <v>38148</v>
      </c>
      <c r="H158" s="94"/>
      <c r="I158" s="94"/>
      <c r="J158" s="121">
        <f t="shared" si="19"/>
        <v>38148</v>
      </c>
      <c r="K158" s="99"/>
      <c r="L158" s="122">
        <f t="shared" si="20"/>
        <v>765484.55</v>
      </c>
    </row>
    <row r="159" ht="20" customHeight="1" spans="1:12">
      <c r="A159" s="95"/>
      <c r="B159" s="135">
        <v>240126000048</v>
      </c>
      <c r="C159" s="97" t="s">
        <v>57</v>
      </c>
      <c r="D159" s="97">
        <v>14</v>
      </c>
      <c r="E159" s="99">
        <v>51</v>
      </c>
      <c r="F159" s="99">
        <v>602.5</v>
      </c>
      <c r="G159" s="99">
        <f t="shared" si="18"/>
        <v>30727.5</v>
      </c>
      <c r="H159" s="94"/>
      <c r="I159" s="94"/>
      <c r="J159" s="121">
        <f t="shared" si="19"/>
        <v>30727.5</v>
      </c>
      <c r="K159" s="99"/>
      <c r="L159" s="122">
        <f t="shared" si="20"/>
        <v>796212.05</v>
      </c>
    </row>
    <row r="160" ht="20" customHeight="1" spans="1:12">
      <c r="A160" s="95"/>
      <c r="B160" s="91">
        <v>240203000010</v>
      </c>
      <c r="C160" s="97" t="s">
        <v>57</v>
      </c>
      <c r="D160" s="97">
        <v>20</v>
      </c>
      <c r="E160" s="99">
        <v>51</v>
      </c>
      <c r="F160" s="99">
        <v>906</v>
      </c>
      <c r="G160" s="99">
        <f t="shared" si="18"/>
        <v>46206</v>
      </c>
      <c r="H160" s="94"/>
      <c r="I160" s="94"/>
      <c r="J160" s="121">
        <f t="shared" si="19"/>
        <v>46206</v>
      </c>
      <c r="K160" s="99"/>
      <c r="L160" s="122">
        <f t="shared" si="20"/>
        <v>842418.05</v>
      </c>
    </row>
    <row r="161" ht="20" customHeight="1" spans="1:12">
      <c r="A161" s="95">
        <v>45333</v>
      </c>
      <c r="B161" s="91" t="s">
        <v>30</v>
      </c>
      <c r="C161" s="97"/>
      <c r="D161" s="97"/>
      <c r="E161" s="99"/>
      <c r="F161" s="99"/>
      <c r="G161" s="99">
        <f t="shared" si="18"/>
        <v>0</v>
      </c>
      <c r="H161" s="94"/>
      <c r="I161" s="141" t="s">
        <v>59</v>
      </c>
      <c r="J161" s="121">
        <f t="shared" si="19"/>
        <v>0</v>
      </c>
      <c r="K161" s="99">
        <v>110000</v>
      </c>
      <c r="L161" s="122">
        <f t="shared" si="20"/>
        <v>732418.05</v>
      </c>
    </row>
    <row r="162" ht="20" customHeight="1" spans="1:12">
      <c r="A162" s="95">
        <v>45333</v>
      </c>
      <c r="B162" s="91" t="s">
        <v>30</v>
      </c>
      <c r="C162" s="97"/>
      <c r="D162" s="97"/>
      <c r="E162" s="99"/>
      <c r="F162" s="99"/>
      <c r="G162" s="99">
        <f t="shared" si="18"/>
        <v>0</v>
      </c>
      <c r="H162" s="94"/>
      <c r="I162" s="94" t="s">
        <v>59</v>
      </c>
      <c r="J162" s="121">
        <f t="shared" si="19"/>
        <v>0</v>
      </c>
      <c r="K162" s="99">
        <v>20000</v>
      </c>
      <c r="L162" s="122">
        <f t="shared" si="20"/>
        <v>712418.05</v>
      </c>
    </row>
    <row r="163" ht="20" customHeight="1" spans="1:12">
      <c r="A163" s="95">
        <v>45333</v>
      </c>
      <c r="B163" s="91" t="s">
        <v>30</v>
      </c>
      <c r="C163" s="97"/>
      <c r="D163" s="97"/>
      <c r="E163" s="99"/>
      <c r="F163" s="99"/>
      <c r="G163" s="99">
        <f t="shared" si="18"/>
        <v>0</v>
      </c>
      <c r="H163" s="94"/>
      <c r="I163" s="141" t="s">
        <v>60</v>
      </c>
      <c r="J163" s="121">
        <f t="shared" si="19"/>
        <v>0</v>
      </c>
      <c r="K163" s="99">
        <v>70000</v>
      </c>
      <c r="L163" s="122">
        <f t="shared" si="20"/>
        <v>642418.05</v>
      </c>
    </row>
    <row r="164" ht="20" customHeight="1" spans="1:12">
      <c r="A164" s="95">
        <v>45344</v>
      </c>
      <c r="B164" s="91" t="s">
        <v>30</v>
      </c>
      <c r="C164" s="97"/>
      <c r="D164" s="97"/>
      <c r="E164" s="99"/>
      <c r="F164" s="99"/>
      <c r="G164" s="99">
        <f t="shared" si="18"/>
        <v>0</v>
      </c>
      <c r="H164" s="94"/>
      <c r="I164" s="141" t="s">
        <v>61</v>
      </c>
      <c r="J164" s="121">
        <f t="shared" si="19"/>
        <v>0</v>
      </c>
      <c r="K164" s="99">
        <v>50000</v>
      </c>
      <c r="L164" s="122">
        <f t="shared" si="20"/>
        <v>592418.05</v>
      </c>
    </row>
    <row r="165" ht="20" customHeight="1" spans="1:12">
      <c r="A165" s="95">
        <v>45344</v>
      </c>
      <c r="B165" s="91" t="s">
        <v>30</v>
      </c>
      <c r="C165" s="97"/>
      <c r="D165" s="97"/>
      <c r="E165" s="99"/>
      <c r="F165" s="99"/>
      <c r="G165" s="99">
        <f t="shared" si="18"/>
        <v>0</v>
      </c>
      <c r="H165" s="94"/>
      <c r="I165" s="141" t="s">
        <v>62</v>
      </c>
      <c r="J165" s="121">
        <f t="shared" si="19"/>
        <v>0</v>
      </c>
      <c r="K165" s="99">
        <v>40000</v>
      </c>
      <c r="L165" s="122">
        <f t="shared" si="20"/>
        <v>552418.05</v>
      </c>
    </row>
    <row r="166" ht="20" customHeight="1" spans="1:12">
      <c r="A166" s="95">
        <v>45344</v>
      </c>
      <c r="B166" s="91" t="s">
        <v>30</v>
      </c>
      <c r="C166" s="97"/>
      <c r="D166" s="97"/>
      <c r="E166" s="99"/>
      <c r="F166" s="99"/>
      <c r="G166" s="99">
        <f t="shared" si="18"/>
        <v>0</v>
      </c>
      <c r="H166" s="94"/>
      <c r="I166" s="141" t="s">
        <v>62</v>
      </c>
      <c r="J166" s="121">
        <f t="shared" si="19"/>
        <v>0</v>
      </c>
      <c r="K166" s="99">
        <v>10000</v>
      </c>
      <c r="L166" s="122">
        <f t="shared" si="20"/>
        <v>542418.05</v>
      </c>
    </row>
    <row r="167" ht="20" customHeight="1" spans="1:12">
      <c r="A167" s="95">
        <v>45346</v>
      </c>
      <c r="B167" s="91" t="s">
        <v>30</v>
      </c>
      <c r="C167" s="97"/>
      <c r="D167" s="97"/>
      <c r="E167" s="99"/>
      <c r="F167" s="99"/>
      <c r="G167" s="99">
        <f t="shared" si="18"/>
        <v>0</v>
      </c>
      <c r="H167" s="94"/>
      <c r="I167" s="94" t="s">
        <v>62</v>
      </c>
      <c r="J167" s="121">
        <f t="shared" si="19"/>
        <v>0</v>
      </c>
      <c r="K167" s="99">
        <v>100000</v>
      </c>
      <c r="L167" s="122">
        <f t="shared" si="20"/>
        <v>442418.05</v>
      </c>
    </row>
    <row r="168" ht="20" customHeight="1" spans="1:12">
      <c r="A168" s="95">
        <v>45346</v>
      </c>
      <c r="B168" s="91" t="s">
        <v>30</v>
      </c>
      <c r="C168" s="97"/>
      <c r="D168" s="97"/>
      <c r="E168" s="99"/>
      <c r="F168" s="99"/>
      <c r="G168" s="99">
        <f t="shared" si="18"/>
        <v>0</v>
      </c>
      <c r="H168" s="94"/>
      <c r="I168" s="141" t="s">
        <v>63</v>
      </c>
      <c r="J168" s="121">
        <f t="shared" si="19"/>
        <v>0</v>
      </c>
      <c r="K168" s="99">
        <v>150000</v>
      </c>
      <c r="L168" s="122">
        <f t="shared" si="20"/>
        <v>292418.05</v>
      </c>
    </row>
    <row r="169" ht="20" customHeight="1" spans="1:12">
      <c r="A169" s="95"/>
      <c r="B169" s="91"/>
      <c r="C169" s="97"/>
      <c r="D169" s="97"/>
      <c r="E169" s="99"/>
      <c r="F169" s="99"/>
      <c r="G169" s="99">
        <f t="shared" si="18"/>
        <v>0</v>
      </c>
      <c r="H169" s="94"/>
      <c r="I169" s="94"/>
      <c r="J169" s="121">
        <f t="shared" si="19"/>
        <v>0</v>
      </c>
      <c r="K169" s="99"/>
      <c r="L169" s="122">
        <f t="shared" si="20"/>
        <v>292418.05</v>
      </c>
    </row>
    <row r="170" ht="20" customHeight="1" spans="1:12">
      <c r="A170" s="95"/>
      <c r="B170" s="91"/>
      <c r="C170" s="97"/>
      <c r="D170" s="97"/>
      <c r="E170" s="99"/>
      <c r="F170" s="99"/>
      <c r="G170" s="99">
        <f t="shared" si="18"/>
        <v>0</v>
      </c>
      <c r="H170" s="94"/>
      <c r="I170" s="94"/>
      <c r="J170" s="121">
        <f t="shared" si="19"/>
        <v>0</v>
      </c>
      <c r="K170" s="99"/>
      <c r="L170" s="122">
        <f t="shared" si="20"/>
        <v>292418.05</v>
      </c>
    </row>
    <row r="171" spans="2:2">
      <c r="B171" s="91"/>
    </row>
    <row r="172" spans="2:2">
      <c r="B172" s="91"/>
    </row>
  </sheetData>
  <autoFilter xmlns:etc="http://www.wps.cn/officeDocument/2017/etCustomData" ref="A3:L170" etc:filterBottomFollowUsedRange="0">
    <extLst/>
  </autoFilter>
  <mergeCells count="3">
    <mergeCell ref="A1:L1"/>
    <mergeCell ref="A2:L2"/>
    <mergeCell ref="M64:M69"/>
  </mergeCells>
  <conditionalFormatting sqref="B26">
    <cfRule type="duplicateValues" dxfId="0" priority="84"/>
  </conditionalFormatting>
  <conditionalFormatting sqref="B27">
    <cfRule type="duplicateValues" dxfId="0" priority="88"/>
  </conditionalFormatting>
  <conditionalFormatting sqref="B31">
    <cfRule type="duplicateValues" dxfId="0" priority="79"/>
  </conditionalFormatting>
  <conditionalFormatting sqref="B32">
    <cfRule type="duplicateValues" dxfId="0" priority="75"/>
  </conditionalFormatting>
  <conditionalFormatting sqref="B33">
    <cfRule type="duplicateValues" dxfId="0" priority="73"/>
  </conditionalFormatting>
  <conditionalFormatting sqref="B35">
    <cfRule type="duplicateValues" dxfId="0" priority="69"/>
  </conditionalFormatting>
  <conditionalFormatting sqref="B44">
    <cfRule type="duplicateValues" dxfId="0" priority="63"/>
  </conditionalFormatting>
  <conditionalFormatting sqref="B87">
    <cfRule type="duplicateValues" dxfId="0" priority="57"/>
  </conditionalFormatting>
  <conditionalFormatting sqref="B90">
    <cfRule type="duplicateValues" dxfId="0" priority="51"/>
  </conditionalFormatting>
  <conditionalFormatting sqref="B91">
    <cfRule type="duplicateValues" dxfId="0" priority="45"/>
  </conditionalFormatting>
  <conditionalFormatting sqref="B108">
    <cfRule type="duplicateValues" dxfId="0" priority="36"/>
  </conditionalFormatting>
  <conditionalFormatting sqref="B124">
    <cfRule type="duplicateValues" dxfId="0" priority="22"/>
  </conditionalFormatting>
  <conditionalFormatting sqref="B125">
    <cfRule type="duplicateValues" dxfId="0" priority="21"/>
  </conditionalFormatting>
  <conditionalFormatting sqref="B132">
    <cfRule type="duplicateValues" dxfId="0" priority="20"/>
  </conditionalFormatting>
  <conditionalFormatting sqref="B133">
    <cfRule type="duplicateValues" dxfId="0" priority="19"/>
  </conditionalFormatting>
  <conditionalFormatting sqref="B134">
    <cfRule type="duplicateValues" dxfId="0" priority="18"/>
  </conditionalFormatting>
  <conditionalFormatting sqref="B141">
    <cfRule type="duplicateValues" dxfId="0" priority="17"/>
  </conditionalFormatting>
  <conditionalFormatting sqref="B1:B3">
    <cfRule type="duplicateValues" dxfId="0" priority="112"/>
  </conditionalFormatting>
  <conditionalFormatting sqref="B$1:B$1048576">
    <cfRule type="duplicateValues" dxfId="0" priority="1"/>
  </conditionalFormatting>
  <conditionalFormatting sqref="B5:B7">
    <cfRule type="duplicateValues" dxfId="0" priority="107"/>
  </conditionalFormatting>
  <conditionalFormatting sqref="B24:B25">
    <cfRule type="duplicateValues" dxfId="0" priority="86"/>
  </conditionalFormatting>
  <conditionalFormatting sqref="B34:B35">
    <cfRule type="duplicateValues" dxfId="0" priority="71"/>
  </conditionalFormatting>
  <conditionalFormatting sqref="B36:B39">
    <cfRule type="duplicateValues" dxfId="0" priority="66"/>
  </conditionalFormatting>
  <conditionalFormatting sqref="B42:B43">
    <cfRule type="duplicateValues" dxfId="0" priority="64"/>
  </conditionalFormatting>
  <conditionalFormatting sqref="B59:B62">
    <cfRule type="duplicateValues" dxfId="0" priority="62"/>
  </conditionalFormatting>
  <conditionalFormatting sqref="B63:B67">
    <cfRule type="duplicateValues" dxfId="0" priority="61"/>
  </conditionalFormatting>
  <conditionalFormatting sqref="B77:B79">
    <cfRule type="duplicateValues" dxfId="0" priority="59"/>
  </conditionalFormatting>
  <conditionalFormatting sqref="B100:B102">
    <cfRule type="duplicateValues" dxfId="0" priority="37"/>
  </conditionalFormatting>
  <conditionalFormatting sqref="B106:B107">
    <cfRule type="duplicateValues" dxfId="0" priority="30"/>
  </conditionalFormatting>
  <conditionalFormatting sqref="B110:B114">
    <cfRule type="duplicateValues" dxfId="0" priority="29"/>
  </conditionalFormatting>
  <conditionalFormatting sqref="B117:B121">
    <cfRule type="duplicateValues" dxfId="0" priority="23"/>
  </conditionalFormatting>
  <conditionalFormatting sqref="B169:B172">
    <cfRule type="duplicateValues" dxfId="0" priority="10"/>
  </conditionalFormatting>
  <conditionalFormatting sqref="B1:B4 B8:B23 B29:B30 B68:B74">
    <cfRule type="duplicateValues" dxfId="0" priority="108"/>
  </conditionalFormatting>
  <conditionalFormatting sqref="B1:B33 B36:B45 B54:B86 B88:B89 B92:B99 B115:B116 B122:B123 B126:B131 B135:B140 B142:B168 B173:B1048576">
    <cfRule type="duplicateValues" dxfId="0" priority="98"/>
  </conditionalFormatting>
  <conditionalFormatting sqref="B1:B23 B28:B30 B40:B45 B54:B76 B85:B86 B88:B89 B92:B99 B115:B116 B122:B123 B126:B131 B135:B140 B142:B168 B173:B1048576 B80:B81">
    <cfRule type="duplicateValues" dxfId="0" priority="106"/>
  </conditionalFormatting>
  <conditionalFormatting sqref="B1:B86 B88:B89 B92:B99 B115:B116 B122:B123 B126:B131 B135:B140 B142:B168 B173:B1048576">
    <cfRule type="duplicateValues" dxfId="0" priority="60"/>
  </conditionalFormatting>
  <conditionalFormatting sqref="B1:B33 B36:B45 B54:B76 B85:B86 B88:B89 B92:B99 B115:B116 B122:B123 B126:B131 B135:B140 B142:B168 B173:B1048576 B80:B81">
    <cfRule type="duplicateValues" dxfId="0" priority="103"/>
  </conditionalFormatting>
  <conditionalFormatting sqref="B1:B140 B142:B168 B173:B1048576">
    <cfRule type="duplicateValues" dxfId="0" priority="38"/>
  </conditionalFormatting>
  <conditionalFormatting sqref="B1:B45 B54:B86 B88:B89 B92:B99 B115:B116 B122:B123 B126:B131 B135:B140 B142:B168 B173:B1048576">
    <cfRule type="duplicateValues" dxfId="0" priority="82"/>
  </conditionalFormatting>
  <conditionalFormatting sqref="J1:K63 J64:J69 J70:K170">
    <cfRule type="duplicateValues" dxfId="1" priority="111"/>
  </conditionalFormatting>
  <conditionalFormatting sqref="B103:B105 B109">
    <cfRule type="duplicateValues" dxfId="0" priority="39"/>
  </conditionalFormatting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1"/>
  <sheetViews>
    <sheetView workbookViewId="0">
      <pane ySplit="3" topLeftCell="A4" activePane="bottomLeft" state="frozen"/>
      <selection/>
      <selection pane="bottomLeft" activeCell="B4" sqref="B4"/>
    </sheetView>
  </sheetViews>
  <sheetFormatPr defaultColWidth="9" defaultRowHeight="14"/>
  <cols>
    <col min="1" max="1" width="14.6272727272727" customWidth="1"/>
    <col min="2" max="2" width="17.1272727272727" style="1" customWidth="1"/>
    <col min="3" max="5" width="10.6272727272727" customWidth="1"/>
    <col min="6" max="6" width="10.6272727272727" style="2" customWidth="1"/>
    <col min="7" max="8" width="13.1272727272727" customWidth="1"/>
    <col min="9" max="9" width="34.1272727272727" style="3" customWidth="1"/>
    <col min="10" max="12" width="13.1363636363636" style="4" customWidth="1"/>
  </cols>
  <sheetData>
    <row r="1" ht="30" customHeight="1" spans="1:12">
      <c r="A1" s="5" t="s">
        <v>0</v>
      </c>
      <c r="B1" s="76"/>
      <c r="C1" s="77"/>
      <c r="D1" s="77"/>
      <c r="E1" s="78"/>
      <c r="F1" s="78"/>
      <c r="G1" s="78"/>
      <c r="H1" s="78"/>
      <c r="I1" s="114"/>
      <c r="J1" s="78"/>
      <c r="K1" s="78"/>
      <c r="L1" s="115"/>
    </row>
    <row r="2" ht="30" customHeight="1" spans="1:12">
      <c r="A2" s="6" t="s">
        <v>64</v>
      </c>
      <c r="B2" s="76"/>
      <c r="C2" s="6"/>
      <c r="D2" s="6"/>
      <c r="E2" s="79"/>
      <c r="F2" s="79"/>
      <c r="G2" s="79"/>
      <c r="H2" s="79"/>
      <c r="I2" s="116"/>
      <c r="J2" s="79"/>
      <c r="K2" s="79"/>
      <c r="L2" s="117"/>
    </row>
    <row r="3" ht="30" customHeight="1" spans="1:12">
      <c r="A3" s="80" t="s">
        <v>2</v>
      </c>
      <c r="B3" s="81" t="s">
        <v>3</v>
      </c>
      <c r="C3" s="82" t="s">
        <v>4</v>
      </c>
      <c r="D3" s="82" t="s">
        <v>5</v>
      </c>
      <c r="E3" s="83" t="s">
        <v>6</v>
      </c>
      <c r="F3" s="83" t="s">
        <v>7</v>
      </c>
      <c r="G3" s="84" t="s">
        <v>8</v>
      </c>
      <c r="H3" s="83" t="s">
        <v>9</v>
      </c>
      <c r="I3" s="118" t="s">
        <v>10</v>
      </c>
      <c r="J3" s="83" t="s">
        <v>11</v>
      </c>
      <c r="K3" s="83" t="s">
        <v>12</v>
      </c>
      <c r="L3" s="119" t="s">
        <v>13</v>
      </c>
    </row>
    <row r="4" ht="20" customHeight="1" spans="1:12">
      <c r="A4" s="17"/>
      <c r="B4" s="85" t="s">
        <v>65</v>
      </c>
      <c r="C4" s="86"/>
      <c r="D4" s="87"/>
      <c r="E4" s="88"/>
      <c r="F4" s="89"/>
      <c r="G4" s="88">
        <f>E4*F4</f>
        <v>0</v>
      </c>
      <c r="H4" s="90">
        <v>292418.05</v>
      </c>
      <c r="I4" s="120" t="s">
        <v>66</v>
      </c>
      <c r="J4" s="121">
        <f t="shared" ref="J4:J67" si="0">G4+H4</f>
        <v>292418.05</v>
      </c>
      <c r="K4" s="99"/>
      <c r="L4" s="122">
        <f>J4-K4</f>
        <v>292418.05</v>
      </c>
    </row>
    <row r="5" ht="20" customHeight="1" spans="1:12">
      <c r="A5" s="17"/>
      <c r="B5" s="91">
        <v>240223000028</v>
      </c>
      <c r="C5" s="86"/>
      <c r="D5" s="92">
        <v>7</v>
      </c>
      <c r="E5" s="93">
        <v>44</v>
      </c>
      <c r="F5" s="89">
        <v>336.5</v>
      </c>
      <c r="G5" s="93">
        <f t="shared" ref="G4:G68" si="1">E5*F5</f>
        <v>14806</v>
      </c>
      <c r="H5" s="94"/>
      <c r="I5" s="123"/>
      <c r="J5" s="121">
        <f t="shared" si="0"/>
        <v>14806</v>
      </c>
      <c r="K5" s="99"/>
      <c r="L5" s="122">
        <f>L4+J5-K5</f>
        <v>307224.05</v>
      </c>
    </row>
    <row r="6" ht="20" customHeight="1" spans="1:12">
      <c r="A6" s="17"/>
      <c r="B6" s="91">
        <v>240301000026</v>
      </c>
      <c r="C6" s="86"/>
      <c r="D6" s="87">
        <v>8</v>
      </c>
      <c r="E6" s="88">
        <v>44</v>
      </c>
      <c r="F6" s="89">
        <v>390.5</v>
      </c>
      <c r="G6" s="88">
        <f t="shared" si="1"/>
        <v>17182</v>
      </c>
      <c r="H6" s="90"/>
      <c r="I6" s="120"/>
      <c r="J6" s="124">
        <f t="shared" si="0"/>
        <v>17182</v>
      </c>
      <c r="K6" s="99"/>
      <c r="L6" s="122">
        <f>L5+J6-K6</f>
        <v>324406.05</v>
      </c>
    </row>
    <row r="7" ht="20" customHeight="1" spans="1:12">
      <c r="A7" s="95">
        <v>45354</v>
      </c>
      <c r="B7" s="91" t="s">
        <v>67</v>
      </c>
      <c r="C7" s="86"/>
      <c r="D7" s="87"/>
      <c r="E7" s="88"/>
      <c r="F7" s="89"/>
      <c r="G7" s="88">
        <f t="shared" si="1"/>
        <v>0</v>
      </c>
      <c r="H7" s="90"/>
      <c r="I7" s="120" t="s">
        <v>62</v>
      </c>
      <c r="J7" s="124">
        <f t="shared" si="0"/>
        <v>0</v>
      </c>
      <c r="K7" s="99">
        <v>78000</v>
      </c>
      <c r="L7" s="122">
        <f>L6+J7-K7</f>
        <v>246406.05</v>
      </c>
    </row>
    <row r="8" ht="20" customHeight="1" spans="1:12">
      <c r="A8" s="95">
        <v>45367</v>
      </c>
      <c r="B8" s="91" t="s">
        <v>67</v>
      </c>
      <c r="C8" s="86"/>
      <c r="D8" s="87"/>
      <c r="E8" s="88"/>
      <c r="F8" s="89"/>
      <c r="G8" s="88">
        <f t="shared" si="1"/>
        <v>0</v>
      </c>
      <c r="H8" s="90"/>
      <c r="I8" s="120" t="s">
        <v>62</v>
      </c>
      <c r="J8" s="124">
        <f t="shared" si="0"/>
        <v>0</v>
      </c>
      <c r="K8" s="99">
        <v>40000</v>
      </c>
      <c r="L8" s="122">
        <f t="shared" ref="L8:L39" si="2">L7+J8-K8</f>
        <v>206406.05</v>
      </c>
    </row>
    <row r="9" ht="20" customHeight="1" spans="1:12">
      <c r="A9" s="95">
        <v>45368</v>
      </c>
      <c r="B9" s="91" t="s">
        <v>67</v>
      </c>
      <c r="C9" s="96"/>
      <c r="D9" s="97"/>
      <c r="E9" s="88"/>
      <c r="F9" s="98"/>
      <c r="G9" s="99">
        <f t="shared" si="1"/>
        <v>0</v>
      </c>
      <c r="H9" s="94"/>
      <c r="I9" s="120" t="s">
        <v>62</v>
      </c>
      <c r="J9" s="121">
        <f t="shared" si="0"/>
        <v>0</v>
      </c>
      <c r="K9" s="99">
        <v>46000</v>
      </c>
      <c r="L9" s="122">
        <f t="shared" si="2"/>
        <v>160406.05</v>
      </c>
    </row>
    <row r="10" ht="20" customHeight="1" spans="1:12">
      <c r="A10" s="100"/>
      <c r="B10" s="91">
        <v>240301000038</v>
      </c>
      <c r="C10" s="96"/>
      <c r="D10" s="97">
        <v>11</v>
      </c>
      <c r="E10" s="88">
        <v>44</v>
      </c>
      <c r="F10" s="99">
        <v>429</v>
      </c>
      <c r="G10" s="99">
        <f t="shared" si="1"/>
        <v>18876</v>
      </c>
      <c r="H10" s="94"/>
      <c r="I10" s="123"/>
      <c r="J10" s="121">
        <f t="shared" si="0"/>
        <v>18876</v>
      </c>
      <c r="K10" s="99"/>
      <c r="L10" s="122">
        <f t="shared" si="2"/>
        <v>179282.05</v>
      </c>
    </row>
    <row r="11" ht="20" customHeight="1" spans="1:12">
      <c r="A11" s="100"/>
      <c r="B11" s="91">
        <v>240307000019</v>
      </c>
      <c r="C11" s="96"/>
      <c r="D11" s="97">
        <v>19</v>
      </c>
      <c r="E11" s="88">
        <v>44</v>
      </c>
      <c r="F11" s="99">
        <v>934.5</v>
      </c>
      <c r="G11" s="99">
        <f t="shared" si="1"/>
        <v>41118</v>
      </c>
      <c r="H11" s="94"/>
      <c r="I11" s="125"/>
      <c r="J11" s="121">
        <f t="shared" si="0"/>
        <v>41118</v>
      </c>
      <c r="K11" s="99"/>
      <c r="L11" s="122">
        <f t="shared" si="2"/>
        <v>220400.05</v>
      </c>
    </row>
    <row r="12" ht="20" customHeight="1" spans="1:12">
      <c r="A12" s="100"/>
      <c r="B12" s="91">
        <v>240309000002</v>
      </c>
      <c r="C12" s="96"/>
      <c r="D12" s="97">
        <v>14</v>
      </c>
      <c r="E12" s="88">
        <v>44</v>
      </c>
      <c r="F12" s="99">
        <v>569</v>
      </c>
      <c r="G12" s="99">
        <f t="shared" si="1"/>
        <v>25036</v>
      </c>
      <c r="H12" s="94"/>
      <c r="I12" s="125"/>
      <c r="J12" s="121">
        <f t="shared" si="0"/>
        <v>25036</v>
      </c>
      <c r="K12" s="99"/>
      <c r="L12" s="122">
        <f t="shared" si="2"/>
        <v>245436.05</v>
      </c>
    </row>
    <row r="13" ht="20" customHeight="1" spans="1:12">
      <c r="A13" s="100"/>
      <c r="B13" s="91">
        <v>240312000034</v>
      </c>
      <c r="C13" s="96"/>
      <c r="D13" s="97">
        <v>12</v>
      </c>
      <c r="E13" s="99">
        <v>45</v>
      </c>
      <c r="F13" s="99">
        <v>577.5</v>
      </c>
      <c r="G13" s="99">
        <f t="shared" si="1"/>
        <v>25987.5</v>
      </c>
      <c r="H13" s="94"/>
      <c r="I13" s="125"/>
      <c r="J13" s="121">
        <f t="shared" si="0"/>
        <v>25987.5</v>
      </c>
      <c r="K13" s="99"/>
      <c r="L13" s="122">
        <f t="shared" si="2"/>
        <v>271423.55</v>
      </c>
    </row>
    <row r="14" ht="20" customHeight="1" spans="1:12">
      <c r="A14" s="100"/>
      <c r="B14" s="91">
        <v>240315000047</v>
      </c>
      <c r="C14" s="96"/>
      <c r="D14" s="97">
        <v>8</v>
      </c>
      <c r="E14" s="99">
        <v>45</v>
      </c>
      <c r="F14" s="99">
        <v>493.5</v>
      </c>
      <c r="G14" s="99">
        <f t="shared" si="1"/>
        <v>22207.5</v>
      </c>
      <c r="H14" s="94"/>
      <c r="I14" s="125"/>
      <c r="J14" s="121">
        <f t="shared" si="0"/>
        <v>22207.5</v>
      </c>
      <c r="K14" s="99"/>
      <c r="L14" s="122">
        <f t="shared" si="2"/>
        <v>293631.05</v>
      </c>
    </row>
    <row r="15" ht="20" customHeight="1" spans="1:12">
      <c r="A15" s="100"/>
      <c r="B15" s="91">
        <v>240319000036</v>
      </c>
      <c r="C15" s="101"/>
      <c r="D15" s="102">
        <v>15</v>
      </c>
      <c r="E15" s="103">
        <v>46</v>
      </c>
      <c r="F15" s="103">
        <v>609.5</v>
      </c>
      <c r="G15" s="103">
        <f t="shared" si="1"/>
        <v>28037</v>
      </c>
      <c r="H15" s="104"/>
      <c r="I15" s="126"/>
      <c r="J15" s="127">
        <f t="shared" si="0"/>
        <v>28037</v>
      </c>
      <c r="K15" s="103"/>
      <c r="L15" s="122">
        <f t="shared" si="2"/>
        <v>321668.05</v>
      </c>
    </row>
    <row r="16" ht="20" customHeight="1" spans="1:12">
      <c r="A16" s="100"/>
      <c r="B16" s="91">
        <v>240322000033</v>
      </c>
      <c r="C16" s="101"/>
      <c r="D16" s="102">
        <v>10</v>
      </c>
      <c r="E16" s="103">
        <v>46</v>
      </c>
      <c r="F16" s="103">
        <v>472.5</v>
      </c>
      <c r="G16" s="103">
        <f t="shared" si="1"/>
        <v>21735</v>
      </c>
      <c r="H16" s="104"/>
      <c r="I16" s="126"/>
      <c r="J16" s="127">
        <f t="shared" si="0"/>
        <v>21735</v>
      </c>
      <c r="K16" s="103"/>
      <c r="L16" s="122">
        <f t="shared" si="2"/>
        <v>343403.05</v>
      </c>
    </row>
    <row r="17" ht="20" customHeight="1" spans="1:12">
      <c r="A17" s="100"/>
      <c r="B17" s="91">
        <v>240327000014</v>
      </c>
      <c r="C17" s="96"/>
      <c r="D17" s="97">
        <v>23</v>
      </c>
      <c r="E17" s="99">
        <v>46</v>
      </c>
      <c r="F17" s="99">
        <v>964.5</v>
      </c>
      <c r="G17" s="99">
        <f t="shared" si="1"/>
        <v>44367</v>
      </c>
      <c r="H17" s="94"/>
      <c r="I17" s="125"/>
      <c r="J17" s="121">
        <f t="shared" si="0"/>
        <v>44367</v>
      </c>
      <c r="K17" s="99"/>
      <c r="L17" s="122">
        <f t="shared" si="2"/>
        <v>387770.05</v>
      </c>
    </row>
    <row r="18" ht="20" customHeight="1" spans="1:12">
      <c r="A18" s="100"/>
      <c r="B18" s="91">
        <v>240330000004</v>
      </c>
      <c r="C18" s="96"/>
      <c r="D18" s="97">
        <v>13</v>
      </c>
      <c r="E18" s="99">
        <v>46</v>
      </c>
      <c r="F18" s="99">
        <v>488.5</v>
      </c>
      <c r="G18" s="99">
        <f t="shared" si="1"/>
        <v>22471</v>
      </c>
      <c r="H18" s="94"/>
      <c r="I18" s="125"/>
      <c r="J18" s="121">
        <f t="shared" si="0"/>
        <v>22471</v>
      </c>
      <c r="K18" s="99"/>
      <c r="L18" s="122">
        <f t="shared" si="2"/>
        <v>410241.05</v>
      </c>
    </row>
    <row r="19" ht="20" customHeight="1" spans="1:12">
      <c r="A19" s="17"/>
      <c r="B19" s="91">
        <v>240404000014</v>
      </c>
      <c r="C19" s="96"/>
      <c r="D19" s="97">
        <v>18</v>
      </c>
      <c r="E19" s="99">
        <v>46</v>
      </c>
      <c r="F19" s="99">
        <v>740.5</v>
      </c>
      <c r="G19" s="99">
        <f t="shared" si="1"/>
        <v>34063</v>
      </c>
      <c r="H19" s="94"/>
      <c r="I19" s="128"/>
      <c r="J19" s="121">
        <f t="shared" si="0"/>
        <v>34063</v>
      </c>
      <c r="K19" s="99"/>
      <c r="L19" s="122">
        <f t="shared" si="2"/>
        <v>444304.05</v>
      </c>
    </row>
    <row r="20" ht="20" customHeight="1" spans="1:12">
      <c r="A20" s="95">
        <v>45402</v>
      </c>
      <c r="B20" s="91" t="s">
        <v>67</v>
      </c>
      <c r="C20" s="96"/>
      <c r="D20" s="97"/>
      <c r="E20" s="99"/>
      <c r="F20" s="99"/>
      <c r="G20" s="99">
        <f t="shared" si="1"/>
        <v>0</v>
      </c>
      <c r="H20" s="94"/>
      <c r="I20" s="128" t="s">
        <v>68</v>
      </c>
      <c r="J20" s="121">
        <f t="shared" si="0"/>
        <v>0</v>
      </c>
      <c r="K20" s="99">
        <v>10000</v>
      </c>
      <c r="L20" s="122">
        <f t="shared" si="2"/>
        <v>434304.05</v>
      </c>
    </row>
    <row r="21" ht="20" customHeight="1" spans="1:12">
      <c r="A21" s="95">
        <v>45404</v>
      </c>
      <c r="B21" s="91" t="s">
        <v>67</v>
      </c>
      <c r="C21" s="96"/>
      <c r="D21" s="97"/>
      <c r="E21" s="99"/>
      <c r="F21" s="99"/>
      <c r="G21" s="99">
        <f t="shared" si="1"/>
        <v>0</v>
      </c>
      <c r="H21" s="94"/>
      <c r="I21" s="128" t="s">
        <v>68</v>
      </c>
      <c r="J21" s="121">
        <f t="shared" si="0"/>
        <v>0</v>
      </c>
      <c r="K21" s="99">
        <v>78000</v>
      </c>
      <c r="L21" s="122">
        <f t="shared" si="2"/>
        <v>356304.05</v>
      </c>
    </row>
    <row r="22" ht="20" customHeight="1" spans="1:12">
      <c r="A22" s="100"/>
      <c r="B22" s="105">
        <v>240410000001</v>
      </c>
      <c r="C22" s="96"/>
      <c r="D22" s="97">
        <v>21</v>
      </c>
      <c r="E22" s="99">
        <v>49.5</v>
      </c>
      <c r="F22" s="98">
        <v>975</v>
      </c>
      <c r="G22" s="99">
        <f t="shared" si="1"/>
        <v>48262.5</v>
      </c>
      <c r="H22" s="94"/>
      <c r="I22" s="125"/>
      <c r="J22" s="121">
        <f t="shared" si="0"/>
        <v>48262.5</v>
      </c>
      <c r="K22" s="99"/>
      <c r="L22" s="122">
        <f t="shared" si="2"/>
        <v>404566.55</v>
      </c>
    </row>
    <row r="23" ht="20" customHeight="1" spans="1:12">
      <c r="A23" s="100"/>
      <c r="B23" s="105">
        <v>240412000040</v>
      </c>
      <c r="C23" s="96"/>
      <c r="D23" s="97">
        <v>20</v>
      </c>
      <c r="E23" s="99">
        <v>49.5</v>
      </c>
      <c r="F23" s="98">
        <v>809</v>
      </c>
      <c r="G23" s="99">
        <f t="shared" si="1"/>
        <v>40045.5</v>
      </c>
      <c r="H23" s="94"/>
      <c r="I23" s="125"/>
      <c r="J23" s="121">
        <f t="shared" si="0"/>
        <v>40045.5</v>
      </c>
      <c r="K23" s="99"/>
      <c r="L23" s="122">
        <f t="shared" si="2"/>
        <v>444612.05</v>
      </c>
    </row>
    <row r="24" ht="20" customHeight="1" spans="1:12">
      <c r="A24" s="100"/>
      <c r="B24" s="105">
        <v>240418000003</v>
      </c>
      <c r="C24" s="96"/>
      <c r="D24" s="97">
        <v>16</v>
      </c>
      <c r="E24" s="99">
        <v>49.5</v>
      </c>
      <c r="F24" s="98">
        <v>777</v>
      </c>
      <c r="G24" s="99">
        <f t="shared" si="1"/>
        <v>38461.5</v>
      </c>
      <c r="H24" s="94"/>
      <c r="I24" s="125"/>
      <c r="J24" s="121">
        <f t="shared" si="0"/>
        <v>38461.5</v>
      </c>
      <c r="K24" s="99"/>
      <c r="L24" s="122">
        <f t="shared" si="2"/>
        <v>483073.55</v>
      </c>
    </row>
    <row r="25" ht="20" customHeight="1" spans="1:12">
      <c r="A25" s="100"/>
      <c r="B25" s="91">
        <v>240421000002</v>
      </c>
      <c r="C25" s="96"/>
      <c r="D25" s="97">
        <v>23</v>
      </c>
      <c r="E25" s="99">
        <v>49.5</v>
      </c>
      <c r="F25" s="99">
        <v>1079.5</v>
      </c>
      <c r="G25" s="99">
        <f t="shared" si="1"/>
        <v>53435.25</v>
      </c>
      <c r="H25" s="94"/>
      <c r="I25" s="125"/>
      <c r="J25" s="121">
        <f t="shared" si="0"/>
        <v>53435.25</v>
      </c>
      <c r="K25" s="99"/>
      <c r="L25" s="122">
        <f t="shared" si="2"/>
        <v>536508.8</v>
      </c>
    </row>
    <row r="26" ht="20" customHeight="1" spans="1:12">
      <c r="A26" s="100"/>
      <c r="B26" s="105">
        <v>240424000014</v>
      </c>
      <c r="C26" s="96"/>
      <c r="D26" s="97">
        <v>18</v>
      </c>
      <c r="E26" s="99">
        <v>49.5</v>
      </c>
      <c r="F26" s="99">
        <v>854.5</v>
      </c>
      <c r="G26" s="99">
        <f t="shared" si="1"/>
        <v>42297.75</v>
      </c>
      <c r="H26" s="94"/>
      <c r="I26" s="125"/>
      <c r="J26" s="121">
        <f t="shared" si="0"/>
        <v>42297.75</v>
      </c>
      <c r="K26" s="99"/>
      <c r="L26" s="122">
        <f t="shared" si="2"/>
        <v>578806.55</v>
      </c>
    </row>
    <row r="27" ht="20" customHeight="1" spans="1:12">
      <c r="A27" s="95">
        <v>45410</v>
      </c>
      <c r="B27" s="91" t="s">
        <v>67</v>
      </c>
      <c r="C27" s="96"/>
      <c r="D27" s="97"/>
      <c r="E27" s="99"/>
      <c r="F27" s="99"/>
      <c r="G27" s="99">
        <f t="shared" si="1"/>
        <v>0</v>
      </c>
      <c r="H27" s="94"/>
      <c r="I27" s="125" t="s">
        <v>68</v>
      </c>
      <c r="J27" s="121">
        <f t="shared" si="0"/>
        <v>0</v>
      </c>
      <c r="K27" s="99">
        <v>100000</v>
      </c>
      <c r="L27" s="122">
        <f t="shared" si="2"/>
        <v>478806.55</v>
      </c>
    </row>
    <row r="28" ht="20" customHeight="1" spans="1:12">
      <c r="A28" s="95">
        <v>45411</v>
      </c>
      <c r="B28" s="91" t="s">
        <v>67</v>
      </c>
      <c r="C28" s="96"/>
      <c r="D28" s="97"/>
      <c r="E28" s="99"/>
      <c r="F28" s="99"/>
      <c r="G28" s="99">
        <f t="shared" si="1"/>
        <v>0</v>
      </c>
      <c r="H28" s="94"/>
      <c r="I28" s="125" t="s">
        <v>68</v>
      </c>
      <c r="J28" s="121">
        <f t="shared" si="0"/>
        <v>0</v>
      </c>
      <c r="K28" s="99">
        <v>50000</v>
      </c>
      <c r="L28" s="122">
        <f t="shared" si="2"/>
        <v>428806.55</v>
      </c>
    </row>
    <row r="29" ht="20" customHeight="1" spans="1:12">
      <c r="A29" s="95">
        <v>45411</v>
      </c>
      <c r="B29" s="91" t="s">
        <v>67</v>
      </c>
      <c r="C29" s="96"/>
      <c r="D29" s="97"/>
      <c r="E29" s="99"/>
      <c r="F29" s="99"/>
      <c r="G29" s="99">
        <f t="shared" si="1"/>
        <v>0</v>
      </c>
      <c r="H29" s="94"/>
      <c r="I29" s="125" t="s">
        <v>68</v>
      </c>
      <c r="J29" s="121">
        <f t="shared" si="0"/>
        <v>0</v>
      </c>
      <c r="K29" s="99">
        <v>20000</v>
      </c>
      <c r="L29" s="122">
        <f t="shared" si="2"/>
        <v>408806.55</v>
      </c>
    </row>
    <row r="30" ht="20" customHeight="1" spans="1:12">
      <c r="A30" s="95">
        <v>45411</v>
      </c>
      <c r="B30" s="91" t="s">
        <v>67</v>
      </c>
      <c r="C30" s="96"/>
      <c r="D30" s="97"/>
      <c r="E30" s="99"/>
      <c r="F30" s="99"/>
      <c r="G30" s="99">
        <f t="shared" si="1"/>
        <v>0</v>
      </c>
      <c r="H30" s="94"/>
      <c r="I30" s="125" t="s">
        <v>68</v>
      </c>
      <c r="J30" s="121">
        <f t="shared" si="0"/>
        <v>0</v>
      </c>
      <c r="K30" s="99">
        <v>30000</v>
      </c>
      <c r="L30" s="122">
        <f t="shared" si="2"/>
        <v>378806.55</v>
      </c>
    </row>
    <row r="31" ht="20" customHeight="1" spans="1:12">
      <c r="A31" s="100"/>
      <c r="B31" s="105">
        <v>240427000003</v>
      </c>
      <c r="C31" s="96"/>
      <c r="D31" s="97">
        <v>20</v>
      </c>
      <c r="E31" s="99">
        <v>49.5</v>
      </c>
      <c r="F31" s="99">
        <v>797</v>
      </c>
      <c r="G31" s="99">
        <f t="shared" si="1"/>
        <v>39451.5</v>
      </c>
      <c r="H31" s="94"/>
      <c r="I31" s="125"/>
      <c r="J31" s="121">
        <f t="shared" si="0"/>
        <v>39451.5</v>
      </c>
      <c r="K31" s="99"/>
      <c r="L31" s="122">
        <f t="shared" si="2"/>
        <v>418258.05</v>
      </c>
    </row>
    <row r="32" ht="20" customHeight="1" spans="1:12">
      <c r="A32" s="100"/>
      <c r="B32" s="105">
        <v>240501000008</v>
      </c>
      <c r="C32" s="96"/>
      <c r="D32" s="97">
        <v>15</v>
      </c>
      <c r="E32" s="99">
        <v>50.5</v>
      </c>
      <c r="F32" s="99">
        <v>681.5</v>
      </c>
      <c r="G32" s="99">
        <f t="shared" si="1"/>
        <v>34415.75</v>
      </c>
      <c r="H32" s="94"/>
      <c r="I32" s="125"/>
      <c r="J32" s="121">
        <f t="shared" si="0"/>
        <v>34415.75</v>
      </c>
      <c r="K32" s="99"/>
      <c r="L32" s="122">
        <f t="shared" si="2"/>
        <v>452673.8</v>
      </c>
    </row>
    <row r="33" ht="20" customHeight="1" spans="1:12">
      <c r="A33" s="95">
        <v>45427</v>
      </c>
      <c r="B33" s="105" t="s">
        <v>67</v>
      </c>
      <c r="C33" s="96"/>
      <c r="D33" s="97"/>
      <c r="E33" s="99"/>
      <c r="F33" s="99"/>
      <c r="G33" s="99">
        <f t="shared" si="1"/>
        <v>0</v>
      </c>
      <c r="H33" s="94"/>
      <c r="I33" s="125" t="s">
        <v>68</v>
      </c>
      <c r="J33" s="121">
        <f t="shared" si="0"/>
        <v>0</v>
      </c>
      <c r="K33" s="99">
        <v>100000</v>
      </c>
      <c r="L33" s="122">
        <f t="shared" si="2"/>
        <v>352673.8</v>
      </c>
    </row>
    <row r="34" ht="20" customHeight="1" spans="1:12">
      <c r="A34" s="106"/>
      <c r="B34" s="105">
        <v>240507000051</v>
      </c>
      <c r="C34" s="107"/>
      <c r="D34" s="108">
        <v>16</v>
      </c>
      <c r="E34" s="109">
        <v>50.5</v>
      </c>
      <c r="F34" s="109">
        <v>695.5</v>
      </c>
      <c r="G34" s="109">
        <f t="shared" si="1"/>
        <v>35122.75</v>
      </c>
      <c r="H34" s="110"/>
      <c r="I34" s="129"/>
      <c r="J34" s="130">
        <f t="shared" si="0"/>
        <v>35122.75</v>
      </c>
      <c r="K34" s="109"/>
      <c r="L34" s="122">
        <f t="shared" si="2"/>
        <v>387796.55</v>
      </c>
    </row>
    <row r="35" ht="20" customHeight="1" spans="1:12">
      <c r="A35" s="100"/>
      <c r="B35" s="105">
        <v>240507000052</v>
      </c>
      <c r="C35" s="96"/>
      <c r="D35" s="97">
        <v>12</v>
      </c>
      <c r="E35" s="99">
        <v>50.5</v>
      </c>
      <c r="F35" s="99">
        <v>567</v>
      </c>
      <c r="G35" s="99">
        <f t="shared" si="1"/>
        <v>28633.5</v>
      </c>
      <c r="H35" s="94"/>
      <c r="I35" s="125"/>
      <c r="J35" s="121">
        <f t="shared" si="0"/>
        <v>28633.5</v>
      </c>
      <c r="K35" s="99"/>
      <c r="L35" s="122">
        <f t="shared" si="2"/>
        <v>416430.05</v>
      </c>
    </row>
    <row r="36" ht="20" customHeight="1" spans="1:12">
      <c r="A36" s="100"/>
      <c r="B36" s="105">
        <v>240510000040</v>
      </c>
      <c r="C36" s="96"/>
      <c r="D36" s="97">
        <v>17</v>
      </c>
      <c r="E36" s="99">
        <v>50.5</v>
      </c>
      <c r="F36" s="99">
        <v>767.5</v>
      </c>
      <c r="G36" s="99">
        <f t="shared" si="1"/>
        <v>38758.75</v>
      </c>
      <c r="H36" s="94"/>
      <c r="I36" s="125"/>
      <c r="J36" s="121">
        <f t="shared" si="0"/>
        <v>38758.75</v>
      </c>
      <c r="K36" s="99"/>
      <c r="L36" s="122">
        <f t="shared" si="2"/>
        <v>455188.8</v>
      </c>
    </row>
    <row r="37" ht="20" customHeight="1" spans="1:12">
      <c r="A37" s="100"/>
      <c r="B37" s="105">
        <v>240514000060</v>
      </c>
      <c r="C37" s="96"/>
      <c r="D37" s="97">
        <v>12</v>
      </c>
      <c r="E37" s="99">
        <v>50.5</v>
      </c>
      <c r="F37" s="99">
        <v>514.5</v>
      </c>
      <c r="G37" s="99">
        <f t="shared" si="1"/>
        <v>25982.25</v>
      </c>
      <c r="H37" s="94"/>
      <c r="I37" s="125"/>
      <c r="J37" s="121">
        <f t="shared" si="0"/>
        <v>25982.25</v>
      </c>
      <c r="K37" s="99"/>
      <c r="L37" s="122">
        <f t="shared" si="2"/>
        <v>481171.05</v>
      </c>
    </row>
    <row r="38" ht="20" customHeight="1" spans="1:12">
      <c r="A38" s="100"/>
      <c r="B38" s="105">
        <v>240518000011</v>
      </c>
      <c r="C38" s="96"/>
      <c r="D38" s="97">
        <v>11</v>
      </c>
      <c r="E38" s="99">
        <v>50.5</v>
      </c>
      <c r="F38" s="99">
        <v>456</v>
      </c>
      <c r="G38" s="99">
        <f t="shared" si="1"/>
        <v>23028</v>
      </c>
      <c r="H38" s="94"/>
      <c r="I38" s="125"/>
      <c r="J38" s="121">
        <f t="shared" si="0"/>
        <v>23028</v>
      </c>
      <c r="K38" s="99"/>
      <c r="L38" s="122">
        <f t="shared" si="2"/>
        <v>504199.05</v>
      </c>
    </row>
    <row r="39" ht="20" customHeight="1" spans="1:12">
      <c r="A39" s="100"/>
      <c r="B39" s="105">
        <v>240521000048</v>
      </c>
      <c r="C39" s="96"/>
      <c r="D39" s="97">
        <v>13</v>
      </c>
      <c r="E39" s="99">
        <v>50.5</v>
      </c>
      <c r="F39" s="99">
        <v>554</v>
      </c>
      <c r="G39" s="99">
        <f t="shared" si="1"/>
        <v>27977</v>
      </c>
      <c r="H39" s="94"/>
      <c r="I39" s="125"/>
      <c r="J39" s="121">
        <f t="shared" si="0"/>
        <v>27977</v>
      </c>
      <c r="K39" s="99"/>
      <c r="L39" s="122">
        <f t="shared" si="2"/>
        <v>532176.05</v>
      </c>
    </row>
    <row r="40" ht="20" customHeight="1" spans="1:12">
      <c r="A40" s="95">
        <v>45447</v>
      </c>
      <c r="B40" s="105" t="s">
        <v>67</v>
      </c>
      <c r="C40" s="96"/>
      <c r="D40" s="97"/>
      <c r="E40" s="99"/>
      <c r="F40" s="99"/>
      <c r="G40" s="99">
        <f t="shared" si="1"/>
        <v>0</v>
      </c>
      <c r="H40" s="94"/>
      <c r="I40" s="125" t="s">
        <v>68</v>
      </c>
      <c r="J40" s="121">
        <f t="shared" si="0"/>
        <v>0</v>
      </c>
      <c r="K40" s="99">
        <v>100000</v>
      </c>
      <c r="L40" s="122">
        <f t="shared" ref="L40:L71" si="3">L39+J40-K40</f>
        <v>432176.05</v>
      </c>
    </row>
    <row r="41" ht="20" customHeight="1" spans="1:12">
      <c r="A41" s="95">
        <v>45447</v>
      </c>
      <c r="B41" s="105" t="s">
        <v>67</v>
      </c>
      <c r="C41" s="96"/>
      <c r="D41" s="97"/>
      <c r="E41" s="99"/>
      <c r="F41" s="99"/>
      <c r="G41" s="99">
        <f t="shared" si="1"/>
        <v>0</v>
      </c>
      <c r="H41" s="94"/>
      <c r="I41" s="125" t="s">
        <v>68</v>
      </c>
      <c r="J41" s="121">
        <f t="shared" si="0"/>
        <v>0</v>
      </c>
      <c r="K41" s="99">
        <v>50000</v>
      </c>
      <c r="L41" s="122">
        <f t="shared" si="3"/>
        <v>382176.05</v>
      </c>
    </row>
    <row r="42" ht="20" customHeight="1" spans="1:12">
      <c r="A42" s="95">
        <v>45447</v>
      </c>
      <c r="B42" s="105" t="s">
        <v>67</v>
      </c>
      <c r="C42" s="96"/>
      <c r="D42" s="97"/>
      <c r="E42" s="99"/>
      <c r="F42" s="99"/>
      <c r="G42" s="99">
        <f t="shared" si="1"/>
        <v>0</v>
      </c>
      <c r="H42" s="94"/>
      <c r="I42" s="125" t="s">
        <v>68</v>
      </c>
      <c r="J42" s="121">
        <f t="shared" si="0"/>
        <v>0</v>
      </c>
      <c r="K42" s="99">
        <v>10000</v>
      </c>
      <c r="L42" s="122">
        <f t="shared" si="3"/>
        <v>372176.05</v>
      </c>
    </row>
    <row r="43" ht="20" customHeight="1" spans="1:12">
      <c r="A43" s="100"/>
      <c r="B43" s="105">
        <v>240528000048</v>
      </c>
      <c r="C43" s="96"/>
      <c r="D43" s="97">
        <v>12</v>
      </c>
      <c r="E43" s="99">
        <v>50.5</v>
      </c>
      <c r="F43" s="99">
        <v>535</v>
      </c>
      <c r="G43" s="99">
        <f t="shared" si="1"/>
        <v>27017.5</v>
      </c>
      <c r="H43" s="94"/>
      <c r="I43" s="125"/>
      <c r="J43" s="121">
        <f t="shared" si="0"/>
        <v>27017.5</v>
      </c>
      <c r="K43" s="99"/>
      <c r="L43" s="122">
        <f t="shared" si="3"/>
        <v>399193.55</v>
      </c>
    </row>
    <row r="44" ht="20" customHeight="1" spans="1:12">
      <c r="A44" s="100"/>
      <c r="B44" s="105">
        <v>240528000047</v>
      </c>
      <c r="C44" s="96"/>
      <c r="D44" s="97">
        <v>16</v>
      </c>
      <c r="E44" s="99">
        <v>50.5</v>
      </c>
      <c r="F44" s="99">
        <v>645.5</v>
      </c>
      <c r="G44" s="99">
        <f t="shared" si="1"/>
        <v>32597.75</v>
      </c>
      <c r="H44" s="94"/>
      <c r="I44" s="125"/>
      <c r="J44" s="121">
        <f t="shared" si="0"/>
        <v>32597.75</v>
      </c>
      <c r="K44" s="99"/>
      <c r="L44" s="122">
        <f t="shared" si="3"/>
        <v>431791.3</v>
      </c>
    </row>
    <row r="45" ht="20" customHeight="1" spans="1:12">
      <c r="A45" s="100"/>
      <c r="B45" s="105">
        <v>240531000051</v>
      </c>
      <c r="C45" s="96"/>
      <c r="D45" s="97">
        <v>11</v>
      </c>
      <c r="E45" s="99">
        <v>50.5</v>
      </c>
      <c r="F45" s="99">
        <v>516.5</v>
      </c>
      <c r="G45" s="99">
        <f t="shared" si="1"/>
        <v>26083.25</v>
      </c>
      <c r="H45" s="94"/>
      <c r="I45" s="125"/>
      <c r="J45" s="121">
        <f t="shared" si="0"/>
        <v>26083.25</v>
      </c>
      <c r="K45" s="99"/>
      <c r="L45" s="122">
        <f t="shared" si="3"/>
        <v>457874.55</v>
      </c>
    </row>
    <row r="46" ht="20" customHeight="1" spans="1:12">
      <c r="A46" s="111">
        <v>45460</v>
      </c>
      <c r="B46" s="105" t="s">
        <v>67</v>
      </c>
      <c r="C46" s="96"/>
      <c r="D46" s="97"/>
      <c r="E46" s="99"/>
      <c r="F46" s="99"/>
      <c r="G46" s="99">
        <f t="shared" si="1"/>
        <v>0</v>
      </c>
      <c r="H46" s="94"/>
      <c r="I46" s="125" t="s">
        <v>68</v>
      </c>
      <c r="J46" s="121">
        <f t="shared" si="0"/>
        <v>0</v>
      </c>
      <c r="K46" s="99">
        <v>200000</v>
      </c>
      <c r="L46" s="122">
        <f t="shared" si="3"/>
        <v>257874.55</v>
      </c>
    </row>
    <row r="47" ht="20" customHeight="1" spans="1:12">
      <c r="A47" s="17"/>
      <c r="B47" s="112">
        <v>240612000010</v>
      </c>
      <c r="C47" s="96"/>
      <c r="D47" s="97">
        <v>14</v>
      </c>
      <c r="E47" s="99">
        <v>52</v>
      </c>
      <c r="F47" s="99">
        <v>676.5</v>
      </c>
      <c r="G47" s="99">
        <f t="shared" si="1"/>
        <v>35178</v>
      </c>
      <c r="H47" s="94"/>
      <c r="I47" s="94"/>
      <c r="J47" s="121">
        <f t="shared" si="0"/>
        <v>35178</v>
      </c>
      <c r="K47" s="99"/>
      <c r="L47" s="122">
        <f t="shared" si="3"/>
        <v>293052.55</v>
      </c>
    </row>
    <row r="48" ht="20" customHeight="1" spans="1:12">
      <c r="A48" s="17"/>
      <c r="B48" s="112">
        <v>240607000056</v>
      </c>
      <c r="C48" s="96"/>
      <c r="D48" s="97">
        <v>14</v>
      </c>
      <c r="E48" s="99">
        <v>52</v>
      </c>
      <c r="F48" s="99">
        <v>717</v>
      </c>
      <c r="G48" s="99">
        <f t="shared" si="1"/>
        <v>37284</v>
      </c>
      <c r="H48" s="94"/>
      <c r="I48" s="94"/>
      <c r="J48" s="121">
        <f t="shared" si="0"/>
        <v>37284</v>
      </c>
      <c r="K48" s="99"/>
      <c r="L48" s="122">
        <f t="shared" si="3"/>
        <v>330336.55</v>
      </c>
    </row>
    <row r="49" ht="20" customHeight="1" spans="1:12">
      <c r="A49" s="17"/>
      <c r="B49" s="112">
        <v>240604000037</v>
      </c>
      <c r="C49" s="96"/>
      <c r="D49" s="97">
        <v>16</v>
      </c>
      <c r="E49" s="99">
        <v>52</v>
      </c>
      <c r="F49" s="99">
        <v>626</v>
      </c>
      <c r="G49" s="99">
        <f t="shared" si="1"/>
        <v>32552</v>
      </c>
      <c r="H49" s="94"/>
      <c r="I49" s="94"/>
      <c r="J49" s="121">
        <f t="shared" si="0"/>
        <v>32552</v>
      </c>
      <c r="K49" s="99"/>
      <c r="L49" s="122">
        <f t="shared" si="3"/>
        <v>362888.55</v>
      </c>
    </row>
    <row r="50" ht="20" customHeight="1" spans="1:12">
      <c r="A50" s="111">
        <v>45465</v>
      </c>
      <c r="B50" s="105" t="s">
        <v>67</v>
      </c>
      <c r="C50" s="96"/>
      <c r="D50" s="97"/>
      <c r="E50" s="99"/>
      <c r="F50" s="99"/>
      <c r="G50" s="99">
        <f t="shared" si="1"/>
        <v>0</v>
      </c>
      <c r="H50" s="94"/>
      <c r="I50" s="94" t="s">
        <v>68</v>
      </c>
      <c r="J50" s="121">
        <f t="shared" si="0"/>
        <v>0</v>
      </c>
      <c r="K50" s="99">
        <v>10000</v>
      </c>
      <c r="L50" s="122">
        <f t="shared" si="3"/>
        <v>352888.55</v>
      </c>
    </row>
    <row r="51" ht="20" customHeight="1" spans="1:12">
      <c r="A51" s="111">
        <v>45458</v>
      </c>
      <c r="B51" s="105" t="s">
        <v>67</v>
      </c>
      <c r="C51" s="96"/>
      <c r="D51" s="97"/>
      <c r="E51" s="99"/>
      <c r="F51" s="99"/>
      <c r="G51" s="99">
        <f t="shared" si="1"/>
        <v>0</v>
      </c>
      <c r="H51" s="94"/>
      <c r="I51" s="94" t="s">
        <v>68</v>
      </c>
      <c r="J51" s="121">
        <f t="shared" si="0"/>
        <v>0</v>
      </c>
      <c r="K51" s="99">
        <v>2000</v>
      </c>
      <c r="L51" s="122">
        <f t="shared" si="3"/>
        <v>350888.55</v>
      </c>
    </row>
    <row r="52" ht="20" customHeight="1" spans="1:12">
      <c r="A52" s="111">
        <v>45474</v>
      </c>
      <c r="B52" s="105" t="s">
        <v>67</v>
      </c>
      <c r="C52" s="96"/>
      <c r="D52" s="97"/>
      <c r="E52" s="99"/>
      <c r="F52" s="99"/>
      <c r="G52" s="99">
        <f t="shared" si="1"/>
        <v>0</v>
      </c>
      <c r="H52" s="94"/>
      <c r="I52" s="94" t="s">
        <v>68</v>
      </c>
      <c r="J52" s="121">
        <f t="shared" si="0"/>
        <v>0</v>
      </c>
      <c r="K52" s="99">
        <v>100000</v>
      </c>
      <c r="L52" s="122">
        <f t="shared" si="3"/>
        <v>250888.55</v>
      </c>
    </row>
    <row r="53" ht="20" customHeight="1" spans="1:12">
      <c r="A53" s="111">
        <v>45481</v>
      </c>
      <c r="B53" s="105" t="s">
        <v>67</v>
      </c>
      <c r="C53" s="96"/>
      <c r="D53" s="97"/>
      <c r="E53" s="99"/>
      <c r="F53" s="99"/>
      <c r="G53" s="99">
        <f t="shared" si="1"/>
        <v>0</v>
      </c>
      <c r="H53" s="94"/>
      <c r="I53" s="94" t="s">
        <v>68</v>
      </c>
      <c r="J53" s="121">
        <f t="shared" si="0"/>
        <v>0</v>
      </c>
      <c r="K53" s="99">
        <v>100000</v>
      </c>
      <c r="L53" s="122">
        <f t="shared" si="3"/>
        <v>150888.55</v>
      </c>
    </row>
    <row r="54" ht="20" customHeight="1" spans="1:12">
      <c r="A54" s="100"/>
      <c r="B54" s="105">
        <v>240618000048</v>
      </c>
      <c r="C54" s="96"/>
      <c r="D54" s="97">
        <v>12</v>
      </c>
      <c r="E54" s="99">
        <v>52</v>
      </c>
      <c r="F54" s="113">
        <v>591</v>
      </c>
      <c r="G54" s="99">
        <f t="shared" si="1"/>
        <v>30732</v>
      </c>
      <c r="H54" s="94"/>
      <c r="I54" s="94"/>
      <c r="J54" s="121">
        <f t="shared" si="0"/>
        <v>30732</v>
      </c>
      <c r="K54" s="99"/>
      <c r="L54" s="122">
        <f t="shared" si="3"/>
        <v>181620.55</v>
      </c>
    </row>
    <row r="55" ht="20" customHeight="1" spans="1:12">
      <c r="A55" s="100"/>
      <c r="B55" s="105">
        <v>240618000049</v>
      </c>
      <c r="C55" s="96"/>
      <c r="D55" s="97">
        <v>14</v>
      </c>
      <c r="E55" s="99">
        <v>52</v>
      </c>
      <c r="F55" s="113">
        <v>628</v>
      </c>
      <c r="G55" s="99">
        <f t="shared" si="1"/>
        <v>32656</v>
      </c>
      <c r="H55" s="94"/>
      <c r="I55" s="94"/>
      <c r="J55" s="121">
        <f t="shared" si="0"/>
        <v>32656</v>
      </c>
      <c r="K55" s="99"/>
      <c r="L55" s="122">
        <f t="shared" si="3"/>
        <v>214276.55</v>
      </c>
    </row>
    <row r="56" ht="20" customHeight="1" spans="1:12">
      <c r="A56" s="100"/>
      <c r="B56" s="105">
        <v>240624000033</v>
      </c>
      <c r="C56" s="96"/>
      <c r="D56" s="97">
        <v>10</v>
      </c>
      <c r="E56" s="99">
        <v>52</v>
      </c>
      <c r="F56" s="113">
        <v>404</v>
      </c>
      <c r="G56" s="99">
        <f t="shared" si="1"/>
        <v>21008</v>
      </c>
      <c r="H56" s="94"/>
      <c r="I56" s="94"/>
      <c r="J56" s="121">
        <f t="shared" si="0"/>
        <v>21008</v>
      </c>
      <c r="K56" s="99"/>
      <c r="L56" s="122">
        <f t="shared" si="3"/>
        <v>235284.55</v>
      </c>
    </row>
    <row r="57" ht="20" customHeight="1" spans="1:12">
      <c r="A57" s="100"/>
      <c r="B57" s="105">
        <v>240625000040</v>
      </c>
      <c r="C57" s="96"/>
      <c r="D57" s="97">
        <v>16</v>
      </c>
      <c r="E57" s="99">
        <v>52</v>
      </c>
      <c r="F57" s="113">
        <v>747.5</v>
      </c>
      <c r="G57" s="99">
        <f t="shared" si="1"/>
        <v>38870</v>
      </c>
      <c r="H57" s="94"/>
      <c r="I57" s="94"/>
      <c r="J57" s="121">
        <f t="shared" si="0"/>
        <v>38870</v>
      </c>
      <c r="K57" s="99"/>
      <c r="L57" s="122">
        <f t="shared" si="3"/>
        <v>274154.55</v>
      </c>
    </row>
    <row r="58" ht="20" customHeight="1" spans="1:12">
      <c r="A58" s="100"/>
      <c r="B58" s="105">
        <v>240628000027</v>
      </c>
      <c r="C58" s="96"/>
      <c r="D58" s="97">
        <v>12</v>
      </c>
      <c r="E58" s="99">
        <v>52</v>
      </c>
      <c r="F58" s="113">
        <v>524</v>
      </c>
      <c r="G58" s="99">
        <f t="shared" si="1"/>
        <v>27248</v>
      </c>
      <c r="H58" s="94"/>
      <c r="I58" s="94"/>
      <c r="J58" s="121">
        <f t="shared" si="0"/>
        <v>27248</v>
      </c>
      <c r="K58" s="99"/>
      <c r="L58" s="122">
        <f t="shared" si="3"/>
        <v>301402.55</v>
      </c>
    </row>
    <row r="59" ht="20" customHeight="1" spans="1:12">
      <c r="A59" s="100"/>
      <c r="B59" s="105">
        <v>240702000034</v>
      </c>
      <c r="C59" s="96"/>
      <c r="D59" s="97">
        <v>12</v>
      </c>
      <c r="E59" s="99">
        <v>52</v>
      </c>
      <c r="F59" s="113">
        <v>561</v>
      </c>
      <c r="G59" s="99">
        <f t="shared" si="1"/>
        <v>29172</v>
      </c>
      <c r="H59" s="94"/>
      <c r="I59" s="94"/>
      <c r="J59" s="121">
        <f t="shared" si="0"/>
        <v>29172</v>
      </c>
      <c r="K59" s="99"/>
      <c r="L59" s="122">
        <f t="shared" si="3"/>
        <v>330574.55</v>
      </c>
    </row>
    <row r="60" ht="20" customHeight="1" spans="1:12">
      <c r="A60" s="100"/>
      <c r="B60" s="105">
        <v>240705000048</v>
      </c>
      <c r="C60" s="96"/>
      <c r="D60" s="97">
        <v>15</v>
      </c>
      <c r="E60" s="99">
        <v>52</v>
      </c>
      <c r="F60" s="99">
        <v>725.5</v>
      </c>
      <c r="G60" s="99">
        <f t="shared" si="1"/>
        <v>37726</v>
      </c>
      <c r="H60" s="94"/>
      <c r="I60" s="94"/>
      <c r="J60" s="121">
        <f t="shared" si="0"/>
        <v>37726</v>
      </c>
      <c r="K60" s="94"/>
      <c r="L60" s="122">
        <f t="shared" si="3"/>
        <v>368300.55</v>
      </c>
    </row>
    <row r="61" ht="20" customHeight="1" spans="1:12">
      <c r="A61" s="100"/>
      <c r="B61" s="105">
        <v>240709000042</v>
      </c>
      <c r="C61" s="96"/>
      <c r="D61" s="97">
        <v>8</v>
      </c>
      <c r="E61" s="99">
        <v>52</v>
      </c>
      <c r="F61" s="99">
        <v>494</v>
      </c>
      <c r="G61" s="99">
        <f t="shared" si="1"/>
        <v>25688</v>
      </c>
      <c r="H61" s="94"/>
      <c r="I61" s="94"/>
      <c r="J61" s="121">
        <f t="shared" si="0"/>
        <v>25688</v>
      </c>
      <c r="K61" s="94"/>
      <c r="L61" s="122">
        <f t="shared" si="3"/>
        <v>393988.55</v>
      </c>
    </row>
    <row r="62" ht="20" customHeight="1" spans="1:12">
      <c r="A62" s="100"/>
      <c r="B62" s="105">
        <v>240716000028</v>
      </c>
      <c r="C62" s="96"/>
      <c r="D62" s="97">
        <v>27</v>
      </c>
      <c r="E62" s="99">
        <v>52</v>
      </c>
      <c r="F62" s="113">
        <v>1198</v>
      </c>
      <c r="G62" s="99">
        <f t="shared" si="1"/>
        <v>62296</v>
      </c>
      <c r="H62" s="94"/>
      <c r="I62" s="94"/>
      <c r="J62" s="121">
        <f t="shared" si="0"/>
        <v>62296</v>
      </c>
      <c r="K62" s="99"/>
      <c r="L62" s="122">
        <f t="shared" si="3"/>
        <v>456284.55</v>
      </c>
    </row>
    <row r="63" ht="20" customHeight="1" spans="1:12">
      <c r="A63" s="100"/>
      <c r="B63" s="105">
        <v>240720000017</v>
      </c>
      <c r="C63" s="96"/>
      <c r="D63" s="97">
        <v>10</v>
      </c>
      <c r="E63" s="99">
        <v>52</v>
      </c>
      <c r="F63" s="113">
        <v>408.5</v>
      </c>
      <c r="G63" s="99">
        <f t="shared" si="1"/>
        <v>21242</v>
      </c>
      <c r="H63" s="94"/>
      <c r="I63" s="94"/>
      <c r="J63" s="121">
        <f t="shared" si="0"/>
        <v>21242</v>
      </c>
      <c r="K63" s="99"/>
      <c r="L63" s="122">
        <f t="shared" si="3"/>
        <v>477526.55</v>
      </c>
    </row>
    <row r="64" ht="20" customHeight="1" spans="1:12">
      <c r="A64" s="100"/>
      <c r="B64" s="105">
        <v>240723000063</v>
      </c>
      <c r="C64" s="96"/>
      <c r="D64" s="97">
        <v>17</v>
      </c>
      <c r="E64" s="99">
        <v>52</v>
      </c>
      <c r="F64" s="99">
        <v>650.5</v>
      </c>
      <c r="G64" s="99">
        <f t="shared" si="1"/>
        <v>33826</v>
      </c>
      <c r="H64" s="94"/>
      <c r="I64" s="94"/>
      <c r="J64" s="121">
        <f t="shared" si="0"/>
        <v>33826</v>
      </c>
      <c r="K64" s="94"/>
      <c r="L64" s="122">
        <f t="shared" si="3"/>
        <v>511352.55</v>
      </c>
    </row>
    <row r="65" ht="20" customHeight="1" spans="1:12">
      <c r="A65" s="100"/>
      <c r="B65" s="105">
        <v>240726000057</v>
      </c>
      <c r="C65" s="96"/>
      <c r="D65" s="97">
        <v>12</v>
      </c>
      <c r="E65" s="99">
        <v>52</v>
      </c>
      <c r="F65" s="99">
        <v>551</v>
      </c>
      <c r="G65" s="99">
        <f t="shared" si="1"/>
        <v>28652</v>
      </c>
      <c r="H65" s="94"/>
      <c r="I65" s="94"/>
      <c r="J65" s="121">
        <f t="shared" si="0"/>
        <v>28652</v>
      </c>
      <c r="K65" s="94"/>
      <c r="L65" s="122">
        <f t="shared" si="3"/>
        <v>540004.55</v>
      </c>
    </row>
    <row r="66" ht="20" customHeight="1" spans="1:12">
      <c r="A66" s="111">
        <v>45502</v>
      </c>
      <c r="B66" s="105" t="s">
        <v>67</v>
      </c>
      <c r="C66" s="96"/>
      <c r="D66" s="97"/>
      <c r="E66" s="99"/>
      <c r="F66" s="99"/>
      <c r="G66" s="99">
        <f t="shared" si="1"/>
        <v>0</v>
      </c>
      <c r="H66" s="94"/>
      <c r="I66" s="141" t="s">
        <v>69</v>
      </c>
      <c r="J66" s="121">
        <f t="shared" si="0"/>
        <v>0</v>
      </c>
      <c r="K66" s="94">
        <v>100000</v>
      </c>
      <c r="L66" s="122">
        <f t="shared" si="3"/>
        <v>440004.55</v>
      </c>
    </row>
    <row r="67" ht="20" customHeight="1" spans="1:12">
      <c r="A67" s="100"/>
      <c r="B67" s="131">
        <v>240731000023</v>
      </c>
      <c r="C67" s="96"/>
      <c r="D67" s="97">
        <v>13</v>
      </c>
      <c r="E67" s="99">
        <v>52</v>
      </c>
      <c r="F67" s="99">
        <v>633</v>
      </c>
      <c r="G67" s="99">
        <f t="shared" si="1"/>
        <v>32916</v>
      </c>
      <c r="H67" s="94"/>
      <c r="I67" s="94"/>
      <c r="J67" s="121">
        <f t="shared" si="0"/>
        <v>32916</v>
      </c>
      <c r="K67" s="94"/>
      <c r="L67" s="122">
        <f t="shared" si="3"/>
        <v>472920.55</v>
      </c>
    </row>
    <row r="68" ht="20" customHeight="1" spans="1:12">
      <c r="A68" s="100"/>
      <c r="B68" s="105">
        <v>240806000023</v>
      </c>
      <c r="C68" s="96"/>
      <c r="D68" s="97">
        <v>13</v>
      </c>
      <c r="E68" s="99">
        <v>52</v>
      </c>
      <c r="F68" s="99">
        <v>622.5</v>
      </c>
      <c r="G68" s="99">
        <f t="shared" si="1"/>
        <v>32370</v>
      </c>
      <c r="H68" s="94"/>
      <c r="I68" s="94"/>
      <c r="J68" s="121">
        <f t="shared" ref="J68:J99" si="4">G68+H68</f>
        <v>32370</v>
      </c>
      <c r="K68" s="94"/>
      <c r="L68" s="122">
        <f t="shared" si="3"/>
        <v>505290.55</v>
      </c>
    </row>
    <row r="69" ht="20" customHeight="1" spans="1:12">
      <c r="A69" s="100"/>
      <c r="B69" s="105">
        <v>240806000036</v>
      </c>
      <c r="C69" s="96"/>
      <c r="D69" s="97">
        <v>10</v>
      </c>
      <c r="E69" s="99">
        <v>52</v>
      </c>
      <c r="F69" s="99">
        <v>477</v>
      </c>
      <c r="G69" s="99">
        <f t="shared" ref="G69:G99" si="5">E69*F69</f>
        <v>24804</v>
      </c>
      <c r="H69" s="94"/>
      <c r="I69" s="94"/>
      <c r="J69" s="121">
        <f t="shared" si="4"/>
        <v>24804</v>
      </c>
      <c r="K69" s="94"/>
      <c r="L69" s="122">
        <f t="shared" si="3"/>
        <v>530094.55</v>
      </c>
    </row>
    <row r="70" ht="20" customHeight="1" spans="1:12">
      <c r="A70" s="95"/>
      <c r="B70" s="132">
        <v>240813000023</v>
      </c>
      <c r="C70" s="97"/>
      <c r="D70" s="97">
        <v>13</v>
      </c>
      <c r="E70" s="99">
        <v>52</v>
      </c>
      <c r="F70" s="113">
        <v>474</v>
      </c>
      <c r="G70" s="99">
        <f t="shared" si="5"/>
        <v>24648</v>
      </c>
      <c r="H70" s="94"/>
      <c r="I70" s="94"/>
      <c r="J70" s="121">
        <f t="shared" si="4"/>
        <v>24648</v>
      </c>
      <c r="K70" s="99"/>
      <c r="L70" s="122">
        <f t="shared" si="3"/>
        <v>554742.55</v>
      </c>
    </row>
    <row r="71" ht="20" customHeight="1" spans="1:12">
      <c r="A71" s="95"/>
      <c r="B71" s="132">
        <v>240813000024</v>
      </c>
      <c r="C71" s="97"/>
      <c r="D71" s="97">
        <v>10</v>
      </c>
      <c r="E71" s="99">
        <v>52</v>
      </c>
      <c r="F71" s="113">
        <v>477</v>
      </c>
      <c r="G71" s="99">
        <f t="shared" si="5"/>
        <v>24804</v>
      </c>
      <c r="H71" s="94"/>
      <c r="I71" s="94"/>
      <c r="J71" s="121">
        <f t="shared" si="4"/>
        <v>24804</v>
      </c>
      <c r="K71" s="99"/>
      <c r="L71" s="122">
        <f t="shared" si="3"/>
        <v>579546.55</v>
      </c>
    </row>
    <row r="72" ht="20" customHeight="1" spans="1:12">
      <c r="A72" s="133"/>
      <c r="B72" s="132">
        <v>240819000036</v>
      </c>
      <c r="C72" s="97"/>
      <c r="D72" s="97">
        <v>11</v>
      </c>
      <c r="E72" s="99">
        <v>52</v>
      </c>
      <c r="F72" s="113">
        <v>477.5</v>
      </c>
      <c r="G72" s="99">
        <f t="shared" si="5"/>
        <v>24830</v>
      </c>
      <c r="H72" s="94"/>
      <c r="I72" s="94"/>
      <c r="J72" s="121">
        <f t="shared" si="4"/>
        <v>24830</v>
      </c>
      <c r="K72" s="99"/>
      <c r="L72" s="122">
        <f t="shared" ref="L72:L103" si="6">L71+J72-K72</f>
        <v>604376.55</v>
      </c>
    </row>
    <row r="73" ht="20" customHeight="1" spans="1:12">
      <c r="A73" s="17"/>
      <c r="B73" s="132">
        <v>240821000001</v>
      </c>
      <c r="C73" s="97"/>
      <c r="D73" s="97">
        <v>13</v>
      </c>
      <c r="E73" s="99">
        <v>52</v>
      </c>
      <c r="F73" s="113">
        <v>565</v>
      </c>
      <c r="G73" s="99">
        <f t="shared" si="5"/>
        <v>29380</v>
      </c>
      <c r="H73" s="94"/>
      <c r="I73" s="94"/>
      <c r="J73" s="121">
        <f t="shared" si="4"/>
        <v>29380</v>
      </c>
      <c r="K73" s="99"/>
      <c r="L73" s="122">
        <f t="shared" si="6"/>
        <v>633756.55</v>
      </c>
    </row>
    <row r="74" ht="20" customHeight="1" spans="1:12">
      <c r="A74" s="17"/>
      <c r="B74" s="132">
        <v>240823000054</v>
      </c>
      <c r="C74" s="97"/>
      <c r="D74" s="97">
        <v>19</v>
      </c>
      <c r="E74" s="99">
        <v>52</v>
      </c>
      <c r="F74" s="113">
        <v>961.5</v>
      </c>
      <c r="G74" s="99">
        <f t="shared" si="5"/>
        <v>49998</v>
      </c>
      <c r="H74" s="94"/>
      <c r="I74" s="94"/>
      <c r="J74" s="121">
        <f t="shared" si="4"/>
        <v>49998</v>
      </c>
      <c r="K74" s="99"/>
      <c r="L74" s="122">
        <f t="shared" si="6"/>
        <v>683754.55</v>
      </c>
    </row>
    <row r="75" ht="20" customHeight="1" spans="1:12">
      <c r="A75" s="95"/>
      <c r="B75" s="132">
        <v>240828000051</v>
      </c>
      <c r="C75" s="97"/>
      <c r="D75" s="97">
        <v>11</v>
      </c>
      <c r="E75" s="99">
        <v>52</v>
      </c>
      <c r="F75" s="113">
        <v>481</v>
      </c>
      <c r="G75" s="99">
        <f t="shared" si="5"/>
        <v>25012</v>
      </c>
      <c r="H75" s="94"/>
      <c r="I75" s="94"/>
      <c r="J75" s="121">
        <f t="shared" si="4"/>
        <v>25012</v>
      </c>
      <c r="K75" s="99"/>
      <c r="L75" s="122">
        <f t="shared" si="6"/>
        <v>708766.55</v>
      </c>
    </row>
    <row r="76" ht="20" customHeight="1" spans="1:12">
      <c r="A76" s="95"/>
      <c r="B76" s="105">
        <v>240831000025</v>
      </c>
      <c r="C76" s="97"/>
      <c r="D76" s="97">
        <v>10</v>
      </c>
      <c r="E76" s="99">
        <v>54</v>
      </c>
      <c r="F76" s="99">
        <v>482.5</v>
      </c>
      <c r="G76" s="99">
        <f t="shared" si="5"/>
        <v>26055</v>
      </c>
      <c r="H76" s="94"/>
      <c r="I76" s="94"/>
      <c r="J76" s="121">
        <f t="shared" si="4"/>
        <v>26055</v>
      </c>
      <c r="K76" s="99"/>
      <c r="L76" s="122">
        <f t="shared" si="6"/>
        <v>734821.55</v>
      </c>
    </row>
    <row r="77" ht="20" customHeight="1" spans="1:12">
      <c r="A77" s="111">
        <v>45542</v>
      </c>
      <c r="B77" s="105" t="s">
        <v>67</v>
      </c>
      <c r="C77" s="97"/>
      <c r="D77" s="97"/>
      <c r="E77" s="99"/>
      <c r="F77" s="99"/>
      <c r="G77" s="99">
        <f t="shared" si="5"/>
        <v>0</v>
      </c>
      <c r="H77" s="94"/>
      <c r="I77" s="94"/>
      <c r="J77" s="121">
        <f t="shared" si="4"/>
        <v>0</v>
      </c>
      <c r="K77" s="99">
        <v>100000</v>
      </c>
      <c r="L77" s="122">
        <f t="shared" si="6"/>
        <v>634821.55</v>
      </c>
    </row>
    <row r="78" ht="20" customHeight="1" spans="1:12">
      <c r="A78" s="111">
        <v>45542</v>
      </c>
      <c r="B78" s="105" t="s">
        <v>67</v>
      </c>
      <c r="C78" s="97"/>
      <c r="D78" s="97"/>
      <c r="E78" s="99"/>
      <c r="F78" s="99"/>
      <c r="G78" s="99">
        <f t="shared" si="5"/>
        <v>0</v>
      </c>
      <c r="H78" s="94"/>
      <c r="I78" s="94"/>
      <c r="J78" s="121">
        <f t="shared" si="4"/>
        <v>0</v>
      </c>
      <c r="K78" s="99">
        <v>100000</v>
      </c>
      <c r="L78" s="122">
        <f t="shared" si="6"/>
        <v>534821.55</v>
      </c>
    </row>
    <row r="79" ht="20" customHeight="1" spans="1:12">
      <c r="A79" s="111">
        <v>45523</v>
      </c>
      <c r="B79" s="105" t="s">
        <v>67</v>
      </c>
      <c r="C79" s="97"/>
      <c r="D79" s="97"/>
      <c r="E79" s="99"/>
      <c r="F79" s="99"/>
      <c r="G79" s="99">
        <f t="shared" si="5"/>
        <v>0</v>
      </c>
      <c r="H79" s="94"/>
      <c r="I79" s="141" t="s">
        <v>59</v>
      </c>
      <c r="J79" s="121">
        <f t="shared" si="4"/>
        <v>0</v>
      </c>
      <c r="K79" s="99">
        <v>44330</v>
      </c>
      <c r="L79" s="122">
        <f t="shared" si="6"/>
        <v>490491.55</v>
      </c>
    </row>
    <row r="80" ht="20" customHeight="1" spans="1:12">
      <c r="A80" s="111">
        <v>45523</v>
      </c>
      <c r="B80" s="105" t="s">
        <v>67</v>
      </c>
      <c r="C80" s="97"/>
      <c r="D80" s="97"/>
      <c r="E80" s="99"/>
      <c r="F80" s="99"/>
      <c r="G80" s="99">
        <f t="shared" si="5"/>
        <v>0</v>
      </c>
      <c r="H80" s="94"/>
      <c r="I80" s="141" t="s">
        <v>59</v>
      </c>
      <c r="J80" s="121">
        <f t="shared" si="4"/>
        <v>0</v>
      </c>
      <c r="K80" s="99">
        <v>55670</v>
      </c>
      <c r="L80" s="122">
        <f t="shared" si="6"/>
        <v>434821.55</v>
      </c>
    </row>
    <row r="81" ht="20" customHeight="1" spans="1:12">
      <c r="A81" s="111">
        <v>45517</v>
      </c>
      <c r="B81" s="105" t="s">
        <v>67</v>
      </c>
      <c r="C81" s="97"/>
      <c r="D81" s="97"/>
      <c r="E81" s="99"/>
      <c r="F81" s="99"/>
      <c r="G81" s="99">
        <f t="shared" si="5"/>
        <v>0</v>
      </c>
      <c r="H81" s="94"/>
      <c r="I81" s="141" t="s">
        <v>59</v>
      </c>
      <c r="J81" s="121">
        <f t="shared" si="4"/>
        <v>0</v>
      </c>
      <c r="K81" s="99">
        <v>15000</v>
      </c>
      <c r="L81" s="122">
        <f t="shared" si="6"/>
        <v>419821.55</v>
      </c>
    </row>
    <row r="82" ht="20" customHeight="1" spans="1:12">
      <c r="A82" s="111">
        <v>45517</v>
      </c>
      <c r="B82" s="105" t="s">
        <v>67</v>
      </c>
      <c r="C82" s="97"/>
      <c r="D82" s="97"/>
      <c r="E82" s="99"/>
      <c r="F82" s="99"/>
      <c r="G82" s="99">
        <f t="shared" si="5"/>
        <v>0</v>
      </c>
      <c r="H82" s="94"/>
      <c r="I82" s="141" t="s">
        <v>59</v>
      </c>
      <c r="J82" s="121">
        <f t="shared" si="4"/>
        <v>0</v>
      </c>
      <c r="K82" s="99">
        <v>50000</v>
      </c>
      <c r="L82" s="122">
        <f t="shared" si="6"/>
        <v>369821.55</v>
      </c>
    </row>
    <row r="83" ht="20" customHeight="1" spans="1:12">
      <c r="A83" s="111">
        <v>45517</v>
      </c>
      <c r="B83" s="105" t="s">
        <v>67</v>
      </c>
      <c r="C83" s="97"/>
      <c r="D83" s="97"/>
      <c r="E83" s="99"/>
      <c r="F83" s="99"/>
      <c r="G83" s="99">
        <f t="shared" si="5"/>
        <v>0</v>
      </c>
      <c r="H83" s="94"/>
      <c r="I83" s="141" t="s">
        <v>59</v>
      </c>
      <c r="J83" s="121">
        <f t="shared" si="4"/>
        <v>0</v>
      </c>
      <c r="K83" s="99">
        <v>35000</v>
      </c>
      <c r="L83" s="122">
        <f t="shared" si="6"/>
        <v>334821.55</v>
      </c>
    </row>
    <row r="84" ht="20" customHeight="1" spans="1:12">
      <c r="A84" s="95"/>
      <c r="B84" s="134">
        <v>240909000021</v>
      </c>
      <c r="C84" s="97"/>
      <c r="D84" s="97">
        <v>16</v>
      </c>
      <c r="E84" s="99">
        <v>54</v>
      </c>
      <c r="F84" s="99">
        <v>774.5</v>
      </c>
      <c r="G84" s="99">
        <f t="shared" si="5"/>
        <v>41823</v>
      </c>
      <c r="H84" s="94"/>
      <c r="I84" s="94"/>
      <c r="J84" s="121">
        <f t="shared" si="4"/>
        <v>41823</v>
      </c>
      <c r="K84" s="99"/>
      <c r="L84" s="122">
        <f t="shared" si="6"/>
        <v>376644.55</v>
      </c>
    </row>
    <row r="85" ht="29" customHeight="1" spans="1:12">
      <c r="A85" s="17"/>
      <c r="B85" s="134">
        <v>240909000022</v>
      </c>
      <c r="C85" s="97"/>
      <c r="D85" s="97">
        <v>13</v>
      </c>
      <c r="E85" s="99">
        <v>54</v>
      </c>
      <c r="F85" s="99">
        <v>546</v>
      </c>
      <c r="G85" s="99">
        <f t="shared" si="5"/>
        <v>29484</v>
      </c>
      <c r="H85" s="94"/>
      <c r="I85" s="142"/>
      <c r="J85" s="121">
        <f t="shared" si="4"/>
        <v>29484</v>
      </c>
      <c r="K85" s="99"/>
      <c r="L85" s="122">
        <f t="shared" si="6"/>
        <v>406128.55</v>
      </c>
    </row>
    <row r="86" ht="20" customHeight="1" spans="1:12">
      <c r="A86" s="17"/>
      <c r="B86" s="134">
        <v>240910000034</v>
      </c>
      <c r="C86" s="97"/>
      <c r="D86" s="97">
        <v>16</v>
      </c>
      <c r="E86" s="99">
        <v>54</v>
      </c>
      <c r="F86" s="99">
        <v>628</v>
      </c>
      <c r="G86" s="99">
        <f t="shared" si="5"/>
        <v>33912</v>
      </c>
      <c r="H86" s="94"/>
      <c r="I86" s="94"/>
      <c r="J86" s="121">
        <f t="shared" si="4"/>
        <v>33912</v>
      </c>
      <c r="K86" s="99"/>
      <c r="L86" s="122">
        <f t="shared" si="6"/>
        <v>440040.55</v>
      </c>
    </row>
    <row r="87" ht="20" customHeight="1" spans="1:12">
      <c r="A87" s="17"/>
      <c r="B87" s="134">
        <v>240918000047</v>
      </c>
      <c r="C87" s="97"/>
      <c r="D87" s="97">
        <v>16</v>
      </c>
      <c r="E87" s="99">
        <v>55.5</v>
      </c>
      <c r="F87" s="99">
        <v>697</v>
      </c>
      <c r="G87" s="99">
        <f t="shared" si="5"/>
        <v>38683.5</v>
      </c>
      <c r="H87" s="94"/>
      <c r="I87" s="94"/>
      <c r="J87" s="121">
        <f t="shared" si="4"/>
        <v>38683.5</v>
      </c>
      <c r="K87" s="99"/>
      <c r="L87" s="122">
        <f t="shared" si="6"/>
        <v>478724.05</v>
      </c>
    </row>
    <row r="88" ht="20" customHeight="1" spans="1:12">
      <c r="A88" s="95"/>
      <c r="B88" s="134">
        <v>240923000036</v>
      </c>
      <c r="C88" s="97"/>
      <c r="D88" s="97">
        <v>11</v>
      </c>
      <c r="E88" s="99">
        <v>55.5</v>
      </c>
      <c r="F88" s="99">
        <v>493</v>
      </c>
      <c r="G88" s="99">
        <f t="shared" si="5"/>
        <v>27361.5</v>
      </c>
      <c r="H88" s="94"/>
      <c r="I88" s="94"/>
      <c r="J88" s="121">
        <f t="shared" si="4"/>
        <v>27361.5</v>
      </c>
      <c r="K88" s="99"/>
      <c r="L88" s="122">
        <f t="shared" si="6"/>
        <v>506085.55</v>
      </c>
    </row>
    <row r="89" ht="20" customHeight="1" spans="1:12">
      <c r="A89" s="111">
        <v>45564</v>
      </c>
      <c r="B89" s="105" t="s">
        <v>67</v>
      </c>
      <c r="C89" s="97"/>
      <c r="D89" s="97"/>
      <c r="E89" s="99"/>
      <c r="F89" s="99"/>
      <c r="G89" s="99">
        <f t="shared" si="5"/>
        <v>0</v>
      </c>
      <c r="H89" s="94"/>
      <c r="I89" s="141" t="s">
        <v>70</v>
      </c>
      <c r="J89" s="121">
        <f t="shared" si="4"/>
        <v>0</v>
      </c>
      <c r="K89" s="99">
        <v>16000</v>
      </c>
      <c r="L89" s="122">
        <f t="shared" si="6"/>
        <v>490085.55</v>
      </c>
    </row>
    <row r="90" ht="20" customHeight="1" spans="1:12">
      <c r="A90" s="111">
        <v>45564</v>
      </c>
      <c r="B90" s="105" t="s">
        <v>67</v>
      </c>
      <c r="C90" s="97"/>
      <c r="D90" s="97"/>
      <c r="E90" s="99"/>
      <c r="F90" s="99"/>
      <c r="G90" s="99">
        <f t="shared" si="5"/>
        <v>0</v>
      </c>
      <c r="H90" s="94"/>
      <c r="I90" s="141" t="s">
        <v>70</v>
      </c>
      <c r="J90" s="121">
        <f t="shared" si="4"/>
        <v>0</v>
      </c>
      <c r="K90" s="99">
        <v>4000</v>
      </c>
      <c r="L90" s="122">
        <f t="shared" si="6"/>
        <v>486085.55</v>
      </c>
    </row>
    <row r="91" ht="20" customHeight="1" spans="1:12">
      <c r="A91" s="111">
        <v>45563</v>
      </c>
      <c r="B91" s="105" t="s">
        <v>67</v>
      </c>
      <c r="C91" s="97"/>
      <c r="D91" s="97"/>
      <c r="E91" s="99"/>
      <c r="F91" s="99"/>
      <c r="G91" s="99">
        <f t="shared" si="5"/>
        <v>0</v>
      </c>
      <c r="H91" s="94"/>
      <c r="I91" s="141" t="s">
        <v>70</v>
      </c>
      <c r="J91" s="121">
        <f t="shared" si="4"/>
        <v>0</v>
      </c>
      <c r="K91" s="99">
        <v>94000</v>
      </c>
      <c r="L91" s="122">
        <f t="shared" si="6"/>
        <v>392085.55</v>
      </c>
    </row>
    <row r="92" ht="20" customHeight="1" spans="1:12">
      <c r="A92" s="111">
        <v>45563</v>
      </c>
      <c r="B92" s="105" t="s">
        <v>67</v>
      </c>
      <c r="C92" s="97"/>
      <c r="D92" s="97"/>
      <c r="E92" s="99"/>
      <c r="F92" s="98"/>
      <c r="G92" s="99">
        <f t="shared" si="5"/>
        <v>0</v>
      </c>
      <c r="H92" s="94"/>
      <c r="I92" s="141" t="s">
        <v>70</v>
      </c>
      <c r="J92" s="121">
        <f t="shared" si="4"/>
        <v>0</v>
      </c>
      <c r="K92" s="99">
        <v>36000</v>
      </c>
      <c r="L92" s="122">
        <f t="shared" si="6"/>
        <v>356085.55</v>
      </c>
    </row>
    <row r="93" ht="20" customHeight="1" spans="1:12">
      <c r="A93" s="111">
        <v>45565</v>
      </c>
      <c r="B93" s="105" t="s">
        <v>67</v>
      </c>
      <c r="C93" s="97"/>
      <c r="D93" s="97"/>
      <c r="E93" s="99"/>
      <c r="F93" s="98"/>
      <c r="G93" s="99">
        <f t="shared" si="5"/>
        <v>0</v>
      </c>
      <c r="H93" s="94"/>
      <c r="I93" s="141" t="s">
        <v>70</v>
      </c>
      <c r="J93" s="121">
        <f t="shared" si="4"/>
        <v>0</v>
      </c>
      <c r="K93" s="99">
        <v>30000</v>
      </c>
      <c r="L93" s="122">
        <f t="shared" si="6"/>
        <v>326085.55</v>
      </c>
    </row>
    <row r="94" ht="20" customHeight="1" spans="1:12">
      <c r="A94" s="111">
        <v>45565</v>
      </c>
      <c r="B94" s="105" t="s">
        <v>67</v>
      </c>
      <c r="C94" s="97"/>
      <c r="D94" s="97"/>
      <c r="E94" s="99"/>
      <c r="F94" s="98"/>
      <c r="G94" s="99">
        <f t="shared" si="5"/>
        <v>0</v>
      </c>
      <c r="H94" s="94"/>
      <c r="I94" s="141" t="s">
        <v>70</v>
      </c>
      <c r="J94" s="121">
        <f t="shared" si="4"/>
        <v>0</v>
      </c>
      <c r="K94" s="99">
        <v>20000</v>
      </c>
      <c r="L94" s="122">
        <f t="shared" si="6"/>
        <v>306085.55</v>
      </c>
    </row>
    <row r="95" ht="20" customHeight="1" spans="1:12">
      <c r="A95" s="111">
        <v>45570</v>
      </c>
      <c r="B95" s="105" t="s">
        <v>67</v>
      </c>
      <c r="C95" s="97"/>
      <c r="D95" s="97"/>
      <c r="E95" s="99"/>
      <c r="F95" s="98"/>
      <c r="G95" s="99">
        <f t="shared" si="5"/>
        <v>0</v>
      </c>
      <c r="H95" s="94"/>
      <c r="I95" s="71" t="s">
        <v>71</v>
      </c>
      <c r="J95" s="121">
        <f t="shared" si="4"/>
        <v>0</v>
      </c>
      <c r="K95" s="99">
        <v>100000</v>
      </c>
      <c r="L95" s="122">
        <f t="shared" si="6"/>
        <v>206085.55</v>
      </c>
    </row>
    <row r="96" ht="20" customHeight="1" spans="1:12">
      <c r="A96" s="95"/>
      <c r="B96" s="135">
        <v>240927000069</v>
      </c>
      <c r="C96" s="97"/>
      <c r="D96" s="136">
        <v>23</v>
      </c>
      <c r="E96" s="99">
        <v>55.5</v>
      </c>
      <c r="F96" s="136">
        <v>942</v>
      </c>
      <c r="G96" s="99">
        <f t="shared" si="5"/>
        <v>52281</v>
      </c>
      <c r="H96" s="94"/>
      <c r="I96" s="94"/>
      <c r="J96" s="121">
        <f t="shared" si="4"/>
        <v>52281</v>
      </c>
      <c r="K96" s="99"/>
      <c r="L96" s="122">
        <f t="shared" si="6"/>
        <v>258366.55</v>
      </c>
    </row>
    <row r="97" ht="20" customHeight="1" spans="1:12">
      <c r="A97" s="95"/>
      <c r="B97" s="135">
        <v>240927000068</v>
      </c>
      <c r="C97" s="97"/>
      <c r="D97" s="136">
        <v>7</v>
      </c>
      <c r="E97" s="99">
        <v>55.5</v>
      </c>
      <c r="F97" s="136">
        <v>317</v>
      </c>
      <c r="G97" s="99">
        <f t="shared" si="5"/>
        <v>17593.5</v>
      </c>
      <c r="H97" s="94"/>
      <c r="I97" s="94"/>
      <c r="J97" s="121">
        <f t="shared" si="4"/>
        <v>17593.5</v>
      </c>
      <c r="K97" s="99"/>
      <c r="L97" s="122">
        <f t="shared" si="6"/>
        <v>275960.05</v>
      </c>
    </row>
    <row r="98" ht="20" customHeight="1" spans="1:12">
      <c r="A98" s="95">
        <v>45575</v>
      </c>
      <c r="B98" s="105" t="s">
        <v>67</v>
      </c>
      <c r="C98" s="97"/>
      <c r="D98" s="97"/>
      <c r="E98" s="99"/>
      <c r="F98" s="98"/>
      <c r="G98" s="99">
        <f t="shared" si="5"/>
        <v>0</v>
      </c>
      <c r="H98" s="94"/>
      <c r="I98" s="141" t="s">
        <v>72</v>
      </c>
      <c r="J98" s="121">
        <f t="shared" si="4"/>
        <v>0</v>
      </c>
      <c r="K98" s="99">
        <v>120000</v>
      </c>
      <c r="L98" s="122">
        <f t="shared" si="6"/>
        <v>155960.05</v>
      </c>
    </row>
    <row r="99" ht="20" customHeight="1" spans="1:12">
      <c r="A99" s="95"/>
      <c r="B99" s="135">
        <v>241008000060</v>
      </c>
      <c r="C99" s="97"/>
      <c r="D99" s="97">
        <v>18</v>
      </c>
      <c r="E99" s="99">
        <v>55.5</v>
      </c>
      <c r="F99" s="99">
        <v>763</v>
      </c>
      <c r="G99" s="99">
        <f t="shared" si="5"/>
        <v>42346.5</v>
      </c>
      <c r="H99" s="94"/>
      <c r="I99" s="94"/>
      <c r="J99" s="121">
        <f t="shared" si="4"/>
        <v>42346.5</v>
      </c>
      <c r="K99" s="99"/>
      <c r="L99" s="122">
        <f t="shared" si="6"/>
        <v>198306.55</v>
      </c>
    </row>
    <row r="100" ht="20" customHeight="1" spans="1:12">
      <c r="A100" s="17"/>
      <c r="B100" s="135">
        <v>241010000015</v>
      </c>
      <c r="C100" s="97"/>
      <c r="D100" s="97">
        <v>5</v>
      </c>
      <c r="E100" s="99">
        <v>55.5</v>
      </c>
      <c r="F100" s="99">
        <v>272</v>
      </c>
      <c r="G100" s="99">
        <f t="shared" ref="G100:G132" si="7">E100*F100</f>
        <v>15096</v>
      </c>
      <c r="H100" s="94"/>
      <c r="I100" s="94"/>
      <c r="J100" s="121">
        <f t="shared" ref="J100:J132" si="8">G100+H100</f>
        <v>15096</v>
      </c>
      <c r="K100" s="99"/>
      <c r="L100" s="122">
        <f t="shared" si="6"/>
        <v>213402.55</v>
      </c>
    </row>
    <row r="101" ht="20" customHeight="1" spans="1:12">
      <c r="A101" s="95"/>
      <c r="B101" s="135">
        <v>241011000057</v>
      </c>
      <c r="C101" s="97"/>
      <c r="D101" s="97">
        <v>11</v>
      </c>
      <c r="E101" s="99">
        <v>55.5</v>
      </c>
      <c r="F101" s="99">
        <v>592.5</v>
      </c>
      <c r="G101" s="99">
        <f t="shared" si="7"/>
        <v>32883.75</v>
      </c>
      <c r="H101" s="94"/>
      <c r="I101" s="94"/>
      <c r="J101" s="121">
        <f t="shared" si="8"/>
        <v>32883.75</v>
      </c>
      <c r="K101" s="99"/>
      <c r="L101" s="122">
        <f t="shared" si="6"/>
        <v>246286.3</v>
      </c>
    </row>
    <row r="102" ht="20" customHeight="1" spans="1:12">
      <c r="A102" s="95"/>
      <c r="B102" s="137">
        <v>241016000015</v>
      </c>
      <c r="C102" s="97"/>
      <c r="D102" s="97">
        <v>17</v>
      </c>
      <c r="E102" s="99">
        <v>55.5</v>
      </c>
      <c r="F102" s="99">
        <v>687</v>
      </c>
      <c r="G102" s="99">
        <f t="shared" si="7"/>
        <v>38128.5</v>
      </c>
      <c r="H102" s="94"/>
      <c r="I102" s="94"/>
      <c r="J102" s="121">
        <f t="shared" si="8"/>
        <v>38128.5</v>
      </c>
      <c r="K102" s="99"/>
      <c r="L102" s="122">
        <f t="shared" si="6"/>
        <v>284414.8</v>
      </c>
    </row>
    <row r="103" ht="20" customHeight="1" spans="1:12">
      <c r="A103" s="95"/>
      <c r="B103" s="137">
        <v>241018000058</v>
      </c>
      <c r="C103" s="97"/>
      <c r="D103" s="97">
        <v>14</v>
      </c>
      <c r="E103" s="99">
        <v>58.5</v>
      </c>
      <c r="F103" s="99">
        <v>654</v>
      </c>
      <c r="G103" s="99">
        <f t="shared" si="7"/>
        <v>38259</v>
      </c>
      <c r="H103" s="94"/>
      <c r="I103" s="94"/>
      <c r="J103" s="121">
        <f t="shared" si="8"/>
        <v>38259</v>
      </c>
      <c r="K103" s="99"/>
      <c r="L103" s="122">
        <f t="shared" si="6"/>
        <v>322673.8</v>
      </c>
    </row>
    <row r="104" ht="20" customHeight="1" spans="1:12">
      <c r="A104" s="95"/>
      <c r="B104" s="137">
        <v>241022000033</v>
      </c>
      <c r="C104" s="97"/>
      <c r="D104" s="97">
        <v>12</v>
      </c>
      <c r="E104" s="99">
        <v>58.5</v>
      </c>
      <c r="F104" s="99">
        <v>524.5</v>
      </c>
      <c r="G104" s="99">
        <f t="shared" si="7"/>
        <v>30683.25</v>
      </c>
      <c r="H104" s="94"/>
      <c r="I104" s="94"/>
      <c r="J104" s="121">
        <f t="shared" si="8"/>
        <v>30683.25</v>
      </c>
      <c r="K104" s="99"/>
      <c r="L104" s="122">
        <f t="shared" ref="L104:L134" si="9">L103+J104-K104</f>
        <v>353357.05</v>
      </c>
    </row>
    <row r="105" ht="20" customHeight="1" spans="1:12">
      <c r="A105" s="95"/>
      <c r="B105" s="137">
        <v>241025000062</v>
      </c>
      <c r="C105" s="97"/>
      <c r="D105" s="97">
        <v>17</v>
      </c>
      <c r="E105" s="99">
        <v>62.5</v>
      </c>
      <c r="F105" s="99">
        <v>654</v>
      </c>
      <c r="G105" s="99">
        <f t="shared" si="7"/>
        <v>40875</v>
      </c>
      <c r="H105" s="94"/>
      <c r="I105" s="94"/>
      <c r="J105" s="121">
        <f t="shared" si="8"/>
        <v>40875</v>
      </c>
      <c r="K105" s="99"/>
      <c r="L105" s="122">
        <f t="shared" si="9"/>
        <v>394232.05</v>
      </c>
    </row>
    <row r="106" ht="20" customHeight="1" spans="1:12">
      <c r="A106" s="95"/>
      <c r="B106" s="137">
        <v>241030000026</v>
      </c>
      <c r="C106" s="97"/>
      <c r="D106" s="97">
        <v>10</v>
      </c>
      <c r="E106" s="99">
        <v>62.5</v>
      </c>
      <c r="F106" s="99">
        <v>485.5</v>
      </c>
      <c r="G106" s="99">
        <f t="shared" si="7"/>
        <v>30343.75</v>
      </c>
      <c r="H106" s="94"/>
      <c r="I106" s="94"/>
      <c r="J106" s="121">
        <f t="shared" si="8"/>
        <v>30343.75</v>
      </c>
      <c r="K106" s="99"/>
      <c r="L106" s="122">
        <f t="shared" si="9"/>
        <v>424575.8</v>
      </c>
    </row>
    <row r="107" ht="20" customHeight="1" spans="1:12">
      <c r="A107" s="95"/>
      <c r="B107" s="137">
        <v>241101000011</v>
      </c>
      <c r="C107" s="97"/>
      <c r="D107" s="97">
        <v>15</v>
      </c>
      <c r="E107" s="99">
        <v>62.5</v>
      </c>
      <c r="F107" s="99">
        <v>570</v>
      </c>
      <c r="G107" s="99">
        <f t="shared" si="7"/>
        <v>35625</v>
      </c>
      <c r="H107" s="94"/>
      <c r="I107" s="94"/>
      <c r="J107" s="121">
        <f t="shared" si="8"/>
        <v>35625</v>
      </c>
      <c r="K107" s="99"/>
      <c r="L107" s="122">
        <f t="shared" si="9"/>
        <v>460200.8</v>
      </c>
    </row>
    <row r="108" ht="20" customHeight="1" spans="1:12">
      <c r="A108" s="95"/>
      <c r="B108" s="137">
        <v>241107000019</v>
      </c>
      <c r="C108" s="97"/>
      <c r="D108" s="97">
        <v>17</v>
      </c>
      <c r="E108" s="99">
        <v>62.5</v>
      </c>
      <c r="F108" s="99">
        <v>768</v>
      </c>
      <c r="G108" s="99">
        <f t="shared" si="7"/>
        <v>48000</v>
      </c>
      <c r="H108" s="94"/>
      <c r="I108" s="94"/>
      <c r="J108" s="121">
        <f t="shared" si="8"/>
        <v>48000</v>
      </c>
      <c r="K108" s="99"/>
      <c r="L108" s="122">
        <f t="shared" si="9"/>
        <v>508200.8</v>
      </c>
    </row>
    <row r="109" ht="20" customHeight="1" spans="1:12">
      <c r="A109" s="95"/>
      <c r="B109" s="91">
        <v>241108000044</v>
      </c>
      <c r="C109" s="97"/>
      <c r="D109" s="97">
        <v>11</v>
      </c>
      <c r="E109" s="99">
        <v>64.5</v>
      </c>
      <c r="F109" s="99">
        <v>536.5</v>
      </c>
      <c r="G109" s="99">
        <f t="shared" si="7"/>
        <v>34604.25</v>
      </c>
      <c r="H109" s="94"/>
      <c r="I109" s="94"/>
      <c r="J109" s="121">
        <f t="shared" si="8"/>
        <v>34604.25</v>
      </c>
      <c r="K109" s="99"/>
      <c r="L109" s="122">
        <f t="shared" si="9"/>
        <v>542805.05</v>
      </c>
    </row>
    <row r="110" ht="20" customHeight="1" spans="1:12">
      <c r="A110" s="95">
        <v>45605</v>
      </c>
      <c r="B110" s="105" t="s">
        <v>67</v>
      </c>
      <c r="C110" s="97"/>
      <c r="D110" s="97"/>
      <c r="E110" s="99"/>
      <c r="F110" s="99"/>
      <c r="G110" s="99">
        <f t="shared" si="7"/>
        <v>0</v>
      </c>
      <c r="H110" s="94"/>
      <c r="I110" s="141" t="s">
        <v>70</v>
      </c>
      <c r="J110" s="121">
        <f t="shared" si="8"/>
        <v>0</v>
      </c>
      <c r="K110" s="99">
        <v>100000</v>
      </c>
      <c r="L110" s="122">
        <f t="shared" si="9"/>
        <v>442805.05</v>
      </c>
    </row>
    <row r="111" ht="20" customHeight="1" spans="1:12">
      <c r="A111" s="95"/>
      <c r="B111" s="91">
        <v>241112000037</v>
      </c>
      <c r="C111" s="97"/>
      <c r="D111" s="97">
        <v>14</v>
      </c>
      <c r="E111" s="99">
        <v>64.5</v>
      </c>
      <c r="F111" s="99">
        <v>536</v>
      </c>
      <c r="G111" s="99">
        <f t="shared" si="7"/>
        <v>34572</v>
      </c>
      <c r="H111" s="94"/>
      <c r="I111" s="94"/>
      <c r="J111" s="121">
        <f t="shared" si="8"/>
        <v>34572</v>
      </c>
      <c r="K111" s="99"/>
      <c r="L111" s="122">
        <f t="shared" si="9"/>
        <v>477377.05</v>
      </c>
    </row>
    <row r="112" ht="20" customHeight="1" spans="1:12">
      <c r="A112" s="95"/>
      <c r="B112" s="91">
        <v>241120000021</v>
      </c>
      <c r="C112" s="97"/>
      <c r="D112" s="97">
        <v>18</v>
      </c>
      <c r="E112" s="99">
        <v>68.5</v>
      </c>
      <c r="F112" s="99">
        <v>662</v>
      </c>
      <c r="G112" s="99">
        <f t="shared" si="7"/>
        <v>45347</v>
      </c>
      <c r="H112" s="94"/>
      <c r="I112" s="94"/>
      <c r="J112" s="121">
        <f t="shared" si="8"/>
        <v>45347</v>
      </c>
      <c r="K112" s="99"/>
      <c r="L112" s="122">
        <f t="shared" si="9"/>
        <v>522724.05</v>
      </c>
    </row>
    <row r="113" ht="20" customHeight="1" spans="1:12">
      <c r="A113" s="95"/>
      <c r="B113" s="138">
        <v>241127000022</v>
      </c>
      <c r="C113" s="97"/>
      <c r="D113" s="97">
        <v>10</v>
      </c>
      <c r="E113" s="99">
        <v>68.5</v>
      </c>
      <c r="F113" s="99">
        <v>831</v>
      </c>
      <c r="G113" s="99">
        <f t="shared" si="7"/>
        <v>56923.5</v>
      </c>
      <c r="H113" s="94"/>
      <c r="I113" s="94"/>
      <c r="J113" s="121">
        <f t="shared" si="8"/>
        <v>56923.5</v>
      </c>
      <c r="K113" s="99"/>
      <c r="L113" s="122">
        <f t="shared" si="9"/>
        <v>579647.55</v>
      </c>
    </row>
    <row r="114" ht="20" customHeight="1" spans="1:12">
      <c r="A114" s="95"/>
      <c r="B114" s="91">
        <v>241202000013</v>
      </c>
      <c r="C114" s="97"/>
      <c r="D114" s="97">
        <v>14</v>
      </c>
      <c r="E114" s="99">
        <v>71.5</v>
      </c>
      <c r="F114" s="99">
        <v>734</v>
      </c>
      <c r="G114" s="99">
        <f t="shared" si="7"/>
        <v>52481</v>
      </c>
      <c r="H114" s="94"/>
      <c r="I114" s="94"/>
      <c r="J114" s="121">
        <f t="shared" si="8"/>
        <v>52481</v>
      </c>
      <c r="K114" s="99"/>
      <c r="L114" s="122">
        <f t="shared" si="9"/>
        <v>632128.55</v>
      </c>
    </row>
    <row r="115" ht="20" customHeight="1" spans="1:12">
      <c r="A115" s="95"/>
      <c r="B115" s="91">
        <v>241206000018</v>
      </c>
      <c r="C115" s="97"/>
      <c r="D115" s="97">
        <v>9</v>
      </c>
      <c r="E115" s="99">
        <v>74.5</v>
      </c>
      <c r="F115" s="99">
        <v>502.5</v>
      </c>
      <c r="G115" s="99">
        <f t="shared" si="7"/>
        <v>37436.25</v>
      </c>
      <c r="H115" s="94"/>
      <c r="I115" s="94"/>
      <c r="J115" s="121">
        <f t="shared" si="8"/>
        <v>37436.25</v>
      </c>
      <c r="K115" s="99"/>
      <c r="L115" s="122">
        <f t="shared" si="9"/>
        <v>669564.8</v>
      </c>
    </row>
    <row r="116" ht="20" customHeight="1" spans="1:12">
      <c r="A116" s="139"/>
      <c r="B116" s="91">
        <v>241206000057</v>
      </c>
      <c r="C116" s="97"/>
      <c r="D116" s="97">
        <v>19</v>
      </c>
      <c r="E116" s="99">
        <v>74.5</v>
      </c>
      <c r="F116" s="99">
        <v>631</v>
      </c>
      <c r="G116" s="99">
        <f t="shared" si="7"/>
        <v>47009.5</v>
      </c>
      <c r="H116" s="94"/>
      <c r="I116" s="141"/>
      <c r="J116" s="121">
        <f t="shared" si="8"/>
        <v>47009.5</v>
      </c>
      <c r="K116" s="99"/>
      <c r="L116" s="122">
        <f t="shared" si="9"/>
        <v>716574.3</v>
      </c>
    </row>
    <row r="117" ht="20" customHeight="1" spans="1:12">
      <c r="A117" s="139"/>
      <c r="B117" s="91">
        <v>241210000056</v>
      </c>
      <c r="C117" s="97"/>
      <c r="D117" s="97">
        <v>11</v>
      </c>
      <c r="E117" s="99">
        <v>77.5</v>
      </c>
      <c r="F117" s="99">
        <v>440.5</v>
      </c>
      <c r="G117" s="99">
        <f t="shared" si="7"/>
        <v>34138.75</v>
      </c>
      <c r="H117" s="94"/>
      <c r="I117" s="141"/>
      <c r="J117" s="121">
        <f t="shared" si="8"/>
        <v>34138.75</v>
      </c>
      <c r="K117" s="99"/>
      <c r="L117" s="122">
        <f t="shared" si="9"/>
        <v>750713.05</v>
      </c>
    </row>
    <row r="118" ht="20" customHeight="1" spans="1:12">
      <c r="A118" s="95">
        <v>45643</v>
      </c>
      <c r="B118" s="105" t="s">
        <v>67</v>
      </c>
      <c r="C118" s="97"/>
      <c r="D118" s="97"/>
      <c r="E118" s="99"/>
      <c r="F118" s="99"/>
      <c r="G118" s="99">
        <f t="shared" si="7"/>
        <v>0</v>
      </c>
      <c r="H118" s="94"/>
      <c r="I118" s="141" t="s">
        <v>70</v>
      </c>
      <c r="J118" s="121">
        <f t="shared" si="8"/>
        <v>0</v>
      </c>
      <c r="K118" s="99">
        <v>150000</v>
      </c>
      <c r="L118" s="122">
        <f t="shared" si="9"/>
        <v>600713.05</v>
      </c>
    </row>
    <row r="119" ht="20" customHeight="1" spans="1:12">
      <c r="A119" s="95">
        <v>45646</v>
      </c>
      <c r="B119" s="105" t="s">
        <v>67</v>
      </c>
      <c r="C119" s="97"/>
      <c r="D119" s="97"/>
      <c r="E119" s="99"/>
      <c r="F119" s="99"/>
      <c r="G119" s="99">
        <f t="shared" si="7"/>
        <v>0</v>
      </c>
      <c r="H119" s="94"/>
      <c r="I119" s="141" t="s">
        <v>70</v>
      </c>
      <c r="J119" s="121">
        <f t="shared" si="8"/>
        <v>0</v>
      </c>
      <c r="K119" s="143">
        <v>100000</v>
      </c>
      <c r="L119" s="122">
        <f t="shared" si="9"/>
        <v>500713.05</v>
      </c>
    </row>
    <row r="120" ht="20" customHeight="1" spans="1:12">
      <c r="A120" s="95">
        <v>45651</v>
      </c>
      <c r="B120" s="105" t="s">
        <v>67</v>
      </c>
      <c r="C120" s="97"/>
      <c r="D120" s="97"/>
      <c r="E120" s="99"/>
      <c r="F120" s="99"/>
      <c r="G120" s="99">
        <f t="shared" si="7"/>
        <v>0</v>
      </c>
      <c r="H120" s="94"/>
      <c r="I120" s="141" t="s">
        <v>70</v>
      </c>
      <c r="J120" s="121">
        <f t="shared" si="8"/>
        <v>0</v>
      </c>
      <c r="K120" s="143">
        <v>100000</v>
      </c>
      <c r="L120" s="122">
        <f t="shared" si="9"/>
        <v>400713.05</v>
      </c>
    </row>
    <row r="121" ht="20" customHeight="1" spans="1:12">
      <c r="A121" s="95"/>
      <c r="B121" s="91">
        <v>241218000011</v>
      </c>
      <c r="C121" s="97"/>
      <c r="D121" s="97">
        <v>10</v>
      </c>
      <c r="E121" s="99">
        <v>77.5</v>
      </c>
      <c r="F121" s="99">
        <v>352</v>
      </c>
      <c r="G121" s="99">
        <f t="shared" si="7"/>
        <v>27280</v>
      </c>
      <c r="H121" s="94"/>
      <c r="I121" s="94"/>
      <c r="J121" s="121">
        <f t="shared" si="8"/>
        <v>27280</v>
      </c>
      <c r="K121" s="99"/>
      <c r="L121" s="122">
        <f t="shared" si="9"/>
        <v>427993.05</v>
      </c>
    </row>
    <row r="122" ht="20" customHeight="1" spans="1:12">
      <c r="A122" s="95"/>
      <c r="B122" s="91">
        <v>241220000047</v>
      </c>
      <c r="C122" s="97"/>
      <c r="D122" s="97">
        <v>16</v>
      </c>
      <c r="E122" s="99">
        <v>77.5</v>
      </c>
      <c r="F122" s="99">
        <v>718.5</v>
      </c>
      <c r="G122" s="99">
        <f t="shared" si="7"/>
        <v>55683.75</v>
      </c>
      <c r="H122" s="94"/>
      <c r="I122" s="94"/>
      <c r="J122" s="121">
        <f t="shared" si="8"/>
        <v>55683.75</v>
      </c>
      <c r="K122" s="99"/>
      <c r="L122" s="122">
        <f t="shared" si="9"/>
        <v>483676.8</v>
      </c>
    </row>
    <row r="123" ht="20" customHeight="1" spans="1:12">
      <c r="A123" s="95"/>
      <c r="B123" s="91">
        <v>241231000008</v>
      </c>
      <c r="C123" s="97"/>
      <c r="D123" s="97">
        <v>13</v>
      </c>
      <c r="E123" s="99">
        <v>65</v>
      </c>
      <c r="F123" s="140">
        <v>594.5</v>
      </c>
      <c r="G123" s="99">
        <f t="shared" si="7"/>
        <v>38642.5</v>
      </c>
      <c r="H123" s="94"/>
      <c r="I123" s="94"/>
      <c r="J123" s="121">
        <f t="shared" si="8"/>
        <v>38642.5</v>
      </c>
      <c r="K123" s="99"/>
      <c r="L123" s="122">
        <f t="shared" si="9"/>
        <v>522319.3</v>
      </c>
    </row>
    <row r="124" ht="20" customHeight="1" spans="1:12">
      <c r="A124" s="95"/>
      <c r="B124" s="91">
        <v>250104000005</v>
      </c>
      <c r="C124" s="97"/>
      <c r="D124" s="97">
        <v>14</v>
      </c>
      <c r="E124" s="99">
        <v>65</v>
      </c>
      <c r="F124" s="140">
        <v>509.5</v>
      </c>
      <c r="G124" s="99">
        <f t="shared" si="7"/>
        <v>33117.5</v>
      </c>
      <c r="H124" s="94"/>
      <c r="I124" s="94"/>
      <c r="J124" s="121">
        <f t="shared" si="8"/>
        <v>33117.5</v>
      </c>
      <c r="K124" s="99"/>
      <c r="L124" s="122">
        <f t="shared" si="9"/>
        <v>555436.8</v>
      </c>
    </row>
    <row r="125" ht="20" customHeight="1" spans="1:12">
      <c r="A125" s="95"/>
      <c r="B125" s="91">
        <v>250108000033</v>
      </c>
      <c r="C125" s="97"/>
      <c r="D125" s="97">
        <v>12</v>
      </c>
      <c r="E125" s="99">
        <v>62</v>
      </c>
      <c r="F125" s="99">
        <v>493</v>
      </c>
      <c r="G125" s="99">
        <f t="shared" si="7"/>
        <v>30566</v>
      </c>
      <c r="H125" s="94"/>
      <c r="I125" s="94"/>
      <c r="J125" s="121">
        <f t="shared" si="8"/>
        <v>30566</v>
      </c>
      <c r="K125" s="99"/>
      <c r="L125" s="122">
        <f t="shared" si="9"/>
        <v>586002.8</v>
      </c>
    </row>
    <row r="126" ht="20" customHeight="1" spans="1:12">
      <c r="A126" s="95"/>
      <c r="B126" s="91">
        <v>250110000049</v>
      </c>
      <c r="C126" s="97"/>
      <c r="D126" s="97">
        <v>12</v>
      </c>
      <c r="E126" s="99">
        <v>62</v>
      </c>
      <c r="F126" s="99">
        <v>443</v>
      </c>
      <c r="G126" s="99">
        <f t="shared" si="7"/>
        <v>27466</v>
      </c>
      <c r="H126" s="94"/>
      <c r="I126" s="94"/>
      <c r="J126" s="121">
        <f t="shared" si="8"/>
        <v>27466</v>
      </c>
      <c r="K126" s="99"/>
      <c r="L126" s="122">
        <f t="shared" si="9"/>
        <v>613468.8</v>
      </c>
    </row>
    <row r="127" ht="20" customHeight="1" spans="1:12">
      <c r="A127" s="95"/>
      <c r="B127" s="91">
        <v>250114000071</v>
      </c>
      <c r="C127" s="97"/>
      <c r="D127" s="97">
        <v>17</v>
      </c>
      <c r="E127" s="99">
        <v>62</v>
      </c>
      <c r="F127" s="99">
        <v>685</v>
      </c>
      <c r="G127" s="99">
        <f t="shared" si="7"/>
        <v>42470</v>
      </c>
      <c r="H127" s="94"/>
      <c r="I127" s="94"/>
      <c r="J127" s="121">
        <f t="shared" si="8"/>
        <v>42470</v>
      </c>
      <c r="K127" s="99"/>
      <c r="L127" s="122">
        <f t="shared" si="9"/>
        <v>655938.8</v>
      </c>
    </row>
    <row r="128" ht="20" customHeight="1" spans="1:12">
      <c r="A128" s="95">
        <v>45673</v>
      </c>
      <c r="B128" s="91" t="s">
        <v>67</v>
      </c>
      <c r="C128" s="97"/>
      <c r="D128" s="97"/>
      <c r="E128" s="99"/>
      <c r="F128" s="99"/>
      <c r="G128" s="99">
        <f t="shared" si="7"/>
        <v>0</v>
      </c>
      <c r="H128" s="94"/>
      <c r="I128" s="141" t="s">
        <v>70</v>
      </c>
      <c r="J128" s="121">
        <f t="shared" si="8"/>
        <v>0</v>
      </c>
      <c r="K128" s="99">
        <v>190000</v>
      </c>
      <c r="L128" s="122">
        <f t="shared" si="9"/>
        <v>465938.8</v>
      </c>
    </row>
    <row r="129" ht="20" customHeight="1" spans="1:12">
      <c r="A129" s="95">
        <v>45674</v>
      </c>
      <c r="B129" s="91" t="s">
        <v>67</v>
      </c>
      <c r="C129" s="97"/>
      <c r="D129" s="97"/>
      <c r="E129" s="99"/>
      <c r="F129" s="99"/>
      <c r="G129" s="99">
        <f t="shared" si="7"/>
        <v>0</v>
      </c>
      <c r="H129" s="94"/>
      <c r="I129" s="141" t="s">
        <v>70</v>
      </c>
      <c r="J129" s="121">
        <f t="shared" si="8"/>
        <v>0</v>
      </c>
      <c r="K129" s="99">
        <v>10000</v>
      </c>
      <c r="L129" s="122">
        <f t="shared" si="9"/>
        <v>455938.8</v>
      </c>
    </row>
    <row r="130" ht="20" customHeight="1" spans="1:12">
      <c r="A130" s="95"/>
      <c r="B130" s="91">
        <v>250119000060</v>
      </c>
      <c r="C130" s="97"/>
      <c r="D130" s="97">
        <v>16</v>
      </c>
      <c r="E130" s="99">
        <v>59</v>
      </c>
      <c r="F130" s="99">
        <v>734.5</v>
      </c>
      <c r="G130" s="99">
        <f t="shared" si="7"/>
        <v>43335.5</v>
      </c>
      <c r="H130" s="94"/>
      <c r="I130" s="94"/>
      <c r="J130" s="121">
        <f t="shared" si="8"/>
        <v>43335.5</v>
      </c>
      <c r="K130" s="99"/>
      <c r="L130" s="122">
        <f t="shared" si="9"/>
        <v>499274.3</v>
      </c>
    </row>
    <row r="131" ht="20" customHeight="1" spans="1:12">
      <c r="A131" s="95"/>
      <c r="B131" s="91">
        <v>250122000031</v>
      </c>
      <c r="C131" s="97"/>
      <c r="D131" s="97">
        <v>26</v>
      </c>
      <c r="E131" s="99">
        <v>59</v>
      </c>
      <c r="F131" s="99">
        <v>1078.5</v>
      </c>
      <c r="G131" s="99">
        <f t="shared" si="7"/>
        <v>63631.5</v>
      </c>
      <c r="H131" s="94"/>
      <c r="I131" s="94"/>
      <c r="J131" s="121">
        <f t="shared" si="8"/>
        <v>63631.5</v>
      </c>
      <c r="K131" s="99"/>
      <c r="L131" s="122">
        <f t="shared" si="9"/>
        <v>562905.8</v>
      </c>
    </row>
    <row r="132" ht="20" customHeight="1" spans="1:12">
      <c r="A132" s="95">
        <v>45684</v>
      </c>
      <c r="B132" s="91" t="s">
        <v>67</v>
      </c>
      <c r="C132" s="97"/>
      <c r="D132" s="97"/>
      <c r="E132" s="99"/>
      <c r="F132" s="99"/>
      <c r="G132" s="99">
        <f t="shared" si="7"/>
        <v>0</v>
      </c>
      <c r="H132" s="94"/>
      <c r="I132" s="141" t="s">
        <v>70</v>
      </c>
      <c r="J132" s="121">
        <f t="shared" si="8"/>
        <v>0</v>
      </c>
      <c r="K132" s="99">
        <v>100000</v>
      </c>
      <c r="L132" s="122">
        <f t="shared" si="9"/>
        <v>462905.8</v>
      </c>
    </row>
    <row r="133" ht="20" customHeight="1" spans="1:12">
      <c r="A133" s="95">
        <v>45704</v>
      </c>
      <c r="B133" s="91" t="s">
        <v>67</v>
      </c>
      <c r="C133" s="97"/>
      <c r="D133" s="97"/>
      <c r="E133" s="99"/>
      <c r="F133" s="99"/>
      <c r="G133" s="99">
        <f t="shared" ref="G133:G171" si="10">E133*F133</f>
        <v>0</v>
      </c>
      <c r="H133" s="94"/>
      <c r="I133" s="141" t="s">
        <v>70</v>
      </c>
      <c r="J133" s="121">
        <f t="shared" ref="J133:J171" si="11">G133+H133</f>
        <v>0</v>
      </c>
      <c r="K133" s="99">
        <v>200000</v>
      </c>
      <c r="L133" s="122">
        <f t="shared" si="9"/>
        <v>262905.8</v>
      </c>
    </row>
    <row r="134" ht="20" customHeight="1" spans="1:12">
      <c r="A134" s="95"/>
      <c r="B134" s="91"/>
      <c r="C134" s="97"/>
      <c r="D134" s="97"/>
      <c r="E134" s="99"/>
      <c r="F134" s="99"/>
      <c r="G134" s="99">
        <f t="shared" si="10"/>
        <v>0</v>
      </c>
      <c r="H134" s="94"/>
      <c r="I134" s="94"/>
      <c r="J134" s="121">
        <f t="shared" si="11"/>
        <v>0</v>
      </c>
      <c r="K134" s="99"/>
      <c r="L134" s="122">
        <f t="shared" si="9"/>
        <v>262905.8</v>
      </c>
    </row>
    <row r="135" ht="20" customHeight="1" spans="1:12">
      <c r="A135" s="95"/>
      <c r="B135" s="91"/>
      <c r="C135" s="97"/>
      <c r="D135" s="97"/>
      <c r="E135" s="99"/>
      <c r="F135" s="99"/>
      <c r="G135" s="99">
        <f t="shared" si="10"/>
        <v>0</v>
      </c>
      <c r="H135" s="94"/>
      <c r="I135" s="94"/>
      <c r="J135" s="121">
        <f t="shared" si="11"/>
        <v>0</v>
      </c>
      <c r="K135" s="99"/>
      <c r="L135" s="122">
        <f t="shared" ref="L134:L171" si="12">L134+J135-K135</f>
        <v>262905.8</v>
      </c>
    </row>
    <row r="136" ht="20" customHeight="1" spans="1:12">
      <c r="A136" s="95"/>
      <c r="B136" s="91"/>
      <c r="C136" s="97"/>
      <c r="D136" s="97"/>
      <c r="E136" s="99"/>
      <c r="F136" s="99"/>
      <c r="G136" s="99">
        <f t="shared" si="10"/>
        <v>0</v>
      </c>
      <c r="H136" s="94"/>
      <c r="I136" s="141"/>
      <c r="J136" s="121">
        <f t="shared" si="11"/>
        <v>0</v>
      </c>
      <c r="K136" s="99"/>
      <c r="L136" s="122">
        <f t="shared" si="12"/>
        <v>262905.8</v>
      </c>
    </row>
    <row r="137" ht="20" customHeight="1" spans="1:12">
      <c r="A137" s="95"/>
      <c r="B137" s="91"/>
      <c r="C137" s="97"/>
      <c r="D137" s="97"/>
      <c r="E137" s="99"/>
      <c r="F137" s="99"/>
      <c r="G137" s="99">
        <f t="shared" si="10"/>
        <v>0</v>
      </c>
      <c r="H137" s="94"/>
      <c r="I137" s="94"/>
      <c r="J137" s="121">
        <f t="shared" si="11"/>
        <v>0</v>
      </c>
      <c r="K137" s="99"/>
      <c r="L137" s="122">
        <f t="shared" si="12"/>
        <v>262905.8</v>
      </c>
    </row>
    <row r="138" ht="20" customHeight="1" spans="1:12">
      <c r="A138" s="95"/>
      <c r="B138" s="91"/>
      <c r="C138" s="97"/>
      <c r="D138" s="97"/>
      <c r="E138" s="99"/>
      <c r="F138" s="99"/>
      <c r="G138" s="99">
        <f t="shared" si="10"/>
        <v>0</v>
      </c>
      <c r="H138" s="94"/>
      <c r="I138" s="94"/>
      <c r="J138" s="121">
        <f t="shared" si="11"/>
        <v>0</v>
      </c>
      <c r="K138" s="99"/>
      <c r="L138" s="122">
        <f t="shared" si="12"/>
        <v>262905.8</v>
      </c>
    </row>
    <row r="139" ht="20" customHeight="1" spans="1:12">
      <c r="A139" s="95"/>
      <c r="B139" s="91"/>
      <c r="C139" s="97"/>
      <c r="D139" s="97"/>
      <c r="E139" s="99"/>
      <c r="F139" s="99"/>
      <c r="G139" s="99">
        <f t="shared" si="10"/>
        <v>0</v>
      </c>
      <c r="H139" s="94"/>
      <c r="I139" s="94"/>
      <c r="J139" s="121">
        <f t="shared" si="11"/>
        <v>0</v>
      </c>
      <c r="K139" s="99"/>
      <c r="L139" s="122">
        <f t="shared" si="12"/>
        <v>262905.8</v>
      </c>
    </row>
    <row r="140" ht="20" customHeight="1" spans="1:12">
      <c r="A140" s="95"/>
      <c r="B140" s="91"/>
      <c r="C140" s="97"/>
      <c r="D140" s="97"/>
      <c r="E140" s="99"/>
      <c r="F140" s="99"/>
      <c r="G140" s="99">
        <f t="shared" si="10"/>
        <v>0</v>
      </c>
      <c r="H140" s="94"/>
      <c r="I140" s="94"/>
      <c r="J140" s="121">
        <f t="shared" si="11"/>
        <v>0</v>
      </c>
      <c r="K140" s="99"/>
      <c r="L140" s="122">
        <f t="shared" si="12"/>
        <v>262905.8</v>
      </c>
    </row>
    <row r="141" ht="20" customHeight="1" spans="1:12">
      <c r="A141" s="95"/>
      <c r="B141" s="91"/>
      <c r="C141" s="97"/>
      <c r="D141" s="97"/>
      <c r="E141" s="99"/>
      <c r="F141" s="99"/>
      <c r="G141" s="99">
        <f t="shared" si="10"/>
        <v>0</v>
      </c>
      <c r="H141" s="94"/>
      <c r="I141" s="141"/>
      <c r="J141" s="121">
        <f t="shared" si="11"/>
        <v>0</v>
      </c>
      <c r="K141" s="99"/>
      <c r="L141" s="122">
        <f t="shared" si="12"/>
        <v>262905.8</v>
      </c>
    </row>
    <row r="142" ht="20" customHeight="1" spans="1:12">
      <c r="A142" s="144"/>
      <c r="B142" s="91"/>
      <c r="C142" s="97"/>
      <c r="D142" s="97"/>
      <c r="E142" s="99"/>
      <c r="F142" s="99"/>
      <c r="G142" s="99">
        <f t="shared" si="10"/>
        <v>0</v>
      </c>
      <c r="H142" s="94"/>
      <c r="I142" s="94"/>
      <c r="J142" s="121">
        <f t="shared" si="11"/>
        <v>0</v>
      </c>
      <c r="K142" s="99"/>
      <c r="L142" s="122">
        <f t="shared" si="12"/>
        <v>262905.8</v>
      </c>
    </row>
    <row r="143" ht="20" customHeight="1" spans="1:12">
      <c r="A143" s="95"/>
      <c r="B143" s="91"/>
      <c r="C143" s="97"/>
      <c r="D143" s="97"/>
      <c r="E143" s="99"/>
      <c r="F143" s="99"/>
      <c r="G143" s="99">
        <f t="shared" si="10"/>
        <v>0</v>
      </c>
      <c r="H143" s="94"/>
      <c r="I143" s="94"/>
      <c r="J143" s="121">
        <f t="shared" si="11"/>
        <v>0</v>
      </c>
      <c r="K143" s="99"/>
      <c r="L143" s="122">
        <f t="shared" si="12"/>
        <v>262905.8</v>
      </c>
    </row>
    <row r="144" ht="20" customHeight="1" spans="1:12">
      <c r="A144" s="95"/>
      <c r="B144" s="91"/>
      <c r="C144" s="97"/>
      <c r="D144" s="97"/>
      <c r="E144" s="99"/>
      <c r="F144" s="99"/>
      <c r="G144" s="99">
        <f t="shared" si="10"/>
        <v>0</v>
      </c>
      <c r="H144" s="94"/>
      <c r="I144" s="94"/>
      <c r="J144" s="121">
        <f t="shared" si="11"/>
        <v>0</v>
      </c>
      <c r="K144" s="99"/>
      <c r="L144" s="122">
        <f t="shared" si="12"/>
        <v>262905.8</v>
      </c>
    </row>
    <row r="145" ht="20" customHeight="1" spans="1:12">
      <c r="A145" s="95"/>
      <c r="B145" s="91"/>
      <c r="C145" s="97"/>
      <c r="D145" s="97"/>
      <c r="E145" s="99"/>
      <c r="F145" s="99"/>
      <c r="G145" s="99">
        <f t="shared" si="10"/>
        <v>0</v>
      </c>
      <c r="H145" s="94"/>
      <c r="I145" s="94"/>
      <c r="J145" s="121">
        <f t="shared" si="11"/>
        <v>0</v>
      </c>
      <c r="K145" s="99"/>
      <c r="L145" s="122">
        <f t="shared" si="12"/>
        <v>262905.8</v>
      </c>
    </row>
    <row r="146" ht="20" customHeight="1" spans="1:12">
      <c r="A146" s="95"/>
      <c r="B146" s="91"/>
      <c r="C146" s="97"/>
      <c r="D146" s="97"/>
      <c r="E146" s="99"/>
      <c r="F146" s="99"/>
      <c r="G146" s="99">
        <f t="shared" si="10"/>
        <v>0</v>
      </c>
      <c r="H146" s="94"/>
      <c r="I146" s="94"/>
      <c r="J146" s="121">
        <f t="shared" si="11"/>
        <v>0</v>
      </c>
      <c r="K146" s="99"/>
      <c r="L146" s="122">
        <f t="shared" si="12"/>
        <v>262905.8</v>
      </c>
    </row>
    <row r="147" ht="20" customHeight="1" spans="1:12">
      <c r="A147" s="95"/>
      <c r="B147" s="91"/>
      <c r="C147" s="97"/>
      <c r="D147" s="97"/>
      <c r="E147" s="99"/>
      <c r="F147" s="99"/>
      <c r="G147" s="99">
        <f t="shared" si="10"/>
        <v>0</v>
      </c>
      <c r="H147" s="94"/>
      <c r="I147" s="94"/>
      <c r="J147" s="121">
        <f t="shared" si="11"/>
        <v>0</v>
      </c>
      <c r="K147" s="99"/>
      <c r="L147" s="122">
        <f t="shared" si="12"/>
        <v>262905.8</v>
      </c>
    </row>
    <row r="148" ht="20" customHeight="1" spans="1:12">
      <c r="A148" s="95"/>
      <c r="B148" s="91"/>
      <c r="C148" s="97"/>
      <c r="D148" s="97"/>
      <c r="E148" s="99"/>
      <c r="F148" s="99"/>
      <c r="G148" s="99">
        <f t="shared" si="10"/>
        <v>0</v>
      </c>
      <c r="H148" s="94"/>
      <c r="I148" s="94"/>
      <c r="J148" s="121">
        <f t="shared" si="11"/>
        <v>0</v>
      </c>
      <c r="K148" s="99"/>
      <c r="L148" s="122">
        <f t="shared" si="12"/>
        <v>262905.8</v>
      </c>
    </row>
    <row r="149" ht="20" customHeight="1" spans="1:12">
      <c r="A149" s="95"/>
      <c r="B149" s="91"/>
      <c r="C149" s="97"/>
      <c r="D149" s="97"/>
      <c r="E149" s="99"/>
      <c r="F149" s="99"/>
      <c r="G149" s="99">
        <f t="shared" si="10"/>
        <v>0</v>
      </c>
      <c r="H149" s="94"/>
      <c r="I149" s="94"/>
      <c r="J149" s="121">
        <f t="shared" si="11"/>
        <v>0</v>
      </c>
      <c r="K149" s="99"/>
      <c r="L149" s="122">
        <f t="shared" si="12"/>
        <v>262905.8</v>
      </c>
    </row>
    <row r="150" ht="20" customHeight="1" spans="1:12">
      <c r="A150" s="95"/>
      <c r="B150" s="91"/>
      <c r="C150" s="97"/>
      <c r="D150" s="97"/>
      <c r="E150" s="99"/>
      <c r="F150" s="99"/>
      <c r="G150" s="99">
        <f t="shared" si="10"/>
        <v>0</v>
      </c>
      <c r="H150" s="94"/>
      <c r="I150" s="94"/>
      <c r="J150" s="121">
        <f t="shared" si="11"/>
        <v>0</v>
      </c>
      <c r="K150" s="99"/>
      <c r="L150" s="122">
        <f t="shared" si="12"/>
        <v>262905.8</v>
      </c>
    </row>
    <row r="151" ht="20" customHeight="1" spans="1:12">
      <c r="A151" s="95"/>
      <c r="B151" s="91"/>
      <c r="C151" s="97"/>
      <c r="D151" s="97"/>
      <c r="E151" s="99"/>
      <c r="F151" s="99"/>
      <c r="G151" s="99">
        <f t="shared" si="10"/>
        <v>0</v>
      </c>
      <c r="H151" s="94"/>
      <c r="I151" s="94"/>
      <c r="J151" s="121">
        <f t="shared" si="11"/>
        <v>0</v>
      </c>
      <c r="K151" s="99"/>
      <c r="L151" s="122">
        <f t="shared" si="12"/>
        <v>262905.8</v>
      </c>
    </row>
    <row r="152" ht="20" customHeight="1" spans="1:12">
      <c r="A152" s="95"/>
      <c r="B152" s="91"/>
      <c r="C152" s="97"/>
      <c r="D152" s="97"/>
      <c r="E152" s="99"/>
      <c r="F152" s="99"/>
      <c r="G152" s="99">
        <f t="shared" si="10"/>
        <v>0</v>
      </c>
      <c r="H152" s="94"/>
      <c r="I152" s="94"/>
      <c r="J152" s="121">
        <f t="shared" si="11"/>
        <v>0</v>
      </c>
      <c r="K152" s="99"/>
      <c r="L152" s="122">
        <f t="shared" si="12"/>
        <v>262905.8</v>
      </c>
    </row>
    <row r="153" ht="20" customHeight="1" spans="1:12">
      <c r="A153" s="95"/>
      <c r="B153" s="91"/>
      <c r="C153" s="97"/>
      <c r="D153" s="97"/>
      <c r="E153" s="99"/>
      <c r="F153" s="99"/>
      <c r="G153" s="99">
        <f t="shared" si="10"/>
        <v>0</v>
      </c>
      <c r="H153" s="94"/>
      <c r="I153" s="94"/>
      <c r="J153" s="121">
        <f t="shared" si="11"/>
        <v>0</v>
      </c>
      <c r="K153" s="99"/>
      <c r="L153" s="122">
        <f t="shared" si="12"/>
        <v>262905.8</v>
      </c>
    </row>
    <row r="154" ht="20" customHeight="1" spans="1:12">
      <c r="A154" s="95"/>
      <c r="B154" s="91"/>
      <c r="C154" s="97"/>
      <c r="D154" s="97"/>
      <c r="E154" s="99"/>
      <c r="F154" s="99"/>
      <c r="G154" s="99">
        <f t="shared" si="10"/>
        <v>0</v>
      </c>
      <c r="H154" s="94"/>
      <c r="I154" s="94"/>
      <c r="J154" s="121">
        <f t="shared" si="11"/>
        <v>0</v>
      </c>
      <c r="K154" s="99"/>
      <c r="L154" s="122">
        <f t="shared" si="12"/>
        <v>262905.8</v>
      </c>
    </row>
    <row r="155" ht="20" customHeight="1" spans="1:12">
      <c r="A155" s="95"/>
      <c r="B155" s="91"/>
      <c r="C155" s="97"/>
      <c r="D155" s="97"/>
      <c r="E155" s="99"/>
      <c r="F155" s="99"/>
      <c r="G155" s="99">
        <f t="shared" si="10"/>
        <v>0</v>
      </c>
      <c r="H155" s="94"/>
      <c r="I155" s="94"/>
      <c r="J155" s="121">
        <f t="shared" si="11"/>
        <v>0</v>
      </c>
      <c r="K155" s="99"/>
      <c r="L155" s="122">
        <f t="shared" si="12"/>
        <v>262905.8</v>
      </c>
    </row>
    <row r="156" ht="20" customHeight="1" spans="1:12">
      <c r="A156" s="95"/>
      <c r="B156" s="91"/>
      <c r="C156" s="97"/>
      <c r="D156" s="97"/>
      <c r="E156" s="99"/>
      <c r="F156" s="99"/>
      <c r="G156" s="99">
        <f t="shared" si="10"/>
        <v>0</v>
      </c>
      <c r="H156" s="94"/>
      <c r="I156" s="94"/>
      <c r="J156" s="121">
        <f t="shared" si="11"/>
        <v>0</v>
      </c>
      <c r="K156" s="99"/>
      <c r="L156" s="122">
        <f t="shared" si="12"/>
        <v>262905.8</v>
      </c>
    </row>
    <row r="157" ht="20" customHeight="1" spans="1:12">
      <c r="A157" s="95"/>
      <c r="B157" s="91"/>
      <c r="C157" s="97"/>
      <c r="D157" s="97"/>
      <c r="E157" s="99"/>
      <c r="F157" s="99"/>
      <c r="G157" s="99">
        <f t="shared" si="10"/>
        <v>0</v>
      </c>
      <c r="H157" s="94"/>
      <c r="I157" s="94"/>
      <c r="J157" s="121">
        <f t="shared" si="11"/>
        <v>0</v>
      </c>
      <c r="K157" s="99"/>
      <c r="L157" s="122">
        <f t="shared" si="12"/>
        <v>262905.8</v>
      </c>
    </row>
    <row r="158" ht="31" customHeight="1" spans="1:12">
      <c r="A158" s="95"/>
      <c r="B158" s="91"/>
      <c r="C158" s="97"/>
      <c r="D158" s="97"/>
      <c r="E158" s="99"/>
      <c r="F158" s="99"/>
      <c r="G158" s="99">
        <f t="shared" si="10"/>
        <v>0</v>
      </c>
      <c r="H158" s="94"/>
      <c r="I158" s="145"/>
      <c r="J158" s="121">
        <f t="shared" si="11"/>
        <v>0</v>
      </c>
      <c r="K158" s="99"/>
      <c r="L158" s="122">
        <f t="shared" si="12"/>
        <v>262905.8</v>
      </c>
    </row>
    <row r="159" ht="20" customHeight="1" spans="1:12">
      <c r="A159" s="95"/>
      <c r="B159" s="135"/>
      <c r="C159" s="97"/>
      <c r="D159" s="97"/>
      <c r="E159" s="99"/>
      <c r="F159" s="99"/>
      <c r="G159" s="99">
        <f t="shared" si="10"/>
        <v>0</v>
      </c>
      <c r="H159" s="94"/>
      <c r="I159" s="94"/>
      <c r="J159" s="121">
        <f t="shared" si="11"/>
        <v>0</v>
      </c>
      <c r="K159" s="99"/>
      <c r="L159" s="122">
        <f t="shared" si="12"/>
        <v>262905.8</v>
      </c>
    </row>
    <row r="160" ht="20" customHeight="1" spans="1:12">
      <c r="A160" s="95"/>
      <c r="B160" s="135"/>
      <c r="C160" s="97"/>
      <c r="D160" s="97"/>
      <c r="E160" s="99"/>
      <c r="F160" s="99"/>
      <c r="G160" s="99">
        <f t="shared" si="10"/>
        <v>0</v>
      </c>
      <c r="H160" s="94"/>
      <c r="I160" s="94"/>
      <c r="J160" s="121">
        <f t="shared" si="11"/>
        <v>0</v>
      </c>
      <c r="K160" s="99"/>
      <c r="L160" s="122">
        <f t="shared" si="12"/>
        <v>262905.8</v>
      </c>
    </row>
    <row r="161" ht="20" customHeight="1" spans="1:12">
      <c r="A161" s="95"/>
      <c r="B161" s="91"/>
      <c r="C161" s="97"/>
      <c r="D161" s="97"/>
      <c r="E161" s="99"/>
      <c r="F161" s="99"/>
      <c r="G161" s="99">
        <f t="shared" si="10"/>
        <v>0</v>
      </c>
      <c r="H161" s="94"/>
      <c r="I161" s="94"/>
      <c r="J161" s="121">
        <f t="shared" si="11"/>
        <v>0</v>
      </c>
      <c r="K161" s="99"/>
      <c r="L161" s="122">
        <f t="shared" si="12"/>
        <v>262905.8</v>
      </c>
    </row>
    <row r="162" ht="20" customHeight="1" spans="1:12">
      <c r="A162" s="95"/>
      <c r="B162" s="91"/>
      <c r="C162" s="97"/>
      <c r="D162" s="97"/>
      <c r="E162" s="99"/>
      <c r="F162" s="99"/>
      <c r="G162" s="99">
        <f t="shared" si="10"/>
        <v>0</v>
      </c>
      <c r="H162" s="94"/>
      <c r="I162" s="141"/>
      <c r="J162" s="121">
        <f t="shared" si="11"/>
        <v>0</v>
      </c>
      <c r="K162" s="99"/>
      <c r="L162" s="122">
        <f t="shared" si="12"/>
        <v>262905.8</v>
      </c>
    </row>
    <row r="163" ht="20" customHeight="1" spans="1:12">
      <c r="A163" s="95"/>
      <c r="B163" s="91"/>
      <c r="C163" s="97"/>
      <c r="D163" s="97"/>
      <c r="E163" s="99"/>
      <c r="F163" s="99"/>
      <c r="G163" s="99">
        <f t="shared" si="10"/>
        <v>0</v>
      </c>
      <c r="H163" s="94"/>
      <c r="I163" s="94"/>
      <c r="J163" s="121">
        <f t="shared" si="11"/>
        <v>0</v>
      </c>
      <c r="K163" s="99"/>
      <c r="L163" s="122">
        <f t="shared" si="12"/>
        <v>262905.8</v>
      </c>
    </row>
    <row r="164" ht="20" customHeight="1" spans="1:12">
      <c r="A164" s="95"/>
      <c r="B164" s="91"/>
      <c r="C164" s="97"/>
      <c r="D164" s="97"/>
      <c r="E164" s="99"/>
      <c r="F164" s="99"/>
      <c r="G164" s="99">
        <f t="shared" si="10"/>
        <v>0</v>
      </c>
      <c r="H164" s="94"/>
      <c r="I164" s="141"/>
      <c r="J164" s="121">
        <f t="shared" si="11"/>
        <v>0</v>
      </c>
      <c r="K164" s="99"/>
      <c r="L164" s="122">
        <f t="shared" si="12"/>
        <v>262905.8</v>
      </c>
    </row>
    <row r="165" ht="20" customHeight="1" spans="1:12">
      <c r="A165" s="95"/>
      <c r="B165" s="91"/>
      <c r="C165" s="97"/>
      <c r="D165" s="97"/>
      <c r="E165" s="99"/>
      <c r="F165" s="99"/>
      <c r="G165" s="99">
        <f t="shared" si="10"/>
        <v>0</v>
      </c>
      <c r="H165" s="94"/>
      <c r="I165" s="141"/>
      <c r="J165" s="121">
        <f t="shared" si="11"/>
        <v>0</v>
      </c>
      <c r="K165" s="99"/>
      <c r="L165" s="122">
        <f t="shared" si="12"/>
        <v>262905.8</v>
      </c>
    </row>
    <row r="166" ht="20" customHeight="1" spans="1:12">
      <c r="A166" s="95"/>
      <c r="B166" s="91"/>
      <c r="C166" s="97"/>
      <c r="D166" s="97"/>
      <c r="E166" s="99"/>
      <c r="F166" s="99"/>
      <c r="G166" s="99">
        <f t="shared" si="10"/>
        <v>0</v>
      </c>
      <c r="H166" s="94"/>
      <c r="I166" s="141"/>
      <c r="J166" s="121">
        <f t="shared" si="11"/>
        <v>0</v>
      </c>
      <c r="K166" s="99"/>
      <c r="L166" s="122">
        <f t="shared" si="12"/>
        <v>262905.8</v>
      </c>
    </row>
    <row r="167" ht="20" customHeight="1" spans="1:12">
      <c r="A167" s="95"/>
      <c r="B167" s="91"/>
      <c r="C167" s="97"/>
      <c r="D167" s="97"/>
      <c r="E167" s="99"/>
      <c r="F167" s="99"/>
      <c r="G167" s="99">
        <f t="shared" si="10"/>
        <v>0</v>
      </c>
      <c r="H167" s="94"/>
      <c r="I167" s="141"/>
      <c r="J167" s="121">
        <f t="shared" si="11"/>
        <v>0</v>
      </c>
      <c r="K167" s="99"/>
      <c r="L167" s="122">
        <f t="shared" si="12"/>
        <v>262905.8</v>
      </c>
    </row>
    <row r="168" ht="20" customHeight="1" spans="1:12">
      <c r="A168" s="95"/>
      <c r="B168" s="91"/>
      <c r="C168" s="97"/>
      <c r="D168" s="97"/>
      <c r="E168" s="99"/>
      <c r="F168" s="99"/>
      <c r="G168" s="99">
        <f t="shared" si="10"/>
        <v>0</v>
      </c>
      <c r="H168" s="94"/>
      <c r="I168" s="94"/>
      <c r="J168" s="121">
        <f t="shared" si="11"/>
        <v>0</v>
      </c>
      <c r="K168" s="99"/>
      <c r="L168" s="122">
        <f t="shared" si="12"/>
        <v>262905.8</v>
      </c>
    </row>
    <row r="169" ht="20" customHeight="1" spans="1:12">
      <c r="A169" s="95"/>
      <c r="B169" s="91"/>
      <c r="C169" s="97"/>
      <c r="D169" s="97"/>
      <c r="E169" s="99"/>
      <c r="F169" s="99"/>
      <c r="G169" s="99">
        <f t="shared" si="10"/>
        <v>0</v>
      </c>
      <c r="H169" s="94"/>
      <c r="I169" s="141"/>
      <c r="J169" s="121">
        <f t="shared" si="11"/>
        <v>0</v>
      </c>
      <c r="K169" s="99"/>
      <c r="L169" s="122">
        <f t="shared" si="12"/>
        <v>262905.8</v>
      </c>
    </row>
    <row r="170" ht="20" customHeight="1" spans="1:12">
      <c r="A170" s="95"/>
      <c r="B170" s="91"/>
      <c r="C170" s="97"/>
      <c r="D170" s="97"/>
      <c r="E170" s="99"/>
      <c r="F170" s="99"/>
      <c r="G170" s="99">
        <f t="shared" si="10"/>
        <v>0</v>
      </c>
      <c r="H170" s="94"/>
      <c r="I170" s="94"/>
      <c r="J170" s="121">
        <f t="shared" si="11"/>
        <v>0</v>
      </c>
      <c r="K170" s="99"/>
      <c r="L170" s="122">
        <f t="shared" si="12"/>
        <v>262905.8</v>
      </c>
    </row>
    <row r="171" ht="20" customHeight="1" spans="1:12">
      <c r="A171" s="95"/>
      <c r="B171" s="91"/>
      <c r="C171" s="97"/>
      <c r="D171" s="97"/>
      <c r="E171" s="99"/>
      <c r="F171" s="99"/>
      <c r="G171" s="99">
        <f t="shared" si="10"/>
        <v>0</v>
      </c>
      <c r="H171" s="94"/>
      <c r="I171" s="94"/>
      <c r="J171" s="121">
        <f t="shared" si="11"/>
        <v>0</v>
      </c>
      <c r="K171" s="99"/>
      <c r="L171" s="122">
        <f t="shared" si="12"/>
        <v>262905.8</v>
      </c>
    </row>
  </sheetData>
  <autoFilter xmlns:etc="http://www.wps.cn/officeDocument/2017/etCustomData" ref="A3:L171" etc:filterBottomFollowUsedRange="0">
    <extLst/>
  </autoFilter>
  <mergeCells count="2">
    <mergeCell ref="A1:L1"/>
    <mergeCell ref="A2:L2"/>
  </mergeCells>
  <conditionalFormatting sqref="B4">
    <cfRule type="duplicateValues" dxfId="0" priority="214"/>
  </conditionalFormatting>
  <conditionalFormatting sqref="B21">
    <cfRule type="duplicateValues" dxfId="0" priority="198"/>
  </conditionalFormatting>
  <conditionalFormatting sqref="B22">
    <cfRule type="duplicateValues" dxfId="0" priority="186"/>
  </conditionalFormatting>
  <conditionalFormatting sqref="B23">
    <cfRule type="duplicateValues" dxfId="0" priority="188"/>
  </conditionalFormatting>
  <conditionalFormatting sqref="B24">
    <cfRule type="duplicateValues" dxfId="0" priority="189"/>
  </conditionalFormatting>
  <conditionalFormatting sqref="B25">
    <cfRule type="duplicateValues" dxfId="0" priority="293"/>
  </conditionalFormatting>
  <conditionalFormatting sqref="B26">
    <cfRule type="duplicateValues" dxfId="0" priority="291"/>
  </conditionalFormatting>
  <conditionalFormatting sqref="B27">
    <cfRule type="duplicateValues" dxfId="0" priority="184"/>
  </conditionalFormatting>
  <conditionalFormatting sqref="B28">
    <cfRule type="duplicateValues" dxfId="0" priority="175"/>
  </conditionalFormatting>
  <conditionalFormatting sqref="B29">
    <cfRule type="duplicateValues" dxfId="0" priority="166"/>
  </conditionalFormatting>
  <conditionalFormatting sqref="B30">
    <cfRule type="duplicateValues" dxfId="0" priority="157"/>
  </conditionalFormatting>
  <conditionalFormatting sqref="B33">
    <cfRule type="duplicateValues" dxfId="0" priority="284"/>
  </conditionalFormatting>
  <conditionalFormatting sqref="B39">
    <cfRule type="duplicateValues" dxfId="0" priority="143"/>
  </conditionalFormatting>
  <conditionalFormatting sqref="B42">
    <cfRule type="duplicateValues" dxfId="0" priority="142"/>
  </conditionalFormatting>
  <conditionalFormatting sqref="B43">
    <cfRule type="duplicateValues" dxfId="0" priority="134"/>
  </conditionalFormatting>
  <conditionalFormatting sqref="B46">
    <cfRule type="duplicateValues" dxfId="0" priority="77"/>
  </conditionalFormatting>
  <conditionalFormatting sqref="B50">
    <cfRule type="duplicateValues" dxfId="0" priority="69"/>
  </conditionalFormatting>
  <conditionalFormatting sqref="B51">
    <cfRule type="duplicateValues" dxfId="0" priority="61"/>
  </conditionalFormatting>
  <conditionalFormatting sqref="B52">
    <cfRule type="duplicateValues" dxfId="0" priority="53"/>
  </conditionalFormatting>
  <conditionalFormatting sqref="B53">
    <cfRule type="duplicateValues" dxfId="0" priority="45"/>
  </conditionalFormatting>
  <conditionalFormatting sqref="B54">
    <cfRule type="duplicateValues" dxfId="0" priority="36"/>
  </conditionalFormatting>
  <conditionalFormatting sqref="B66">
    <cfRule type="duplicateValues" dxfId="0" priority="35"/>
  </conditionalFormatting>
  <conditionalFormatting sqref="B67">
    <cfRule type="duplicateValues" dxfId="0" priority="21"/>
  </conditionalFormatting>
  <conditionalFormatting sqref="B73">
    <cfRule type="duplicateValues" dxfId="0" priority="16"/>
  </conditionalFormatting>
  <conditionalFormatting sqref="B77">
    <cfRule type="duplicateValues" dxfId="0" priority="15"/>
  </conditionalFormatting>
  <conditionalFormatting sqref="B82">
    <cfRule type="duplicateValues" dxfId="0" priority="12"/>
  </conditionalFormatting>
  <conditionalFormatting sqref="B83">
    <cfRule type="duplicateValues" dxfId="0" priority="11"/>
  </conditionalFormatting>
  <conditionalFormatting sqref="B109">
    <cfRule type="duplicateValues" dxfId="0" priority="247"/>
  </conditionalFormatting>
  <conditionalFormatting sqref="B125">
    <cfRule type="duplicateValues" dxfId="0" priority="233"/>
  </conditionalFormatting>
  <conditionalFormatting sqref="B126">
    <cfRule type="duplicateValues" dxfId="0" priority="232"/>
  </conditionalFormatting>
  <conditionalFormatting sqref="B133">
    <cfRule type="duplicateValues" dxfId="0" priority="231"/>
  </conditionalFormatting>
  <conditionalFormatting sqref="B134">
    <cfRule type="duplicateValues" dxfId="0" priority="230"/>
  </conditionalFormatting>
  <conditionalFormatting sqref="B135">
    <cfRule type="duplicateValues" dxfId="0" priority="229"/>
  </conditionalFormatting>
  <conditionalFormatting sqref="B142">
    <cfRule type="duplicateValues" dxfId="0" priority="228"/>
  </conditionalFormatting>
  <conditionalFormatting sqref="B1:B3">
    <cfRule type="duplicateValues" dxfId="0" priority="305"/>
  </conditionalFormatting>
  <conditionalFormatting sqref="B5:B6">
    <cfRule type="duplicateValues" dxfId="0" priority="206"/>
  </conditionalFormatting>
  <conditionalFormatting sqref="B7:B9">
    <cfRule type="duplicateValues" dxfId="0" priority="221"/>
  </conditionalFormatting>
  <conditionalFormatting sqref="B31:B32">
    <cfRule type="duplicateValues" dxfId="0" priority="148"/>
  </conditionalFormatting>
  <conditionalFormatting sqref="B34:B36">
    <cfRule type="duplicateValues" dxfId="0" priority="145"/>
  </conditionalFormatting>
  <conditionalFormatting sqref="B37:B39">
    <cfRule type="duplicateValues" dxfId="0" priority="146"/>
  </conditionalFormatting>
  <conditionalFormatting sqref="B47:B49">
    <cfRule type="duplicateValues" dxfId="0" priority="80"/>
  </conditionalFormatting>
  <conditionalFormatting sqref="B55:B59">
    <cfRule type="duplicateValues" dxfId="0" priority="37"/>
  </conditionalFormatting>
  <conditionalFormatting sqref="B60:B61">
    <cfRule type="duplicateValues" dxfId="0" priority="81"/>
  </conditionalFormatting>
  <conditionalFormatting sqref="B62:B63">
    <cfRule type="duplicateValues" dxfId="0" priority="85"/>
  </conditionalFormatting>
  <conditionalFormatting sqref="B64:B65">
    <cfRule type="duplicateValues" dxfId="0" priority="272"/>
  </conditionalFormatting>
  <conditionalFormatting sqref="B68:B69">
    <cfRule type="duplicateValues" dxfId="0" priority="119"/>
  </conditionalFormatting>
  <conditionalFormatting sqref="B78:B81">
    <cfRule type="duplicateValues" dxfId="0" priority="13"/>
  </conditionalFormatting>
  <conditionalFormatting sqref="B84:B88">
    <cfRule type="duplicateValues" dxfId="0" priority="10"/>
    <cfRule type="duplicateValues" dxfId="0" priority="9"/>
    <cfRule type="duplicateValues" dxfId="0" priority="8"/>
    <cfRule type="duplicateValues" dxfId="0" priority="7"/>
  </conditionalFormatting>
  <conditionalFormatting sqref="B89:B91">
    <cfRule type="duplicateValues" dxfId="0" priority="6"/>
  </conditionalFormatting>
  <conditionalFormatting sqref="B101:B103">
    <cfRule type="duplicateValues" dxfId="0" priority="248"/>
  </conditionalFormatting>
  <conditionalFormatting sqref="B104:B106">
    <cfRule type="duplicateValues" dxfId="0" priority="250"/>
  </conditionalFormatting>
  <conditionalFormatting sqref="B107:B108">
    <cfRule type="duplicateValues" dxfId="0" priority="241"/>
  </conditionalFormatting>
  <conditionalFormatting sqref="B121:B122">
    <cfRule type="duplicateValues" dxfId="0" priority="234"/>
  </conditionalFormatting>
  <conditionalFormatting sqref="B1:B3 B10:B20">
    <cfRule type="duplicateValues" dxfId="0" priority="301"/>
  </conditionalFormatting>
  <conditionalFormatting sqref="B1:B3 B10:B20 B22:B26 B31:B41 B46:B65 B67:B69 B76 B96:B97 B99:B100 B143:B1048576 B136:B141 B127:B132 B123:B124 B116:B117">
    <cfRule type="duplicateValues" dxfId="0" priority="297"/>
  </conditionalFormatting>
  <conditionalFormatting sqref="B1:B20 B22:B26 B31:B41 B43:B45 B51:B65 B67:B76 B84:B88 B96:B97 B99:B109 B114:B117 B121:B1048576 B111:B112">
    <cfRule type="duplicateValues" dxfId="0" priority="199"/>
  </conditionalFormatting>
  <conditionalFormatting sqref="B1:B3 B10:B20 B40:B41 B54:B65 B67:B69 B76 B96:B97 B99:B100 B143:B1048576 B136:B141 B127:B132 B123:B124 B116:B117">
    <cfRule type="duplicateValues" dxfId="0" priority="299"/>
  </conditionalFormatting>
  <conditionalFormatting sqref="B1:B3 B10:B20 B22:B26 B31:B41 B54:B65 B67:B69 B76 B96:B97 B99:B100 B143:B1048576 B136:B141 B127:B132 B123:B124 B116:B117">
    <cfRule type="duplicateValues" dxfId="0" priority="298"/>
  </conditionalFormatting>
  <conditionalFormatting sqref="B1:B3 B10:B20 B22:B26 B31:B41 B43:B45 B51:B65 B67:B76 B84:B88 B96:B97 B99:B109 B143:B1048576 B114:B117 B121:B141 B111:B112">
    <cfRule type="duplicateValues" dxfId="0" priority="249"/>
  </conditionalFormatting>
  <conditionalFormatting sqref="B1:B3 B10:B20 B22:B26 B31:B41 B43:B45 B51:B65 B67:B69 B76 B96:B97 B99:B100 B143:B1048576 B136:B141 B127:B132 B123:B124 B116:B117">
    <cfRule type="duplicateValues" dxfId="0" priority="271"/>
  </conditionalFormatting>
  <conditionalFormatting sqref="J1:K45 K62:K63 J65:J69 J70:K171">
    <cfRule type="duplicateValues" dxfId="1" priority="304"/>
  </conditionalFormatting>
  <conditionalFormatting sqref="J46:K59 J60:J64">
    <cfRule type="duplicateValues" dxfId="1" priority="82"/>
  </conditionalFormatting>
  <conditionalFormatting sqref="B70:B72 B74:B75">
    <cfRule type="duplicateValues" dxfId="0" priority="18"/>
    <cfRule type="duplicateValues" dxfId="0" priority="17"/>
  </conditionalFormatting>
  <conditionalFormatting sqref="B71:B72 B74:B75">
    <cfRule type="duplicateValues" dxfId="0" priority="20"/>
    <cfRule type="duplicateValues" dxfId="0" priority="19"/>
  </conditionalFormatting>
  <conditionalFormatting sqref="B92:B95 B110 B98 B118:B120">
    <cfRule type="duplicateValues" dxfId="0" priority="5"/>
  </conditionalFormatting>
  <conditionalFormatting sqref="B114:B115 B111:B112">
    <cfRule type="duplicateValues" dxfId="0" priority="240"/>
  </conditionalFormatting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2"/>
  <sheetViews>
    <sheetView tabSelected="1" workbookViewId="0">
      <pane xSplit="4" ySplit="4" topLeftCell="E11" activePane="bottomRight" state="frozen"/>
      <selection/>
      <selection pane="topRight"/>
      <selection pane="bottomLeft"/>
      <selection pane="bottomRight" activeCell="G30" sqref="G30"/>
    </sheetView>
  </sheetViews>
  <sheetFormatPr defaultColWidth="9" defaultRowHeight="14"/>
  <cols>
    <col min="1" max="1" width="14.6272727272727" customWidth="1"/>
    <col min="2" max="2" width="17.1272727272727" style="1" customWidth="1"/>
    <col min="3" max="5" width="10.6272727272727" customWidth="1"/>
    <col min="6" max="6" width="10.6272727272727" style="2" customWidth="1"/>
    <col min="7" max="11" width="13.1272727272727" customWidth="1"/>
    <col min="12" max="12" width="34.1272727272727" style="3" customWidth="1"/>
    <col min="13" max="15" width="13.1363636363636" style="4" customWidth="1"/>
    <col min="16" max="18" width="13.1363636363636" customWidth="1"/>
  </cols>
  <sheetData>
    <row r="1" ht="30" customHeight="1" spans="1:18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ht="30" customHeight="1" spans="1:18">
      <c r="A2" s="6" t="s">
        <v>73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ht="15" customHeight="1" spans="1:18">
      <c r="A3" s="7" t="s">
        <v>74</v>
      </c>
      <c r="B3" s="8" t="s">
        <v>75</v>
      </c>
      <c r="C3" s="8" t="s">
        <v>4</v>
      </c>
      <c r="D3" s="8" t="s">
        <v>5</v>
      </c>
      <c r="E3" s="9" t="s">
        <v>76</v>
      </c>
      <c r="F3" s="10"/>
      <c r="G3" s="10"/>
      <c r="H3" s="11"/>
      <c r="I3" s="15" t="s">
        <v>77</v>
      </c>
      <c r="J3" s="15"/>
      <c r="K3" s="15"/>
      <c r="L3" s="46" t="s">
        <v>78</v>
      </c>
      <c r="M3" s="15" t="s">
        <v>79</v>
      </c>
      <c r="N3" s="15" t="s">
        <v>80</v>
      </c>
      <c r="O3" s="47" t="s">
        <v>81</v>
      </c>
      <c r="P3" s="15" t="s">
        <v>82</v>
      </c>
      <c r="Q3" s="15" t="s">
        <v>83</v>
      </c>
      <c r="R3" s="47" t="s">
        <v>84</v>
      </c>
    </row>
    <row r="4" ht="15" customHeight="1" spans="1:18">
      <c r="A4" s="12"/>
      <c r="B4" s="13"/>
      <c r="C4" s="14"/>
      <c r="D4" s="14"/>
      <c r="E4" s="15" t="s">
        <v>85</v>
      </c>
      <c r="F4" s="15" t="s">
        <v>86</v>
      </c>
      <c r="G4" s="16" t="s">
        <v>87</v>
      </c>
      <c r="H4" s="15" t="s">
        <v>88</v>
      </c>
      <c r="I4" s="15" t="s">
        <v>89</v>
      </c>
      <c r="J4" s="16" t="s">
        <v>90</v>
      </c>
      <c r="K4" s="15" t="s">
        <v>91</v>
      </c>
      <c r="L4" s="48"/>
      <c r="M4" s="15"/>
      <c r="N4" s="15"/>
      <c r="O4" s="49"/>
      <c r="P4" s="15"/>
      <c r="Q4" s="15"/>
      <c r="R4" s="47"/>
    </row>
    <row r="5" ht="20" customHeight="1" spans="1:18">
      <c r="A5" s="17"/>
      <c r="B5" s="18" t="s">
        <v>92</v>
      </c>
      <c r="C5" s="19"/>
      <c r="D5" s="20"/>
      <c r="E5" s="21"/>
      <c r="F5" s="22"/>
      <c r="G5" s="21">
        <f t="shared" ref="G5:G68" si="0">E5*F5</f>
        <v>0</v>
      </c>
      <c r="H5" s="23">
        <v>262905.8</v>
      </c>
      <c r="I5" s="23"/>
      <c r="J5" s="23">
        <f>I5*F5</f>
        <v>0</v>
      </c>
      <c r="K5" s="23"/>
      <c r="L5" s="50" t="s">
        <v>92</v>
      </c>
      <c r="M5" s="51">
        <f t="shared" ref="M5:M68" si="1">G5+H5</f>
        <v>262905.8</v>
      </c>
      <c r="N5" s="31"/>
      <c r="O5" s="52">
        <f>M5-N5</f>
        <v>262905.8</v>
      </c>
      <c r="P5" s="36">
        <f>J5+K5</f>
        <v>0</v>
      </c>
      <c r="Q5" s="36"/>
      <c r="R5" s="36">
        <f>P5-Q5</f>
        <v>0</v>
      </c>
    </row>
    <row r="6" ht="20" customHeight="1" spans="1:18">
      <c r="A6" s="17"/>
      <c r="B6" s="24">
        <v>250319000032</v>
      </c>
      <c r="C6" s="25" t="s">
        <v>14</v>
      </c>
      <c r="D6" s="26">
        <v>20</v>
      </c>
      <c r="E6" s="27">
        <v>45.5</v>
      </c>
      <c r="F6" s="27">
        <v>783</v>
      </c>
      <c r="G6" s="28">
        <f t="shared" si="0"/>
        <v>35626.5</v>
      </c>
      <c r="H6" s="29"/>
      <c r="I6" s="27">
        <v>800</v>
      </c>
      <c r="J6" s="23">
        <f t="shared" ref="J6:J14" si="2">I6*F6</f>
        <v>626400</v>
      </c>
      <c r="K6" s="29"/>
      <c r="L6" s="53"/>
      <c r="M6" s="51">
        <f t="shared" si="1"/>
        <v>35626.5</v>
      </c>
      <c r="N6" s="31"/>
      <c r="O6" s="52">
        <f>O5+M6-N6</f>
        <v>298532.3</v>
      </c>
      <c r="P6" s="36">
        <f>J6+K6</f>
        <v>626400</v>
      </c>
      <c r="Q6" s="36"/>
      <c r="R6" s="36">
        <f>R5+P6-Q6</f>
        <v>626400</v>
      </c>
    </row>
    <row r="7" ht="20" customHeight="1" spans="1:18">
      <c r="A7" s="17"/>
      <c r="B7" s="24">
        <v>250324000032</v>
      </c>
      <c r="C7" s="25" t="s">
        <v>14</v>
      </c>
      <c r="D7" s="26">
        <v>19</v>
      </c>
      <c r="E7" s="27">
        <v>45.5</v>
      </c>
      <c r="F7" s="27">
        <v>877</v>
      </c>
      <c r="G7" s="21">
        <f t="shared" si="0"/>
        <v>39903.5</v>
      </c>
      <c r="H7" s="23"/>
      <c r="I7" s="27">
        <v>800</v>
      </c>
      <c r="J7" s="23">
        <f t="shared" si="2"/>
        <v>701600</v>
      </c>
      <c r="K7" s="23"/>
      <c r="L7" s="50"/>
      <c r="M7" s="54">
        <f t="shared" si="1"/>
        <v>39903.5</v>
      </c>
      <c r="N7" s="31"/>
      <c r="O7" s="52">
        <f t="shared" ref="O7:O24" si="3">O6+M7-N7</f>
        <v>338435.8</v>
      </c>
      <c r="P7" s="36">
        <f>J7+K7</f>
        <v>701600</v>
      </c>
      <c r="Q7" s="36"/>
      <c r="R7" s="36">
        <f t="shared" ref="R7:R22" si="4">R6+P7-Q7</f>
        <v>1328000</v>
      </c>
    </row>
    <row r="8" ht="20" customHeight="1" spans="1:18">
      <c r="A8" s="30"/>
      <c r="B8" s="24">
        <v>250331000038</v>
      </c>
      <c r="C8" s="25" t="s">
        <v>14</v>
      </c>
      <c r="D8" s="26">
        <v>12</v>
      </c>
      <c r="E8" s="26">
        <v>43</v>
      </c>
      <c r="F8" s="27">
        <v>535</v>
      </c>
      <c r="G8" s="21">
        <f t="shared" si="0"/>
        <v>23005</v>
      </c>
      <c r="H8" s="23"/>
      <c r="I8" s="27">
        <v>850</v>
      </c>
      <c r="J8" s="23">
        <f t="shared" si="2"/>
        <v>454750</v>
      </c>
      <c r="K8" s="23"/>
      <c r="L8" s="50"/>
      <c r="M8" s="54">
        <f t="shared" si="1"/>
        <v>23005</v>
      </c>
      <c r="N8" s="31"/>
      <c r="O8" s="52">
        <f t="shared" si="3"/>
        <v>361440.8</v>
      </c>
      <c r="P8" s="36">
        <f>J8+K8</f>
        <v>454750</v>
      </c>
      <c r="Q8" s="36"/>
      <c r="R8" s="36">
        <f t="shared" si="4"/>
        <v>1782750</v>
      </c>
    </row>
    <row r="9" ht="20" customHeight="1" spans="1:18">
      <c r="A9" s="30"/>
      <c r="B9" s="24">
        <v>250407000069</v>
      </c>
      <c r="C9" s="25" t="s">
        <v>14</v>
      </c>
      <c r="D9" s="26">
        <v>31</v>
      </c>
      <c r="E9" s="26">
        <v>51</v>
      </c>
      <c r="F9" s="27">
        <v>1064</v>
      </c>
      <c r="G9" s="21">
        <f t="shared" si="0"/>
        <v>54264</v>
      </c>
      <c r="H9" s="23"/>
      <c r="I9" s="27"/>
      <c r="J9" s="23">
        <f t="shared" si="2"/>
        <v>0</v>
      </c>
      <c r="K9" s="23"/>
      <c r="L9" s="50"/>
      <c r="M9" s="54">
        <f t="shared" si="1"/>
        <v>54264</v>
      </c>
      <c r="N9" s="31"/>
      <c r="O9" s="52">
        <f t="shared" si="3"/>
        <v>415704.8</v>
      </c>
      <c r="P9" s="36">
        <f t="shared" ref="P9:P22" si="5">J9+K9</f>
        <v>0</v>
      </c>
      <c r="Q9" s="36"/>
      <c r="R9" s="36">
        <f t="shared" si="4"/>
        <v>1782750</v>
      </c>
    </row>
    <row r="10" ht="20" customHeight="1" spans="1:18">
      <c r="A10" s="30"/>
      <c r="B10" s="24">
        <v>250407000070</v>
      </c>
      <c r="C10" s="25" t="s">
        <v>14</v>
      </c>
      <c r="D10" s="26">
        <v>17</v>
      </c>
      <c r="E10" s="26">
        <v>51</v>
      </c>
      <c r="F10" s="27">
        <v>770</v>
      </c>
      <c r="G10" s="31">
        <f t="shared" si="0"/>
        <v>39270</v>
      </c>
      <c r="H10" s="29"/>
      <c r="I10" s="27"/>
      <c r="J10" s="23">
        <f t="shared" si="2"/>
        <v>0</v>
      </c>
      <c r="K10" s="29"/>
      <c r="L10" s="50"/>
      <c r="M10" s="51">
        <f t="shared" si="1"/>
        <v>39270</v>
      </c>
      <c r="N10" s="31"/>
      <c r="O10" s="52">
        <f t="shared" si="3"/>
        <v>454974.8</v>
      </c>
      <c r="P10" s="36">
        <f t="shared" si="5"/>
        <v>0</v>
      </c>
      <c r="Q10" s="36"/>
      <c r="R10" s="36">
        <f t="shared" si="4"/>
        <v>1782750</v>
      </c>
    </row>
    <row r="11" ht="20" customHeight="1" spans="1:18">
      <c r="A11" s="32"/>
      <c r="B11" s="24">
        <v>250411000011</v>
      </c>
      <c r="C11" s="25" t="s">
        <v>14</v>
      </c>
      <c r="D11" s="26">
        <v>11</v>
      </c>
      <c r="E11" s="26">
        <v>51</v>
      </c>
      <c r="F11" s="27">
        <v>500</v>
      </c>
      <c r="G11" s="31">
        <f t="shared" si="0"/>
        <v>25500</v>
      </c>
      <c r="H11" s="29"/>
      <c r="I11" s="27"/>
      <c r="J11" s="23">
        <f t="shared" si="2"/>
        <v>0</v>
      </c>
      <c r="K11" s="29"/>
      <c r="L11" s="53"/>
      <c r="M11" s="51">
        <f t="shared" si="1"/>
        <v>25500</v>
      </c>
      <c r="N11" s="31"/>
      <c r="O11" s="52">
        <f t="shared" si="3"/>
        <v>480474.8</v>
      </c>
      <c r="P11" s="36">
        <f t="shared" si="5"/>
        <v>0</v>
      </c>
      <c r="Q11" s="36"/>
      <c r="R11" s="36">
        <f t="shared" si="4"/>
        <v>1782750</v>
      </c>
    </row>
    <row r="12" ht="20" customHeight="1" spans="1:18">
      <c r="A12" s="32"/>
      <c r="B12" s="24">
        <v>250417000029</v>
      </c>
      <c r="C12" s="25" t="s">
        <v>14</v>
      </c>
      <c r="D12" s="26">
        <v>8</v>
      </c>
      <c r="E12" s="26">
        <v>51</v>
      </c>
      <c r="F12" s="27">
        <v>328</v>
      </c>
      <c r="G12" s="31">
        <f t="shared" si="0"/>
        <v>16728</v>
      </c>
      <c r="H12" s="29"/>
      <c r="I12" s="27"/>
      <c r="J12" s="23">
        <f t="shared" si="2"/>
        <v>0</v>
      </c>
      <c r="K12" s="29"/>
      <c r="L12" s="55"/>
      <c r="M12" s="51">
        <f t="shared" si="1"/>
        <v>16728</v>
      </c>
      <c r="N12" s="31"/>
      <c r="O12" s="52">
        <f t="shared" si="3"/>
        <v>497202.8</v>
      </c>
      <c r="P12" s="36">
        <f t="shared" si="5"/>
        <v>0</v>
      </c>
      <c r="Q12" s="36"/>
      <c r="R12" s="36">
        <f t="shared" si="4"/>
        <v>1782750</v>
      </c>
    </row>
    <row r="13" ht="20" customHeight="1" spans="1:18">
      <c r="A13" s="32"/>
      <c r="B13" s="25" t="s">
        <v>93</v>
      </c>
      <c r="C13" s="25" t="s">
        <v>14</v>
      </c>
      <c r="D13" s="26">
        <v>28</v>
      </c>
      <c r="E13" s="27">
        <v>42</v>
      </c>
      <c r="F13" s="27">
        <v>796</v>
      </c>
      <c r="G13" s="31"/>
      <c r="H13" s="26"/>
      <c r="I13" s="29"/>
      <c r="J13" s="23">
        <f t="shared" si="2"/>
        <v>0</v>
      </c>
      <c r="K13" s="29"/>
      <c r="L13" s="56" t="s">
        <v>94</v>
      </c>
      <c r="M13" s="51">
        <f t="shared" si="1"/>
        <v>0</v>
      </c>
      <c r="N13" s="31">
        <v>34228</v>
      </c>
      <c r="O13" s="52">
        <f t="shared" si="3"/>
        <v>462974.8</v>
      </c>
      <c r="P13" s="36">
        <f t="shared" si="5"/>
        <v>0</v>
      </c>
      <c r="Q13" s="36">
        <v>866800</v>
      </c>
      <c r="R13" s="36">
        <f t="shared" si="4"/>
        <v>915950</v>
      </c>
    </row>
    <row r="14" ht="20" customHeight="1" spans="1:18">
      <c r="A14" s="32"/>
      <c r="B14" s="25" t="s">
        <v>95</v>
      </c>
      <c r="C14" s="25" t="s">
        <v>14</v>
      </c>
      <c r="D14" s="26">
        <v>27</v>
      </c>
      <c r="E14" s="27">
        <v>41</v>
      </c>
      <c r="F14" s="27">
        <v>906</v>
      </c>
      <c r="G14" s="31"/>
      <c r="H14" s="26"/>
      <c r="I14" s="29"/>
      <c r="J14" s="23">
        <f t="shared" si="2"/>
        <v>0</v>
      </c>
      <c r="K14" s="29"/>
      <c r="L14" s="56" t="s">
        <v>96</v>
      </c>
      <c r="M14" s="51">
        <f t="shared" si="1"/>
        <v>0</v>
      </c>
      <c r="N14" s="31">
        <v>38052</v>
      </c>
      <c r="O14" s="52">
        <f t="shared" si="3"/>
        <v>424922.8</v>
      </c>
      <c r="P14" s="36">
        <f t="shared" si="5"/>
        <v>0</v>
      </c>
      <c r="Q14" s="36">
        <v>724800</v>
      </c>
      <c r="R14" s="36">
        <f t="shared" si="4"/>
        <v>191150</v>
      </c>
    </row>
    <row r="15" ht="20" customHeight="1" spans="1:18">
      <c r="A15" s="32"/>
      <c r="B15" s="25" t="s">
        <v>97</v>
      </c>
      <c r="C15" s="25" t="s">
        <v>14</v>
      </c>
      <c r="D15" s="26">
        <v>58</v>
      </c>
      <c r="E15" s="27">
        <v>42</v>
      </c>
      <c r="F15" s="27">
        <v>1520</v>
      </c>
      <c r="G15" s="31"/>
      <c r="H15" s="26"/>
      <c r="I15" s="29"/>
      <c r="J15" s="29"/>
      <c r="K15" s="29"/>
      <c r="L15" s="56" t="s">
        <v>98</v>
      </c>
      <c r="M15" s="51">
        <f t="shared" si="1"/>
        <v>0</v>
      </c>
      <c r="N15" s="31">
        <v>65360</v>
      </c>
      <c r="O15" s="52">
        <f t="shared" si="3"/>
        <v>359562.8</v>
      </c>
      <c r="P15" s="36">
        <f t="shared" si="5"/>
        <v>0</v>
      </c>
      <c r="Q15" s="36">
        <v>1466000</v>
      </c>
      <c r="R15" s="36">
        <f t="shared" si="4"/>
        <v>-1274850</v>
      </c>
    </row>
    <row r="16" ht="20" customHeight="1" spans="1:18">
      <c r="A16" s="32"/>
      <c r="B16" s="25" t="s">
        <v>99</v>
      </c>
      <c r="C16" s="25" t="s">
        <v>14</v>
      </c>
      <c r="D16" s="26">
        <v>69</v>
      </c>
      <c r="E16" s="27">
        <v>43</v>
      </c>
      <c r="F16" s="27">
        <v>1577</v>
      </c>
      <c r="G16" s="33"/>
      <c r="H16" s="26"/>
      <c r="I16" s="57"/>
      <c r="J16" s="57"/>
      <c r="K16" s="57"/>
      <c r="L16" s="58" t="s">
        <v>100</v>
      </c>
      <c r="M16" s="59">
        <f t="shared" si="1"/>
        <v>0</v>
      </c>
      <c r="N16" s="33">
        <v>70177</v>
      </c>
      <c r="O16" s="52">
        <f t="shared" si="3"/>
        <v>289385.8</v>
      </c>
      <c r="P16" s="36">
        <f t="shared" si="5"/>
        <v>0</v>
      </c>
      <c r="Q16" s="36">
        <v>2151600</v>
      </c>
      <c r="R16" s="36">
        <f t="shared" si="4"/>
        <v>-3426450</v>
      </c>
    </row>
    <row r="17" ht="20" customHeight="1" spans="1:18">
      <c r="A17" s="32"/>
      <c r="B17" s="25" t="s">
        <v>101</v>
      </c>
      <c r="C17" s="25" t="s">
        <v>14</v>
      </c>
      <c r="D17" s="26">
        <v>24</v>
      </c>
      <c r="E17" s="26">
        <v>41</v>
      </c>
      <c r="F17" s="27">
        <v>640</v>
      </c>
      <c r="G17" s="33"/>
      <c r="H17" s="26"/>
      <c r="I17" s="57"/>
      <c r="J17" s="57"/>
      <c r="K17" s="57"/>
      <c r="L17" s="58" t="s">
        <v>102</v>
      </c>
      <c r="M17" s="59">
        <f t="shared" si="1"/>
        <v>0</v>
      </c>
      <c r="N17" s="33">
        <v>27200</v>
      </c>
      <c r="O17" s="52">
        <f t="shared" si="3"/>
        <v>262185.8</v>
      </c>
      <c r="P17" s="36">
        <f t="shared" si="5"/>
        <v>0</v>
      </c>
      <c r="Q17" s="36">
        <v>512000</v>
      </c>
      <c r="R17" s="36">
        <f t="shared" si="4"/>
        <v>-3938450</v>
      </c>
    </row>
    <row r="18" ht="20" customHeight="1" spans="1:18">
      <c r="A18" s="32"/>
      <c r="B18" s="25" t="s">
        <v>103</v>
      </c>
      <c r="C18" s="25" t="s">
        <v>104</v>
      </c>
      <c r="D18" s="26">
        <v>14</v>
      </c>
      <c r="E18" s="26">
        <v>43</v>
      </c>
      <c r="F18" s="27">
        <v>315</v>
      </c>
      <c r="G18" s="31"/>
      <c r="H18" s="27"/>
      <c r="I18" s="29"/>
      <c r="J18" s="29"/>
      <c r="K18" s="29"/>
      <c r="L18" s="56" t="s">
        <v>105</v>
      </c>
      <c r="M18" s="51">
        <f t="shared" si="1"/>
        <v>0</v>
      </c>
      <c r="N18" s="31">
        <v>13745</v>
      </c>
      <c r="O18" s="52">
        <f t="shared" si="3"/>
        <v>248440.8</v>
      </c>
      <c r="P18" s="36">
        <f t="shared" si="5"/>
        <v>0</v>
      </c>
      <c r="Q18" s="36">
        <v>652000</v>
      </c>
      <c r="R18" s="36">
        <f t="shared" si="4"/>
        <v>-4590450</v>
      </c>
    </row>
    <row r="19" ht="20" customHeight="1" spans="1:18">
      <c r="A19" s="32"/>
      <c r="B19" s="24">
        <v>250504000014</v>
      </c>
      <c r="C19" s="25" t="s">
        <v>14</v>
      </c>
      <c r="D19" s="34">
        <v>15</v>
      </c>
      <c r="E19" s="31">
        <v>45</v>
      </c>
      <c r="F19" s="31">
        <v>694</v>
      </c>
      <c r="G19" s="31">
        <f t="shared" si="0"/>
        <v>31230</v>
      </c>
      <c r="H19" s="29">
        <v>240.8</v>
      </c>
      <c r="I19" s="29">
        <v>800</v>
      </c>
      <c r="J19" s="23">
        <f>I19*F19</f>
        <v>555200</v>
      </c>
      <c r="K19" s="29"/>
      <c r="L19" s="55"/>
      <c r="M19" s="51">
        <f t="shared" si="1"/>
        <v>31470.8</v>
      </c>
      <c r="N19" s="31"/>
      <c r="O19" s="52">
        <f t="shared" si="3"/>
        <v>279911.6</v>
      </c>
      <c r="P19" s="36">
        <f t="shared" si="5"/>
        <v>555200</v>
      </c>
      <c r="Q19" s="36"/>
      <c r="R19" s="36">
        <f t="shared" si="4"/>
        <v>-4035250</v>
      </c>
    </row>
    <row r="20" ht="20" customHeight="1" spans="1:18">
      <c r="A20" s="17"/>
      <c r="B20" s="24">
        <v>250512000053</v>
      </c>
      <c r="C20" s="25" t="s">
        <v>14</v>
      </c>
      <c r="D20" s="34">
        <v>14</v>
      </c>
      <c r="E20" s="31">
        <v>45</v>
      </c>
      <c r="F20" s="31">
        <v>680</v>
      </c>
      <c r="G20" s="31">
        <f t="shared" si="0"/>
        <v>30600</v>
      </c>
      <c r="H20" s="29">
        <v>197.8</v>
      </c>
      <c r="I20" s="29">
        <v>800</v>
      </c>
      <c r="J20" s="23">
        <f t="shared" ref="J19:J22" si="6">I20*F20</f>
        <v>544000</v>
      </c>
      <c r="K20" s="29"/>
      <c r="L20" s="56"/>
      <c r="M20" s="51">
        <f t="shared" si="1"/>
        <v>30797.8</v>
      </c>
      <c r="N20" s="31"/>
      <c r="O20" s="52">
        <f t="shared" si="3"/>
        <v>310709.4</v>
      </c>
      <c r="P20" s="36">
        <f t="shared" si="5"/>
        <v>544000</v>
      </c>
      <c r="Q20" s="36"/>
      <c r="R20" s="36">
        <f t="shared" si="4"/>
        <v>-3491250</v>
      </c>
    </row>
    <row r="21" ht="20" customHeight="1" spans="1:18">
      <c r="A21" s="30"/>
      <c r="B21" s="24">
        <v>250514000024</v>
      </c>
      <c r="C21" s="25" t="s">
        <v>104</v>
      </c>
      <c r="D21" s="34">
        <v>20</v>
      </c>
      <c r="E21" s="31">
        <v>41.6</v>
      </c>
      <c r="F21" s="31">
        <v>890</v>
      </c>
      <c r="G21" s="31">
        <f t="shared" si="0"/>
        <v>37024</v>
      </c>
      <c r="H21" s="29"/>
      <c r="I21" s="29">
        <v>800</v>
      </c>
      <c r="J21" s="23">
        <f t="shared" si="6"/>
        <v>712000</v>
      </c>
      <c r="K21" s="29"/>
      <c r="L21" s="56"/>
      <c r="M21" s="51">
        <f t="shared" si="1"/>
        <v>37024</v>
      </c>
      <c r="N21" s="31"/>
      <c r="O21" s="52">
        <f t="shared" si="3"/>
        <v>347733.4</v>
      </c>
      <c r="P21" s="36">
        <f t="shared" si="5"/>
        <v>712000</v>
      </c>
      <c r="Q21" s="36"/>
      <c r="R21" s="36">
        <f t="shared" si="4"/>
        <v>-2779250</v>
      </c>
    </row>
    <row r="22" ht="20" customHeight="1" spans="1:18">
      <c r="A22" s="30"/>
      <c r="B22" s="24">
        <v>250516000067</v>
      </c>
      <c r="C22" s="25" t="s">
        <v>14</v>
      </c>
      <c r="D22" s="34">
        <v>19</v>
      </c>
      <c r="E22" s="31">
        <v>45</v>
      </c>
      <c r="F22" s="31">
        <v>861.5</v>
      </c>
      <c r="G22" s="31">
        <f t="shared" si="0"/>
        <v>38767.5</v>
      </c>
      <c r="H22" s="29">
        <v>474</v>
      </c>
      <c r="I22" s="29">
        <v>800</v>
      </c>
      <c r="J22" s="23">
        <f t="shared" si="6"/>
        <v>689200</v>
      </c>
      <c r="K22" s="29"/>
      <c r="L22" s="56"/>
      <c r="M22" s="51">
        <f t="shared" si="1"/>
        <v>39241.5</v>
      </c>
      <c r="N22" s="31"/>
      <c r="O22" s="52">
        <f t="shared" si="3"/>
        <v>386974.9</v>
      </c>
      <c r="P22" s="36">
        <f t="shared" si="5"/>
        <v>689200</v>
      </c>
      <c r="Q22" s="36"/>
      <c r="R22" s="36">
        <f t="shared" si="4"/>
        <v>-2090050</v>
      </c>
    </row>
    <row r="23" ht="20" customHeight="1" spans="1:18">
      <c r="A23" s="32"/>
      <c r="B23" s="25" t="s">
        <v>106</v>
      </c>
      <c r="C23" s="25" t="s">
        <v>57</v>
      </c>
      <c r="D23" s="26">
        <v>11</v>
      </c>
      <c r="E23" s="27"/>
      <c r="F23" s="27">
        <v>555</v>
      </c>
      <c r="G23" s="31"/>
      <c r="H23" s="29"/>
      <c r="I23" s="29">
        <v>800</v>
      </c>
      <c r="J23" s="29">
        <f>I23*F23</f>
        <v>444000</v>
      </c>
      <c r="K23" s="29"/>
      <c r="L23" s="55" t="s">
        <v>107</v>
      </c>
      <c r="M23" s="51">
        <f t="shared" si="1"/>
        <v>0</v>
      </c>
      <c r="N23" s="33">
        <v>92337.5</v>
      </c>
      <c r="O23" s="52">
        <f t="shared" si="3"/>
        <v>294637.4</v>
      </c>
      <c r="P23" s="36">
        <f t="shared" ref="P23:P47" si="7">J23+K23</f>
        <v>444000</v>
      </c>
      <c r="Q23" s="36"/>
      <c r="R23" s="36">
        <f t="shared" ref="R23:R47" si="8">R22+P23-Q23</f>
        <v>-1646050</v>
      </c>
    </row>
    <row r="24" ht="20" customHeight="1" spans="1:18">
      <c r="A24" s="32"/>
      <c r="B24" s="25" t="s">
        <v>108</v>
      </c>
      <c r="C24" s="25" t="s">
        <v>57</v>
      </c>
      <c r="D24" s="26"/>
      <c r="E24" s="27"/>
      <c r="F24" s="27"/>
      <c r="G24" s="31"/>
      <c r="H24" s="29"/>
      <c r="I24" s="29"/>
      <c r="J24" s="29"/>
      <c r="K24" s="29"/>
      <c r="L24" s="56" t="s">
        <v>109</v>
      </c>
      <c r="M24" s="51">
        <f t="shared" si="1"/>
        <v>0</v>
      </c>
      <c r="N24" s="33">
        <v>63910</v>
      </c>
      <c r="O24" s="52">
        <f t="shared" si="3"/>
        <v>230727.4</v>
      </c>
      <c r="P24" s="36">
        <f t="shared" si="7"/>
        <v>0</v>
      </c>
      <c r="Q24" s="36">
        <v>1332000</v>
      </c>
      <c r="R24" s="36">
        <f t="shared" si="8"/>
        <v>-2978050</v>
      </c>
    </row>
    <row r="25" ht="20" customHeight="1" spans="1:18">
      <c r="A25" s="32"/>
      <c r="B25" s="25" t="s">
        <v>110</v>
      </c>
      <c r="C25" s="25" t="s">
        <v>57</v>
      </c>
      <c r="D25" s="26">
        <v>16</v>
      </c>
      <c r="E25" s="27"/>
      <c r="F25" s="27">
        <v>685</v>
      </c>
      <c r="G25" s="31"/>
      <c r="H25" s="29"/>
      <c r="I25" s="29">
        <v>800</v>
      </c>
      <c r="J25" s="29">
        <f>I25*F25</f>
        <v>548000</v>
      </c>
      <c r="K25" s="29"/>
      <c r="L25" s="55" t="s">
        <v>111</v>
      </c>
      <c r="M25" s="51">
        <f t="shared" si="1"/>
        <v>0</v>
      </c>
      <c r="N25" s="33">
        <v>44577.5</v>
      </c>
      <c r="O25" s="52">
        <f t="shared" ref="O6:O69" si="9">O24+M25-N25</f>
        <v>186149.9</v>
      </c>
      <c r="P25" s="36">
        <f t="shared" si="7"/>
        <v>548000</v>
      </c>
      <c r="Q25" s="36"/>
      <c r="R25" s="36">
        <f t="shared" si="8"/>
        <v>-2430050</v>
      </c>
    </row>
    <row r="26" ht="20" customHeight="1" spans="1:18">
      <c r="A26" s="32"/>
      <c r="B26" s="35"/>
      <c r="C26" s="36"/>
      <c r="D26" s="34"/>
      <c r="E26" s="31"/>
      <c r="F26" s="31"/>
      <c r="G26" s="31">
        <f t="shared" si="0"/>
        <v>0</v>
      </c>
      <c r="H26" s="29"/>
      <c r="I26" s="29"/>
      <c r="J26" s="29"/>
      <c r="K26" s="29"/>
      <c r="L26" s="55"/>
      <c r="M26" s="51">
        <f t="shared" si="1"/>
        <v>0</v>
      </c>
      <c r="N26" s="31"/>
      <c r="O26" s="52">
        <f t="shared" si="9"/>
        <v>186149.9</v>
      </c>
      <c r="P26" s="36">
        <f t="shared" si="7"/>
        <v>0</v>
      </c>
      <c r="Q26" s="36"/>
      <c r="R26" s="36">
        <f t="shared" si="8"/>
        <v>-2430050</v>
      </c>
    </row>
    <row r="27" ht="20" customHeight="1" spans="1:18">
      <c r="A27" s="32"/>
      <c r="B27" s="37"/>
      <c r="C27" s="36"/>
      <c r="D27" s="34"/>
      <c r="E27" s="31"/>
      <c r="F27" s="31"/>
      <c r="G27" s="31">
        <f t="shared" si="0"/>
        <v>0</v>
      </c>
      <c r="H27" s="29"/>
      <c r="I27" s="29"/>
      <c r="J27" s="29"/>
      <c r="K27" s="29"/>
      <c r="L27" s="55"/>
      <c r="M27" s="51">
        <f t="shared" si="1"/>
        <v>0</v>
      </c>
      <c r="N27" s="31"/>
      <c r="O27" s="52">
        <f t="shared" si="9"/>
        <v>186149.9</v>
      </c>
      <c r="P27" s="36">
        <f t="shared" si="7"/>
        <v>0</v>
      </c>
      <c r="Q27" s="36"/>
      <c r="R27" s="36">
        <f t="shared" si="8"/>
        <v>-2430050</v>
      </c>
    </row>
    <row r="28" ht="20" customHeight="1" spans="1:18">
      <c r="A28" s="30"/>
      <c r="B28" s="35"/>
      <c r="C28" s="36"/>
      <c r="D28" s="34"/>
      <c r="E28" s="31"/>
      <c r="F28" s="31"/>
      <c r="G28" s="31">
        <f t="shared" si="0"/>
        <v>0</v>
      </c>
      <c r="H28" s="29"/>
      <c r="I28" s="29"/>
      <c r="J28" s="29"/>
      <c r="K28" s="29"/>
      <c r="L28" s="55"/>
      <c r="M28" s="51">
        <f t="shared" si="1"/>
        <v>0</v>
      </c>
      <c r="N28" s="31"/>
      <c r="O28" s="52">
        <f t="shared" si="9"/>
        <v>186149.9</v>
      </c>
      <c r="P28" s="36">
        <f t="shared" si="7"/>
        <v>0</v>
      </c>
      <c r="Q28" s="36"/>
      <c r="R28" s="36">
        <f t="shared" si="8"/>
        <v>-2430050</v>
      </c>
    </row>
    <row r="29" ht="20" customHeight="1" spans="1:18">
      <c r="A29" s="30"/>
      <c r="B29" s="35"/>
      <c r="C29" s="36"/>
      <c r="D29" s="34"/>
      <c r="E29" s="31"/>
      <c r="F29" s="31"/>
      <c r="G29" s="31">
        <f t="shared" si="0"/>
        <v>0</v>
      </c>
      <c r="H29" s="29"/>
      <c r="I29" s="29"/>
      <c r="J29" s="29"/>
      <c r="K29" s="29"/>
      <c r="L29" s="55"/>
      <c r="M29" s="51">
        <f t="shared" si="1"/>
        <v>0</v>
      </c>
      <c r="N29" s="31"/>
      <c r="O29" s="52">
        <f t="shared" si="9"/>
        <v>186149.9</v>
      </c>
      <c r="P29" s="36">
        <f t="shared" si="7"/>
        <v>0</v>
      </c>
      <c r="Q29" s="36"/>
      <c r="R29" s="36">
        <f t="shared" si="8"/>
        <v>-2430050</v>
      </c>
    </row>
    <row r="30" ht="20" customHeight="1" spans="1:18">
      <c r="A30" s="30"/>
      <c r="B30" s="35"/>
      <c r="C30" s="36"/>
      <c r="D30" s="34"/>
      <c r="E30" s="31"/>
      <c r="F30" s="31"/>
      <c r="G30" s="31">
        <f t="shared" si="0"/>
        <v>0</v>
      </c>
      <c r="H30" s="29"/>
      <c r="I30" s="29"/>
      <c r="J30" s="29"/>
      <c r="K30" s="29"/>
      <c r="L30" s="55"/>
      <c r="M30" s="51">
        <f t="shared" si="1"/>
        <v>0</v>
      </c>
      <c r="N30" s="31"/>
      <c r="O30" s="52">
        <f t="shared" si="9"/>
        <v>186149.9</v>
      </c>
      <c r="P30" s="36">
        <f t="shared" si="7"/>
        <v>0</v>
      </c>
      <c r="Q30" s="36"/>
      <c r="R30" s="36">
        <f t="shared" si="8"/>
        <v>-2430050</v>
      </c>
    </row>
    <row r="31" ht="20" customHeight="1" spans="1:18">
      <c r="A31" s="30"/>
      <c r="B31" s="35"/>
      <c r="C31" s="36"/>
      <c r="D31" s="34"/>
      <c r="E31" s="31"/>
      <c r="F31" s="31"/>
      <c r="G31" s="31">
        <f t="shared" si="0"/>
        <v>0</v>
      </c>
      <c r="H31" s="29"/>
      <c r="I31" s="29"/>
      <c r="J31" s="29"/>
      <c r="K31" s="29"/>
      <c r="L31" s="55"/>
      <c r="M31" s="51">
        <f t="shared" si="1"/>
        <v>0</v>
      </c>
      <c r="N31" s="31"/>
      <c r="O31" s="52">
        <f t="shared" si="9"/>
        <v>186149.9</v>
      </c>
      <c r="P31" s="36">
        <f t="shared" si="7"/>
        <v>0</v>
      </c>
      <c r="Q31" s="36"/>
      <c r="R31" s="36">
        <f t="shared" si="8"/>
        <v>-2430050</v>
      </c>
    </row>
    <row r="32" ht="20" customHeight="1" spans="1:18">
      <c r="A32" s="32"/>
      <c r="B32" s="37"/>
      <c r="C32" s="36"/>
      <c r="D32" s="34"/>
      <c r="E32" s="31"/>
      <c r="F32" s="31"/>
      <c r="G32" s="31">
        <f t="shared" si="0"/>
        <v>0</v>
      </c>
      <c r="H32" s="29"/>
      <c r="I32" s="29"/>
      <c r="J32" s="29"/>
      <c r="K32" s="29"/>
      <c r="L32" s="55"/>
      <c r="M32" s="51">
        <f t="shared" si="1"/>
        <v>0</v>
      </c>
      <c r="N32" s="31"/>
      <c r="O32" s="52">
        <f t="shared" si="9"/>
        <v>186149.9</v>
      </c>
      <c r="P32" s="36">
        <f t="shared" si="7"/>
        <v>0</v>
      </c>
      <c r="Q32" s="36"/>
      <c r="R32" s="36">
        <f t="shared" si="8"/>
        <v>-2430050</v>
      </c>
    </row>
    <row r="33" ht="20" customHeight="1" spans="1:18">
      <c r="A33" s="32"/>
      <c r="B33" s="37"/>
      <c r="C33" s="36"/>
      <c r="D33" s="34"/>
      <c r="E33" s="31"/>
      <c r="F33" s="31"/>
      <c r="G33" s="31">
        <f t="shared" si="0"/>
        <v>0</v>
      </c>
      <c r="H33" s="29"/>
      <c r="I33" s="29"/>
      <c r="J33" s="29"/>
      <c r="K33" s="29"/>
      <c r="L33" s="55"/>
      <c r="M33" s="51">
        <f t="shared" si="1"/>
        <v>0</v>
      </c>
      <c r="N33" s="31"/>
      <c r="O33" s="52">
        <f t="shared" si="9"/>
        <v>186149.9</v>
      </c>
      <c r="P33" s="36">
        <f t="shared" si="7"/>
        <v>0</v>
      </c>
      <c r="Q33" s="36"/>
      <c r="R33" s="36">
        <f t="shared" si="8"/>
        <v>-2430050</v>
      </c>
    </row>
    <row r="34" ht="20" customHeight="1" spans="1:18">
      <c r="A34" s="30"/>
      <c r="B34" s="37"/>
      <c r="C34" s="36"/>
      <c r="D34" s="34"/>
      <c r="E34" s="31"/>
      <c r="F34" s="31"/>
      <c r="G34" s="31">
        <f t="shared" si="0"/>
        <v>0</v>
      </c>
      <c r="H34" s="29"/>
      <c r="I34" s="29"/>
      <c r="J34" s="29"/>
      <c r="K34" s="29"/>
      <c r="L34" s="55"/>
      <c r="M34" s="51">
        <f t="shared" si="1"/>
        <v>0</v>
      </c>
      <c r="N34" s="31"/>
      <c r="O34" s="52">
        <f t="shared" si="9"/>
        <v>186149.9</v>
      </c>
      <c r="P34" s="36">
        <f t="shared" si="7"/>
        <v>0</v>
      </c>
      <c r="Q34" s="36"/>
      <c r="R34" s="36">
        <f t="shared" si="8"/>
        <v>-2430050</v>
      </c>
    </row>
    <row r="35" ht="20" customHeight="1" spans="1:18">
      <c r="A35" s="38"/>
      <c r="B35" s="37"/>
      <c r="C35" s="39"/>
      <c r="D35" s="40"/>
      <c r="E35" s="41"/>
      <c r="F35" s="41"/>
      <c r="G35" s="41">
        <f t="shared" si="0"/>
        <v>0</v>
      </c>
      <c r="H35" s="42"/>
      <c r="I35" s="42"/>
      <c r="J35" s="42"/>
      <c r="K35" s="42"/>
      <c r="L35" s="60"/>
      <c r="M35" s="61">
        <f t="shared" si="1"/>
        <v>0</v>
      </c>
      <c r="N35" s="41"/>
      <c r="O35" s="52">
        <f t="shared" si="9"/>
        <v>186149.9</v>
      </c>
      <c r="P35" s="36">
        <f t="shared" si="7"/>
        <v>0</v>
      </c>
      <c r="Q35" s="36"/>
      <c r="R35" s="36">
        <f t="shared" si="8"/>
        <v>-2430050</v>
      </c>
    </row>
    <row r="36" ht="20" customHeight="1" spans="1:18">
      <c r="A36" s="32"/>
      <c r="B36" s="37"/>
      <c r="C36" s="36"/>
      <c r="D36" s="34"/>
      <c r="E36" s="31"/>
      <c r="F36" s="31"/>
      <c r="G36" s="31">
        <f t="shared" si="0"/>
        <v>0</v>
      </c>
      <c r="H36" s="29"/>
      <c r="I36" s="29"/>
      <c r="J36" s="29"/>
      <c r="K36" s="29"/>
      <c r="L36" s="55"/>
      <c r="M36" s="51">
        <f t="shared" si="1"/>
        <v>0</v>
      </c>
      <c r="N36" s="31"/>
      <c r="O36" s="52">
        <f t="shared" si="9"/>
        <v>186149.9</v>
      </c>
      <c r="P36" s="36">
        <f t="shared" si="7"/>
        <v>0</v>
      </c>
      <c r="Q36" s="36"/>
      <c r="R36" s="36">
        <f t="shared" si="8"/>
        <v>-2430050</v>
      </c>
    </row>
    <row r="37" ht="20" customHeight="1" spans="1:18">
      <c r="A37" s="32"/>
      <c r="B37" s="37"/>
      <c r="C37" s="36"/>
      <c r="D37" s="34"/>
      <c r="E37" s="31"/>
      <c r="F37" s="31"/>
      <c r="G37" s="31">
        <f t="shared" si="0"/>
        <v>0</v>
      </c>
      <c r="H37" s="29"/>
      <c r="I37" s="29"/>
      <c r="J37" s="29"/>
      <c r="K37" s="29"/>
      <c r="L37" s="55"/>
      <c r="M37" s="51">
        <f t="shared" si="1"/>
        <v>0</v>
      </c>
      <c r="N37" s="31"/>
      <c r="O37" s="52">
        <f t="shared" si="9"/>
        <v>186149.9</v>
      </c>
      <c r="P37" s="36">
        <f t="shared" si="7"/>
        <v>0</v>
      </c>
      <c r="Q37" s="36"/>
      <c r="R37" s="36">
        <f t="shared" si="8"/>
        <v>-2430050</v>
      </c>
    </row>
    <row r="38" ht="20" customHeight="1" spans="1:18">
      <c r="A38" s="32"/>
      <c r="B38" s="37"/>
      <c r="C38" s="36"/>
      <c r="D38" s="34"/>
      <c r="E38" s="31"/>
      <c r="F38" s="31"/>
      <c r="G38" s="31">
        <f t="shared" si="0"/>
        <v>0</v>
      </c>
      <c r="H38" s="29"/>
      <c r="I38" s="29"/>
      <c r="J38" s="29"/>
      <c r="K38" s="29"/>
      <c r="L38" s="55"/>
      <c r="M38" s="51">
        <f t="shared" si="1"/>
        <v>0</v>
      </c>
      <c r="N38" s="31"/>
      <c r="O38" s="52">
        <f t="shared" si="9"/>
        <v>186149.9</v>
      </c>
      <c r="P38" s="36">
        <f t="shared" si="7"/>
        <v>0</v>
      </c>
      <c r="Q38" s="36"/>
      <c r="R38" s="36">
        <f t="shared" si="8"/>
        <v>-2430050</v>
      </c>
    </row>
    <row r="39" ht="20" customHeight="1" spans="1:18">
      <c r="A39" s="32"/>
      <c r="B39" s="37"/>
      <c r="C39" s="36"/>
      <c r="D39" s="34"/>
      <c r="E39" s="31"/>
      <c r="F39" s="31"/>
      <c r="G39" s="31">
        <f t="shared" si="0"/>
        <v>0</v>
      </c>
      <c r="H39" s="29"/>
      <c r="I39" s="29"/>
      <c r="J39" s="29"/>
      <c r="K39" s="29"/>
      <c r="L39" s="55"/>
      <c r="M39" s="51">
        <f t="shared" si="1"/>
        <v>0</v>
      </c>
      <c r="N39" s="31"/>
      <c r="O39" s="52">
        <f t="shared" si="9"/>
        <v>186149.9</v>
      </c>
      <c r="P39" s="36">
        <f t="shared" si="7"/>
        <v>0</v>
      </c>
      <c r="Q39" s="36"/>
      <c r="R39" s="36">
        <f t="shared" si="8"/>
        <v>-2430050</v>
      </c>
    </row>
    <row r="40" ht="20" customHeight="1" spans="1:18">
      <c r="A40" s="32"/>
      <c r="B40" s="37"/>
      <c r="C40" s="36"/>
      <c r="D40" s="34"/>
      <c r="E40" s="31"/>
      <c r="F40" s="31"/>
      <c r="G40" s="31">
        <f t="shared" si="0"/>
        <v>0</v>
      </c>
      <c r="H40" s="29"/>
      <c r="I40" s="29"/>
      <c r="J40" s="29"/>
      <c r="K40" s="29"/>
      <c r="L40" s="55"/>
      <c r="M40" s="51">
        <f t="shared" si="1"/>
        <v>0</v>
      </c>
      <c r="N40" s="31"/>
      <c r="O40" s="52">
        <f t="shared" si="9"/>
        <v>186149.9</v>
      </c>
      <c r="P40" s="36">
        <f t="shared" si="7"/>
        <v>0</v>
      </c>
      <c r="Q40" s="36"/>
      <c r="R40" s="36">
        <f t="shared" si="8"/>
        <v>-2430050</v>
      </c>
    </row>
    <row r="41" ht="20" customHeight="1" spans="1:18">
      <c r="A41" s="30"/>
      <c r="B41" s="37"/>
      <c r="C41" s="36"/>
      <c r="D41" s="34"/>
      <c r="E41" s="31"/>
      <c r="F41" s="31"/>
      <c r="G41" s="31">
        <f t="shared" si="0"/>
        <v>0</v>
      </c>
      <c r="H41" s="29"/>
      <c r="I41" s="29"/>
      <c r="J41" s="29"/>
      <c r="K41" s="29"/>
      <c r="L41" s="55"/>
      <c r="M41" s="51">
        <f t="shared" si="1"/>
        <v>0</v>
      </c>
      <c r="N41" s="31"/>
      <c r="O41" s="52">
        <f t="shared" si="9"/>
        <v>186149.9</v>
      </c>
      <c r="P41" s="36">
        <f t="shared" si="7"/>
        <v>0</v>
      </c>
      <c r="Q41" s="36"/>
      <c r="R41" s="36">
        <f t="shared" si="8"/>
        <v>-2430050</v>
      </c>
    </row>
    <row r="42" ht="20" customHeight="1" spans="1:18">
      <c r="A42" s="30"/>
      <c r="B42" s="37"/>
      <c r="C42" s="36"/>
      <c r="D42" s="34"/>
      <c r="E42" s="31"/>
      <c r="F42" s="31"/>
      <c r="G42" s="31">
        <f t="shared" si="0"/>
        <v>0</v>
      </c>
      <c r="H42" s="29"/>
      <c r="I42" s="29"/>
      <c r="J42" s="29"/>
      <c r="K42" s="29"/>
      <c r="L42" s="55"/>
      <c r="M42" s="51">
        <f t="shared" si="1"/>
        <v>0</v>
      </c>
      <c r="N42" s="31"/>
      <c r="O42" s="52">
        <f t="shared" si="9"/>
        <v>186149.9</v>
      </c>
      <c r="P42" s="36">
        <f t="shared" si="7"/>
        <v>0</v>
      </c>
      <c r="Q42" s="36"/>
      <c r="R42" s="36">
        <f t="shared" si="8"/>
        <v>-2430050</v>
      </c>
    </row>
    <row r="43" ht="20" customHeight="1" spans="1:18">
      <c r="A43" s="30"/>
      <c r="B43" s="37"/>
      <c r="C43" s="36"/>
      <c r="D43" s="34"/>
      <c r="E43" s="31"/>
      <c r="F43" s="31"/>
      <c r="G43" s="31">
        <f t="shared" si="0"/>
        <v>0</v>
      </c>
      <c r="H43" s="29"/>
      <c r="I43" s="29"/>
      <c r="J43" s="29"/>
      <c r="K43" s="29"/>
      <c r="L43" s="55"/>
      <c r="M43" s="51">
        <f t="shared" si="1"/>
        <v>0</v>
      </c>
      <c r="N43" s="31"/>
      <c r="O43" s="52">
        <f t="shared" si="9"/>
        <v>186149.9</v>
      </c>
      <c r="P43" s="36">
        <f t="shared" si="7"/>
        <v>0</v>
      </c>
      <c r="Q43" s="36"/>
      <c r="R43" s="36">
        <f t="shared" si="8"/>
        <v>-2430050</v>
      </c>
    </row>
    <row r="44" ht="20" customHeight="1" spans="1:18">
      <c r="A44" s="32"/>
      <c r="B44" s="37"/>
      <c r="C44" s="36"/>
      <c r="D44" s="34"/>
      <c r="E44" s="31"/>
      <c r="F44" s="31"/>
      <c r="G44" s="31">
        <f t="shared" si="0"/>
        <v>0</v>
      </c>
      <c r="H44" s="29"/>
      <c r="I44" s="29"/>
      <c r="J44" s="29"/>
      <c r="K44" s="29"/>
      <c r="L44" s="55"/>
      <c r="M44" s="51">
        <f t="shared" si="1"/>
        <v>0</v>
      </c>
      <c r="N44" s="31"/>
      <c r="O44" s="52">
        <f t="shared" si="9"/>
        <v>186149.9</v>
      </c>
      <c r="P44" s="36">
        <f t="shared" si="7"/>
        <v>0</v>
      </c>
      <c r="Q44" s="36"/>
      <c r="R44" s="36">
        <f t="shared" si="8"/>
        <v>-2430050</v>
      </c>
    </row>
    <row r="45" ht="20" customHeight="1" spans="1:18">
      <c r="A45" s="32"/>
      <c r="B45" s="37"/>
      <c r="C45" s="36"/>
      <c r="D45" s="34"/>
      <c r="E45" s="31"/>
      <c r="F45" s="31"/>
      <c r="G45" s="31">
        <f t="shared" si="0"/>
        <v>0</v>
      </c>
      <c r="H45" s="29"/>
      <c r="I45" s="29"/>
      <c r="J45" s="29"/>
      <c r="K45" s="29"/>
      <c r="L45" s="55"/>
      <c r="M45" s="51">
        <f t="shared" si="1"/>
        <v>0</v>
      </c>
      <c r="N45" s="31"/>
      <c r="O45" s="52">
        <f t="shared" si="9"/>
        <v>186149.9</v>
      </c>
      <c r="P45" s="36">
        <f t="shared" si="7"/>
        <v>0</v>
      </c>
      <c r="Q45" s="36"/>
      <c r="R45" s="36">
        <f t="shared" si="8"/>
        <v>-2430050</v>
      </c>
    </row>
    <row r="46" ht="20" customHeight="1" spans="1:18">
      <c r="A46" s="32"/>
      <c r="B46" s="37"/>
      <c r="C46" s="36"/>
      <c r="D46" s="34"/>
      <c r="E46" s="31"/>
      <c r="F46" s="31"/>
      <c r="G46" s="31">
        <f t="shared" si="0"/>
        <v>0</v>
      </c>
      <c r="H46" s="29"/>
      <c r="I46" s="29"/>
      <c r="J46" s="29"/>
      <c r="K46" s="29"/>
      <c r="L46" s="55"/>
      <c r="M46" s="51">
        <f t="shared" si="1"/>
        <v>0</v>
      </c>
      <c r="N46" s="31"/>
      <c r="O46" s="52">
        <f t="shared" si="9"/>
        <v>186149.9</v>
      </c>
      <c r="P46" s="36">
        <f t="shared" si="7"/>
        <v>0</v>
      </c>
      <c r="Q46" s="36"/>
      <c r="R46" s="36">
        <f t="shared" si="8"/>
        <v>-2430050</v>
      </c>
    </row>
    <row r="47" ht="20" customHeight="1" spans="1:18">
      <c r="A47" s="43"/>
      <c r="B47" s="37"/>
      <c r="C47" s="36"/>
      <c r="D47" s="34"/>
      <c r="E47" s="31"/>
      <c r="F47" s="31"/>
      <c r="G47" s="31">
        <f t="shared" si="0"/>
        <v>0</v>
      </c>
      <c r="H47" s="29"/>
      <c r="I47" s="29"/>
      <c r="J47" s="29"/>
      <c r="K47" s="29"/>
      <c r="L47" s="55"/>
      <c r="M47" s="51">
        <f t="shared" si="1"/>
        <v>0</v>
      </c>
      <c r="N47" s="31"/>
      <c r="O47" s="52">
        <f t="shared" si="9"/>
        <v>186149.9</v>
      </c>
      <c r="P47" s="36">
        <f t="shared" si="7"/>
        <v>0</v>
      </c>
      <c r="Q47" s="36"/>
      <c r="R47" s="36">
        <f t="shared" si="8"/>
        <v>-2430050</v>
      </c>
    </row>
    <row r="48" ht="20" customHeight="1" spans="1:18">
      <c r="A48" s="17"/>
      <c r="B48" s="44"/>
      <c r="C48" s="36"/>
      <c r="D48" s="34"/>
      <c r="E48" s="31"/>
      <c r="F48" s="31"/>
      <c r="G48" s="31">
        <f t="shared" si="0"/>
        <v>0</v>
      </c>
      <c r="H48" s="29"/>
      <c r="I48" s="29"/>
      <c r="J48" s="29"/>
      <c r="K48" s="29"/>
      <c r="L48" s="29"/>
      <c r="M48" s="51">
        <f t="shared" si="1"/>
        <v>0</v>
      </c>
      <c r="N48" s="31"/>
      <c r="O48" s="52">
        <f t="shared" si="9"/>
        <v>186149.9</v>
      </c>
      <c r="P48" s="36"/>
      <c r="Q48" s="36"/>
      <c r="R48" s="36"/>
    </row>
    <row r="49" ht="20" customHeight="1" spans="1:18">
      <c r="A49" s="17"/>
      <c r="B49" s="44"/>
      <c r="C49" s="36"/>
      <c r="D49" s="34"/>
      <c r="E49" s="31"/>
      <c r="F49" s="31"/>
      <c r="G49" s="31">
        <f t="shared" si="0"/>
        <v>0</v>
      </c>
      <c r="H49" s="29"/>
      <c r="I49" s="29"/>
      <c r="J49" s="29"/>
      <c r="K49" s="29"/>
      <c r="L49" s="29"/>
      <c r="M49" s="51">
        <f t="shared" si="1"/>
        <v>0</v>
      </c>
      <c r="N49" s="31"/>
      <c r="O49" s="52">
        <f t="shared" si="9"/>
        <v>186149.9</v>
      </c>
      <c r="P49" s="36"/>
      <c r="Q49" s="36"/>
      <c r="R49" s="36"/>
    </row>
    <row r="50" ht="20" customHeight="1" spans="1:18">
      <c r="A50" s="17"/>
      <c r="B50" s="44"/>
      <c r="C50" s="36"/>
      <c r="D50" s="34"/>
      <c r="E50" s="31"/>
      <c r="F50" s="31"/>
      <c r="G50" s="31">
        <f t="shared" si="0"/>
        <v>0</v>
      </c>
      <c r="H50" s="29"/>
      <c r="I50" s="29"/>
      <c r="J50" s="29"/>
      <c r="K50" s="29"/>
      <c r="L50" s="29"/>
      <c r="M50" s="51">
        <f t="shared" si="1"/>
        <v>0</v>
      </c>
      <c r="N50" s="31"/>
      <c r="O50" s="52">
        <f t="shared" si="9"/>
        <v>186149.9</v>
      </c>
      <c r="P50" s="36"/>
      <c r="Q50" s="36"/>
      <c r="R50" s="36"/>
    </row>
    <row r="51" ht="20" customHeight="1" spans="1:18">
      <c r="A51" s="43"/>
      <c r="B51" s="37"/>
      <c r="C51" s="36"/>
      <c r="D51" s="34"/>
      <c r="E51" s="31"/>
      <c r="F51" s="31"/>
      <c r="G51" s="31">
        <f t="shared" si="0"/>
        <v>0</v>
      </c>
      <c r="H51" s="29"/>
      <c r="I51" s="29"/>
      <c r="J51" s="29"/>
      <c r="K51" s="29"/>
      <c r="L51" s="29"/>
      <c r="M51" s="51">
        <f t="shared" si="1"/>
        <v>0</v>
      </c>
      <c r="N51" s="31"/>
      <c r="O51" s="52">
        <f t="shared" si="9"/>
        <v>186149.9</v>
      </c>
      <c r="P51" s="36"/>
      <c r="Q51" s="36"/>
      <c r="R51" s="36"/>
    </row>
    <row r="52" ht="20" customHeight="1" spans="1:18">
      <c r="A52" s="43"/>
      <c r="B52" s="37"/>
      <c r="C52" s="36"/>
      <c r="D52" s="34"/>
      <c r="E52" s="31"/>
      <c r="F52" s="31"/>
      <c r="G52" s="31">
        <f t="shared" si="0"/>
        <v>0</v>
      </c>
      <c r="H52" s="29"/>
      <c r="I52" s="29"/>
      <c r="J52" s="29"/>
      <c r="K52" s="29"/>
      <c r="L52" s="29"/>
      <c r="M52" s="51">
        <f t="shared" si="1"/>
        <v>0</v>
      </c>
      <c r="N52" s="31"/>
      <c r="O52" s="52">
        <f t="shared" si="9"/>
        <v>186149.9</v>
      </c>
      <c r="P52" s="36"/>
      <c r="Q52" s="36"/>
      <c r="R52" s="36"/>
    </row>
    <row r="53" ht="20" customHeight="1" spans="1:18">
      <c r="A53" s="43"/>
      <c r="B53" s="37"/>
      <c r="C53" s="36"/>
      <c r="D53" s="34"/>
      <c r="E53" s="31"/>
      <c r="F53" s="31"/>
      <c r="G53" s="31">
        <f t="shared" si="0"/>
        <v>0</v>
      </c>
      <c r="H53" s="29"/>
      <c r="I53" s="29"/>
      <c r="J53" s="29"/>
      <c r="K53" s="29"/>
      <c r="L53" s="29"/>
      <c r="M53" s="51">
        <f t="shared" si="1"/>
        <v>0</v>
      </c>
      <c r="N53" s="31"/>
      <c r="O53" s="52">
        <f t="shared" si="9"/>
        <v>186149.9</v>
      </c>
      <c r="P53" s="36"/>
      <c r="Q53" s="36"/>
      <c r="R53" s="36"/>
    </row>
    <row r="54" ht="20" customHeight="1" spans="1:18">
      <c r="A54" s="43"/>
      <c r="B54" s="37"/>
      <c r="C54" s="36"/>
      <c r="D54" s="34"/>
      <c r="E54" s="31"/>
      <c r="F54" s="31"/>
      <c r="G54" s="31">
        <f t="shared" si="0"/>
        <v>0</v>
      </c>
      <c r="H54" s="29"/>
      <c r="I54" s="29"/>
      <c r="J54" s="29"/>
      <c r="K54" s="29"/>
      <c r="L54" s="29"/>
      <c r="M54" s="51">
        <f t="shared" si="1"/>
        <v>0</v>
      </c>
      <c r="N54" s="31"/>
      <c r="O54" s="52">
        <f t="shared" si="9"/>
        <v>186149.9</v>
      </c>
      <c r="P54" s="36"/>
      <c r="Q54" s="36"/>
      <c r="R54" s="36"/>
    </row>
    <row r="55" ht="20" customHeight="1" spans="1:18">
      <c r="A55" s="32"/>
      <c r="B55" s="37"/>
      <c r="C55" s="36"/>
      <c r="D55" s="34"/>
      <c r="E55" s="31"/>
      <c r="F55" s="45"/>
      <c r="G55" s="31">
        <f t="shared" si="0"/>
        <v>0</v>
      </c>
      <c r="H55" s="29"/>
      <c r="I55" s="29"/>
      <c r="J55" s="29"/>
      <c r="K55" s="29"/>
      <c r="L55" s="29"/>
      <c r="M55" s="51">
        <f t="shared" si="1"/>
        <v>0</v>
      </c>
      <c r="N55" s="31"/>
      <c r="O55" s="52">
        <f t="shared" si="9"/>
        <v>186149.9</v>
      </c>
      <c r="P55" s="36"/>
      <c r="Q55" s="36"/>
      <c r="R55" s="36"/>
    </row>
    <row r="56" ht="20" customHeight="1" spans="1:18">
      <c r="A56" s="32"/>
      <c r="B56" s="37"/>
      <c r="C56" s="36"/>
      <c r="D56" s="34"/>
      <c r="E56" s="31"/>
      <c r="F56" s="45"/>
      <c r="G56" s="31">
        <f t="shared" si="0"/>
        <v>0</v>
      </c>
      <c r="H56" s="29"/>
      <c r="I56" s="29"/>
      <c r="J56" s="29"/>
      <c r="K56" s="29"/>
      <c r="L56" s="29"/>
      <c r="M56" s="51">
        <f t="shared" si="1"/>
        <v>0</v>
      </c>
      <c r="N56" s="31"/>
      <c r="O56" s="52">
        <f t="shared" si="9"/>
        <v>186149.9</v>
      </c>
      <c r="P56" s="36"/>
      <c r="Q56" s="36"/>
      <c r="R56" s="36"/>
    </row>
    <row r="57" ht="20" customHeight="1" spans="1:18">
      <c r="A57" s="32"/>
      <c r="B57" s="37"/>
      <c r="C57" s="36"/>
      <c r="D57" s="34"/>
      <c r="E57" s="31"/>
      <c r="F57" s="45"/>
      <c r="G57" s="31">
        <f t="shared" si="0"/>
        <v>0</v>
      </c>
      <c r="H57" s="29"/>
      <c r="I57" s="29"/>
      <c r="J57" s="29"/>
      <c r="K57" s="29"/>
      <c r="L57" s="29"/>
      <c r="M57" s="51">
        <f t="shared" si="1"/>
        <v>0</v>
      </c>
      <c r="N57" s="31"/>
      <c r="O57" s="52">
        <f t="shared" si="9"/>
        <v>186149.9</v>
      </c>
      <c r="P57" s="36"/>
      <c r="Q57" s="36"/>
      <c r="R57" s="36"/>
    </row>
    <row r="58" ht="20" customHeight="1" spans="1:18">
      <c r="A58" s="32"/>
      <c r="B58" s="37"/>
      <c r="C58" s="36"/>
      <c r="D58" s="34"/>
      <c r="E58" s="31"/>
      <c r="F58" s="45"/>
      <c r="G58" s="31">
        <f t="shared" si="0"/>
        <v>0</v>
      </c>
      <c r="H58" s="29"/>
      <c r="I58" s="29"/>
      <c r="J58" s="29"/>
      <c r="K58" s="29"/>
      <c r="L58" s="29"/>
      <c r="M58" s="51">
        <f t="shared" si="1"/>
        <v>0</v>
      </c>
      <c r="N58" s="31"/>
      <c r="O58" s="52">
        <f t="shared" si="9"/>
        <v>186149.9</v>
      </c>
      <c r="P58" s="36"/>
      <c r="Q58" s="36"/>
      <c r="R58" s="36"/>
    </row>
    <row r="59" ht="20" customHeight="1" spans="1:18">
      <c r="A59" s="32"/>
      <c r="B59" s="37"/>
      <c r="C59" s="36"/>
      <c r="D59" s="34"/>
      <c r="E59" s="31"/>
      <c r="F59" s="45"/>
      <c r="G59" s="31">
        <f t="shared" si="0"/>
        <v>0</v>
      </c>
      <c r="H59" s="29"/>
      <c r="I59" s="29"/>
      <c r="J59" s="29"/>
      <c r="K59" s="29"/>
      <c r="L59" s="29"/>
      <c r="M59" s="51">
        <f t="shared" si="1"/>
        <v>0</v>
      </c>
      <c r="N59" s="31"/>
      <c r="O59" s="52">
        <f t="shared" si="9"/>
        <v>186149.9</v>
      </c>
      <c r="P59" s="36"/>
      <c r="Q59" s="36"/>
      <c r="R59" s="36"/>
    </row>
    <row r="60" ht="20" customHeight="1" spans="1:18">
      <c r="A60" s="32"/>
      <c r="B60" s="37"/>
      <c r="C60" s="36"/>
      <c r="D60" s="34"/>
      <c r="E60" s="31"/>
      <c r="F60" s="45"/>
      <c r="G60" s="31">
        <f t="shared" si="0"/>
        <v>0</v>
      </c>
      <c r="H60" s="29"/>
      <c r="I60" s="29"/>
      <c r="J60" s="29"/>
      <c r="K60" s="29"/>
      <c r="L60" s="29"/>
      <c r="M60" s="51">
        <f t="shared" si="1"/>
        <v>0</v>
      </c>
      <c r="N60" s="31"/>
      <c r="O60" s="52">
        <f t="shared" si="9"/>
        <v>186149.9</v>
      </c>
      <c r="P60" s="36"/>
      <c r="Q60" s="36"/>
      <c r="R60" s="36"/>
    </row>
    <row r="61" ht="20" customHeight="1" spans="1:18">
      <c r="A61" s="32"/>
      <c r="B61" s="37"/>
      <c r="C61" s="36"/>
      <c r="D61" s="34"/>
      <c r="E61" s="31"/>
      <c r="F61" s="31"/>
      <c r="G61" s="31">
        <f t="shared" si="0"/>
        <v>0</v>
      </c>
      <c r="H61" s="29"/>
      <c r="I61" s="29"/>
      <c r="J61" s="29"/>
      <c r="K61" s="29"/>
      <c r="L61" s="29"/>
      <c r="M61" s="51">
        <f t="shared" si="1"/>
        <v>0</v>
      </c>
      <c r="N61" s="29"/>
      <c r="O61" s="52">
        <f t="shared" si="9"/>
        <v>186149.9</v>
      </c>
      <c r="P61" s="36"/>
      <c r="Q61" s="36"/>
      <c r="R61" s="36"/>
    </row>
    <row r="62" ht="20" customHeight="1" spans="1:18">
      <c r="A62" s="32"/>
      <c r="B62" s="37"/>
      <c r="C62" s="36"/>
      <c r="D62" s="34"/>
      <c r="E62" s="31"/>
      <c r="F62" s="31"/>
      <c r="G62" s="31">
        <f t="shared" si="0"/>
        <v>0</v>
      </c>
      <c r="H62" s="29"/>
      <c r="I62" s="29"/>
      <c r="J62" s="29"/>
      <c r="K62" s="29"/>
      <c r="L62" s="29"/>
      <c r="M62" s="51">
        <f t="shared" si="1"/>
        <v>0</v>
      </c>
      <c r="N62" s="29"/>
      <c r="O62" s="52">
        <f t="shared" si="9"/>
        <v>186149.9</v>
      </c>
      <c r="P62" s="36"/>
      <c r="Q62" s="36"/>
      <c r="R62" s="36"/>
    </row>
    <row r="63" ht="20" customHeight="1" spans="1:18">
      <c r="A63" s="32"/>
      <c r="B63" s="37"/>
      <c r="C63" s="36"/>
      <c r="D63" s="34"/>
      <c r="E63" s="31"/>
      <c r="F63" s="45"/>
      <c r="G63" s="31">
        <f t="shared" si="0"/>
        <v>0</v>
      </c>
      <c r="H63" s="29"/>
      <c r="I63" s="29"/>
      <c r="J63" s="29"/>
      <c r="K63" s="29"/>
      <c r="L63" s="29"/>
      <c r="M63" s="51">
        <f t="shared" si="1"/>
        <v>0</v>
      </c>
      <c r="N63" s="31"/>
      <c r="O63" s="52">
        <f t="shared" si="9"/>
        <v>186149.9</v>
      </c>
      <c r="P63" s="36"/>
      <c r="Q63" s="36"/>
      <c r="R63" s="36"/>
    </row>
    <row r="64" ht="20" customHeight="1" spans="1:18">
      <c r="A64" s="32"/>
      <c r="B64" s="37"/>
      <c r="C64" s="36"/>
      <c r="D64" s="34"/>
      <c r="E64" s="31"/>
      <c r="F64" s="45"/>
      <c r="G64" s="31">
        <f t="shared" si="0"/>
        <v>0</v>
      </c>
      <c r="H64" s="29"/>
      <c r="I64" s="29"/>
      <c r="J64" s="29"/>
      <c r="K64" s="29"/>
      <c r="L64" s="29"/>
      <c r="M64" s="51">
        <f t="shared" si="1"/>
        <v>0</v>
      </c>
      <c r="N64" s="31"/>
      <c r="O64" s="52">
        <f t="shared" si="9"/>
        <v>186149.9</v>
      </c>
      <c r="P64" s="36"/>
      <c r="Q64" s="36"/>
      <c r="R64" s="36"/>
    </row>
    <row r="65" ht="20" customHeight="1" spans="1:18">
      <c r="A65" s="32"/>
      <c r="B65" s="37"/>
      <c r="C65" s="36"/>
      <c r="D65" s="34"/>
      <c r="E65" s="31"/>
      <c r="F65" s="31"/>
      <c r="G65" s="31">
        <f t="shared" si="0"/>
        <v>0</v>
      </c>
      <c r="H65" s="29"/>
      <c r="I65" s="29"/>
      <c r="J65" s="29"/>
      <c r="K65" s="29"/>
      <c r="L65" s="29"/>
      <c r="M65" s="51">
        <f t="shared" si="1"/>
        <v>0</v>
      </c>
      <c r="N65" s="29"/>
      <c r="O65" s="52">
        <f t="shared" si="9"/>
        <v>186149.9</v>
      </c>
      <c r="P65" s="36"/>
      <c r="Q65" s="36"/>
      <c r="R65" s="36"/>
    </row>
    <row r="66" ht="20" customHeight="1" spans="1:18">
      <c r="A66" s="32"/>
      <c r="B66" s="37"/>
      <c r="C66" s="36"/>
      <c r="D66" s="34"/>
      <c r="E66" s="31"/>
      <c r="F66" s="31"/>
      <c r="G66" s="31">
        <f t="shared" si="0"/>
        <v>0</v>
      </c>
      <c r="H66" s="29"/>
      <c r="I66" s="29"/>
      <c r="J66" s="29"/>
      <c r="K66" s="29"/>
      <c r="L66" s="29"/>
      <c r="M66" s="51">
        <f t="shared" si="1"/>
        <v>0</v>
      </c>
      <c r="N66" s="29"/>
      <c r="O66" s="52">
        <f t="shared" si="9"/>
        <v>186149.9</v>
      </c>
      <c r="P66" s="36"/>
      <c r="Q66" s="36"/>
      <c r="R66" s="36"/>
    </row>
    <row r="67" ht="20" customHeight="1" spans="1:18">
      <c r="A67" s="43"/>
      <c r="B67" s="37"/>
      <c r="C67" s="36"/>
      <c r="D67" s="34"/>
      <c r="E67" s="31"/>
      <c r="F67" s="31"/>
      <c r="G67" s="31">
        <f t="shared" si="0"/>
        <v>0</v>
      </c>
      <c r="H67" s="29"/>
      <c r="I67" s="29"/>
      <c r="J67" s="29"/>
      <c r="K67" s="29"/>
      <c r="L67" s="71"/>
      <c r="M67" s="51">
        <f t="shared" si="1"/>
        <v>0</v>
      </c>
      <c r="N67" s="29"/>
      <c r="O67" s="52">
        <f t="shared" si="9"/>
        <v>186149.9</v>
      </c>
      <c r="P67" s="36"/>
      <c r="Q67" s="36"/>
      <c r="R67" s="36"/>
    </row>
    <row r="68" ht="20" customHeight="1" spans="1:18">
      <c r="A68" s="32"/>
      <c r="B68" s="62"/>
      <c r="C68" s="36"/>
      <c r="D68" s="34"/>
      <c r="E68" s="31"/>
      <c r="F68" s="31"/>
      <c r="G68" s="31">
        <f t="shared" si="0"/>
        <v>0</v>
      </c>
      <c r="H68" s="29"/>
      <c r="I68" s="29"/>
      <c r="J68" s="29"/>
      <c r="K68" s="29"/>
      <c r="L68" s="29"/>
      <c r="M68" s="51">
        <f t="shared" si="1"/>
        <v>0</v>
      </c>
      <c r="N68" s="29"/>
      <c r="O68" s="52">
        <f t="shared" si="9"/>
        <v>186149.9</v>
      </c>
      <c r="P68" s="36"/>
      <c r="Q68" s="36"/>
      <c r="R68" s="36"/>
    </row>
    <row r="69" ht="20" customHeight="1" spans="1:18">
      <c r="A69" s="32"/>
      <c r="B69" s="37"/>
      <c r="C69" s="36"/>
      <c r="D69" s="34"/>
      <c r="E69" s="31"/>
      <c r="F69" s="31"/>
      <c r="G69" s="31">
        <f t="shared" ref="G69:G132" si="10">E69*F69</f>
        <v>0</v>
      </c>
      <c r="H69" s="29"/>
      <c r="I69" s="29"/>
      <c r="J69" s="29"/>
      <c r="K69" s="29"/>
      <c r="L69" s="29"/>
      <c r="M69" s="51">
        <f t="shared" ref="M69:M132" si="11">G69+H69</f>
        <v>0</v>
      </c>
      <c r="N69" s="29"/>
      <c r="O69" s="52">
        <f t="shared" si="9"/>
        <v>186149.9</v>
      </c>
      <c r="P69" s="36"/>
      <c r="Q69" s="36"/>
      <c r="R69" s="36"/>
    </row>
    <row r="70" ht="20" customHeight="1" spans="1:18">
      <c r="A70" s="32"/>
      <c r="B70" s="37"/>
      <c r="C70" s="36"/>
      <c r="D70" s="34"/>
      <c r="E70" s="31"/>
      <c r="F70" s="31"/>
      <c r="G70" s="31">
        <f t="shared" si="10"/>
        <v>0</v>
      </c>
      <c r="H70" s="29"/>
      <c r="I70" s="29"/>
      <c r="J70" s="29"/>
      <c r="K70" s="29"/>
      <c r="L70" s="29"/>
      <c r="M70" s="51">
        <f t="shared" si="11"/>
        <v>0</v>
      </c>
      <c r="N70" s="29"/>
      <c r="O70" s="52">
        <f t="shared" ref="O70:O133" si="12">O69+M70-N70</f>
        <v>186149.9</v>
      </c>
      <c r="P70" s="36"/>
      <c r="Q70" s="36"/>
      <c r="R70" s="36"/>
    </row>
    <row r="71" ht="20" customHeight="1" spans="1:18">
      <c r="A71" s="30"/>
      <c r="B71" s="63"/>
      <c r="C71" s="34"/>
      <c r="D71" s="34"/>
      <c r="E71" s="31"/>
      <c r="F71" s="45"/>
      <c r="G71" s="31">
        <f t="shared" si="10"/>
        <v>0</v>
      </c>
      <c r="H71" s="29"/>
      <c r="I71" s="29"/>
      <c r="J71" s="29"/>
      <c r="K71" s="29"/>
      <c r="L71" s="29"/>
      <c r="M71" s="51">
        <f t="shared" si="11"/>
        <v>0</v>
      </c>
      <c r="N71" s="31"/>
      <c r="O71" s="52">
        <f t="shared" si="12"/>
        <v>186149.9</v>
      </c>
      <c r="P71" s="36"/>
      <c r="Q71" s="36"/>
      <c r="R71" s="36"/>
    </row>
    <row r="72" ht="20" customHeight="1" spans="1:18">
      <c r="A72" s="30"/>
      <c r="B72" s="63"/>
      <c r="C72" s="34"/>
      <c r="D72" s="34"/>
      <c r="E72" s="31"/>
      <c r="F72" s="45"/>
      <c r="G72" s="31">
        <f t="shared" si="10"/>
        <v>0</v>
      </c>
      <c r="H72" s="29"/>
      <c r="I72" s="29"/>
      <c r="J72" s="29"/>
      <c r="K72" s="29"/>
      <c r="L72" s="29"/>
      <c r="M72" s="51">
        <f t="shared" si="11"/>
        <v>0</v>
      </c>
      <c r="N72" s="31"/>
      <c r="O72" s="52">
        <f t="shared" si="12"/>
        <v>186149.9</v>
      </c>
      <c r="P72" s="36"/>
      <c r="Q72" s="36"/>
      <c r="R72" s="36"/>
    </row>
    <row r="73" ht="20" customHeight="1" spans="1:18">
      <c r="A73" s="64"/>
      <c r="B73" s="63"/>
      <c r="C73" s="34"/>
      <c r="D73" s="34"/>
      <c r="E73" s="31"/>
      <c r="F73" s="45"/>
      <c r="G73" s="31">
        <f t="shared" si="10"/>
        <v>0</v>
      </c>
      <c r="H73" s="29"/>
      <c r="I73" s="29"/>
      <c r="J73" s="29"/>
      <c r="K73" s="29"/>
      <c r="L73" s="29"/>
      <c r="M73" s="51">
        <f t="shared" si="11"/>
        <v>0</v>
      </c>
      <c r="N73" s="31"/>
      <c r="O73" s="52">
        <f t="shared" si="12"/>
        <v>186149.9</v>
      </c>
      <c r="P73" s="36"/>
      <c r="Q73" s="36"/>
      <c r="R73" s="36"/>
    </row>
    <row r="74" ht="20" customHeight="1" spans="1:18">
      <c r="A74" s="17"/>
      <c r="B74" s="63"/>
      <c r="C74" s="34"/>
      <c r="D74" s="34"/>
      <c r="E74" s="31"/>
      <c r="F74" s="45"/>
      <c r="G74" s="31">
        <f t="shared" si="10"/>
        <v>0</v>
      </c>
      <c r="H74" s="29"/>
      <c r="I74" s="29"/>
      <c r="J74" s="29"/>
      <c r="K74" s="29"/>
      <c r="L74" s="29"/>
      <c r="M74" s="51">
        <f t="shared" si="11"/>
        <v>0</v>
      </c>
      <c r="N74" s="31"/>
      <c r="O74" s="52">
        <f t="shared" si="12"/>
        <v>186149.9</v>
      </c>
      <c r="P74" s="36"/>
      <c r="Q74" s="36"/>
      <c r="R74" s="36"/>
    </row>
    <row r="75" ht="20" customHeight="1" spans="1:18">
      <c r="A75" s="17"/>
      <c r="B75" s="63"/>
      <c r="C75" s="34"/>
      <c r="D75" s="34"/>
      <c r="E75" s="31"/>
      <c r="F75" s="45"/>
      <c r="G75" s="31">
        <f t="shared" si="10"/>
        <v>0</v>
      </c>
      <c r="H75" s="29"/>
      <c r="I75" s="29"/>
      <c r="J75" s="29"/>
      <c r="K75" s="29"/>
      <c r="L75" s="29"/>
      <c r="M75" s="51">
        <f t="shared" si="11"/>
        <v>0</v>
      </c>
      <c r="N75" s="31"/>
      <c r="O75" s="52">
        <f t="shared" si="12"/>
        <v>186149.9</v>
      </c>
      <c r="P75" s="36"/>
      <c r="Q75" s="36"/>
      <c r="R75" s="36"/>
    </row>
    <row r="76" ht="20" customHeight="1" spans="1:18">
      <c r="A76" s="30"/>
      <c r="B76" s="63"/>
      <c r="C76" s="34"/>
      <c r="D76" s="34"/>
      <c r="E76" s="31"/>
      <c r="F76" s="45"/>
      <c r="G76" s="31">
        <f t="shared" si="10"/>
        <v>0</v>
      </c>
      <c r="H76" s="29"/>
      <c r="I76" s="29"/>
      <c r="J76" s="29"/>
      <c r="K76" s="29"/>
      <c r="L76" s="29"/>
      <c r="M76" s="51">
        <f t="shared" si="11"/>
        <v>0</v>
      </c>
      <c r="N76" s="31"/>
      <c r="O76" s="52">
        <f t="shared" si="12"/>
        <v>186149.9</v>
      </c>
      <c r="P76" s="36"/>
      <c r="Q76" s="36"/>
      <c r="R76" s="36"/>
    </row>
    <row r="77" ht="20" customHeight="1" spans="1:18">
      <c r="A77" s="30"/>
      <c r="B77" s="37"/>
      <c r="C77" s="34"/>
      <c r="D77" s="34"/>
      <c r="E77" s="31"/>
      <c r="F77" s="31"/>
      <c r="G77" s="31">
        <f t="shared" si="10"/>
        <v>0</v>
      </c>
      <c r="H77" s="29"/>
      <c r="I77" s="29"/>
      <c r="J77" s="29"/>
      <c r="K77" s="29"/>
      <c r="L77" s="29"/>
      <c r="M77" s="51">
        <f t="shared" si="11"/>
        <v>0</v>
      </c>
      <c r="N77" s="31"/>
      <c r="O77" s="52">
        <f t="shared" si="12"/>
        <v>186149.9</v>
      </c>
      <c r="P77" s="36"/>
      <c r="Q77" s="36"/>
      <c r="R77" s="36"/>
    </row>
    <row r="78" ht="20" customHeight="1" spans="1:18">
      <c r="A78" s="43"/>
      <c r="B78" s="37"/>
      <c r="C78" s="34"/>
      <c r="D78" s="34"/>
      <c r="E78" s="31"/>
      <c r="F78" s="31"/>
      <c r="G78" s="31">
        <f t="shared" si="10"/>
        <v>0</v>
      </c>
      <c r="H78" s="29"/>
      <c r="I78" s="29"/>
      <c r="J78" s="29"/>
      <c r="K78" s="29"/>
      <c r="L78" s="29"/>
      <c r="M78" s="51">
        <f t="shared" si="11"/>
        <v>0</v>
      </c>
      <c r="N78" s="31"/>
      <c r="O78" s="52">
        <f t="shared" si="12"/>
        <v>186149.9</v>
      </c>
      <c r="P78" s="36"/>
      <c r="Q78" s="36"/>
      <c r="R78" s="36"/>
    </row>
    <row r="79" ht="20" customHeight="1" spans="1:18">
      <c r="A79" s="43"/>
      <c r="B79" s="37"/>
      <c r="C79" s="34"/>
      <c r="D79" s="34"/>
      <c r="E79" s="31"/>
      <c r="F79" s="31"/>
      <c r="G79" s="31">
        <f t="shared" si="10"/>
        <v>0</v>
      </c>
      <c r="H79" s="29"/>
      <c r="I79" s="29"/>
      <c r="J79" s="29"/>
      <c r="K79" s="29"/>
      <c r="L79" s="29"/>
      <c r="M79" s="51">
        <f t="shared" si="11"/>
        <v>0</v>
      </c>
      <c r="N79" s="31"/>
      <c r="O79" s="52">
        <f t="shared" si="12"/>
        <v>186149.9</v>
      </c>
      <c r="P79" s="36"/>
      <c r="Q79" s="36"/>
      <c r="R79" s="36"/>
    </row>
    <row r="80" ht="20" customHeight="1" spans="1:18">
      <c r="A80" s="43"/>
      <c r="B80" s="37"/>
      <c r="C80" s="34"/>
      <c r="D80" s="34"/>
      <c r="E80" s="31"/>
      <c r="F80" s="31"/>
      <c r="G80" s="31">
        <f t="shared" si="10"/>
        <v>0</v>
      </c>
      <c r="H80" s="29"/>
      <c r="I80" s="29"/>
      <c r="J80" s="29"/>
      <c r="K80" s="29"/>
      <c r="L80" s="71"/>
      <c r="M80" s="51">
        <f t="shared" si="11"/>
        <v>0</v>
      </c>
      <c r="N80" s="31"/>
      <c r="O80" s="52">
        <f t="shared" si="12"/>
        <v>186149.9</v>
      </c>
      <c r="P80" s="36"/>
      <c r="Q80" s="36"/>
      <c r="R80" s="36"/>
    </row>
    <row r="81" ht="20" customHeight="1" spans="1:18">
      <c r="A81" s="43"/>
      <c r="B81" s="37"/>
      <c r="C81" s="34"/>
      <c r="D81" s="34"/>
      <c r="E81" s="31"/>
      <c r="F81" s="31"/>
      <c r="G81" s="31">
        <f t="shared" si="10"/>
        <v>0</v>
      </c>
      <c r="H81" s="29"/>
      <c r="I81" s="29"/>
      <c r="J81" s="29"/>
      <c r="K81" s="29"/>
      <c r="L81" s="71"/>
      <c r="M81" s="51">
        <f t="shared" si="11"/>
        <v>0</v>
      </c>
      <c r="N81" s="31"/>
      <c r="O81" s="52">
        <f t="shared" si="12"/>
        <v>186149.9</v>
      </c>
      <c r="P81" s="36"/>
      <c r="Q81" s="36"/>
      <c r="R81" s="36"/>
    </row>
    <row r="82" ht="20" customHeight="1" spans="1:18">
      <c r="A82" s="43"/>
      <c r="B82" s="37"/>
      <c r="C82" s="34"/>
      <c r="D82" s="34"/>
      <c r="E82" s="31"/>
      <c r="F82" s="31"/>
      <c r="G82" s="31">
        <f t="shared" si="10"/>
        <v>0</v>
      </c>
      <c r="H82" s="29"/>
      <c r="I82" s="29"/>
      <c r="J82" s="29"/>
      <c r="K82" s="29"/>
      <c r="L82" s="71"/>
      <c r="M82" s="51">
        <f t="shared" si="11"/>
        <v>0</v>
      </c>
      <c r="N82" s="31"/>
      <c r="O82" s="52">
        <f t="shared" si="12"/>
        <v>186149.9</v>
      </c>
      <c r="P82" s="36"/>
      <c r="Q82" s="36"/>
      <c r="R82" s="36"/>
    </row>
    <row r="83" ht="20" customHeight="1" spans="1:18">
      <c r="A83" s="43"/>
      <c r="B83" s="37"/>
      <c r="C83" s="34"/>
      <c r="D83" s="34"/>
      <c r="E83" s="31"/>
      <c r="F83" s="31"/>
      <c r="G83" s="31">
        <f t="shared" si="10"/>
        <v>0</v>
      </c>
      <c r="H83" s="29"/>
      <c r="I83" s="29"/>
      <c r="J83" s="29"/>
      <c r="K83" s="29"/>
      <c r="L83" s="71"/>
      <c r="M83" s="51">
        <f t="shared" si="11"/>
        <v>0</v>
      </c>
      <c r="N83" s="31"/>
      <c r="O83" s="52">
        <f t="shared" si="12"/>
        <v>186149.9</v>
      </c>
      <c r="P83" s="36"/>
      <c r="Q83" s="36"/>
      <c r="R83" s="36"/>
    </row>
    <row r="84" ht="20" customHeight="1" spans="1:18">
      <c r="A84" s="43"/>
      <c r="B84" s="37"/>
      <c r="C84" s="34"/>
      <c r="D84" s="34"/>
      <c r="E84" s="31"/>
      <c r="F84" s="31"/>
      <c r="G84" s="31">
        <f t="shared" si="10"/>
        <v>0</v>
      </c>
      <c r="H84" s="29"/>
      <c r="I84" s="29"/>
      <c r="J84" s="29"/>
      <c r="K84" s="29"/>
      <c r="L84" s="71"/>
      <c r="M84" s="51">
        <f t="shared" si="11"/>
        <v>0</v>
      </c>
      <c r="N84" s="31"/>
      <c r="O84" s="52">
        <f t="shared" si="12"/>
        <v>186149.9</v>
      </c>
      <c r="P84" s="36"/>
      <c r="Q84" s="36"/>
      <c r="R84" s="36"/>
    </row>
    <row r="85" ht="20" customHeight="1" spans="1:18">
      <c r="A85" s="30"/>
      <c r="B85" s="65"/>
      <c r="C85" s="34"/>
      <c r="D85" s="34"/>
      <c r="E85" s="31"/>
      <c r="F85" s="31"/>
      <c r="G85" s="31">
        <f t="shared" si="10"/>
        <v>0</v>
      </c>
      <c r="H85" s="29"/>
      <c r="I85" s="29"/>
      <c r="J85" s="29"/>
      <c r="K85" s="29"/>
      <c r="L85" s="29"/>
      <c r="M85" s="51">
        <f t="shared" si="11"/>
        <v>0</v>
      </c>
      <c r="N85" s="31"/>
      <c r="O85" s="52">
        <f t="shared" si="12"/>
        <v>186149.9</v>
      </c>
      <c r="P85" s="36"/>
      <c r="Q85" s="36"/>
      <c r="R85" s="36"/>
    </row>
    <row r="86" ht="29" customHeight="1" spans="1:18">
      <c r="A86" s="17"/>
      <c r="B86" s="65"/>
      <c r="C86" s="34"/>
      <c r="D86" s="34"/>
      <c r="E86" s="31"/>
      <c r="F86" s="31"/>
      <c r="G86" s="31">
        <f t="shared" si="10"/>
        <v>0</v>
      </c>
      <c r="H86" s="29"/>
      <c r="I86" s="29"/>
      <c r="J86" s="29"/>
      <c r="K86" s="29"/>
      <c r="L86" s="72"/>
      <c r="M86" s="51">
        <f t="shared" si="11"/>
        <v>0</v>
      </c>
      <c r="N86" s="31"/>
      <c r="O86" s="52">
        <f t="shared" si="12"/>
        <v>186149.9</v>
      </c>
      <c r="P86" s="36"/>
      <c r="Q86" s="36"/>
      <c r="R86" s="36"/>
    </row>
    <row r="87" ht="20" customHeight="1" spans="1:18">
      <c r="A87" s="17"/>
      <c r="B87" s="65"/>
      <c r="C87" s="34"/>
      <c r="D87" s="34"/>
      <c r="E87" s="31"/>
      <c r="F87" s="31"/>
      <c r="G87" s="31">
        <f t="shared" si="10"/>
        <v>0</v>
      </c>
      <c r="H87" s="29"/>
      <c r="I87" s="29"/>
      <c r="J87" s="29"/>
      <c r="K87" s="29"/>
      <c r="L87" s="29"/>
      <c r="M87" s="51">
        <f t="shared" si="11"/>
        <v>0</v>
      </c>
      <c r="N87" s="31"/>
      <c r="O87" s="52">
        <f t="shared" si="12"/>
        <v>186149.9</v>
      </c>
      <c r="P87" s="36"/>
      <c r="Q87" s="36"/>
      <c r="R87" s="36"/>
    </row>
    <row r="88" ht="20" customHeight="1" spans="1:18">
      <c r="A88" s="17"/>
      <c r="B88" s="65"/>
      <c r="C88" s="34"/>
      <c r="D88" s="34"/>
      <c r="E88" s="31"/>
      <c r="F88" s="31"/>
      <c r="G88" s="31">
        <f t="shared" si="10"/>
        <v>0</v>
      </c>
      <c r="H88" s="29"/>
      <c r="I88" s="29"/>
      <c r="J88" s="29"/>
      <c r="K88" s="29"/>
      <c r="L88" s="29"/>
      <c r="M88" s="51">
        <f t="shared" si="11"/>
        <v>0</v>
      </c>
      <c r="N88" s="31"/>
      <c r="O88" s="52">
        <f t="shared" si="12"/>
        <v>186149.9</v>
      </c>
      <c r="P88" s="36"/>
      <c r="Q88" s="36"/>
      <c r="R88" s="36"/>
    </row>
    <row r="89" ht="20" customHeight="1" spans="1:18">
      <c r="A89" s="30"/>
      <c r="B89" s="65"/>
      <c r="C89" s="34"/>
      <c r="D89" s="34"/>
      <c r="E89" s="31"/>
      <c r="F89" s="31"/>
      <c r="G89" s="31">
        <f t="shared" si="10"/>
        <v>0</v>
      </c>
      <c r="H89" s="29"/>
      <c r="I89" s="29"/>
      <c r="J89" s="29"/>
      <c r="K89" s="29"/>
      <c r="L89" s="29"/>
      <c r="M89" s="51">
        <f t="shared" si="11"/>
        <v>0</v>
      </c>
      <c r="N89" s="31"/>
      <c r="O89" s="52">
        <f t="shared" si="12"/>
        <v>186149.9</v>
      </c>
      <c r="P89" s="36"/>
      <c r="Q89" s="36"/>
      <c r="R89" s="36"/>
    </row>
    <row r="90" ht="20" customHeight="1" spans="1:18">
      <c r="A90" s="43"/>
      <c r="B90" s="37"/>
      <c r="C90" s="34"/>
      <c r="D90" s="34"/>
      <c r="E90" s="31"/>
      <c r="F90" s="31"/>
      <c r="G90" s="31">
        <f t="shared" si="10"/>
        <v>0</v>
      </c>
      <c r="H90" s="29"/>
      <c r="I90" s="29"/>
      <c r="J90" s="29"/>
      <c r="K90" s="29"/>
      <c r="L90" s="71"/>
      <c r="M90" s="51">
        <f t="shared" si="11"/>
        <v>0</v>
      </c>
      <c r="N90" s="31"/>
      <c r="O90" s="52">
        <f t="shared" si="12"/>
        <v>186149.9</v>
      </c>
      <c r="P90" s="36"/>
      <c r="Q90" s="36"/>
      <c r="R90" s="36"/>
    </row>
    <row r="91" ht="20" customHeight="1" spans="1:18">
      <c r="A91" s="43"/>
      <c r="B91" s="37"/>
      <c r="C91" s="34"/>
      <c r="D91" s="34"/>
      <c r="E91" s="31"/>
      <c r="F91" s="31"/>
      <c r="G91" s="31">
        <f t="shared" si="10"/>
        <v>0</v>
      </c>
      <c r="H91" s="29"/>
      <c r="I91" s="29"/>
      <c r="J91" s="29"/>
      <c r="K91" s="29"/>
      <c r="L91" s="71"/>
      <c r="M91" s="51">
        <f t="shared" si="11"/>
        <v>0</v>
      </c>
      <c r="N91" s="31"/>
      <c r="O91" s="52">
        <f t="shared" si="12"/>
        <v>186149.9</v>
      </c>
      <c r="P91" s="36"/>
      <c r="Q91" s="36"/>
      <c r="R91" s="36"/>
    </row>
    <row r="92" ht="20" customHeight="1" spans="1:18">
      <c r="A92" s="43"/>
      <c r="B92" s="37"/>
      <c r="C92" s="34"/>
      <c r="D92" s="34"/>
      <c r="E92" s="31"/>
      <c r="F92" s="31"/>
      <c r="G92" s="31">
        <f t="shared" si="10"/>
        <v>0</v>
      </c>
      <c r="H92" s="29"/>
      <c r="I92" s="29"/>
      <c r="J92" s="29"/>
      <c r="K92" s="29"/>
      <c r="L92" s="71"/>
      <c r="M92" s="51">
        <f t="shared" si="11"/>
        <v>0</v>
      </c>
      <c r="N92" s="31"/>
      <c r="O92" s="52">
        <f t="shared" si="12"/>
        <v>186149.9</v>
      </c>
      <c r="P92" s="36"/>
      <c r="Q92" s="36"/>
      <c r="R92" s="36"/>
    </row>
    <row r="93" ht="20" customHeight="1" spans="1:18">
      <c r="A93" s="43"/>
      <c r="B93" s="37"/>
      <c r="C93" s="34"/>
      <c r="D93" s="34"/>
      <c r="E93" s="31"/>
      <c r="F93" s="66"/>
      <c r="G93" s="31">
        <f t="shared" si="10"/>
        <v>0</v>
      </c>
      <c r="H93" s="29"/>
      <c r="I93" s="29"/>
      <c r="J93" s="29"/>
      <c r="K93" s="29"/>
      <c r="L93" s="71"/>
      <c r="M93" s="51">
        <f t="shared" si="11"/>
        <v>0</v>
      </c>
      <c r="N93" s="31"/>
      <c r="O93" s="52">
        <f t="shared" si="12"/>
        <v>186149.9</v>
      </c>
      <c r="P93" s="36"/>
      <c r="Q93" s="36"/>
      <c r="R93" s="36"/>
    </row>
    <row r="94" ht="20" customHeight="1" spans="1:18">
      <c r="A94" s="43"/>
      <c r="B94" s="37"/>
      <c r="C94" s="34"/>
      <c r="D94" s="34"/>
      <c r="E94" s="31"/>
      <c r="F94" s="66"/>
      <c r="G94" s="31">
        <f t="shared" si="10"/>
        <v>0</v>
      </c>
      <c r="H94" s="29"/>
      <c r="I94" s="29"/>
      <c r="J94" s="29"/>
      <c r="K94" s="29"/>
      <c r="L94" s="71"/>
      <c r="M94" s="51">
        <f t="shared" si="11"/>
        <v>0</v>
      </c>
      <c r="N94" s="31"/>
      <c r="O94" s="52">
        <f t="shared" si="12"/>
        <v>186149.9</v>
      </c>
      <c r="P94" s="36"/>
      <c r="Q94" s="36"/>
      <c r="R94" s="36"/>
    </row>
    <row r="95" ht="20" customHeight="1" spans="1:18">
      <c r="A95" s="43"/>
      <c r="B95" s="37"/>
      <c r="C95" s="34"/>
      <c r="D95" s="34"/>
      <c r="E95" s="31"/>
      <c r="F95" s="66"/>
      <c r="G95" s="31">
        <f t="shared" si="10"/>
        <v>0</v>
      </c>
      <c r="H95" s="29"/>
      <c r="I95" s="29"/>
      <c r="J95" s="29"/>
      <c r="K95" s="29"/>
      <c r="L95" s="71"/>
      <c r="M95" s="51">
        <f t="shared" si="11"/>
        <v>0</v>
      </c>
      <c r="N95" s="31"/>
      <c r="O95" s="52">
        <f t="shared" si="12"/>
        <v>186149.9</v>
      </c>
      <c r="P95" s="36"/>
      <c r="Q95" s="36"/>
      <c r="R95" s="36"/>
    </row>
    <row r="96" ht="20" customHeight="1" spans="1:18">
      <c r="A96" s="43"/>
      <c r="B96" s="37"/>
      <c r="C96" s="34"/>
      <c r="D96" s="34"/>
      <c r="E96" s="31"/>
      <c r="F96" s="66"/>
      <c r="G96" s="31">
        <f t="shared" si="10"/>
        <v>0</v>
      </c>
      <c r="H96" s="29"/>
      <c r="I96" s="29"/>
      <c r="J96" s="29"/>
      <c r="K96" s="29"/>
      <c r="L96" s="71"/>
      <c r="M96" s="51">
        <f t="shared" si="11"/>
        <v>0</v>
      </c>
      <c r="N96" s="31"/>
      <c r="O96" s="52">
        <f t="shared" si="12"/>
        <v>186149.9</v>
      </c>
      <c r="P96" s="36"/>
      <c r="Q96" s="36"/>
      <c r="R96" s="36"/>
    </row>
    <row r="97" ht="20" customHeight="1" spans="1:18">
      <c r="A97" s="30"/>
      <c r="B97" s="35"/>
      <c r="C97" s="34"/>
      <c r="D97" s="67"/>
      <c r="E97" s="31"/>
      <c r="F97" s="67"/>
      <c r="G97" s="31">
        <f t="shared" si="10"/>
        <v>0</v>
      </c>
      <c r="H97" s="29"/>
      <c r="I97" s="29"/>
      <c r="J97" s="29"/>
      <c r="K97" s="29"/>
      <c r="L97" s="29"/>
      <c r="M97" s="51">
        <f t="shared" si="11"/>
        <v>0</v>
      </c>
      <c r="N97" s="31"/>
      <c r="O97" s="52">
        <f t="shared" si="12"/>
        <v>186149.9</v>
      </c>
      <c r="P97" s="36"/>
      <c r="Q97" s="36"/>
      <c r="R97" s="36"/>
    </row>
    <row r="98" ht="20" customHeight="1" spans="1:18">
      <c r="A98" s="30"/>
      <c r="B98" s="35"/>
      <c r="C98" s="34"/>
      <c r="D98" s="67"/>
      <c r="E98" s="31"/>
      <c r="F98" s="67"/>
      <c r="G98" s="31">
        <f t="shared" si="10"/>
        <v>0</v>
      </c>
      <c r="H98" s="29"/>
      <c r="I98" s="29"/>
      <c r="J98" s="29"/>
      <c r="K98" s="29"/>
      <c r="L98" s="29"/>
      <c r="M98" s="51">
        <f t="shared" si="11"/>
        <v>0</v>
      </c>
      <c r="N98" s="31"/>
      <c r="O98" s="52">
        <f t="shared" si="12"/>
        <v>186149.9</v>
      </c>
      <c r="P98" s="36"/>
      <c r="Q98" s="36"/>
      <c r="R98" s="36"/>
    </row>
    <row r="99" ht="20" customHeight="1" spans="1:18">
      <c r="A99" s="30"/>
      <c r="B99" s="37"/>
      <c r="C99" s="34"/>
      <c r="D99" s="34"/>
      <c r="E99" s="31"/>
      <c r="F99" s="66"/>
      <c r="G99" s="31">
        <f t="shared" si="10"/>
        <v>0</v>
      </c>
      <c r="H99" s="29"/>
      <c r="I99" s="29"/>
      <c r="J99" s="29"/>
      <c r="K99" s="29"/>
      <c r="L99" s="71"/>
      <c r="M99" s="51">
        <f t="shared" si="11"/>
        <v>0</v>
      </c>
      <c r="N99" s="31"/>
      <c r="O99" s="52">
        <f t="shared" si="12"/>
        <v>186149.9</v>
      </c>
      <c r="P99" s="36"/>
      <c r="Q99" s="36"/>
      <c r="R99" s="36"/>
    </row>
    <row r="100" ht="20" customHeight="1" spans="1:18">
      <c r="A100" s="30"/>
      <c r="B100" s="35"/>
      <c r="C100" s="34"/>
      <c r="D100" s="34"/>
      <c r="E100" s="31"/>
      <c r="F100" s="31"/>
      <c r="G100" s="31">
        <f t="shared" si="10"/>
        <v>0</v>
      </c>
      <c r="H100" s="29"/>
      <c r="I100" s="29"/>
      <c r="J100" s="29"/>
      <c r="K100" s="29"/>
      <c r="L100" s="29"/>
      <c r="M100" s="51">
        <f t="shared" si="11"/>
        <v>0</v>
      </c>
      <c r="N100" s="31"/>
      <c r="O100" s="52">
        <f t="shared" si="12"/>
        <v>186149.9</v>
      </c>
      <c r="P100" s="36"/>
      <c r="Q100" s="36"/>
      <c r="R100" s="36"/>
    </row>
    <row r="101" ht="20" customHeight="1" spans="1:18">
      <c r="A101" s="17"/>
      <c r="B101" s="35"/>
      <c r="C101" s="34"/>
      <c r="D101" s="34"/>
      <c r="E101" s="31"/>
      <c r="F101" s="31"/>
      <c r="G101" s="31">
        <f t="shared" si="10"/>
        <v>0</v>
      </c>
      <c r="H101" s="29"/>
      <c r="I101" s="29"/>
      <c r="J101" s="29"/>
      <c r="K101" s="29"/>
      <c r="L101" s="29"/>
      <c r="M101" s="51">
        <f t="shared" si="11"/>
        <v>0</v>
      </c>
      <c r="N101" s="31"/>
      <c r="O101" s="52">
        <f t="shared" si="12"/>
        <v>186149.9</v>
      </c>
      <c r="P101" s="36"/>
      <c r="Q101" s="36"/>
      <c r="R101" s="36"/>
    </row>
    <row r="102" ht="20" customHeight="1" spans="1:18">
      <c r="A102" s="30"/>
      <c r="B102" s="35"/>
      <c r="C102" s="34"/>
      <c r="D102" s="34"/>
      <c r="E102" s="31"/>
      <c r="F102" s="31"/>
      <c r="G102" s="31">
        <f t="shared" si="10"/>
        <v>0</v>
      </c>
      <c r="H102" s="29"/>
      <c r="I102" s="29"/>
      <c r="J102" s="29"/>
      <c r="K102" s="29"/>
      <c r="L102" s="29"/>
      <c r="M102" s="51">
        <f t="shared" si="11"/>
        <v>0</v>
      </c>
      <c r="N102" s="31"/>
      <c r="O102" s="52">
        <f t="shared" si="12"/>
        <v>186149.9</v>
      </c>
      <c r="P102" s="36"/>
      <c r="Q102" s="36"/>
      <c r="R102" s="36"/>
    </row>
    <row r="103" ht="20" customHeight="1" spans="1:18">
      <c r="A103" s="30"/>
      <c r="B103" s="35"/>
      <c r="C103" s="34"/>
      <c r="D103" s="34"/>
      <c r="E103" s="31"/>
      <c r="F103" s="31"/>
      <c r="G103" s="31">
        <f t="shared" si="10"/>
        <v>0</v>
      </c>
      <c r="H103" s="29"/>
      <c r="I103" s="29"/>
      <c r="J103" s="29"/>
      <c r="K103" s="29"/>
      <c r="L103" s="29"/>
      <c r="M103" s="51">
        <f t="shared" si="11"/>
        <v>0</v>
      </c>
      <c r="N103" s="31"/>
      <c r="O103" s="52">
        <f t="shared" si="12"/>
        <v>186149.9</v>
      </c>
      <c r="P103" s="36"/>
      <c r="Q103" s="36"/>
      <c r="R103" s="36"/>
    </row>
    <row r="104" ht="20" customHeight="1" spans="1:18">
      <c r="A104" s="30"/>
      <c r="B104" s="35"/>
      <c r="C104" s="34"/>
      <c r="D104" s="34"/>
      <c r="E104" s="31"/>
      <c r="F104" s="31"/>
      <c r="G104" s="31">
        <f t="shared" si="10"/>
        <v>0</v>
      </c>
      <c r="H104" s="29"/>
      <c r="I104" s="29"/>
      <c r="J104" s="29"/>
      <c r="K104" s="29"/>
      <c r="L104" s="29"/>
      <c r="M104" s="51">
        <f t="shared" si="11"/>
        <v>0</v>
      </c>
      <c r="N104" s="31"/>
      <c r="O104" s="52">
        <f t="shared" si="12"/>
        <v>186149.9</v>
      </c>
      <c r="P104" s="36"/>
      <c r="Q104" s="36"/>
      <c r="R104" s="36"/>
    </row>
    <row r="105" ht="20" customHeight="1" spans="1:18">
      <c r="A105" s="30"/>
      <c r="B105" s="35"/>
      <c r="C105" s="34"/>
      <c r="D105" s="34"/>
      <c r="E105" s="31"/>
      <c r="F105" s="31"/>
      <c r="G105" s="31">
        <f t="shared" si="10"/>
        <v>0</v>
      </c>
      <c r="H105" s="29"/>
      <c r="I105" s="29"/>
      <c r="J105" s="29"/>
      <c r="K105" s="29"/>
      <c r="L105" s="29"/>
      <c r="M105" s="51">
        <f t="shared" si="11"/>
        <v>0</v>
      </c>
      <c r="N105" s="31"/>
      <c r="O105" s="52">
        <f t="shared" si="12"/>
        <v>186149.9</v>
      </c>
      <c r="P105" s="36"/>
      <c r="Q105" s="36"/>
      <c r="R105" s="36"/>
    </row>
    <row r="106" ht="20" customHeight="1" spans="1:18">
      <c r="A106" s="30"/>
      <c r="B106" s="35"/>
      <c r="C106" s="34"/>
      <c r="D106" s="34"/>
      <c r="E106" s="31"/>
      <c r="F106" s="31"/>
      <c r="G106" s="31">
        <f t="shared" si="10"/>
        <v>0</v>
      </c>
      <c r="H106" s="29"/>
      <c r="I106" s="29"/>
      <c r="J106" s="29"/>
      <c r="K106" s="29"/>
      <c r="L106" s="29"/>
      <c r="M106" s="51">
        <f t="shared" si="11"/>
        <v>0</v>
      </c>
      <c r="N106" s="31"/>
      <c r="O106" s="52">
        <f t="shared" si="12"/>
        <v>186149.9</v>
      </c>
      <c r="P106" s="36"/>
      <c r="Q106" s="36"/>
      <c r="R106" s="36"/>
    </row>
    <row r="107" ht="20" customHeight="1" spans="1:18">
      <c r="A107" s="30"/>
      <c r="B107" s="35"/>
      <c r="C107" s="34"/>
      <c r="D107" s="34"/>
      <c r="E107" s="31"/>
      <c r="F107" s="31"/>
      <c r="G107" s="31">
        <f t="shared" si="10"/>
        <v>0</v>
      </c>
      <c r="H107" s="29"/>
      <c r="I107" s="29"/>
      <c r="J107" s="29"/>
      <c r="K107" s="29"/>
      <c r="L107" s="29"/>
      <c r="M107" s="51">
        <f t="shared" si="11"/>
        <v>0</v>
      </c>
      <c r="N107" s="31"/>
      <c r="O107" s="52">
        <f t="shared" si="12"/>
        <v>186149.9</v>
      </c>
      <c r="P107" s="36"/>
      <c r="Q107" s="36"/>
      <c r="R107" s="36"/>
    </row>
    <row r="108" ht="20" customHeight="1" spans="1:18">
      <c r="A108" s="30"/>
      <c r="B108" s="35"/>
      <c r="C108" s="34"/>
      <c r="D108" s="34"/>
      <c r="E108" s="31"/>
      <c r="F108" s="31"/>
      <c r="G108" s="31">
        <f t="shared" si="10"/>
        <v>0</v>
      </c>
      <c r="H108" s="29"/>
      <c r="I108" s="29"/>
      <c r="J108" s="29"/>
      <c r="K108" s="29"/>
      <c r="L108" s="29"/>
      <c r="M108" s="51">
        <f t="shared" si="11"/>
        <v>0</v>
      </c>
      <c r="N108" s="31"/>
      <c r="O108" s="52">
        <f t="shared" si="12"/>
        <v>186149.9</v>
      </c>
      <c r="P108" s="36"/>
      <c r="Q108" s="36"/>
      <c r="R108" s="36"/>
    </row>
    <row r="109" ht="20" customHeight="1" spans="1:18">
      <c r="A109" s="30"/>
      <c r="B109" s="35"/>
      <c r="C109" s="34"/>
      <c r="D109" s="34"/>
      <c r="E109" s="31"/>
      <c r="F109" s="31"/>
      <c r="G109" s="31">
        <f t="shared" si="10"/>
        <v>0</v>
      </c>
      <c r="H109" s="29"/>
      <c r="I109" s="29"/>
      <c r="J109" s="29"/>
      <c r="K109" s="29"/>
      <c r="L109" s="29"/>
      <c r="M109" s="51">
        <f t="shared" si="11"/>
        <v>0</v>
      </c>
      <c r="N109" s="31"/>
      <c r="O109" s="52">
        <f t="shared" si="12"/>
        <v>186149.9</v>
      </c>
      <c r="P109" s="36"/>
      <c r="Q109" s="36"/>
      <c r="R109" s="36"/>
    </row>
    <row r="110" ht="20" customHeight="1" spans="1:18">
      <c r="A110" s="30"/>
      <c r="B110" s="35"/>
      <c r="C110" s="34"/>
      <c r="D110" s="34"/>
      <c r="E110" s="31"/>
      <c r="F110" s="31"/>
      <c r="G110" s="31">
        <f t="shared" si="10"/>
        <v>0</v>
      </c>
      <c r="H110" s="29"/>
      <c r="I110" s="29"/>
      <c r="J110" s="29"/>
      <c r="K110" s="29"/>
      <c r="L110" s="29"/>
      <c r="M110" s="51">
        <f t="shared" si="11"/>
        <v>0</v>
      </c>
      <c r="N110" s="31"/>
      <c r="O110" s="52">
        <f t="shared" si="12"/>
        <v>186149.9</v>
      </c>
      <c r="P110" s="36"/>
      <c r="Q110" s="36"/>
      <c r="R110" s="36"/>
    </row>
    <row r="111" ht="20" customHeight="1" spans="1:18">
      <c r="A111" s="30"/>
      <c r="B111" s="37"/>
      <c r="C111" s="34"/>
      <c r="D111" s="34"/>
      <c r="E111" s="31"/>
      <c r="F111" s="31"/>
      <c r="G111" s="31">
        <f t="shared" si="10"/>
        <v>0</v>
      </c>
      <c r="H111" s="29"/>
      <c r="I111" s="29"/>
      <c r="J111" s="29"/>
      <c r="K111" s="29"/>
      <c r="L111" s="71"/>
      <c r="M111" s="51">
        <f t="shared" si="11"/>
        <v>0</v>
      </c>
      <c r="N111" s="31"/>
      <c r="O111" s="52">
        <f t="shared" si="12"/>
        <v>186149.9</v>
      </c>
      <c r="P111" s="36"/>
      <c r="Q111" s="36"/>
      <c r="R111" s="36"/>
    </row>
    <row r="112" ht="20" customHeight="1" spans="1:18">
      <c r="A112" s="30"/>
      <c r="B112" s="35"/>
      <c r="C112" s="34"/>
      <c r="D112" s="34"/>
      <c r="E112" s="31"/>
      <c r="F112" s="31"/>
      <c r="G112" s="31">
        <f t="shared" si="10"/>
        <v>0</v>
      </c>
      <c r="H112" s="29"/>
      <c r="I112" s="29"/>
      <c r="J112" s="29"/>
      <c r="K112" s="29"/>
      <c r="L112" s="29"/>
      <c r="M112" s="51">
        <f t="shared" si="11"/>
        <v>0</v>
      </c>
      <c r="N112" s="31"/>
      <c r="O112" s="52">
        <f t="shared" si="12"/>
        <v>186149.9</v>
      </c>
      <c r="P112" s="36"/>
      <c r="Q112" s="36"/>
      <c r="R112" s="36"/>
    </row>
    <row r="113" ht="20" customHeight="1" spans="1:18">
      <c r="A113" s="30"/>
      <c r="B113" s="35"/>
      <c r="C113" s="34"/>
      <c r="D113" s="34"/>
      <c r="E113" s="31"/>
      <c r="F113" s="31"/>
      <c r="G113" s="31">
        <f t="shared" si="10"/>
        <v>0</v>
      </c>
      <c r="H113" s="29"/>
      <c r="I113" s="29"/>
      <c r="J113" s="29"/>
      <c r="K113" s="29"/>
      <c r="L113" s="29"/>
      <c r="M113" s="51">
        <f t="shared" si="11"/>
        <v>0</v>
      </c>
      <c r="N113" s="31"/>
      <c r="O113" s="52">
        <f t="shared" si="12"/>
        <v>186149.9</v>
      </c>
      <c r="P113" s="36"/>
      <c r="Q113" s="36"/>
      <c r="R113" s="36"/>
    </row>
    <row r="114" ht="20" customHeight="1" spans="1:18">
      <c r="A114" s="30"/>
      <c r="B114" s="68"/>
      <c r="C114" s="34"/>
      <c r="D114" s="34"/>
      <c r="E114" s="31"/>
      <c r="F114" s="31"/>
      <c r="G114" s="31">
        <f t="shared" si="10"/>
        <v>0</v>
      </c>
      <c r="H114" s="29"/>
      <c r="I114" s="29"/>
      <c r="J114" s="29"/>
      <c r="K114" s="29"/>
      <c r="L114" s="29"/>
      <c r="M114" s="51">
        <f t="shared" si="11"/>
        <v>0</v>
      </c>
      <c r="N114" s="31"/>
      <c r="O114" s="52">
        <f t="shared" si="12"/>
        <v>186149.9</v>
      </c>
      <c r="P114" s="36"/>
      <c r="Q114" s="36"/>
      <c r="R114" s="36"/>
    </row>
    <row r="115" ht="20" customHeight="1" spans="1:18">
      <c r="A115" s="30"/>
      <c r="B115" s="35"/>
      <c r="C115" s="34"/>
      <c r="D115" s="34"/>
      <c r="E115" s="31"/>
      <c r="F115" s="31"/>
      <c r="G115" s="31">
        <f t="shared" si="10"/>
        <v>0</v>
      </c>
      <c r="H115" s="29"/>
      <c r="I115" s="29"/>
      <c r="J115" s="29"/>
      <c r="K115" s="29"/>
      <c r="L115" s="29"/>
      <c r="M115" s="51">
        <f t="shared" si="11"/>
        <v>0</v>
      </c>
      <c r="N115" s="31"/>
      <c r="O115" s="52">
        <f t="shared" si="12"/>
        <v>186149.9</v>
      </c>
      <c r="P115" s="36"/>
      <c r="Q115" s="36"/>
      <c r="R115" s="36"/>
    </row>
    <row r="116" ht="20" customHeight="1" spans="1:18">
      <c r="A116" s="30"/>
      <c r="B116" s="35"/>
      <c r="C116" s="34"/>
      <c r="D116" s="34"/>
      <c r="E116" s="31"/>
      <c r="F116" s="31"/>
      <c r="G116" s="31">
        <f t="shared" si="10"/>
        <v>0</v>
      </c>
      <c r="H116" s="29"/>
      <c r="I116" s="29"/>
      <c r="J116" s="29"/>
      <c r="K116" s="29"/>
      <c r="L116" s="29"/>
      <c r="M116" s="51">
        <f t="shared" si="11"/>
        <v>0</v>
      </c>
      <c r="N116" s="31"/>
      <c r="O116" s="52">
        <f t="shared" si="12"/>
        <v>186149.9</v>
      </c>
      <c r="P116" s="36"/>
      <c r="Q116" s="36"/>
      <c r="R116" s="36"/>
    </row>
    <row r="117" ht="20" customHeight="1" spans="1:18">
      <c r="A117" s="69"/>
      <c r="B117" s="35"/>
      <c r="C117" s="34"/>
      <c r="D117" s="34"/>
      <c r="E117" s="31"/>
      <c r="F117" s="31"/>
      <c r="G117" s="31">
        <f t="shared" si="10"/>
        <v>0</v>
      </c>
      <c r="H117" s="29"/>
      <c r="I117" s="29"/>
      <c r="J117" s="29"/>
      <c r="K117" s="29"/>
      <c r="L117" s="71"/>
      <c r="M117" s="51">
        <f t="shared" si="11"/>
        <v>0</v>
      </c>
      <c r="N117" s="31"/>
      <c r="O117" s="52">
        <f t="shared" si="12"/>
        <v>186149.9</v>
      </c>
      <c r="P117" s="36"/>
      <c r="Q117" s="36"/>
      <c r="R117" s="36"/>
    </row>
    <row r="118" ht="20" customHeight="1" spans="1:18">
      <c r="A118" s="69"/>
      <c r="B118" s="35"/>
      <c r="C118" s="34"/>
      <c r="D118" s="34"/>
      <c r="E118" s="31"/>
      <c r="F118" s="31"/>
      <c r="G118" s="31">
        <f t="shared" si="10"/>
        <v>0</v>
      </c>
      <c r="H118" s="29"/>
      <c r="I118" s="29"/>
      <c r="J118" s="29"/>
      <c r="K118" s="29"/>
      <c r="L118" s="71"/>
      <c r="M118" s="51">
        <f t="shared" si="11"/>
        <v>0</v>
      </c>
      <c r="N118" s="31"/>
      <c r="O118" s="52">
        <f t="shared" si="12"/>
        <v>186149.9</v>
      </c>
      <c r="P118" s="36"/>
      <c r="Q118" s="36"/>
      <c r="R118" s="36"/>
    </row>
    <row r="119" ht="20" customHeight="1" spans="1:18">
      <c r="A119" s="30"/>
      <c r="B119" s="37"/>
      <c r="C119" s="34"/>
      <c r="D119" s="34"/>
      <c r="E119" s="31"/>
      <c r="F119" s="31"/>
      <c r="G119" s="31">
        <f t="shared" si="10"/>
        <v>0</v>
      </c>
      <c r="H119" s="29"/>
      <c r="I119" s="29"/>
      <c r="J119" s="29"/>
      <c r="K119" s="29"/>
      <c r="L119" s="71"/>
      <c r="M119" s="51">
        <f t="shared" si="11"/>
        <v>0</v>
      </c>
      <c r="N119" s="31"/>
      <c r="O119" s="52">
        <f t="shared" si="12"/>
        <v>186149.9</v>
      </c>
      <c r="P119" s="36"/>
      <c r="Q119" s="36"/>
      <c r="R119" s="36"/>
    </row>
    <row r="120" ht="20" customHeight="1" spans="1:18">
      <c r="A120" s="30"/>
      <c r="B120" s="37"/>
      <c r="C120" s="34"/>
      <c r="D120" s="34"/>
      <c r="E120" s="31"/>
      <c r="F120" s="31"/>
      <c r="G120" s="31">
        <f t="shared" si="10"/>
        <v>0</v>
      </c>
      <c r="H120" s="29"/>
      <c r="I120" s="29"/>
      <c r="J120" s="29"/>
      <c r="K120" s="29"/>
      <c r="L120" s="71"/>
      <c r="M120" s="51">
        <f t="shared" si="11"/>
        <v>0</v>
      </c>
      <c r="N120" s="73"/>
      <c r="O120" s="52">
        <f t="shared" si="12"/>
        <v>186149.9</v>
      </c>
      <c r="P120" s="36"/>
      <c r="Q120" s="36"/>
      <c r="R120" s="36"/>
    </row>
    <row r="121" ht="20" customHeight="1" spans="1:18">
      <c r="A121" s="30"/>
      <c r="B121" s="37"/>
      <c r="C121" s="34"/>
      <c r="D121" s="34"/>
      <c r="E121" s="31"/>
      <c r="F121" s="31"/>
      <c r="G121" s="31">
        <f t="shared" si="10"/>
        <v>0</v>
      </c>
      <c r="H121" s="29"/>
      <c r="I121" s="29"/>
      <c r="J121" s="29"/>
      <c r="K121" s="29"/>
      <c r="L121" s="71"/>
      <c r="M121" s="51">
        <f t="shared" si="11"/>
        <v>0</v>
      </c>
      <c r="N121" s="73"/>
      <c r="O121" s="52">
        <f t="shared" si="12"/>
        <v>186149.9</v>
      </c>
      <c r="P121" s="36"/>
      <c r="Q121" s="36"/>
      <c r="R121" s="36"/>
    </row>
    <row r="122" ht="20" customHeight="1" spans="1:18">
      <c r="A122" s="30"/>
      <c r="B122" s="35"/>
      <c r="C122" s="34"/>
      <c r="D122" s="34"/>
      <c r="E122" s="31"/>
      <c r="F122" s="31"/>
      <c r="G122" s="31">
        <f t="shared" si="10"/>
        <v>0</v>
      </c>
      <c r="H122" s="29"/>
      <c r="I122" s="29"/>
      <c r="J122" s="29"/>
      <c r="K122" s="29"/>
      <c r="L122" s="29"/>
      <c r="M122" s="51">
        <f t="shared" si="11"/>
        <v>0</v>
      </c>
      <c r="N122" s="31"/>
      <c r="O122" s="52">
        <f t="shared" si="12"/>
        <v>186149.9</v>
      </c>
      <c r="P122" s="36"/>
      <c r="Q122" s="36"/>
      <c r="R122" s="36"/>
    </row>
    <row r="123" ht="20" customHeight="1" spans="1:18">
      <c r="A123" s="30"/>
      <c r="B123" s="35"/>
      <c r="C123" s="34"/>
      <c r="D123" s="34"/>
      <c r="E123" s="31"/>
      <c r="F123" s="31"/>
      <c r="G123" s="31">
        <f t="shared" si="10"/>
        <v>0</v>
      </c>
      <c r="H123" s="29"/>
      <c r="I123" s="29"/>
      <c r="J123" s="29"/>
      <c r="K123" s="29"/>
      <c r="L123" s="29"/>
      <c r="M123" s="51">
        <f t="shared" si="11"/>
        <v>0</v>
      </c>
      <c r="N123" s="31"/>
      <c r="O123" s="52">
        <f t="shared" si="12"/>
        <v>186149.9</v>
      </c>
      <c r="P123" s="36"/>
      <c r="Q123" s="36"/>
      <c r="R123" s="36"/>
    </row>
    <row r="124" ht="20" customHeight="1" spans="1:18">
      <c r="A124" s="30"/>
      <c r="B124" s="35"/>
      <c r="C124" s="34"/>
      <c r="D124" s="34"/>
      <c r="E124" s="31"/>
      <c r="F124" s="70"/>
      <c r="G124" s="31">
        <f t="shared" si="10"/>
        <v>0</v>
      </c>
      <c r="H124" s="29"/>
      <c r="I124" s="29"/>
      <c r="J124" s="29"/>
      <c r="K124" s="29"/>
      <c r="L124" s="29"/>
      <c r="M124" s="51">
        <f t="shared" si="11"/>
        <v>0</v>
      </c>
      <c r="N124" s="31"/>
      <c r="O124" s="52">
        <f t="shared" si="12"/>
        <v>186149.9</v>
      </c>
      <c r="P124" s="36"/>
      <c r="Q124" s="36"/>
      <c r="R124" s="36"/>
    </row>
    <row r="125" ht="20" customHeight="1" spans="1:18">
      <c r="A125" s="30"/>
      <c r="B125" s="35"/>
      <c r="C125" s="34"/>
      <c r="D125" s="34"/>
      <c r="E125" s="31"/>
      <c r="F125" s="70"/>
      <c r="G125" s="31">
        <f t="shared" si="10"/>
        <v>0</v>
      </c>
      <c r="H125" s="29"/>
      <c r="I125" s="29"/>
      <c r="J125" s="29"/>
      <c r="K125" s="29"/>
      <c r="L125" s="29"/>
      <c r="M125" s="51">
        <f t="shared" si="11"/>
        <v>0</v>
      </c>
      <c r="N125" s="31"/>
      <c r="O125" s="52">
        <f t="shared" si="12"/>
        <v>186149.9</v>
      </c>
      <c r="P125" s="36"/>
      <c r="Q125" s="36"/>
      <c r="R125" s="36"/>
    </row>
    <row r="126" ht="20" customHeight="1" spans="1:18">
      <c r="A126" s="30"/>
      <c r="B126" s="35"/>
      <c r="C126" s="34"/>
      <c r="D126" s="34"/>
      <c r="E126" s="31"/>
      <c r="F126" s="31"/>
      <c r="G126" s="31">
        <f t="shared" si="10"/>
        <v>0</v>
      </c>
      <c r="H126" s="29"/>
      <c r="I126" s="29"/>
      <c r="J126" s="29"/>
      <c r="K126" s="29"/>
      <c r="L126" s="29"/>
      <c r="M126" s="51">
        <f t="shared" si="11"/>
        <v>0</v>
      </c>
      <c r="N126" s="31"/>
      <c r="O126" s="52">
        <f t="shared" si="12"/>
        <v>186149.9</v>
      </c>
      <c r="P126" s="36"/>
      <c r="Q126" s="36"/>
      <c r="R126" s="36"/>
    </row>
    <row r="127" ht="20" customHeight="1" spans="1:18">
      <c r="A127" s="30"/>
      <c r="B127" s="35"/>
      <c r="C127" s="34"/>
      <c r="D127" s="34"/>
      <c r="E127" s="31"/>
      <c r="F127" s="31"/>
      <c r="G127" s="31">
        <f t="shared" si="10"/>
        <v>0</v>
      </c>
      <c r="H127" s="29"/>
      <c r="I127" s="29"/>
      <c r="J127" s="29"/>
      <c r="K127" s="29"/>
      <c r="L127" s="29"/>
      <c r="M127" s="51">
        <f t="shared" si="11"/>
        <v>0</v>
      </c>
      <c r="N127" s="31"/>
      <c r="O127" s="52">
        <f t="shared" si="12"/>
        <v>186149.9</v>
      </c>
      <c r="P127" s="36"/>
      <c r="Q127" s="36"/>
      <c r="R127" s="36"/>
    </row>
    <row r="128" ht="20" customHeight="1" spans="1:18">
      <c r="A128" s="30"/>
      <c r="B128" s="35"/>
      <c r="C128" s="34"/>
      <c r="D128" s="34"/>
      <c r="E128" s="31"/>
      <c r="F128" s="31"/>
      <c r="G128" s="31">
        <f t="shared" si="10"/>
        <v>0</v>
      </c>
      <c r="H128" s="29"/>
      <c r="I128" s="29"/>
      <c r="J128" s="29"/>
      <c r="K128" s="29"/>
      <c r="L128" s="29"/>
      <c r="M128" s="51">
        <f t="shared" si="11"/>
        <v>0</v>
      </c>
      <c r="N128" s="31"/>
      <c r="O128" s="52">
        <f t="shared" si="12"/>
        <v>186149.9</v>
      </c>
      <c r="P128" s="36"/>
      <c r="Q128" s="36"/>
      <c r="R128" s="36"/>
    </row>
    <row r="129" ht="20" customHeight="1" spans="1:18">
      <c r="A129" s="30"/>
      <c r="B129" s="35"/>
      <c r="C129" s="34"/>
      <c r="D129" s="34"/>
      <c r="E129" s="31"/>
      <c r="F129" s="31"/>
      <c r="G129" s="31">
        <f t="shared" si="10"/>
        <v>0</v>
      </c>
      <c r="H129" s="29"/>
      <c r="I129" s="29"/>
      <c r="J129" s="29"/>
      <c r="K129" s="29"/>
      <c r="L129" s="71"/>
      <c r="M129" s="51">
        <f t="shared" si="11"/>
        <v>0</v>
      </c>
      <c r="N129" s="31"/>
      <c r="O129" s="52">
        <f t="shared" si="12"/>
        <v>186149.9</v>
      </c>
      <c r="P129" s="36"/>
      <c r="Q129" s="36"/>
      <c r="R129" s="36"/>
    </row>
    <row r="130" ht="20" customHeight="1" spans="1:18">
      <c r="A130" s="30"/>
      <c r="B130" s="35"/>
      <c r="C130" s="34"/>
      <c r="D130" s="34"/>
      <c r="E130" s="31"/>
      <c r="F130" s="31"/>
      <c r="G130" s="31">
        <f t="shared" si="10"/>
        <v>0</v>
      </c>
      <c r="H130" s="29"/>
      <c r="I130" s="29"/>
      <c r="J130" s="29"/>
      <c r="K130" s="29"/>
      <c r="L130" s="71"/>
      <c r="M130" s="51">
        <f t="shared" si="11"/>
        <v>0</v>
      </c>
      <c r="N130" s="31"/>
      <c r="O130" s="52">
        <f t="shared" si="12"/>
        <v>186149.9</v>
      </c>
      <c r="P130" s="36"/>
      <c r="Q130" s="36"/>
      <c r="R130" s="36"/>
    </row>
    <row r="131" ht="20" customHeight="1" spans="1:18">
      <c r="A131" s="30"/>
      <c r="B131" s="35"/>
      <c r="C131" s="34"/>
      <c r="D131" s="34"/>
      <c r="E131" s="31"/>
      <c r="F131" s="31"/>
      <c r="G131" s="31">
        <f t="shared" si="10"/>
        <v>0</v>
      </c>
      <c r="H131" s="29"/>
      <c r="I131" s="29"/>
      <c r="J131" s="29"/>
      <c r="K131" s="29"/>
      <c r="L131" s="29"/>
      <c r="M131" s="51">
        <f t="shared" si="11"/>
        <v>0</v>
      </c>
      <c r="N131" s="31"/>
      <c r="O131" s="52">
        <f t="shared" si="12"/>
        <v>186149.9</v>
      </c>
      <c r="P131" s="36"/>
      <c r="Q131" s="36"/>
      <c r="R131" s="36"/>
    </row>
    <row r="132" ht="20" customHeight="1" spans="1:18">
      <c r="A132" s="30"/>
      <c r="B132" s="35"/>
      <c r="C132" s="34"/>
      <c r="D132" s="34"/>
      <c r="E132" s="31"/>
      <c r="F132" s="31"/>
      <c r="G132" s="31">
        <f t="shared" si="10"/>
        <v>0</v>
      </c>
      <c r="H132" s="29"/>
      <c r="I132" s="29"/>
      <c r="J132" s="29"/>
      <c r="K132" s="29"/>
      <c r="L132" s="29"/>
      <c r="M132" s="51">
        <f t="shared" si="11"/>
        <v>0</v>
      </c>
      <c r="N132" s="31"/>
      <c r="O132" s="52">
        <f t="shared" si="12"/>
        <v>186149.9</v>
      </c>
      <c r="P132" s="36"/>
      <c r="Q132" s="36"/>
      <c r="R132" s="36"/>
    </row>
    <row r="133" ht="20" customHeight="1" spans="1:18">
      <c r="A133" s="30"/>
      <c r="B133" s="35"/>
      <c r="C133" s="34"/>
      <c r="D133" s="34"/>
      <c r="E133" s="31"/>
      <c r="F133" s="31"/>
      <c r="G133" s="31">
        <f t="shared" ref="G133:G172" si="13">E133*F133</f>
        <v>0</v>
      </c>
      <c r="H133" s="29"/>
      <c r="I133" s="29"/>
      <c r="J133" s="29"/>
      <c r="K133" s="29"/>
      <c r="L133" s="71"/>
      <c r="M133" s="51">
        <f t="shared" ref="M133:M172" si="14">G133+H133</f>
        <v>0</v>
      </c>
      <c r="N133" s="31"/>
      <c r="O133" s="52">
        <f t="shared" si="12"/>
        <v>186149.9</v>
      </c>
      <c r="P133" s="36"/>
      <c r="Q133" s="36"/>
      <c r="R133" s="36"/>
    </row>
    <row r="134" ht="20" customHeight="1" spans="1:18">
      <c r="A134" s="30"/>
      <c r="B134" s="35"/>
      <c r="C134" s="34"/>
      <c r="D134" s="34"/>
      <c r="E134" s="31"/>
      <c r="F134" s="31"/>
      <c r="G134" s="31">
        <f t="shared" si="13"/>
        <v>0</v>
      </c>
      <c r="H134" s="29"/>
      <c r="I134" s="29"/>
      <c r="J134" s="29"/>
      <c r="K134" s="29"/>
      <c r="L134" s="71"/>
      <c r="M134" s="51">
        <f t="shared" si="14"/>
        <v>0</v>
      </c>
      <c r="N134" s="31"/>
      <c r="O134" s="52">
        <f t="shared" ref="O134:O172" si="15">O133+M134-N134</f>
        <v>186149.9</v>
      </c>
      <c r="P134" s="36"/>
      <c r="Q134" s="36"/>
      <c r="R134" s="36"/>
    </row>
    <row r="135" ht="20" customHeight="1" spans="1:18">
      <c r="A135" s="30"/>
      <c r="B135" s="35"/>
      <c r="C135" s="34"/>
      <c r="D135" s="34"/>
      <c r="E135" s="31"/>
      <c r="F135" s="31"/>
      <c r="G135" s="31">
        <f t="shared" si="13"/>
        <v>0</v>
      </c>
      <c r="H135" s="29"/>
      <c r="I135" s="29"/>
      <c r="J135" s="29"/>
      <c r="K135" s="29"/>
      <c r="L135" s="29"/>
      <c r="M135" s="51">
        <f t="shared" si="14"/>
        <v>0</v>
      </c>
      <c r="N135" s="31"/>
      <c r="O135" s="52">
        <f t="shared" si="15"/>
        <v>186149.9</v>
      </c>
      <c r="P135" s="36"/>
      <c r="Q135" s="36"/>
      <c r="R135" s="36"/>
    </row>
    <row r="136" ht="20" customHeight="1" spans="1:18">
      <c r="A136" s="30"/>
      <c r="B136" s="35"/>
      <c r="C136" s="34"/>
      <c r="D136" s="34"/>
      <c r="E136" s="31"/>
      <c r="F136" s="31"/>
      <c r="G136" s="31">
        <f t="shared" si="13"/>
        <v>0</v>
      </c>
      <c r="H136" s="29"/>
      <c r="I136" s="29"/>
      <c r="J136" s="29"/>
      <c r="K136" s="29"/>
      <c r="L136" s="29"/>
      <c r="M136" s="51">
        <f t="shared" si="14"/>
        <v>0</v>
      </c>
      <c r="N136" s="31"/>
      <c r="O136" s="52">
        <f t="shared" si="15"/>
        <v>186149.9</v>
      </c>
      <c r="P136" s="36"/>
      <c r="Q136" s="36"/>
      <c r="R136" s="36"/>
    </row>
    <row r="137" ht="20" customHeight="1" spans="1:18">
      <c r="A137" s="30"/>
      <c r="B137" s="35"/>
      <c r="C137" s="34"/>
      <c r="D137" s="34"/>
      <c r="E137" s="31"/>
      <c r="F137" s="31"/>
      <c r="G137" s="31">
        <f t="shared" si="13"/>
        <v>0</v>
      </c>
      <c r="H137" s="29"/>
      <c r="I137" s="29"/>
      <c r="J137" s="29"/>
      <c r="K137" s="29"/>
      <c r="L137" s="71"/>
      <c r="M137" s="51">
        <f t="shared" si="14"/>
        <v>0</v>
      </c>
      <c r="N137" s="31"/>
      <c r="O137" s="52">
        <f t="shared" si="15"/>
        <v>186149.9</v>
      </c>
      <c r="P137" s="36"/>
      <c r="Q137" s="36"/>
      <c r="R137" s="36"/>
    </row>
    <row r="138" ht="20" customHeight="1" spans="1:18">
      <c r="A138" s="30"/>
      <c r="B138" s="35"/>
      <c r="C138" s="34"/>
      <c r="D138" s="34"/>
      <c r="E138" s="31"/>
      <c r="F138" s="31"/>
      <c r="G138" s="31">
        <f t="shared" si="13"/>
        <v>0</v>
      </c>
      <c r="H138" s="29"/>
      <c r="I138" s="29"/>
      <c r="J138" s="29"/>
      <c r="K138" s="29"/>
      <c r="L138" s="29"/>
      <c r="M138" s="51">
        <f t="shared" si="14"/>
        <v>0</v>
      </c>
      <c r="N138" s="31"/>
      <c r="O138" s="52">
        <f t="shared" si="15"/>
        <v>186149.9</v>
      </c>
      <c r="P138" s="36"/>
      <c r="Q138" s="36"/>
      <c r="R138" s="36"/>
    </row>
    <row r="139" ht="20" customHeight="1" spans="1:18">
      <c r="A139" s="30"/>
      <c r="B139" s="35"/>
      <c r="C139" s="34"/>
      <c r="D139" s="34"/>
      <c r="E139" s="31"/>
      <c r="F139" s="31"/>
      <c r="G139" s="31">
        <f t="shared" si="13"/>
        <v>0</v>
      </c>
      <c r="H139" s="29"/>
      <c r="I139" s="29"/>
      <c r="J139" s="29"/>
      <c r="K139" s="29"/>
      <c r="L139" s="29"/>
      <c r="M139" s="51">
        <f t="shared" si="14"/>
        <v>0</v>
      </c>
      <c r="N139" s="31"/>
      <c r="O139" s="52">
        <f t="shared" si="15"/>
        <v>186149.9</v>
      </c>
      <c r="P139" s="36"/>
      <c r="Q139" s="36"/>
      <c r="R139" s="36"/>
    </row>
    <row r="140" ht="20" customHeight="1" spans="1:18">
      <c r="A140" s="30"/>
      <c r="B140" s="35"/>
      <c r="C140" s="34"/>
      <c r="D140" s="34"/>
      <c r="E140" s="31"/>
      <c r="F140" s="31"/>
      <c r="G140" s="31">
        <f t="shared" si="13"/>
        <v>0</v>
      </c>
      <c r="H140" s="29"/>
      <c r="I140" s="29"/>
      <c r="J140" s="29"/>
      <c r="K140" s="29"/>
      <c r="L140" s="29"/>
      <c r="M140" s="51">
        <f t="shared" si="14"/>
        <v>0</v>
      </c>
      <c r="N140" s="31"/>
      <c r="O140" s="52">
        <f t="shared" si="15"/>
        <v>186149.9</v>
      </c>
      <c r="P140" s="36"/>
      <c r="Q140" s="36"/>
      <c r="R140" s="36"/>
    </row>
    <row r="141" ht="20" customHeight="1" spans="1:18">
      <c r="A141" s="30"/>
      <c r="B141" s="35"/>
      <c r="C141" s="34"/>
      <c r="D141" s="34"/>
      <c r="E141" s="31"/>
      <c r="F141" s="31"/>
      <c r="G141" s="31">
        <f t="shared" si="13"/>
        <v>0</v>
      </c>
      <c r="H141" s="29"/>
      <c r="I141" s="29"/>
      <c r="J141" s="29"/>
      <c r="K141" s="29"/>
      <c r="L141" s="29"/>
      <c r="M141" s="51">
        <f t="shared" si="14"/>
        <v>0</v>
      </c>
      <c r="N141" s="31"/>
      <c r="O141" s="52">
        <f t="shared" si="15"/>
        <v>186149.9</v>
      </c>
      <c r="P141" s="36"/>
      <c r="Q141" s="36"/>
      <c r="R141" s="36"/>
    </row>
    <row r="142" ht="20" customHeight="1" spans="1:18">
      <c r="A142" s="30"/>
      <c r="B142" s="35"/>
      <c r="C142" s="34"/>
      <c r="D142" s="34"/>
      <c r="E142" s="31"/>
      <c r="F142" s="31"/>
      <c r="G142" s="31">
        <f t="shared" si="13"/>
        <v>0</v>
      </c>
      <c r="H142" s="29"/>
      <c r="I142" s="29"/>
      <c r="J142" s="29"/>
      <c r="K142" s="29"/>
      <c r="L142" s="71"/>
      <c r="M142" s="51">
        <f t="shared" si="14"/>
        <v>0</v>
      </c>
      <c r="N142" s="31"/>
      <c r="O142" s="52">
        <f t="shared" si="15"/>
        <v>186149.9</v>
      </c>
      <c r="P142" s="36"/>
      <c r="Q142" s="36"/>
      <c r="R142" s="36"/>
    </row>
    <row r="143" ht="20" customHeight="1" spans="1:18">
      <c r="A143" s="74"/>
      <c r="B143" s="35"/>
      <c r="C143" s="34"/>
      <c r="D143" s="34"/>
      <c r="E143" s="31"/>
      <c r="F143" s="31"/>
      <c r="G143" s="31">
        <f t="shared" si="13"/>
        <v>0</v>
      </c>
      <c r="H143" s="29"/>
      <c r="I143" s="29"/>
      <c r="J143" s="29"/>
      <c r="K143" s="29"/>
      <c r="L143" s="29"/>
      <c r="M143" s="51">
        <f t="shared" si="14"/>
        <v>0</v>
      </c>
      <c r="N143" s="31"/>
      <c r="O143" s="52">
        <f t="shared" si="15"/>
        <v>186149.9</v>
      </c>
      <c r="P143" s="36"/>
      <c r="Q143" s="36"/>
      <c r="R143" s="36"/>
    </row>
    <row r="144" ht="20" customHeight="1" spans="1:18">
      <c r="A144" s="30"/>
      <c r="B144" s="35"/>
      <c r="C144" s="34"/>
      <c r="D144" s="34"/>
      <c r="E144" s="31"/>
      <c r="F144" s="31"/>
      <c r="G144" s="31">
        <f t="shared" si="13"/>
        <v>0</v>
      </c>
      <c r="H144" s="29"/>
      <c r="I144" s="29"/>
      <c r="J144" s="29"/>
      <c r="K144" s="29"/>
      <c r="L144" s="29"/>
      <c r="M144" s="51">
        <f t="shared" si="14"/>
        <v>0</v>
      </c>
      <c r="N144" s="31"/>
      <c r="O144" s="52">
        <f t="shared" si="15"/>
        <v>186149.9</v>
      </c>
      <c r="P144" s="36"/>
      <c r="Q144" s="36"/>
      <c r="R144" s="36"/>
    </row>
    <row r="145" ht="20" customHeight="1" spans="1:18">
      <c r="A145" s="30"/>
      <c r="B145" s="35"/>
      <c r="C145" s="34"/>
      <c r="D145" s="34"/>
      <c r="E145" s="31"/>
      <c r="F145" s="31"/>
      <c r="G145" s="31">
        <f t="shared" si="13"/>
        <v>0</v>
      </c>
      <c r="H145" s="29"/>
      <c r="I145" s="29"/>
      <c r="J145" s="29"/>
      <c r="K145" s="29"/>
      <c r="L145" s="29"/>
      <c r="M145" s="51">
        <f t="shared" si="14"/>
        <v>0</v>
      </c>
      <c r="N145" s="31"/>
      <c r="O145" s="52">
        <f t="shared" si="15"/>
        <v>186149.9</v>
      </c>
      <c r="P145" s="36"/>
      <c r="Q145" s="36"/>
      <c r="R145" s="36"/>
    </row>
    <row r="146" ht="20" customHeight="1" spans="1:18">
      <c r="A146" s="30"/>
      <c r="B146" s="35"/>
      <c r="C146" s="34"/>
      <c r="D146" s="34"/>
      <c r="E146" s="31"/>
      <c r="F146" s="31"/>
      <c r="G146" s="31">
        <f t="shared" si="13"/>
        <v>0</v>
      </c>
      <c r="H146" s="29"/>
      <c r="I146" s="29"/>
      <c r="J146" s="29"/>
      <c r="K146" s="29"/>
      <c r="L146" s="29"/>
      <c r="M146" s="51">
        <f t="shared" si="14"/>
        <v>0</v>
      </c>
      <c r="N146" s="31"/>
      <c r="O146" s="52">
        <f t="shared" si="15"/>
        <v>186149.9</v>
      </c>
      <c r="P146" s="36"/>
      <c r="Q146" s="36"/>
      <c r="R146" s="36"/>
    </row>
    <row r="147" ht="20" customHeight="1" spans="1:18">
      <c r="A147" s="30"/>
      <c r="B147" s="35"/>
      <c r="C147" s="34"/>
      <c r="D147" s="34"/>
      <c r="E147" s="31"/>
      <c r="F147" s="31"/>
      <c r="G147" s="31">
        <f t="shared" si="13"/>
        <v>0</v>
      </c>
      <c r="H147" s="29"/>
      <c r="I147" s="29"/>
      <c r="J147" s="29"/>
      <c r="K147" s="29"/>
      <c r="L147" s="29"/>
      <c r="M147" s="51">
        <f t="shared" si="14"/>
        <v>0</v>
      </c>
      <c r="N147" s="31"/>
      <c r="O147" s="52">
        <f t="shared" si="15"/>
        <v>186149.9</v>
      </c>
      <c r="P147" s="36"/>
      <c r="Q147" s="36"/>
      <c r="R147" s="36"/>
    </row>
    <row r="148" ht="20" customHeight="1" spans="1:18">
      <c r="A148" s="30"/>
      <c r="B148" s="35"/>
      <c r="C148" s="34"/>
      <c r="D148" s="34"/>
      <c r="E148" s="31"/>
      <c r="F148" s="31"/>
      <c r="G148" s="31">
        <f t="shared" si="13"/>
        <v>0</v>
      </c>
      <c r="H148" s="29"/>
      <c r="I148" s="29"/>
      <c r="J148" s="29"/>
      <c r="K148" s="29"/>
      <c r="L148" s="29"/>
      <c r="M148" s="51">
        <f t="shared" si="14"/>
        <v>0</v>
      </c>
      <c r="N148" s="31"/>
      <c r="O148" s="52">
        <f t="shared" si="15"/>
        <v>186149.9</v>
      </c>
      <c r="P148" s="36"/>
      <c r="Q148" s="36"/>
      <c r="R148" s="36"/>
    </row>
    <row r="149" ht="20" customHeight="1" spans="1:18">
      <c r="A149" s="30"/>
      <c r="B149" s="35"/>
      <c r="C149" s="34"/>
      <c r="D149" s="34"/>
      <c r="E149" s="31"/>
      <c r="F149" s="31"/>
      <c r="G149" s="31">
        <f t="shared" si="13"/>
        <v>0</v>
      </c>
      <c r="H149" s="29"/>
      <c r="I149" s="29"/>
      <c r="J149" s="29"/>
      <c r="K149" s="29"/>
      <c r="L149" s="29"/>
      <c r="M149" s="51">
        <f t="shared" si="14"/>
        <v>0</v>
      </c>
      <c r="N149" s="31"/>
      <c r="O149" s="52">
        <f t="shared" si="15"/>
        <v>186149.9</v>
      </c>
      <c r="P149" s="36"/>
      <c r="Q149" s="36"/>
      <c r="R149" s="36"/>
    </row>
    <row r="150" ht="20" customHeight="1" spans="1:18">
      <c r="A150" s="30"/>
      <c r="B150" s="35"/>
      <c r="C150" s="34"/>
      <c r="D150" s="34"/>
      <c r="E150" s="31"/>
      <c r="F150" s="31"/>
      <c r="G150" s="31">
        <f t="shared" si="13"/>
        <v>0</v>
      </c>
      <c r="H150" s="29"/>
      <c r="I150" s="29"/>
      <c r="J150" s="29"/>
      <c r="K150" s="29"/>
      <c r="L150" s="29"/>
      <c r="M150" s="51">
        <f t="shared" si="14"/>
        <v>0</v>
      </c>
      <c r="N150" s="31"/>
      <c r="O150" s="52">
        <f t="shared" si="15"/>
        <v>186149.9</v>
      </c>
      <c r="P150" s="36"/>
      <c r="Q150" s="36"/>
      <c r="R150" s="36"/>
    </row>
    <row r="151" ht="20" customHeight="1" spans="1:18">
      <c r="A151" s="30"/>
      <c r="B151" s="35"/>
      <c r="C151" s="34"/>
      <c r="D151" s="34"/>
      <c r="E151" s="31"/>
      <c r="F151" s="31"/>
      <c r="G151" s="31">
        <f t="shared" si="13"/>
        <v>0</v>
      </c>
      <c r="H151" s="29"/>
      <c r="I151" s="29"/>
      <c r="J151" s="29"/>
      <c r="K151" s="29"/>
      <c r="L151" s="29"/>
      <c r="M151" s="51">
        <f t="shared" si="14"/>
        <v>0</v>
      </c>
      <c r="N151" s="31"/>
      <c r="O151" s="52">
        <f t="shared" si="15"/>
        <v>186149.9</v>
      </c>
      <c r="P151" s="36"/>
      <c r="Q151" s="36"/>
      <c r="R151" s="36"/>
    </row>
    <row r="152" ht="20" customHeight="1" spans="1:18">
      <c r="A152" s="30"/>
      <c r="B152" s="35"/>
      <c r="C152" s="34"/>
      <c r="D152" s="34"/>
      <c r="E152" s="31"/>
      <c r="F152" s="31"/>
      <c r="G152" s="31">
        <f t="shared" si="13"/>
        <v>0</v>
      </c>
      <c r="H152" s="29"/>
      <c r="I152" s="29"/>
      <c r="J152" s="29"/>
      <c r="K152" s="29"/>
      <c r="L152" s="29"/>
      <c r="M152" s="51">
        <f t="shared" si="14"/>
        <v>0</v>
      </c>
      <c r="N152" s="31"/>
      <c r="O152" s="52">
        <f t="shared" si="15"/>
        <v>186149.9</v>
      </c>
      <c r="P152" s="36"/>
      <c r="Q152" s="36"/>
      <c r="R152" s="36"/>
    </row>
    <row r="153" ht="20" customHeight="1" spans="1:18">
      <c r="A153" s="30"/>
      <c r="B153" s="35"/>
      <c r="C153" s="34"/>
      <c r="D153" s="34"/>
      <c r="E153" s="31"/>
      <c r="F153" s="31"/>
      <c r="G153" s="31">
        <f t="shared" si="13"/>
        <v>0</v>
      </c>
      <c r="H153" s="29"/>
      <c r="I153" s="29"/>
      <c r="J153" s="29"/>
      <c r="K153" s="29"/>
      <c r="L153" s="29"/>
      <c r="M153" s="51">
        <f t="shared" si="14"/>
        <v>0</v>
      </c>
      <c r="N153" s="31"/>
      <c r="O153" s="52">
        <f t="shared" si="15"/>
        <v>186149.9</v>
      </c>
      <c r="P153" s="36"/>
      <c r="Q153" s="36"/>
      <c r="R153" s="36"/>
    </row>
    <row r="154" ht="20" customHeight="1" spans="1:18">
      <c r="A154" s="30"/>
      <c r="B154" s="35"/>
      <c r="C154" s="34"/>
      <c r="D154" s="34"/>
      <c r="E154" s="31"/>
      <c r="F154" s="31"/>
      <c r="G154" s="31">
        <f t="shared" si="13"/>
        <v>0</v>
      </c>
      <c r="H154" s="29"/>
      <c r="I154" s="29"/>
      <c r="J154" s="29"/>
      <c r="K154" s="29"/>
      <c r="L154" s="29"/>
      <c r="M154" s="51">
        <f t="shared" si="14"/>
        <v>0</v>
      </c>
      <c r="N154" s="31"/>
      <c r="O154" s="52">
        <f t="shared" si="15"/>
        <v>186149.9</v>
      </c>
      <c r="P154" s="36"/>
      <c r="Q154" s="36"/>
      <c r="R154" s="36"/>
    </row>
    <row r="155" ht="20" customHeight="1" spans="1:18">
      <c r="A155" s="30"/>
      <c r="B155" s="35"/>
      <c r="C155" s="34"/>
      <c r="D155" s="34"/>
      <c r="E155" s="31"/>
      <c r="F155" s="31"/>
      <c r="G155" s="31">
        <f t="shared" si="13"/>
        <v>0</v>
      </c>
      <c r="H155" s="29"/>
      <c r="I155" s="29"/>
      <c r="J155" s="29"/>
      <c r="K155" s="29"/>
      <c r="L155" s="29"/>
      <c r="M155" s="51">
        <f t="shared" si="14"/>
        <v>0</v>
      </c>
      <c r="N155" s="31"/>
      <c r="O155" s="52">
        <f t="shared" si="15"/>
        <v>186149.9</v>
      </c>
      <c r="P155" s="36"/>
      <c r="Q155" s="36"/>
      <c r="R155" s="36"/>
    </row>
    <row r="156" ht="20" customHeight="1" spans="1:18">
      <c r="A156" s="30"/>
      <c r="B156" s="35"/>
      <c r="C156" s="34"/>
      <c r="D156" s="34"/>
      <c r="E156" s="31"/>
      <c r="F156" s="31"/>
      <c r="G156" s="31">
        <f t="shared" si="13"/>
        <v>0</v>
      </c>
      <c r="H156" s="29"/>
      <c r="I156" s="29"/>
      <c r="J156" s="29"/>
      <c r="K156" s="29"/>
      <c r="L156" s="29"/>
      <c r="M156" s="51">
        <f t="shared" si="14"/>
        <v>0</v>
      </c>
      <c r="N156" s="31"/>
      <c r="O156" s="52">
        <f t="shared" si="15"/>
        <v>186149.9</v>
      </c>
      <c r="P156" s="36"/>
      <c r="Q156" s="36"/>
      <c r="R156" s="36"/>
    </row>
    <row r="157" ht="20" customHeight="1" spans="1:18">
      <c r="A157" s="30"/>
      <c r="B157" s="35"/>
      <c r="C157" s="34"/>
      <c r="D157" s="34"/>
      <c r="E157" s="31"/>
      <c r="F157" s="31"/>
      <c r="G157" s="31">
        <f t="shared" si="13"/>
        <v>0</v>
      </c>
      <c r="H157" s="29"/>
      <c r="I157" s="29"/>
      <c r="J157" s="29"/>
      <c r="K157" s="29"/>
      <c r="L157" s="29"/>
      <c r="M157" s="51">
        <f t="shared" si="14"/>
        <v>0</v>
      </c>
      <c r="N157" s="31"/>
      <c r="O157" s="52">
        <f t="shared" si="15"/>
        <v>186149.9</v>
      </c>
      <c r="P157" s="36"/>
      <c r="Q157" s="36"/>
      <c r="R157" s="36"/>
    </row>
    <row r="158" ht="20" customHeight="1" spans="1:18">
      <c r="A158" s="30"/>
      <c r="B158" s="35"/>
      <c r="C158" s="34"/>
      <c r="D158" s="34"/>
      <c r="E158" s="31"/>
      <c r="F158" s="31"/>
      <c r="G158" s="31">
        <f t="shared" si="13"/>
        <v>0</v>
      </c>
      <c r="H158" s="29"/>
      <c r="I158" s="29"/>
      <c r="J158" s="29"/>
      <c r="K158" s="29"/>
      <c r="L158" s="29"/>
      <c r="M158" s="51">
        <f t="shared" si="14"/>
        <v>0</v>
      </c>
      <c r="N158" s="31"/>
      <c r="O158" s="52">
        <f t="shared" si="15"/>
        <v>186149.9</v>
      </c>
      <c r="P158" s="36"/>
      <c r="Q158" s="36"/>
      <c r="R158" s="36"/>
    </row>
    <row r="159" ht="31" customHeight="1" spans="1:18">
      <c r="A159" s="30"/>
      <c r="B159" s="35"/>
      <c r="C159" s="34"/>
      <c r="D159" s="34"/>
      <c r="E159" s="31"/>
      <c r="F159" s="31"/>
      <c r="G159" s="31">
        <f t="shared" si="13"/>
        <v>0</v>
      </c>
      <c r="H159" s="29"/>
      <c r="I159" s="29"/>
      <c r="J159" s="29"/>
      <c r="K159" s="29"/>
      <c r="L159" s="75"/>
      <c r="M159" s="51">
        <f t="shared" si="14"/>
        <v>0</v>
      </c>
      <c r="N159" s="31"/>
      <c r="O159" s="52">
        <f t="shared" si="15"/>
        <v>186149.9</v>
      </c>
      <c r="P159" s="36"/>
      <c r="Q159" s="36"/>
      <c r="R159" s="36"/>
    </row>
    <row r="160" ht="20" customHeight="1" spans="1:18">
      <c r="A160" s="30"/>
      <c r="B160" s="35"/>
      <c r="C160" s="34"/>
      <c r="D160" s="34"/>
      <c r="E160" s="31"/>
      <c r="F160" s="31"/>
      <c r="G160" s="31">
        <f t="shared" si="13"/>
        <v>0</v>
      </c>
      <c r="H160" s="29"/>
      <c r="I160" s="29"/>
      <c r="J160" s="29"/>
      <c r="K160" s="29"/>
      <c r="L160" s="29"/>
      <c r="M160" s="51">
        <f t="shared" si="14"/>
        <v>0</v>
      </c>
      <c r="N160" s="31"/>
      <c r="O160" s="52">
        <f t="shared" si="15"/>
        <v>186149.9</v>
      </c>
      <c r="P160" s="36"/>
      <c r="Q160" s="36"/>
      <c r="R160" s="36"/>
    </row>
    <row r="161" ht="20" customHeight="1" spans="1:18">
      <c r="A161" s="30"/>
      <c r="B161" s="35"/>
      <c r="C161" s="34"/>
      <c r="D161" s="34"/>
      <c r="E161" s="31"/>
      <c r="F161" s="31"/>
      <c r="G161" s="31">
        <f t="shared" si="13"/>
        <v>0</v>
      </c>
      <c r="H161" s="29"/>
      <c r="I161" s="29"/>
      <c r="J161" s="29"/>
      <c r="K161" s="29"/>
      <c r="L161" s="29"/>
      <c r="M161" s="51">
        <f t="shared" si="14"/>
        <v>0</v>
      </c>
      <c r="N161" s="31"/>
      <c r="O161" s="52">
        <f t="shared" si="15"/>
        <v>186149.9</v>
      </c>
      <c r="P161" s="36"/>
      <c r="Q161" s="36"/>
      <c r="R161" s="36"/>
    </row>
    <row r="162" ht="20" customHeight="1" spans="1:18">
      <c r="A162" s="30"/>
      <c r="B162" s="35"/>
      <c r="C162" s="34"/>
      <c r="D162" s="34"/>
      <c r="E162" s="31"/>
      <c r="F162" s="31"/>
      <c r="G162" s="31">
        <f t="shared" si="13"/>
        <v>0</v>
      </c>
      <c r="H162" s="29"/>
      <c r="I162" s="29"/>
      <c r="J162" s="29"/>
      <c r="K162" s="29"/>
      <c r="L162" s="29"/>
      <c r="M162" s="51">
        <f t="shared" si="14"/>
        <v>0</v>
      </c>
      <c r="N162" s="31"/>
      <c r="O162" s="52">
        <f t="shared" si="15"/>
        <v>186149.9</v>
      </c>
      <c r="P162" s="36"/>
      <c r="Q162" s="36"/>
      <c r="R162" s="36"/>
    </row>
    <row r="163" ht="20" customHeight="1" spans="1:18">
      <c r="A163" s="30"/>
      <c r="B163" s="35"/>
      <c r="C163" s="34"/>
      <c r="D163" s="34"/>
      <c r="E163" s="31"/>
      <c r="F163" s="31"/>
      <c r="G163" s="31">
        <f t="shared" si="13"/>
        <v>0</v>
      </c>
      <c r="H163" s="29"/>
      <c r="I163" s="29"/>
      <c r="J163" s="29"/>
      <c r="K163" s="29"/>
      <c r="L163" s="71"/>
      <c r="M163" s="51">
        <f t="shared" si="14"/>
        <v>0</v>
      </c>
      <c r="N163" s="31"/>
      <c r="O163" s="52">
        <f t="shared" si="15"/>
        <v>186149.9</v>
      </c>
      <c r="P163" s="36"/>
      <c r="Q163" s="36"/>
      <c r="R163" s="36"/>
    </row>
    <row r="164" ht="20" customHeight="1" spans="1:18">
      <c r="A164" s="30"/>
      <c r="B164" s="35"/>
      <c r="C164" s="34"/>
      <c r="D164" s="34"/>
      <c r="E164" s="31"/>
      <c r="F164" s="31"/>
      <c r="G164" s="31">
        <f t="shared" si="13"/>
        <v>0</v>
      </c>
      <c r="H164" s="29"/>
      <c r="I164" s="29"/>
      <c r="J164" s="29"/>
      <c r="K164" s="29"/>
      <c r="L164" s="29"/>
      <c r="M164" s="51">
        <f t="shared" si="14"/>
        <v>0</v>
      </c>
      <c r="N164" s="31"/>
      <c r="O164" s="52">
        <f t="shared" si="15"/>
        <v>186149.9</v>
      </c>
      <c r="P164" s="36"/>
      <c r="Q164" s="36"/>
      <c r="R164" s="36"/>
    </row>
    <row r="165" ht="20" customHeight="1" spans="1:18">
      <c r="A165" s="30"/>
      <c r="B165" s="35"/>
      <c r="C165" s="34"/>
      <c r="D165" s="34"/>
      <c r="E165" s="31"/>
      <c r="F165" s="31"/>
      <c r="G165" s="31">
        <f t="shared" si="13"/>
        <v>0</v>
      </c>
      <c r="H165" s="29"/>
      <c r="I165" s="29"/>
      <c r="J165" s="29"/>
      <c r="K165" s="29"/>
      <c r="L165" s="71"/>
      <c r="M165" s="51">
        <f t="shared" si="14"/>
        <v>0</v>
      </c>
      <c r="N165" s="31"/>
      <c r="O165" s="52">
        <f t="shared" si="15"/>
        <v>186149.9</v>
      </c>
      <c r="P165" s="36"/>
      <c r="Q165" s="36"/>
      <c r="R165" s="36"/>
    </row>
    <row r="166" ht="20" customHeight="1" spans="1:18">
      <c r="A166" s="30"/>
      <c r="B166" s="35"/>
      <c r="C166" s="34"/>
      <c r="D166" s="34"/>
      <c r="E166" s="31"/>
      <c r="F166" s="31"/>
      <c r="G166" s="31">
        <f t="shared" si="13"/>
        <v>0</v>
      </c>
      <c r="H166" s="29"/>
      <c r="I166" s="29"/>
      <c r="J166" s="29"/>
      <c r="K166" s="29"/>
      <c r="L166" s="71"/>
      <c r="M166" s="51">
        <f t="shared" si="14"/>
        <v>0</v>
      </c>
      <c r="N166" s="31"/>
      <c r="O166" s="52">
        <f t="shared" si="15"/>
        <v>186149.9</v>
      </c>
      <c r="P166" s="36"/>
      <c r="Q166" s="36"/>
      <c r="R166" s="36"/>
    </row>
    <row r="167" ht="20" customHeight="1" spans="1:18">
      <c r="A167" s="30"/>
      <c r="B167" s="35"/>
      <c r="C167" s="34"/>
      <c r="D167" s="34"/>
      <c r="E167" s="31"/>
      <c r="F167" s="31"/>
      <c r="G167" s="31">
        <f t="shared" si="13"/>
        <v>0</v>
      </c>
      <c r="H167" s="29"/>
      <c r="I167" s="29"/>
      <c r="J167" s="29"/>
      <c r="K167" s="29"/>
      <c r="L167" s="71"/>
      <c r="M167" s="51">
        <f t="shared" si="14"/>
        <v>0</v>
      </c>
      <c r="N167" s="31"/>
      <c r="O167" s="52">
        <f t="shared" si="15"/>
        <v>186149.9</v>
      </c>
      <c r="P167" s="36"/>
      <c r="Q167" s="36"/>
      <c r="R167" s="36"/>
    </row>
    <row r="168" ht="20" customHeight="1" spans="1:18">
      <c r="A168" s="30"/>
      <c r="B168" s="35"/>
      <c r="C168" s="34"/>
      <c r="D168" s="34"/>
      <c r="E168" s="31"/>
      <c r="F168" s="31"/>
      <c r="G168" s="31">
        <f t="shared" si="13"/>
        <v>0</v>
      </c>
      <c r="H168" s="29"/>
      <c r="I168" s="29"/>
      <c r="J168" s="29"/>
      <c r="K168" s="29"/>
      <c r="L168" s="71"/>
      <c r="M168" s="51">
        <f t="shared" si="14"/>
        <v>0</v>
      </c>
      <c r="N168" s="31"/>
      <c r="O168" s="52">
        <f t="shared" si="15"/>
        <v>186149.9</v>
      </c>
      <c r="P168" s="36"/>
      <c r="Q168" s="36"/>
      <c r="R168" s="36"/>
    </row>
    <row r="169" ht="20" customHeight="1" spans="1:18">
      <c r="A169" s="30"/>
      <c r="B169" s="35"/>
      <c r="C169" s="34"/>
      <c r="D169" s="34"/>
      <c r="E169" s="31"/>
      <c r="F169" s="31"/>
      <c r="G169" s="31">
        <f t="shared" si="13"/>
        <v>0</v>
      </c>
      <c r="H169" s="29"/>
      <c r="I169" s="29"/>
      <c r="J169" s="29"/>
      <c r="K169" s="29"/>
      <c r="L169" s="29"/>
      <c r="M169" s="51">
        <f t="shared" si="14"/>
        <v>0</v>
      </c>
      <c r="N169" s="31"/>
      <c r="O169" s="52">
        <f t="shared" si="15"/>
        <v>186149.9</v>
      </c>
      <c r="P169" s="36"/>
      <c r="Q169" s="36"/>
      <c r="R169" s="36"/>
    </row>
    <row r="170" ht="20" customHeight="1" spans="1:18">
      <c r="A170" s="30"/>
      <c r="B170" s="35"/>
      <c r="C170" s="34"/>
      <c r="D170" s="34"/>
      <c r="E170" s="31"/>
      <c r="F170" s="31"/>
      <c r="G170" s="31">
        <f t="shared" si="13"/>
        <v>0</v>
      </c>
      <c r="H170" s="29"/>
      <c r="I170" s="29"/>
      <c r="J170" s="29"/>
      <c r="K170" s="29"/>
      <c r="L170" s="71"/>
      <c r="M170" s="51">
        <f t="shared" si="14"/>
        <v>0</v>
      </c>
      <c r="N170" s="31"/>
      <c r="O170" s="52">
        <f t="shared" si="15"/>
        <v>186149.9</v>
      </c>
      <c r="P170" s="36"/>
      <c r="Q170" s="36"/>
      <c r="R170" s="36"/>
    </row>
    <row r="171" ht="20" customHeight="1" spans="1:18">
      <c r="A171" s="30"/>
      <c r="B171" s="35"/>
      <c r="C171" s="34"/>
      <c r="D171" s="34"/>
      <c r="E171" s="31"/>
      <c r="F171" s="31"/>
      <c r="G171" s="31">
        <f t="shared" si="13"/>
        <v>0</v>
      </c>
      <c r="H171" s="29"/>
      <c r="I171" s="29"/>
      <c r="J171" s="29"/>
      <c r="K171" s="29"/>
      <c r="L171" s="29"/>
      <c r="M171" s="51">
        <f t="shared" si="14"/>
        <v>0</v>
      </c>
      <c r="N171" s="31"/>
      <c r="O171" s="52">
        <f t="shared" si="15"/>
        <v>186149.9</v>
      </c>
      <c r="P171" s="36"/>
      <c r="Q171" s="36"/>
      <c r="R171" s="36"/>
    </row>
    <row r="172" ht="20" customHeight="1" spans="1:18">
      <c r="A172" s="30"/>
      <c r="B172" s="35"/>
      <c r="C172" s="34"/>
      <c r="D172" s="34"/>
      <c r="E172" s="31"/>
      <c r="F172" s="31"/>
      <c r="G172" s="31">
        <f t="shared" si="13"/>
        <v>0</v>
      </c>
      <c r="H172" s="29"/>
      <c r="I172" s="29"/>
      <c r="J172" s="29"/>
      <c r="K172" s="29"/>
      <c r="L172" s="29"/>
      <c r="M172" s="51">
        <f t="shared" si="14"/>
        <v>0</v>
      </c>
      <c r="N172" s="31"/>
      <c r="O172" s="52">
        <f t="shared" si="15"/>
        <v>186149.9</v>
      </c>
      <c r="P172" s="36"/>
      <c r="Q172" s="36"/>
      <c r="R172" s="36"/>
    </row>
  </sheetData>
  <mergeCells count="15">
    <mergeCell ref="A1:R1"/>
    <mergeCell ref="A2:R2"/>
    <mergeCell ref="E3:H3"/>
    <mergeCell ref="I3:K3"/>
    <mergeCell ref="A3:A4"/>
    <mergeCell ref="B3:B4"/>
    <mergeCell ref="C3:C4"/>
    <mergeCell ref="D3:D4"/>
    <mergeCell ref="L3:L4"/>
    <mergeCell ref="M3:M4"/>
    <mergeCell ref="N3:N4"/>
    <mergeCell ref="O3:O4"/>
    <mergeCell ref="P3:P4"/>
    <mergeCell ref="Q3:Q4"/>
    <mergeCell ref="R3:R4"/>
  </mergeCells>
  <conditionalFormatting sqref="B3">
    <cfRule type="duplicateValues" dxfId="0" priority="80"/>
  </conditionalFormatting>
  <conditionalFormatting sqref="P3:Q3">
    <cfRule type="duplicateValues" dxfId="1" priority="9"/>
  </conditionalFormatting>
  <conditionalFormatting sqref="B5">
    <cfRule type="duplicateValues" dxfId="0" priority="55"/>
  </conditionalFormatting>
  <conditionalFormatting sqref="B23">
    <cfRule type="duplicateValues" dxfId="0" priority="49"/>
  </conditionalFormatting>
  <conditionalFormatting sqref="B24">
    <cfRule type="duplicateValues" dxfId="0" priority="50"/>
  </conditionalFormatting>
  <conditionalFormatting sqref="B25">
    <cfRule type="duplicateValues" dxfId="0" priority="51"/>
  </conditionalFormatting>
  <conditionalFormatting sqref="B26">
    <cfRule type="duplicateValues" dxfId="0" priority="74"/>
  </conditionalFormatting>
  <conditionalFormatting sqref="B27">
    <cfRule type="duplicateValues" dxfId="0" priority="73"/>
  </conditionalFormatting>
  <conditionalFormatting sqref="B28">
    <cfRule type="duplicateValues" dxfId="0" priority="48"/>
  </conditionalFormatting>
  <conditionalFormatting sqref="B29">
    <cfRule type="duplicateValues" dxfId="0" priority="47"/>
  </conditionalFormatting>
  <conditionalFormatting sqref="B30">
    <cfRule type="duplicateValues" dxfId="0" priority="46"/>
  </conditionalFormatting>
  <conditionalFormatting sqref="B31">
    <cfRule type="duplicateValues" dxfId="0" priority="45"/>
  </conditionalFormatting>
  <conditionalFormatting sqref="B34">
    <cfRule type="duplicateValues" dxfId="0" priority="72"/>
  </conditionalFormatting>
  <conditionalFormatting sqref="B40">
    <cfRule type="duplicateValues" dxfId="0" priority="41"/>
  </conditionalFormatting>
  <conditionalFormatting sqref="B43">
    <cfRule type="duplicateValues" dxfId="0" priority="40"/>
  </conditionalFormatting>
  <conditionalFormatting sqref="B44">
    <cfRule type="duplicateValues" dxfId="0" priority="39"/>
  </conditionalFormatting>
  <conditionalFormatting sqref="B47">
    <cfRule type="duplicateValues" dxfId="0" priority="33"/>
  </conditionalFormatting>
  <conditionalFormatting sqref="B51">
    <cfRule type="duplicateValues" dxfId="0" priority="32"/>
  </conditionalFormatting>
  <conditionalFormatting sqref="B52">
    <cfRule type="duplicateValues" dxfId="0" priority="31"/>
  </conditionalFormatting>
  <conditionalFormatting sqref="B53">
    <cfRule type="duplicateValues" dxfId="0" priority="30"/>
  </conditionalFormatting>
  <conditionalFormatting sqref="B54">
    <cfRule type="duplicateValues" dxfId="0" priority="29"/>
  </conditionalFormatting>
  <conditionalFormatting sqref="B55">
    <cfRule type="duplicateValues" dxfId="0" priority="27"/>
  </conditionalFormatting>
  <conditionalFormatting sqref="B67">
    <cfRule type="duplicateValues" dxfId="0" priority="26"/>
  </conditionalFormatting>
  <conditionalFormatting sqref="B68">
    <cfRule type="duplicateValues" dxfId="0" priority="25"/>
  </conditionalFormatting>
  <conditionalFormatting sqref="B74">
    <cfRule type="duplicateValues" dxfId="0" priority="20"/>
  </conditionalFormatting>
  <conditionalFormatting sqref="B78">
    <cfRule type="duplicateValues" dxfId="0" priority="19"/>
  </conditionalFormatting>
  <conditionalFormatting sqref="B83">
    <cfRule type="duplicateValues" dxfId="0" priority="17"/>
  </conditionalFormatting>
  <conditionalFormatting sqref="B84">
    <cfRule type="duplicateValues" dxfId="0" priority="16"/>
  </conditionalFormatting>
  <conditionalFormatting sqref="B110">
    <cfRule type="duplicateValues" dxfId="0" priority="66"/>
  </conditionalFormatting>
  <conditionalFormatting sqref="B126">
    <cfRule type="duplicateValues" dxfId="0" priority="62"/>
  </conditionalFormatting>
  <conditionalFormatting sqref="B127">
    <cfRule type="duplicateValues" dxfId="0" priority="61"/>
  </conditionalFormatting>
  <conditionalFormatting sqref="B134">
    <cfRule type="duplicateValues" dxfId="0" priority="60"/>
  </conditionalFormatting>
  <conditionalFormatting sqref="B135">
    <cfRule type="duplicateValues" dxfId="0" priority="59"/>
  </conditionalFormatting>
  <conditionalFormatting sqref="B136">
    <cfRule type="duplicateValues" dxfId="0" priority="58"/>
  </conditionalFormatting>
  <conditionalFormatting sqref="B143">
    <cfRule type="duplicateValues" dxfId="0" priority="57"/>
  </conditionalFormatting>
  <conditionalFormatting sqref="B6:B7">
    <cfRule type="duplicateValues" dxfId="0" priority="54"/>
  </conditionalFormatting>
  <conditionalFormatting sqref="B8:B10">
    <cfRule type="duplicateValues" dxfId="0" priority="56"/>
  </conditionalFormatting>
  <conditionalFormatting sqref="B20:B22">
    <cfRule type="duplicateValues" dxfId="0" priority="8"/>
    <cfRule type="duplicateValues" dxfId="0" priority="7"/>
    <cfRule type="duplicateValues" dxfId="0" priority="6"/>
    <cfRule type="duplicateValues" dxfId="0" priority="5"/>
    <cfRule type="duplicateValues" dxfId="0" priority="4"/>
    <cfRule type="duplicateValues" dxfId="0" priority="3"/>
    <cfRule type="duplicateValues" dxfId="0" priority="2"/>
  </conditionalFormatting>
  <conditionalFormatting sqref="B32:B33">
    <cfRule type="duplicateValues" dxfId="0" priority="44"/>
  </conditionalFormatting>
  <conditionalFormatting sqref="B35:B37">
    <cfRule type="duplicateValues" dxfId="0" priority="42"/>
  </conditionalFormatting>
  <conditionalFormatting sqref="B38:B40">
    <cfRule type="duplicateValues" dxfId="0" priority="43"/>
  </conditionalFormatting>
  <conditionalFormatting sqref="B48:B50">
    <cfRule type="duplicateValues" dxfId="0" priority="34"/>
  </conditionalFormatting>
  <conditionalFormatting sqref="B56:B60">
    <cfRule type="duplicateValues" dxfId="0" priority="28"/>
  </conditionalFormatting>
  <conditionalFormatting sqref="B61:B62">
    <cfRule type="duplicateValues" dxfId="0" priority="35"/>
  </conditionalFormatting>
  <conditionalFormatting sqref="B63:B64">
    <cfRule type="duplicateValues" dxfId="0" priority="37"/>
  </conditionalFormatting>
  <conditionalFormatting sqref="B65:B66">
    <cfRule type="duplicateValues" dxfId="0" priority="71"/>
  </conditionalFormatting>
  <conditionalFormatting sqref="B69:B70">
    <cfRule type="duplicateValues" dxfId="0" priority="38"/>
  </conditionalFormatting>
  <conditionalFormatting sqref="B79:B82">
    <cfRule type="duplicateValues" dxfId="0" priority="18"/>
  </conditionalFormatting>
  <conditionalFormatting sqref="B85:B89">
    <cfRule type="duplicateValues" dxfId="0" priority="12"/>
    <cfRule type="duplicateValues" dxfId="0" priority="13"/>
    <cfRule type="duplicateValues" dxfId="0" priority="14"/>
    <cfRule type="duplicateValues" dxfId="0" priority="15"/>
  </conditionalFormatting>
  <conditionalFormatting sqref="B90:B92">
    <cfRule type="duplicateValues" dxfId="0" priority="11"/>
  </conditionalFormatting>
  <conditionalFormatting sqref="B102:B104">
    <cfRule type="duplicateValues" dxfId="0" priority="67"/>
  </conditionalFormatting>
  <conditionalFormatting sqref="B105:B107">
    <cfRule type="duplicateValues" dxfId="0" priority="69"/>
  </conditionalFormatting>
  <conditionalFormatting sqref="B108:B109">
    <cfRule type="duplicateValues" dxfId="0" priority="65"/>
  </conditionalFormatting>
  <conditionalFormatting sqref="B122:B123">
    <cfRule type="duplicateValues" dxfId="0" priority="63"/>
  </conditionalFormatting>
  <conditionalFormatting sqref="N23:N25">
    <cfRule type="duplicateValues" dxfId="1" priority="1"/>
  </conditionalFormatting>
  <conditionalFormatting sqref="B3 B11:B19 B112:B113 B122:B142 B115:B118 B144:B1048576 B100:B110 B97:B98 B85:B89 B68:B77 B52:B66 B44:B46 B32:B42 B23:B27">
    <cfRule type="duplicateValues" dxfId="0" priority="68"/>
  </conditionalFormatting>
  <conditionalFormatting sqref="B3 B5:B19 B112:B113 B122:B1048576 B115:B118 B100:B110 B97:B98 B85:B89 B68:B77 B52:B66 B44:B46 B32:B42 B23:B27">
    <cfRule type="duplicateValues" dxfId="0" priority="53"/>
  </conditionalFormatting>
  <conditionalFormatting sqref="B3 B11:B19 B117:B118 B124:B125 B128:B133 B137:B142 B144:B1048576 B100:B101 B97:B98 B77 B68:B70 B52:B66 B44:B46 B32:B42 B23:B27">
    <cfRule type="duplicateValues" dxfId="0" priority="70"/>
  </conditionalFormatting>
  <conditionalFormatting sqref="B3 B11:B19">
    <cfRule type="duplicateValues" dxfId="0" priority="78"/>
  </conditionalFormatting>
  <conditionalFormatting sqref="B3 B11:B19 B117:B118 B124:B125 B128:B133 B137:B142 B144:B1048576 B100:B101 B97:B98 B77 B68:B70 B55:B66 B41:B42">
    <cfRule type="duplicateValues" dxfId="0" priority="77"/>
  </conditionalFormatting>
  <conditionalFormatting sqref="B3 B11:B19 B117:B118 B124:B125 B128:B133 B137:B142 B144:B1048576 B100:B101 B97:B98 B77 B68:B70 B47:B66 B32:B42 B23:B27">
    <cfRule type="duplicateValues" dxfId="0" priority="75"/>
  </conditionalFormatting>
  <conditionalFormatting sqref="B3 B11:B19 B117:B118 B124:B125 B128:B133 B137:B142 B144:B1048576 B100:B101 B97:B98 B77 B68:B70 B55:B66 B32:B42 B23:B27">
    <cfRule type="duplicateValues" dxfId="0" priority="76"/>
  </conditionalFormatting>
  <conditionalFormatting sqref="M3:N3 M71:N172 M66:M70 N63:N64 M5:N22 M23:M25 M26:N46">
    <cfRule type="duplicateValues" dxfId="1" priority="79"/>
  </conditionalFormatting>
  <conditionalFormatting sqref="M47:N60 M61:M65">
    <cfRule type="duplicateValues" dxfId="1" priority="36"/>
  </conditionalFormatting>
  <conditionalFormatting sqref="B71:B73 B75:B76">
    <cfRule type="duplicateValues" dxfId="0" priority="21"/>
    <cfRule type="duplicateValues" dxfId="0" priority="22"/>
  </conditionalFormatting>
  <conditionalFormatting sqref="B72:B73 B75:B76">
    <cfRule type="duplicateValues" dxfId="0" priority="23"/>
    <cfRule type="duplicateValues" dxfId="0" priority="24"/>
  </conditionalFormatting>
  <conditionalFormatting sqref="B93:B96 B119:B121 B99 B111">
    <cfRule type="duplicateValues" dxfId="0" priority="10"/>
  </conditionalFormatting>
  <conditionalFormatting sqref="B115:B116 B112:B113">
    <cfRule type="duplicateValues" dxfId="0" priority="64"/>
  </conditionalFormatting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2022-2023</vt:lpstr>
      <vt:lpstr>2024</vt:lpstr>
      <vt:lpstr>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Shirley</cp:lastModifiedBy>
  <dcterms:created xsi:type="dcterms:W3CDTF">2022-07-27T07:55:00Z</dcterms:created>
  <dcterms:modified xsi:type="dcterms:W3CDTF">2025-05-29T10:23:22Z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DFB1B750206A43F399F8206A63B22A0C_13</vt:lpwstr>
  </property>
  <property fmtid="{D5CDD505-2E9C-101B-9397-08002B2CF9AE}" pid="3" name="KSOProductBuildVer">
    <vt:lpwstr>2052-12.1.0.21171</vt:lpwstr>
  </property>
</Properties>
</file>