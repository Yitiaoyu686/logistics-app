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2025" sheetId="2" r:id="rId1"/>
  </sheets>
  <definedNames>
    <definedName name="_xlnm._FilterDatabase" localSheetId="0" hidden="1">'2025'!$A$2:$L$8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<sst xmlns="http://schemas.openxmlformats.org/spreadsheetml/2006/main" count="38" uniqueCount="34">
  <si>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喵喵国际拼货账单明细（2025年）</t>
  </si>
  <si>
    <t>日期</t>
  </si>
  <si>
    <t>JOB</t>
  </si>
  <si>
    <t>单号</t>
  </si>
  <si>
    <t>起运港</t>
  </si>
  <si>
    <t>件数</t>
  </si>
  <si>
    <t>重量KG</t>
  </si>
  <si>
    <t>中港费
（RMB）</t>
  </si>
  <si>
    <t>运费单价（RMB）</t>
  </si>
  <si>
    <t>运费总额（RMB）</t>
  </si>
  <si>
    <t>清关单价（NAIRE）</t>
  </si>
  <si>
    <t>清关总额（NAIRE）</t>
  </si>
  <si>
    <t>备注</t>
  </si>
  <si>
    <t>JOB020171</t>
  </si>
  <si>
    <t>071-55596634</t>
  </si>
  <si>
    <t>HKG</t>
  </si>
  <si>
    <r>
      <rPr>
        <sz val="10"/>
        <rFont val="Calibri"/>
        <charset val="134"/>
      </rPr>
      <t>TA50214705-54 (</t>
    </r>
    <r>
      <rPr>
        <sz val="10"/>
        <rFont val="宋体"/>
        <charset val="134"/>
      </rPr>
      <t>含喵喵</t>
    </r>
    <r>
      <rPr>
        <sz val="10"/>
        <rFont val="Calibri"/>
        <charset val="134"/>
      </rPr>
      <t>28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796.06kg)</t>
    </r>
    <r>
      <rPr>
        <sz val="10"/>
        <color rgb="FFFF0000"/>
        <rFont val="Calibri"/>
        <charset val="134"/>
      </rPr>
      <t xml:space="preserve">
 NAFDAC</t>
    </r>
    <r>
      <rPr>
        <sz val="10"/>
        <color rgb="FFFF0000"/>
        <rFont val="Microsoft JhengHei"/>
        <charset val="134"/>
      </rPr>
      <t>罚款</t>
    </r>
    <r>
      <rPr>
        <sz val="10"/>
        <color rgb="FFFF0000"/>
        <rFont val="Calibri"/>
        <charset val="134"/>
      </rPr>
      <t>230,000naire</t>
    </r>
  </si>
  <si>
    <t>JOB020183</t>
  </si>
  <si>
    <t>071-55889293</t>
  </si>
  <si>
    <r>
      <rPr>
        <sz val="10"/>
        <rFont val="Calibri"/>
        <charset val="134"/>
      </rPr>
      <t>TA50220715-52 (</t>
    </r>
    <r>
      <rPr>
        <sz val="10"/>
        <rFont val="宋体"/>
        <charset val="134"/>
      </rPr>
      <t>含喵喵</t>
    </r>
    <r>
      <rPr>
        <sz val="10"/>
        <rFont val="Calibri"/>
        <charset val="134"/>
      </rPr>
      <t>27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906.45kg)</t>
    </r>
  </si>
  <si>
    <t>JOB020187/JOB020188</t>
  </si>
  <si>
    <t>071-55596844</t>
  </si>
  <si>
    <r>
      <rPr>
        <sz val="10"/>
        <rFont val="Calibri"/>
        <charset val="134"/>
      </rPr>
      <t>TA50225709-50</t>
    </r>
    <r>
      <rPr>
        <sz val="10"/>
        <rFont val="宋体"/>
        <charset val="134"/>
      </rPr>
      <t>和</t>
    </r>
    <r>
      <rPr>
        <sz val="10"/>
        <rFont val="Calibri"/>
        <charset val="134"/>
      </rPr>
      <t xml:space="preserve">TB50225710-5 </t>
    </r>
    <r>
      <rPr>
        <sz val="10"/>
        <rFont val="宋体"/>
        <charset val="134"/>
      </rPr>
      <t>（含喵喵</t>
    </r>
    <r>
      <rPr>
        <sz val="10"/>
        <rFont val="Calibri"/>
        <charset val="134"/>
      </rPr>
      <t>39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943.35kg</t>
    </r>
    <r>
      <rPr>
        <sz val="10"/>
        <rFont val="宋体"/>
        <charset val="134"/>
      </rPr>
      <t>）</t>
    </r>
    <r>
      <rPr>
        <sz val="10"/>
        <rFont val="Calibri"/>
        <charset val="134"/>
      </rPr>
      <t xml:space="preserve"> 
TA50228068-29(</t>
    </r>
    <r>
      <rPr>
        <sz val="10"/>
        <rFont val="宋体"/>
        <charset val="134"/>
      </rPr>
      <t>含喵喵</t>
    </r>
    <r>
      <rPr>
        <sz val="10"/>
        <rFont val="Calibri"/>
        <charset val="134"/>
      </rPr>
      <t>19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576.8kg)</t>
    </r>
    <r>
      <rPr>
        <sz val="10"/>
        <color rgb="FFFF0000"/>
        <rFont val="Calibri"/>
        <charset val="134"/>
      </rPr>
      <t xml:space="preserve">
NAFDAC</t>
    </r>
    <r>
      <rPr>
        <sz val="10"/>
        <color rgb="FFFF0000"/>
        <rFont val="Microsoft JhengHei"/>
        <charset val="134"/>
      </rPr>
      <t>罚款</t>
    </r>
    <r>
      <rPr>
        <sz val="10"/>
        <color rgb="FFFF0000"/>
        <rFont val="Calibri"/>
        <charset val="134"/>
      </rPr>
      <t>250,000naire</t>
    </r>
  </si>
  <si>
    <t>JOB030383</t>
  </si>
  <si>
    <t>071-55596962</t>
  </si>
  <si>
    <r>
      <rPr>
        <sz val="10"/>
        <rFont val="Calibri"/>
        <charset val="134"/>
      </rPr>
      <t>TA50308009-83</t>
    </r>
    <r>
      <rPr>
        <sz val="10"/>
        <rFont val="宋体"/>
        <charset val="134"/>
      </rPr>
      <t>和</t>
    </r>
    <r>
      <rPr>
        <sz val="10"/>
        <rFont val="Calibri"/>
        <charset val="134"/>
      </rPr>
      <t>TA50308018-15</t>
    </r>
    <r>
      <rPr>
        <sz val="10"/>
        <rFont val="宋体"/>
        <charset val="134"/>
      </rPr>
      <t>（含喵喵</t>
    </r>
    <r>
      <rPr>
        <sz val="10"/>
        <rFont val="Calibri"/>
        <charset val="134"/>
      </rPr>
      <t>69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1576.56kg</t>
    </r>
    <r>
      <rPr>
        <sz val="10"/>
        <rFont val="宋体"/>
        <charset val="134"/>
      </rPr>
      <t>）</t>
    </r>
    <r>
      <rPr>
        <sz val="10"/>
        <rFont val="Calibri"/>
        <charset val="134"/>
      </rPr>
      <t>,</t>
    </r>
    <r>
      <rPr>
        <sz val="10"/>
        <color rgb="FFFF0000"/>
        <rFont val="宋体"/>
        <charset val="134"/>
      </rPr>
      <t>提货费</t>
    </r>
    <r>
      <rPr>
        <sz val="10"/>
        <color rgb="FFFF0000"/>
        <rFont val="Calibri"/>
        <charset val="134"/>
      </rPr>
      <t>0.5</t>
    </r>
    <r>
      <rPr>
        <sz val="10"/>
        <color rgb="FFFF0000"/>
        <rFont val="宋体"/>
        <charset val="134"/>
      </rPr>
      <t>共</t>
    </r>
    <r>
      <rPr>
        <sz val="10"/>
        <color rgb="FFFF0000"/>
        <rFont val="Calibri"/>
        <charset val="134"/>
      </rPr>
      <t>789rmb
NAFDAC</t>
    </r>
    <r>
      <rPr>
        <sz val="10"/>
        <color rgb="FFFF0000"/>
        <rFont val="Microsoft JhengHei"/>
        <charset val="134"/>
      </rPr>
      <t>罚款</t>
    </r>
    <r>
      <rPr>
        <sz val="10"/>
        <color rgb="FFFF0000"/>
        <rFont val="Calibri"/>
        <charset val="134"/>
      </rPr>
      <t>890,000naire</t>
    </r>
  </si>
  <si>
    <t>JOB030387</t>
  </si>
  <si>
    <t>071-55901274</t>
  </si>
  <si>
    <r>
      <rPr>
        <sz val="10"/>
        <rFont val="Calibri"/>
        <charset val="134"/>
      </rPr>
      <t xml:space="preserve">TA50312701-36 </t>
    </r>
    <r>
      <rPr>
        <sz val="10"/>
        <rFont val="宋体"/>
        <charset val="134"/>
      </rPr>
      <t>（含喵喵</t>
    </r>
    <r>
      <rPr>
        <sz val="10"/>
        <rFont val="Calibri"/>
        <charset val="134"/>
      </rPr>
      <t>24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640.05KG</t>
    </r>
    <r>
      <rPr>
        <sz val="10"/>
        <rFont val="宋体"/>
        <charset val="134"/>
      </rPr>
      <t>）</t>
    </r>
    <r>
      <rPr>
        <sz val="10"/>
        <color rgb="FFFF0000"/>
        <rFont val="宋体"/>
        <charset val="134"/>
      </rPr>
      <t>提货费</t>
    </r>
    <r>
      <rPr>
        <sz val="10"/>
        <color rgb="FFFF0000"/>
        <rFont val="Calibri"/>
        <charset val="134"/>
      </rPr>
      <t>0.5</t>
    </r>
    <r>
      <rPr>
        <sz val="10"/>
        <color rgb="FFFF0000"/>
        <rFont val="宋体"/>
        <charset val="134"/>
      </rPr>
      <t>共</t>
    </r>
    <r>
      <rPr>
        <sz val="10"/>
        <color rgb="FFFF0000"/>
        <rFont val="Calibri"/>
        <charset val="134"/>
      </rPr>
      <t>320rmb</t>
    </r>
  </si>
  <si>
    <t>JOB040367</t>
  </si>
  <si>
    <t>176-02938832</t>
  </si>
  <si>
    <t>CAN</t>
  </si>
  <si>
    <r>
      <rPr>
        <sz val="10"/>
        <color rgb="FFFF0000"/>
        <rFont val="Calibri"/>
        <charset val="134"/>
      </rPr>
      <t>NAFDAC</t>
    </r>
    <r>
      <rPr>
        <sz val="10"/>
        <color rgb="FFFF0000"/>
        <rFont val="宋体"/>
        <charset val="134"/>
      </rPr>
      <t>罚款</t>
    </r>
    <r>
      <rPr>
        <sz val="10"/>
        <color rgb="FFFF0000"/>
        <rFont val="Calibri"/>
        <charset val="134"/>
      </rPr>
      <t xml:space="preserve">400,000naire, </t>
    </r>
    <r>
      <rPr>
        <sz val="10"/>
        <color rgb="FFFF0000"/>
        <rFont val="宋体"/>
        <charset val="134"/>
      </rPr>
      <t>报关单证费</t>
    </r>
    <r>
      <rPr>
        <sz val="10"/>
        <color rgb="FFFF0000"/>
        <rFont val="Calibri"/>
        <charset val="134"/>
      </rPr>
      <t>200RMB</t>
    </r>
    <r>
      <rPr>
        <sz val="10"/>
        <rFont val="Calibri"/>
        <charset val="134"/>
      </rPr>
      <t xml:space="preserve"> (</t>
    </r>
    <r>
      <rPr>
        <sz val="10"/>
        <rFont val="宋体"/>
        <charset val="134"/>
      </rPr>
      <t>注：此票不够1吨，含喵喵</t>
    </r>
    <r>
      <rPr>
        <sz val="10"/>
        <rFont val="Calibri"/>
        <charset val="134"/>
      </rPr>
      <t>14</t>
    </r>
    <r>
      <rPr>
        <sz val="10"/>
        <rFont val="宋体"/>
        <charset val="134"/>
      </rPr>
      <t>件</t>
    </r>
    <r>
      <rPr>
        <sz val="10"/>
        <rFont val="Calibri"/>
        <charset val="134"/>
      </rPr>
      <t>315KG)</t>
    </r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</si>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</sst>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yyyy/m/d;@"/>
    <numFmt numFmtId="178" formatCode="#,##0.00_ "/>
    <numFmt numFmtId="179" formatCode="#,##0.0_ "/>
    <numFmt numFmtId="180" formatCode="0_ "/>
    <numFmt numFmtId="181" formatCode="#,##0_ "/>
    <numFmt numFmtId="182" formatCode="[$-409]dd\-mmm\-yy;@"/>
  </numFmts>
  <fonts count="34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Arial"/>
      <charset val="134"/>
    </font>
    <font>
      <b/>
      <sz val="20"/>
      <name val="Microsoft JhengHei"/>
      <charset val="134"/>
    </font>
    <font>
      <b/>
      <sz val="11"/>
      <name val="Microsoft JhengHei"/>
      <charset val="134"/>
    </font>
    <font>
      <sz val="11"/>
      <name val="Calibri"/>
      <charset val="134"/>
    </font>
    <font>
      <b/>
      <sz val="12"/>
      <color theme="1"/>
      <name val="Microsoft JhengHe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color rgb="FFFF0000"/>
      <name val="Microsoft JhengHei"/>
      <charset val="134"/>
    </font>
    <font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177" fontId="0" fillId="0" borderId="0" xfId="0" applyNumberFormat="1"/>
    <xf numFmtId="178" fontId="0" fillId="0" borderId="0" xfId="0" applyNumberFormat="1"/>
    <xf numFmtId="179" fontId="0" fillId="0" borderId="0" xfId="0" applyNumberFormat="1" applyFont="1"/>
    <xf numFmtId="180" fontId="0" fillId="0" borderId="0" xfId="0" applyNumberFormat="1"/>
    <xf numFmtId="181" fontId="0" fillId="0" borderId="0" xfId="0" applyNumberFormat="1"/>
    <xf numFmtId="0" fontId="4" fillId="0" borderId="0" xfId="0" applyFont="1" applyAlignment="1">
      <alignment horizontal="center"/>
    </xf>
    <xf numFmtId="177" fontId="5" fillId="0" borderId="0" xfId="0" applyNumberFormat="1" applyFont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0" fillId="0" borderId="1" xfId="0" applyNumberFormat="1" applyBorder="1"/>
    <xf numFmtId="0" fontId="0" fillId="0" borderId="1" xfId="0" applyBorder="1"/>
    <xf numFmtId="178" fontId="0" fillId="0" borderId="1" xfId="0" applyNumberFormat="1" applyBorder="1"/>
    <xf numFmtId="177" fontId="8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vertical="center"/>
    </xf>
    <xf numFmtId="182" fontId="6" fillId="2" borderId="1" xfId="0" applyNumberFormat="1" applyFont="1" applyFill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/>
    </xf>
    <xf numFmtId="180" fontId="9" fillId="0" borderId="1" xfId="0" applyNumberFormat="1" applyFont="1" applyFill="1" applyBorder="1" applyAlignment="1">
      <alignment horizontal="center" vertical="center"/>
    </xf>
    <xf numFmtId="182" fontId="10" fillId="0" borderId="1" xfId="0" applyNumberFormat="1" applyFont="1" applyFill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/>
    <xf numFmtId="180" fontId="0" fillId="0" borderId="1" xfId="0" applyNumberFormat="1" applyBorder="1"/>
    <xf numFmtId="181" fontId="0" fillId="0" borderId="1" xfId="0" applyNumberFormat="1" applyBorder="1"/>
    <xf numFmtId="0" fontId="4" fillId="0" borderId="1" xfId="0" applyFont="1" applyBorder="1" applyAlignment="1">
      <alignment horizontal="center"/>
    </xf>
    <xf numFmtId="181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37A29"/>
      <color rgb="00F92383"/>
      <color rgb="00F12B5A"/>
      <color rgb="00DC406C"/>
      <color rgb="00FB01CF"/>
      <color rgb="00FB008F"/>
      <color rgb="00FFE699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pane ySplit="2" topLeftCell="A3" activePane="bottomLeft" state="frozen"/>
      <selection/>
      <selection pane="bottomLeft" activeCell="I8" sqref="I8"/>
    </sheetView>
  </sheetViews>
  <sheetFormatPr defaultColWidth="9" defaultRowHeight="14.25"/>
  <cols>
    <col min="1" max="1" width="14.6333333333333" style="5" customWidth="1"/>
    <col min="2" max="2" width="19.125" style="5" customWidth="1"/>
    <col min="3" max="3" width="14.6333333333333" style="5" customWidth="1"/>
    <col min="4" max="4" width="9.55833333333333" style="5" customWidth="1"/>
    <col min="5" max="5" width="8.33333333333333" customWidth="1"/>
    <col min="6" max="6" width="8.775" customWidth="1"/>
    <col min="7" max="7" width="10.6333333333333" customWidth="1"/>
    <col min="8" max="8" width="10.6333333333333" style="6" customWidth="1"/>
    <col min="9" max="9" width="13.1333333333333" style="7" customWidth="1"/>
    <col min="10" max="10" width="11" style="8" customWidth="1"/>
    <col min="11" max="11" width="13.1333333333333" style="9" customWidth="1"/>
    <col min="12" max="12" width="66" style="10" customWidth="1"/>
    <col min="13" max="13" width="16"/>
  </cols>
  <sheetData>
    <row r="1" s="1" customFormat="1" ht="46" customHeight="1" spans="1:1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="2" customFormat="1" ht="39" customHeight="1" spans="1:12">
      <c r="A2" s="12" t="s">
        <v>1</v>
      </c>
      <c r="B2" s="12" t="s">
        <v>2</v>
      </c>
      <c r="C2" s="12" t="s">
        <v>3</v>
      </c>
      <c r="D2" s="12" t="s">
        <v>4</v>
      </c>
      <c r="E2" s="13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26" t="s">
        <v>12</v>
      </c>
    </row>
    <row r="3" s="3" customFormat="1" ht="30" customHeight="1" spans="1:12">
      <c r="A3" s="15">
        <v>45702</v>
      </c>
      <c r="B3" s="15" t="s">
        <v>13</v>
      </c>
      <c r="C3" s="15" t="s">
        <v>14</v>
      </c>
      <c r="D3" s="15" t="s">
        <v>15</v>
      </c>
      <c r="E3" s="16">
        <v>28</v>
      </c>
      <c r="F3" s="17">
        <v>796</v>
      </c>
      <c r="G3" s="16">
        <f>F3*1</f>
        <v>796</v>
      </c>
      <c r="H3" s="17">
        <v>42</v>
      </c>
      <c r="I3" s="27">
        <f t="shared" ref="I3:I8" si="0">F3*H3+G3</f>
        <v>34228</v>
      </c>
      <c r="J3" s="28">
        <v>800</v>
      </c>
      <c r="K3" s="27">
        <f>F3*J3+230000</f>
        <v>866800</v>
      </c>
      <c r="L3" s="29" t="s">
        <v>16</v>
      </c>
    </row>
    <row r="4" s="3" customFormat="1" ht="30" customHeight="1" spans="1:12">
      <c r="A4" s="15">
        <v>45708</v>
      </c>
      <c r="B4" s="15" t="s">
        <v>17</v>
      </c>
      <c r="C4" s="15" t="s">
        <v>18</v>
      </c>
      <c r="D4" s="15" t="s">
        <v>15</v>
      </c>
      <c r="E4" s="16">
        <v>27</v>
      </c>
      <c r="F4" s="17">
        <v>906</v>
      </c>
      <c r="G4" s="16">
        <f>F4*1</f>
        <v>906</v>
      </c>
      <c r="H4" s="17">
        <v>41</v>
      </c>
      <c r="I4" s="27">
        <f t="shared" si="0"/>
        <v>38052</v>
      </c>
      <c r="J4" s="28">
        <v>800</v>
      </c>
      <c r="K4" s="27">
        <f>F4*J4</f>
        <v>724800</v>
      </c>
      <c r="L4" s="29" t="s">
        <v>19</v>
      </c>
    </row>
    <row r="5" s="3" customFormat="1" ht="41" customHeight="1" spans="1:12">
      <c r="A5" s="15">
        <v>45716</v>
      </c>
      <c r="B5" s="15" t="s">
        <v>20</v>
      </c>
      <c r="C5" s="15" t="s">
        <v>21</v>
      </c>
      <c r="D5" s="15" t="s">
        <v>15</v>
      </c>
      <c r="E5" s="16">
        <v>58</v>
      </c>
      <c r="F5" s="17">
        <v>1520</v>
      </c>
      <c r="G5" s="16">
        <f>F5*1</f>
        <v>1520</v>
      </c>
      <c r="H5" s="17">
        <v>42</v>
      </c>
      <c r="I5" s="27">
        <f t="shared" si="0"/>
        <v>65360</v>
      </c>
      <c r="J5" s="28">
        <v>800</v>
      </c>
      <c r="K5" s="27">
        <f>F5*J5+250000</f>
        <v>1466000</v>
      </c>
      <c r="L5" s="29" t="s">
        <v>22</v>
      </c>
    </row>
    <row r="6" s="3" customFormat="1" ht="30" customHeight="1" spans="1:12">
      <c r="A6" s="15">
        <v>45723</v>
      </c>
      <c r="B6" s="15" t="s">
        <v>23</v>
      </c>
      <c r="C6" s="15" t="s">
        <v>24</v>
      </c>
      <c r="D6" s="15" t="s">
        <v>15</v>
      </c>
      <c r="E6" s="16">
        <v>69</v>
      </c>
      <c r="F6" s="17">
        <v>1577</v>
      </c>
      <c r="G6" s="16">
        <f>F6*1</f>
        <v>1577</v>
      </c>
      <c r="H6" s="17">
        <v>43</v>
      </c>
      <c r="I6" s="27">
        <f>F6*H6+G6+789</f>
        <v>70177</v>
      </c>
      <c r="J6" s="28">
        <v>800</v>
      </c>
      <c r="K6" s="27">
        <f>F6*J6+890000</f>
        <v>2151600</v>
      </c>
      <c r="L6" s="29" t="s">
        <v>25</v>
      </c>
    </row>
    <row r="7" s="3" customFormat="1" ht="30" customHeight="1" spans="1:12">
      <c r="A7" s="15">
        <v>45727</v>
      </c>
      <c r="B7" s="15" t="s">
        <v>26</v>
      </c>
      <c r="C7" s="15" t="s">
        <v>27</v>
      </c>
      <c r="D7" s="15" t="s">
        <v>15</v>
      </c>
      <c r="E7" s="16">
        <v>24</v>
      </c>
      <c r="F7" s="17">
        <v>640</v>
      </c>
      <c r="G7" s="16">
        <f>F7*1</f>
        <v>640</v>
      </c>
      <c r="H7" s="16">
        <v>41</v>
      </c>
      <c r="I7" s="27">
        <f>F7*H7+G7+320</f>
        <v>27200</v>
      </c>
      <c r="J7" s="28">
        <v>800</v>
      </c>
      <c r="K7" s="27">
        <f>F7*J7</f>
        <v>512000</v>
      </c>
      <c r="L7" s="29" t="s">
        <v>28</v>
      </c>
    </row>
    <row r="8" ht="30" customHeight="1" spans="1:12">
      <c r="A8" s="15">
        <v>45737</v>
      </c>
      <c r="B8" s="15" t="s">
        <v>29</v>
      </c>
      <c r="C8" s="15" t="s">
        <v>30</v>
      </c>
      <c r="D8" s="15" t="s">
        <v>31</v>
      </c>
      <c r="E8" s="16">
        <v>14</v>
      </c>
      <c r="F8" s="17">
        <v>315</v>
      </c>
      <c r="G8" s="17">
        <v>200</v>
      </c>
      <c r="H8" s="16">
        <v>43</v>
      </c>
      <c r="I8" s="27">
        <f t="shared" si="0"/>
        <v>13745</v>
      </c>
      <c r="J8" s="28">
        <v>800</v>
      </c>
      <c r="K8" s="27">
        <f>F8*J8+400000</f>
        <v>652000</v>
      </c>
      <c r="L8" s="30" t="s">
        <v>32</v>
      </c>
    </row>
    <row r="9" ht="30" customHeight="1" spans="1:12">
      <c r="A9" s="18"/>
      <c r="B9" s="18"/>
      <c r="C9" s="18"/>
      <c r="D9" s="18"/>
      <c r="E9" s="19"/>
      <c r="F9" s="19"/>
      <c r="G9" s="19"/>
      <c r="H9" s="20"/>
      <c r="I9" s="31"/>
      <c r="J9" s="32"/>
      <c r="K9" s="33"/>
      <c r="L9" s="34"/>
    </row>
    <row r="10" ht="30" customHeight="1" spans="1:12">
      <c r="A10" s="18"/>
      <c r="B10" s="18"/>
      <c r="C10" s="18"/>
      <c r="D10" s="18"/>
      <c r="E10" s="19"/>
      <c r="F10" s="19"/>
      <c r="G10" s="19"/>
      <c r="H10" s="20"/>
      <c r="I10" s="31"/>
      <c r="J10" s="32"/>
      <c r="K10" s="33"/>
      <c r="L10" s="34"/>
    </row>
    <row r="11" s="4" customFormat="1" ht="38" customHeight="1" spans="1:12">
      <c r="A11" s="21" t="s">
        <v>33</v>
      </c>
      <c r="B11" s="21"/>
      <c r="C11" s="22"/>
      <c r="D11" s="22"/>
      <c r="E11" s="23"/>
      <c r="F11" s="23"/>
      <c r="G11" s="24"/>
      <c r="H11" s="25"/>
      <c r="I11" s="35">
        <f>SUM(I3:I10)</f>
        <v>248762</v>
      </c>
      <c r="J11" s="36"/>
      <c r="K11" s="35">
        <f>SUM(K3:K10)</f>
        <v>6373200</v>
      </c>
      <c r="L11" s="24"/>
    </row>
  </sheetData>
  <autoFilter xmlns:etc="http://www.wps.cn/officeDocument/2017/etCustomData" ref="A2:L8" etc:filterBottomFollowUsedRange="0">
    <extLst/>
  </autoFilter>
  <mergeCells count="1">
    <mergeCell ref="A1:L1"/>
  </mergeCells>
  <pageMargins left="0.75" right="0.75" top="1" bottom="1" header="0.5" footer="0.5"/>
  <pageSetup paperSize="9" orientation="portrait"/>
  <headerFooter/>
  <ignoredErrors>
    <ignoredError sqref="I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laughoutloud</cp:lastModifiedBy>
  <dcterms:created xsi:type="dcterms:W3CDTF">2022-07-27T07:55:00Z</dcterms:created>
  <dcterms:modified xsi:type="dcterms:W3CDTF">2025-05-28T03:39:10Z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DE15308360FD45E480FB45BEBDF80B21_13</vt:lpwstr>
  </property>
  <property fmtid="{D5CDD505-2E9C-101B-9397-08002B2CF9AE}" pid="3" name="KSOProductBuildVer">
    <vt:lpwstr>2052-12.1.0.21171</vt:lpwstr>
  </property>
</Properties>
</file>