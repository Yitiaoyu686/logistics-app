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总欠" sheetId="1" r:id="rId1"/>
    <sheet name="总欠 (2)" sheetId="3" r:id="rId2"/>
  </sheets>
  <definedNames>
    <definedName name="_xlnm.Print_Area" localSheetId="1">'总欠 (2)'!$A$1:$K$10</definedName>
  </definedNames>
  <calcPr calcId="144525"/>
</workbook>
</file>

<file path=xl/sharedStrings.xml><?xml version="1.0" encoding="utf-8"?>
<sst xmlns="http://schemas.openxmlformats.org/spreadsheetml/2006/main" count="44" uniqueCount="22">
  <si>
    <t>易站20年1月份对账单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</si>
  <si>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</si>
  <si>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</si>
  <si>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</si>
  <si>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</si>
  <si>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</si>
  <si>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</si>
  <si>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</si>
  <si>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文件费</t>
  </si>
  <si>
    <t>其他</t>
  </si>
  <si>
    <t>金额</t>
  </si>
  <si>
    <t>备注</t>
  </si>
  <si>
    <t>071-36088102</t>
  </si>
  <si>
    <t>LOS</t>
  </si>
  <si>
    <t>071-36198256</t>
  </si>
  <si>
    <t>071-36198831</t>
  </si>
  <si>
    <t>071-36198245</t>
  </si>
  <si>
    <t>支付：易站清单</t>
  </si>
  <si>
    <t>LOS直接转奈拉300W/55.5</t>
  </si>
  <si>
    <t>各方承担一半</t>
  </si>
  <si>
    <t>私账支付</t>
  </si>
  <si>
    <t>欠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</si>
</sst>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&quot;￥&quot;#,##0.00_);[Red]\(&quot;￥&quot;#,##0.00\)"/>
    <numFmt numFmtId="177" formatCode="yyyy/m/d;@"/>
    <numFmt numFmtId="178" formatCode="&quot;JOB&quot;000000"/>
    <numFmt numFmtId="179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sz val="10"/>
      <color rgb="FF000000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Times New Roman"/>
      <charset val="134"/>
    </font>
    <font>
      <b/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4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7" fillId="29" borderId="8" applyNumberFormat="0" applyAlignment="0" applyProtection="0">
      <alignment vertical="center"/>
    </xf>
    <xf numFmtId="0" fontId="31" fillId="29" borderId="7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 vertical="center" shrinkToFi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0" fillId="0" borderId="2" xfId="0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"/>
  <sheetViews>
    <sheetView tabSelected="1" workbookViewId="0">
      <selection activeCell="H2" sqref="H2"/>
    </sheetView>
  </sheetViews>
  <sheetFormatPr defaultColWidth="9" defaultRowHeight="13.5" outlineLevelRow="6"/>
  <cols>
    <col min="1" max="1" width="10.625" style="4" customWidth="1"/>
    <col min="2" max="2" width="13.25" style="4" customWidth="1"/>
    <col min="3" max="3" width="5.125" style="4" customWidth="1"/>
    <col min="4" max="4" width="4.375" style="4" customWidth="1"/>
    <col min="5" max="5" width="6.33333333333333" style="4" customWidth="1"/>
    <col min="6" max="6" width="9.13333333333333" style="4" customWidth="1"/>
    <col min="7" max="7" width="7.625" style="4" customWidth="1"/>
    <col min="8" max="8" width="4.25" style="4" customWidth="1"/>
    <col min="9" max="9" width="6.5" style="4" customWidth="1"/>
    <col min="10" max="10" width="15" style="5" customWidth="1"/>
    <col min="11" max="11" width="10" style="6" customWidth="1"/>
    <col min="12" max="13" width="9" style="4"/>
    <col min="14" max="17" width="28.375" style="4" customWidth="1"/>
    <col min="18" max="16384" width="9" style="4"/>
  </cols>
  <sheetData>
    <row r="1" ht="30" customHeight="1" spans="1:10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</row>
    <row r="2" s="1" customFormat="1" ht="45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28" t="s">
        <v>10</v>
      </c>
      <c r="K2" s="29" t="s">
        <v>11</v>
      </c>
    </row>
    <row r="3" s="2" customFormat="1" ht="33" customHeight="1" spans="1:11">
      <c r="A3" s="16">
        <v>43832</v>
      </c>
      <c r="B3" s="33" t="s">
        <v>12</v>
      </c>
      <c r="C3" s="33" t="s">
        <v>13</v>
      </c>
      <c r="D3" s="33">
        <v>3</v>
      </c>
      <c r="E3" s="33">
        <v>1550</v>
      </c>
      <c r="F3" s="33">
        <v>1550</v>
      </c>
      <c r="G3" s="19">
        <v>24.5</v>
      </c>
      <c r="H3" s="20"/>
      <c r="I3" s="33"/>
      <c r="J3" s="30">
        <f>SUM(F3*G3+H3+I3)</f>
        <v>37975</v>
      </c>
      <c r="K3" s="31">
        <v>10119</v>
      </c>
    </row>
    <row r="4" s="2" customFormat="1" ht="33" customHeight="1" spans="1:11">
      <c r="A4" s="16">
        <v>43843</v>
      </c>
      <c r="B4" s="33" t="s">
        <v>14</v>
      </c>
      <c r="C4" s="33" t="s">
        <v>13</v>
      </c>
      <c r="D4" s="33">
        <v>16</v>
      </c>
      <c r="E4" s="33">
        <v>1828</v>
      </c>
      <c r="F4" s="33">
        <v>1828</v>
      </c>
      <c r="G4" s="19">
        <v>25.8</v>
      </c>
      <c r="H4" s="20"/>
      <c r="I4" s="41">
        <v>900</v>
      </c>
      <c r="J4" s="30">
        <f>SUM(F4*G4+H4+I4)</f>
        <v>48062.4</v>
      </c>
      <c r="K4" s="31">
        <v>10141</v>
      </c>
    </row>
    <row r="5" s="2" customFormat="1" ht="33" customHeight="1" spans="1:11">
      <c r="A5" s="16">
        <v>43847</v>
      </c>
      <c r="B5" s="33" t="s">
        <v>15</v>
      </c>
      <c r="C5" s="33" t="s">
        <v>13</v>
      </c>
      <c r="D5" s="18">
        <v>38</v>
      </c>
      <c r="E5" s="18">
        <v>1872</v>
      </c>
      <c r="F5" s="18">
        <v>1872</v>
      </c>
      <c r="G5" s="19">
        <v>25.8</v>
      </c>
      <c r="H5" s="20"/>
      <c r="I5" s="33">
        <v>150</v>
      </c>
      <c r="J5" s="30">
        <f>SUM(F5*G5+H5+I5)</f>
        <v>48447.6</v>
      </c>
      <c r="K5" s="31">
        <v>10147</v>
      </c>
    </row>
    <row r="6" s="2" customFormat="1" ht="33" customHeight="1" spans="1:11">
      <c r="A6" s="16">
        <v>43847</v>
      </c>
      <c r="B6" s="33" t="s">
        <v>16</v>
      </c>
      <c r="C6" s="17" t="s">
        <v>13</v>
      </c>
      <c r="D6" s="18">
        <v>3</v>
      </c>
      <c r="E6" s="18">
        <v>164</v>
      </c>
      <c r="F6" s="18">
        <v>164</v>
      </c>
      <c r="G6" s="19">
        <v>25.8</v>
      </c>
      <c r="H6" s="20"/>
      <c r="I6" s="33">
        <v>150</v>
      </c>
      <c r="J6" s="30">
        <v>5398</v>
      </c>
      <c r="K6" s="31">
        <v>10139</v>
      </c>
    </row>
    <row r="7" s="3" customFormat="1" ht="33" customHeight="1" spans="1:11">
      <c r="A7" s="22"/>
      <c r="B7" s="22"/>
      <c r="C7" s="22"/>
      <c r="D7" s="22"/>
      <c r="E7" s="22"/>
      <c r="F7" s="22"/>
      <c r="G7" s="22"/>
      <c r="H7" s="22"/>
      <c r="I7" s="22"/>
      <c r="J7" s="34">
        <f>SUM(J3:J6)</f>
        <v>139883</v>
      </c>
      <c r="K7" s="35"/>
    </row>
  </sheetData>
  <mergeCells count="1">
    <mergeCell ref="A1:K1"/>
  </mergeCells>
  <pageMargins left="0.629861111111111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1"/>
  <sheetViews>
    <sheetView workbookViewId="0">
      <selection activeCell="J3" sqref="J3:J6"/>
    </sheetView>
  </sheetViews>
  <sheetFormatPr defaultColWidth="9" defaultRowHeight="13.5"/>
  <cols>
    <col min="1" max="1" width="12.625" style="4" customWidth="1"/>
    <col min="2" max="2" width="14.15" style="4" customWidth="1"/>
    <col min="3" max="3" width="5.125" style="4" customWidth="1"/>
    <col min="4" max="4" width="4.375" style="4" customWidth="1"/>
    <col min="5" max="5" width="4.875" style="4" customWidth="1"/>
    <col min="6" max="6" width="5.125" style="4" customWidth="1"/>
    <col min="7" max="7" width="7.625" style="4" customWidth="1"/>
    <col min="8" max="8" width="3" style="4" customWidth="1"/>
    <col min="9" max="9" width="6.875" style="5" customWidth="1"/>
    <col min="10" max="10" width="14.625" style="6" customWidth="1"/>
    <col min="11" max="11" width="13.25" style="4" customWidth="1"/>
    <col min="12" max="12" width="9" style="4"/>
    <col min="13" max="15" width="28.375" style="4" customWidth="1"/>
    <col min="16" max="16384" width="9" style="4"/>
  </cols>
  <sheetData>
    <row r="1" customFormat="1" ht="31" customHeight="1" spans="1:9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="1" customFormat="1" ht="43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28" t="s">
        <v>10</v>
      </c>
      <c r="K2" s="29" t="s">
        <v>11</v>
      </c>
    </row>
    <row r="3" s="2" customFormat="1" ht="24" customHeight="1" spans="1:11">
      <c r="A3" s="10">
        <v>43832</v>
      </c>
      <c r="B3" s="11" t="s">
        <v>12</v>
      </c>
      <c r="C3" s="11" t="s">
        <v>13</v>
      </c>
      <c r="D3" s="11">
        <v>3</v>
      </c>
      <c r="E3" s="11">
        <v>1550</v>
      </c>
      <c r="F3" s="11">
        <v>1550</v>
      </c>
      <c r="G3" s="12">
        <v>24.5</v>
      </c>
      <c r="H3" s="13"/>
      <c r="I3" s="11"/>
      <c r="J3" s="30">
        <f t="shared" ref="J3:J6" si="0">SUM(F3*G3+H3+I3)</f>
        <v>37975</v>
      </c>
      <c r="K3" s="31">
        <v>10119</v>
      </c>
    </row>
    <row r="4" s="2" customFormat="1" ht="24" customHeight="1" spans="1:11">
      <c r="A4" s="10">
        <v>43843</v>
      </c>
      <c r="B4" s="11" t="s">
        <v>14</v>
      </c>
      <c r="C4" s="11" t="s">
        <v>13</v>
      </c>
      <c r="D4" s="11">
        <v>16</v>
      </c>
      <c r="E4" s="11">
        <v>1828</v>
      </c>
      <c r="F4" s="11">
        <v>1828</v>
      </c>
      <c r="G4" s="12">
        <v>25.8</v>
      </c>
      <c r="H4" s="13"/>
      <c r="I4" s="32">
        <v>900</v>
      </c>
      <c r="J4" s="30">
        <f t="shared" si="0"/>
        <v>48062.4</v>
      </c>
      <c r="K4" s="31">
        <v>10141</v>
      </c>
    </row>
    <row r="5" s="2" customFormat="1" ht="24" customHeight="1" spans="1:11">
      <c r="A5" s="10">
        <v>43847</v>
      </c>
      <c r="B5" s="11" t="s">
        <v>15</v>
      </c>
      <c r="C5" s="11" t="s">
        <v>13</v>
      </c>
      <c r="D5" s="14">
        <v>38</v>
      </c>
      <c r="E5" s="14">
        <v>1872</v>
      </c>
      <c r="F5" s="14">
        <v>1872</v>
      </c>
      <c r="G5" s="12">
        <v>25.8</v>
      </c>
      <c r="H5" s="13"/>
      <c r="I5" s="11">
        <v>150</v>
      </c>
      <c r="J5" s="30">
        <f t="shared" si="0"/>
        <v>48447.6</v>
      </c>
      <c r="K5" s="31">
        <v>10147</v>
      </c>
    </row>
    <row r="6" s="2" customFormat="1" ht="24" customHeight="1" spans="1:11">
      <c r="A6" s="10">
        <v>43847</v>
      </c>
      <c r="B6" s="11" t="s">
        <v>16</v>
      </c>
      <c r="C6" s="15" t="s">
        <v>13</v>
      </c>
      <c r="D6" s="14">
        <v>3</v>
      </c>
      <c r="E6" s="14">
        <v>164</v>
      </c>
      <c r="F6" s="14">
        <v>164</v>
      </c>
      <c r="G6" s="12">
        <v>25.8</v>
      </c>
      <c r="H6" s="13"/>
      <c r="I6" s="11">
        <v>150</v>
      </c>
      <c r="J6" s="30">
        <v>5398</v>
      </c>
      <c r="K6" s="31">
        <v>10139</v>
      </c>
    </row>
    <row r="7" s="2" customFormat="1" ht="33" customHeight="1" spans="1:11">
      <c r="A7" s="16">
        <v>43910</v>
      </c>
      <c r="B7" s="11" t="s">
        <v>18</v>
      </c>
      <c r="C7" s="17"/>
      <c r="D7" s="18"/>
      <c r="E7" s="18"/>
      <c r="F7" s="18"/>
      <c r="G7" s="19"/>
      <c r="H7" s="20"/>
      <c r="I7" s="33"/>
      <c r="J7" s="30">
        <v>-54054</v>
      </c>
      <c r="K7" s="31"/>
    </row>
    <row r="8" s="3" customFormat="1" ht="21" customHeight="1" spans="1:11">
      <c r="A8" s="21">
        <v>43958</v>
      </c>
      <c r="B8" s="22" t="s">
        <v>19</v>
      </c>
      <c r="C8" s="22"/>
      <c r="D8" s="22"/>
      <c r="E8" s="22"/>
      <c r="F8" s="22"/>
      <c r="G8" s="22"/>
      <c r="H8" s="22"/>
      <c r="I8" s="22"/>
      <c r="J8" s="34">
        <v>-42914.5</v>
      </c>
      <c r="K8" s="35"/>
    </row>
    <row r="9" ht="21" customHeight="1" spans="1:11">
      <c r="A9" s="23">
        <v>43958</v>
      </c>
      <c r="B9" s="24" t="s">
        <v>20</v>
      </c>
      <c r="C9" s="25"/>
      <c r="D9" s="26"/>
      <c r="E9" s="26"/>
      <c r="F9" s="26"/>
      <c r="G9" s="26"/>
      <c r="H9" s="26"/>
      <c r="I9" s="36"/>
      <c r="J9" s="36">
        <v>-42914.5</v>
      </c>
      <c r="K9" s="37"/>
    </row>
    <row r="10" s="3" customFormat="1" ht="21" customHeight="1" spans="1:11">
      <c r="A10" s="27" t="s">
        <v>21</v>
      </c>
      <c r="B10" s="22"/>
      <c r="C10" s="22"/>
      <c r="D10" s="22"/>
      <c r="E10" s="22"/>
      <c r="F10" s="22"/>
      <c r="G10" s="22"/>
      <c r="H10" s="22"/>
      <c r="I10" s="22"/>
      <c r="J10" s="34">
        <f>SUM(J3:J9)</f>
        <v>0</v>
      </c>
      <c r="K10" s="35"/>
    </row>
    <row r="11" spans="10:10">
      <c r="J11" s="38"/>
    </row>
  </sheetData>
  <mergeCells count="1">
    <mergeCell ref="A1:I1"/>
  </mergeCells>
  <pageMargins left="0.747916666666667" right="0.236111111111111" top="0.354166666666667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总欠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2020-10-20T07:47:10Z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