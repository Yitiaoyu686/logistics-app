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总欠" sheetId="1" r:id="rId1"/>
    <sheet name="总欠 (2)" sheetId="3" r:id="rId2"/>
  </sheets>
  <definedNames>
    <definedName name="_xlnm.Print_Area" localSheetId="1">'总欠 (2)'!$A$1:$K$7</definedName>
  </definedNames>
  <calcPr calcId="144525"/>
</workbook>
</file>

<file path=xl/sharedStrings.xml><?xml version="1.0" encoding="utf-8"?>
<sst xmlns="http://schemas.openxmlformats.org/spreadsheetml/2006/main" count="46" uniqueCount="25">
  <si>
    <t>易站21年2月份对账单</t>
  </si>
  <si>
    <t>日期</t>
  </si>
  <si>
    <t>提单号</t>
  </si>
  <si>
    <t>目的地</t>
  </si>
  <si>
    <t>件数</t>
  </si>
  <si>
    <t>毛重</t>
  </si>
  <si>
    <t>计费重量</t>
  </si>
  <si>
    <t>单价</t>
  </si>
  <si>
    <t>文件费</t>
  </si>
  <si>
    <t>其他</t>
  </si>
  <si>
    <t>金额</t>
  </si>
  <si>
    <t>备注</t>
  </si>
  <si>
    <t>071-39960826</t>
  </si>
  <si>
    <t>ACC</t>
  </si>
  <si>
    <t>公账支付</t>
  </si>
  <si>
    <t>071-16885411</t>
  </si>
  <si>
    <t>LOS</t>
  </si>
  <si>
    <t>071-39870924</t>
  </si>
  <si>
    <t>私账支付</t>
  </si>
  <si>
    <t>071-16754404</t>
  </si>
  <si>
    <t>支付：易站清单</t>
  </si>
  <si>
    <r>
      <rPr>
        <sz val="11"/>
        <rFont val="宋体"/>
        <charset val="134"/>
      </rPr>
      <t>件数</t>
    </r>
  </si>
  <si>
    <r>
      <rPr>
        <sz val="11"/>
        <rFont val="宋体"/>
        <charset val="134"/>
      </rPr>
      <t>毛重</t>
    </r>
  </si>
  <si>
    <r>
      <rPr>
        <sz val="11"/>
        <rFont val="宋体"/>
        <charset val="134"/>
      </rPr>
      <t>计费重量</t>
    </r>
  </si>
  <si>
    <t>欠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</si>
</sst>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yyyy/m/d;@"/>
    <numFmt numFmtId="178" formatCode="&quot;JOB&quot;000000"/>
    <numFmt numFmtId="179" formatCode="0.00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11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Times New Roman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4" fillId="2" borderId="2" applyNumberFormat="0" applyAlignment="0" applyProtection="0">
      <alignment vertical="center"/>
    </xf>
    <xf numFmtId="0" fontId="18" fillId="2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176" fontId="11" fillId="0" borderId="0" xfId="0" applyNumberFormat="1" applyFont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"/>
  <sheetViews>
    <sheetView tabSelected="1" workbookViewId="0">
      <selection activeCell="A1" sqref="A1:K1"/>
    </sheetView>
  </sheetViews>
  <sheetFormatPr defaultColWidth="9" defaultRowHeight="13.5"/>
  <cols>
    <col min="1" max="1" width="10.625" style="4" customWidth="1"/>
    <col min="2" max="2" width="14.7166666666667" style="4" customWidth="1"/>
    <col min="3" max="3" width="5.125" style="4" customWidth="1"/>
    <col min="4" max="4" width="4.375" style="4" customWidth="1"/>
    <col min="5" max="5" width="6.33333333333333" style="4" customWidth="1"/>
    <col min="6" max="6" width="9.13333333333333" style="4" customWidth="1"/>
    <col min="7" max="7" width="7.625" style="4" customWidth="1"/>
    <col min="8" max="8" width="4.25" style="4" customWidth="1"/>
    <col min="9" max="9" width="3.625" style="4" customWidth="1"/>
    <col min="10" max="10" width="14.625" style="5" customWidth="1"/>
    <col min="11" max="11" width="12.5666666666667" style="6" customWidth="1"/>
    <col min="12" max="13" width="9" style="4"/>
    <col min="14" max="17" width="28.375" style="4" customWidth="1"/>
    <col min="18" max="16384" width="9" style="4"/>
  </cols>
  <sheetData>
    <row r="1" ht="30" customHeight="1" spans="1:10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34"/>
    </row>
    <row r="2" s="26" customFormat="1" ht="45" customHeight="1" spans="1:1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18" t="s">
        <v>10</v>
      </c>
      <c r="K2" s="35" t="s">
        <v>11</v>
      </c>
    </row>
    <row r="3" s="2" customFormat="1" ht="33" customHeight="1" spans="1:11">
      <c r="A3" s="28">
        <v>44234</v>
      </c>
      <c r="B3" s="29" t="s">
        <v>12</v>
      </c>
      <c r="C3" s="29" t="s">
        <v>13</v>
      </c>
      <c r="D3" s="29">
        <v>30</v>
      </c>
      <c r="E3" s="29">
        <v>1598</v>
      </c>
      <c r="F3" s="29">
        <v>1598</v>
      </c>
      <c r="G3" s="30">
        <v>40.6</v>
      </c>
      <c r="H3" s="31"/>
      <c r="I3" s="36"/>
      <c r="J3" s="20">
        <f>SUM(F3*G3+H3+I3)</f>
        <v>64878.8</v>
      </c>
      <c r="K3" s="21">
        <v>20075</v>
      </c>
    </row>
    <row r="4" s="2" customFormat="1" ht="33" customHeight="1" spans="1:11">
      <c r="A4" s="28">
        <v>44266</v>
      </c>
      <c r="B4" s="29" t="s">
        <v>14</v>
      </c>
      <c r="C4" s="29"/>
      <c r="D4" s="29"/>
      <c r="E4" s="29"/>
      <c r="F4" s="29"/>
      <c r="G4" s="30"/>
      <c r="H4" s="31"/>
      <c r="I4" s="36"/>
      <c r="J4" s="20">
        <v>-64878.8</v>
      </c>
      <c r="K4" s="21"/>
    </row>
    <row r="5" s="2" customFormat="1" ht="33" customHeight="1" spans="1:11">
      <c r="A5" s="28">
        <v>44242</v>
      </c>
      <c r="B5" s="29" t="s">
        <v>15</v>
      </c>
      <c r="C5" s="29" t="s">
        <v>16</v>
      </c>
      <c r="D5" s="32">
        <v>8</v>
      </c>
      <c r="E5" s="32">
        <v>656</v>
      </c>
      <c r="F5" s="32">
        <v>656</v>
      </c>
      <c r="G5" s="30">
        <v>41</v>
      </c>
      <c r="H5" s="31"/>
      <c r="I5" s="29"/>
      <c r="J5" s="20">
        <f>SUM(F5*G5+H5+I5)</f>
        <v>26896</v>
      </c>
      <c r="K5" s="21">
        <v>20084</v>
      </c>
    </row>
    <row r="6" s="2" customFormat="1" ht="33" customHeight="1" spans="1:11">
      <c r="A6" s="28">
        <v>44266</v>
      </c>
      <c r="B6" s="29" t="s">
        <v>14</v>
      </c>
      <c r="C6" s="29"/>
      <c r="D6" s="32"/>
      <c r="E6" s="32"/>
      <c r="F6" s="32"/>
      <c r="G6" s="30"/>
      <c r="H6" s="31"/>
      <c r="I6" s="29"/>
      <c r="J6" s="20">
        <v>-26896</v>
      </c>
      <c r="K6" s="21"/>
    </row>
    <row r="7" s="2" customFormat="1" ht="33" customHeight="1" spans="1:11">
      <c r="A7" s="28">
        <v>44220</v>
      </c>
      <c r="B7" s="29" t="s">
        <v>17</v>
      </c>
      <c r="C7" s="29" t="s">
        <v>16</v>
      </c>
      <c r="D7" s="29">
        <v>86</v>
      </c>
      <c r="E7" s="29">
        <v>4940</v>
      </c>
      <c r="F7" s="29">
        <v>4940</v>
      </c>
      <c r="G7" s="30">
        <v>28</v>
      </c>
      <c r="H7" s="31"/>
      <c r="I7" s="29"/>
      <c r="J7" s="20">
        <f>SUM(F7*G7+H7+I7)</f>
        <v>138320</v>
      </c>
      <c r="K7" s="21">
        <v>10188</v>
      </c>
    </row>
    <row r="8" s="2" customFormat="1" ht="33" customHeight="1" spans="1:11">
      <c r="A8" s="28">
        <v>44273</v>
      </c>
      <c r="B8" s="29" t="s">
        <v>18</v>
      </c>
      <c r="C8" s="29"/>
      <c r="D8" s="29"/>
      <c r="E8" s="29"/>
      <c r="F8" s="29"/>
      <c r="G8" s="30"/>
      <c r="H8" s="31"/>
      <c r="I8" s="29"/>
      <c r="J8" s="20">
        <v>-46545.2</v>
      </c>
      <c r="K8" s="21"/>
    </row>
    <row r="9" s="2" customFormat="1" ht="33" customHeight="1" spans="1:11">
      <c r="A9" s="28">
        <v>44284</v>
      </c>
      <c r="B9" s="29" t="s">
        <v>18</v>
      </c>
      <c r="C9" s="29"/>
      <c r="D9" s="29"/>
      <c r="E9" s="29"/>
      <c r="F9" s="29"/>
      <c r="G9" s="30"/>
      <c r="H9" s="31"/>
      <c r="I9" s="29"/>
      <c r="J9" s="20">
        <v>-50000</v>
      </c>
      <c r="K9" s="21"/>
    </row>
    <row r="10" s="2" customFormat="1" ht="33" customHeight="1" spans="1:11">
      <c r="A10" s="28">
        <v>44249</v>
      </c>
      <c r="B10" s="29" t="s">
        <v>19</v>
      </c>
      <c r="C10" s="33" t="s">
        <v>13</v>
      </c>
      <c r="D10" s="32">
        <v>5</v>
      </c>
      <c r="E10" s="32">
        <v>173</v>
      </c>
      <c r="F10" s="32">
        <v>173</v>
      </c>
      <c r="G10" s="30">
        <v>55</v>
      </c>
      <c r="H10" s="31"/>
      <c r="I10" s="29"/>
      <c r="J10" s="20">
        <f>SUM(F10*G10+H10+I10)</f>
        <v>9515</v>
      </c>
      <c r="K10" s="21">
        <v>20083</v>
      </c>
    </row>
    <row r="11" s="2" customFormat="1" ht="33" customHeight="1" spans="1:11">
      <c r="A11" s="28">
        <v>44288</v>
      </c>
      <c r="B11" s="29" t="s">
        <v>18</v>
      </c>
      <c r="C11" s="29"/>
      <c r="D11" s="29"/>
      <c r="E11" s="29"/>
      <c r="F11" s="29"/>
      <c r="G11" s="30"/>
      <c r="H11" s="31"/>
      <c r="I11" s="29"/>
      <c r="J11" s="20">
        <v>-51289.8</v>
      </c>
      <c r="K11" s="21"/>
    </row>
    <row r="12" s="3" customFormat="1" ht="33" customHeight="1" spans="1:11">
      <c r="A12" s="17"/>
      <c r="B12" s="17"/>
      <c r="C12" s="17"/>
      <c r="D12" s="17"/>
      <c r="E12" s="17"/>
      <c r="F12" s="17"/>
      <c r="G12" s="17"/>
      <c r="H12" s="17"/>
      <c r="I12" s="17"/>
      <c r="J12" s="23">
        <f>SUM(J3:J11)</f>
        <v>0</v>
      </c>
      <c r="K12" s="24"/>
    </row>
  </sheetData>
  <mergeCells count="1">
    <mergeCell ref="A1:K1"/>
  </mergeCells>
  <pageMargins left="0.629861111111111" right="0.236111111111111" top="0.550694444444444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8"/>
  <sheetViews>
    <sheetView workbookViewId="0">
      <selection activeCell="K16" sqref="K16"/>
    </sheetView>
  </sheetViews>
  <sheetFormatPr defaultColWidth="9" defaultRowHeight="13.5" outlineLevelRow="7"/>
  <cols>
    <col min="1" max="1" width="12.625" style="4" customWidth="1"/>
    <col min="2" max="2" width="14.15" style="4" customWidth="1"/>
    <col min="3" max="3" width="5.125" style="4" customWidth="1"/>
    <col min="4" max="4" width="4.375" style="4" customWidth="1"/>
    <col min="5" max="5" width="4.875" style="4" customWidth="1"/>
    <col min="6" max="6" width="5.125" style="4" customWidth="1"/>
    <col min="7" max="7" width="7.625" style="4" customWidth="1"/>
    <col min="8" max="8" width="3" style="4" customWidth="1"/>
    <col min="9" max="9" width="6.875" style="5" customWidth="1"/>
    <col min="10" max="10" width="14.625" style="6" customWidth="1"/>
    <col min="11" max="11" width="13.25" style="4" customWidth="1"/>
    <col min="12" max="12" width="9" style="4"/>
    <col min="13" max="15" width="28.375" style="4" customWidth="1"/>
    <col min="16" max="16384" width="9" style="4"/>
  </cols>
  <sheetData>
    <row r="1" customFormat="1" ht="31" customHeight="1" spans="1:9">
      <c r="A1" s="7" t="s">
        <v>20</v>
      </c>
      <c r="B1" s="7"/>
      <c r="C1" s="7"/>
      <c r="D1" s="7"/>
      <c r="E1" s="7"/>
      <c r="F1" s="7"/>
      <c r="G1" s="7"/>
      <c r="H1" s="7"/>
      <c r="I1" s="7"/>
    </row>
    <row r="2" s="1" customFormat="1" ht="43" customHeight="1" spans="1:11">
      <c r="A2" s="8" t="s">
        <v>1</v>
      </c>
      <c r="B2" s="8" t="s">
        <v>2</v>
      </c>
      <c r="C2" s="8" t="s">
        <v>3</v>
      </c>
      <c r="D2" s="9" t="s">
        <v>21</v>
      </c>
      <c r="E2" s="9" t="s">
        <v>22</v>
      </c>
      <c r="F2" s="9" t="s">
        <v>23</v>
      </c>
      <c r="G2" s="8" t="s">
        <v>7</v>
      </c>
      <c r="H2" s="8" t="s">
        <v>8</v>
      </c>
      <c r="I2" s="8" t="s">
        <v>9</v>
      </c>
      <c r="J2" s="18" t="s">
        <v>10</v>
      </c>
      <c r="K2" s="19" t="s">
        <v>11</v>
      </c>
    </row>
    <row r="3" s="2" customFormat="1" ht="33" customHeight="1" spans="1:11">
      <c r="A3" s="10">
        <v>44220</v>
      </c>
      <c r="B3" s="11" t="s">
        <v>17</v>
      </c>
      <c r="C3" s="11" t="s">
        <v>16</v>
      </c>
      <c r="D3" s="11">
        <v>86</v>
      </c>
      <c r="E3" s="11">
        <v>4940</v>
      </c>
      <c r="F3" s="11">
        <v>4940</v>
      </c>
      <c r="G3" s="12">
        <v>28</v>
      </c>
      <c r="H3" s="13"/>
      <c r="I3" s="11"/>
      <c r="J3" s="20">
        <f t="shared" ref="J3:J6" si="0">SUM(F3*G3+H3+I3)</f>
        <v>138320</v>
      </c>
      <c r="K3" s="21">
        <v>10188</v>
      </c>
    </row>
    <row r="4" s="2" customFormat="1" ht="33" customHeight="1" spans="1:11">
      <c r="A4" s="10">
        <v>44234</v>
      </c>
      <c r="B4" s="11" t="s">
        <v>12</v>
      </c>
      <c r="C4" s="11" t="s">
        <v>13</v>
      </c>
      <c r="D4" s="11">
        <v>30</v>
      </c>
      <c r="E4" s="11">
        <v>1598</v>
      </c>
      <c r="F4" s="11">
        <v>1598</v>
      </c>
      <c r="G4" s="12">
        <v>40.6</v>
      </c>
      <c r="H4" s="13"/>
      <c r="I4" s="22"/>
      <c r="J4" s="20">
        <f t="shared" si="0"/>
        <v>64878.8</v>
      </c>
      <c r="K4" s="21">
        <v>20075</v>
      </c>
    </row>
    <row r="5" s="2" customFormat="1" ht="33" customHeight="1" spans="1:11">
      <c r="A5" s="10">
        <v>44242</v>
      </c>
      <c r="B5" s="11" t="s">
        <v>15</v>
      </c>
      <c r="C5" s="11" t="s">
        <v>16</v>
      </c>
      <c r="D5" s="14">
        <v>8</v>
      </c>
      <c r="E5" s="14">
        <v>656</v>
      </c>
      <c r="F5" s="14">
        <v>656</v>
      </c>
      <c r="G5" s="12">
        <v>41</v>
      </c>
      <c r="H5" s="13"/>
      <c r="I5" s="11"/>
      <c r="J5" s="20">
        <f t="shared" si="0"/>
        <v>26896</v>
      </c>
      <c r="K5" s="21">
        <v>20084</v>
      </c>
    </row>
    <row r="6" s="2" customFormat="1" ht="33" customHeight="1" spans="1:11">
      <c r="A6" s="10">
        <v>44249</v>
      </c>
      <c r="B6" s="11" t="s">
        <v>19</v>
      </c>
      <c r="C6" s="15" t="s">
        <v>13</v>
      </c>
      <c r="D6" s="14">
        <v>5</v>
      </c>
      <c r="E6" s="14">
        <v>173</v>
      </c>
      <c r="F6" s="14">
        <v>173</v>
      </c>
      <c r="G6" s="12">
        <v>55</v>
      </c>
      <c r="H6" s="13"/>
      <c r="I6" s="11"/>
      <c r="J6" s="20">
        <f t="shared" si="0"/>
        <v>9515</v>
      </c>
      <c r="K6" s="21">
        <v>20083</v>
      </c>
    </row>
    <row r="7" s="3" customFormat="1" ht="21" customHeight="1" spans="1:11">
      <c r="A7" s="16" t="s">
        <v>24</v>
      </c>
      <c r="B7" s="17"/>
      <c r="C7" s="17"/>
      <c r="D7" s="17"/>
      <c r="E7" s="17"/>
      <c r="F7" s="17"/>
      <c r="G7" s="17"/>
      <c r="H7" s="17"/>
      <c r="I7" s="17"/>
      <c r="J7" s="23">
        <f>SUM(J3:J6)</f>
        <v>239609.8</v>
      </c>
      <c r="K7" s="24"/>
    </row>
    <row r="8" spans="10:10">
      <c r="J8" s="25"/>
    </row>
  </sheetData>
  <mergeCells count="1">
    <mergeCell ref="A1:I1"/>
  </mergeCells>
  <pageMargins left="0.747916666666667" right="0.236111111111111" top="0.354166666666667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总欠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2019-07-03T04:04:00Z</dcterms:created>
  <dcterms:modified xsi:type="dcterms:W3CDTF">2021-04-02T03:49:10Z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