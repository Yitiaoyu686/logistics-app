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总欠" sheetId="1" r:id="rId1"/>
    <sheet name="12月14日公帐支付55040.00 (2)" sheetId="3" r:id="rId2"/>
    <sheet name="1月4日公帐支付29554.50 " sheetId="2" r:id="rId3"/>
  </sheets>
  <calcPr calcId="144525"/>
</workbook>
</file>

<file path=xl/sharedStrings.xml><?xml version="1.0" encoding="utf-8"?>
<sst xmlns="http://schemas.openxmlformats.org/spreadsheetml/2006/main" count="92" uniqueCount="34">
  <si>
    <t xml:space="preserve">      广 州 易 站 跨 境 电 商 有 限 公 司
       Guangzhou E-Station Cross-Border E-Commerce Co., Ltd</t>
  </si>
  <si>
    <t>2018年12月空运对账单</t>
  </si>
  <si>
    <t>客户：</t>
  </si>
  <si>
    <t>广州瞄瞄国际货运代理有限公司</t>
  </si>
  <si>
    <t>页码：</t>
  </si>
  <si>
    <t>共一页</t>
  </si>
  <si>
    <t>联系人：</t>
  </si>
  <si>
    <t>账单期间：</t>
  </si>
  <si>
    <t>序号</t>
  </si>
  <si>
    <t>提单号</t>
  </si>
  <si>
    <t>目的地</t>
  </si>
  <si>
    <t>航班时间</t>
  </si>
  <si>
    <t>收费计量</t>
  </si>
  <si>
    <t>单价</t>
  </si>
  <si>
    <t>文件费</t>
  </si>
  <si>
    <t>地勤</t>
  </si>
  <si>
    <t>入仓报
关费</t>
  </si>
  <si>
    <t>合计</t>
  </si>
  <si>
    <t>备注</t>
  </si>
  <si>
    <t>件数</t>
  </si>
  <si>
    <t>毛重</t>
  </si>
  <si>
    <t>计费重量</t>
  </si>
  <si>
    <t>071-33263042</t>
  </si>
  <si>
    <t>LOS</t>
  </si>
  <si>
    <t>¥   55,040.00</t>
  </si>
  <si>
    <t xml:space="preserve">JOB120037
</t>
  </si>
  <si>
    <t>071-33267566</t>
  </si>
  <si>
    <t>¥   29,554.50</t>
  </si>
  <si>
    <t>JOB120104</t>
  </si>
  <si>
    <t>¥     84,594.50</t>
  </si>
  <si>
    <r>
      <rPr>
        <sz val="10"/>
        <rFont val="宋体"/>
        <charset val="134"/>
      </rPr>
      <t>我司收款账户如下：</t>
    </r>
    <r>
      <rPr>
        <b/>
        <sz val="10"/>
        <rFont val="Microsoft JhengHei"/>
        <charset val="134"/>
      </rPr>
      <t>(请公账对公账支付运费）</t>
    </r>
  </si>
  <si>
    <t>收款单位：广州易站跨境电商有限公司</t>
  </si>
  <si>
    <t>开户行：中国工商银行广州花都新机场支行</t>
  </si>
  <si>
    <t>账号：3602010409200159772</t>
  </si>
</sst>
</file>

<file path=xl/styles.xml><?xml version="1.0" encoding="utf-8"?>
<styleSheet xmlns="http://schemas.openxmlformats.org/spreadsheetml/2006/main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m/dd;@"/>
    <numFmt numFmtId="8" formatCode="&quot;￥&quot;#,##0.00;[Red]&quot;￥&quot;\-#,##0.00"/>
  </numFmts>
  <fonts count="36">
    <font>
      <sz val="10"/>
      <color rgb="FF000000"/>
      <name val="Times New Roman"/>
      <charset val="204"/>
    </font>
    <font>
      <b/>
      <sz val="14"/>
      <name val="宋体"/>
      <charset val="134"/>
    </font>
    <font>
      <b/>
      <sz val="14"/>
      <color rgb="FF000000"/>
      <name val="Times New Roman"/>
      <charset val="204"/>
    </font>
    <font>
      <b/>
      <sz val="12"/>
      <name val="宋体"/>
      <charset val="134"/>
    </font>
    <font>
      <b/>
      <sz val="10"/>
      <color rgb="FF000000"/>
      <name val="Times New Roman"/>
      <charset val="204"/>
    </font>
    <font>
      <b/>
      <sz val="10"/>
      <name val="宋体"/>
      <charset val="134"/>
    </font>
    <font>
      <b/>
      <sz val="8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4"/>
      <color rgb="FF000000"/>
      <name val="Times New Roman"/>
      <charset val="204"/>
    </font>
    <font>
      <sz val="12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rgb="FF000000"/>
      <name val="Times New Roman"/>
      <charset val="20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0"/>
      <name val="Microsoft JhengHe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6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5" fillId="16" borderId="9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3" borderId="7" applyNumberFormat="0" applyFon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4" fillId="19" borderId="14" applyNumberFormat="0" applyAlignment="0" applyProtection="0">
      <alignment vertical="center"/>
    </xf>
    <xf numFmtId="0" fontId="26" fillId="19" borderId="9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</cellStyleXfs>
  <cellXfs count="71">
    <xf numFmtId="0" fontId="0" fillId="0" borderId="0" xfId="0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3"/>
    </xf>
    <xf numFmtId="0" fontId="5" fillId="2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top" wrapText="1" indent="2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left" vertical="top" wrapText="1" indent="3"/>
    </xf>
    <xf numFmtId="0" fontId="5" fillId="2" borderId="5" xfId="0" applyFont="1" applyFill="1" applyBorder="1" applyAlignment="1">
      <alignment horizontal="left" vertical="top" wrapText="1" indent="1"/>
    </xf>
    <xf numFmtId="0" fontId="5" fillId="2" borderId="5" xfId="0" applyFont="1" applyFill="1" applyBorder="1" applyAlignment="1">
      <alignment horizontal="left" vertical="top" wrapText="1" indent="2"/>
    </xf>
    <xf numFmtId="0" fontId="5" fillId="2" borderId="6" xfId="0" applyFont="1" applyFill="1" applyBorder="1" applyAlignment="1">
      <alignment horizontal="center" vertical="top" wrapText="1"/>
    </xf>
    <xf numFmtId="1" fontId="7" fillId="2" borderId="6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center" vertical="center" wrapText="1"/>
    </xf>
    <xf numFmtId="176" fontId="7" fillId="2" borderId="6" xfId="0" applyNumberFormat="1" applyFont="1" applyFill="1" applyBorder="1" applyAlignment="1">
      <alignment horizontal="center" vertical="center" shrinkToFit="1"/>
    </xf>
    <xf numFmtId="2" fontId="7" fillId="2" borderId="6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 indent="5"/>
    </xf>
    <xf numFmtId="0" fontId="4" fillId="2" borderId="6" xfId="0" applyFont="1" applyFill="1" applyBorder="1" applyAlignment="1">
      <alignment horizontal="center" vertical="center" wrapText="1"/>
    </xf>
    <xf numFmtId="7" fontId="5" fillId="2" borderId="2" xfId="0" applyNumberFormat="1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3"/>
    </xf>
    <xf numFmtId="0" fontId="8" fillId="2" borderId="1" xfId="0" applyFont="1" applyFill="1" applyBorder="1" applyAlignment="1">
      <alignment horizontal="left" vertical="center" wrapText="1" indent="2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3"/>
    </xf>
    <xf numFmtId="0" fontId="8" fillId="2" borderId="5" xfId="0" applyFont="1" applyFill="1" applyBorder="1" applyAlignment="1">
      <alignment horizontal="left" vertical="center" wrapText="1" indent="2"/>
    </xf>
    <xf numFmtId="0" fontId="8" fillId="2" borderId="6" xfId="0" applyFont="1" applyFill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left" vertical="center" wrapText="1" indent="1"/>
    </xf>
    <xf numFmtId="176" fontId="13" fillId="2" borderId="6" xfId="0" applyNumberFormat="1" applyFont="1" applyFill="1" applyBorder="1" applyAlignment="1">
      <alignment horizontal="center" vertical="center" shrinkToFit="1"/>
    </xf>
    <xf numFmtId="2" fontId="13" fillId="2" borderId="6" xfId="0" applyNumberFormat="1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 indent="4"/>
    </xf>
    <xf numFmtId="0" fontId="8" fillId="0" borderId="0" xfId="0" applyFont="1" applyFill="1" applyBorder="1" applyAlignment="1">
      <alignment horizontal="left" vertical="top" wrapText="1" indent="5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8" fontId="8" fillId="2" borderId="6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4"/>
  <sheetViews>
    <sheetView workbookViewId="0">
      <selection activeCell="A1" sqref="$A1:$XFD4"/>
    </sheetView>
  </sheetViews>
  <sheetFormatPr defaultColWidth="9" defaultRowHeight="12.75"/>
  <cols>
    <col min="1" max="1" width="4.66666666666667" customWidth="1"/>
    <col min="2" max="2" width="18.6666666666667" customWidth="1"/>
    <col min="3" max="3" width="9.66666666666667" customWidth="1"/>
    <col min="4" max="4" width="10.5" customWidth="1"/>
    <col min="5" max="5" width="6.33333333333333" customWidth="1"/>
    <col min="6" max="7" width="12.4444444444444" customWidth="1"/>
    <col min="8" max="8" width="9.77777777777778" customWidth="1"/>
    <col min="9" max="9" width="6.16666666666667" customWidth="1"/>
    <col min="10" max="10" width="7.5" customWidth="1"/>
    <col min="11" max="11" width="10.4444444444444" customWidth="1"/>
    <col min="12" max="12" width="19.7777777777778" customWidth="1"/>
    <col min="13" max="13" width="16.1666666666667" customWidth="1"/>
    <col min="14" max="14" width="2.88888888888889" customWidth="1"/>
  </cols>
  <sheetData>
    <row r="1" s="1" customFormat="1" ht="41" customHeight="1" spans="1:1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="1" customFormat="1" ht="25.5" customHeight="1" spans="1:1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="1" customFormat="1" ht="17.5" customHeight="1" spans="1:13">
      <c r="A3" s="37"/>
      <c r="B3" s="38" t="s">
        <v>2</v>
      </c>
      <c r="C3" s="39" t="s">
        <v>3</v>
      </c>
      <c r="D3" s="39"/>
      <c r="E3" s="39"/>
      <c r="F3" s="37"/>
      <c r="G3" s="37"/>
      <c r="H3" s="37"/>
      <c r="I3" s="37"/>
      <c r="J3" s="37"/>
      <c r="K3" s="56" t="s">
        <v>4</v>
      </c>
      <c r="L3" s="57" t="s">
        <v>5</v>
      </c>
      <c r="M3" s="37"/>
    </row>
    <row r="4" s="1" customFormat="1" ht="24" customHeight="1" spans="1:13">
      <c r="A4" s="37"/>
      <c r="B4" s="38" t="s">
        <v>6</v>
      </c>
      <c r="C4" s="37"/>
      <c r="D4" s="37"/>
      <c r="E4" s="37"/>
      <c r="F4" s="37"/>
      <c r="G4" s="37"/>
      <c r="H4" s="37"/>
      <c r="I4" s="37"/>
      <c r="J4" s="58" t="s">
        <v>7</v>
      </c>
      <c r="K4" s="58"/>
      <c r="L4" s="59"/>
      <c r="M4" s="59"/>
    </row>
    <row r="5" s="3" customFormat="1" ht="25" customHeight="1" spans="1:13">
      <c r="A5" s="40" t="s">
        <v>8</v>
      </c>
      <c r="B5" s="41" t="s">
        <v>9</v>
      </c>
      <c r="C5" s="40" t="s">
        <v>10</v>
      </c>
      <c r="D5" s="42" t="s">
        <v>11</v>
      </c>
      <c r="E5" s="43" t="s">
        <v>12</v>
      </c>
      <c r="F5" s="44"/>
      <c r="G5" s="45"/>
      <c r="H5" s="40" t="s">
        <v>13</v>
      </c>
      <c r="I5" s="60" t="s">
        <v>14</v>
      </c>
      <c r="J5" s="40" t="s">
        <v>15</v>
      </c>
      <c r="K5" s="60" t="s">
        <v>16</v>
      </c>
      <c r="L5" s="61" t="s">
        <v>17</v>
      </c>
      <c r="M5" s="42" t="s">
        <v>18</v>
      </c>
    </row>
    <row r="6" s="3" customFormat="1" ht="25" customHeight="1" spans="1:13">
      <c r="A6" s="46"/>
      <c r="B6" s="47"/>
      <c r="C6" s="46"/>
      <c r="D6" s="48"/>
      <c r="E6" s="49" t="s">
        <v>19</v>
      </c>
      <c r="F6" s="49" t="s">
        <v>20</v>
      </c>
      <c r="G6" s="49" t="s">
        <v>21</v>
      </c>
      <c r="H6" s="46"/>
      <c r="I6" s="62"/>
      <c r="J6" s="46"/>
      <c r="K6" s="63"/>
      <c r="L6" s="64"/>
      <c r="M6" s="48"/>
    </row>
    <row r="7" s="3" customFormat="1" ht="25" customHeight="1" spans="1:13">
      <c r="A7" s="50">
        <v>1</v>
      </c>
      <c r="B7" s="51" t="s">
        <v>22</v>
      </c>
      <c r="C7" s="49" t="s">
        <v>23</v>
      </c>
      <c r="D7" s="52">
        <v>43447</v>
      </c>
      <c r="E7" s="50">
        <v>14</v>
      </c>
      <c r="F7" s="50">
        <v>1720</v>
      </c>
      <c r="G7" s="50">
        <v>1720</v>
      </c>
      <c r="H7" s="53">
        <v>32</v>
      </c>
      <c r="I7" s="65"/>
      <c r="J7" s="65"/>
      <c r="K7" s="65"/>
      <c r="L7" s="49" t="s">
        <v>24</v>
      </c>
      <c r="M7" s="66" t="s">
        <v>25</v>
      </c>
    </row>
    <row r="8" s="3" customFormat="1" ht="25" customHeight="1" spans="1:13">
      <c r="A8" s="50">
        <v>2</v>
      </c>
      <c r="B8" s="51" t="s">
        <v>26</v>
      </c>
      <c r="C8" s="49" t="s">
        <v>23</v>
      </c>
      <c r="D8" s="52">
        <v>43465</v>
      </c>
      <c r="E8" s="50">
        <v>10</v>
      </c>
      <c r="F8" s="50">
        <v>1159</v>
      </c>
      <c r="G8" s="50">
        <v>1159</v>
      </c>
      <c r="H8" s="53">
        <v>25.5</v>
      </c>
      <c r="I8" s="65"/>
      <c r="J8" s="65"/>
      <c r="K8" s="65"/>
      <c r="L8" s="49" t="s">
        <v>27</v>
      </c>
      <c r="M8" s="66" t="s">
        <v>28</v>
      </c>
    </row>
    <row r="9" s="2" customFormat="1" ht="25" customHeight="1" spans="1:13">
      <c r="A9" s="54" t="s">
        <v>17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69" t="s">
        <v>29</v>
      </c>
      <c r="M9" s="70"/>
    </row>
    <row r="10" s="1" customFormat="1" ht="27" customHeight="1" spans="1:13">
      <c r="A10" s="27" t="s">
        <v>30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="1" customFormat="1" ht="18.75" customHeight="1" spans="1:13">
      <c r="A11" s="27" t="s">
        <v>31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="1" customFormat="1" ht="18.75" customHeight="1" spans="1:13">
      <c r="A12" s="27" t="s">
        <v>32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="1" customFormat="1" ht="18.75" customHeight="1" spans="1:13">
      <c r="A13" s="27" t="s">
        <v>33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="1" customFormat="1" ht="82" customHeight="1"/>
  </sheetData>
  <mergeCells count="23">
    <mergeCell ref="A1:M1"/>
    <mergeCell ref="A2:M2"/>
    <mergeCell ref="C3:E3"/>
    <mergeCell ref="C4:E4"/>
    <mergeCell ref="J4:K4"/>
    <mergeCell ref="L4:M4"/>
    <mergeCell ref="E5:G5"/>
    <mergeCell ref="A9:K9"/>
    <mergeCell ref="L9:M9"/>
    <mergeCell ref="A10:M10"/>
    <mergeCell ref="A11:M11"/>
    <mergeCell ref="A12:M12"/>
    <mergeCell ref="A13:M13"/>
    <mergeCell ref="A5:A6"/>
    <mergeCell ref="B5:B6"/>
    <mergeCell ref="C5:C6"/>
    <mergeCell ref="D5:D6"/>
    <mergeCell ref="H5:H6"/>
    <mergeCell ref="I5:I6"/>
    <mergeCell ref="J5:J6"/>
    <mergeCell ref="K5:K6"/>
    <mergeCell ref="L5:L6"/>
    <mergeCell ref="M5:M6"/>
  </mergeCells>
  <pageMargins left="0.699305555555556" right="0.699305555555556" top="0.668055555555556" bottom="0.75" header="0.3" footer="0.3"/>
  <pageSetup paperSize="9" scale="6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3"/>
  <sheetViews>
    <sheetView tabSelected="1" workbookViewId="0">
      <selection activeCell="P14" sqref="P14"/>
    </sheetView>
  </sheetViews>
  <sheetFormatPr defaultColWidth="9" defaultRowHeight="12.75"/>
  <cols>
    <col min="1" max="1" width="4.66666666666667" customWidth="1"/>
    <col min="2" max="2" width="18.6666666666667" customWidth="1"/>
    <col min="3" max="3" width="9.66666666666667" customWidth="1"/>
    <col min="4" max="4" width="10.5" customWidth="1"/>
    <col min="5" max="5" width="6.33333333333333" customWidth="1"/>
    <col min="6" max="7" width="12.4444444444444" customWidth="1"/>
    <col min="8" max="8" width="9.77777777777778" customWidth="1"/>
    <col min="9" max="9" width="6.16666666666667" customWidth="1"/>
    <col min="10" max="10" width="7.5" customWidth="1"/>
    <col min="11" max="11" width="10.4444444444444" customWidth="1"/>
    <col min="12" max="12" width="19.7777777777778" customWidth="1"/>
    <col min="13" max="13" width="16.1666666666667" customWidth="1"/>
    <col min="14" max="14" width="2.88888888888889" customWidth="1"/>
  </cols>
  <sheetData>
    <row r="1" s="1" customFormat="1" ht="41" customHeight="1" spans="1:1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="1" customFormat="1" ht="25.5" customHeight="1" spans="1:1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="1" customFormat="1" ht="17.5" customHeight="1" spans="1:13">
      <c r="A3" s="37"/>
      <c r="B3" s="38" t="s">
        <v>2</v>
      </c>
      <c r="C3" s="39" t="s">
        <v>3</v>
      </c>
      <c r="D3" s="39"/>
      <c r="E3" s="39"/>
      <c r="F3" s="37"/>
      <c r="G3" s="37"/>
      <c r="H3" s="37"/>
      <c r="I3" s="37"/>
      <c r="J3" s="37"/>
      <c r="K3" s="56" t="s">
        <v>4</v>
      </c>
      <c r="L3" s="57" t="s">
        <v>5</v>
      </c>
      <c r="M3" s="37"/>
    </row>
    <row r="4" s="1" customFormat="1" ht="24" customHeight="1" spans="1:13">
      <c r="A4" s="37"/>
      <c r="B4" s="38" t="s">
        <v>6</v>
      </c>
      <c r="C4" s="37"/>
      <c r="D4" s="37"/>
      <c r="E4" s="37"/>
      <c r="F4" s="37"/>
      <c r="G4" s="37"/>
      <c r="H4" s="37"/>
      <c r="I4" s="37"/>
      <c r="J4" s="58" t="s">
        <v>7</v>
      </c>
      <c r="K4" s="58"/>
      <c r="L4" s="59"/>
      <c r="M4" s="59"/>
    </row>
    <row r="5" s="3" customFormat="1" ht="25" customHeight="1" spans="1:13">
      <c r="A5" s="40" t="s">
        <v>8</v>
      </c>
      <c r="B5" s="41" t="s">
        <v>9</v>
      </c>
      <c r="C5" s="40" t="s">
        <v>10</v>
      </c>
      <c r="D5" s="42" t="s">
        <v>11</v>
      </c>
      <c r="E5" s="43" t="s">
        <v>12</v>
      </c>
      <c r="F5" s="44"/>
      <c r="G5" s="45"/>
      <c r="H5" s="40" t="s">
        <v>13</v>
      </c>
      <c r="I5" s="60" t="s">
        <v>14</v>
      </c>
      <c r="J5" s="40" t="s">
        <v>15</v>
      </c>
      <c r="K5" s="60" t="s">
        <v>16</v>
      </c>
      <c r="L5" s="61" t="s">
        <v>17</v>
      </c>
      <c r="M5" s="42" t="s">
        <v>18</v>
      </c>
    </row>
    <row r="6" s="3" customFormat="1" ht="25" customHeight="1" spans="1:13">
      <c r="A6" s="46"/>
      <c r="B6" s="47"/>
      <c r="C6" s="46"/>
      <c r="D6" s="48"/>
      <c r="E6" s="49" t="s">
        <v>19</v>
      </c>
      <c r="F6" s="49" t="s">
        <v>20</v>
      </c>
      <c r="G6" s="49" t="s">
        <v>21</v>
      </c>
      <c r="H6" s="46"/>
      <c r="I6" s="62"/>
      <c r="J6" s="46"/>
      <c r="K6" s="63"/>
      <c r="L6" s="64"/>
      <c r="M6" s="48"/>
    </row>
    <row r="7" s="3" customFormat="1" ht="25" customHeight="1" spans="1:13">
      <c r="A7" s="50">
        <v>1</v>
      </c>
      <c r="B7" s="51" t="s">
        <v>22</v>
      </c>
      <c r="C7" s="49" t="s">
        <v>23</v>
      </c>
      <c r="D7" s="52">
        <v>43447</v>
      </c>
      <c r="E7" s="50">
        <v>14</v>
      </c>
      <c r="F7" s="50">
        <v>1720</v>
      </c>
      <c r="G7" s="50">
        <v>1720</v>
      </c>
      <c r="H7" s="53">
        <v>32</v>
      </c>
      <c r="I7" s="65"/>
      <c r="J7" s="65"/>
      <c r="K7" s="65"/>
      <c r="L7" s="49" t="s">
        <v>24</v>
      </c>
      <c r="M7" s="66" t="s">
        <v>25</v>
      </c>
    </row>
    <row r="8" s="2" customFormat="1" ht="25" customHeight="1" spans="1:13">
      <c r="A8" s="54" t="s">
        <v>17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67">
        <v>55040</v>
      </c>
      <c r="M8" s="68"/>
    </row>
    <row r="9" s="1" customFormat="1" ht="27" customHeight="1" spans="1:13">
      <c r="A9" s="27" t="s">
        <v>30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="1" customFormat="1" ht="18.75" customHeight="1" spans="1:13">
      <c r="A10" s="27" t="s">
        <v>31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="1" customFormat="1" ht="18.75" customHeight="1" spans="1:13">
      <c r="A11" s="27" t="s">
        <v>32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="1" customFormat="1" ht="18.75" customHeight="1" spans="1:13">
      <c r="A12" s="27" t="s">
        <v>33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="1" customFormat="1" ht="82" customHeight="1"/>
  </sheetData>
  <mergeCells count="22">
    <mergeCell ref="A1:M1"/>
    <mergeCell ref="A2:M2"/>
    <mergeCell ref="C3:E3"/>
    <mergeCell ref="C4:E4"/>
    <mergeCell ref="J4:K4"/>
    <mergeCell ref="L4:M4"/>
    <mergeCell ref="E5:G5"/>
    <mergeCell ref="A8:K8"/>
    <mergeCell ref="A9:M9"/>
    <mergeCell ref="A10:M10"/>
    <mergeCell ref="A11:M11"/>
    <mergeCell ref="A12:M12"/>
    <mergeCell ref="A5:A6"/>
    <mergeCell ref="B5:B6"/>
    <mergeCell ref="C5:C6"/>
    <mergeCell ref="D5:D6"/>
    <mergeCell ref="H5:H6"/>
    <mergeCell ref="I5:I6"/>
    <mergeCell ref="J5:J6"/>
    <mergeCell ref="K5:K6"/>
    <mergeCell ref="L5:L6"/>
    <mergeCell ref="M5:M6"/>
  </mergeCells>
  <pageMargins left="0.699305555555556" right="0.699305555555556" top="0.668055555555556" bottom="0.75" header="0.3" footer="0.3"/>
  <pageSetup paperSize="9" scale="6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workbookViewId="0">
      <selection activeCell="P13" sqref="P13"/>
    </sheetView>
  </sheetViews>
  <sheetFormatPr defaultColWidth="9" defaultRowHeight="12.75"/>
  <cols>
    <col min="1" max="1" width="4.66666666666667" customWidth="1"/>
    <col min="2" max="2" width="23.3333333333333" customWidth="1"/>
    <col min="3" max="3" width="9.66666666666667" customWidth="1"/>
    <col min="4" max="4" width="14.5" customWidth="1"/>
    <col min="5" max="5" width="6.33333333333333" customWidth="1"/>
    <col min="6" max="7" width="12.4444444444444" customWidth="1"/>
    <col min="8" max="8" width="9.77777777777778" customWidth="1"/>
    <col min="9" max="9" width="21.1666666666667" customWidth="1"/>
    <col min="10" max="10" width="17.3333333333333" customWidth="1"/>
    <col min="11" max="11" width="2.88888888888889" customWidth="1"/>
  </cols>
  <sheetData>
    <row r="1" s="1" customFormat="1" ht="41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29"/>
    </row>
    <row r="2" s="1" customFormat="1" ht="25.5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29"/>
    </row>
    <row r="3" s="1" customFormat="1" ht="15" customHeight="1" spans="1:10">
      <c r="A3" s="7"/>
      <c r="B3" s="8" t="s">
        <v>2</v>
      </c>
      <c r="C3" s="9" t="s">
        <v>3</v>
      </c>
      <c r="D3" s="9"/>
      <c r="E3" s="9"/>
      <c r="F3" s="9"/>
      <c r="G3" s="7"/>
      <c r="H3" s="7"/>
      <c r="I3" s="7"/>
      <c r="J3" s="29"/>
    </row>
    <row r="4" s="1" customFormat="1" ht="24" customHeight="1" spans="1:10">
      <c r="A4" s="7"/>
      <c r="B4" s="8" t="s">
        <v>6</v>
      </c>
      <c r="C4" s="7"/>
      <c r="D4" s="7"/>
      <c r="E4" s="7"/>
      <c r="F4" s="7"/>
      <c r="G4" s="7"/>
      <c r="H4" s="7"/>
      <c r="I4" s="30"/>
      <c r="J4" s="29"/>
    </row>
    <row r="5" s="2" customFormat="1" ht="17.25" customHeight="1" spans="1:10">
      <c r="A5" s="10" t="s">
        <v>8</v>
      </c>
      <c r="B5" s="11" t="s">
        <v>9</v>
      </c>
      <c r="C5" s="12" t="s">
        <v>10</v>
      </c>
      <c r="D5" s="13" t="s">
        <v>11</v>
      </c>
      <c r="E5" s="14" t="s">
        <v>12</v>
      </c>
      <c r="F5" s="15"/>
      <c r="G5" s="16"/>
      <c r="H5" s="12" t="s">
        <v>13</v>
      </c>
      <c r="I5" s="10" t="s">
        <v>17</v>
      </c>
      <c r="J5" s="13" t="s">
        <v>18</v>
      </c>
    </row>
    <row r="6" s="2" customFormat="1" ht="17.25" customHeight="1" spans="1:10">
      <c r="A6" s="17"/>
      <c r="B6" s="18"/>
      <c r="C6" s="19"/>
      <c r="D6" s="20"/>
      <c r="E6" s="21" t="s">
        <v>19</v>
      </c>
      <c r="F6" s="21" t="s">
        <v>20</v>
      </c>
      <c r="G6" s="21" t="s">
        <v>21</v>
      </c>
      <c r="H6" s="19"/>
      <c r="I6" s="17"/>
      <c r="J6" s="20"/>
    </row>
    <row r="7" s="3" customFormat="1" ht="69" customHeight="1" spans="1:10">
      <c r="A7" s="22">
        <v>2</v>
      </c>
      <c r="B7" s="23" t="s">
        <v>26</v>
      </c>
      <c r="C7" s="24" t="s">
        <v>23</v>
      </c>
      <c r="D7" s="25">
        <v>43465</v>
      </c>
      <c r="E7" s="22">
        <v>10</v>
      </c>
      <c r="F7" s="22">
        <v>1159</v>
      </c>
      <c r="G7" s="22">
        <v>1159</v>
      </c>
      <c r="H7" s="26">
        <v>25.5</v>
      </c>
      <c r="I7" s="24" t="s">
        <v>27</v>
      </c>
      <c r="J7" s="31" t="s">
        <v>28</v>
      </c>
    </row>
    <row r="8" s="2" customFormat="1" ht="24.75" customHeight="1" spans="1:10">
      <c r="A8" s="14" t="s">
        <v>17</v>
      </c>
      <c r="B8" s="15"/>
      <c r="C8" s="15"/>
      <c r="D8" s="15"/>
      <c r="E8" s="15"/>
      <c r="F8" s="15"/>
      <c r="G8" s="15"/>
      <c r="H8" s="15"/>
      <c r="I8" s="32">
        <f>SUM(I7+0)</f>
        <v>29554.5</v>
      </c>
      <c r="J8" s="33"/>
    </row>
    <row r="9" s="1" customFormat="1" ht="27" customHeight="1" spans="1:10">
      <c r="A9" s="27" t="s">
        <v>30</v>
      </c>
      <c r="B9" s="28"/>
      <c r="C9" s="28"/>
      <c r="D9" s="28"/>
      <c r="E9" s="28"/>
      <c r="F9" s="28"/>
      <c r="G9" s="28"/>
      <c r="H9" s="28"/>
      <c r="I9" s="28"/>
      <c r="J9" s="28"/>
    </row>
    <row r="10" s="1" customFormat="1" ht="18.75" customHeight="1" spans="1:10">
      <c r="A10" s="27" t="s">
        <v>31</v>
      </c>
      <c r="B10" s="27"/>
      <c r="C10" s="27"/>
      <c r="D10" s="27"/>
      <c r="E10" s="27"/>
      <c r="F10" s="27"/>
      <c r="G10" s="27"/>
      <c r="H10" s="27"/>
      <c r="I10" s="27"/>
      <c r="J10" s="27"/>
    </row>
    <row r="11" s="1" customFormat="1" ht="18.75" customHeight="1" spans="1:10">
      <c r="A11" s="27" t="s">
        <v>32</v>
      </c>
      <c r="B11" s="27"/>
      <c r="C11" s="27"/>
      <c r="D11" s="27"/>
      <c r="E11" s="27"/>
      <c r="F11" s="27"/>
      <c r="G11" s="27"/>
      <c r="H11" s="27"/>
      <c r="I11" s="27"/>
      <c r="J11" s="27"/>
    </row>
    <row r="12" s="1" customFormat="1" ht="18.75" customHeight="1" spans="1:10">
      <c r="A12" s="27" t="s">
        <v>33</v>
      </c>
      <c r="B12" s="27"/>
      <c r="C12" s="27"/>
      <c r="D12" s="27"/>
      <c r="E12" s="27"/>
      <c r="F12" s="27"/>
      <c r="G12" s="27"/>
      <c r="H12" s="27"/>
      <c r="I12" s="27"/>
      <c r="J12" s="27"/>
    </row>
    <row r="13" s="1" customFormat="1" ht="82" customHeight="1"/>
  </sheetData>
  <mergeCells count="17">
    <mergeCell ref="A1:I1"/>
    <mergeCell ref="A2:I2"/>
    <mergeCell ref="C3:F3"/>
    <mergeCell ref="C4:E4"/>
    <mergeCell ref="E5:G5"/>
    <mergeCell ref="A8:H8"/>
    <mergeCell ref="A9:J9"/>
    <mergeCell ref="A10:J10"/>
    <mergeCell ref="A11:J11"/>
    <mergeCell ref="A12:J12"/>
    <mergeCell ref="A5:A6"/>
    <mergeCell ref="B5:B6"/>
    <mergeCell ref="C5:C6"/>
    <mergeCell ref="D5:D6"/>
    <mergeCell ref="H5:H6"/>
    <mergeCell ref="I5:I6"/>
    <mergeCell ref="J5:J6"/>
  </mergeCells>
  <pageMargins left="0.629861111111111" right="0.550694444444444" top="0.747916666666667" bottom="0.75" header="0.3" footer="0.3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12月14日公帐支付55040.00 (2)</vt:lpstr>
      <vt:lpstr>1月4日公帐支付29554.50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/mg</cp:lastModifiedBy>
  <dcterms:created xsi:type="dcterms:W3CDTF">2019-01-17T06:25:00Z</dcterms:created>
  <dcterms:modified xsi:type="dcterms:W3CDTF">2019-05-20T08:25:57Z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