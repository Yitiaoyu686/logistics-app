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firstSheet="4" activeTab="10"/>
  </bookViews>
  <sheets>
    <sheet name="总欠" sheetId="1" r:id="rId1"/>
    <sheet name="6月16日公帐支付" sheetId="3" r:id="rId2"/>
    <sheet name="6月21日公帐支付" sheetId="4" r:id="rId3"/>
    <sheet name="6月26日私帐支付" sheetId="5" r:id="rId4"/>
    <sheet name="6月28日私账支付" sheetId="6" r:id="rId5"/>
    <sheet name="7月3日公账支付" sheetId="7" r:id="rId6"/>
    <sheet name="7月3日私账支付" sheetId="8" r:id="rId7"/>
    <sheet name="7月8日私账支付" sheetId="9" r:id="rId8"/>
    <sheet name="7月17日私帐支付" sheetId="10" r:id="rId9"/>
    <sheet name="7月18日私帐支付" sheetId="11" r:id="rId10"/>
    <sheet name="7月19日私帐支付" sheetId="12" r:id="rId11"/>
  </sheets>
  <definedNames>
    <definedName name="_xlnm.Print_Area" localSheetId="1">'6月16日公帐支付'!$A$1:$I$8</definedName>
  </definedNames>
  <calcPr calcId="144525"/>
</workbook>
</file>

<file path=xl/sharedStrings.xml><?xml version="1.0" encoding="utf-8"?>
<sst xmlns="http://schemas.openxmlformats.org/spreadsheetml/2006/main" count="187" uniqueCount="34">
  <si>
    <t xml:space="preserve"> 广 州 易 站 跨 境 电 商 有 限 公 司
   GUANGZHOU E-STATION INTERNATIONAL LOGISTICS LIMITED</t>
  </si>
  <si>
    <r>
      <rPr>
        <sz val="11"/>
        <rFont val="宋体"/>
        <charset val="134"/>
      </rPr>
      <t>财务：Martin   电话：020-31234423</t>
    </r>
  </si>
  <si>
    <r>
      <rPr>
        <sz val="11"/>
        <rFont val="宋体"/>
        <charset val="134"/>
      </rPr>
      <t>公司地址：广州市白云区云城东路565号云璟汇1号楼1915房</t>
    </r>
  </si>
  <si>
    <t>对账单</t>
  </si>
  <si>
    <r>
      <rPr>
        <sz val="11"/>
        <rFont val="宋体"/>
        <charset val="134"/>
      </rPr>
      <t>客户：</t>
    </r>
  </si>
  <si>
    <r>
      <rPr>
        <sz val="11"/>
        <rFont val="宋体"/>
        <charset val="134"/>
      </rPr>
      <t>瞄瞄货运</t>
    </r>
  </si>
  <si>
    <t>日期</t>
  </si>
  <si>
    <t>摘要/品名</t>
  </si>
  <si>
    <t>提单号</t>
  </si>
  <si>
    <t>件数</t>
  </si>
  <si>
    <t>kg</t>
  </si>
  <si>
    <t>单价</t>
  </si>
  <si>
    <t>其他</t>
  </si>
  <si>
    <t>金额</t>
  </si>
  <si>
    <t>备注</t>
  </si>
  <si>
    <t>空运费+地勤费+报关费</t>
  </si>
  <si>
    <t>071-34213550</t>
  </si>
  <si>
    <t>JOB050079
JOB050080</t>
  </si>
  <si>
    <t>071-34209254</t>
  </si>
  <si>
    <t>071-34209232</t>
  </si>
  <si>
    <t>071-34201576</t>
  </si>
  <si>
    <t>071-34210536</t>
  </si>
  <si>
    <t>071-34210525</t>
  </si>
  <si>
    <t>071-34201602</t>
  </si>
  <si>
    <t>071-34000455</t>
  </si>
  <si>
    <t>071-34414483</t>
  </si>
  <si>
    <t>071-34414516</t>
  </si>
  <si>
    <t>071-34414531</t>
  </si>
  <si>
    <t>JOB050112
JOB050118</t>
  </si>
  <si>
    <t>071-34417950</t>
  </si>
  <si>
    <t>071-34418005</t>
  </si>
  <si>
    <t>合计</t>
  </si>
  <si>
    <t>支付：易站运费清单</t>
  </si>
  <si>
    <t>支付：易站清单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</si>
</sst>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/mm/dd;@"/>
    <numFmt numFmtId="177" formatCode="&quot;￥&quot;#,##0.00_);[Red]\(&quot;￥&quot;#,##0.00\)"/>
    <numFmt numFmtId="178" formatCode="&quot;JOB&quot;000000"/>
  </numFmts>
  <fonts count="37">
    <font>
      <sz val="10"/>
      <color rgb="FF000000"/>
      <name val="Times New Roman"/>
      <charset val="204"/>
    </font>
    <font>
      <sz val="9"/>
      <color rgb="FF000000"/>
      <name val="Times New Roman"/>
      <charset val="204"/>
    </font>
    <font>
      <sz val="11"/>
      <color rgb="FF000000"/>
      <name val="Times New Roman"/>
      <charset val="204"/>
    </font>
    <font>
      <sz val="16"/>
      <color rgb="FF000000"/>
      <name val="宋体"/>
      <charset val="204"/>
    </font>
    <font>
      <sz val="16"/>
      <color rgb="FF000000"/>
      <name val="Times New Roman"/>
      <charset val="204"/>
    </font>
    <font>
      <sz val="9"/>
      <name val="宋体"/>
      <charset val="134"/>
    </font>
    <font>
      <sz val="9"/>
      <name val="Microsoft JhengHei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sz val="11"/>
      <name val="宋体"/>
      <charset val="134"/>
    </font>
    <font>
      <b/>
      <sz val="10"/>
      <name val="Times New Roman"/>
      <charset val="134"/>
    </font>
    <font>
      <sz val="11"/>
      <name val="Times New Roman"/>
      <charset val="134"/>
    </font>
    <font>
      <sz val="14"/>
      <name val="宋体"/>
      <charset val="134"/>
    </font>
    <font>
      <sz val="14"/>
      <color rgb="FF000000"/>
      <name val="Times New Roman"/>
      <charset val="204"/>
    </font>
    <font>
      <sz val="12"/>
      <name val="宋体"/>
      <charset val="134"/>
    </font>
    <font>
      <sz val="12"/>
      <name val="Times New Roman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7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2" fillId="10" borderId="8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14" borderId="11" applyNumberFormat="0" applyFon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3" fillId="13" borderId="13" applyNumberFormat="0" applyAlignment="0" applyProtection="0">
      <alignment vertical="center"/>
    </xf>
    <xf numFmtId="0" fontId="28" fillId="13" borderId="8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</cellStyleXfs>
  <cellXfs count="8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shrinkToFit="1"/>
    </xf>
    <xf numFmtId="2" fontId="7" fillId="0" borderId="1" xfId="0" applyNumberFormat="1" applyFont="1" applyFill="1" applyBorder="1" applyAlignment="1">
      <alignment horizontal="center" vertical="center" shrinkToFi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shrinkToFi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shrinkToFit="1"/>
    </xf>
    <xf numFmtId="1" fontId="7" fillId="0" borderId="1" xfId="0" applyNumberFormat="1" applyFont="1" applyFill="1" applyBorder="1" applyAlignment="1">
      <alignment horizontal="center" vertical="center" shrinkToFit="1"/>
    </xf>
    <xf numFmtId="2" fontId="7" fillId="0" borderId="1" xfId="0" applyNumberFormat="1" applyFont="1" applyFill="1" applyBorder="1" applyAlignment="1">
      <alignment horizontal="center" vertical="center" shrinkToFi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shrinkToFit="1"/>
    </xf>
    <xf numFmtId="177" fontId="11" fillId="0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shrinkToFit="1"/>
    </xf>
    <xf numFmtId="1" fontId="7" fillId="0" borderId="5" xfId="0" applyNumberFormat="1" applyFont="1" applyFill="1" applyBorder="1" applyAlignment="1">
      <alignment horizontal="center" vertical="center" shrinkToFit="1"/>
    </xf>
    <xf numFmtId="2" fontId="7" fillId="0" borderId="5" xfId="0" applyNumberFormat="1" applyFont="1" applyFill="1" applyBorder="1" applyAlignment="1">
      <alignment horizontal="center" vertical="center" shrinkToFit="1"/>
    </xf>
    <xf numFmtId="177" fontId="7" fillId="0" borderId="5" xfId="0" applyNumberFormat="1" applyFont="1" applyFill="1" applyBorder="1" applyAlignment="1">
      <alignment horizontal="center" vertical="center" shrinkToFi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178" fontId="1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1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shrinkToFit="1"/>
    </xf>
    <xf numFmtId="1" fontId="16" fillId="0" borderId="1" xfId="0" applyNumberFormat="1" applyFont="1" applyFill="1" applyBorder="1" applyAlignment="1">
      <alignment horizontal="center" vertical="center" shrinkToFit="1"/>
    </xf>
    <xf numFmtId="2" fontId="16" fillId="0" borderId="1" xfId="0" applyNumberFormat="1" applyFont="1" applyFill="1" applyBorder="1" applyAlignment="1">
      <alignment horizontal="center" vertical="center" shrinkToFit="1"/>
    </xf>
    <xf numFmtId="177" fontId="16" fillId="0" borderId="1" xfId="0" applyNumberFormat="1" applyFont="1" applyFill="1" applyBorder="1" applyAlignment="1">
      <alignment horizontal="center" vertical="center" shrinkToFi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F12" sqref="F12"/>
    </sheetView>
  </sheetViews>
  <sheetFormatPr defaultColWidth="9" defaultRowHeight="15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ht="45" customHeight="1" spans="1:9">
      <c r="A1" s="52" t="s">
        <v>0</v>
      </c>
      <c r="B1" s="53"/>
      <c r="C1" s="53"/>
      <c r="D1" s="53"/>
      <c r="E1" s="53"/>
      <c r="F1" s="53"/>
      <c r="G1" s="53"/>
      <c r="H1" s="53"/>
      <c r="I1" s="53"/>
    </row>
    <row r="2" ht="17.25" customHeight="1" spans="1:9">
      <c r="A2" s="63" t="s">
        <v>1</v>
      </c>
      <c r="B2" s="63"/>
      <c r="C2" s="63"/>
      <c r="D2" s="63"/>
      <c r="E2" s="63"/>
      <c r="F2" s="63"/>
      <c r="G2" s="63"/>
      <c r="H2" s="63"/>
      <c r="I2" s="80"/>
    </row>
    <row r="3" ht="17.25" customHeight="1" spans="1:9">
      <c r="A3" s="63" t="s">
        <v>2</v>
      </c>
      <c r="B3" s="63"/>
      <c r="C3" s="63"/>
      <c r="D3" s="63"/>
      <c r="E3" s="63"/>
      <c r="F3" s="63"/>
      <c r="G3" s="63"/>
      <c r="H3" s="63"/>
      <c r="I3" s="80"/>
    </row>
    <row r="4" ht="18" customHeight="1" spans="1:9">
      <c r="A4" s="55" t="s">
        <v>3</v>
      </c>
      <c r="B4" s="55"/>
      <c r="C4" s="55"/>
      <c r="D4" s="55"/>
      <c r="E4" s="55"/>
      <c r="F4" s="55"/>
      <c r="G4" s="55"/>
      <c r="H4" s="55"/>
      <c r="I4" s="81"/>
    </row>
    <row r="5" ht="17.25" customHeight="1" spans="1:9">
      <c r="A5" s="64" t="s">
        <v>4</v>
      </c>
      <c r="B5" s="65" t="s">
        <v>5</v>
      </c>
      <c r="C5" s="59"/>
      <c r="D5" s="59"/>
      <c r="E5" s="59"/>
      <c r="F5" s="59"/>
      <c r="G5" s="59"/>
      <c r="H5" s="59"/>
      <c r="I5" s="62"/>
    </row>
    <row r="6" s="22" customFormat="1" ht="21" customHeight="1" spans="1:9">
      <c r="A6" s="66" t="s">
        <v>6</v>
      </c>
      <c r="B6" s="66" t="s">
        <v>7</v>
      </c>
      <c r="C6" s="66" t="s">
        <v>8</v>
      </c>
      <c r="D6" s="66" t="s">
        <v>9</v>
      </c>
      <c r="E6" s="67" t="s">
        <v>10</v>
      </c>
      <c r="F6" s="66" t="s">
        <v>11</v>
      </c>
      <c r="G6" s="66" t="s">
        <v>12</v>
      </c>
      <c r="H6" s="66" t="s">
        <v>13</v>
      </c>
      <c r="I6" s="82" t="s">
        <v>14</v>
      </c>
    </row>
    <row r="7" s="22" customFormat="1" ht="29" customHeight="1" spans="1:9">
      <c r="A7" s="68">
        <v>43597</v>
      </c>
      <c r="B7" s="23" t="s">
        <v>15</v>
      </c>
      <c r="C7" s="23" t="s">
        <v>16</v>
      </c>
      <c r="D7" s="69">
        <v>17</v>
      </c>
      <c r="E7" s="69">
        <v>2282</v>
      </c>
      <c r="F7" s="70">
        <v>23.5</v>
      </c>
      <c r="G7" s="71">
        <v>250</v>
      </c>
      <c r="H7" s="72">
        <v>53877</v>
      </c>
      <c r="I7" s="36" t="s">
        <v>17</v>
      </c>
    </row>
    <row r="8" s="22" customFormat="1" ht="29" customHeight="1" spans="1:9">
      <c r="A8" s="68">
        <v>43592</v>
      </c>
      <c r="B8" s="23" t="s">
        <v>15</v>
      </c>
      <c r="C8" s="23" t="s">
        <v>18</v>
      </c>
      <c r="D8" s="69">
        <v>15</v>
      </c>
      <c r="E8" s="69">
        <v>911</v>
      </c>
      <c r="F8" s="70">
        <v>24.5</v>
      </c>
      <c r="G8" s="71">
        <v>3960</v>
      </c>
      <c r="H8" s="72">
        <v>26279.5</v>
      </c>
      <c r="I8" s="36">
        <v>50066</v>
      </c>
    </row>
    <row r="9" s="22" customFormat="1" ht="29" customHeight="1" spans="1:9">
      <c r="A9" s="68">
        <v>43592</v>
      </c>
      <c r="B9" s="23" t="s">
        <v>15</v>
      </c>
      <c r="C9" s="23" t="s">
        <v>19</v>
      </c>
      <c r="D9" s="69">
        <v>36</v>
      </c>
      <c r="E9" s="69">
        <v>1929</v>
      </c>
      <c r="F9" s="70">
        <v>23.5</v>
      </c>
      <c r="G9" s="28"/>
      <c r="H9" s="72">
        <v>45331.5</v>
      </c>
      <c r="I9" s="36">
        <v>50070</v>
      </c>
    </row>
    <row r="10" s="22" customFormat="1" ht="29" customHeight="1" spans="1:9">
      <c r="A10" s="68">
        <v>43601</v>
      </c>
      <c r="B10" s="23" t="s">
        <v>15</v>
      </c>
      <c r="C10" s="23" t="s">
        <v>20</v>
      </c>
      <c r="D10" s="69">
        <v>8</v>
      </c>
      <c r="E10" s="69">
        <v>1431</v>
      </c>
      <c r="F10" s="70">
        <v>23.5</v>
      </c>
      <c r="G10" s="28"/>
      <c r="H10" s="72">
        <v>33628.5</v>
      </c>
      <c r="I10" s="36">
        <v>50087</v>
      </c>
    </row>
    <row r="11" s="22" customFormat="1" ht="29" customHeight="1" spans="1:9">
      <c r="A11" s="68">
        <v>43601</v>
      </c>
      <c r="B11" s="23" t="s">
        <v>15</v>
      </c>
      <c r="C11" s="23" t="s">
        <v>21</v>
      </c>
      <c r="D11" s="69">
        <v>18</v>
      </c>
      <c r="E11" s="69">
        <v>1425</v>
      </c>
      <c r="F11" s="70">
        <v>23.5</v>
      </c>
      <c r="G11" s="28"/>
      <c r="H11" s="72">
        <v>33487.5</v>
      </c>
      <c r="I11" s="36">
        <v>50090</v>
      </c>
    </row>
    <row r="12" s="22" customFormat="1" ht="29" customHeight="1" spans="1:9">
      <c r="A12" s="68">
        <v>43601</v>
      </c>
      <c r="B12" s="23" t="s">
        <v>15</v>
      </c>
      <c r="C12" s="23" t="s">
        <v>22</v>
      </c>
      <c r="D12" s="69">
        <v>10</v>
      </c>
      <c r="E12" s="69">
        <v>1437</v>
      </c>
      <c r="F12" s="70">
        <v>23.5</v>
      </c>
      <c r="G12" s="28"/>
      <c r="H12" s="72">
        <v>33769.5</v>
      </c>
      <c r="I12" s="36">
        <v>50089</v>
      </c>
    </row>
    <row r="13" s="22" customFormat="1" ht="29" customHeight="1" spans="1:9">
      <c r="A13" s="68">
        <v>43602</v>
      </c>
      <c r="B13" s="23" t="s">
        <v>15</v>
      </c>
      <c r="C13" s="23" t="s">
        <v>23</v>
      </c>
      <c r="D13" s="69">
        <v>32</v>
      </c>
      <c r="E13" s="69">
        <v>1623</v>
      </c>
      <c r="F13" s="70">
        <v>24.5</v>
      </c>
      <c r="G13" s="71">
        <v>250</v>
      </c>
      <c r="H13" s="72">
        <v>40013.5</v>
      </c>
      <c r="I13" s="36">
        <v>50088</v>
      </c>
    </row>
    <row r="14" s="22" customFormat="1" ht="29" customHeight="1" spans="1:9">
      <c r="A14" s="68">
        <v>43602</v>
      </c>
      <c r="B14" s="23" t="s">
        <v>15</v>
      </c>
      <c r="C14" s="23" t="s">
        <v>24</v>
      </c>
      <c r="D14" s="69">
        <v>8</v>
      </c>
      <c r="E14" s="69">
        <v>1384</v>
      </c>
      <c r="F14" s="70">
        <v>23.5</v>
      </c>
      <c r="G14" s="28"/>
      <c r="H14" s="72">
        <v>32524</v>
      </c>
      <c r="I14" s="36">
        <v>50086</v>
      </c>
    </row>
    <row r="15" s="22" customFormat="1" ht="29" customHeight="1" spans="1:9">
      <c r="A15" s="68">
        <v>43606</v>
      </c>
      <c r="B15" s="23" t="s">
        <v>15</v>
      </c>
      <c r="C15" s="23" t="s">
        <v>25</v>
      </c>
      <c r="D15" s="69">
        <v>27</v>
      </c>
      <c r="E15" s="69">
        <v>1512</v>
      </c>
      <c r="F15" s="70">
        <v>24.8</v>
      </c>
      <c r="G15" s="28"/>
      <c r="H15" s="72">
        <v>37497.6</v>
      </c>
      <c r="I15" s="36">
        <v>50101</v>
      </c>
    </row>
    <row r="16" s="22" customFormat="1" ht="29" customHeight="1" spans="1:9">
      <c r="A16" s="68">
        <v>43610</v>
      </c>
      <c r="B16" s="23" t="s">
        <v>15</v>
      </c>
      <c r="C16" s="23" t="s">
        <v>26</v>
      </c>
      <c r="D16" s="69">
        <v>9</v>
      </c>
      <c r="E16" s="69">
        <v>579</v>
      </c>
      <c r="F16" s="70">
        <v>24.8</v>
      </c>
      <c r="G16" s="28"/>
      <c r="H16" s="72">
        <v>14359.2</v>
      </c>
      <c r="I16" s="36">
        <v>50110</v>
      </c>
    </row>
    <row r="17" s="22" customFormat="1" ht="29" customHeight="1" spans="1:9">
      <c r="A17" s="68">
        <v>43611</v>
      </c>
      <c r="B17" s="23" t="s">
        <v>15</v>
      </c>
      <c r="C17" s="23" t="s">
        <v>27</v>
      </c>
      <c r="D17" s="69">
        <v>17</v>
      </c>
      <c r="E17" s="69">
        <v>836</v>
      </c>
      <c r="F17" s="70">
        <v>24.8</v>
      </c>
      <c r="G17" s="71">
        <v>250</v>
      </c>
      <c r="H17" s="72">
        <v>20982.8</v>
      </c>
      <c r="I17" s="36" t="s">
        <v>28</v>
      </c>
    </row>
    <row r="18" s="22" customFormat="1" ht="29" customHeight="1" spans="1:9">
      <c r="A18" s="68">
        <v>43614</v>
      </c>
      <c r="B18" s="23" t="s">
        <v>15</v>
      </c>
      <c r="C18" s="23" t="s">
        <v>29</v>
      </c>
      <c r="D18" s="69">
        <v>22</v>
      </c>
      <c r="E18" s="69">
        <v>1284</v>
      </c>
      <c r="F18" s="70">
        <v>26</v>
      </c>
      <c r="G18" s="28"/>
      <c r="H18" s="72">
        <v>33384</v>
      </c>
      <c r="I18" s="36">
        <v>50125</v>
      </c>
    </row>
    <row r="19" s="22" customFormat="1" ht="29" customHeight="1" spans="1:9">
      <c r="A19" s="68">
        <v>43616</v>
      </c>
      <c r="B19" s="23" t="s">
        <v>15</v>
      </c>
      <c r="C19" s="23" t="s">
        <v>30</v>
      </c>
      <c r="D19" s="69">
        <v>22</v>
      </c>
      <c r="E19" s="69">
        <v>1545</v>
      </c>
      <c r="F19" s="70">
        <v>26</v>
      </c>
      <c r="G19" s="28"/>
      <c r="H19" s="72">
        <v>40170</v>
      </c>
      <c r="I19" s="36">
        <v>50132</v>
      </c>
    </row>
    <row r="20" s="22" customFormat="1" ht="29" customHeight="1" spans="1:9">
      <c r="A20" s="73" t="s">
        <v>31</v>
      </c>
      <c r="B20" s="74"/>
      <c r="C20" s="75"/>
      <c r="D20" s="76"/>
      <c r="E20" s="77">
        <v>21095</v>
      </c>
      <c r="F20" s="78"/>
      <c r="G20" s="78"/>
      <c r="H20" s="79">
        <f>SUM(H7:H19)</f>
        <v>445304.6</v>
      </c>
      <c r="I20" s="83"/>
    </row>
    <row r="21" ht="59" customHeight="1"/>
  </sheetData>
  <mergeCells count="5">
    <mergeCell ref="A1:I1"/>
    <mergeCell ref="A2:I2"/>
    <mergeCell ref="A3:I3"/>
    <mergeCell ref="A4:I4"/>
    <mergeCell ref="A20:C20"/>
  </mergeCells>
  <pageMargins left="0.354166666666667" right="0.156944444444444" top="0.196527777777778" bottom="0.751388888888889" header="0.118055555555556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H8" sqref="H8"/>
    </sheetView>
  </sheetViews>
  <sheetFormatPr defaultColWidth="9" defaultRowHeight="15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ht="45" customHeight="1" spans="1:9">
      <c r="A1" s="52" t="s">
        <v>0</v>
      </c>
      <c r="B1" s="53"/>
      <c r="C1" s="53"/>
      <c r="D1" s="53"/>
      <c r="E1" s="53"/>
      <c r="F1" s="53"/>
      <c r="G1" s="53"/>
      <c r="H1" s="53"/>
      <c r="I1" s="53"/>
    </row>
    <row r="2" ht="17.25" customHeight="1" spans="1:9">
      <c r="A2" s="54" t="s">
        <v>1</v>
      </c>
      <c r="B2" s="54"/>
      <c r="C2" s="54"/>
      <c r="D2" s="54"/>
      <c r="E2" s="54"/>
      <c r="F2" s="54"/>
      <c r="G2" s="54"/>
      <c r="H2" s="54"/>
      <c r="I2" s="60"/>
    </row>
    <row r="3" ht="17.25" customHeight="1" spans="1:9">
      <c r="A3" s="54" t="s">
        <v>2</v>
      </c>
      <c r="B3" s="54"/>
      <c r="C3" s="54"/>
      <c r="D3" s="54"/>
      <c r="E3" s="54"/>
      <c r="F3" s="54"/>
      <c r="G3" s="54"/>
      <c r="H3" s="54"/>
      <c r="I3" s="60"/>
    </row>
    <row r="4" ht="18" customHeight="1" spans="1:9">
      <c r="A4" s="55" t="s">
        <v>3</v>
      </c>
      <c r="B4" s="56"/>
      <c r="C4" s="56"/>
      <c r="D4" s="56"/>
      <c r="E4" s="56"/>
      <c r="F4" s="56"/>
      <c r="G4" s="56"/>
      <c r="H4" s="56"/>
      <c r="I4" s="61"/>
    </row>
    <row r="5" ht="17.25" customHeight="1" spans="1:9">
      <c r="A5" s="57" t="s">
        <v>4</v>
      </c>
      <c r="B5" s="58" t="s">
        <v>5</v>
      </c>
      <c r="C5" s="59"/>
      <c r="D5" s="59"/>
      <c r="E5" s="59"/>
      <c r="F5" s="59"/>
      <c r="G5" s="59"/>
      <c r="H5" s="59"/>
      <c r="I5" s="62"/>
    </row>
    <row r="6" s="22" customFormat="1" ht="47" customHeight="1" spans="1:9">
      <c r="A6" s="23" t="s">
        <v>6</v>
      </c>
      <c r="B6" s="23" t="s">
        <v>7</v>
      </c>
      <c r="C6" s="23" t="s">
        <v>8</v>
      </c>
      <c r="D6" s="23" t="s">
        <v>9</v>
      </c>
      <c r="E6" s="24" t="s">
        <v>10</v>
      </c>
      <c r="F6" s="23" t="s">
        <v>11</v>
      </c>
      <c r="G6" s="23" t="s">
        <v>12</v>
      </c>
      <c r="H6" s="23" t="s">
        <v>13</v>
      </c>
      <c r="I6" s="35" t="s">
        <v>14</v>
      </c>
    </row>
    <row r="7" s="22" customFormat="1" ht="47" customHeight="1" spans="1:9">
      <c r="A7" s="25">
        <v>43597</v>
      </c>
      <c r="B7" s="23" t="s">
        <v>15</v>
      </c>
      <c r="C7" s="23" t="s">
        <v>16</v>
      </c>
      <c r="D7" s="26">
        <v>17</v>
      </c>
      <c r="E7" s="26">
        <v>2282</v>
      </c>
      <c r="F7" s="27">
        <v>23.5</v>
      </c>
      <c r="G7" s="37">
        <v>250</v>
      </c>
      <c r="H7" s="38">
        <v>53877</v>
      </c>
      <c r="I7" s="36" t="s">
        <v>17</v>
      </c>
    </row>
    <row r="8" s="22" customFormat="1" ht="47" customHeight="1" spans="1:9">
      <c r="A8" s="30" t="s">
        <v>31</v>
      </c>
      <c r="B8" s="31"/>
      <c r="C8" s="32"/>
      <c r="D8" s="33"/>
      <c r="E8" s="26">
        <v>21095</v>
      </c>
      <c r="F8" s="33"/>
      <c r="G8" s="33"/>
      <c r="H8" s="38">
        <f>SUM(H7:H7)</f>
        <v>53877</v>
      </c>
      <c r="I8" s="23"/>
    </row>
    <row r="9" ht="59" customHeight="1"/>
  </sheetData>
  <mergeCells count="5">
    <mergeCell ref="A1:I1"/>
    <mergeCell ref="A2:I2"/>
    <mergeCell ref="A3:I3"/>
    <mergeCell ref="A4:I4"/>
    <mergeCell ref="A8:C8"/>
  </mergeCells>
  <pageMargins left="0.354166666666667" right="0.156944444444444" top="0.196527777777778" bottom="0.751388888888889" header="0.118055555555556" footer="0.298611111111111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H4" sqref="H4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5.4222222222222" customWidth="1"/>
    <col min="9" max="9" width="13.6666666666667" style="2" customWidth="1"/>
  </cols>
  <sheetData>
    <row r="1" ht="45" customHeight="1" spans="1:9">
      <c r="A1" s="50" t="s">
        <v>32</v>
      </c>
      <c r="B1" s="51"/>
      <c r="C1" s="51"/>
      <c r="D1" s="51"/>
      <c r="E1" s="51"/>
      <c r="F1" s="51"/>
      <c r="G1" s="51"/>
      <c r="H1" s="51"/>
      <c r="I1" s="51"/>
    </row>
    <row r="2" s="22" customFormat="1" ht="65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65" customHeight="1" spans="1:9">
      <c r="A3" s="25">
        <v>43592</v>
      </c>
      <c r="B3" s="23" t="s">
        <v>15</v>
      </c>
      <c r="C3" s="23" t="s">
        <v>18</v>
      </c>
      <c r="D3" s="26">
        <v>15</v>
      </c>
      <c r="E3" s="26">
        <v>911</v>
      </c>
      <c r="F3" s="27">
        <v>24.5</v>
      </c>
      <c r="G3" s="37">
        <v>3960</v>
      </c>
      <c r="H3" s="29">
        <v>26279.5</v>
      </c>
      <c r="I3" s="36">
        <v>50066</v>
      </c>
    </row>
    <row r="4" s="22" customFormat="1" ht="65" customHeight="1" spans="1:9">
      <c r="A4" s="30" t="s">
        <v>31</v>
      </c>
      <c r="B4" s="31"/>
      <c r="C4" s="32"/>
      <c r="D4" s="33"/>
      <c r="E4" s="26">
        <v>21095</v>
      </c>
      <c r="F4" s="33"/>
      <c r="G4" s="33"/>
      <c r="H4" s="29">
        <f>SUM(H3:H3)</f>
        <v>26279.5</v>
      </c>
      <c r="I4" s="23"/>
    </row>
    <row r="5" ht="59" customHeight="1"/>
  </sheetData>
  <mergeCells count="2">
    <mergeCell ref="A1:I1"/>
    <mergeCell ref="A4:C4"/>
  </mergeCells>
  <pageMargins left="0.354166666666667" right="0.156944444444444" top="0.432638888888889" bottom="0.751388888888889" header="0.118055555555556" footer="0.298611111111111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48" customHeight="1" spans="1:9">
      <c r="A2" s="39" t="s">
        <v>6</v>
      </c>
      <c r="B2" s="39" t="s">
        <v>7</v>
      </c>
      <c r="C2" s="39" t="s">
        <v>8</v>
      </c>
      <c r="D2" s="39" t="s">
        <v>9</v>
      </c>
      <c r="E2" s="40" t="s">
        <v>10</v>
      </c>
      <c r="F2" s="39" t="s">
        <v>11</v>
      </c>
      <c r="G2" s="39" t="s">
        <v>12</v>
      </c>
      <c r="H2" s="39" t="s">
        <v>13</v>
      </c>
      <c r="I2" s="48" t="s">
        <v>14</v>
      </c>
    </row>
    <row r="3" s="22" customFormat="1" ht="48" customHeight="1" spans="1:9">
      <c r="A3" s="41">
        <v>43611</v>
      </c>
      <c r="B3" s="39" t="s">
        <v>15</v>
      </c>
      <c r="C3" s="39" t="s">
        <v>27</v>
      </c>
      <c r="D3" s="42">
        <v>17</v>
      </c>
      <c r="E3" s="42">
        <v>836</v>
      </c>
      <c r="F3" s="43">
        <v>24.8</v>
      </c>
      <c r="G3" s="44">
        <v>250</v>
      </c>
      <c r="H3" s="45">
        <v>20982.8</v>
      </c>
      <c r="I3" s="49" t="s">
        <v>28</v>
      </c>
    </row>
    <row r="4" s="22" customFormat="1" ht="48" customHeight="1" spans="1:9">
      <c r="A4" s="39" t="s">
        <v>31</v>
      </c>
      <c r="B4" s="46"/>
      <c r="C4" s="46"/>
      <c r="D4" s="47"/>
      <c r="E4" s="42"/>
      <c r="F4" s="47"/>
      <c r="G4" s="47"/>
      <c r="H4" s="45">
        <f>SUM(H3:H3)</f>
        <v>20982.8</v>
      </c>
      <c r="I4" s="39"/>
    </row>
    <row r="5" ht="59" customHeight="1"/>
  </sheetData>
  <mergeCells count="2">
    <mergeCell ref="A1:I1"/>
    <mergeCell ref="A4:C4"/>
  </mergeCells>
  <pageMargins left="0.354166666666667" right="0.156944444444444" top="0.747916666666667" bottom="0.751388888888889" header="0.118055555555556" footer="0.298611111111111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48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48" customHeight="1" spans="1:9">
      <c r="A3" s="25">
        <v>43601</v>
      </c>
      <c r="B3" s="23" t="s">
        <v>15</v>
      </c>
      <c r="C3" s="23" t="s">
        <v>22</v>
      </c>
      <c r="D3" s="26">
        <v>10</v>
      </c>
      <c r="E3" s="26">
        <v>1437</v>
      </c>
      <c r="F3" s="27">
        <v>23.5</v>
      </c>
      <c r="G3" s="28"/>
      <c r="H3" s="29">
        <v>33769.5</v>
      </c>
      <c r="I3" s="36">
        <v>50089</v>
      </c>
    </row>
    <row r="4" s="22" customFormat="1" ht="48" customHeight="1" spans="1:9">
      <c r="A4" s="30" t="s">
        <v>31</v>
      </c>
      <c r="B4" s="31"/>
      <c r="C4" s="32"/>
      <c r="D4" s="33"/>
      <c r="E4" s="26">
        <v>21095</v>
      </c>
      <c r="F4" s="33"/>
      <c r="G4" s="33"/>
      <c r="H4" s="29">
        <f>SUM(H3:H3)</f>
        <v>33769.5</v>
      </c>
      <c r="I4" s="23"/>
    </row>
    <row r="5" ht="59" customHeight="1"/>
  </sheetData>
  <mergeCells count="2">
    <mergeCell ref="A1:I1"/>
    <mergeCell ref="A4:C4"/>
  </mergeCells>
  <pageMargins left="0.354166666666667" right="0.156944444444444" top="0.747916666666667" bottom="0.751388888888889" header="0.118055555555556" footer="0.298611111111111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51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51" customHeight="1" spans="1:9">
      <c r="A3" s="25">
        <v>43610</v>
      </c>
      <c r="B3" s="23" t="s">
        <v>15</v>
      </c>
      <c r="C3" s="23" t="s">
        <v>26</v>
      </c>
      <c r="D3" s="26">
        <v>9</v>
      </c>
      <c r="E3" s="26">
        <v>579</v>
      </c>
      <c r="F3" s="27">
        <v>24.8</v>
      </c>
      <c r="G3" s="28"/>
      <c r="H3" s="29">
        <v>14359.2</v>
      </c>
      <c r="I3" s="36">
        <v>50110</v>
      </c>
    </row>
    <row r="4" s="22" customFormat="1" ht="51" customHeight="1" spans="1:9">
      <c r="A4" s="30" t="s">
        <v>31</v>
      </c>
      <c r="B4" s="31"/>
      <c r="C4" s="32"/>
      <c r="D4" s="33"/>
      <c r="E4" s="26">
        <v>21095</v>
      </c>
      <c r="F4" s="33"/>
      <c r="G4" s="33"/>
      <c r="H4" s="29">
        <f>SUM(H3:H3)</f>
        <v>14359.2</v>
      </c>
      <c r="I4" s="23"/>
    </row>
    <row r="5" ht="59" customHeight="1"/>
  </sheetData>
  <mergeCells count="2">
    <mergeCell ref="A1:I1"/>
    <mergeCell ref="A4:C4"/>
  </mergeCells>
  <pageMargins left="0.354166666666667" right="0.156944444444444" top="0.708333333333333" bottom="0.751388888888889" header="0.118055555555556" footer="0.298611111111111"/>
  <pageSetup paperSize="9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0.6666666666667" customWidth="1"/>
    <col min="8" max="8" width="17.8333333333333" customWidth="1"/>
    <col min="9" max="9" width="13.6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44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44" customHeight="1" spans="1:9">
      <c r="A3" s="25">
        <v>43601</v>
      </c>
      <c r="B3" s="23" t="s">
        <v>15</v>
      </c>
      <c r="C3" s="23" t="s">
        <v>20</v>
      </c>
      <c r="D3" s="26">
        <v>8</v>
      </c>
      <c r="E3" s="26">
        <v>1431</v>
      </c>
      <c r="F3" s="27">
        <v>23.5</v>
      </c>
      <c r="G3" s="28"/>
      <c r="H3" s="29">
        <v>33628.5</v>
      </c>
      <c r="I3" s="36">
        <v>50087</v>
      </c>
    </row>
    <row r="4" s="22" customFormat="1" ht="44" customHeight="1" spans="1:9">
      <c r="A4" s="30" t="s">
        <v>31</v>
      </c>
      <c r="B4" s="31"/>
      <c r="C4" s="32"/>
      <c r="D4" s="33"/>
      <c r="E4" s="26">
        <v>21095</v>
      </c>
      <c r="F4" s="33"/>
      <c r="G4" s="33"/>
      <c r="H4" s="29">
        <f>SUM(H3:H3)</f>
        <v>33628.5</v>
      </c>
      <c r="I4" s="23"/>
    </row>
    <row r="5" ht="59" customHeight="1"/>
  </sheetData>
  <mergeCells count="2">
    <mergeCell ref="A1:I1"/>
    <mergeCell ref="A4:C4"/>
  </mergeCells>
  <pageMargins left="0.354166666666667" right="0.156944444444444" top="0.432638888888889" bottom="0.751388888888889" header="0.118055555555556" footer="0.298611111111111"/>
  <pageSetup paperSize="9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54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54" customHeight="1" spans="1:9">
      <c r="A3" s="25">
        <v>43601</v>
      </c>
      <c r="B3" s="23" t="s">
        <v>15</v>
      </c>
      <c r="C3" s="23" t="s">
        <v>21</v>
      </c>
      <c r="D3" s="26">
        <v>18</v>
      </c>
      <c r="E3" s="26">
        <v>1425</v>
      </c>
      <c r="F3" s="27">
        <v>23.5</v>
      </c>
      <c r="G3" s="28"/>
      <c r="H3" s="29">
        <v>33487.5</v>
      </c>
      <c r="I3" s="36">
        <v>50090</v>
      </c>
    </row>
    <row r="4" s="22" customFormat="1" ht="54" customHeight="1" spans="1:9">
      <c r="A4" s="30" t="s">
        <v>31</v>
      </c>
      <c r="B4" s="31"/>
      <c r="C4" s="32"/>
      <c r="D4" s="33"/>
      <c r="E4" s="26">
        <v>21095</v>
      </c>
      <c r="F4" s="33"/>
      <c r="G4" s="33"/>
      <c r="H4" s="29">
        <f>SUM(H3:H3)</f>
        <v>33487.5</v>
      </c>
      <c r="I4" s="23"/>
    </row>
    <row r="5" ht="59" customHeight="1"/>
  </sheetData>
  <mergeCells count="2">
    <mergeCell ref="A1:I1"/>
    <mergeCell ref="A4:C4"/>
  </mergeCells>
  <pageMargins left="0.354166666666667" right="0.156944444444444" top="0.472222222222222" bottom="0.751388888888889" header="0.118055555555556" footer="0.298611111111111"/>
  <pageSetup paperSize="9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$A1:$XFD1"/>
    </sheetView>
  </sheetViews>
  <sheetFormatPr defaultColWidth="9" defaultRowHeight="15" outlineLevelRow="5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1.3666666666667" customWidth="1"/>
    <col min="8" max="8" width="17.8333333333333" customWidth="1"/>
    <col min="9" max="9" width="13.6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48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48" customHeight="1" spans="1:9">
      <c r="A3" s="25">
        <v>43592</v>
      </c>
      <c r="B3" s="23" t="s">
        <v>15</v>
      </c>
      <c r="C3" s="23" t="s">
        <v>19</v>
      </c>
      <c r="D3" s="26">
        <v>36</v>
      </c>
      <c r="E3" s="26">
        <v>1929</v>
      </c>
      <c r="F3" s="27">
        <v>23.5</v>
      </c>
      <c r="G3" s="28"/>
      <c r="H3" s="29">
        <v>45331.5</v>
      </c>
      <c r="I3" s="36">
        <v>50070</v>
      </c>
    </row>
    <row r="4" s="22" customFormat="1" ht="48" customHeight="1" spans="1:9">
      <c r="A4" s="25">
        <v>43602</v>
      </c>
      <c r="B4" s="23" t="s">
        <v>15</v>
      </c>
      <c r="C4" s="23" t="s">
        <v>23</v>
      </c>
      <c r="D4" s="26">
        <v>32</v>
      </c>
      <c r="E4" s="26">
        <v>1623</v>
      </c>
      <c r="F4" s="27">
        <v>24.5</v>
      </c>
      <c r="G4" s="37">
        <v>250</v>
      </c>
      <c r="H4" s="29">
        <v>40013.5</v>
      </c>
      <c r="I4" s="36">
        <v>50088</v>
      </c>
    </row>
    <row r="5" s="22" customFormat="1" ht="48" customHeight="1" spans="1:9">
      <c r="A5" s="30" t="s">
        <v>31</v>
      </c>
      <c r="B5" s="31"/>
      <c r="C5" s="32"/>
      <c r="D5" s="33"/>
      <c r="E5" s="26">
        <v>21095</v>
      </c>
      <c r="F5" s="33"/>
      <c r="G5" s="33"/>
      <c r="H5" s="38">
        <f>SUM(H3:H4)</f>
        <v>85345</v>
      </c>
      <c r="I5" s="23"/>
    </row>
    <row r="6" ht="59" customHeight="1"/>
  </sheetData>
  <mergeCells count="2">
    <mergeCell ref="A1:I1"/>
    <mergeCell ref="A5:C5"/>
  </mergeCells>
  <pageMargins left="0.354166666666667" right="0.156944444444444" top="0.393055555555556" bottom="0.751388888888889" header="0.118055555555556" footer="0.298611111111111"/>
  <pageSetup paperSize="9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$A1:$XFD1"/>
    </sheetView>
  </sheetViews>
  <sheetFormatPr defaultColWidth="9" defaultRowHeight="15" outlineLevelRow="6"/>
  <cols>
    <col min="1" max="1" width="13" customWidth="1"/>
    <col min="2" max="2" width="22.9333333333333" customWidth="1"/>
    <col min="3" max="3" width="14.9333333333333" customWidth="1"/>
    <col min="4" max="4" width="5.88888888888889" customWidth="1"/>
    <col min="5" max="5" width="8.52222222222222" customWidth="1"/>
    <col min="6" max="6" width="6.83333333333333" customWidth="1"/>
    <col min="7" max="7" width="4.83333333333333" customWidth="1"/>
    <col min="8" max="8" width="17.5333333333333" customWidth="1"/>
    <col min="9" max="9" width="11.8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22" customFormat="1" ht="51" customHeight="1" spans="1:9">
      <c r="A2" s="23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3" t="s">
        <v>11</v>
      </c>
      <c r="G2" s="23" t="s">
        <v>12</v>
      </c>
      <c r="H2" s="23" t="s">
        <v>13</v>
      </c>
      <c r="I2" s="35" t="s">
        <v>14</v>
      </c>
    </row>
    <row r="3" s="22" customFormat="1" ht="51" customHeight="1" spans="1:9">
      <c r="A3" s="25">
        <v>43602</v>
      </c>
      <c r="B3" s="23" t="s">
        <v>15</v>
      </c>
      <c r="C3" s="23" t="s">
        <v>24</v>
      </c>
      <c r="D3" s="26">
        <v>8</v>
      </c>
      <c r="E3" s="26">
        <v>1384</v>
      </c>
      <c r="F3" s="27">
        <v>23.5</v>
      </c>
      <c r="G3" s="28"/>
      <c r="H3" s="29">
        <v>32524</v>
      </c>
      <c r="I3" s="36">
        <v>50086</v>
      </c>
    </row>
    <row r="4" s="22" customFormat="1" ht="51" customHeight="1" spans="1:9">
      <c r="A4" s="25">
        <v>43606</v>
      </c>
      <c r="B4" s="23" t="s">
        <v>15</v>
      </c>
      <c r="C4" s="23" t="s">
        <v>25</v>
      </c>
      <c r="D4" s="26">
        <v>27</v>
      </c>
      <c r="E4" s="26">
        <v>1512</v>
      </c>
      <c r="F4" s="27">
        <v>24.8</v>
      </c>
      <c r="G4" s="28"/>
      <c r="H4" s="29">
        <v>37497.6</v>
      </c>
      <c r="I4" s="36">
        <v>50101</v>
      </c>
    </row>
    <row r="5" s="22" customFormat="1" ht="51" customHeight="1" spans="1:9">
      <c r="A5" s="25">
        <v>43614</v>
      </c>
      <c r="B5" s="23" t="s">
        <v>15</v>
      </c>
      <c r="C5" s="23" t="s">
        <v>29</v>
      </c>
      <c r="D5" s="26">
        <v>22</v>
      </c>
      <c r="E5" s="26">
        <v>1284</v>
      </c>
      <c r="F5" s="27">
        <v>26</v>
      </c>
      <c r="G5" s="28"/>
      <c r="H5" s="29">
        <v>33384</v>
      </c>
      <c r="I5" s="36">
        <v>50125</v>
      </c>
    </row>
    <row r="6" s="22" customFormat="1" ht="51" customHeight="1" spans="1:9">
      <c r="A6" s="30" t="s">
        <v>31</v>
      </c>
      <c r="B6" s="31"/>
      <c r="C6" s="32"/>
      <c r="D6" s="33"/>
      <c r="E6" s="26">
        <v>21095</v>
      </c>
      <c r="F6" s="33"/>
      <c r="G6" s="33"/>
      <c r="H6" s="34">
        <f>SUM(H3:H5)</f>
        <v>103405.6</v>
      </c>
      <c r="I6" s="23"/>
    </row>
    <row r="7" ht="59" customHeight="1"/>
  </sheetData>
  <mergeCells count="2">
    <mergeCell ref="A1:I1"/>
    <mergeCell ref="A6:C6"/>
  </mergeCells>
  <pageMargins left="0.511805555555556" right="0.156944444444444" top="0.393055555555556" bottom="0.751388888888889" header="0.118055555555556" footer="0.298611111111111"/>
  <pageSetup paperSize="9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13" sqref="H13"/>
    </sheetView>
  </sheetViews>
  <sheetFormatPr defaultColWidth="9" defaultRowHeight="15" outlineLevelRow="4"/>
  <cols>
    <col min="1" max="1" width="13" customWidth="1"/>
    <col min="2" max="2" width="20.8333333333333" customWidth="1"/>
    <col min="3" max="3" width="12.8333333333333" customWidth="1"/>
    <col min="4" max="4" width="4.83333333333333" customWidth="1"/>
    <col min="5" max="6" width="6.83333333333333" customWidth="1"/>
    <col min="7" max="7" width="13.1666666666667" customWidth="1"/>
    <col min="8" max="8" width="17.8333333333333" customWidth="1"/>
    <col min="9" max="9" width="13.6666666666667" style="2" customWidth="1"/>
  </cols>
  <sheetData>
    <row r="1" customFormat="1" ht="50" customHeight="1" spans="1:9">
      <c r="A1" s="3" t="s">
        <v>33</v>
      </c>
      <c r="B1" s="4"/>
      <c r="C1" s="4"/>
      <c r="D1" s="4"/>
      <c r="E1" s="4"/>
      <c r="F1" s="4"/>
      <c r="G1" s="4"/>
      <c r="H1" s="4"/>
      <c r="I1" s="19"/>
    </row>
    <row r="2" s="1" customFormat="1" ht="51" customHeight="1" spans="1:9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5" t="s">
        <v>11</v>
      </c>
      <c r="G2" s="5" t="s">
        <v>12</v>
      </c>
      <c r="H2" s="5" t="s">
        <v>13</v>
      </c>
      <c r="I2" s="20" t="s">
        <v>14</v>
      </c>
    </row>
    <row r="3" s="1" customFormat="1" ht="51" customHeight="1" spans="1:9">
      <c r="A3" s="7">
        <v>43616</v>
      </c>
      <c r="B3" s="8" t="s">
        <v>15</v>
      </c>
      <c r="C3" s="8" t="s">
        <v>30</v>
      </c>
      <c r="D3" s="9">
        <v>22</v>
      </c>
      <c r="E3" s="9">
        <v>1545</v>
      </c>
      <c r="F3" s="10">
        <v>26</v>
      </c>
      <c r="G3" s="11"/>
      <c r="H3" s="12">
        <v>40170</v>
      </c>
      <c r="I3" s="21">
        <v>50132</v>
      </c>
    </row>
    <row r="4" s="1" customFormat="1" ht="51" customHeight="1" spans="1:9">
      <c r="A4" s="13" t="s">
        <v>31</v>
      </c>
      <c r="B4" s="14"/>
      <c r="C4" s="15"/>
      <c r="D4" s="16"/>
      <c r="E4" s="17">
        <v>21095</v>
      </c>
      <c r="F4" s="16"/>
      <c r="G4" s="16"/>
      <c r="H4" s="18">
        <f>SUM(H3:H3)</f>
        <v>40170</v>
      </c>
      <c r="I4" s="5"/>
    </row>
    <row r="5" ht="59" customHeight="1"/>
  </sheetData>
  <mergeCells count="2">
    <mergeCell ref="A1:I1"/>
    <mergeCell ref="A4:C4"/>
  </mergeCells>
  <pageMargins left="0.354166666666667" right="0.156944444444444" top="0.590277777777778" bottom="0.751388888888889" header="0.118055555555556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总欠</vt:lpstr>
      <vt:lpstr>6月16日公帐支付</vt:lpstr>
      <vt:lpstr>6月21日公帐支付</vt:lpstr>
      <vt:lpstr>6月26日私帐支付</vt:lpstr>
      <vt:lpstr>6月28日私账支付</vt:lpstr>
      <vt:lpstr>7月3日公账支付</vt:lpstr>
      <vt:lpstr>7月3日私账支付</vt:lpstr>
      <vt:lpstr>7月8日私账支付</vt:lpstr>
      <vt:lpstr>7月17日私帐支付</vt:lpstr>
      <vt:lpstr>7月18日私帐支付</vt:lpstr>
      <vt:lpstr>7月19日私帐支付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/mg</cp:lastModifiedBy>
  <dcterms:created xsi:type="dcterms:W3CDTF">2019-06-14T07:58:00Z</dcterms:created>
  <dcterms:modified xsi:type="dcterms:W3CDTF">2019-07-19T06:15:29Z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