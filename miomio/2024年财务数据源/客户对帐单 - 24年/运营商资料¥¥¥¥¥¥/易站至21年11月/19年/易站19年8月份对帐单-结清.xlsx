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 activeTab="2"/>
  </bookViews>
  <sheets>
    <sheet name="总欠" sheetId="1" r:id="rId1"/>
    <sheet name="9月26日私账支付" sheetId="3" r:id="rId2"/>
    <sheet name="10月9日公账支付" sheetId="4" r:id="rId3"/>
    <sheet name="1" sheetId="2" r:id="rId4"/>
  </sheets>
  <calcPr calcId="144525"/>
</workbook>
</file>

<file path=xl/sharedStrings.xml><?xml version="1.0" encoding="utf-8"?>
<sst xmlns="http://schemas.openxmlformats.org/spreadsheetml/2006/main" count="54" uniqueCount="17">
  <si>
    <t>易站8月份对账单</t>
  </si>
  <si>
    <t>日期</t>
  </si>
  <si>
    <t>提单号</t>
  </si>
  <si>
    <t>目的地</t>
  </si>
  <si>
    <r>
      <rPr>
        <sz val="11"/>
        <rFont val="宋体"/>
        <charset val="134"/>
      </rPr>
      <t>件数</t>
    </r>
  </si>
  <si>
    <r>
      <rPr>
        <sz val="11"/>
        <rFont val="宋体"/>
        <charset val="134"/>
      </rPr>
      <t>毛重</t>
    </r>
  </si>
  <si>
    <r>
      <rPr>
        <sz val="11"/>
        <rFont val="宋体"/>
        <charset val="134"/>
      </rPr>
      <t>计费重量</t>
    </r>
  </si>
  <si>
    <t>单价</t>
  </si>
  <si>
    <t>金额</t>
  </si>
  <si>
    <t>备注</t>
  </si>
  <si>
    <r>
      <rPr>
        <sz val="11"/>
        <rFont val="宋体"/>
        <charset val="134"/>
      </rPr>
      <t>ESC-AG075</t>
    </r>
  </si>
  <si>
    <r>
      <rPr>
        <sz val="11"/>
        <rFont val="宋体"/>
        <charset val="134"/>
      </rPr>
      <t>ACC</t>
    </r>
  </si>
  <si>
    <t>070152/080092</t>
  </si>
  <si>
    <r>
      <rPr>
        <sz val="11"/>
        <rFont val="宋体"/>
        <charset val="134"/>
      </rPr>
      <t>071-35044332</t>
    </r>
  </si>
  <si>
    <r>
      <rPr>
        <sz val="11"/>
        <rFont val="宋体"/>
        <charset val="134"/>
      </rPr>
      <t>LOS</t>
    </r>
  </si>
  <si>
    <r>
      <rPr>
        <sz val="11"/>
        <rFont val="宋体"/>
        <charset val="134"/>
      </rPr>
      <t>071-35048602</t>
    </r>
  </si>
  <si>
    <t>支付：易站清单</t>
  </si>
</sst>
</file>

<file path=xl/styles.xml><?xml version="1.0" encoding="utf-8"?>
<styleSheet xmlns="http://schemas.openxmlformats.org/spreadsheetml/2006/main">
  <numFmts count="8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yyyy/mm/dd;@"/>
    <numFmt numFmtId="177" formatCode="&quot;JOB&quot;000000"/>
    <numFmt numFmtId="178" formatCode="&quot;￥&quot;#,##0.00_);[Red]\(&quot;￥&quot;#,##0.00\)"/>
    <numFmt numFmtId="179" formatCode="0.0"/>
  </numFmts>
  <fonts count="27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9"/>
      <name val="宋体"/>
      <charset val="134"/>
    </font>
    <font>
      <sz val="11"/>
      <name val="Times New Roman"/>
      <charset val="134"/>
    </font>
    <font>
      <b/>
      <sz val="10"/>
      <color theme="1"/>
      <name val="宋体"/>
      <charset val="134"/>
      <scheme val="minor"/>
    </font>
    <font>
      <sz val="11"/>
      <name val="宋体"/>
      <charset val="134"/>
    </font>
    <font>
      <sz val="11"/>
      <color rgb="FF000000"/>
      <name val="Times New Roman"/>
      <charset val="134"/>
    </font>
    <font>
      <sz val="16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6" fillId="8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17" borderId="10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9" fillId="13" borderId="8" applyNumberFormat="0" applyAlignment="0" applyProtection="0">
      <alignment vertical="center"/>
    </xf>
    <xf numFmtId="0" fontId="23" fillId="13" borderId="6" applyNumberFormat="0" applyAlignment="0" applyProtection="0">
      <alignment vertical="center"/>
    </xf>
    <xf numFmtId="0" fontId="25" fillId="22" borderId="11" applyNumberFormat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1" fillId="0" borderId="0" xfId="0" applyFont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0" fillId="0" borderId="3" xfId="0" applyFill="1" applyBorder="1">
      <alignment vertical="center"/>
    </xf>
    <xf numFmtId="178" fontId="4" fillId="0" borderId="3" xfId="0" applyNumberFormat="1" applyFont="1" applyFill="1" applyBorder="1">
      <alignment vertical="center"/>
    </xf>
    <xf numFmtId="0" fontId="5" fillId="0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176" fontId="6" fillId="0" borderId="3" xfId="0" applyNumberFormat="1" applyFont="1" applyFill="1" applyBorder="1" applyAlignment="1">
      <alignment horizontal="center" vertical="center" shrinkToFit="1"/>
    </xf>
    <xf numFmtId="1" fontId="6" fillId="0" borderId="3" xfId="0" applyNumberFormat="1" applyFont="1" applyFill="1" applyBorder="1" applyAlignment="1">
      <alignment horizontal="center" vertical="center" shrinkToFit="1"/>
    </xf>
    <xf numFmtId="2" fontId="6" fillId="0" borderId="3" xfId="0" applyNumberFormat="1" applyFont="1" applyFill="1" applyBorder="1" applyAlignment="1">
      <alignment horizontal="center" vertical="center" shrinkToFit="1"/>
    </xf>
    <xf numFmtId="178" fontId="6" fillId="0" borderId="3" xfId="0" applyNumberFormat="1" applyFont="1" applyFill="1" applyBorder="1" applyAlignment="1">
      <alignment horizontal="center" vertical="center" shrinkToFit="1"/>
    </xf>
    <xf numFmtId="0" fontId="0" fillId="0" borderId="3" xfId="0" applyBorder="1" applyAlignment="1">
      <alignment horizontal="center" vertical="center"/>
    </xf>
    <xf numFmtId="178" fontId="4" fillId="0" borderId="3" xfId="0" applyNumberFormat="1" applyFont="1" applyBorder="1" applyAlignment="1">
      <alignment horizontal="center" vertical="center"/>
    </xf>
    <xf numFmtId="177" fontId="5" fillId="0" borderId="3" xfId="0" applyNumberFormat="1" applyFont="1" applyFill="1" applyBorder="1" applyAlignment="1">
      <alignment horizontal="center" vertical="center" wrapText="1"/>
    </xf>
    <xf numFmtId="177" fontId="0" fillId="0" borderId="3" xfId="0" applyNumberFormat="1" applyBorder="1" applyAlignment="1">
      <alignment horizontal="center" vertical="center"/>
    </xf>
    <xf numFmtId="179" fontId="6" fillId="0" borderId="3" xfId="0" applyNumberFormat="1" applyFont="1" applyFill="1" applyBorder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G12" sqref="G12"/>
    </sheetView>
  </sheetViews>
  <sheetFormatPr defaultColWidth="9" defaultRowHeight="13.5" outlineLevelRow="5"/>
  <cols>
    <col min="1" max="1" width="11.75" style="10" customWidth="1"/>
    <col min="2" max="2" width="14.375" style="10" customWidth="1"/>
    <col min="3" max="3" width="5.125" style="10" customWidth="1"/>
    <col min="4" max="4" width="4.375" style="10" customWidth="1"/>
    <col min="5" max="5" width="4.875" style="10" customWidth="1"/>
    <col min="6" max="7" width="9" style="10"/>
    <col min="8" max="8" width="16.5" style="10" customWidth="1"/>
    <col min="9" max="9" width="15.625" style="11" customWidth="1"/>
    <col min="10" max="16384" width="9" style="10"/>
  </cols>
  <sheetData>
    <row r="1" ht="48" customHeight="1" spans="1:9">
      <c r="A1" s="23" t="s">
        <v>0</v>
      </c>
      <c r="B1" s="23"/>
      <c r="C1" s="23"/>
      <c r="D1" s="23"/>
      <c r="E1" s="23"/>
      <c r="F1" s="23"/>
      <c r="G1" s="23"/>
      <c r="H1" s="23"/>
      <c r="I1" s="24"/>
    </row>
    <row r="2" s="1" customFormat="1" ht="45" customHeight="1" spans="1:9">
      <c r="A2" s="12" t="s">
        <v>1</v>
      </c>
      <c r="B2" s="12" t="s">
        <v>2</v>
      </c>
      <c r="C2" s="12" t="s">
        <v>3</v>
      </c>
      <c r="D2" s="13" t="s">
        <v>4</v>
      </c>
      <c r="E2" s="13" t="s">
        <v>5</v>
      </c>
      <c r="F2" s="13" t="s">
        <v>6</v>
      </c>
      <c r="G2" s="12" t="s">
        <v>7</v>
      </c>
      <c r="H2" s="12" t="s">
        <v>8</v>
      </c>
      <c r="I2" s="20" t="s">
        <v>9</v>
      </c>
    </row>
    <row r="3" ht="37" customHeight="1" spans="1:9">
      <c r="A3" s="14">
        <v>43678</v>
      </c>
      <c r="B3" s="13" t="s">
        <v>10</v>
      </c>
      <c r="C3" s="13" t="s">
        <v>11</v>
      </c>
      <c r="D3" s="15">
        <v>9</v>
      </c>
      <c r="E3" s="22">
        <v>371.3</v>
      </c>
      <c r="F3" s="22">
        <v>371.3</v>
      </c>
      <c r="G3" s="16">
        <v>32.5</v>
      </c>
      <c r="H3" s="17">
        <v>12067.25</v>
      </c>
      <c r="I3" s="21" t="s">
        <v>12</v>
      </c>
    </row>
    <row r="4" ht="37" customHeight="1" spans="1:9">
      <c r="A4" s="14">
        <v>43693</v>
      </c>
      <c r="B4" s="13" t="s">
        <v>13</v>
      </c>
      <c r="C4" s="13" t="s">
        <v>14</v>
      </c>
      <c r="D4" s="15">
        <v>29</v>
      </c>
      <c r="E4" s="15">
        <v>1626</v>
      </c>
      <c r="F4" s="15">
        <v>1626</v>
      </c>
      <c r="G4" s="16">
        <v>23.8</v>
      </c>
      <c r="H4" s="17">
        <v>38698.8</v>
      </c>
      <c r="I4" s="21">
        <v>80126</v>
      </c>
    </row>
    <row r="5" ht="37" customHeight="1" spans="1:9">
      <c r="A5" s="14">
        <v>43699</v>
      </c>
      <c r="B5" s="13" t="s">
        <v>15</v>
      </c>
      <c r="C5" s="13" t="s">
        <v>14</v>
      </c>
      <c r="D5" s="15">
        <v>11</v>
      </c>
      <c r="E5" s="15">
        <v>1361</v>
      </c>
      <c r="F5" s="15">
        <v>1361</v>
      </c>
      <c r="G5" s="16">
        <v>23.8</v>
      </c>
      <c r="H5" s="17">
        <v>32391.8</v>
      </c>
      <c r="I5" s="21">
        <v>80138</v>
      </c>
    </row>
    <row r="6" s="10" customFormat="1" ht="37" customHeight="1" spans="1:9">
      <c r="A6" s="18"/>
      <c r="B6" s="18"/>
      <c r="C6" s="18"/>
      <c r="D6" s="18"/>
      <c r="E6" s="18"/>
      <c r="F6" s="18"/>
      <c r="G6" s="18"/>
      <c r="H6" s="19">
        <f>SUM(H3:H5)</f>
        <v>83157.85</v>
      </c>
      <c r="I6" s="21"/>
    </row>
  </sheetData>
  <mergeCells count="1">
    <mergeCell ref="A1:I1"/>
  </mergeCells>
  <pageMargins left="0.472222222222222" right="0.472222222222222" top="0.393055555555556" bottom="1" header="0.156944444444444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H8" sqref="H8"/>
    </sheetView>
  </sheetViews>
  <sheetFormatPr defaultColWidth="9" defaultRowHeight="13.5" outlineLevelRow="4"/>
  <cols>
    <col min="1" max="1" width="11.75" style="10" customWidth="1"/>
    <col min="2" max="2" width="14.375" style="10" customWidth="1"/>
    <col min="3" max="3" width="5.125" style="10" customWidth="1"/>
    <col min="4" max="4" width="4.375" style="10" customWidth="1"/>
    <col min="5" max="5" width="4.875" style="10" customWidth="1"/>
    <col min="6" max="7" width="9" style="10"/>
    <col min="8" max="8" width="16.5" style="10" customWidth="1"/>
    <col min="9" max="9" width="15.625" style="11" customWidth="1"/>
    <col min="10" max="16384" width="9" style="10"/>
  </cols>
  <sheetData>
    <row r="1" customFormat="1" ht="57" customHeight="1" spans="1:9">
      <c r="A1" s="3" t="s">
        <v>16</v>
      </c>
      <c r="B1" s="3"/>
      <c r="C1" s="3"/>
      <c r="D1" s="3"/>
      <c r="E1" s="3"/>
      <c r="F1" s="3"/>
      <c r="G1" s="3"/>
      <c r="H1" s="3"/>
      <c r="I1" s="3"/>
    </row>
    <row r="2" s="1" customFormat="1" ht="45" customHeight="1" spans="1:9">
      <c r="A2" s="12" t="s">
        <v>1</v>
      </c>
      <c r="B2" s="12" t="s">
        <v>2</v>
      </c>
      <c r="C2" s="12" t="s">
        <v>3</v>
      </c>
      <c r="D2" s="13" t="s">
        <v>4</v>
      </c>
      <c r="E2" s="13" t="s">
        <v>5</v>
      </c>
      <c r="F2" s="13" t="s">
        <v>6</v>
      </c>
      <c r="G2" s="12" t="s">
        <v>7</v>
      </c>
      <c r="H2" s="12" t="s">
        <v>8</v>
      </c>
      <c r="I2" s="20" t="s">
        <v>9</v>
      </c>
    </row>
    <row r="3" ht="37" customHeight="1" spans="1:9">
      <c r="A3" s="14">
        <v>43678</v>
      </c>
      <c r="B3" s="13" t="s">
        <v>10</v>
      </c>
      <c r="C3" s="13" t="s">
        <v>11</v>
      </c>
      <c r="D3" s="15">
        <v>9</v>
      </c>
      <c r="E3" s="22">
        <v>371.3</v>
      </c>
      <c r="F3" s="22">
        <v>371.3</v>
      </c>
      <c r="G3" s="16">
        <v>32.5</v>
      </c>
      <c r="H3" s="17">
        <v>12067.25</v>
      </c>
      <c r="I3" s="21" t="s">
        <v>12</v>
      </c>
    </row>
    <row r="4" ht="37" customHeight="1" spans="1:9">
      <c r="A4" s="14">
        <v>43693</v>
      </c>
      <c r="B4" s="13" t="s">
        <v>13</v>
      </c>
      <c r="C4" s="13" t="s">
        <v>14</v>
      </c>
      <c r="D4" s="15">
        <v>29</v>
      </c>
      <c r="E4" s="15">
        <v>1626</v>
      </c>
      <c r="F4" s="15">
        <v>1626</v>
      </c>
      <c r="G4" s="16">
        <v>23.8</v>
      </c>
      <c r="H4" s="17">
        <v>38698.8</v>
      </c>
      <c r="I4" s="21">
        <v>80126</v>
      </c>
    </row>
    <row r="5" s="10" customFormat="1" ht="37" customHeight="1" spans="1:9">
      <c r="A5" s="18"/>
      <c r="B5" s="18"/>
      <c r="C5" s="18"/>
      <c r="D5" s="18"/>
      <c r="E5" s="18"/>
      <c r="F5" s="18"/>
      <c r="G5" s="18"/>
      <c r="H5" s="19">
        <f>SUM(H3:H4)</f>
        <v>50766.05</v>
      </c>
      <c r="I5" s="21"/>
    </row>
  </sheetData>
  <mergeCells count="1">
    <mergeCell ref="A1:I1"/>
  </mergeCells>
  <pageMargins left="0.472222222222222" right="0.472222222222222" top="0.590277777777778" bottom="1" header="0.156944444444444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workbookViewId="0">
      <selection activeCell="H13" sqref="H13"/>
    </sheetView>
  </sheetViews>
  <sheetFormatPr defaultColWidth="9" defaultRowHeight="13.5" outlineLevelRow="3"/>
  <cols>
    <col min="1" max="1" width="11.75" style="10" customWidth="1"/>
    <col min="2" max="2" width="14.375" style="10" customWidth="1"/>
    <col min="3" max="3" width="5.125" style="10" customWidth="1"/>
    <col min="4" max="4" width="4.375" style="10" customWidth="1"/>
    <col min="5" max="5" width="4.875" style="10" customWidth="1"/>
    <col min="6" max="7" width="9" style="10"/>
    <col min="8" max="8" width="16.5" style="10" customWidth="1"/>
    <col min="9" max="9" width="15.625" style="11" customWidth="1"/>
    <col min="10" max="16384" width="9" style="10"/>
  </cols>
  <sheetData>
    <row r="1" customFormat="1" ht="57" customHeight="1" spans="1:9">
      <c r="A1" s="3" t="s">
        <v>16</v>
      </c>
      <c r="B1" s="3"/>
      <c r="C1" s="3"/>
      <c r="D1" s="3"/>
      <c r="E1" s="3"/>
      <c r="F1" s="3"/>
      <c r="G1" s="3"/>
      <c r="H1" s="3"/>
      <c r="I1" s="3"/>
    </row>
    <row r="2" s="1" customFormat="1" ht="45" customHeight="1" spans="1:9">
      <c r="A2" s="12" t="s">
        <v>1</v>
      </c>
      <c r="B2" s="12" t="s">
        <v>2</v>
      </c>
      <c r="C2" s="12" t="s">
        <v>3</v>
      </c>
      <c r="D2" s="13" t="s">
        <v>4</v>
      </c>
      <c r="E2" s="13" t="s">
        <v>5</v>
      </c>
      <c r="F2" s="13" t="s">
        <v>6</v>
      </c>
      <c r="G2" s="12" t="s">
        <v>7</v>
      </c>
      <c r="H2" s="12" t="s">
        <v>8</v>
      </c>
      <c r="I2" s="20" t="s">
        <v>9</v>
      </c>
    </row>
    <row r="3" ht="37" customHeight="1" spans="1:9">
      <c r="A3" s="14">
        <v>43699</v>
      </c>
      <c r="B3" s="13" t="s">
        <v>15</v>
      </c>
      <c r="C3" s="13" t="s">
        <v>14</v>
      </c>
      <c r="D3" s="15">
        <v>11</v>
      </c>
      <c r="E3" s="15">
        <v>1361</v>
      </c>
      <c r="F3" s="15">
        <v>1361</v>
      </c>
      <c r="G3" s="16">
        <v>23.8</v>
      </c>
      <c r="H3" s="17">
        <v>32391.8</v>
      </c>
      <c r="I3" s="21">
        <v>80138</v>
      </c>
    </row>
    <row r="4" s="10" customFormat="1" ht="37" customHeight="1" spans="1:9">
      <c r="A4" s="18"/>
      <c r="B4" s="18"/>
      <c r="C4" s="18"/>
      <c r="D4" s="18"/>
      <c r="E4" s="18"/>
      <c r="F4" s="18"/>
      <c r="G4" s="18"/>
      <c r="H4" s="19">
        <f>SUM(H3:H3)</f>
        <v>32391.8</v>
      </c>
      <c r="I4" s="21"/>
    </row>
  </sheetData>
  <mergeCells count="1">
    <mergeCell ref="A1:I1"/>
  </mergeCells>
  <pageMargins left="0.472222222222222" right="0.472222222222222" top="0.393055555555556" bottom="1" header="0.156944444444444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$A1:$XFD1"/>
    </sheetView>
  </sheetViews>
  <sheetFormatPr defaultColWidth="9" defaultRowHeight="13.5" outlineLevelRow="2"/>
  <cols>
    <col min="1" max="1" width="11.75" customWidth="1"/>
    <col min="2" max="2" width="14.375" customWidth="1"/>
    <col min="3" max="3" width="5.125" customWidth="1"/>
    <col min="4" max="4" width="4.375" customWidth="1"/>
    <col min="5" max="5" width="4.875" customWidth="1"/>
    <col min="8" max="8" width="15.25" customWidth="1"/>
    <col min="9" max="9" width="15.625" customWidth="1"/>
  </cols>
  <sheetData>
    <row r="1" ht="57" customHeight="1" spans="1:9">
      <c r="A1" s="3" t="s">
        <v>16</v>
      </c>
      <c r="B1" s="3"/>
      <c r="C1" s="3"/>
      <c r="D1" s="3"/>
      <c r="E1" s="3"/>
      <c r="F1" s="3"/>
      <c r="G1" s="3"/>
      <c r="H1" s="3"/>
      <c r="I1" s="3"/>
    </row>
    <row r="2" s="1" customFormat="1" ht="55" customHeight="1" spans="1:9">
      <c r="A2" s="4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4" t="s">
        <v>7</v>
      </c>
      <c r="H2" s="6" t="s">
        <v>8</v>
      </c>
      <c r="I2" s="9" t="s">
        <v>9</v>
      </c>
    </row>
    <row r="3" s="2" customFormat="1" ht="55" customHeight="1" spans="1:9">
      <c r="A3" s="7"/>
      <c r="B3" s="7"/>
      <c r="C3" s="7"/>
      <c r="D3" s="7"/>
      <c r="E3" s="7"/>
      <c r="F3" s="7"/>
      <c r="G3" s="7"/>
      <c r="H3" s="8" t="e">
        <f>SUM(#REF!)</f>
        <v>#REF!</v>
      </c>
      <c r="I3" s="7"/>
    </row>
  </sheetData>
  <mergeCells count="1">
    <mergeCell ref="A1:I1"/>
  </mergeCells>
  <pageMargins left="0.472222222222222" right="0.472222222222222" top="0.393055555555556" bottom="1" header="0.156944444444444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总欠</vt:lpstr>
      <vt:lpstr>9月26日私账支付</vt:lpstr>
      <vt:lpstr>10月9日公账支付</vt:lpstr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2019-07-03T04:04:00Z</dcterms:created>
  <dcterms:modified xsi:type="dcterms:W3CDTF">2019-10-09T08:19:25Z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2052-11.1.0.8976</vt:lpwstr>
  </property>
</Properties>
</file>