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activeTab="4"/>
  </bookViews>
  <sheets>
    <sheet name="总欠" sheetId="1" r:id="rId1"/>
    <sheet name="4月16日公帐支付" sheetId="2" r:id="rId2"/>
    <sheet name="4月18日公帐支付" sheetId="3" r:id="rId3"/>
    <sheet name="4月24日公帐支付" sheetId="4" r:id="rId4"/>
    <sheet name="4月26日公帐支付" sheetId="5" r:id="rId5"/>
  </sheets>
  <calcPr calcId="144525"/>
</workbook>
</file>

<file path=xl/sharedStrings.xml><?xml version="1.0" encoding="utf-8"?>
<sst xmlns="http://schemas.openxmlformats.org/spreadsheetml/2006/main" count="152" uniqueCount="44">
  <si>
    <t xml:space="preserve"> 广 州 易 站 跨 境 电 商 有 限 公 司
</t>
  </si>
  <si>
    <r>
      <rPr>
        <sz val="11"/>
        <rFont val="宋体"/>
        <charset val="134"/>
      </rPr>
      <t>客户： 瞄瞄货运</t>
    </r>
  </si>
  <si>
    <t>页码：</t>
  </si>
  <si>
    <t>共一页</t>
  </si>
  <si>
    <r>
      <rPr>
        <sz val="11"/>
        <rFont val="宋体"/>
        <charset val="134"/>
      </rPr>
      <t>联系人：</t>
    </r>
  </si>
  <si>
    <t>账单期间：</t>
  </si>
  <si>
    <t>2019-/3/1-2019/3/31</t>
  </si>
  <si>
    <r>
      <rPr>
        <sz val="11"/>
        <rFont val="宋体"/>
        <charset val="134"/>
      </rPr>
      <t>电话：</t>
    </r>
  </si>
  <si>
    <t>制单日期：</t>
  </si>
  <si>
    <r>
      <rPr>
        <sz val="11"/>
        <rFont val="宋体"/>
        <charset val="134"/>
      </rPr>
      <t>序号</t>
    </r>
  </si>
  <si>
    <r>
      <rPr>
        <sz val="11"/>
        <rFont val="宋体"/>
        <charset val="134"/>
      </rPr>
      <t>提单号</t>
    </r>
  </si>
  <si>
    <r>
      <rPr>
        <sz val="11"/>
        <rFont val="宋体"/>
        <charset val="134"/>
      </rPr>
      <t>目的地</t>
    </r>
  </si>
  <si>
    <r>
      <rPr>
        <sz val="11"/>
        <rFont val="宋体"/>
        <charset val="134"/>
      </rPr>
      <t>航班时间</t>
    </r>
  </si>
  <si>
    <r>
      <rPr>
        <sz val="11"/>
        <rFont val="宋体"/>
        <charset val="134"/>
      </rPr>
      <t>收费计量</t>
    </r>
  </si>
  <si>
    <r>
      <rPr>
        <sz val="11"/>
        <rFont val="宋体"/>
        <charset val="134"/>
      </rPr>
      <t>单价</t>
    </r>
  </si>
  <si>
    <r>
      <rPr>
        <sz val="11"/>
        <rFont val="宋体"/>
        <charset val="134"/>
      </rPr>
      <t>其他</t>
    </r>
  </si>
  <si>
    <r>
      <rPr>
        <sz val="11"/>
        <rFont val="宋体"/>
        <charset val="134"/>
      </rPr>
      <t>合计</t>
    </r>
  </si>
  <si>
    <t>备注</t>
  </si>
  <si>
    <r>
      <rPr>
        <sz val="11"/>
        <rFont val="宋体"/>
        <charset val="134"/>
      </rPr>
      <t>件数</t>
    </r>
  </si>
  <si>
    <r>
      <rPr>
        <sz val="11"/>
        <rFont val="宋体"/>
        <charset val="134"/>
      </rPr>
      <t>毛重</t>
    </r>
  </si>
  <si>
    <r>
      <rPr>
        <sz val="11"/>
        <rFont val="宋体"/>
        <charset val="134"/>
      </rPr>
      <t>计费重量</t>
    </r>
  </si>
  <si>
    <t>071-33663696</t>
  </si>
  <si>
    <t>LOS</t>
  </si>
  <si>
    <t>071-33663755</t>
  </si>
  <si>
    <t>071-33658693</t>
  </si>
  <si>
    <t>JOB030096
JOB030071</t>
  </si>
  <si>
    <t>071-33925931</t>
  </si>
  <si>
    <t>071-33925990</t>
  </si>
  <si>
    <t>JOB030114
JOB030115</t>
  </si>
  <si>
    <t>071-33927773</t>
  </si>
  <si>
    <t>071-33925964</t>
  </si>
  <si>
    <t>071-33995124</t>
  </si>
  <si>
    <t>071-33995135</t>
  </si>
  <si>
    <t>JOB040060
JOB030096</t>
  </si>
  <si>
    <t>合计</t>
  </si>
  <si>
    <r>
      <rPr>
        <sz val="11"/>
        <rFont val="宋体"/>
        <charset val="134"/>
      </rPr>
      <t>071-33658693</t>
    </r>
  </si>
  <si>
    <r>
      <rPr>
        <sz val="11"/>
        <rFont val="宋体"/>
        <charset val="134"/>
      </rPr>
      <t>LOS</t>
    </r>
  </si>
  <si>
    <r>
      <rPr>
        <sz val="11"/>
        <rFont val="宋体"/>
        <charset val="134"/>
      </rPr>
      <t>071-33925990</t>
    </r>
  </si>
  <si>
    <r>
      <rPr>
        <sz val="16"/>
        <rFont val="宋体"/>
        <charset val="134"/>
      </rPr>
      <t>合计</t>
    </r>
  </si>
  <si>
    <r>
      <rPr>
        <sz val="11"/>
        <rFont val="宋体"/>
        <charset val="134"/>
      </rPr>
      <t>071-33663755</t>
    </r>
  </si>
  <si>
    <r>
      <rPr>
        <sz val="11"/>
        <rFont val="宋体"/>
        <charset val="134"/>
      </rPr>
      <t>071-33925931</t>
    </r>
  </si>
  <si>
    <r>
      <rPr>
        <sz val="11"/>
        <rFont val="宋体"/>
        <charset val="134"/>
      </rPr>
      <t>071-33925964</t>
    </r>
  </si>
  <si>
    <r>
      <rPr>
        <sz val="11"/>
        <rFont val="宋体"/>
        <charset val="134"/>
      </rPr>
      <t>071-33927773</t>
    </r>
  </si>
  <si>
    <r>
      <rPr>
        <sz val="11"/>
        <rFont val="宋体"/>
        <charset val="134"/>
      </rPr>
      <t>071-33995124</t>
    </r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</si>
</sst>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yyyy/mm/dd;@"/>
    <numFmt numFmtId="177" formatCode="&quot;JOB&quot;000000"/>
    <numFmt numFmtId="178" formatCode="&quot;￥&quot;#,##0.00_);[Red]\(&quot;￥&quot;#,##0.00\)"/>
  </numFmts>
  <fonts count="40">
    <font>
      <sz val="10"/>
      <color rgb="FF000000"/>
      <name val="Times New Roman"/>
      <charset val="204"/>
    </font>
    <font>
      <sz val="12"/>
      <color rgb="FF000000"/>
      <name val="Times New Roman"/>
      <charset val="204"/>
    </font>
    <font>
      <sz val="18"/>
      <color rgb="FF800080"/>
      <name val="宋体"/>
      <charset val="134"/>
    </font>
    <font>
      <sz val="11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sz val="11"/>
      <color rgb="FF000000"/>
      <name val="宋体"/>
      <charset val="134"/>
    </font>
    <font>
      <sz val="16"/>
      <name val="宋体"/>
      <charset val="134"/>
    </font>
    <font>
      <sz val="12"/>
      <color rgb="FF800080"/>
      <name val="宋体"/>
      <charset val="134"/>
    </font>
    <font>
      <sz val="11"/>
      <name val="Times New Roman"/>
      <charset val="134"/>
    </font>
    <font>
      <sz val="11"/>
      <color rgb="FF000000"/>
      <name val="Times New Roman"/>
      <charset val="134"/>
    </font>
    <font>
      <sz val="12"/>
      <name val="宋体"/>
      <charset val="134"/>
    </font>
    <font>
      <sz val="10"/>
      <color rgb="FF000000"/>
      <name val="宋体"/>
      <charset val="134"/>
    </font>
    <font>
      <sz val="10"/>
      <color rgb="FF000000"/>
      <name val="Times New Roman"/>
      <charset val="134"/>
    </font>
    <font>
      <sz val="12"/>
      <color rgb="FF000000"/>
      <name val="宋体"/>
      <charset val="134"/>
    </font>
    <font>
      <sz val="9"/>
      <color rgb="FF000000"/>
      <name val="Times New Roman"/>
      <charset val="204"/>
    </font>
    <font>
      <sz val="6"/>
      <name val="宋体"/>
      <charset val="134"/>
    </font>
    <font>
      <sz val="9"/>
      <color rgb="FF000000"/>
      <name val="宋体"/>
      <charset val="134"/>
    </font>
    <font>
      <sz val="9"/>
      <name val="宋体"/>
      <charset val="134"/>
    </font>
    <font>
      <sz val="9"/>
      <color rgb="FF000000"/>
      <name val="Times New Roman"/>
      <charset val="134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22" fillId="0" borderId="0" applyFont="0" applyFill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1" fillId="3" borderId="3" applyNumberFormat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2" fillId="20" borderId="10" applyNumberFormat="0" applyFont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3" fillId="4" borderId="4" applyNumberFormat="0" applyAlignment="0" applyProtection="0">
      <alignment vertical="center"/>
    </xf>
    <xf numFmtId="0" fontId="25" fillId="4" borderId="3" applyNumberFormat="0" applyAlignment="0" applyProtection="0">
      <alignment vertical="center"/>
    </xf>
    <xf numFmtId="0" fontId="34" fillId="18" borderId="8" applyNumberFormat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</cellStyleXfs>
  <cellXfs count="67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/>
    </xf>
    <xf numFmtId="177" fontId="1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top" wrapText="1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left" vertical="top" wrapText="1" indent="9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ill="1" applyBorder="1" applyAlignment="1">
      <alignment horizontal="left" wrapText="1"/>
    </xf>
    <xf numFmtId="0" fontId="5" fillId="0" borderId="0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2"/>
    </xf>
    <xf numFmtId="0" fontId="3" fillId="2" borderId="1" xfId="0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left" vertical="center" indent="1" shrinkToFit="1"/>
    </xf>
    <xf numFmtId="1" fontId="6" fillId="0" borderId="1" xfId="0" applyNumberFormat="1" applyFont="1" applyFill="1" applyBorder="1" applyAlignment="1">
      <alignment horizontal="left" vertical="center" indent="2" shrinkToFit="1"/>
    </xf>
    <xf numFmtId="2" fontId="6" fillId="0" borderId="1" xfId="0" applyNumberFormat="1" applyFont="1" applyFill="1" applyBorder="1" applyAlignment="1">
      <alignment horizontal="right" vertical="center" shrinkToFit="1"/>
    </xf>
    <xf numFmtId="0" fontId="7" fillId="2" borderId="1" xfId="0" applyFont="1" applyFill="1" applyBorder="1" applyAlignment="1">
      <alignment horizontal="center" vertical="center" wrapText="1"/>
    </xf>
    <xf numFmtId="177" fontId="8" fillId="0" borderId="0" xfId="0" applyNumberFormat="1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top" wrapText="1"/>
    </xf>
    <xf numFmtId="176" fontId="10" fillId="0" borderId="0" xfId="0" applyNumberFormat="1" applyFont="1" applyFill="1" applyAlignment="1">
      <alignment horizontal="center" vertical="top" shrinkToFit="1"/>
    </xf>
    <xf numFmtId="177" fontId="11" fillId="2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178" fontId="7" fillId="0" borderId="1" xfId="0" applyNumberFormat="1" applyFont="1" applyFill="1" applyBorder="1" applyAlignment="1">
      <alignment vertical="center" wrapText="1"/>
    </xf>
    <xf numFmtId="177" fontId="11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 indent="1"/>
    </xf>
    <xf numFmtId="0" fontId="3" fillId="0" borderId="1" xfId="0" applyFont="1" applyFill="1" applyBorder="1" applyAlignment="1">
      <alignment horizontal="left" vertical="center" wrapText="1" indent="2"/>
    </xf>
    <xf numFmtId="1" fontId="12" fillId="0" borderId="1" xfId="0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center" vertical="center" wrapText="1"/>
    </xf>
    <xf numFmtId="176" fontId="12" fillId="0" borderId="1" xfId="0" applyNumberFormat="1" applyFont="1" applyFill="1" applyBorder="1" applyAlignment="1">
      <alignment horizontal="center" vertical="center" shrinkToFit="1"/>
    </xf>
    <xf numFmtId="2" fontId="12" fillId="0" borderId="1" xfId="0" applyNumberFormat="1" applyFont="1" applyFill="1" applyBorder="1" applyAlignment="1">
      <alignment horizontal="right" vertical="center" shrinkToFit="1"/>
    </xf>
    <xf numFmtId="0" fontId="7" fillId="0" borderId="1" xfId="0" applyFont="1" applyFill="1" applyBorder="1" applyAlignment="1">
      <alignment horizontal="center" vertical="center" wrapText="1"/>
    </xf>
    <xf numFmtId="1" fontId="12" fillId="0" borderId="1" xfId="0" applyNumberFormat="1" applyFont="1" applyFill="1" applyBorder="1" applyAlignment="1">
      <alignment horizontal="left" vertical="center" indent="1" shrinkToFit="1"/>
    </xf>
    <xf numFmtId="178" fontId="5" fillId="0" borderId="1" xfId="0" applyNumberFormat="1" applyFont="1" applyFill="1" applyBorder="1" applyAlignment="1">
      <alignment horizontal="center" vertical="center" wrapText="1"/>
    </xf>
    <xf numFmtId="177" fontId="0" fillId="0" borderId="1" xfId="0" applyNumberFormat="1" applyFont="1" applyFill="1" applyBorder="1" applyAlignment="1">
      <alignment horizontal="center" vertical="center" wrapText="1"/>
    </xf>
    <xf numFmtId="2" fontId="13" fillId="0" borderId="2" xfId="0" applyNumberFormat="1" applyFont="1" applyFill="1" applyBorder="1" applyAlignment="1">
      <alignment horizontal="center" vertical="center" shrinkToFit="1"/>
    </xf>
    <xf numFmtId="178" fontId="5" fillId="0" borderId="1" xfId="0" applyNumberFormat="1" applyFont="1" applyFill="1" applyBorder="1" applyAlignment="1">
      <alignment vertical="center" wrapText="1"/>
    </xf>
    <xf numFmtId="176" fontId="14" fillId="0" borderId="1" xfId="0" applyNumberFormat="1" applyFont="1" applyFill="1" applyBorder="1" applyAlignment="1">
      <alignment horizontal="center" vertical="center" shrinkToFit="1"/>
    </xf>
    <xf numFmtId="1" fontId="14" fillId="0" borderId="1" xfId="0" applyNumberFormat="1" applyFont="1" applyFill="1" applyBorder="1" applyAlignment="1">
      <alignment horizontal="left" vertical="center" indent="2" shrinkToFit="1"/>
    </xf>
    <xf numFmtId="178" fontId="3" fillId="0" borderId="1" xfId="0" applyNumberFormat="1" applyFont="1" applyFill="1" applyBorder="1" applyAlignment="1">
      <alignment vertical="center" wrapText="1"/>
    </xf>
    <xf numFmtId="0" fontId="15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/>
    </xf>
    <xf numFmtId="0" fontId="0" fillId="0" borderId="0" xfId="0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wrapText="1"/>
    </xf>
    <xf numFmtId="0" fontId="16" fillId="0" borderId="0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center" vertical="center" wrapText="1"/>
    </xf>
    <xf numFmtId="1" fontId="17" fillId="0" borderId="1" xfId="0" applyNumberFormat="1" applyFont="1" applyFill="1" applyBorder="1" applyAlignment="1">
      <alignment horizontal="center" vertical="center" shrinkToFit="1"/>
    </xf>
    <xf numFmtId="0" fontId="18" fillId="0" borderId="1" xfId="0" applyFont="1" applyFill="1" applyBorder="1" applyAlignment="1">
      <alignment horizontal="center" vertical="center" wrapText="1"/>
    </xf>
    <xf numFmtId="176" fontId="17" fillId="0" borderId="1" xfId="0" applyNumberFormat="1" applyFont="1" applyFill="1" applyBorder="1" applyAlignment="1">
      <alignment horizontal="left" vertical="center" indent="1" shrinkToFit="1"/>
    </xf>
    <xf numFmtId="2" fontId="17" fillId="0" borderId="1" xfId="0" applyNumberFormat="1" applyFont="1" applyFill="1" applyBorder="1" applyAlignment="1">
      <alignment horizontal="right" vertical="center" shrinkToFit="1"/>
    </xf>
    <xf numFmtId="0" fontId="18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176" fontId="10" fillId="0" borderId="0" xfId="0" applyNumberFormat="1" applyFont="1" applyFill="1" applyAlignment="1">
      <alignment horizontal="center" vertical="center" shrinkToFit="1"/>
    </xf>
    <xf numFmtId="2" fontId="19" fillId="0" borderId="2" xfId="0" applyNumberFormat="1" applyFont="1" applyFill="1" applyBorder="1" applyAlignment="1">
      <alignment horizontal="center" vertical="center" shrinkToFit="1"/>
    </xf>
    <xf numFmtId="178" fontId="18" fillId="0" borderId="1" xfId="0" applyNumberFormat="1" applyFont="1" applyFill="1" applyBorder="1" applyAlignment="1">
      <alignment horizontal="center" vertical="center" wrapText="1"/>
    </xf>
    <xf numFmtId="177" fontId="15" fillId="0" borderId="1" xfId="0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178" fontId="18" fillId="0" borderId="1" xfId="0" applyNumberFormat="1" applyFont="1" applyFill="1" applyBorder="1" applyAlignment="1">
      <alignment vertical="center" wrapText="1"/>
    </xf>
    <xf numFmtId="177" fontId="18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rtin@escbec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artin@escbec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Martin@escbec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Martin@escbec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Martin@escbe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workbookViewId="0">
      <selection activeCell="D12" sqref="D12"/>
    </sheetView>
  </sheetViews>
  <sheetFormatPr defaultColWidth="9" defaultRowHeight="15.75"/>
  <cols>
    <col min="1" max="1" width="7.16666666666667" customWidth="1"/>
    <col min="2" max="2" width="16.8333333333333" customWidth="1"/>
    <col min="3" max="3" width="6.54444444444444" customWidth="1"/>
    <col min="4" max="4" width="13.5" customWidth="1"/>
    <col min="5" max="5" width="6.25555555555556" customWidth="1"/>
    <col min="6" max="6" width="6.32222222222222" style="48" customWidth="1"/>
    <col min="7" max="7" width="6.76666666666667" customWidth="1"/>
    <col min="8" max="8" width="9" customWidth="1"/>
    <col min="9" max="9" width="7.66666666666667" style="49" customWidth="1"/>
    <col min="10" max="10" width="15.8333333333333" customWidth="1"/>
    <col min="11" max="11" width="15.6666666666667" style="3" customWidth="1"/>
  </cols>
  <sheetData>
    <row r="1" ht="23" customHeight="1" spans="1:11">
      <c r="A1" s="4" t="s">
        <v>0</v>
      </c>
      <c r="B1" s="4"/>
      <c r="C1" s="4"/>
      <c r="D1" s="4"/>
      <c r="E1" s="4"/>
      <c r="F1" s="4"/>
      <c r="G1" s="4"/>
      <c r="H1" s="4"/>
      <c r="I1" s="59"/>
      <c r="J1" s="4"/>
      <c r="K1" s="20"/>
    </row>
    <row r="2" ht="23" customHeight="1" spans="1:10">
      <c r="A2" s="5" t="s">
        <v>1</v>
      </c>
      <c r="B2" s="5"/>
      <c r="C2" s="5"/>
      <c r="D2" s="5"/>
      <c r="E2" s="6"/>
      <c r="F2" s="50"/>
      <c r="G2" s="6"/>
      <c r="H2" s="7" t="s">
        <v>2</v>
      </c>
      <c r="I2" s="21" t="s">
        <v>3</v>
      </c>
      <c r="J2" s="21"/>
    </row>
    <row r="3" ht="17.25" customHeight="1" spans="1:10">
      <c r="A3" s="8" t="s">
        <v>4</v>
      </c>
      <c r="B3" s="8"/>
      <c r="C3" s="8"/>
      <c r="D3" s="8"/>
      <c r="E3" s="9"/>
      <c r="F3" s="51"/>
      <c r="G3" s="9"/>
      <c r="H3" s="52" t="s">
        <v>5</v>
      </c>
      <c r="I3" s="21" t="s">
        <v>6</v>
      </c>
      <c r="J3" s="22"/>
    </row>
    <row r="4" ht="17.25" customHeight="1" spans="1:10">
      <c r="A4" s="8" t="s">
        <v>7</v>
      </c>
      <c r="B4" s="8"/>
      <c r="C4" s="8"/>
      <c r="D4" s="8"/>
      <c r="E4" s="1"/>
      <c r="F4" s="53"/>
      <c r="G4" s="1"/>
      <c r="H4" s="52" t="s">
        <v>8</v>
      </c>
      <c r="I4" s="60">
        <v>43555</v>
      </c>
      <c r="J4" s="23"/>
    </row>
    <row r="5" s="1" customFormat="1" ht="17" customHeight="1" spans="1:11">
      <c r="A5" s="11" t="s">
        <v>9</v>
      </c>
      <c r="B5" s="12" t="s">
        <v>10</v>
      </c>
      <c r="C5" s="11" t="s">
        <v>11</v>
      </c>
      <c r="D5" s="11" t="s">
        <v>12</v>
      </c>
      <c r="E5" s="13" t="s">
        <v>13</v>
      </c>
      <c r="F5" s="13"/>
      <c r="G5" s="13"/>
      <c r="H5" s="11" t="s">
        <v>14</v>
      </c>
      <c r="I5" s="13" t="s">
        <v>15</v>
      </c>
      <c r="J5" s="13" t="s">
        <v>16</v>
      </c>
      <c r="K5" s="24" t="s">
        <v>17</v>
      </c>
    </row>
    <row r="6" s="1" customFormat="1" ht="27" customHeight="1" spans="1:11">
      <c r="A6" s="11"/>
      <c r="B6" s="12"/>
      <c r="C6" s="11"/>
      <c r="D6" s="11"/>
      <c r="E6" s="13" t="s">
        <v>18</v>
      </c>
      <c r="F6" s="13" t="s">
        <v>19</v>
      </c>
      <c r="G6" s="13" t="s">
        <v>20</v>
      </c>
      <c r="H6" s="11"/>
      <c r="I6" s="13"/>
      <c r="J6" s="13"/>
      <c r="K6" s="24"/>
    </row>
    <row r="7" s="46" customFormat="1" ht="20" customHeight="1" spans="1:11">
      <c r="A7" s="54">
        <v>1</v>
      </c>
      <c r="B7" s="55" t="s">
        <v>21</v>
      </c>
      <c r="C7" s="55" t="s">
        <v>22</v>
      </c>
      <c r="D7" s="56">
        <v>43530</v>
      </c>
      <c r="E7" s="54">
        <v>22</v>
      </c>
      <c r="F7" s="54">
        <v>1490</v>
      </c>
      <c r="G7" s="54">
        <v>1490</v>
      </c>
      <c r="H7" s="57">
        <v>21.5</v>
      </c>
      <c r="I7" s="61">
        <v>200</v>
      </c>
      <c r="J7" s="62">
        <f>SUM(G7*H7+I7)</f>
        <v>32235</v>
      </c>
      <c r="K7" s="63">
        <v>30069</v>
      </c>
    </row>
    <row r="8" s="46" customFormat="1" ht="20" customHeight="1" spans="1:11">
      <c r="A8" s="54">
        <v>2</v>
      </c>
      <c r="B8" s="55" t="s">
        <v>23</v>
      </c>
      <c r="C8" s="55" t="s">
        <v>22</v>
      </c>
      <c r="D8" s="56">
        <v>43532</v>
      </c>
      <c r="E8" s="54">
        <v>64</v>
      </c>
      <c r="F8" s="54">
        <v>1909</v>
      </c>
      <c r="G8" s="54">
        <v>1909</v>
      </c>
      <c r="H8" s="57">
        <v>21.1</v>
      </c>
      <c r="I8" s="64"/>
      <c r="J8" s="62">
        <f t="shared" ref="J8:J15" si="0">SUM(G8*H8+I8)</f>
        <v>40279.9</v>
      </c>
      <c r="K8" s="63">
        <v>30073</v>
      </c>
    </row>
    <row r="9" s="46" customFormat="1" ht="30" customHeight="1" spans="1:11">
      <c r="A9" s="54">
        <v>3</v>
      </c>
      <c r="B9" s="55" t="s">
        <v>24</v>
      </c>
      <c r="C9" s="55" t="s">
        <v>22</v>
      </c>
      <c r="D9" s="56">
        <v>43540</v>
      </c>
      <c r="E9" s="54">
        <v>37</v>
      </c>
      <c r="F9" s="54">
        <v>1708</v>
      </c>
      <c r="G9" s="54">
        <v>1708</v>
      </c>
      <c r="H9" s="57">
        <v>21.1</v>
      </c>
      <c r="I9" s="61"/>
      <c r="J9" s="62">
        <f t="shared" si="0"/>
        <v>36038.8</v>
      </c>
      <c r="K9" s="63" t="s">
        <v>25</v>
      </c>
    </row>
    <row r="10" s="46" customFormat="1" ht="21" customHeight="1" spans="1:11">
      <c r="A10" s="54">
        <v>4</v>
      </c>
      <c r="B10" s="55" t="s">
        <v>26</v>
      </c>
      <c r="C10" s="55" t="s">
        <v>22</v>
      </c>
      <c r="D10" s="56">
        <v>43547</v>
      </c>
      <c r="E10" s="54">
        <v>31</v>
      </c>
      <c r="F10" s="54">
        <v>2479</v>
      </c>
      <c r="G10" s="54">
        <v>2479</v>
      </c>
      <c r="H10" s="57">
        <v>22</v>
      </c>
      <c r="I10" s="64"/>
      <c r="J10" s="62">
        <f t="shared" si="0"/>
        <v>54538</v>
      </c>
      <c r="K10" s="63">
        <v>30110</v>
      </c>
    </row>
    <row r="11" s="46" customFormat="1" ht="30" customHeight="1" spans="1:11">
      <c r="A11" s="54">
        <v>5</v>
      </c>
      <c r="B11" s="55" t="s">
        <v>27</v>
      </c>
      <c r="C11" s="55" t="s">
        <v>22</v>
      </c>
      <c r="D11" s="56">
        <v>43547</v>
      </c>
      <c r="E11" s="54">
        <v>5</v>
      </c>
      <c r="F11" s="54">
        <v>1279</v>
      </c>
      <c r="G11" s="54">
        <v>1279</v>
      </c>
      <c r="H11" s="57">
        <v>22</v>
      </c>
      <c r="I11" s="64"/>
      <c r="J11" s="62">
        <f t="shared" si="0"/>
        <v>28138</v>
      </c>
      <c r="K11" s="63" t="s">
        <v>28</v>
      </c>
    </row>
    <row r="12" s="46" customFormat="1" ht="21" customHeight="1" spans="1:11">
      <c r="A12" s="54">
        <v>6</v>
      </c>
      <c r="B12" s="55" t="s">
        <v>29</v>
      </c>
      <c r="C12" s="55" t="s">
        <v>22</v>
      </c>
      <c r="D12" s="56">
        <v>43550</v>
      </c>
      <c r="E12" s="54">
        <v>5</v>
      </c>
      <c r="F12" s="54">
        <v>1794</v>
      </c>
      <c r="G12" s="54">
        <v>1794</v>
      </c>
      <c r="H12" s="57">
        <v>23.3</v>
      </c>
      <c r="I12" s="64"/>
      <c r="J12" s="62">
        <f t="shared" si="0"/>
        <v>41800.2</v>
      </c>
      <c r="K12" s="63">
        <v>30121</v>
      </c>
    </row>
    <row r="13" s="46" customFormat="1" ht="21" customHeight="1" spans="1:11">
      <c r="A13" s="54">
        <v>7</v>
      </c>
      <c r="B13" s="55" t="s">
        <v>30</v>
      </c>
      <c r="C13" s="55" t="s">
        <v>22</v>
      </c>
      <c r="D13" s="56">
        <v>43553</v>
      </c>
      <c r="E13" s="54">
        <v>13</v>
      </c>
      <c r="F13" s="54">
        <v>524</v>
      </c>
      <c r="G13" s="54">
        <v>524</v>
      </c>
      <c r="H13" s="57">
        <v>24</v>
      </c>
      <c r="I13" s="64"/>
      <c r="J13" s="62">
        <f t="shared" si="0"/>
        <v>12576</v>
      </c>
      <c r="K13" s="63">
        <v>30132</v>
      </c>
    </row>
    <row r="14" s="46" customFormat="1" ht="18" customHeight="1" spans="1:11">
      <c r="A14" s="54">
        <v>8</v>
      </c>
      <c r="B14" s="55" t="s">
        <v>31</v>
      </c>
      <c r="C14" s="55" t="s">
        <v>22</v>
      </c>
      <c r="D14" s="56">
        <v>43555</v>
      </c>
      <c r="E14" s="54">
        <v>21</v>
      </c>
      <c r="F14" s="54">
        <v>1288</v>
      </c>
      <c r="G14" s="54">
        <v>1288</v>
      </c>
      <c r="H14" s="57">
        <v>24</v>
      </c>
      <c r="I14" s="64"/>
      <c r="J14" s="62">
        <f t="shared" si="0"/>
        <v>30912</v>
      </c>
      <c r="K14" s="63">
        <v>30138</v>
      </c>
    </row>
    <row r="15" s="46" customFormat="1" ht="30" customHeight="1" spans="1:11">
      <c r="A15" s="54">
        <v>9</v>
      </c>
      <c r="B15" s="55" t="s">
        <v>32</v>
      </c>
      <c r="C15" s="55" t="s">
        <v>22</v>
      </c>
      <c r="D15" s="56">
        <v>43555</v>
      </c>
      <c r="E15" s="54">
        <v>126</v>
      </c>
      <c r="F15" s="54">
        <v>1710</v>
      </c>
      <c r="G15" s="54">
        <v>1710</v>
      </c>
      <c r="H15" s="57">
        <v>24</v>
      </c>
      <c r="I15" s="61">
        <v>500</v>
      </c>
      <c r="J15" s="62">
        <f t="shared" si="0"/>
        <v>41540</v>
      </c>
      <c r="K15" s="63" t="s">
        <v>33</v>
      </c>
    </row>
    <row r="16" s="47" customFormat="1" ht="18" customHeight="1" spans="1:11">
      <c r="A16" s="58" t="s">
        <v>34</v>
      </c>
      <c r="B16" s="58"/>
      <c r="C16" s="58"/>
      <c r="D16" s="58"/>
      <c r="E16" s="58"/>
      <c r="F16" s="58"/>
      <c r="G16" s="58"/>
      <c r="H16" s="58"/>
      <c r="I16" s="58"/>
      <c r="J16" s="65">
        <f>SUM(J7:J15)</f>
        <v>318057.9</v>
      </c>
      <c r="K16" s="66"/>
    </row>
  </sheetData>
  <mergeCells count="20">
    <mergeCell ref="A1:K1"/>
    <mergeCell ref="A2:D2"/>
    <mergeCell ref="E2:G2"/>
    <mergeCell ref="I2:J2"/>
    <mergeCell ref="A3:D3"/>
    <mergeCell ref="E3:G3"/>
    <mergeCell ref="I3:J3"/>
    <mergeCell ref="A4:D4"/>
    <mergeCell ref="E4:G4"/>
    <mergeCell ref="I4:J4"/>
    <mergeCell ref="E5:G5"/>
    <mergeCell ref="A16:I16"/>
    <mergeCell ref="A5:A6"/>
    <mergeCell ref="B5:B6"/>
    <mergeCell ref="C5:C6"/>
    <mergeCell ref="D5:D6"/>
    <mergeCell ref="H5:H6"/>
    <mergeCell ref="I5:I6"/>
    <mergeCell ref="J5:J6"/>
    <mergeCell ref="K5:K6"/>
  </mergeCells>
  <hyperlinks>
    <hyperlink ref="A1" r:id="rId1" display=" 广 州 易 站 跨 境 电 商 有 限 公 司&#10;"/>
  </hyperlinks>
  <pageMargins left="0.156944444444444" right="0.156944444444444" top="0.393055555555556" bottom="0.75" header="0.196527777777778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9"/>
  <sheetViews>
    <sheetView workbookViewId="0">
      <selection activeCell="N7" sqref="N7"/>
    </sheetView>
  </sheetViews>
  <sheetFormatPr defaultColWidth="9" defaultRowHeight="15.75"/>
  <cols>
    <col min="1" max="1" width="7.16666666666667" customWidth="1"/>
    <col min="2" max="2" width="16.8333333333333" customWidth="1"/>
    <col min="3" max="3" width="6.74444444444444" customWidth="1"/>
    <col min="4" max="4" width="14.3333333333333" customWidth="1"/>
    <col min="5" max="5" width="3.16666666666667" customWidth="1"/>
    <col min="6" max="6" width="11.5" customWidth="1"/>
    <col min="7" max="7" width="11.7777777777778" customWidth="1"/>
    <col min="8" max="8" width="11.6666666666667" customWidth="1"/>
    <col min="9" max="9" width="7.5" customWidth="1"/>
    <col min="10" max="10" width="18.6666666666667" customWidth="1"/>
    <col min="11" max="11" width="15.9666666666667" style="3" customWidth="1"/>
  </cols>
  <sheetData>
    <row r="1" ht="32" customHeight="1" spans="1:1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20"/>
    </row>
    <row r="2" ht="23" customHeight="1" spans="1:10">
      <c r="A2" s="5" t="s">
        <v>1</v>
      </c>
      <c r="B2" s="5"/>
      <c r="C2" s="5"/>
      <c r="D2" s="5"/>
      <c r="E2" s="6"/>
      <c r="F2" s="6"/>
      <c r="G2" s="6"/>
      <c r="H2" s="7" t="s">
        <v>2</v>
      </c>
      <c r="I2" s="21" t="s">
        <v>3</v>
      </c>
      <c r="J2" s="21"/>
    </row>
    <row r="3" ht="17.25" customHeight="1" spans="1:10">
      <c r="A3" s="8" t="s">
        <v>4</v>
      </c>
      <c r="B3" s="8"/>
      <c r="C3" s="8"/>
      <c r="D3" s="8"/>
      <c r="E3" s="9"/>
      <c r="F3" s="9"/>
      <c r="G3" s="9"/>
      <c r="H3" s="10" t="s">
        <v>5</v>
      </c>
      <c r="I3" s="22" t="s">
        <v>6</v>
      </c>
      <c r="J3" s="22"/>
    </row>
    <row r="4" ht="17.25" customHeight="1" spans="1:10">
      <c r="A4" s="8" t="s">
        <v>7</v>
      </c>
      <c r="B4" s="8"/>
      <c r="C4" s="8"/>
      <c r="D4" s="8"/>
      <c r="E4" s="1"/>
      <c r="F4" s="1"/>
      <c r="G4" s="1"/>
      <c r="H4" s="10" t="s">
        <v>8</v>
      </c>
      <c r="I4" s="23">
        <v>43555</v>
      </c>
      <c r="J4" s="23"/>
    </row>
    <row r="5" s="1" customFormat="1" ht="27" customHeight="1" spans="1:11">
      <c r="A5" s="31" t="s">
        <v>9</v>
      </c>
      <c r="B5" s="32" t="s">
        <v>10</v>
      </c>
      <c r="C5" s="31" t="s">
        <v>11</v>
      </c>
      <c r="D5" s="15" t="s">
        <v>12</v>
      </c>
      <c r="E5" s="15" t="s">
        <v>13</v>
      </c>
      <c r="F5" s="15"/>
      <c r="G5" s="15"/>
      <c r="H5" s="31" t="s">
        <v>14</v>
      </c>
      <c r="I5" s="31" t="s">
        <v>15</v>
      </c>
      <c r="J5" s="15" t="s">
        <v>16</v>
      </c>
      <c r="K5" s="29" t="s">
        <v>17</v>
      </c>
    </row>
    <row r="6" s="1" customFormat="1" ht="29" customHeight="1" spans="1:11">
      <c r="A6" s="31"/>
      <c r="B6" s="32"/>
      <c r="C6" s="31"/>
      <c r="D6" s="15"/>
      <c r="E6" s="15" t="s">
        <v>18</v>
      </c>
      <c r="F6" s="32" t="s">
        <v>19</v>
      </c>
      <c r="G6" s="15" t="s">
        <v>20</v>
      </c>
      <c r="H6" s="31"/>
      <c r="I6" s="31"/>
      <c r="J6" s="15"/>
      <c r="K6" s="29"/>
    </row>
    <row r="7" s="2" customFormat="1" ht="58" customHeight="1" spans="1:11">
      <c r="A7" s="14">
        <v>1</v>
      </c>
      <c r="B7" s="15" t="s">
        <v>35</v>
      </c>
      <c r="C7" s="15" t="s">
        <v>36</v>
      </c>
      <c r="D7" s="43">
        <v>43540</v>
      </c>
      <c r="E7" s="14">
        <v>37</v>
      </c>
      <c r="F7" s="44">
        <v>1708</v>
      </c>
      <c r="G7" s="14">
        <v>1708</v>
      </c>
      <c r="H7" s="18">
        <v>21.1</v>
      </c>
      <c r="I7" s="25"/>
      <c r="J7" s="26">
        <v>36038.8</v>
      </c>
      <c r="K7" s="27" t="s">
        <v>25</v>
      </c>
    </row>
    <row r="8" s="2" customFormat="1" ht="58" customHeight="1" spans="1:11">
      <c r="A8" s="14">
        <v>2</v>
      </c>
      <c r="B8" s="15" t="s">
        <v>37</v>
      </c>
      <c r="C8" s="15" t="s">
        <v>36</v>
      </c>
      <c r="D8" s="43">
        <v>43547</v>
      </c>
      <c r="E8" s="14">
        <v>5</v>
      </c>
      <c r="F8" s="44">
        <v>1279</v>
      </c>
      <c r="G8" s="14">
        <v>1279</v>
      </c>
      <c r="H8" s="18">
        <v>22</v>
      </c>
      <c r="I8" s="25"/>
      <c r="J8" s="26">
        <v>28138</v>
      </c>
      <c r="K8" s="27" t="s">
        <v>28</v>
      </c>
    </row>
    <row r="9" customFormat="1" ht="37" customHeight="1" spans="1:11">
      <c r="A9" s="37" t="s">
        <v>38</v>
      </c>
      <c r="B9" s="37"/>
      <c r="C9" s="37"/>
      <c r="D9" s="37"/>
      <c r="E9" s="37"/>
      <c r="F9" s="37"/>
      <c r="G9" s="37"/>
      <c r="H9" s="37"/>
      <c r="I9" s="37"/>
      <c r="J9" s="45">
        <f>SUM(J7:J8)</f>
        <v>64176.8</v>
      </c>
      <c r="K9" s="29"/>
    </row>
  </sheetData>
  <mergeCells count="20">
    <mergeCell ref="A1:K1"/>
    <mergeCell ref="A2:D2"/>
    <mergeCell ref="E2:G2"/>
    <mergeCell ref="I2:J2"/>
    <mergeCell ref="A3:D3"/>
    <mergeCell ref="E3:G3"/>
    <mergeCell ref="I3:J3"/>
    <mergeCell ref="A4:D4"/>
    <mergeCell ref="E4:G4"/>
    <mergeCell ref="I4:J4"/>
    <mergeCell ref="E5:G5"/>
    <mergeCell ref="A9:I9"/>
    <mergeCell ref="A5:A6"/>
    <mergeCell ref="B5:B6"/>
    <mergeCell ref="C5:C6"/>
    <mergeCell ref="D5:D6"/>
    <mergeCell ref="H5:H6"/>
    <mergeCell ref="I5:I6"/>
    <mergeCell ref="J5:J6"/>
    <mergeCell ref="K5:K6"/>
  </mergeCells>
  <hyperlinks>
    <hyperlink ref="A1" r:id="rId1" display=" 广 州 易 站 跨 境 电 商 有 限 公 司&#10;"/>
  </hyperlinks>
  <printOptions horizontalCentered="1"/>
  <pageMargins left="0.393055555555556" right="0.156944444444444" top="0.511805555555556" bottom="0.751388888888889" header="0.298611111111111" footer="0.298611111111111"/>
  <pageSetup paperSize="9" scale="91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9"/>
  <sheetViews>
    <sheetView workbookViewId="0">
      <selection activeCell="J9" sqref="J9"/>
    </sheetView>
  </sheetViews>
  <sheetFormatPr defaultColWidth="9" defaultRowHeight="15.75"/>
  <cols>
    <col min="1" max="1" width="6" customWidth="1"/>
    <col min="2" max="2" width="16.8333333333333" customWidth="1"/>
    <col min="3" max="3" width="7.83333333333333" customWidth="1"/>
    <col min="4" max="4" width="9.16666666666667" customWidth="1"/>
    <col min="5" max="5" width="9.83333333333333" customWidth="1"/>
    <col min="6" max="6" width="10.1666666666667" customWidth="1"/>
    <col min="7" max="7" width="8" customWidth="1"/>
    <col min="8" max="8" width="11.6666666666667" customWidth="1"/>
    <col min="9" max="9" width="9.5" customWidth="1"/>
    <col min="10" max="10" width="16" customWidth="1"/>
    <col min="11" max="11" width="15.5" style="3" customWidth="1"/>
  </cols>
  <sheetData>
    <row r="1" ht="32" customHeight="1" spans="1:1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20"/>
    </row>
    <row r="2" ht="23" customHeight="1" spans="1:10">
      <c r="A2" s="5" t="s">
        <v>1</v>
      </c>
      <c r="B2" s="5"/>
      <c r="C2" s="5"/>
      <c r="D2" s="5"/>
      <c r="E2" s="6"/>
      <c r="F2" s="6"/>
      <c r="G2" s="6"/>
      <c r="H2" s="7" t="s">
        <v>2</v>
      </c>
      <c r="I2" s="21" t="s">
        <v>3</v>
      </c>
      <c r="J2" s="21"/>
    </row>
    <row r="3" ht="17.25" customHeight="1" spans="1:10">
      <c r="A3" s="8" t="s">
        <v>4</v>
      </c>
      <c r="B3" s="8"/>
      <c r="C3" s="8"/>
      <c r="D3" s="8"/>
      <c r="E3" s="9"/>
      <c r="F3" s="9"/>
      <c r="G3" s="9"/>
      <c r="H3" s="10" t="s">
        <v>5</v>
      </c>
      <c r="I3" s="22" t="s">
        <v>6</v>
      </c>
      <c r="J3" s="22"/>
    </row>
    <row r="4" ht="17.25" customHeight="1" spans="1:10">
      <c r="A4" s="8" t="s">
        <v>7</v>
      </c>
      <c r="B4" s="8"/>
      <c r="C4" s="8"/>
      <c r="D4" s="8"/>
      <c r="E4" s="1"/>
      <c r="F4" s="1"/>
      <c r="G4" s="1"/>
      <c r="H4" s="10" t="s">
        <v>8</v>
      </c>
      <c r="I4" s="23">
        <v>43555</v>
      </c>
      <c r="J4" s="23"/>
    </row>
    <row r="5" s="1" customFormat="1" ht="27" customHeight="1" spans="1:11">
      <c r="A5" s="31" t="s">
        <v>9</v>
      </c>
      <c r="B5" s="32" t="s">
        <v>10</v>
      </c>
      <c r="C5" s="31" t="s">
        <v>11</v>
      </c>
      <c r="D5" s="31" t="s">
        <v>12</v>
      </c>
      <c r="E5" s="15" t="s">
        <v>13</v>
      </c>
      <c r="F5" s="15"/>
      <c r="G5" s="15"/>
      <c r="H5" s="31" t="s">
        <v>14</v>
      </c>
      <c r="I5" s="31" t="s">
        <v>15</v>
      </c>
      <c r="J5" s="15" t="s">
        <v>16</v>
      </c>
      <c r="K5" s="29" t="s">
        <v>17</v>
      </c>
    </row>
    <row r="6" s="1" customFormat="1" ht="49" customHeight="1" spans="1:11">
      <c r="A6" s="31"/>
      <c r="B6" s="32"/>
      <c r="C6" s="31"/>
      <c r="D6" s="31"/>
      <c r="E6" s="15" t="s">
        <v>18</v>
      </c>
      <c r="F6" s="15" t="s">
        <v>19</v>
      </c>
      <c r="G6" s="15" t="s">
        <v>20</v>
      </c>
      <c r="H6" s="31"/>
      <c r="I6" s="31"/>
      <c r="J6" s="15"/>
      <c r="K6" s="29"/>
    </row>
    <row r="7" s="30" customFormat="1" ht="43" customHeight="1" spans="1:11">
      <c r="A7" s="33">
        <v>3</v>
      </c>
      <c r="B7" s="34" t="s">
        <v>21</v>
      </c>
      <c r="C7" s="34" t="s">
        <v>22</v>
      </c>
      <c r="D7" s="35">
        <v>43530</v>
      </c>
      <c r="E7" s="33">
        <v>22</v>
      </c>
      <c r="F7" s="33">
        <v>1490</v>
      </c>
      <c r="G7" s="33">
        <v>1490</v>
      </c>
      <c r="H7" s="36">
        <v>21.5</v>
      </c>
      <c r="I7" s="38">
        <v>200</v>
      </c>
      <c r="J7" s="39">
        <f>SUM(G7*H7+I7)</f>
        <v>32235</v>
      </c>
      <c r="K7" s="40">
        <v>30069</v>
      </c>
    </row>
    <row r="8" s="30" customFormat="1" ht="43" customHeight="1" spans="1:11">
      <c r="A8" s="33">
        <v>9</v>
      </c>
      <c r="B8" s="34" t="s">
        <v>32</v>
      </c>
      <c r="C8" s="34" t="s">
        <v>22</v>
      </c>
      <c r="D8" s="35">
        <v>43555</v>
      </c>
      <c r="E8" s="33">
        <v>126</v>
      </c>
      <c r="F8" s="33">
        <v>1710</v>
      </c>
      <c r="G8" s="33">
        <v>1710</v>
      </c>
      <c r="H8" s="36">
        <v>24</v>
      </c>
      <c r="I8" s="41">
        <v>500</v>
      </c>
      <c r="J8" s="39">
        <f>SUM(G8*H8+I8)</f>
        <v>41540</v>
      </c>
      <c r="K8" s="40" t="s">
        <v>33</v>
      </c>
    </row>
    <row r="9" ht="37" customHeight="1" spans="1:11">
      <c r="A9" s="37" t="s">
        <v>38</v>
      </c>
      <c r="B9" s="37"/>
      <c r="C9" s="37"/>
      <c r="D9" s="37"/>
      <c r="E9" s="37"/>
      <c r="F9" s="37"/>
      <c r="G9" s="37"/>
      <c r="H9" s="37"/>
      <c r="I9" s="37"/>
      <c r="J9" s="42">
        <f>SUM(J7:J8)</f>
        <v>73775</v>
      </c>
      <c r="K9" s="29"/>
    </row>
  </sheetData>
  <mergeCells count="20">
    <mergeCell ref="A1:K1"/>
    <mergeCell ref="A2:D2"/>
    <mergeCell ref="E2:G2"/>
    <mergeCell ref="I2:J2"/>
    <mergeCell ref="A3:D3"/>
    <mergeCell ref="E3:G3"/>
    <mergeCell ref="I3:J3"/>
    <mergeCell ref="A4:D4"/>
    <mergeCell ref="E4:G4"/>
    <mergeCell ref="I4:J4"/>
    <mergeCell ref="E5:G5"/>
    <mergeCell ref="A9:I9"/>
    <mergeCell ref="A5:A6"/>
    <mergeCell ref="B5:B6"/>
    <mergeCell ref="C5:C6"/>
    <mergeCell ref="D5:D6"/>
    <mergeCell ref="H5:H6"/>
    <mergeCell ref="I5:I6"/>
    <mergeCell ref="J5:J6"/>
    <mergeCell ref="K5:K6"/>
  </mergeCells>
  <hyperlinks>
    <hyperlink ref="A1" r:id="rId1" display=" 广 州 易 站 跨 境 电 商 有 限 公 司&#10;"/>
  </hyperlinks>
  <pageMargins left="0.393055555555556" right="0.393055555555556" top="0.511805555555556" bottom="0.75" header="0.3" footer="0.3"/>
  <pageSetup paperSize="9" scale="88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0"/>
  <sheetViews>
    <sheetView workbookViewId="0">
      <selection activeCell="H13" sqref="H13"/>
    </sheetView>
  </sheetViews>
  <sheetFormatPr defaultColWidth="9" defaultRowHeight="15.75"/>
  <cols>
    <col min="1" max="1" width="7.16666666666667" customWidth="1"/>
    <col min="2" max="2" width="16.8333333333333" customWidth="1"/>
    <col min="3" max="3" width="11.5555555555556" customWidth="1"/>
    <col min="4" max="4" width="13.5" customWidth="1"/>
    <col min="5" max="5" width="9.83333333333333" customWidth="1"/>
    <col min="6" max="6" width="11.3333333333333" customWidth="1"/>
    <col min="7" max="7" width="11.7777777777778" customWidth="1"/>
    <col min="8" max="8" width="11.6666666666667" customWidth="1"/>
    <col min="9" max="9" width="9.5" customWidth="1"/>
    <col min="10" max="10" width="26.8333333333333" customWidth="1"/>
    <col min="11" max="11" width="19.5" style="3" customWidth="1"/>
  </cols>
  <sheetData>
    <row r="1" ht="32" customHeight="1" spans="1:1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20"/>
    </row>
    <row r="2" ht="23" customHeight="1" spans="1:10">
      <c r="A2" s="5" t="s">
        <v>1</v>
      </c>
      <c r="B2" s="5"/>
      <c r="C2" s="5"/>
      <c r="D2" s="5"/>
      <c r="E2" s="6"/>
      <c r="F2" s="6"/>
      <c r="G2" s="6"/>
      <c r="H2" s="7" t="s">
        <v>2</v>
      </c>
      <c r="I2" s="21" t="s">
        <v>3</v>
      </c>
      <c r="J2" s="21"/>
    </row>
    <row r="3" ht="17.25" customHeight="1" spans="1:10">
      <c r="A3" s="8" t="s">
        <v>4</v>
      </c>
      <c r="B3" s="8"/>
      <c r="C3" s="8"/>
      <c r="D3" s="8"/>
      <c r="E3" s="9"/>
      <c r="F3" s="9"/>
      <c r="G3" s="9"/>
      <c r="H3" s="10" t="s">
        <v>5</v>
      </c>
      <c r="I3" s="22" t="s">
        <v>6</v>
      </c>
      <c r="J3" s="22"/>
    </row>
    <row r="4" ht="17.25" customHeight="1" spans="1:10">
      <c r="A4" s="8" t="s">
        <v>7</v>
      </c>
      <c r="B4" s="8"/>
      <c r="C4" s="8"/>
      <c r="D4" s="8"/>
      <c r="E4" s="1"/>
      <c r="F4" s="1"/>
      <c r="G4" s="1"/>
      <c r="H4" s="10" t="s">
        <v>8</v>
      </c>
      <c r="I4" s="23">
        <v>43555</v>
      </c>
      <c r="J4" s="23"/>
    </row>
    <row r="5" s="1" customFormat="1" ht="27" customHeight="1" spans="1:11">
      <c r="A5" s="11" t="s">
        <v>9</v>
      </c>
      <c r="B5" s="12" t="s">
        <v>10</v>
      </c>
      <c r="C5" s="11" t="s">
        <v>11</v>
      </c>
      <c r="D5" s="11" t="s">
        <v>12</v>
      </c>
      <c r="E5" s="13" t="s">
        <v>13</v>
      </c>
      <c r="F5" s="13"/>
      <c r="G5" s="13"/>
      <c r="H5" s="11" t="s">
        <v>14</v>
      </c>
      <c r="I5" s="11" t="s">
        <v>15</v>
      </c>
      <c r="J5" s="13" t="s">
        <v>16</v>
      </c>
      <c r="K5" s="24" t="s">
        <v>17</v>
      </c>
    </row>
    <row r="6" s="1" customFormat="1" ht="17.25" customHeight="1" spans="1:11">
      <c r="A6" s="11"/>
      <c r="B6" s="12"/>
      <c r="C6" s="11"/>
      <c r="D6" s="11"/>
      <c r="E6" s="13" t="s">
        <v>18</v>
      </c>
      <c r="F6" s="12" t="s">
        <v>19</v>
      </c>
      <c r="G6" s="13" t="s">
        <v>20</v>
      </c>
      <c r="H6" s="11"/>
      <c r="I6" s="11"/>
      <c r="J6" s="13"/>
      <c r="K6" s="24"/>
    </row>
    <row r="7" s="2" customFormat="1" ht="33" customHeight="1" spans="1:11">
      <c r="A7" s="14">
        <v>4</v>
      </c>
      <c r="B7" s="15" t="s">
        <v>39</v>
      </c>
      <c r="C7" s="15" t="s">
        <v>36</v>
      </c>
      <c r="D7" s="16">
        <v>43532</v>
      </c>
      <c r="E7" s="14">
        <v>64</v>
      </c>
      <c r="F7" s="17">
        <v>1909</v>
      </c>
      <c r="G7" s="14">
        <v>1909</v>
      </c>
      <c r="H7" s="18">
        <v>21.1</v>
      </c>
      <c r="I7" s="25"/>
      <c r="J7" s="26">
        <f>SUM(G7*H7+I7)</f>
        <v>40279.9</v>
      </c>
      <c r="K7" s="27">
        <v>30073</v>
      </c>
    </row>
    <row r="8" s="2" customFormat="1" ht="33" customHeight="1" spans="1:11">
      <c r="A8" s="14">
        <v>5</v>
      </c>
      <c r="B8" s="15" t="s">
        <v>40</v>
      </c>
      <c r="C8" s="15" t="s">
        <v>36</v>
      </c>
      <c r="D8" s="16">
        <v>43547</v>
      </c>
      <c r="E8" s="14">
        <v>31</v>
      </c>
      <c r="F8" s="17">
        <v>2479</v>
      </c>
      <c r="G8" s="14">
        <v>2479</v>
      </c>
      <c r="H8" s="18">
        <v>22</v>
      </c>
      <c r="I8" s="25"/>
      <c r="J8" s="26">
        <f>SUM(G8*H8+I8)</f>
        <v>54538</v>
      </c>
      <c r="K8" s="27">
        <v>30110</v>
      </c>
    </row>
    <row r="9" s="2" customFormat="1" ht="33" customHeight="1" spans="1:11">
      <c r="A9" s="14">
        <v>7</v>
      </c>
      <c r="B9" s="15" t="s">
        <v>41</v>
      </c>
      <c r="C9" s="15" t="s">
        <v>36</v>
      </c>
      <c r="D9" s="16">
        <v>43553</v>
      </c>
      <c r="E9" s="14">
        <v>13</v>
      </c>
      <c r="F9" s="17">
        <v>524</v>
      </c>
      <c r="G9" s="14">
        <v>524</v>
      </c>
      <c r="H9" s="18">
        <v>24</v>
      </c>
      <c r="I9" s="25"/>
      <c r="J9" s="26">
        <f>SUM(G9*H9+I9)</f>
        <v>12576</v>
      </c>
      <c r="K9" s="27">
        <v>30132</v>
      </c>
    </row>
    <row r="10" ht="37" customHeight="1" spans="1:11">
      <c r="A10" s="19" t="s">
        <v>38</v>
      </c>
      <c r="B10" s="19"/>
      <c r="C10" s="19"/>
      <c r="D10" s="19"/>
      <c r="E10" s="19"/>
      <c r="F10" s="19"/>
      <c r="G10" s="19"/>
      <c r="H10" s="19"/>
      <c r="I10" s="19"/>
      <c r="J10" s="28">
        <f>SUM(J7:J9)</f>
        <v>107393.9</v>
      </c>
      <c r="K10" s="29"/>
    </row>
  </sheetData>
  <mergeCells count="20">
    <mergeCell ref="A1:K1"/>
    <mergeCell ref="A2:D2"/>
    <mergeCell ref="E2:G2"/>
    <mergeCell ref="I2:J2"/>
    <mergeCell ref="A3:D3"/>
    <mergeCell ref="E3:G3"/>
    <mergeCell ref="I3:J3"/>
    <mergeCell ref="A4:D4"/>
    <mergeCell ref="E4:G4"/>
    <mergeCell ref="I4:J4"/>
    <mergeCell ref="E5:G5"/>
    <mergeCell ref="A10:I10"/>
    <mergeCell ref="A5:A6"/>
    <mergeCell ref="B5:B6"/>
    <mergeCell ref="C5:C6"/>
    <mergeCell ref="D5:D6"/>
    <mergeCell ref="H5:H6"/>
    <mergeCell ref="I5:I6"/>
    <mergeCell ref="J5:J6"/>
    <mergeCell ref="K5:K6"/>
  </mergeCells>
  <hyperlinks>
    <hyperlink ref="A1" r:id="rId1" display=" 广 州 易 站 跨 境 电 商 有 限 公 司&#10;"/>
  </hyperlinks>
  <pageMargins left="0.7" right="0.7" top="0.75" bottom="0.75" header="0.3" footer="0.3"/>
  <pageSetup paperSize="9" scale="65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9"/>
  <sheetViews>
    <sheetView tabSelected="1" workbookViewId="0">
      <selection activeCell="I22" sqref="I22"/>
    </sheetView>
  </sheetViews>
  <sheetFormatPr defaultColWidth="9" defaultRowHeight="15.75"/>
  <cols>
    <col min="1" max="1" width="7.16666666666667" customWidth="1"/>
    <col min="2" max="2" width="19.1666666666667" customWidth="1"/>
    <col min="3" max="3" width="11.5555555555556" customWidth="1"/>
    <col min="4" max="4" width="13.5" customWidth="1"/>
    <col min="5" max="5" width="9.83333333333333" customWidth="1"/>
    <col min="6" max="6" width="11.3333333333333" customWidth="1"/>
    <col min="7" max="7" width="11.7777777777778" customWidth="1"/>
    <col min="8" max="8" width="11.6666666666667" customWidth="1"/>
    <col min="9" max="9" width="9.5" customWidth="1"/>
    <col min="10" max="10" width="26.8333333333333" customWidth="1"/>
    <col min="11" max="11" width="23.1666666666667" style="3" customWidth="1"/>
  </cols>
  <sheetData>
    <row r="1" ht="32" customHeight="1" spans="1:1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20"/>
    </row>
    <row r="2" ht="23" customHeight="1" spans="1:10">
      <c r="A2" s="5" t="s">
        <v>1</v>
      </c>
      <c r="B2" s="5"/>
      <c r="C2" s="5"/>
      <c r="D2" s="5"/>
      <c r="E2" s="6"/>
      <c r="F2" s="6"/>
      <c r="G2" s="6"/>
      <c r="H2" s="7" t="s">
        <v>2</v>
      </c>
      <c r="I2" s="21" t="s">
        <v>3</v>
      </c>
      <c r="J2" s="21"/>
    </row>
    <row r="3" ht="17.25" customHeight="1" spans="1:10">
      <c r="A3" s="8" t="s">
        <v>4</v>
      </c>
      <c r="B3" s="8"/>
      <c r="C3" s="8"/>
      <c r="D3" s="8"/>
      <c r="E3" s="9"/>
      <c r="F3" s="9"/>
      <c r="G3" s="9"/>
      <c r="H3" s="10" t="s">
        <v>5</v>
      </c>
      <c r="I3" s="22" t="s">
        <v>6</v>
      </c>
      <c r="J3" s="22"/>
    </row>
    <row r="4" ht="17.25" customHeight="1" spans="1:10">
      <c r="A4" s="8" t="s">
        <v>7</v>
      </c>
      <c r="B4" s="8"/>
      <c r="C4" s="8"/>
      <c r="D4" s="8"/>
      <c r="E4" s="1"/>
      <c r="F4" s="1"/>
      <c r="G4" s="1"/>
      <c r="H4" s="10" t="s">
        <v>8</v>
      </c>
      <c r="I4" s="23">
        <v>43555</v>
      </c>
      <c r="J4" s="23"/>
    </row>
    <row r="5" s="1" customFormat="1" ht="27" customHeight="1" spans="1:11">
      <c r="A5" s="11" t="s">
        <v>9</v>
      </c>
      <c r="B5" s="12" t="s">
        <v>10</v>
      </c>
      <c r="C5" s="11" t="s">
        <v>11</v>
      </c>
      <c r="D5" s="11" t="s">
        <v>12</v>
      </c>
      <c r="E5" s="13" t="s">
        <v>13</v>
      </c>
      <c r="F5" s="13"/>
      <c r="G5" s="13"/>
      <c r="H5" s="11" t="s">
        <v>14</v>
      </c>
      <c r="I5" s="11" t="s">
        <v>15</v>
      </c>
      <c r="J5" s="13" t="s">
        <v>16</v>
      </c>
      <c r="K5" s="24" t="s">
        <v>17</v>
      </c>
    </row>
    <row r="6" s="1" customFormat="1" ht="17.25" customHeight="1" spans="1:11">
      <c r="A6" s="11"/>
      <c r="B6" s="12"/>
      <c r="C6" s="11"/>
      <c r="D6" s="11"/>
      <c r="E6" s="13" t="s">
        <v>18</v>
      </c>
      <c r="F6" s="12" t="s">
        <v>19</v>
      </c>
      <c r="G6" s="13" t="s">
        <v>20</v>
      </c>
      <c r="H6" s="11"/>
      <c r="I6" s="11"/>
      <c r="J6" s="13"/>
      <c r="K6" s="24"/>
    </row>
    <row r="7" s="2" customFormat="1" ht="33" customHeight="1" spans="1:11">
      <c r="A7" s="14">
        <v>6</v>
      </c>
      <c r="B7" s="15" t="s">
        <v>42</v>
      </c>
      <c r="C7" s="15" t="s">
        <v>36</v>
      </c>
      <c r="D7" s="16">
        <v>43550</v>
      </c>
      <c r="E7" s="14">
        <v>5</v>
      </c>
      <c r="F7" s="17">
        <v>1794</v>
      </c>
      <c r="G7" s="14">
        <v>1794</v>
      </c>
      <c r="H7" s="18">
        <v>23.3</v>
      </c>
      <c r="I7" s="25"/>
      <c r="J7" s="26">
        <f>SUM(G7*H7+I7)</f>
        <v>41800.2</v>
      </c>
      <c r="K7" s="27">
        <v>30121</v>
      </c>
    </row>
    <row r="8" s="2" customFormat="1" ht="33" customHeight="1" spans="1:11">
      <c r="A8" s="14">
        <v>8</v>
      </c>
      <c r="B8" s="15" t="s">
        <v>43</v>
      </c>
      <c r="C8" s="15" t="s">
        <v>36</v>
      </c>
      <c r="D8" s="16">
        <v>43555</v>
      </c>
      <c r="E8" s="14">
        <v>21</v>
      </c>
      <c r="F8" s="17">
        <v>1288</v>
      </c>
      <c r="G8" s="14">
        <v>1288</v>
      </c>
      <c r="H8" s="18">
        <v>24</v>
      </c>
      <c r="I8" s="25"/>
      <c r="J8" s="26">
        <f>SUM(G8*H8+I8)</f>
        <v>30912</v>
      </c>
      <c r="K8" s="27">
        <v>30138</v>
      </c>
    </row>
    <row r="9" ht="37" customHeight="1" spans="1:11">
      <c r="A9" s="19" t="s">
        <v>38</v>
      </c>
      <c r="B9" s="19"/>
      <c r="C9" s="19"/>
      <c r="D9" s="19"/>
      <c r="E9" s="19"/>
      <c r="F9" s="19"/>
      <c r="G9" s="19"/>
      <c r="H9" s="19"/>
      <c r="I9" s="19"/>
      <c r="J9" s="28">
        <f>SUM(J7:J8)</f>
        <v>72712.2</v>
      </c>
      <c r="K9" s="29"/>
    </row>
  </sheetData>
  <mergeCells count="20">
    <mergeCell ref="A1:K1"/>
    <mergeCell ref="A2:D2"/>
    <mergeCell ref="E2:G2"/>
    <mergeCell ref="I2:J2"/>
    <mergeCell ref="A3:D3"/>
    <mergeCell ref="E3:G3"/>
    <mergeCell ref="I3:J3"/>
    <mergeCell ref="A4:D4"/>
    <mergeCell ref="E4:G4"/>
    <mergeCell ref="I4:J4"/>
    <mergeCell ref="E5:G5"/>
    <mergeCell ref="A9:I9"/>
    <mergeCell ref="A5:A6"/>
    <mergeCell ref="B5:B6"/>
    <mergeCell ref="C5:C6"/>
    <mergeCell ref="D5:D6"/>
    <mergeCell ref="H5:H6"/>
    <mergeCell ref="I5:I6"/>
    <mergeCell ref="J5:J6"/>
    <mergeCell ref="K5:K6"/>
  </mergeCells>
  <hyperlinks>
    <hyperlink ref="A1" r:id="rId1" display=" 广 州 易 站 跨 境 电 商 有 限 公 司&#10;"/>
  </hyperlinks>
  <pageMargins left="0.472222222222222" right="0.393055555555556" top="0.747916666666667" bottom="0.75" header="0.3" footer="0.3"/>
  <pageSetup paperSize="9" scale="67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总欠</vt:lpstr>
      <vt:lpstr>4月16日公帐支付</vt:lpstr>
      <vt:lpstr>4月18日公帐支付</vt:lpstr>
      <vt:lpstr>4月24日公帐支付</vt:lpstr>
      <vt:lpstr>4月26日公帐支付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/mg</cp:lastModifiedBy>
  <dcterms:created xsi:type="dcterms:W3CDTF">2019-04-10T06:07:00Z</dcterms:created>
  <dcterms:modified xsi:type="dcterms:W3CDTF">2019-04-26T07:42:54Z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