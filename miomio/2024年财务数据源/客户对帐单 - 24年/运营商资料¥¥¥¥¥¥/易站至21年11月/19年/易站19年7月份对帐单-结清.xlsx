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3"/>
  </bookViews>
  <sheets>
    <sheet name="总欠" sheetId="1" r:id="rId1"/>
    <sheet name="8月29日公账支付" sheetId="2" r:id="rId2"/>
    <sheet name="8月30日公账支付" sheetId="4" r:id="rId3"/>
    <sheet name="9月18日私账支付" sheetId="5" r:id="rId4"/>
  </sheets>
  <calcPr calcId="144525"/>
</workbook>
</file>

<file path=xl/sharedStrings.xml><?xml version="1.0" encoding="utf-8"?>
<sst xmlns="http://schemas.openxmlformats.org/spreadsheetml/2006/main" count="53" uniqueCount="18">
  <si>
    <t xml:space="preserve"> 广 州 易 站 跨 境 电 商 有 限 公 司
   GUANGZHOU E-STATION INTERNATIONAL LOGISTICS LIMITED</t>
  </si>
  <si>
    <r>
      <rPr>
        <sz val="11"/>
        <rFont val="宋体"/>
        <charset val="134"/>
      </rPr>
      <t>财务：Martin   电话：020-31234423</t>
    </r>
  </si>
  <si>
    <r>
      <rPr>
        <sz val="11"/>
        <rFont val="宋体"/>
        <charset val="134"/>
      </rPr>
      <t>公司地址：广州市白云区云城东路565号云璟汇1号楼1915房</t>
    </r>
  </si>
  <si>
    <t>7月份对账单</t>
  </si>
  <si>
    <r>
      <rPr>
        <sz val="11"/>
        <rFont val="宋体"/>
        <charset val="134"/>
      </rPr>
      <t>客户：</t>
    </r>
  </si>
  <si>
    <r>
      <rPr>
        <sz val="11"/>
        <rFont val="宋体"/>
        <charset val="134"/>
      </rPr>
      <t>瞄瞄货运</t>
    </r>
  </si>
  <si>
    <t>日期</t>
  </si>
  <si>
    <t>提单号</t>
  </si>
  <si>
    <t>目的地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</si>
  <si>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</si>
  <si>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</si>
  <si>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</si>
  <si>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单价</t>
  </si>
  <si>
    <t>金额</t>
  </si>
  <si>
    <t>备注</t>
  </si>
  <si>
    <r>
      <rPr>
        <sz val="11"/>
        <rFont val="宋体"/>
        <charset val="134"/>
      </rPr>
      <t>071-34704784</t>
    </r>
  </si>
  <si>
    <r>
      <rPr>
        <sz val="11"/>
        <rFont val="宋体"/>
        <charset val="134"/>
      </rPr>
      <t>LOS</t>
    </r>
  </si>
  <si>
    <t>支付：易站清单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</si>
</sst>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m/dd;@"/>
    <numFmt numFmtId="177" formatCode="&quot;￥&quot;#,##0.00_);[Red]\(&quot;￥&quot;#,##0.00\)"/>
    <numFmt numFmtId="178" formatCode="&quot;JOB&quot;000000"/>
  </numFmts>
  <fonts count="3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</font>
    <font>
      <sz val="14"/>
      <name val="宋体"/>
      <charset val="134"/>
    </font>
    <font>
      <sz val="14"/>
      <color rgb="FF000000"/>
      <name val="Times New Roman"/>
      <charset val="204"/>
    </font>
    <font>
      <sz val="12"/>
      <name val="宋体"/>
      <charset val="134"/>
    </font>
    <font>
      <sz val="10"/>
      <color rgb="FF000000"/>
      <name val="Times New Roman"/>
      <charset val="204"/>
    </font>
    <font>
      <sz val="11"/>
      <color rgb="FF000000"/>
      <name val="Times New Roman"/>
      <charset val="204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20" fillId="16" borderId="8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shrinkToFit="1"/>
    </xf>
    <xf numFmtId="1" fontId="4" fillId="0" borderId="1" xfId="0" applyNumberFormat="1" applyFont="1" applyFill="1" applyBorder="1" applyAlignment="1">
      <alignment horizontal="center" vertical="center" shrinkToFit="1"/>
    </xf>
    <xf numFmtId="2" fontId="4" fillId="0" borderId="1" xfId="0" applyNumberFormat="1" applyFont="1" applyFill="1" applyBorder="1" applyAlignment="1">
      <alignment horizontal="center" vertical="center" shrinkToFit="1"/>
    </xf>
    <xf numFmtId="177" fontId="4" fillId="0" borderId="3" xfId="0" applyNumberFormat="1" applyFont="1" applyFill="1" applyBorder="1" applyAlignment="1">
      <alignment horizontal="center" vertical="center" shrinkToFit="1"/>
    </xf>
    <xf numFmtId="0" fontId="0" fillId="0" borderId="4" xfId="0" applyFill="1" applyBorder="1">
      <alignment vertical="center"/>
    </xf>
    <xf numFmtId="177" fontId="5" fillId="0" borderId="4" xfId="0" applyNumberFormat="1" applyFont="1" applyFill="1" applyBorder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4" fillId="0" borderId="3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H7" sqref="H7"/>
    </sheetView>
  </sheetViews>
  <sheetFormatPr defaultColWidth="9" defaultRowHeight="13.5" outlineLevelRow="7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6.5" customWidth="1"/>
    <col min="9" max="9" width="15.625" customWidth="1"/>
  </cols>
  <sheetData>
    <row r="1" ht="18.75" spans="1:9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8" t="s">
        <v>1</v>
      </c>
      <c r="B2" s="18"/>
      <c r="C2" s="18"/>
      <c r="D2" s="18"/>
      <c r="E2" s="18"/>
      <c r="F2" s="18"/>
      <c r="G2" s="18"/>
      <c r="H2" s="18"/>
      <c r="I2" s="29"/>
    </row>
    <row r="3" spans="1:9">
      <c r="A3" s="18" t="s">
        <v>2</v>
      </c>
      <c r="B3" s="18"/>
      <c r="C3" s="18"/>
      <c r="D3" s="18"/>
      <c r="E3" s="18"/>
      <c r="F3" s="18"/>
      <c r="G3" s="18"/>
      <c r="H3" s="18"/>
      <c r="I3" s="29"/>
    </row>
    <row r="4" ht="14.25" spans="1:9">
      <c r="A4" s="19" t="s">
        <v>3</v>
      </c>
      <c r="B4" s="19"/>
      <c r="C4" s="19"/>
      <c r="D4" s="19"/>
      <c r="E4" s="19"/>
      <c r="F4" s="19"/>
      <c r="G4" s="19"/>
      <c r="H4" s="19"/>
      <c r="I4" s="30"/>
    </row>
    <row r="5" ht="15" spans="1:9">
      <c r="A5" s="20" t="s">
        <v>4</v>
      </c>
      <c r="B5" s="21" t="s">
        <v>5</v>
      </c>
      <c r="C5" s="22"/>
      <c r="D5" s="22"/>
      <c r="E5" s="22"/>
      <c r="F5" s="22"/>
      <c r="G5" s="22"/>
      <c r="H5" s="22"/>
      <c r="I5" s="31"/>
    </row>
    <row r="6" s="2" customFormat="1" ht="45" customHeight="1" spans="1:9">
      <c r="A6" s="23" t="s">
        <v>6</v>
      </c>
      <c r="B6" s="23" t="s">
        <v>7</v>
      </c>
      <c r="C6" s="23" t="s">
        <v>8</v>
      </c>
      <c r="D6" s="24" t="s">
        <v>9</v>
      </c>
      <c r="E6" s="24" t="s">
        <v>10</v>
      </c>
      <c r="F6" s="24" t="s">
        <v>11</v>
      </c>
      <c r="G6" s="23" t="s">
        <v>12</v>
      </c>
      <c r="H6" s="25" t="s">
        <v>13</v>
      </c>
      <c r="I6" s="32" t="s">
        <v>14</v>
      </c>
    </row>
    <row r="7" s="2" customFormat="1" ht="45" customHeight="1" spans="1:9">
      <c r="A7" s="8">
        <v>43659</v>
      </c>
      <c r="B7" s="6" t="s">
        <v>15</v>
      </c>
      <c r="C7" s="6" t="s">
        <v>16</v>
      </c>
      <c r="D7" s="9">
        <v>17</v>
      </c>
      <c r="E7" s="9">
        <v>8760</v>
      </c>
      <c r="F7" s="9">
        <v>8760</v>
      </c>
      <c r="G7" s="10">
        <v>23.3</v>
      </c>
      <c r="H7" s="26">
        <v>204708</v>
      </c>
      <c r="I7" s="15">
        <v>70102</v>
      </c>
    </row>
    <row r="8" s="2" customFormat="1" ht="45" customHeight="1" spans="1:9">
      <c r="A8" s="27"/>
      <c r="B8" s="27"/>
      <c r="C8" s="27"/>
      <c r="D8" s="27"/>
      <c r="E8" s="27"/>
      <c r="F8" s="27"/>
      <c r="G8" s="27"/>
      <c r="H8" s="28">
        <f>SUM(H7:H7)</f>
        <v>204708</v>
      </c>
      <c r="I8" s="27"/>
    </row>
  </sheetData>
  <mergeCells count="4">
    <mergeCell ref="A1:I1"/>
    <mergeCell ref="A2:I2"/>
    <mergeCell ref="A3:I3"/>
    <mergeCell ref="A4:I4"/>
  </mergeCells>
  <pageMargins left="0.472222222222222" right="0.472222222222222" top="0.393055555555556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I4" sqref="I4"/>
    </sheetView>
  </sheetViews>
  <sheetFormatPr defaultColWidth="9" defaultRowHeight="13.5" outlineLevelRow="3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5.25" customWidth="1"/>
    <col min="9" max="9" width="15.625" customWidth="1"/>
  </cols>
  <sheetData>
    <row r="1" ht="57" customHeight="1" spans="1:9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="1" customFormat="1" ht="55" customHeight="1" spans="1:9">
      <c r="A2" s="5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6" t="s">
        <v>11</v>
      </c>
      <c r="G2" s="5" t="s">
        <v>12</v>
      </c>
      <c r="H2" s="7" t="s">
        <v>13</v>
      </c>
      <c r="I2" s="14" t="s">
        <v>14</v>
      </c>
    </row>
    <row r="3" s="2" customFormat="1" ht="45" customHeight="1" spans="1:9">
      <c r="A3" s="8">
        <v>43659</v>
      </c>
      <c r="B3" s="6" t="s">
        <v>15</v>
      </c>
      <c r="C3" s="6" t="s">
        <v>16</v>
      </c>
      <c r="D3" s="9">
        <v>17</v>
      </c>
      <c r="E3" s="9">
        <v>8760</v>
      </c>
      <c r="F3" s="9">
        <v>8760</v>
      </c>
      <c r="G3" s="10">
        <v>23.3</v>
      </c>
      <c r="H3" s="11">
        <v>50000</v>
      </c>
      <c r="I3" s="15">
        <v>70102</v>
      </c>
    </row>
    <row r="4" s="3" customFormat="1" ht="55" customHeight="1" spans="1:9">
      <c r="A4" s="12"/>
      <c r="B4" s="12"/>
      <c r="C4" s="12"/>
      <c r="D4" s="12"/>
      <c r="E4" s="12"/>
      <c r="F4" s="12"/>
      <c r="G4" s="12"/>
      <c r="H4" s="13">
        <f>SUM(H3:H3)</f>
        <v>50000</v>
      </c>
      <c r="I4" s="12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H4" sqref="H4"/>
    </sheetView>
  </sheetViews>
  <sheetFormatPr defaultColWidth="9" defaultRowHeight="13.5" outlineLevelRow="3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5.25" customWidth="1"/>
    <col min="9" max="9" width="15.625" customWidth="1"/>
  </cols>
  <sheetData>
    <row r="1" ht="57" customHeight="1" spans="1:9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="1" customFormat="1" ht="55" customHeight="1" spans="1:9">
      <c r="A2" s="5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6" t="s">
        <v>11</v>
      </c>
      <c r="G2" s="5" t="s">
        <v>12</v>
      </c>
      <c r="H2" s="7" t="s">
        <v>13</v>
      </c>
      <c r="I2" s="14" t="s">
        <v>14</v>
      </c>
    </row>
    <row r="3" s="2" customFormat="1" ht="45" customHeight="1" spans="1:9">
      <c r="A3" s="8">
        <v>43659</v>
      </c>
      <c r="B3" s="6" t="s">
        <v>15</v>
      </c>
      <c r="C3" s="6" t="s">
        <v>16</v>
      </c>
      <c r="D3" s="9">
        <v>17</v>
      </c>
      <c r="E3" s="9">
        <v>8760</v>
      </c>
      <c r="F3" s="9">
        <v>8760</v>
      </c>
      <c r="G3" s="10">
        <v>23.3</v>
      </c>
      <c r="H3" s="11">
        <v>64708</v>
      </c>
      <c r="I3" s="15">
        <v>70102</v>
      </c>
    </row>
    <row r="4" s="3" customFormat="1" ht="55" customHeight="1" spans="1:9">
      <c r="A4" s="12"/>
      <c r="B4" s="12"/>
      <c r="C4" s="12"/>
      <c r="D4" s="12"/>
      <c r="E4" s="12"/>
      <c r="F4" s="12"/>
      <c r="G4" s="12"/>
      <c r="H4" s="13">
        <f>SUM(H3:H3)</f>
        <v>64708</v>
      </c>
      <c r="I4" s="12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G12" sqref="G12"/>
    </sheetView>
  </sheetViews>
  <sheetFormatPr defaultColWidth="9" defaultRowHeight="13.5" outlineLevelRow="3"/>
  <cols>
    <col min="1" max="1" width="11.75" customWidth="1"/>
    <col min="2" max="2" width="14.375" customWidth="1"/>
    <col min="3" max="3" width="5.125" customWidth="1"/>
    <col min="4" max="4" width="4.375" customWidth="1"/>
    <col min="5" max="5" width="4.875" customWidth="1"/>
    <col min="8" max="8" width="15.25" customWidth="1"/>
    <col min="9" max="9" width="15.625" customWidth="1"/>
  </cols>
  <sheetData>
    <row r="1" ht="57" customHeight="1" spans="1:9">
      <c r="A1" s="4" t="s">
        <v>17</v>
      </c>
      <c r="B1" s="4"/>
      <c r="C1" s="4"/>
      <c r="D1" s="4"/>
      <c r="E1" s="4"/>
      <c r="F1" s="4"/>
      <c r="G1" s="4"/>
      <c r="H1" s="4"/>
      <c r="I1" s="4"/>
    </row>
    <row r="2" s="1" customFormat="1" ht="55" customHeight="1" spans="1:9">
      <c r="A2" s="5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6" t="s">
        <v>11</v>
      </c>
      <c r="G2" s="5" t="s">
        <v>12</v>
      </c>
      <c r="H2" s="7" t="s">
        <v>13</v>
      </c>
      <c r="I2" s="14" t="s">
        <v>14</v>
      </c>
    </row>
    <row r="3" s="2" customFormat="1" ht="45" customHeight="1" spans="1:9">
      <c r="A3" s="8">
        <v>43659</v>
      </c>
      <c r="B3" s="6" t="s">
        <v>15</v>
      </c>
      <c r="C3" s="6" t="s">
        <v>16</v>
      </c>
      <c r="D3" s="9">
        <v>17</v>
      </c>
      <c r="E3" s="9">
        <v>8760</v>
      </c>
      <c r="F3" s="9">
        <v>8760</v>
      </c>
      <c r="G3" s="10">
        <v>23.3</v>
      </c>
      <c r="H3" s="11">
        <v>90000</v>
      </c>
      <c r="I3" s="15">
        <v>70102</v>
      </c>
    </row>
    <row r="4" s="3" customFormat="1" ht="55" customHeight="1" spans="1:9">
      <c r="A4" s="12"/>
      <c r="B4" s="12"/>
      <c r="C4" s="12"/>
      <c r="D4" s="12"/>
      <c r="E4" s="12"/>
      <c r="F4" s="12"/>
      <c r="G4" s="12"/>
      <c r="H4" s="13">
        <f>SUM(H3:H3)</f>
        <v>90000</v>
      </c>
      <c r="I4" s="12"/>
    </row>
  </sheetData>
  <mergeCells count="1">
    <mergeCell ref="A1:I1"/>
  </mergeCells>
  <pageMargins left="0.472222222222222" right="0.472222222222222" top="0.393055555555556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总欠</vt:lpstr>
      <vt:lpstr>8月29日公账支付</vt:lpstr>
      <vt:lpstr>8月30日公账支付</vt:lpstr>
      <vt:lpstr>9月18日私账支付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2019-09-18T08:42:50Z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