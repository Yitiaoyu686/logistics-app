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4"/>
  </bookViews>
  <sheets>
    <sheet name="总欠" sheetId="1" r:id="rId1"/>
    <sheet name="5月8日公帐支付" sheetId="2" r:id="rId2"/>
    <sheet name="5月16日公帐支付" sheetId="3" r:id="rId3"/>
    <sheet name="5月22日公帐支付" sheetId="4" r:id="rId4"/>
    <sheet name="6月12日私帐支会" sheetId="5" r:id="rId5"/>
  </sheets>
  <calcPr calcId="144525"/>
</workbook>
</file>

<file path=xl/sharedStrings.xml><?xml version="1.0" encoding="utf-8"?>
<sst xmlns="http://schemas.openxmlformats.org/spreadsheetml/2006/main" count="138" uniqueCount="30">
  <si>
    <r>
      <rPr>
        <sz val="22"/>
        <color rgb="FF000000"/>
        <rFont val="Times New Roman"/>
        <charset val="204"/>
      </rPr>
      <t xml:space="preserve"> </t>
    </r>
    <r>
      <rPr>
        <sz val="22"/>
        <color rgb="FF000000"/>
        <rFont val="宋体"/>
        <charset val="204"/>
      </rPr>
      <t>广</t>
    </r>
    <r>
      <rPr>
        <sz val="22"/>
        <color rgb="FF000000"/>
        <rFont val="Times New Roman"/>
        <charset val="204"/>
      </rPr>
      <t xml:space="preserve"> </t>
    </r>
    <r>
      <rPr>
        <sz val="22"/>
        <color rgb="FF000000"/>
        <rFont val="宋体"/>
        <charset val="204"/>
      </rPr>
      <t>州</t>
    </r>
    <r>
      <rPr>
        <sz val="22"/>
        <color rgb="FF000000"/>
        <rFont val="Times New Roman"/>
        <charset val="204"/>
      </rPr>
      <t xml:space="preserve"> </t>
    </r>
    <r>
      <rPr>
        <sz val="22"/>
        <color rgb="FF000000"/>
        <rFont val="宋体"/>
        <charset val="204"/>
      </rPr>
      <t>易</t>
    </r>
    <r>
      <rPr>
        <sz val="22"/>
        <color rgb="FF000000"/>
        <rFont val="Times New Roman"/>
        <charset val="204"/>
      </rPr>
      <t xml:space="preserve"> </t>
    </r>
    <r>
      <rPr>
        <sz val="22"/>
        <color rgb="FF000000"/>
        <rFont val="宋体"/>
        <charset val="204"/>
      </rPr>
      <t>站</t>
    </r>
    <r>
      <rPr>
        <sz val="22"/>
        <color rgb="FF000000"/>
        <rFont val="Times New Roman"/>
        <charset val="204"/>
      </rPr>
      <t xml:space="preserve"> </t>
    </r>
    <r>
      <rPr>
        <sz val="22"/>
        <color rgb="FF000000"/>
        <rFont val="宋体"/>
        <charset val="204"/>
      </rPr>
      <t>跨</t>
    </r>
    <r>
      <rPr>
        <sz val="22"/>
        <color rgb="FF000000"/>
        <rFont val="Times New Roman"/>
        <charset val="204"/>
      </rPr>
      <t xml:space="preserve"> </t>
    </r>
    <r>
      <rPr>
        <sz val="22"/>
        <color rgb="FF000000"/>
        <rFont val="宋体"/>
        <charset val="204"/>
      </rPr>
      <t>境</t>
    </r>
    <r>
      <rPr>
        <sz val="22"/>
        <color rgb="FF000000"/>
        <rFont val="Times New Roman"/>
        <charset val="204"/>
      </rPr>
      <t xml:space="preserve"> </t>
    </r>
    <r>
      <rPr>
        <sz val="22"/>
        <color rgb="FF000000"/>
        <rFont val="宋体"/>
        <charset val="204"/>
      </rPr>
      <t>电</t>
    </r>
    <r>
      <rPr>
        <sz val="22"/>
        <color rgb="FF000000"/>
        <rFont val="Times New Roman"/>
        <charset val="204"/>
      </rPr>
      <t xml:space="preserve"> </t>
    </r>
    <r>
      <rPr>
        <sz val="22"/>
        <color rgb="FF000000"/>
        <rFont val="宋体"/>
        <charset val="204"/>
      </rPr>
      <t>商</t>
    </r>
    <r>
      <rPr>
        <sz val="22"/>
        <color rgb="FF000000"/>
        <rFont val="Times New Roman"/>
        <charset val="204"/>
      </rPr>
      <t xml:space="preserve"> </t>
    </r>
    <r>
      <rPr>
        <sz val="22"/>
        <color rgb="FF000000"/>
        <rFont val="宋体"/>
        <charset val="204"/>
      </rPr>
      <t>有</t>
    </r>
    <r>
      <rPr>
        <sz val="22"/>
        <color rgb="FF000000"/>
        <rFont val="Times New Roman"/>
        <charset val="204"/>
      </rPr>
      <t xml:space="preserve"> </t>
    </r>
    <r>
      <rPr>
        <sz val="22"/>
        <color rgb="FF000000"/>
        <rFont val="宋体"/>
        <charset val="204"/>
      </rPr>
      <t>限</t>
    </r>
    <r>
      <rPr>
        <sz val="22"/>
        <color rgb="FF000000"/>
        <rFont val="Times New Roman"/>
        <charset val="204"/>
      </rPr>
      <t xml:space="preserve"> </t>
    </r>
    <r>
      <rPr>
        <sz val="22"/>
        <color rgb="FF000000"/>
        <rFont val="宋体"/>
        <charset val="204"/>
      </rPr>
      <t>公</t>
    </r>
    <r>
      <rPr>
        <sz val="22"/>
        <color rgb="FF000000"/>
        <rFont val="Times New Roman"/>
        <charset val="204"/>
      </rPr>
      <t xml:space="preserve"> </t>
    </r>
    <r>
      <rPr>
        <sz val="22"/>
        <color rgb="FF000000"/>
        <rFont val="宋体"/>
        <charset val="204"/>
      </rPr>
      <t>司</t>
    </r>
    <r>
      <rPr>
        <sz val="22"/>
        <color rgb="FF000000"/>
        <rFont val="Times New Roman"/>
        <charset val="204"/>
      </rPr>
      <t xml:space="preserve">
</t>
    </r>
  </si>
  <si>
    <t>2019年4月空运对账单</t>
  </si>
  <si>
    <t>客户： 瞄瞄货运</t>
  </si>
  <si>
    <t>页码：</t>
  </si>
  <si>
    <t>共一页</t>
  </si>
  <si>
    <t>联系人：</t>
  </si>
  <si>
    <t>账单期间：</t>
  </si>
  <si>
    <t>电话：</t>
  </si>
  <si>
    <t>制单日期：</t>
  </si>
  <si>
    <r>
      <rPr>
        <sz val="11"/>
        <rFont val="宋体"/>
        <charset val="134"/>
      </rPr>
      <t>序号</t>
    </r>
  </si>
  <si>
    <r>
      <rPr>
        <sz val="11"/>
        <rFont val="宋体"/>
        <charset val="134"/>
      </rPr>
      <t>提单号</t>
    </r>
  </si>
  <si>
    <r>
      <rPr>
        <sz val="11"/>
        <rFont val="宋体"/>
        <charset val="134"/>
      </rPr>
      <t>目的地</t>
    </r>
  </si>
  <si>
    <r>
      <rPr>
        <sz val="11"/>
        <rFont val="宋体"/>
        <charset val="134"/>
      </rPr>
      <t>航班时间</t>
    </r>
  </si>
  <si>
    <r>
      <rPr>
        <sz val="11"/>
        <rFont val="宋体"/>
        <charset val="134"/>
      </rPr>
      <t>收费计量</t>
    </r>
  </si>
  <si>
    <r>
      <rPr>
        <sz val="11"/>
        <rFont val="宋体"/>
        <charset val="134"/>
      </rPr>
      <t>单价</t>
    </r>
  </si>
  <si>
    <r>
      <rPr>
        <sz val="11"/>
        <rFont val="宋体"/>
        <charset val="134"/>
      </rPr>
      <t>其他</t>
    </r>
  </si>
  <si>
    <r>
      <rPr>
        <sz val="11"/>
        <rFont val="宋体"/>
        <charset val="134"/>
      </rPr>
      <t>合计</t>
    </r>
  </si>
  <si>
    <r>
      <rPr>
        <sz val="11"/>
        <rFont val="宋体"/>
        <charset val="134"/>
      </rPr>
      <t>备注</t>
    </r>
  </si>
  <si>
    <r>
      <rPr>
        <sz val="11"/>
        <rFont val="宋体"/>
        <charset val="134"/>
      </rPr>
      <t>件数</t>
    </r>
  </si>
  <si>
    <r>
      <rPr>
        <sz val="11"/>
        <rFont val="宋体"/>
        <charset val="134"/>
      </rPr>
      <t>毛重</t>
    </r>
  </si>
  <si>
    <r>
      <rPr>
        <sz val="11"/>
        <rFont val="宋体"/>
        <charset val="134"/>
      </rPr>
      <t>计费重量</t>
    </r>
  </si>
  <si>
    <t>071-33997401</t>
  </si>
  <si>
    <t>LOS</t>
  </si>
  <si>
    <t>071-33997434</t>
  </si>
  <si>
    <t>071-33998963</t>
  </si>
  <si>
    <t>071-33995216</t>
  </si>
  <si>
    <t>071-34010620</t>
  </si>
  <si>
    <t>071-34198076</t>
  </si>
  <si>
    <t>071-34198205</t>
  </si>
  <si>
    <r>
      <rPr>
        <sz val="16"/>
        <rFont val="宋体"/>
        <charset val="134"/>
      </rPr>
      <t>合计</t>
    </r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</si>
</sst>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176" formatCode="&quot;JOB&quot;000000"/>
    <numFmt numFmtId="177" formatCode="yyyy/mm/dd;@"/>
    <numFmt numFmtId="43" formatCode="_ * #,##0.00_ ;_ * \-#,##0.00_ ;_ * &quot;-&quot;??_ ;_ @_ "/>
    <numFmt numFmtId="42" formatCode="_ &quot;￥&quot;* #,##0_ ;_ &quot;￥&quot;* \-#,##0_ ;_ &quot;￥&quot;* &quot;-&quot;_ ;_ @_ "/>
    <numFmt numFmtId="178" formatCode="&quot;￥&quot;#,##0.00_);[Red]\(&quot;￥&quot;#,##0.00\)"/>
    <numFmt numFmtId="41" formatCode="_ * #,##0_ ;_ * \-#,##0_ ;_ * &quot;-&quot;_ ;_ @_ "/>
    <numFmt numFmtId="8" formatCode="&quot;￥&quot;#,##0.00;[Red]&quot;￥&quot;\-#,##0.00"/>
  </numFmts>
  <fonts count="32">
    <font>
      <sz val="10"/>
      <color rgb="FF000000"/>
      <name val="Times New Roman"/>
      <charset val="204"/>
    </font>
    <font>
      <sz val="22"/>
      <color rgb="FF000000"/>
      <name val="Times New Roman"/>
      <charset val="204"/>
    </font>
    <font>
      <b/>
      <sz val="11"/>
      <name val="宋体"/>
      <charset val="134"/>
    </font>
    <font>
      <sz val="9"/>
      <name val="宋体"/>
      <charset val="134"/>
    </font>
    <font>
      <sz val="9"/>
      <color rgb="FF000000"/>
      <name val="Times New Roman"/>
      <charset val="204"/>
    </font>
    <font>
      <sz val="11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6"/>
      <name val="宋体"/>
      <charset val="134"/>
    </font>
    <font>
      <sz val="9"/>
      <color rgb="FF000000"/>
      <name val="宋体"/>
      <charset val="134"/>
    </font>
    <font>
      <sz val="11"/>
      <color rgb="FF000000"/>
      <name val="Times New Roman"/>
      <charset val="20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22"/>
      <color rgb="FF000000"/>
      <name val="宋体"/>
      <charset val="204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0" fillId="17" borderId="4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21" fillId="20" borderId="4" applyNumberFormat="0" applyAlignment="0" applyProtection="0">
      <alignment vertical="center"/>
    </xf>
    <xf numFmtId="0" fontId="16" fillId="11" borderId="3" applyNumberForma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</cellStyleXfs>
  <cellXfs count="5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1" fontId="6" fillId="0" borderId="1" xfId="0" applyNumberFormat="1" applyFont="1" applyFill="1" applyBorder="1" applyAlignment="1">
      <alignment vertical="center" shrinkToFit="1"/>
    </xf>
    <xf numFmtId="0" fontId="7" fillId="0" borderId="1" xfId="0" applyFont="1" applyFill="1" applyBorder="1" applyAlignment="1">
      <alignment vertical="center" wrapText="1"/>
    </xf>
    <xf numFmtId="177" fontId="6" fillId="0" borderId="1" xfId="0" applyNumberFormat="1" applyFont="1" applyFill="1" applyBorder="1" applyAlignment="1">
      <alignment vertical="center" shrinkToFit="1"/>
    </xf>
    <xf numFmtId="0" fontId="8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14" fontId="3" fillId="0" borderId="0" xfId="0" applyNumberFormat="1" applyFont="1" applyFill="1" applyAlignment="1">
      <alignment vertical="center" wrapText="1"/>
    </xf>
    <xf numFmtId="14" fontId="3" fillId="0" borderId="0" xfId="0" applyNumberFormat="1" applyFont="1" applyFill="1" applyBorder="1" applyAlignment="1">
      <alignment vertical="center" wrapText="1"/>
    </xf>
    <xf numFmtId="177" fontId="9" fillId="0" borderId="0" xfId="0" applyNumberFormat="1" applyFont="1" applyFill="1" applyAlignment="1">
      <alignment vertical="center" wrapText="1" shrinkToFit="1"/>
    </xf>
    <xf numFmtId="177" fontId="9" fillId="0" borderId="0" xfId="0" applyNumberFormat="1" applyFont="1" applyFill="1" applyBorder="1" applyAlignment="1">
      <alignment vertical="center" wrapText="1" shrinkToFit="1"/>
    </xf>
    <xf numFmtId="2" fontId="6" fillId="0" borderId="1" xfId="0" applyNumberFormat="1" applyFont="1" applyFill="1" applyBorder="1" applyAlignment="1">
      <alignment vertical="center" shrinkToFit="1"/>
    </xf>
    <xf numFmtId="0" fontId="0" fillId="0" borderId="1" xfId="0" applyFont="1" applyFill="1" applyBorder="1" applyAlignment="1">
      <alignment vertical="center" wrapText="1"/>
    </xf>
    <xf numFmtId="8" fontId="7" fillId="0" borderId="1" xfId="0" applyNumberFormat="1" applyFont="1" applyFill="1" applyBorder="1" applyAlignment="1">
      <alignment vertical="center" wrapText="1"/>
    </xf>
    <xf numFmtId="176" fontId="0" fillId="0" borderId="1" xfId="0" applyNumberFormat="1" applyFont="1" applyFill="1" applyBorder="1" applyAlignment="1">
      <alignment vertical="center" wrapText="1"/>
    </xf>
    <xf numFmtId="8" fontId="8" fillId="0" borderId="1" xfId="0" applyNumberFormat="1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shrinkToFit="1"/>
    </xf>
    <xf numFmtId="0" fontId="0" fillId="0" borderId="1" xfId="0" applyFont="1" applyFill="1" applyBorder="1" applyAlignment="1">
      <alignment horizontal="center" vertical="center" wrapText="1"/>
    </xf>
    <xf numFmtId="8" fontId="7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8" fontId="8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177" fontId="6" fillId="0" borderId="1" xfId="0" applyNumberFormat="1" applyFont="1" applyFill="1" applyBorder="1" applyAlignment="1">
      <alignment vertical="center" shrinkToFit="1"/>
    </xf>
    <xf numFmtId="1" fontId="6" fillId="0" borderId="1" xfId="0" applyNumberFormat="1" applyFont="1" applyFill="1" applyBorder="1" applyAlignment="1">
      <alignment vertical="center" shrinkToFit="1"/>
    </xf>
    <xf numFmtId="0" fontId="8" fillId="0" borderId="1" xfId="0" applyFont="1" applyFill="1" applyBorder="1" applyAlignment="1">
      <alignment vertical="center" wrapText="1"/>
    </xf>
    <xf numFmtId="2" fontId="6" fillId="0" borderId="1" xfId="0" applyNumberFormat="1" applyFont="1" applyFill="1" applyBorder="1" applyAlignment="1">
      <alignment vertical="center" shrinkToFit="1"/>
    </xf>
    <xf numFmtId="8" fontId="7" fillId="0" borderId="1" xfId="0" applyNumberFormat="1" applyFont="1" applyFill="1" applyBorder="1" applyAlignment="1">
      <alignment vertical="center" wrapText="1"/>
    </xf>
    <xf numFmtId="176" fontId="1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178" fontId="8" fillId="0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8" fontId="7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176" fontId="0" fillId="0" borderId="1" xfId="0" applyNumberFormat="1" applyFont="1" applyFill="1" applyBorder="1" applyAlignment="1">
      <alignment vertical="center" wrapText="1"/>
    </xf>
    <xf numFmtId="8" fontId="8" fillId="0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K12" sqref="K12:L12"/>
    </sheetView>
  </sheetViews>
  <sheetFormatPr defaultColWidth="9" defaultRowHeight="12.75"/>
  <cols>
    <col min="1" max="1" width="6.16666666666667" style="3" customWidth="1"/>
    <col min="2" max="2" width="16.8888888888889" style="3" customWidth="1"/>
    <col min="3" max="3" width="6.45555555555556" style="3" customWidth="1"/>
    <col min="4" max="4" width="0.888888888888889" style="3" customWidth="1"/>
    <col min="5" max="5" width="13.8333333333333" style="3" customWidth="1"/>
    <col min="6" max="6" width="5.83333333333333" style="3" customWidth="1"/>
    <col min="7" max="7" width="7.16666666666667" style="3" customWidth="1"/>
    <col min="8" max="8" width="7.33333333333333" style="3" customWidth="1"/>
    <col min="9" max="9" width="8.16666666666667" style="3" customWidth="1"/>
    <col min="10" max="10" width="11.8333333333333" style="3" customWidth="1"/>
    <col min="11" max="11" width="7.33333333333333" style="3" customWidth="1"/>
    <col min="12" max="12" width="8.66666666666667" style="3" customWidth="1"/>
    <col min="13" max="13" width="14.1666666666667" style="3" customWidth="1"/>
    <col min="14" max="16384" width="9" style="3"/>
  </cols>
  <sheetData>
    <row r="1" ht="39" customHeight="1" spans="1:1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18" customHeight="1" spans="1:13">
      <c r="A2" s="6"/>
      <c r="B2" s="7"/>
      <c r="C2" s="7"/>
      <c r="D2" s="7"/>
      <c r="E2" s="8" t="s">
        <v>1</v>
      </c>
      <c r="F2" s="8"/>
      <c r="G2" s="8"/>
      <c r="H2" s="8"/>
      <c r="I2" s="8"/>
      <c r="J2" s="7"/>
      <c r="K2" s="7"/>
      <c r="L2" s="7"/>
      <c r="M2" s="7"/>
    </row>
    <row r="3" ht="21" customHeight="1" spans="1:12">
      <c r="A3" s="9" t="s">
        <v>2</v>
      </c>
      <c r="B3" s="9"/>
      <c r="C3" s="9"/>
      <c r="D3" s="9"/>
      <c r="I3" s="9" t="s">
        <v>3</v>
      </c>
      <c r="K3" s="16" t="s">
        <v>4</v>
      </c>
      <c r="L3" s="9"/>
    </row>
    <row r="4" ht="21" customHeight="1" spans="1:12">
      <c r="A4" s="9" t="s">
        <v>5</v>
      </c>
      <c r="B4" s="9"/>
      <c r="C4" s="9"/>
      <c r="D4" s="9"/>
      <c r="E4" s="10"/>
      <c r="F4" s="10"/>
      <c r="G4" s="10"/>
      <c r="H4" s="10"/>
      <c r="I4" s="16" t="s">
        <v>6</v>
      </c>
      <c r="J4" s="9"/>
      <c r="K4" s="17">
        <v>43556</v>
      </c>
      <c r="L4" s="18"/>
    </row>
    <row r="5" ht="21" customHeight="1" spans="1:12">
      <c r="A5" s="9" t="s">
        <v>7</v>
      </c>
      <c r="B5" s="9"/>
      <c r="C5" s="9"/>
      <c r="D5" s="9"/>
      <c r="E5" s="10"/>
      <c r="F5" s="10"/>
      <c r="G5" s="10"/>
      <c r="H5" s="10"/>
      <c r="I5" s="16" t="s">
        <v>8</v>
      </c>
      <c r="J5" s="9"/>
      <c r="K5" s="19">
        <v>43585</v>
      </c>
      <c r="L5" s="20"/>
    </row>
    <row r="6" ht="17.25" customHeight="1" spans="1:13">
      <c r="A6" s="52" t="s">
        <v>9</v>
      </c>
      <c r="B6" s="52" t="s">
        <v>10</v>
      </c>
      <c r="C6" s="52" t="s">
        <v>11</v>
      </c>
      <c r="D6" s="52" t="s">
        <v>12</v>
      </c>
      <c r="E6" s="52"/>
      <c r="F6" s="52" t="s">
        <v>13</v>
      </c>
      <c r="G6" s="52"/>
      <c r="H6" s="52"/>
      <c r="I6" s="52" t="s">
        <v>14</v>
      </c>
      <c r="J6" s="52" t="s">
        <v>15</v>
      </c>
      <c r="K6" s="52" t="s">
        <v>16</v>
      </c>
      <c r="L6" s="52"/>
      <c r="M6" s="52" t="s">
        <v>17</v>
      </c>
    </row>
    <row r="7" ht="25" customHeight="1" spans="1:13">
      <c r="A7" s="52"/>
      <c r="B7" s="52"/>
      <c r="C7" s="52"/>
      <c r="D7" s="52"/>
      <c r="E7" s="52"/>
      <c r="F7" s="52" t="s">
        <v>18</v>
      </c>
      <c r="G7" s="52" t="s">
        <v>19</v>
      </c>
      <c r="H7" s="52" t="s">
        <v>20</v>
      </c>
      <c r="I7" s="52"/>
      <c r="J7" s="52"/>
      <c r="K7" s="52"/>
      <c r="L7" s="52"/>
      <c r="M7" s="52"/>
    </row>
    <row r="8" s="40" customFormat="1" ht="29" customHeight="1" spans="1:13">
      <c r="A8" s="45">
        <v>1</v>
      </c>
      <c r="B8" s="43" t="s">
        <v>21</v>
      </c>
      <c r="C8" s="43" t="s">
        <v>22</v>
      </c>
      <c r="D8" s="44">
        <v>43562</v>
      </c>
      <c r="E8" s="44"/>
      <c r="F8" s="45">
        <v>44</v>
      </c>
      <c r="G8" s="45">
        <v>1363</v>
      </c>
      <c r="H8" s="45">
        <v>1363</v>
      </c>
      <c r="I8" s="47">
        <v>24.3</v>
      </c>
      <c r="J8" s="45">
        <v>250</v>
      </c>
      <c r="K8" s="54">
        <v>33370.9</v>
      </c>
      <c r="L8" s="55"/>
      <c r="M8" s="56">
        <v>40077</v>
      </c>
    </row>
    <row r="9" s="40" customFormat="1" ht="29" customHeight="1" spans="1:13">
      <c r="A9" s="45">
        <v>2</v>
      </c>
      <c r="B9" s="43" t="s">
        <v>23</v>
      </c>
      <c r="C9" s="43" t="s">
        <v>22</v>
      </c>
      <c r="D9" s="44">
        <v>43564</v>
      </c>
      <c r="E9" s="44"/>
      <c r="F9" s="45">
        <v>30</v>
      </c>
      <c r="G9" s="45">
        <v>1657</v>
      </c>
      <c r="H9" s="45">
        <v>1657</v>
      </c>
      <c r="I9" s="47">
        <v>25</v>
      </c>
      <c r="J9" s="50"/>
      <c r="K9" s="54">
        <v>41425</v>
      </c>
      <c r="L9" s="55"/>
      <c r="M9" s="56">
        <v>40082</v>
      </c>
    </row>
    <row r="10" s="40" customFormat="1" ht="29" customHeight="1" spans="1:13">
      <c r="A10" s="45">
        <v>3</v>
      </c>
      <c r="B10" s="43" t="s">
        <v>24</v>
      </c>
      <c r="C10" s="43" t="s">
        <v>22</v>
      </c>
      <c r="D10" s="44">
        <v>43566</v>
      </c>
      <c r="E10" s="44"/>
      <c r="F10" s="45">
        <v>15</v>
      </c>
      <c r="G10" s="45">
        <v>1385</v>
      </c>
      <c r="H10" s="45">
        <v>1385</v>
      </c>
      <c r="I10" s="47">
        <v>25</v>
      </c>
      <c r="J10" s="50"/>
      <c r="K10" s="54">
        <v>34625</v>
      </c>
      <c r="L10" s="55"/>
      <c r="M10" s="56">
        <v>40086</v>
      </c>
    </row>
    <row r="11" s="40" customFormat="1" ht="29" customHeight="1" spans="1:13">
      <c r="A11" s="45">
        <v>4</v>
      </c>
      <c r="B11" s="43" t="s">
        <v>25</v>
      </c>
      <c r="C11" s="43" t="s">
        <v>22</v>
      </c>
      <c r="D11" s="44">
        <v>43571</v>
      </c>
      <c r="E11" s="44"/>
      <c r="F11" s="45">
        <v>75</v>
      </c>
      <c r="G11" s="45">
        <v>2917</v>
      </c>
      <c r="H11" s="45">
        <v>2917</v>
      </c>
      <c r="I11" s="47">
        <v>25</v>
      </c>
      <c r="J11" s="50"/>
      <c r="K11" s="48">
        <v>72925</v>
      </c>
      <c r="L11" s="43"/>
      <c r="M11" s="56">
        <v>400294</v>
      </c>
    </row>
    <row r="12" s="40" customFormat="1" ht="29" customHeight="1" spans="1:13">
      <c r="A12" s="45">
        <v>5</v>
      </c>
      <c r="B12" s="43" t="s">
        <v>26</v>
      </c>
      <c r="C12" s="43" t="s">
        <v>22</v>
      </c>
      <c r="D12" s="44">
        <v>43574</v>
      </c>
      <c r="E12" s="44"/>
      <c r="F12" s="45">
        <v>24</v>
      </c>
      <c r="G12" s="45">
        <v>1193</v>
      </c>
      <c r="H12" s="45">
        <v>1193</v>
      </c>
      <c r="I12" s="47">
        <v>26</v>
      </c>
      <c r="J12" s="50"/>
      <c r="K12" s="54">
        <v>31018</v>
      </c>
      <c r="L12" s="55"/>
      <c r="M12" s="56">
        <v>40105</v>
      </c>
    </row>
    <row r="13" s="40" customFormat="1" ht="29" customHeight="1" spans="1:13">
      <c r="A13" s="45">
        <v>6</v>
      </c>
      <c r="B13" s="43" t="s">
        <v>27</v>
      </c>
      <c r="C13" s="43" t="s">
        <v>22</v>
      </c>
      <c r="D13" s="44">
        <v>43582</v>
      </c>
      <c r="E13" s="44"/>
      <c r="F13" s="45">
        <v>20</v>
      </c>
      <c r="G13" s="45">
        <v>1704</v>
      </c>
      <c r="H13" s="45">
        <v>1704</v>
      </c>
      <c r="I13" s="47">
        <v>24.5</v>
      </c>
      <c r="J13" s="50"/>
      <c r="K13" s="54">
        <v>41748</v>
      </c>
      <c r="L13" s="55"/>
      <c r="M13" s="56">
        <v>40131</v>
      </c>
    </row>
    <row r="14" s="40" customFormat="1" ht="29" customHeight="1" spans="1:13">
      <c r="A14" s="45">
        <v>7</v>
      </c>
      <c r="B14" s="43" t="s">
        <v>28</v>
      </c>
      <c r="C14" s="43" t="s">
        <v>22</v>
      </c>
      <c r="D14" s="44">
        <v>43583</v>
      </c>
      <c r="E14" s="44"/>
      <c r="F14" s="45">
        <v>50</v>
      </c>
      <c r="G14" s="45">
        <v>1433</v>
      </c>
      <c r="H14" s="45">
        <v>1433</v>
      </c>
      <c r="I14" s="47">
        <v>24.5</v>
      </c>
      <c r="J14" s="50"/>
      <c r="K14" s="48">
        <v>35108.5</v>
      </c>
      <c r="L14" s="43"/>
      <c r="M14" s="56">
        <v>40132</v>
      </c>
    </row>
    <row r="15" ht="24.75" customHeight="1" spans="1:13">
      <c r="A15" s="53" t="s">
        <v>29</v>
      </c>
      <c r="B15" s="53"/>
      <c r="C15" s="53"/>
      <c r="D15" s="53"/>
      <c r="E15" s="53"/>
      <c r="F15" s="53"/>
      <c r="G15" s="53"/>
      <c r="H15" s="53"/>
      <c r="I15" s="53"/>
      <c r="J15" s="53"/>
      <c r="K15" s="57">
        <f>SUM(K8:L14)</f>
        <v>290220.4</v>
      </c>
      <c r="L15" s="46"/>
      <c r="M15" s="46"/>
    </row>
    <row r="16" ht="3" customHeight="1"/>
    <row r="17" ht="82" customHeight="1"/>
  </sheetData>
  <mergeCells count="37">
    <mergeCell ref="A1:M1"/>
    <mergeCell ref="E2:I2"/>
    <mergeCell ref="A3:D3"/>
    <mergeCell ref="K3:L3"/>
    <mergeCell ref="A4:D4"/>
    <mergeCell ref="E4:H4"/>
    <mergeCell ref="I4:J4"/>
    <mergeCell ref="K4:L4"/>
    <mergeCell ref="A5:D5"/>
    <mergeCell ref="E5:H5"/>
    <mergeCell ref="I5:J5"/>
    <mergeCell ref="K5:L5"/>
    <mergeCell ref="F6:H6"/>
    <mergeCell ref="D8:E8"/>
    <mergeCell ref="K8:L8"/>
    <mergeCell ref="D9:E9"/>
    <mergeCell ref="K9:L9"/>
    <mergeCell ref="D10:E10"/>
    <mergeCell ref="K10:L10"/>
    <mergeCell ref="D11:E11"/>
    <mergeCell ref="K11:L11"/>
    <mergeCell ref="D12:E12"/>
    <mergeCell ref="K12:L12"/>
    <mergeCell ref="D13:E13"/>
    <mergeCell ref="K13:L13"/>
    <mergeCell ref="D14:E14"/>
    <mergeCell ref="K14:L14"/>
    <mergeCell ref="A15:J15"/>
    <mergeCell ref="K15:M15"/>
    <mergeCell ref="A6:A7"/>
    <mergeCell ref="B6:B7"/>
    <mergeCell ref="C6:C7"/>
    <mergeCell ref="I6:I7"/>
    <mergeCell ref="J6:J7"/>
    <mergeCell ref="M6:M7"/>
    <mergeCell ref="D6:E7"/>
    <mergeCell ref="K6:L7"/>
  </mergeCells>
  <pageMargins left="0.275" right="0.196527777777778" top="0.354166666666667" bottom="0.75" header="0.156944444444444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K11" sqref="K11:M11"/>
    </sheetView>
  </sheetViews>
  <sheetFormatPr defaultColWidth="9" defaultRowHeight="12.75"/>
  <cols>
    <col min="1" max="1" width="5.33333333333333" style="3" customWidth="1"/>
    <col min="2" max="2" width="13.0777777777778" style="3" customWidth="1"/>
    <col min="3" max="3" width="4.66666666666667" style="3" customWidth="1"/>
    <col min="4" max="4" width="0.888888888888889" style="3" customWidth="1"/>
    <col min="5" max="5" width="13.8333333333333" style="3" customWidth="1"/>
    <col min="6" max="6" width="5.83333333333333" style="3" customWidth="1"/>
    <col min="7" max="7" width="7.16666666666667" style="3" customWidth="1"/>
    <col min="8" max="8" width="7.33333333333333" style="3" customWidth="1"/>
    <col min="9" max="9" width="8.16666666666667" style="3" customWidth="1"/>
    <col min="10" max="11" width="7.33333333333333" style="3" customWidth="1"/>
    <col min="12" max="12" width="7.35555555555556" style="3" customWidth="1"/>
    <col min="13" max="13" width="17.3333333333333" style="3" customWidth="1"/>
    <col min="14" max="16384" width="9" style="3"/>
  </cols>
  <sheetData>
    <row r="1" ht="39" customHeight="1" spans="1:1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18" customHeight="1" spans="1:13">
      <c r="A2" s="6"/>
      <c r="B2" s="7"/>
      <c r="C2" s="7"/>
      <c r="D2" s="7"/>
      <c r="E2" s="41" t="s">
        <v>1</v>
      </c>
      <c r="F2" s="41"/>
      <c r="G2" s="41"/>
      <c r="H2" s="41"/>
      <c r="I2" s="41"/>
      <c r="J2" s="7"/>
      <c r="K2" s="7"/>
      <c r="L2" s="7"/>
      <c r="M2" s="7"/>
    </row>
    <row r="3" ht="21" customHeight="1" spans="1:12">
      <c r="A3" s="9" t="s">
        <v>2</v>
      </c>
      <c r="B3" s="9"/>
      <c r="C3" s="9"/>
      <c r="D3" s="9"/>
      <c r="I3" s="9" t="s">
        <v>3</v>
      </c>
      <c r="K3" s="16" t="s">
        <v>4</v>
      </c>
      <c r="L3" s="9"/>
    </row>
    <row r="4" ht="21" customHeight="1" spans="1:12">
      <c r="A4" s="9" t="s">
        <v>5</v>
      </c>
      <c r="B4" s="9"/>
      <c r="C4" s="9"/>
      <c r="D4" s="9"/>
      <c r="E4" s="10"/>
      <c r="F4" s="10"/>
      <c r="G4" s="10"/>
      <c r="H4" s="10"/>
      <c r="I4" s="16" t="s">
        <v>6</v>
      </c>
      <c r="J4" s="9"/>
      <c r="K4" s="17">
        <v>43556</v>
      </c>
      <c r="L4" s="18"/>
    </row>
    <row r="5" ht="21" customHeight="1" spans="1:12">
      <c r="A5" s="9" t="s">
        <v>7</v>
      </c>
      <c r="B5" s="9"/>
      <c r="C5" s="9"/>
      <c r="D5" s="9"/>
      <c r="E5" s="10"/>
      <c r="F5" s="10"/>
      <c r="G5" s="10"/>
      <c r="H5" s="10"/>
      <c r="I5" s="16" t="s">
        <v>8</v>
      </c>
      <c r="J5" s="9"/>
      <c r="K5" s="19">
        <v>43585</v>
      </c>
      <c r="L5" s="20"/>
    </row>
    <row r="6" ht="17.25" customHeight="1" spans="1:13">
      <c r="A6" s="42" t="s">
        <v>9</v>
      </c>
      <c r="B6" s="42" t="s">
        <v>10</v>
      </c>
      <c r="C6" s="42" t="s">
        <v>11</v>
      </c>
      <c r="D6" s="42" t="s">
        <v>12</v>
      </c>
      <c r="E6" s="42"/>
      <c r="F6" s="42" t="s">
        <v>13</v>
      </c>
      <c r="G6" s="42"/>
      <c r="H6" s="42"/>
      <c r="I6" s="42" t="s">
        <v>14</v>
      </c>
      <c r="J6" s="42" t="s">
        <v>15</v>
      </c>
      <c r="K6" s="42" t="s">
        <v>16</v>
      </c>
      <c r="L6" s="42"/>
      <c r="M6" s="42" t="s">
        <v>17</v>
      </c>
    </row>
    <row r="7" ht="37" customHeight="1" spans="1:13">
      <c r="A7" s="42"/>
      <c r="B7" s="42"/>
      <c r="C7" s="42"/>
      <c r="D7" s="42"/>
      <c r="E7" s="42"/>
      <c r="F7" s="42" t="s">
        <v>18</v>
      </c>
      <c r="G7" s="42" t="s">
        <v>19</v>
      </c>
      <c r="H7" s="42" t="s">
        <v>20</v>
      </c>
      <c r="I7" s="42"/>
      <c r="J7" s="42"/>
      <c r="K7" s="42"/>
      <c r="L7" s="42"/>
      <c r="M7" s="42"/>
    </row>
    <row r="8" s="40" customFormat="1" ht="29" customHeight="1" spans="1:13">
      <c r="A8" s="30">
        <v>1</v>
      </c>
      <c r="B8" s="43" t="s">
        <v>21</v>
      </c>
      <c r="C8" s="43" t="s">
        <v>22</v>
      </c>
      <c r="D8" s="44">
        <v>43562</v>
      </c>
      <c r="E8" s="44"/>
      <c r="F8" s="45">
        <v>44</v>
      </c>
      <c r="G8" s="45">
        <v>1363</v>
      </c>
      <c r="H8" s="45">
        <v>1363</v>
      </c>
      <c r="I8" s="47">
        <v>24.3</v>
      </c>
      <c r="J8" s="45">
        <v>250</v>
      </c>
      <c r="K8" s="48">
        <v>33370.9</v>
      </c>
      <c r="L8" s="43"/>
      <c r="M8" s="49">
        <v>40077</v>
      </c>
    </row>
    <row r="9" s="40" customFormat="1" ht="29" customHeight="1" spans="1:13">
      <c r="A9" s="30">
        <v>2</v>
      </c>
      <c r="B9" s="43" t="s">
        <v>23</v>
      </c>
      <c r="C9" s="43" t="s">
        <v>22</v>
      </c>
      <c r="D9" s="44">
        <v>43564</v>
      </c>
      <c r="E9" s="44"/>
      <c r="F9" s="45">
        <v>30</v>
      </c>
      <c r="G9" s="45">
        <v>1657</v>
      </c>
      <c r="H9" s="45">
        <v>1657</v>
      </c>
      <c r="I9" s="47">
        <v>25</v>
      </c>
      <c r="J9" s="50"/>
      <c r="K9" s="48">
        <v>41425</v>
      </c>
      <c r="L9" s="43"/>
      <c r="M9" s="49">
        <v>40082</v>
      </c>
    </row>
    <row r="10" s="40" customFormat="1" ht="29" customHeight="1" spans="1:13">
      <c r="A10" s="30">
        <v>6</v>
      </c>
      <c r="B10" s="43" t="s">
        <v>27</v>
      </c>
      <c r="C10" s="43" t="s">
        <v>22</v>
      </c>
      <c r="D10" s="44">
        <v>43582</v>
      </c>
      <c r="E10" s="44"/>
      <c r="F10" s="45">
        <v>20</v>
      </c>
      <c r="G10" s="45">
        <v>1704</v>
      </c>
      <c r="H10" s="45">
        <v>1704</v>
      </c>
      <c r="I10" s="47">
        <v>24.5</v>
      </c>
      <c r="J10" s="50"/>
      <c r="K10" s="48">
        <v>41748</v>
      </c>
      <c r="L10" s="43"/>
      <c r="M10" s="49">
        <v>40131</v>
      </c>
    </row>
    <row r="11" ht="24.75" customHeight="1" spans="1:13">
      <c r="A11" s="46" t="s">
        <v>29</v>
      </c>
      <c r="B11" s="46"/>
      <c r="C11" s="46"/>
      <c r="D11" s="46"/>
      <c r="E11" s="46"/>
      <c r="F11" s="46"/>
      <c r="G11" s="46"/>
      <c r="H11" s="46"/>
      <c r="I11" s="46"/>
      <c r="J11" s="46"/>
      <c r="K11" s="51">
        <f>SUM(K8:L10)</f>
        <v>116543.9</v>
      </c>
      <c r="L11" s="51"/>
      <c r="M11" s="51"/>
    </row>
    <row r="12" ht="3" customHeight="1"/>
    <row r="13" ht="82" customHeight="1"/>
  </sheetData>
  <mergeCells count="29">
    <mergeCell ref="A1:M1"/>
    <mergeCell ref="E2:I2"/>
    <mergeCell ref="A3:D3"/>
    <mergeCell ref="K3:L3"/>
    <mergeCell ref="A4:D4"/>
    <mergeCell ref="E4:H4"/>
    <mergeCell ref="I4:J4"/>
    <mergeCell ref="K4:L4"/>
    <mergeCell ref="A5:D5"/>
    <mergeCell ref="E5:H5"/>
    <mergeCell ref="I5:J5"/>
    <mergeCell ref="K5:L5"/>
    <mergeCell ref="F6:H6"/>
    <mergeCell ref="D8:E8"/>
    <mergeCell ref="K8:L8"/>
    <mergeCell ref="D9:E9"/>
    <mergeCell ref="K9:L9"/>
    <mergeCell ref="D10:E10"/>
    <mergeCell ref="K10:L10"/>
    <mergeCell ref="A11:J11"/>
    <mergeCell ref="K11:M11"/>
    <mergeCell ref="A6:A7"/>
    <mergeCell ref="B6:B7"/>
    <mergeCell ref="C6:C7"/>
    <mergeCell ref="I6:I7"/>
    <mergeCell ref="J6:J7"/>
    <mergeCell ref="M6:M7"/>
    <mergeCell ref="D6:E7"/>
    <mergeCell ref="K6:L7"/>
  </mergeCells>
  <pageMargins left="0.354166666666667" right="0.196527777777778" top="0.354166666666667" bottom="0.75" header="0.156944444444444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H12" sqref="H12"/>
    </sheetView>
  </sheetViews>
  <sheetFormatPr defaultColWidth="9" defaultRowHeight="12.75"/>
  <cols>
    <col min="1" max="1" width="6.16666666666667" style="3" customWidth="1"/>
    <col min="2" max="2" width="14.8888888888889" style="3" customWidth="1"/>
    <col min="3" max="3" width="4.83333333333333" style="3" customWidth="1"/>
    <col min="4" max="4" width="0.888888888888889" style="3" customWidth="1"/>
    <col min="5" max="5" width="13.8333333333333" style="3" customWidth="1"/>
    <col min="6" max="6" width="5.83333333333333" style="3" customWidth="1"/>
    <col min="7" max="7" width="7.16666666666667" style="3" customWidth="1"/>
    <col min="8" max="8" width="7.33333333333333" style="3" customWidth="1"/>
    <col min="9" max="9" width="8.16666666666667" style="3" customWidth="1"/>
    <col min="10" max="10" width="6.23333333333333" style="3" customWidth="1"/>
    <col min="11" max="11" width="7.33333333333333" style="3" customWidth="1"/>
    <col min="12" max="12" width="6.16666666666667" style="3" customWidth="1"/>
    <col min="13" max="13" width="14.1666666666667" style="3" customWidth="1"/>
    <col min="14" max="16384" width="9" style="3"/>
  </cols>
  <sheetData>
    <row r="1" ht="39" customHeight="1" spans="1:1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18" customHeight="1" spans="1:13">
      <c r="A2" s="6"/>
      <c r="B2" s="7"/>
      <c r="C2" s="7"/>
      <c r="D2" s="7"/>
      <c r="E2" s="8" t="s">
        <v>1</v>
      </c>
      <c r="F2" s="8"/>
      <c r="G2" s="8"/>
      <c r="H2" s="8"/>
      <c r="I2" s="8"/>
      <c r="J2" s="7"/>
      <c r="K2" s="7"/>
      <c r="L2" s="7"/>
      <c r="M2" s="7"/>
    </row>
    <row r="3" ht="21" customHeight="1" spans="1:12">
      <c r="A3" s="9" t="s">
        <v>2</v>
      </c>
      <c r="B3" s="9"/>
      <c r="C3" s="9"/>
      <c r="D3" s="9"/>
      <c r="I3" s="9" t="s">
        <v>3</v>
      </c>
      <c r="K3" s="16" t="s">
        <v>4</v>
      </c>
      <c r="L3" s="9"/>
    </row>
    <row r="4" ht="21" customHeight="1" spans="1:12">
      <c r="A4" s="9" t="s">
        <v>5</v>
      </c>
      <c r="B4" s="9"/>
      <c r="C4" s="9"/>
      <c r="D4" s="9"/>
      <c r="E4" s="10"/>
      <c r="F4" s="10"/>
      <c r="G4" s="10"/>
      <c r="H4" s="10"/>
      <c r="I4" s="16" t="s">
        <v>6</v>
      </c>
      <c r="J4" s="9"/>
      <c r="K4" s="17">
        <v>43556</v>
      </c>
      <c r="L4" s="18"/>
    </row>
    <row r="5" ht="21" customHeight="1" spans="1:12">
      <c r="A5" s="9" t="s">
        <v>7</v>
      </c>
      <c r="B5" s="9"/>
      <c r="C5" s="9"/>
      <c r="D5" s="9"/>
      <c r="E5" s="10"/>
      <c r="F5" s="10"/>
      <c r="G5" s="10"/>
      <c r="H5" s="10"/>
      <c r="I5" s="16" t="s">
        <v>8</v>
      </c>
      <c r="J5" s="9"/>
      <c r="K5" s="19">
        <v>43585</v>
      </c>
      <c r="L5" s="20"/>
    </row>
    <row r="6" s="27" customFormat="1" ht="17.25" customHeight="1" spans="1:13">
      <c r="A6" s="39" t="s">
        <v>9</v>
      </c>
      <c r="B6" s="29" t="s">
        <v>10</v>
      </c>
      <c r="C6" s="29" t="s">
        <v>11</v>
      </c>
      <c r="D6" s="29" t="s">
        <v>12</v>
      </c>
      <c r="E6" s="29"/>
      <c r="F6" s="29" t="s">
        <v>13</v>
      </c>
      <c r="G6" s="29"/>
      <c r="H6" s="29"/>
      <c r="I6" s="29" t="s">
        <v>14</v>
      </c>
      <c r="J6" s="29" t="s">
        <v>15</v>
      </c>
      <c r="K6" s="29" t="s">
        <v>16</v>
      </c>
      <c r="L6" s="29"/>
      <c r="M6" s="29" t="s">
        <v>17</v>
      </c>
    </row>
    <row r="7" s="27" customFormat="1" ht="36" customHeight="1" spans="1:13">
      <c r="A7" s="39"/>
      <c r="B7" s="29"/>
      <c r="C7" s="29"/>
      <c r="D7" s="29"/>
      <c r="E7" s="29"/>
      <c r="F7" s="29" t="s">
        <v>18</v>
      </c>
      <c r="G7" s="29" t="s">
        <v>19</v>
      </c>
      <c r="H7" s="29" t="s">
        <v>20</v>
      </c>
      <c r="I7" s="29"/>
      <c r="J7" s="29"/>
      <c r="K7" s="29"/>
      <c r="L7" s="29"/>
      <c r="M7" s="29"/>
    </row>
    <row r="8" s="28" customFormat="1" ht="36" customHeight="1" spans="1:13">
      <c r="A8" s="30">
        <v>3</v>
      </c>
      <c r="B8" s="31" t="s">
        <v>24</v>
      </c>
      <c r="C8" s="31" t="s">
        <v>22</v>
      </c>
      <c r="D8" s="32">
        <v>43566</v>
      </c>
      <c r="E8" s="32"/>
      <c r="F8" s="30">
        <v>15</v>
      </c>
      <c r="G8" s="30">
        <v>1385</v>
      </c>
      <c r="H8" s="30">
        <v>1385</v>
      </c>
      <c r="I8" s="34">
        <v>25</v>
      </c>
      <c r="J8" s="35"/>
      <c r="K8" s="36">
        <v>34625</v>
      </c>
      <c r="L8" s="31"/>
      <c r="M8" s="37">
        <v>40086</v>
      </c>
    </row>
    <row r="9" s="28" customFormat="1" ht="36" customHeight="1" spans="1:13">
      <c r="A9" s="30">
        <v>5</v>
      </c>
      <c r="B9" s="31" t="s">
        <v>26</v>
      </c>
      <c r="C9" s="31" t="s">
        <v>22</v>
      </c>
      <c r="D9" s="32">
        <v>43574</v>
      </c>
      <c r="E9" s="32"/>
      <c r="F9" s="30">
        <v>24</v>
      </c>
      <c r="G9" s="30">
        <v>1193</v>
      </c>
      <c r="H9" s="30">
        <v>1193</v>
      </c>
      <c r="I9" s="34">
        <v>26</v>
      </c>
      <c r="J9" s="35"/>
      <c r="K9" s="36">
        <v>31018</v>
      </c>
      <c r="L9" s="31"/>
      <c r="M9" s="37">
        <v>40105</v>
      </c>
    </row>
    <row r="10" s="27" customFormat="1" ht="36" customHeight="1" spans="1:13">
      <c r="A10" s="33" t="s">
        <v>29</v>
      </c>
      <c r="B10" s="33"/>
      <c r="C10" s="33"/>
      <c r="D10" s="33"/>
      <c r="E10" s="33"/>
      <c r="F10" s="33"/>
      <c r="G10" s="33"/>
      <c r="H10" s="33"/>
      <c r="I10" s="33"/>
      <c r="J10" s="33"/>
      <c r="K10" s="38">
        <f>SUM(K8:L9)</f>
        <v>65643</v>
      </c>
      <c r="L10" s="33"/>
      <c r="M10" s="33"/>
    </row>
    <row r="11" ht="3" customHeight="1"/>
    <row r="12" ht="82" customHeight="1"/>
  </sheetData>
  <mergeCells count="27">
    <mergeCell ref="A1:M1"/>
    <mergeCell ref="E2:I2"/>
    <mergeCell ref="A3:D3"/>
    <mergeCell ref="K3:L3"/>
    <mergeCell ref="A4:D4"/>
    <mergeCell ref="E4:H4"/>
    <mergeCell ref="I4:J4"/>
    <mergeCell ref="K4:L4"/>
    <mergeCell ref="A5:D5"/>
    <mergeCell ref="E5:H5"/>
    <mergeCell ref="I5:J5"/>
    <mergeCell ref="K5:L5"/>
    <mergeCell ref="F6:H6"/>
    <mergeCell ref="D8:E8"/>
    <mergeCell ref="K8:L8"/>
    <mergeCell ref="D9:E9"/>
    <mergeCell ref="K9:L9"/>
    <mergeCell ref="A10:J10"/>
    <mergeCell ref="K10:M10"/>
    <mergeCell ref="A6:A7"/>
    <mergeCell ref="B6:B7"/>
    <mergeCell ref="C6:C7"/>
    <mergeCell ref="I6:I7"/>
    <mergeCell ref="J6:J7"/>
    <mergeCell ref="M6:M7"/>
    <mergeCell ref="D6:E7"/>
    <mergeCell ref="K6:L7"/>
  </mergeCells>
  <pageMargins left="0.511805555555556" right="0.196527777777778" top="0.354166666666667" bottom="0.75" header="0.156944444444444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E4" sqref="E4:H4"/>
    </sheetView>
  </sheetViews>
  <sheetFormatPr defaultColWidth="9" defaultRowHeight="12.75"/>
  <cols>
    <col min="1" max="1" width="6.16666666666667" style="3" customWidth="1"/>
    <col min="2" max="2" width="16.8888888888889" style="3" customWidth="1"/>
    <col min="3" max="3" width="6.45555555555556" style="3" customWidth="1"/>
    <col min="4" max="4" width="0.888888888888889" style="3" customWidth="1"/>
    <col min="5" max="5" width="13.8333333333333" style="3" customWidth="1"/>
    <col min="6" max="6" width="5.83333333333333" style="3" customWidth="1"/>
    <col min="7" max="7" width="7.16666666666667" style="3" customWidth="1"/>
    <col min="8" max="8" width="7.33333333333333" style="3" customWidth="1"/>
    <col min="9" max="9" width="8.16666666666667" style="3" customWidth="1"/>
    <col min="10" max="10" width="6.82222222222222" style="3" customWidth="1"/>
    <col min="11" max="11" width="15" style="3" customWidth="1"/>
    <col min="12" max="12" width="14.1666666666667" style="3" customWidth="1"/>
    <col min="13" max="16384" width="9" style="3"/>
  </cols>
  <sheetData>
    <row r="1" ht="39" customHeight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18" customHeight="1" spans="1:12">
      <c r="A2" s="6"/>
      <c r="B2" s="7"/>
      <c r="C2" s="7"/>
      <c r="D2" s="7"/>
      <c r="E2" s="8" t="s">
        <v>1</v>
      </c>
      <c r="F2" s="8"/>
      <c r="G2" s="8"/>
      <c r="H2" s="8"/>
      <c r="I2" s="8"/>
      <c r="J2" s="7"/>
      <c r="K2" s="7"/>
      <c r="L2" s="7"/>
    </row>
    <row r="3" ht="21" customHeight="1" spans="1:11">
      <c r="A3" s="9" t="s">
        <v>2</v>
      </c>
      <c r="B3" s="9"/>
      <c r="C3" s="9"/>
      <c r="D3" s="9"/>
      <c r="I3" s="9" t="s">
        <v>3</v>
      </c>
      <c r="K3" s="16" t="s">
        <v>4</v>
      </c>
    </row>
    <row r="4" ht="21" customHeight="1" spans="1:11">
      <c r="A4" s="9" t="s">
        <v>5</v>
      </c>
      <c r="B4" s="9"/>
      <c r="C4" s="9"/>
      <c r="D4" s="9"/>
      <c r="E4" s="10"/>
      <c r="F4" s="10"/>
      <c r="G4" s="10"/>
      <c r="H4" s="10"/>
      <c r="I4" s="16" t="s">
        <v>6</v>
      </c>
      <c r="J4" s="9"/>
      <c r="K4" s="17">
        <v>43556</v>
      </c>
    </row>
    <row r="5" ht="21" customHeight="1" spans="1:11">
      <c r="A5" s="9" t="s">
        <v>7</v>
      </c>
      <c r="B5" s="9"/>
      <c r="C5" s="9"/>
      <c r="D5" s="9"/>
      <c r="E5" s="10"/>
      <c r="F5" s="10"/>
      <c r="G5" s="10"/>
      <c r="H5" s="10"/>
      <c r="I5" s="16" t="s">
        <v>8</v>
      </c>
      <c r="J5" s="9"/>
      <c r="K5" s="19">
        <v>43585</v>
      </c>
    </row>
    <row r="6" s="27" customFormat="1" ht="21" customHeight="1" spans="1:12">
      <c r="A6" s="29" t="s">
        <v>9</v>
      </c>
      <c r="B6" s="29" t="s">
        <v>10</v>
      </c>
      <c r="C6" s="29" t="s">
        <v>11</v>
      </c>
      <c r="D6" s="29" t="s">
        <v>12</v>
      </c>
      <c r="E6" s="29"/>
      <c r="F6" s="29" t="s">
        <v>13</v>
      </c>
      <c r="G6" s="29"/>
      <c r="H6" s="29"/>
      <c r="I6" s="29" t="s">
        <v>14</v>
      </c>
      <c r="J6" s="29" t="s">
        <v>15</v>
      </c>
      <c r="K6" s="29" t="s">
        <v>16</v>
      </c>
      <c r="L6" s="29" t="s">
        <v>17</v>
      </c>
    </row>
    <row r="7" s="27" customFormat="1" ht="44" customHeight="1" spans="1:12">
      <c r="A7" s="29"/>
      <c r="B7" s="29"/>
      <c r="C7" s="29"/>
      <c r="D7" s="29"/>
      <c r="E7" s="29"/>
      <c r="F7" s="29" t="s">
        <v>18</v>
      </c>
      <c r="G7" s="29" t="s">
        <v>19</v>
      </c>
      <c r="H7" s="29" t="s">
        <v>20</v>
      </c>
      <c r="I7" s="29"/>
      <c r="J7" s="29"/>
      <c r="K7" s="29"/>
      <c r="L7" s="29"/>
    </row>
    <row r="8" s="28" customFormat="1" ht="44" customHeight="1" spans="1:12">
      <c r="A8" s="30">
        <v>7</v>
      </c>
      <c r="B8" s="31" t="s">
        <v>28</v>
      </c>
      <c r="C8" s="31" t="s">
        <v>22</v>
      </c>
      <c r="D8" s="32">
        <v>43583</v>
      </c>
      <c r="E8" s="32"/>
      <c r="F8" s="30">
        <v>50</v>
      </c>
      <c r="G8" s="30">
        <v>1433</v>
      </c>
      <c r="H8" s="30">
        <v>1433</v>
      </c>
      <c r="I8" s="34">
        <v>24.5</v>
      </c>
      <c r="J8" s="35"/>
      <c r="K8" s="36">
        <v>35108.5</v>
      </c>
      <c r="L8" s="37">
        <v>40132</v>
      </c>
    </row>
    <row r="9" s="27" customFormat="1" ht="37" customHeight="1" spans="1:12">
      <c r="A9" s="33" t="s">
        <v>29</v>
      </c>
      <c r="B9" s="33"/>
      <c r="C9" s="33"/>
      <c r="D9" s="33"/>
      <c r="E9" s="33"/>
      <c r="F9" s="33"/>
      <c r="G9" s="33"/>
      <c r="H9" s="33"/>
      <c r="I9" s="33"/>
      <c r="J9" s="33"/>
      <c r="K9" s="38">
        <f>SUM(K8:K8)</f>
        <v>35108.5</v>
      </c>
      <c r="L9" s="33"/>
    </row>
    <row r="10" ht="3" customHeight="1"/>
    <row r="11" ht="82" customHeight="1"/>
  </sheetData>
  <mergeCells count="21">
    <mergeCell ref="A1:L1"/>
    <mergeCell ref="E2:I2"/>
    <mergeCell ref="A3:D3"/>
    <mergeCell ref="A4:D4"/>
    <mergeCell ref="E4:H4"/>
    <mergeCell ref="I4:J4"/>
    <mergeCell ref="A5:D5"/>
    <mergeCell ref="E5:H5"/>
    <mergeCell ref="I5:J5"/>
    <mergeCell ref="F6:H6"/>
    <mergeCell ref="D8:E8"/>
    <mergeCell ref="A9:J9"/>
    <mergeCell ref="K9:L9"/>
    <mergeCell ref="A6:A7"/>
    <mergeCell ref="B6:B7"/>
    <mergeCell ref="C6:C7"/>
    <mergeCell ref="I6:I7"/>
    <mergeCell ref="J6:J7"/>
    <mergeCell ref="K6:K7"/>
    <mergeCell ref="L6:L7"/>
    <mergeCell ref="D6:E7"/>
  </mergeCells>
  <pageMargins left="0.432638888888889" right="0.196527777777778" top="0.432638888888889" bottom="0.75" header="0.156944444444444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K16" sqref="K16"/>
    </sheetView>
  </sheetViews>
  <sheetFormatPr defaultColWidth="9" defaultRowHeight="12.75"/>
  <cols>
    <col min="1" max="1" width="6.16666666666667" style="3" customWidth="1"/>
    <col min="2" max="2" width="16.8888888888889" style="3" customWidth="1"/>
    <col min="3" max="3" width="6.45555555555556" style="3" customWidth="1"/>
    <col min="4" max="4" width="0.888888888888889" style="3" customWidth="1"/>
    <col min="5" max="5" width="13.8333333333333" style="3" customWidth="1"/>
    <col min="6" max="6" width="5.83333333333333" style="3" customWidth="1"/>
    <col min="7" max="7" width="7.16666666666667" style="3" customWidth="1"/>
    <col min="8" max="8" width="7.33333333333333" style="3" customWidth="1"/>
    <col min="9" max="9" width="8.16666666666667" style="3" customWidth="1"/>
    <col min="10" max="10" width="6.22222222222222" style="3" customWidth="1"/>
    <col min="11" max="11" width="7.33333333333333" style="3" customWidth="1"/>
    <col min="12" max="12" width="6.45555555555556" style="3" customWidth="1"/>
    <col min="13" max="13" width="14.1666666666667" style="3" customWidth="1"/>
    <col min="14" max="16384" width="9" style="3"/>
  </cols>
  <sheetData>
    <row r="1" ht="39" customHeight="1" spans="1:1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18" customHeight="1" spans="1:13">
      <c r="A2" s="6"/>
      <c r="B2" s="7"/>
      <c r="C2" s="7"/>
      <c r="D2" s="7"/>
      <c r="E2" s="8" t="s">
        <v>1</v>
      </c>
      <c r="F2" s="8"/>
      <c r="G2" s="8"/>
      <c r="H2" s="8"/>
      <c r="I2" s="8"/>
      <c r="J2" s="7"/>
      <c r="K2" s="7"/>
      <c r="L2" s="7"/>
      <c r="M2" s="7"/>
    </row>
    <row r="3" ht="21" customHeight="1" spans="1:12">
      <c r="A3" s="9" t="s">
        <v>2</v>
      </c>
      <c r="B3" s="9"/>
      <c r="C3" s="9"/>
      <c r="D3" s="9"/>
      <c r="I3" s="9" t="s">
        <v>3</v>
      </c>
      <c r="K3" s="16" t="s">
        <v>4</v>
      </c>
      <c r="L3" s="9"/>
    </row>
    <row r="4" ht="21" customHeight="1" spans="1:12">
      <c r="A4" s="9" t="s">
        <v>5</v>
      </c>
      <c r="B4" s="9"/>
      <c r="C4" s="9"/>
      <c r="D4" s="9"/>
      <c r="E4" s="10"/>
      <c r="F4" s="10"/>
      <c r="G4" s="10"/>
      <c r="H4" s="10"/>
      <c r="I4" s="16" t="s">
        <v>6</v>
      </c>
      <c r="J4" s="9"/>
      <c r="K4" s="17">
        <v>43556</v>
      </c>
      <c r="L4" s="18"/>
    </row>
    <row r="5" ht="21" customHeight="1" spans="1:12">
      <c r="A5" s="9" t="s">
        <v>7</v>
      </c>
      <c r="B5" s="9"/>
      <c r="C5" s="9"/>
      <c r="D5" s="9"/>
      <c r="E5" s="10"/>
      <c r="F5" s="10"/>
      <c r="G5" s="10"/>
      <c r="H5" s="10"/>
      <c r="I5" s="16" t="s">
        <v>8</v>
      </c>
      <c r="J5" s="9"/>
      <c r="K5" s="19">
        <v>43585</v>
      </c>
      <c r="L5" s="20"/>
    </row>
    <row r="6" s="1" customFormat="1" ht="17.25" customHeight="1" spans="1:13">
      <c r="A6" s="11" t="s">
        <v>9</v>
      </c>
      <c r="B6" s="11" t="s">
        <v>10</v>
      </c>
      <c r="C6" s="11" t="s">
        <v>11</v>
      </c>
      <c r="D6" s="11" t="s">
        <v>12</v>
      </c>
      <c r="E6" s="11"/>
      <c r="F6" s="11" t="s">
        <v>13</v>
      </c>
      <c r="G6" s="11"/>
      <c r="H6" s="11"/>
      <c r="I6" s="11" t="s">
        <v>14</v>
      </c>
      <c r="J6" s="11" t="s">
        <v>15</v>
      </c>
      <c r="K6" s="11" t="s">
        <v>16</v>
      </c>
      <c r="L6" s="11"/>
      <c r="M6" s="11" t="s">
        <v>17</v>
      </c>
    </row>
    <row r="7" s="1" customFormat="1" ht="25" customHeight="1" spans="1:13">
      <c r="A7" s="11"/>
      <c r="B7" s="11"/>
      <c r="C7" s="11"/>
      <c r="D7" s="11"/>
      <c r="E7" s="11"/>
      <c r="F7" s="11" t="s">
        <v>18</v>
      </c>
      <c r="G7" s="11" t="s">
        <v>19</v>
      </c>
      <c r="H7" s="11" t="s">
        <v>20</v>
      </c>
      <c r="I7" s="11"/>
      <c r="J7" s="11"/>
      <c r="K7" s="11"/>
      <c r="L7" s="11"/>
      <c r="M7" s="11"/>
    </row>
    <row r="8" s="2" customFormat="1" ht="34" customHeight="1" spans="1:13">
      <c r="A8" s="12">
        <v>4</v>
      </c>
      <c r="B8" s="13" t="s">
        <v>25</v>
      </c>
      <c r="C8" s="13" t="s">
        <v>22</v>
      </c>
      <c r="D8" s="14">
        <v>43571</v>
      </c>
      <c r="E8" s="14"/>
      <c r="F8" s="12">
        <v>75</v>
      </c>
      <c r="G8" s="12">
        <v>2917</v>
      </c>
      <c r="H8" s="12">
        <v>2917</v>
      </c>
      <c r="I8" s="21">
        <v>25</v>
      </c>
      <c r="J8" s="22"/>
      <c r="K8" s="23">
        <v>72925</v>
      </c>
      <c r="L8" s="13"/>
      <c r="M8" s="24">
        <v>400294</v>
      </c>
    </row>
    <row r="9" s="1" customFormat="1" ht="24.75" customHeight="1" spans="1:13">
      <c r="A9" s="15" t="s">
        <v>29</v>
      </c>
      <c r="B9" s="15"/>
      <c r="C9" s="15"/>
      <c r="D9" s="15"/>
      <c r="E9" s="15"/>
      <c r="F9" s="15"/>
      <c r="G9" s="15"/>
      <c r="H9" s="15"/>
      <c r="I9" s="15"/>
      <c r="J9" s="15"/>
      <c r="K9" s="25">
        <f>SUM(K8:L8)</f>
        <v>72925</v>
      </c>
      <c r="L9" s="26"/>
      <c r="M9" s="26"/>
    </row>
    <row r="10" ht="3" customHeight="1"/>
    <row r="11" ht="82" customHeight="1"/>
  </sheetData>
  <mergeCells count="25">
    <mergeCell ref="A1:M1"/>
    <mergeCell ref="E2:I2"/>
    <mergeCell ref="A3:D3"/>
    <mergeCell ref="K3:L3"/>
    <mergeCell ref="A4:D4"/>
    <mergeCell ref="E4:H4"/>
    <mergeCell ref="I4:J4"/>
    <mergeCell ref="K4:L4"/>
    <mergeCell ref="A5:D5"/>
    <mergeCell ref="E5:H5"/>
    <mergeCell ref="I5:J5"/>
    <mergeCell ref="K5:L5"/>
    <mergeCell ref="F6:H6"/>
    <mergeCell ref="D8:E8"/>
    <mergeCell ref="K8:L8"/>
    <mergeCell ref="A9:J9"/>
    <mergeCell ref="K9:M9"/>
    <mergeCell ref="A6:A7"/>
    <mergeCell ref="B6:B7"/>
    <mergeCell ref="C6:C7"/>
    <mergeCell ref="I6:I7"/>
    <mergeCell ref="J6:J7"/>
    <mergeCell ref="M6:M7"/>
    <mergeCell ref="D6:E7"/>
    <mergeCell ref="K6:L7"/>
  </mergeCells>
  <pageMargins left="0.472222222222222" right="0.196527777777778" top="0.472222222222222" bottom="0.75" header="0.156944444444444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总欠</vt:lpstr>
      <vt:lpstr>5月8日公帐支付</vt:lpstr>
      <vt:lpstr>5月16日公帐支付</vt:lpstr>
      <vt:lpstr>5月22日公帐支付</vt:lpstr>
      <vt:lpstr>6月12日私帐支会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/mg</cp:lastModifiedBy>
  <dcterms:created xsi:type="dcterms:W3CDTF">2019-05-06T05:28:00Z</dcterms:created>
  <dcterms:modified xsi:type="dcterms:W3CDTF">2019-06-12T08:45:21Z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