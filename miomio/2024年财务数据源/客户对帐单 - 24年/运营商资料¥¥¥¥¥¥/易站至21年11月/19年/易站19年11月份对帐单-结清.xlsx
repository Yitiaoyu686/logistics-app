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总欠" sheetId="1" r:id="rId1"/>
    <sheet name="总欠 (2)" sheetId="3" r:id="rId2"/>
  </sheets>
  <definedNames>
    <definedName name="_xlnm.Print_Area" localSheetId="1">'总欠 (2)'!$A$1:$K$7</definedName>
  </definedNames>
  <calcPr calcId="144525"/>
</workbook>
</file>

<file path=xl/sharedStrings.xml><?xml version="1.0" encoding="utf-8"?>
<sst xmlns="http://schemas.openxmlformats.org/spreadsheetml/2006/main" count="55" uniqueCount="22">
  <si>
    <t>易站11月份对账单</t>
  </si>
  <si>
    <t>日期</t>
  </si>
  <si>
    <t>提单号</t>
  </si>
  <si>
    <t>目的地</t>
  </si>
  <si>
    <r>
      <rPr>
        <sz val="11"/>
        <rFont val="宋体"/>
        <charset val="134"/>
      </rPr>
      <t>件数</t>
    </r>
  </si>
  <si>
    <r>
      <rPr>
        <sz val="11"/>
        <rFont val="宋体"/>
        <charset val="134"/>
      </rPr>
      <t>毛重</t>
    </r>
  </si>
  <si>
    <r>
      <rPr>
        <sz val="11"/>
        <rFont val="宋体"/>
        <charset val="134"/>
      </rPr>
      <t>计费重量</t>
    </r>
  </si>
  <si>
    <t>单价</t>
  </si>
  <si>
    <t>文件费</t>
  </si>
  <si>
    <t>其他</t>
  </si>
  <si>
    <t>金额</t>
  </si>
  <si>
    <t>备注</t>
  </si>
  <si>
    <t>071-35632730</t>
  </si>
  <si>
    <t>LOS</t>
  </si>
  <si>
    <t>071-35632774</t>
  </si>
  <si>
    <t>071-35632564</t>
  </si>
  <si>
    <t>071-35713635</t>
  </si>
  <si>
    <t>071-35872244</t>
  </si>
  <si>
    <t>支付：易站清单</t>
  </si>
  <si>
    <t>公账支付</t>
  </si>
  <si>
    <t>私账支付</t>
  </si>
  <si>
    <t>结清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</si>
</sst>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yyyy/m/d;@"/>
    <numFmt numFmtId="177" formatCode="&quot;JOB&quot;000000"/>
    <numFmt numFmtId="178" formatCode="&quot;￥&quot;#,##0.00_);[Red]\(&quot;￥&quot;#,##0.00\)"/>
  </numFmts>
  <fonts count="3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charset val="134"/>
    </font>
    <font>
      <sz val="11"/>
      <name val="Times New Roman"/>
      <charset val="134"/>
    </font>
    <font>
      <sz val="10"/>
      <color theme="1"/>
      <name val="宋体"/>
      <charset val="134"/>
    </font>
    <font>
      <sz val="11"/>
      <color rgb="FF000000"/>
      <name val="Times New Roman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rgb="FF000000"/>
      <name val="Times New Roman"/>
      <charset val="204"/>
    </font>
    <font>
      <b/>
      <sz val="1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26" fillId="5" borderId="12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2" fontId="6" fillId="0" borderId="2" xfId="0" applyNumberFormat="1" applyFont="1" applyFill="1" applyBorder="1" applyAlignment="1">
      <alignment horizontal="center" vertical="center" shrinkToFit="1"/>
    </xf>
    <xf numFmtId="14" fontId="7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2" fontId="6" fillId="0" borderId="4" xfId="0" applyNumberFormat="1" applyFont="1" applyFill="1" applyBorder="1" applyAlignment="1">
      <alignment horizontal="center" vertical="center" shrinkToFit="1"/>
    </xf>
    <xf numFmtId="2" fontId="6" fillId="0" borderId="5" xfId="0" applyNumberFormat="1" applyFont="1" applyFill="1" applyBorder="1" applyAlignment="1">
      <alignment horizontal="center" vertical="center" shrinkToFit="1"/>
    </xf>
    <xf numFmtId="1" fontId="6" fillId="0" borderId="1" xfId="0" applyNumberFormat="1" applyFont="1" applyFill="1" applyBorder="1" applyAlignment="1">
      <alignment horizontal="center" vertical="center" shrinkToFit="1"/>
    </xf>
    <xf numFmtId="2" fontId="6" fillId="0" borderId="6" xfId="0" applyNumberFormat="1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178" fontId="8" fillId="0" borderId="7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6" fillId="0" borderId="2" xfId="0" applyNumberFormat="1" applyFont="1" applyFill="1" applyBorder="1" applyAlignment="1">
      <alignment horizontal="center" vertical="center" shrinkToFit="1"/>
    </xf>
    <xf numFmtId="178" fontId="1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C21" sqref="C21"/>
    </sheetView>
  </sheetViews>
  <sheetFormatPr defaultColWidth="9" defaultRowHeight="13.5" outlineLevelRow="7"/>
  <cols>
    <col min="1" max="1" width="10.625" style="4" customWidth="1"/>
    <col min="2" max="2" width="13.25" style="4" customWidth="1"/>
    <col min="3" max="3" width="5.125" style="4" customWidth="1"/>
    <col min="4" max="4" width="4.375" style="4" customWidth="1"/>
    <col min="5" max="5" width="6.33333333333333" style="4" customWidth="1"/>
    <col min="6" max="6" width="9.13333333333333" style="4" customWidth="1"/>
    <col min="7" max="8" width="7.625" style="4" customWidth="1"/>
    <col min="9" max="9" width="6.5" style="4" customWidth="1"/>
    <col min="10" max="10" width="16.5" style="5" customWidth="1"/>
    <col min="11" max="11" width="9.25" style="6" customWidth="1"/>
    <col min="12" max="13" width="9" style="4"/>
    <col min="14" max="17" width="28.375" style="4" customWidth="1"/>
    <col min="18" max="16384" width="9" style="4"/>
  </cols>
  <sheetData>
    <row r="1" ht="30" customHeight="1" spans="1:10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4"/>
    </row>
    <row r="2" s="1" customFormat="1" ht="45" customHeight="1" spans="1:11">
      <c r="A2" s="8" t="s">
        <v>1</v>
      </c>
      <c r="B2" s="8" t="s">
        <v>2</v>
      </c>
      <c r="C2" s="8" t="s">
        <v>3</v>
      </c>
      <c r="D2" s="9" t="s">
        <v>4</v>
      </c>
      <c r="E2" s="9" t="s">
        <v>5</v>
      </c>
      <c r="F2" s="9" t="s">
        <v>6</v>
      </c>
      <c r="G2" s="8" t="s">
        <v>7</v>
      </c>
      <c r="H2" s="8" t="s">
        <v>8</v>
      </c>
      <c r="I2" s="8" t="s">
        <v>9</v>
      </c>
      <c r="J2" s="22" t="s">
        <v>10</v>
      </c>
      <c r="K2" s="23" t="s">
        <v>11</v>
      </c>
    </row>
    <row r="3" s="2" customFormat="1" ht="33" customHeight="1" spans="1:11">
      <c r="A3" s="10">
        <v>43770</v>
      </c>
      <c r="B3" s="11" t="s">
        <v>12</v>
      </c>
      <c r="C3" s="11" t="s">
        <v>13</v>
      </c>
      <c r="D3" s="11">
        <v>16</v>
      </c>
      <c r="E3" s="11">
        <v>1023</v>
      </c>
      <c r="F3" s="11">
        <v>1023</v>
      </c>
      <c r="G3" s="12">
        <v>25</v>
      </c>
      <c r="H3" s="12"/>
      <c r="I3" s="24">
        <v>150</v>
      </c>
      <c r="J3" s="25">
        <f>SUM(F3*G3+H3+I3)</f>
        <v>25725</v>
      </c>
      <c r="K3" s="26">
        <v>110120</v>
      </c>
    </row>
    <row r="4" s="2" customFormat="1" ht="33" customHeight="1" spans="1:11">
      <c r="A4" s="13">
        <v>43774</v>
      </c>
      <c r="B4" s="14" t="s">
        <v>14</v>
      </c>
      <c r="C4" s="11" t="s">
        <v>13</v>
      </c>
      <c r="D4" s="15">
        <v>23</v>
      </c>
      <c r="E4" s="14">
        <v>1602</v>
      </c>
      <c r="F4" s="11">
        <v>1602</v>
      </c>
      <c r="G4" s="12">
        <v>25</v>
      </c>
      <c r="H4" s="12"/>
      <c r="I4" s="24"/>
      <c r="J4" s="25">
        <f>SUM(F4*G4+H4+I4)</f>
        <v>40050</v>
      </c>
      <c r="K4" s="26">
        <v>110129</v>
      </c>
    </row>
    <row r="5" s="2" customFormat="1" ht="33" customHeight="1" spans="1:11">
      <c r="A5" s="10">
        <v>43775</v>
      </c>
      <c r="B5" s="11" t="s">
        <v>15</v>
      </c>
      <c r="C5" s="11" t="s">
        <v>13</v>
      </c>
      <c r="D5" s="11">
        <v>29</v>
      </c>
      <c r="E5" s="11">
        <v>1798</v>
      </c>
      <c r="F5" s="11">
        <v>1798</v>
      </c>
      <c r="G5" s="12">
        <v>25</v>
      </c>
      <c r="H5" s="12"/>
      <c r="I5" s="24">
        <v>150</v>
      </c>
      <c r="J5" s="25">
        <f>SUM(F5*G5+H5+I5)</f>
        <v>45100</v>
      </c>
      <c r="K5" s="26">
        <v>110133</v>
      </c>
    </row>
    <row r="6" s="2" customFormat="1" ht="33" customHeight="1" spans="1:11">
      <c r="A6" s="10">
        <v>43780</v>
      </c>
      <c r="B6" s="11" t="s">
        <v>16</v>
      </c>
      <c r="C6" s="11" t="s">
        <v>13</v>
      </c>
      <c r="D6" s="11">
        <v>2</v>
      </c>
      <c r="E6" s="11">
        <v>12000</v>
      </c>
      <c r="F6" s="11">
        <v>12000</v>
      </c>
      <c r="G6" s="12">
        <v>36.6</v>
      </c>
      <c r="H6" s="33">
        <v>50</v>
      </c>
      <c r="I6" s="2">
        <v>5450</v>
      </c>
      <c r="J6" s="25">
        <f>SUM(F6*G6+H6+I6)</f>
        <v>444700</v>
      </c>
      <c r="K6" s="26">
        <v>110151</v>
      </c>
    </row>
    <row r="7" s="2" customFormat="1" ht="33" customHeight="1" spans="1:11">
      <c r="A7" s="10">
        <v>43799</v>
      </c>
      <c r="B7" s="11" t="s">
        <v>17</v>
      </c>
      <c r="C7" s="11" t="s">
        <v>13</v>
      </c>
      <c r="D7" s="11">
        <v>21</v>
      </c>
      <c r="E7" s="11">
        <v>1238</v>
      </c>
      <c r="F7" s="11">
        <v>1238</v>
      </c>
      <c r="G7" s="12">
        <v>26.5</v>
      </c>
      <c r="H7" s="12"/>
      <c r="I7" s="24">
        <v>150</v>
      </c>
      <c r="J7" s="25">
        <f>SUM(F7*G7+H7+I7)</f>
        <v>32957</v>
      </c>
      <c r="K7" s="26">
        <v>120111</v>
      </c>
    </row>
    <row r="8" s="3" customFormat="1" ht="33" customHeight="1" spans="1:11">
      <c r="A8" s="20"/>
      <c r="B8" s="20"/>
      <c r="C8" s="20"/>
      <c r="D8" s="20"/>
      <c r="E8" s="20"/>
      <c r="F8" s="20"/>
      <c r="G8" s="20"/>
      <c r="H8" s="20"/>
      <c r="I8" s="20"/>
      <c r="J8" s="30">
        <f>SUM(J3:J7)</f>
        <v>588532</v>
      </c>
      <c r="K8" s="31"/>
    </row>
  </sheetData>
  <mergeCells count="1">
    <mergeCell ref="A1:K1"/>
  </mergeCells>
  <pageMargins left="0.472222222222222" right="0.236111111111111" top="0.354166666666667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D3" sqref="D3"/>
    </sheetView>
  </sheetViews>
  <sheetFormatPr defaultColWidth="9" defaultRowHeight="13.5"/>
  <cols>
    <col min="1" max="1" width="13.6416666666667" style="4" customWidth="1"/>
    <col min="2" max="2" width="14.0083333333333" style="4" customWidth="1"/>
    <col min="3" max="3" width="5.125" style="4" customWidth="1"/>
    <col min="4" max="4" width="4.375" style="4" customWidth="1"/>
    <col min="5" max="5" width="4.875" style="4" customWidth="1"/>
    <col min="6" max="6" width="5.125" style="4" customWidth="1"/>
    <col min="7" max="7" width="7.625" style="4" customWidth="1"/>
    <col min="8" max="8" width="3.29166666666667" style="4" customWidth="1"/>
    <col min="9" max="9" width="5.8" style="5" customWidth="1"/>
    <col min="10" max="10" width="14.625" style="6" customWidth="1"/>
    <col min="11" max="11" width="12.7583333333333" style="4" customWidth="1"/>
    <col min="12" max="12" width="9" style="4"/>
    <col min="13" max="16" width="28.375" style="4" customWidth="1"/>
    <col min="17" max="16384" width="9" style="4"/>
  </cols>
  <sheetData>
    <row r="1" customFormat="1" ht="36" customHeight="1" spans="1:9">
      <c r="A1" s="7" t="s">
        <v>18</v>
      </c>
      <c r="B1" s="7"/>
      <c r="C1" s="7"/>
      <c r="D1" s="7"/>
      <c r="E1" s="7"/>
      <c r="F1" s="7"/>
      <c r="G1" s="7"/>
      <c r="H1" s="7"/>
      <c r="I1" s="7"/>
    </row>
    <row r="2" s="1" customFormat="1" ht="45" customHeight="1" spans="1:11">
      <c r="A2" s="8" t="s">
        <v>1</v>
      </c>
      <c r="B2" s="8" t="s">
        <v>2</v>
      </c>
      <c r="C2" s="8" t="s">
        <v>3</v>
      </c>
      <c r="D2" s="9" t="s">
        <v>4</v>
      </c>
      <c r="E2" s="9" t="s">
        <v>5</v>
      </c>
      <c r="F2" s="9" t="s">
        <v>6</v>
      </c>
      <c r="G2" s="8" t="s">
        <v>7</v>
      </c>
      <c r="H2" s="8" t="s">
        <v>8</v>
      </c>
      <c r="I2" s="8" t="s">
        <v>9</v>
      </c>
      <c r="J2" s="22" t="s">
        <v>10</v>
      </c>
      <c r="K2" s="23" t="s">
        <v>11</v>
      </c>
    </row>
    <row r="3" s="2" customFormat="1" ht="29" customHeight="1" spans="1:11">
      <c r="A3" s="10">
        <v>43770</v>
      </c>
      <c r="B3" s="11" t="s">
        <v>12</v>
      </c>
      <c r="C3" s="11" t="s">
        <v>13</v>
      </c>
      <c r="D3" s="11">
        <v>16</v>
      </c>
      <c r="E3" s="11">
        <v>1023</v>
      </c>
      <c r="F3" s="11">
        <v>1023</v>
      </c>
      <c r="G3" s="12">
        <v>25</v>
      </c>
      <c r="H3" s="12"/>
      <c r="I3" s="24">
        <v>150</v>
      </c>
      <c r="J3" s="25">
        <f t="shared" ref="J3:J7" si="0">SUM(F3*G3+H3+I3)</f>
        <v>25725</v>
      </c>
      <c r="K3" s="26">
        <v>110120</v>
      </c>
    </row>
    <row r="4" s="2" customFormat="1" ht="29" customHeight="1" spans="1:11">
      <c r="A4" s="13">
        <v>43774</v>
      </c>
      <c r="B4" s="14" t="s">
        <v>14</v>
      </c>
      <c r="C4" s="11" t="s">
        <v>13</v>
      </c>
      <c r="D4" s="15">
        <v>23</v>
      </c>
      <c r="E4" s="14">
        <v>1602</v>
      </c>
      <c r="F4" s="11">
        <v>1602</v>
      </c>
      <c r="G4" s="12">
        <v>25</v>
      </c>
      <c r="H4" s="12"/>
      <c r="I4" s="24"/>
      <c r="J4" s="25">
        <f t="shared" si="0"/>
        <v>40050</v>
      </c>
      <c r="K4" s="26">
        <v>110129</v>
      </c>
    </row>
    <row r="5" s="2" customFormat="1" ht="29" customHeight="1" spans="1:11">
      <c r="A5" s="13">
        <v>43823</v>
      </c>
      <c r="B5" s="14" t="s">
        <v>19</v>
      </c>
      <c r="C5" s="11"/>
      <c r="D5" s="15"/>
      <c r="E5" s="14"/>
      <c r="F5" s="11"/>
      <c r="G5" s="12"/>
      <c r="H5" s="12"/>
      <c r="I5" s="24"/>
      <c r="J5" s="25">
        <v>-65775</v>
      </c>
      <c r="K5" s="26"/>
    </row>
    <row r="6" s="2" customFormat="1" ht="29" customHeight="1" spans="1:11">
      <c r="A6" s="10">
        <v>43799</v>
      </c>
      <c r="B6" s="11" t="s">
        <v>17</v>
      </c>
      <c r="C6" s="11" t="s">
        <v>13</v>
      </c>
      <c r="D6" s="11">
        <v>21</v>
      </c>
      <c r="E6" s="11">
        <v>1238</v>
      </c>
      <c r="F6" s="11">
        <v>1238</v>
      </c>
      <c r="G6" s="12">
        <v>26.5</v>
      </c>
      <c r="H6" s="12"/>
      <c r="I6" s="24">
        <v>150</v>
      </c>
      <c r="J6" s="25">
        <f t="shared" si="0"/>
        <v>32957</v>
      </c>
      <c r="K6" s="26">
        <v>120111</v>
      </c>
    </row>
    <row r="7" s="2" customFormat="1" ht="29" customHeight="1" spans="1:11">
      <c r="A7" s="10">
        <v>43826</v>
      </c>
      <c r="B7" s="14" t="s">
        <v>19</v>
      </c>
      <c r="C7" s="11"/>
      <c r="D7" s="11"/>
      <c r="E7" s="11"/>
      <c r="F7" s="11"/>
      <c r="G7" s="12"/>
      <c r="H7" s="12"/>
      <c r="I7" s="24"/>
      <c r="J7" s="25">
        <v>-32957</v>
      </c>
      <c r="K7" s="26"/>
    </row>
    <row r="8" s="2" customFormat="1" ht="29" customHeight="1" spans="1:11">
      <c r="A8" s="10">
        <v>43775</v>
      </c>
      <c r="B8" s="11" t="s">
        <v>15</v>
      </c>
      <c r="C8" s="11" t="s">
        <v>13</v>
      </c>
      <c r="D8" s="11">
        <v>29</v>
      </c>
      <c r="E8" s="11">
        <v>1798</v>
      </c>
      <c r="F8" s="11">
        <v>1798</v>
      </c>
      <c r="G8" s="12">
        <v>25</v>
      </c>
      <c r="H8" s="12"/>
      <c r="I8" s="24">
        <v>150</v>
      </c>
      <c r="J8" s="25">
        <f>SUM(F8*G8+H8+I8)</f>
        <v>45100</v>
      </c>
      <c r="K8" s="26">
        <v>110133</v>
      </c>
    </row>
    <row r="9" s="2" customFormat="1" ht="29" customHeight="1" spans="1:11">
      <c r="A9" s="10">
        <v>43832</v>
      </c>
      <c r="B9" s="11" t="s">
        <v>20</v>
      </c>
      <c r="C9" s="11"/>
      <c r="D9" s="11"/>
      <c r="E9" s="11"/>
      <c r="F9" s="11"/>
      <c r="G9" s="12"/>
      <c r="H9" s="16"/>
      <c r="I9" s="27"/>
      <c r="J9" s="28">
        <v>-45100</v>
      </c>
      <c r="K9" s="26"/>
    </row>
    <row r="10" s="2" customFormat="1" ht="29" customHeight="1" spans="1:11">
      <c r="A10" s="10">
        <v>43780</v>
      </c>
      <c r="B10" s="11" t="s">
        <v>16</v>
      </c>
      <c r="C10" s="11" t="s">
        <v>13</v>
      </c>
      <c r="D10" s="11">
        <v>2</v>
      </c>
      <c r="E10" s="11">
        <v>12000</v>
      </c>
      <c r="F10" s="11">
        <v>12000</v>
      </c>
      <c r="G10" s="17">
        <v>36.6</v>
      </c>
      <c r="H10" s="18">
        <v>50</v>
      </c>
      <c r="I10" s="29">
        <v>5450</v>
      </c>
      <c r="J10" s="25">
        <f>SUM(F10*G10+H10+I10)</f>
        <v>444700</v>
      </c>
      <c r="K10" s="26">
        <v>110151</v>
      </c>
    </row>
    <row r="11" s="2" customFormat="1" ht="29" customHeight="1" spans="1:11">
      <c r="A11" s="10">
        <v>43887</v>
      </c>
      <c r="B11" s="11" t="s">
        <v>20</v>
      </c>
      <c r="C11" s="11"/>
      <c r="D11" s="11"/>
      <c r="E11" s="11"/>
      <c r="F11" s="11"/>
      <c r="G11" s="19"/>
      <c r="H11" s="18"/>
      <c r="I11" s="29"/>
      <c r="J11" s="25">
        <v>-50000</v>
      </c>
      <c r="K11" s="26"/>
    </row>
    <row r="12" s="2" customFormat="1" ht="29" customHeight="1" spans="1:11">
      <c r="A12" s="10">
        <v>43887</v>
      </c>
      <c r="B12" s="11" t="s">
        <v>20</v>
      </c>
      <c r="C12" s="11"/>
      <c r="D12" s="11"/>
      <c r="E12" s="11"/>
      <c r="F12" s="11"/>
      <c r="G12" s="19"/>
      <c r="H12" s="18"/>
      <c r="I12" s="29"/>
      <c r="J12" s="25">
        <v>-100000</v>
      </c>
      <c r="K12" s="26"/>
    </row>
    <row r="13" s="2" customFormat="1" ht="29" customHeight="1" spans="1:11">
      <c r="A13" s="10">
        <v>43890</v>
      </c>
      <c r="B13" s="11" t="s">
        <v>20</v>
      </c>
      <c r="C13" s="11"/>
      <c r="D13" s="11"/>
      <c r="E13" s="11"/>
      <c r="F13" s="11"/>
      <c r="G13" s="19"/>
      <c r="H13" s="18"/>
      <c r="I13" s="29"/>
      <c r="J13" s="25">
        <v>-70000</v>
      </c>
      <c r="K13" s="26"/>
    </row>
    <row r="14" s="2" customFormat="1" ht="29" customHeight="1" spans="1:11">
      <c r="A14" s="10">
        <v>43891</v>
      </c>
      <c r="B14" s="11" t="s">
        <v>20</v>
      </c>
      <c r="C14" s="11"/>
      <c r="D14" s="11"/>
      <c r="E14" s="11"/>
      <c r="F14" s="11"/>
      <c r="G14" s="19"/>
      <c r="H14" s="18"/>
      <c r="I14" s="29"/>
      <c r="J14" s="25">
        <v>-60000</v>
      </c>
      <c r="K14" s="26"/>
    </row>
    <row r="15" s="2" customFormat="1" ht="29" customHeight="1" spans="1:11">
      <c r="A15" s="10">
        <v>43892</v>
      </c>
      <c r="B15" s="11" t="s">
        <v>20</v>
      </c>
      <c r="C15" s="11"/>
      <c r="D15" s="11"/>
      <c r="E15" s="11"/>
      <c r="F15" s="11"/>
      <c r="G15" s="19"/>
      <c r="H15" s="18"/>
      <c r="I15" s="29"/>
      <c r="J15" s="25">
        <v>-60000</v>
      </c>
      <c r="K15" s="26"/>
    </row>
    <row r="16" s="2" customFormat="1" ht="29" customHeight="1" spans="1:11">
      <c r="A16" s="10">
        <v>43895</v>
      </c>
      <c r="B16" s="11" t="s">
        <v>20</v>
      </c>
      <c r="C16" s="11"/>
      <c r="D16" s="11"/>
      <c r="E16" s="11"/>
      <c r="F16" s="11"/>
      <c r="G16" s="19"/>
      <c r="H16" s="18"/>
      <c r="I16" s="29"/>
      <c r="J16" s="25">
        <v>-50000</v>
      </c>
      <c r="K16" s="26"/>
    </row>
    <row r="17" s="2" customFormat="1" ht="29" customHeight="1" spans="1:11">
      <c r="A17" s="10">
        <v>43900</v>
      </c>
      <c r="B17" s="11" t="s">
        <v>20</v>
      </c>
      <c r="C17" s="11"/>
      <c r="D17" s="11"/>
      <c r="E17" s="11"/>
      <c r="F17" s="11"/>
      <c r="G17" s="19"/>
      <c r="H17" s="18"/>
      <c r="I17" s="29"/>
      <c r="J17" s="25">
        <v>-54700</v>
      </c>
      <c r="K17" s="26"/>
    </row>
    <row r="18" s="3" customFormat="1" ht="29" customHeight="1" spans="1:11">
      <c r="A18" s="20" t="s">
        <v>21</v>
      </c>
      <c r="B18" s="20"/>
      <c r="C18" s="20"/>
      <c r="D18" s="20"/>
      <c r="E18" s="20"/>
      <c r="F18" s="20"/>
      <c r="G18" s="21"/>
      <c r="H18" s="20"/>
      <c r="I18" s="20"/>
      <c r="J18" s="30">
        <f>SUM(J10:J17)</f>
        <v>0</v>
      </c>
      <c r="K18" s="31"/>
    </row>
  </sheetData>
  <mergeCells count="1">
    <mergeCell ref="A1:I1"/>
  </mergeCells>
  <pageMargins left="0.66875" right="0.236111111111111" top="0.354166666666667" bottom="1" header="0.156944444444444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总欠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2019-07-03T04:04:00Z</dcterms:created>
  <dcterms:modified xsi:type="dcterms:W3CDTF">2020-04-09T03:17:08Z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