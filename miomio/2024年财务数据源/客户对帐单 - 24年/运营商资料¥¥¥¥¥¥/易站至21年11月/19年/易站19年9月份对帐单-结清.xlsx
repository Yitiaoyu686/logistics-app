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3"/>
  </bookViews>
  <sheets>
    <sheet name="总欠" sheetId="1" r:id="rId1"/>
    <sheet name="10月16日公账支付" sheetId="3" r:id="rId2"/>
    <sheet name="10月22日私账支付" sheetId="4" r:id="rId3"/>
    <sheet name="结清" sheetId="5" r:id="rId4"/>
    <sheet name="1" sheetId="2" r:id="rId5"/>
  </sheets>
  <definedNames>
    <definedName name="_xlnm.Print_Area" localSheetId="3">结清!$A$1:$J$13</definedName>
  </definedNames>
  <calcPr calcId="144525"/>
</workbook>
</file>

<file path=xl/sharedStrings.xml><?xml version="1.0" encoding="utf-8"?>
<sst xmlns="http://schemas.openxmlformats.org/spreadsheetml/2006/main" count="82" uniqueCount="22">
  <si>
    <t>易站9月份对账单</t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</si>
  <si>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</si>
  <si>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</si>
  <si>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</si>
  <si>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</si>
  <si>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</si>
  <si>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</si>
  <si>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</si>
  <si>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其他</t>
  </si>
  <si>
    <t>金额</t>
  </si>
  <si>
    <t>备注</t>
  </si>
  <si>
    <t>071-35207535</t>
  </si>
  <si>
    <t>LOS</t>
  </si>
  <si>
    <t>071-35207863</t>
  </si>
  <si>
    <t>071-35290986</t>
  </si>
  <si>
    <t>071-35212483</t>
  </si>
  <si>
    <t>071-35386271</t>
  </si>
  <si>
    <t>090171/090172</t>
  </si>
  <si>
    <t>支付：易站清单</t>
  </si>
  <si>
    <t>支付</t>
  </si>
  <si>
    <t>公账支付</t>
  </si>
  <si>
    <t>欠</t>
  </si>
</sst>
</file>

<file path=xl/styles.xml><?xml version="1.0" encoding="utf-8"?>
<styleSheet xmlns="http://schemas.openxmlformats.org/spreadsheetml/2006/main">
  <numFmts count="8">
    <numFmt numFmtId="176" formatCode="0.00_ "/>
    <numFmt numFmtId="177" formatCode="yyyy/m/d;@"/>
    <numFmt numFmtId="178" formatCode="&quot;JOB&quot;000000"/>
    <numFmt numFmtId="44" formatCode="_ &quot;￥&quot;* #,##0.00_ ;_ &quot;￥&quot;* \-#,##0.00_ ;_ &quot;￥&quot;* &quot;-&quot;??_ ;_ @_ "/>
    <numFmt numFmtId="179" formatCode="&quot;￥&quot;#,##0.00_);[Red]\(&quot;￥&quot;#,##0.00\)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27" fillId="24" borderId="11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179" fontId="4" fillId="0" borderId="3" xfId="0" applyNumberFormat="1" applyFont="1" applyFill="1" applyBorder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179" fontId="7" fillId="0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79" fontId="2" fillId="0" borderId="3" xfId="0" applyNumberFormat="1" applyFont="1" applyFill="1" applyBorder="1" applyAlignment="1">
      <alignment horizontal="center" vertical="center" wrapText="1"/>
    </xf>
    <xf numFmtId="178" fontId="8" fillId="0" borderId="3" xfId="0" applyNumberFormat="1" applyFont="1" applyFill="1" applyBorder="1" applyAlignment="1">
      <alignment horizontal="center" vertical="center" wrapText="1"/>
    </xf>
    <xf numFmtId="179" fontId="8" fillId="0" borderId="3" xfId="0" applyNumberFormat="1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/>
    </xf>
    <xf numFmtId="179" fontId="8" fillId="2" borderId="3" xfId="0" applyNumberFormat="1" applyFont="1" applyFill="1" applyBorder="1" applyAlignment="1">
      <alignment horizontal="center" vertical="center" wrapText="1"/>
    </xf>
    <xf numFmtId="179" fontId="4" fillId="2" borderId="3" xfId="0" applyNumberFormat="1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9" fontId="4" fillId="0" borderId="3" xfId="0" applyNumberFormat="1" applyFont="1" applyBorder="1" applyAlignment="1">
      <alignment horizontal="center" vertical="center"/>
    </xf>
    <xf numFmtId="14" fontId="9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G12" sqref="G12"/>
    </sheetView>
  </sheetViews>
  <sheetFormatPr defaultColWidth="9" defaultRowHeight="13.5" outlineLevelRow="7"/>
  <cols>
    <col min="1" max="1" width="10.625" style="12" customWidth="1"/>
    <col min="2" max="2" width="13.25" style="12" customWidth="1"/>
    <col min="3" max="3" width="5.125" style="12" customWidth="1"/>
    <col min="4" max="4" width="4.375" style="12" customWidth="1"/>
    <col min="5" max="5" width="4.875" style="12" customWidth="1"/>
    <col min="6" max="6" width="9.13333333333333" style="12" customWidth="1"/>
    <col min="7" max="7" width="7.625" style="12" customWidth="1"/>
    <col min="8" max="8" width="10.25" style="12"/>
    <col min="9" max="9" width="16.5" style="13" customWidth="1"/>
    <col min="10" max="10" width="14.625" style="14" customWidth="1"/>
    <col min="11" max="12" width="9" style="12"/>
    <col min="13" max="16" width="28.375" style="12" customWidth="1"/>
    <col min="17" max="16384" width="9" style="12"/>
  </cols>
  <sheetData>
    <row r="1" ht="48" customHeight="1" spans="1:9">
      <c r="A1" s="34" t="s">
        <v>0</v>
      </c>
      <c r="B1" s="34"/>
      <c r="C1" s="34"/>
      <c r="D1" s="34"/>
      <c r="E1" s="34"/>
      <c r="F1" s="34"/>
      <c r="G1" s="34"/>
      <c r="H1" s="34"/>
      <c r="I1" s="35"/>
    </row>
    <row r="2" s="1" customFormat="1" ht="45" customHeight="1" spans="1:10">
      <c r="A2" s="15" t="s">
        <v>1</v>
      </c>
      <c r="B2" s="15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5" t="s">
        <v>7</v>
      </c>
      <c r="H2" s="15" t="s">
        <v>8</v>
      </c>
      <c r="I2" s="22" t="s">
        <v>9</v>
      </c>
      <c r="J2" s="23" t="s">
        <v>10</v>
      </c>
    </row>
    <row r="3" s="10" customFormat="1" ht="33" customHeight="1" spans="1:10">
      <c r="A3" s="17">
        <v>43717</v>
      </c>
      <c r="B3" s="18" t="s">
        <v>11</v>
      </c>
      <c r="C3" s="18" t="s">
        <v>12</v>
      </c>
      <c r="D3" s="18">
        <v>26</v>
      </c>
      <c r="E3" s="18">
        <v>1849</v>
      </c>
      <c r="F3" s="18">
        <v>1849</v>
      </c>
      <c r="G3" s="19">
        <v>24.3</v>
      </c>
      <c r="H3" s="20">
        <v>180.5</v>
      </c>
      <c r="I3" s="24">
        <f>SUM(F3*G3+H3)</f>
        <v>45111.2</v>
      </c>
      <c r="J3" s="25">
        <v>90123</v>
      </c>
    </row>
    <row r="4" s="10" customFormat="1" ht="33" customHeight="1" spans="1:10">
      <c r="A4" s="31">
        <v>43722</v>
      </c>
      <c r="B4" s="32" t="s">
        <v>13</v>
      </c>
      <c r="C4" s="18" t="s">
        <v>12</v>
      </c>
      <c r="D4" s="33">
        <v>12</v>
      </c>
      <c r="E4" s="32">
        <v>1118</v>
      </c>
      <c r="F4" s="18">
        <v>1118</v>
      </c>
      <c r="G4" s="19">
        <v>24.3</v>
      </c>
      <c r="H4" s="20">
        <v>180.5</v>
      </c>
      <c r="I4" s="24">
        <f>SUM(F4*G4+H4)</f>
        <v>27347.9</v>
      </c>
      <c r="J4" s="25">
        <v>90139</v>
      </c>
    </row>
    <row r="5" s="10" customFormat="1" ht="33" customHeight="1" spans="1:10">
      <c r="A5" s="17">
        <v>43728</v>
      </c>
      <c r="B5" s="18" t="s">
        <v>14</v>
      </c>
      <c r="C5" s="18" t="s">
        <v>12</v>
      </c>
      <c r="D5" s="18">
        <v>9</v>
      </c>
      <c r="E5" s="18">
        <v>1582</v>
      </c>
      <c r="F5" s="18">
        <v>1582</v>
      </c>
      <c r="G5" s="19">
        <v>25</v>
      </c>
      <c r="H5" s="20"/>
      <c r="I5" s="24">
        <f>SUM(F5*G5+H5)</f>
        <v>39550</v>
      </c>
      <c r="J5" s="25">
        <v>90150</v>
      </c>
    </row>
    <row r="6" s="10" customFormat="1" ht="33" customHeight="1" spans="1:10">
      <c r="A6" s="17">
        <v>43729</v>
      </c>
      <c r="B6" s="18" t="s">
        <v>15</v>
      </c>
      <c r="C6" s="18" t="s">
        <v>12</v>
      </c>
      <c r="D6" s="18">
        <v>32</v>
      </c>
      <c r="E6" s="18">
        <v>2347</v>
      </c>
      <c r="F6" s="18">
        <v>2347</v>
      </c>
      <c r="G6" s="19">
        <v>24.3</v>
      </c>
      <c r="H6" s="20">
        <v>237.5</v>
      </c>
      <c r="I6" s="24">
        <f>SUM(F6*G6+H6)</f>
        <v>57269.6</v>
      </c>
      <c r="J6" s="25">
        <v>90156</v>
      </c>
    </row>
    <row r="7" s="10" customFormat="1" ht="33" customHeight="1" spans="1:10">
      <c r="A7" s="17">
        <v>43737</v>
      </c>
      <c r="B7" s="18" t="s">
        <v>16</v>
      </c>
      <c r="C7" s="18" t="s">
        <v>12</v>
      </c>
      <c r="D7" s="18">
        <v>119</v>
      </c>
      <c r="E7" s="18">
        <v>6933</v>
      </c>
      <c r="F7" s="18">
        <v>6933</v>
      </c>
      <c r="G7" s="19">
        <v>24.3</v>
      </c>
      <c r="H7" s="20">
        <v>475</v>
      </c>
      <c r="I7" s="24">
        <f>SUM(F7*G7+H7)</f>
        <v>168946.9</v>
      </c>
      <c r="J7" s="25" t="s">
        <v>17</v>
      </c>
    </row>
    <row r="8" s="11" customFormat="1" ht="33" customHeight="1" spans="1:10">
      <c r="A8" s="29"/>
      <c r="B8" s="29"/>
      <c r="C8" s="29"/>
      <c r="D8" s="29"/>
      <c r="E8" s="29"/>
      <c r="F8" s="29"/>
      <c r="G8" s="29"/>
      <c r="H8" s="29"/>
      <c r="I8" s="30">
        <f>SUM(I3:I7)</f>
        <v>338225.6</v>
      </c>
      <c r="J8" s="28"/>
    </row>
  </sheetData>
  <mergeCells count="1">
    <mergeCell ref="A1:J1"/>
  </mergeCells>
  <pageMargins left="0.472222222222222" right="0.236111111111111" top="0.393055555555556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F10" sqref="F10"/>
    </sheetView>
  </sheetViews>
  <sheetFormatPr defaultColWidth="9" defaultRowHeight="13.5" outlineLevelRow="3"/>
  <cols>
    <col min="1" max="1" width="10.625" style="12" customWidth="1"/>
    <col min="2" max="2" width="13.25" style="12" customWidth="1"/>
    <col min="3" max="3" width="5.125" style="12" customWidth="1"/>
    <col min="4" max="4" width="4.375" style="12" customWidth="1"/>
    <col min="5" max="5" width="4.875" style="12" customWidth="1"/>
    <col min="6" max="6" width="9.13333333333333" style="12" customWidth="1"/>
    <col min="7" max="7" width="7.625" style="12" customWidth="1"/>
    <col min="8" max="8" width="10.25" style="12"/>
    <col min="9" max="9" width="16.5" style="13" customWidth="1"/>
    <col min="10" max="10" width="14.625" style="14" customWidth="1"/>
    <col min="11" max="12" width="9" style="12"/>
    <col min="13" max="16" width="28.375" style="12" customWidth="1"/>
    <col min="17" max="16384" width="9" style="12"/>
  </cols>
  <sheetData>
    <row r="1" customFormat="1" ht="57" customHeight="1" spans="1:9">
      <c r="A1" s="3" t="s">
        <v>18</v>
      </c>
      <c r="B1" s="3"/>
      <c r="C1" s="3"/>
      <c r="D1" s="3"/>
      <c r="E1" s="3"/>
      <c r="F1" s="3"/>
      <c r="G1" s="3"/>
      <c r="H1" s="3"/>
      <c r="I1" s="3"/>
    </row>
    <row r="2" s="1" customFormat="1" ht="45" customHeight="1" spans="1:10">
      <c r="A2" s="15" t="s">
        <v>1</v>
      </c>
      <c r="B2" s="15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5" t="s">
        <v>7</v>
      </c>
      <c r="H2" s="15" t="s">
        <v>8</v>
      </c>
      <c r="I2" s="22" t="s">
        <v>9</v>
      </c>
      <c r="J2" s="23" t="s">
        <v>10</v>
      </c>
    </row>
    <row r="3" s="10" customFormat="1" ht="33" customHeight="1" spans="1:10">
      <c r="A3" s="31">
        <v>43722</v>
      </c>
      <c r="B3" s="32" t="s">
        <v>13</v>
      </c>
      <c r="C3" s="18" t="s">
        <v>12</v>
      </c>
      <c r="D3" s="33">
        <v>12</v>
      </c>
      <c r="E3" s="32">
        <v>1118</v>
      </c>
      <c r="F3" s="18">
        <v>1118</v>
      </c>
      <c r="G3" s="19">
        <v>24.3</v>
      </c>
      <c r="H3" s="20">
        <v>180.5</v>
      </c>
      <c r="I3" s="24">
        <f>SUM(F3*G3+H3)</f>
        <v>27347.9</v>
      </c>
      <c r="J3" s="25">
        <v>90139</v>
      </c>
    </row>
    <row r="4" s="11" customFormat="1" ht="33" customHeight="1" spans="1:10">
      <c r="A4" s="29"/>
      <c r="B4" s="29"/>
      <c r="C4" s="29"/>
      <c r="D4" s="29"/>
      <c r="E4" s="29"/>
      <c r="F4" s="29"/>
      <c r="G4" s="29"/>
      <c r="H4" s="29"/>
      <c r="I4" s="30">
        <f>SUM(I3:I3)</f>
        <v>27347.9</v>
      </c>
      <c r="J4" s="28"/>
    </row>
  </sheetData>
  <mergeCells count="1">
    <mergeCell ref="A1:I1"/>
  </mergeCells>
  <pageMargins left="0.472222222222222" right="0.236111111111111" top="0.550694444444444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$A1:$XFD1"/>
    </sheetView>
  </sheetViews>
  <sheetFormatPr defaultColWidth="9" defaultRowHeight="13.5" outlineLevelRow="3"/>
  <cols>
    <col min="1" max="1" width="10.625" style="12" customWidth="1"/>
    <col min="2" max="2" width="13.25" style="12" customWidth="1"/>
    <col min="3" max="3" width="5.125" style="12" customWidth="1"/>
    <col min="4" max="4" width="4.375" style="12" customWidth="1"/>
    <col min="5" max="5" width="4.875" style="12" customWidth="1"/>
    <col min="6" max="6" width="9.13333333333333" style="12" customWidth="1"/>
    <col min="7" max="7" width="7.625" style="12" customWidth="1"/>
    <col min="8" max="8" width="8.375" style="12" customWidth="1"/>
    <col min="9" max="9" width="16.5" style="13" customWidth="1"/>
    <col min="10" max="10" width="14.625" style="14" customWidth="1"/>
    <col min="11" max="12" width="9" style="12"/>
    <col min="13" max="16" width="28.375" style="12" customWidth="1"/>
    <col min="17" max="16384" width="9" style="12"/>
  </cols>
  <sheetData>
    <row r="1" customFormat="1" ht="57" customHeight="1" spans="1:9">
      <c r="A1" s="3" t="s">
        <v>18</v>
      </c>
      <c r="B1" s="3"/>
      <c r="C1" s="3"/>
      <c r="D1" s="3"/>
      <c r="E1" s="3"/>
      <c r="F1" s="3"/>
      <c r="G1" s="3"/>
      <c r="H1" s="3"/>
      <c r="I1" s="3"/>
    </row>
    <row r="2" s="1" customFormat="1" ht="45" customHeight="1" spans="1:10">
      <c r="A2" s="15" t="s">
        <v>1</v>
      </c>
      <c r="B2" s="15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5" t="s">
        <v>7</v>
      </c>
      <c r="H2" s="15" t="s">
        <v>8</v>
      </c>
      <c r="I2" s="22" t="s">
        <v>9</v>
      </c>
      <c r="J2" s="23" t="s">
        <v>10</v>
      </c>
    </row>
    <row r="3" s="10" customFormat="1" ht="39" customHeight="1" spans="1:10">
      <c r="A3" s="17">
        <v>43728</v>
      </c>
      <c r="B3" s="18" t="s">
        <v>14</v>
      </c>
      <c r="C3" s="18" t="s">
        <v>12</v>
      </c>
      <c r="D3" s="18">
        <v>9</v>
      </c>
      <c r="E3" s="18">
        <v>1582</v>
      </c>
      <c r="F3" s="18">
        <v>1582</v>
      </c>
      <c r="G3" s="19">
        <v>25</v>
      </c>
      <c r="H3" s="20"/>
      <c r="I3" s="24">
        <f>SUM(F3*G3+H3)</f>
        <v>39550</v>
      </c>
      <c r="J3" s="25">
        <v>90150</v>
      </c>
    </row>
    <row r="4" s="11" customFormat="1" ht="39" customHeight="1" spans="1:10">
      <c r="A4" s="29"/>
      <c r="B4" s="29"/>
      <c r="C4" s="29"/>
      <c r="D4" s="29"/>
      <c r="E4" s="29"/>
      <c r="F4" s="29"/>
      <c r="G4" s="29"/>
      <c r="H4" s="29"/>
      <c r="I4" s="30">
        <f>SUM(I3:I3)</f>
        <v>39550</v>
      </c>
      <c r="J4" s="28"/>
    </row>
  </sheetData>
  <mergeCells count="1">
    <mergeCell ref="A1:I1"/>
  </mergeCells>
  <pageMargins left="0.472222222222222" right="0.236111111111111" top="0.393055555555556" bottom="1" header="0.156944444444444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I11" sqref="I11"/>
    </sheetView>
  </sheetViews>
  <sheetFormatPr defaultColWidth="9" defaultRowHeight="13.5"/>
  <cols>
    <col min="1" max="1" width="10.625" style="12" customWidth="1"/>
    <col min="2" max="2" width="13.25" style="12" customWidth="1"/>
    <col min="3" max="3" width="5.125" style="12" customWidth="1"/>
    <col min="4" max="4" width="4.375" style="12" customWidth="1"/>
    <col min="5" max="5" width="4.875" style="12" customWidth="1"/>
    <col min="6" max="6" width="9.13333333333333" style="12" customWidth="1"/>
    <col min="7" max="7" width="7.625" style="12" customWidth="1"/>
    <col min="8" max="8" width="10.25" style="12"/>
    <col min="9" max="9" width="16.5" style="13" customWidth="1"/>
    <col min="10" max="10" width="14.625" style="14" customWidth="1"/>
    <col min="11" max="12" width="9" style="12"/>
    <col min="13" max="16" width="28.375" style="12" customWidth="1"/>
    <col min="17" max="16384" width="9" style="12"/>
  </cols>
  <sheetData>
    <row r="1" customFormat="1" ht="39" customHeight="1" spans="1:9">
      <c r="A1" s="3" t="s">
        <v>18</v>
      </c>
      <c r="B1" s="3"/>
      <c r="C1" s="3"/>
      <c r="D1" s="3"/>
      <c r="E1" s="3"/>
      <c r="F1" s="3"/>
      <c r="G1" s="3"/>
      <c r="H1" s="3"/>
      <c r="I1" s="3"/>
    </row>
    <row r="2" s="1" customFormat="1" ht="38" customHeight="1" spans="1:10">
      <c r="A2" s="15" t="s">
        <v>1</v>
      </c>
      <c r="B2" s="15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5" t="s">
        <v>7</v>
      </c>
      <c r="H2" s="15" t="s">
        <v>8</v>
      </c>
      <c r="I2" s="22" t="s">
        <v>9</v>
      </c>
      <c r="J2" s="23" t="s">
        <v>10</v>
      </c>
    </row>
    <row r="3" s="10" customFormat="1" ht="33" hidden="1" customHeight="1" spans="1:10">
      <c r="A3" s="17">
        <v>43717</v>
      </c>
      <c r="B3" s="18" t="s">
        <v>11</v>
      </c>
      <c r="C3" s="18" t="s">
        <v>12</v>
      </c>
      <c r="D3" s="18">
        <v>26</v>
      </c>
      <c r="E3" s="18">
        <v>1849</v>
      </c>
      <c r="F3" s="18">
        <v>1849</v>
      </c>
      <c r="G3" s="19">
        <v>24.3</v>
      </c>
      <c r="H3" s="20">
        <v>180.5</v>
      </c>
      <c r="I3" s="24">
        <f>SUM(F3*G3+H3)</f>
        <v>45111.2</v>
      </c>
      <c r="J3" s="25">
        <v>90123</v>
      </c>
    </row>
    <row r="4" s="10" customFormat="1" ht="33" hidden="1" customHeight="1" spans="1:10">
      <c r="A4" s="17">
        <v>43767</v>
      </c>
      <c r="B4" s="18" t="s">
        <v>19</v>
      </c>
      <c r="C4" s="18"/>
      <c r="D4" s="18"/>
      <c r="E4" s="18"/>
      <c r="F4" s="18"/>
      <c r="G4" s="19"/>
      <c r="H4" s="20"/>
      <c r="I4" s="26">
        <f>SUM(I3:I3)</f>
        <v>45111.2</v>
      </c>
      <c r="J4" s="25"/>
    </row>
    <row r="5" s="10" customFormat="1" ht="33" hidden="1" customHeight="1" spans="1:10">
      <c r="A5" s="17"/>
      <c r="B5" s="18"/>
      <c r="C5" s="18"/>
      <c r="D5" s="18"/>
      <c r="E5" s="18"/>
      <c r="F5" s="18"/>
      <c r="G5" s="19"/>
      <c r="H5" s="20"/>
      <c r="I5" s="24"/>
      <c r="J5" s="25"/>
    </row>
    <row r="6" s="10" customFormat="1" ht="33" customHeight="1" spans="1:10">
      <c r="A6" s="17">
        <v>43729</v>
      </c>
      <c r="B6" s="18" t="s">
        <v>15</v>
      </c>
      <c r="C6" s="18" t="s">
        <v>12</v>
      </c>
      <c r="D6" s="18">
        <v>32</v>
      </c>
      <c r="E6" s="18">
        <v>2347</v>
      </c>
      <c r="F6" s="18">
        <v>2347</v>
      </c>
      <c r="G6" s="19">
        <v>24.3</v>
      </c>
      <c r="H6" s="20">
        <v>237.5</v>
      </c>
      <c r="I6" s="24">
        <f>SUM(F6*G6+H6)</f>
        <v>57269.6</v>
      </c>
      <c r="J6" s="25">
        <v>90156</v>
      </c>
    </row>
    <row r="7" s="10" customFormat="1" ht="33" customHeight="1" spans="1:10">
      <c r="A7" s="17">
        <v>43770</v>
      </c>
      <c r="B7" s="18" t="s">
        <v>20</v>
      </c>
      <c r="C7" s="18"/>
      <c r="D7" s="18"/>
      <c r="E7" s="18"/>
      <c r="F7" s="18"/>
      <c r="G7" s="19"/>
      <c r="H7" s="20"/>
      <c r="I7" s="26">
        <f>SUM(I6:I6)</f>
        <v>57269.6</v>
      </c>
      <c r="J7" s="25"/>
    </row>
    <row r="8" s="10" customFormat="1" ht="15" customHeight="1" spans="1:10">
      <c r="A8" s="17"/>
      <c r="B8" s="18"/>
      <c r="C8" s="18"/>
      <c r="D8" s="18"/>
      <c r="E8" s="18"/>
      <c r="F8" s="18"/>
      <c r="G8" s="19"/>
      <c r="H8" s="20"/>
      <c r="I8" s="24"/>
      <c r="J8" s="25"/>
    </row>
    <row r="9" s="10" customFormat="1" ht="33" customHeight="1" spans="1:10">
      <c r="A9" s="17">
        <v>43737</v>
      </c>
      <c r="B9" s="18" t="s">
        <v>16</v>
      </c>
      <c r="C9" s="18" t="s">
        <v>12</v>
      </c>
      <c r="D9" s="18">
        <v>119</v>
      </c>
      <c r="E9" s="18">
        <v>6933</v>
      </c>
      <c r="F9" s="18">
        <v>6933</v>
      </c>
      <c r="G9" s="19">
        <v>24.3</v>
      </c>
      <c r="H9" s="20">
        <v>475</v>
      </c>
      <c r="I9" s="24">
        <f>SUM(F9*G9+H9)</f>
        <v>168946.9</v>
      </c>
      <c r="J9" s="25" t="s">
        <v>17</v>
      </c>
    </row>
    <row r="10" s="10" customFormat="1" ht="33" customHeight="1" spans="1:10">
      <c r="A10" s="17">
        <v>43777</v>
      </c>
      <c r="B10" s="18" t="s">
        <v>20</v>
      </c>
      <c r="C10" s="18"/>
      <c r="D10" s="18"/>
      <c r="E10" s="18"/>
      <c r="F10" s="18"/>
      <c r="G10" s="19"/>
      <c r="H10" s="20"/>
      <c r="I10" s="24">
        <v>45562.5</v>
      </c>
      <c r="J10" s="25"/>
    </row>
    <row r="11" s="10" customFormat="1" ht="33" customHeight="1" spans="1:10">
      <c r="A11" s="17">
        <v>43783</v>
      </c>
      <c r="B11" s="18" t="s">
        <v>20</v>
      </c>
      <c r="C11" s="18"/>
      <c r="D11" s="18"/>
      <c r="E11" s="18"/>
      <c r="F11" s="18"/>
      <c r="G11" s="19"/>
      <c r="H11" s="20"/>
      <c r="I11" s="24">
        <v>30000</v>
      </c>
      <c r="J11" s="25"/>
    </row>
    <row r="12" s="10" customFormat="1" ht="33" customHeight="1" spans="1:10">
      <c r="A12" s="17">
        <v>43787</v>
      </c>
      <c r="B12" s="18" t="s">
        <v>19</v>
      </c>
      <c r="C12" s="18"/>
      <c r="D12" s="18"/>
      <c r="E12" s="18"/>
      <c r="F12" s="18"/>
      <c r="G12" s="19"/>
      <c r="H12" s="20"/>
      <c r="I12" s="24">
        <v>93384.4</v>
      </c>
      <c r="J12" s="25"/>
    </row>
    <row r="13" s="11" customFormat="1" ht="33" customHeight="1" spans="1:10">
      <c r="A13" s="21" t="s">
        <v>21</v>
      </c>
      <c r="B13" s="21"/>
      <c r="C13" s="21"/>
      <c r="D13" s="21"/>
      <c r="E13" s="21"/>
      <c r="F13" s="21"/>
      <c r="G13" s="21"/>
      <c r="H13" s="21"/>
      <c r="I13" s="27">
        <f>SUM(I9-I10-I11-I12)</f>
        <v>0</v>
      </c>
      <c r="J13" s="28"/>
    </row>
  </sheetData>
  <mergeCells count="1">
    <mergeCell ref="A1:I1"/>
  </mergeCells>
  <pageMargins left="0.472222222222222" right="0.236111111111111" top="0.354166666666667" bottom="1" header="0.156944444444444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$A1:$XFD1"/>
    </sheetView>
  </sheetViews>
  <sheetFormatPr defaultColWidth="9" defaultRowHeight="13.5" outlineLevelRow="2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5.25" customWidth="1"/>
    <col min="9" max="9" width="15.625" customWidth="1"/>
  </cols>
  <sheetData>
    <row r="1" ht="57" customHeight="1" spans="1:9">
      <c r="A1" s="3" t="s">
        <v>18</v>
      </c>
      <c r="B1" s="3"/>
      <c r="C1" s="3"/>
      <c r="D1" s="3"/>
      <c r="E1" s="3"/>
      <c r="F1" s="3"/>
      <c r="G1" s="3"/>
      <c r="H1" s="3"/>
      <c r="I1" s="3"/>
    </row>
    <row r="2" s="1" customFormat="1" ht="55" customHeight="1" spans="1:9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 t="s">
        <v>9</v>
      </c>
      <c r="I2" s="9" t="s">
        <v>10</v>
      </c>
    </row>
    <row r="3" s="2" customFormat="1" ht="55" customHeight="1" spans="1:9">
      <c r="A3" s="7"/>
      <c r="B3" s="7"/>
      <c r="C3" s="7"/>
      <c r="D3" s="7"/>
      <c r="E3" s="7"/>
      <c r="F3" s="7"/>
      <c r="G3" s="7"/>
      <c r="H3" s="8" t="e">
        <f>SUM(#REF!)</f>
        <v>#REF!</v>
      </c>
      <c r="I3" s="7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总欠</vt:lpstr>
      <vt:lpstr>10月16日公账支付</vt:lpstr>
      <vt:lpstr>10月22日私账支付</vt:lpstr>
      <vt:lpstr>结清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2019-12-05T10:02:42Z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