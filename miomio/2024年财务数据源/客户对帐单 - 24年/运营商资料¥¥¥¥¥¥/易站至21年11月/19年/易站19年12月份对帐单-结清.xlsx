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总欠 (2)" sheetId="3" r:id="rId2"/>
  </sheets>
  <definedNames>
    <definedName name="_xlnm.Print_Area" localSheetId="1">'总欠 (2)'!$A$1:$J$2</definedName>
  </definedNames>
  <calcPr calcId="144525"/>
</workbook>
</file>

<file path=xl/sharedStrings.xml><?xml version="1.0" encoding="utf-8"?>
<sst xmlns="http://schemas.openxmlformats.org/spreadsheetml/2006/main" count="39" uniqueCount="19">
  <si>
    <t>易站12月份对账单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</si>
  <si>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</si>
  <si>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</si>
  <si>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</si>
  <si>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</si>
  <si>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</si>
  <si>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</si>
  <si>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</si>
  <si>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文件费</t>
  </si>
  <si>
    <t>其他</t>
  </si>
  <si>
    <t>金额</t>
  </si>
  <si>
    <t>备注</t>
  </si>
  <si>
    <t>071-36031004</t>
  </si>
  <si>
    <t>LOS</t>
  </si>
  <si>
    <t>071-36079072</t>
  </si>
  <si>
    <t>071-36190626</t>
  </si>
  <si>
    <t>支付：易站清单</t>
  </si>
  <si>
    <t>私账支付</t>
  </si>
  <si>
    <t>公账支付</t>
  </si>
</sst>
</file>

<file path=xl/styles.xml><?xml version="1.0" encoding="utf-8"?>
<styleSheet xmlns="http://schemas.openxmlformats.org/spreadsheetml/2006/main">
  <numFmts count="7">
    <numFmt numFmtId="176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yyyy/m/d;@"/>
    <numFmt numFmtId="178" formatCode="&quot;JOB&quot;000000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0"/>
      <color theme="1"/>
      <name val="宋体"/>
      <charset val="134"/>
    </font>
    <font>
      <sz val="11"/>
      <color rgb="FF000000"/>
      <name val="Times New Roman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000000"/>
      <name val="Times New Roman"/>
      <charset val="204"/>
    </font>
    <font>
      <b/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8" fillId="16" borderId="8" applyNumberFormat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3" sqref="$A3:$XFD5"/>
    </sheetView>
  </sheetViews>
  <sheetFormatPr defaultColWidth="9" defaultRowHeight="13.5" outlineLevelRow="5"/>
  <cols>
    <col min="1" max="1" width="10.625" style="3" customWidth="1"/>
    <col min="2" max="2" width="13.25" style="3" customWidth="1"/>
    <col min="3" max="3" width="5.125" style="3" customWidth="1"/>
    <col min="4" max="4" width="4.375" style="3" customWidth="1"/>
    <col min="5" max="5" width="6.33333333333333" style="3" customWidth="1"/>
    <col min="6" max="6" width="9.13333333333333" style="3" customWidth="1"/>
    <col min="7" max="7" width="7.625" style="3" customWidth="1"/>
    <col min="8" max="8" width="6.25" style="3" customWidth="1"/>
    <col min="9" max="9" width="6.5" style="3" customWidth="1"/>
    <col min="10" max="10" width="16.5" style="5" customWidth="1"/>
    <col min="11" max="11" width="10" style="6" customWidth="1"/>
    <col min="12" max="13" width="9" style="3"/>
    <col min="14" max="17" width="28.375" style="3" customWidth="1"/>
    <col min="18" max="16384" width="9" style="3"/>
  </cols>
  <sheetData>
    <row r="1" ht="30" customHeight="1" spans="1:10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="1" customFormat="1" ht="45" customHeight="1" spans="1:1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17" t="s">
        <v>10</v>
      </c>
      <c r="K2" s="18" t="s">
        <v>11</v>
      </c>
    </row>
    <row r="3" s="2" customFormat="1" ht="33" customHeight="1" spans="1:11">
      <c r="A3" s="10">
        <v>43805</v>
      </c>
      <c r="B3" s="11" t="s">
        <v>12</v>
      </c>
      <c r="C3" s="11" t="s">
        <v>13</v>
      </c>
      <c r="D3" s="11">
        <v>41</v>
      </c>
      <c r="E3" s="11">
        <v>2024</v>
      </c>
      <c r="F3" s="11">
        <v>2024</v>
      </c>
      <c r="G3" s="12">
        <v>26.5</v>
      </c>
      <c r="H3" s="12"/>
      <c r="I3" s="19">
        <v>150</v>
      </c>
      <c r="J3" s="20">
        <f>SUM(F3*G3+H3+I3)</f>
        <v>53786</v>
      </c>
      <c r="K3" s="21">
        <v>120122</v>
      </c>
    </row>
    <row r="4" s="2" customFormat="1" ht="33" customHeight="1" spans="1:11">
      <c r="A4" s="14">
        <v>43816</v>
      </c>
      <c r="B4" s="15" t="s">
        <v>14</v>
      </c>
      <c r="C4" s="11" t="s">
        <v>13</v>
      </c>
      <c r="D4" s="15">
        <v>12</v>
      </c>
      <c r="E4" s="15">
        <v>3367</v>
      </c>
      <c r="F4" s="11">
        <v>3367</v>
      </c>
      <c r="G4" s="12">
        <v>34.5</v>
      </c>
      <c r="H4" s="12"/>
      <c r="I4" s="19"/>
      <c r="J4" s="20">
        <f>SUM(F4*G4+H4+I4)</f>
        <v>116161.5</v>
      </c>
      <c r="K4" s="21">
        <v>120152</v>
      </c>
    </row>
    <row r="5" s="2" customFormat="1" ht="33" customHeight="1" spans="1:11">
      <c r="A5" s="10">
        <v>44193</v>
      </c>
      <c r="B5" s="11" t="s">
        <v>15</v>
      </c>
      <c r="C5" s="11" t="s">
        <v>13</v>
      </c>
      <c r="D5" s="11">
        <v>19</v>
      </c>
      <c r="E5" s="11">
        <v>1715</v>
      </c>
      <c r="F5" s="11">
        <v>1715</v>
      </c>
      <c r="G5" s="12">
        <v>25.8</v>
      </c>
      <c r="H5" s="12"/>
      <c r="I5" s="19">
        <v>150</v>
      </c>
      <c r="J5" s="20">
        <f>SUM(F5*G5+H5+I5)</f>
        <v>44397</v>
      </c>
      <c r="K5" s="21">
        <v>120181</v>
      </c>
    </row>
    <row r="6" s="4" customFormat="1" ht="33" customHeight="1" spans="1:11">
      <c r="A6" s="16"/>
      <c r="B6" s="16"/>
      <c r="C6" s="16"/>
      <c r="D6" s="16"/>
      <c r="E6" s="16"/>
      <c r="F6" s="16"/>
      <c r="G6" s="16"/>
      <c r="H6" s="16"/>
      <c r="I6" s="16"/>
      <c r="J6" s="23">
        <f>SUM(J3:J5)</f>
        <v>214344.5</v>
      </c>
      <c r="K6" s="24"/>
    </row>
  </sheetData>
  <mergeCells count="1">
    <mergeCell ref="A1:K1"/>
  </mergeCells>
  <pageMargins left="0.472222222222222" right="0.236111111111111" top="0.35416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M5" sqref="M5"/>
    </sheetView>
  </sheetViews>
  <sheetFormatPr defaultColWidth="9" defaultRowHeight="13.5"/>
  <cols>
    <col min="1" max="1" width="9.875" style="3" customWidth="1"/>
    <col min="2" max="2" width="11.5" style="3" customWidth="1"/>
    <col min="3" max="3" width="5.125" style="3" customWidth="1"/>
    <col min="4" max="4" width="4.375" style="3" customWidth="1"/>
    <col min="5" max="5" width="4.875" style="3" customWidth="1"/>
    <col min="6" max="6" width="5.125" style="3" customWidth="1"/>
    <col min="7" max="7" width="7.625" style="3" customWidth="1"/>
    <col min="8" max="8" width="6.875" style="3" customWidth="1"/>
    <col min="9" max="9" width="6.875" style="5" customWidth="1"/>
    <col min="10" max="10" width="14.625" style="6" customWidth="1"/>
    <col min="11" max="11" width="10.25" style="3" customWidth="1"/>
    <col min="12" max="12" width="9" style="3"/>
    <col min="13" max="16" width="28.375" style="3" customWidth="1"/>
    <col min="17" max="16384" width="9" style="3"/>
  </cols>
  <sheetData>
    <row r="1" customFormat="1" ht="57" customHeight="1" spans="1:9">
      <c r="A1" s="7" t="s">
        <v>16</v>
      </c>
      <c r="B1" s="7"/>
      <c r="C1" s="7"/>
      <c r="D1" s="7"/>
      <c r="E1" s="7"/>
      <c r="F1" s="7"/>
      <c r="G1" s="7"/>
      <c r="H1" s="7"/>
      <c r="I1" s="7"/>
    </row>
    <row r="2" s="1" customFormat="1" ht="45" customHeight="1" spans="1:11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17" t="s">
        <v>10</v>
      </c>
      <c r="K2" s="18" t="s">
        <v>11</v>
      </c>
    </row>
    <row r="3" s="2" customFormat="1" ht="33" customHeight="1" spans="1:11">
      <c r="A3" s="10">
        <v>44193</v>
      </c>
      <c r="B3" s="11" t="s">
        <v>15</v>
      </c>
      <c r="C3" s="11" t="s">
        <v>13</v>
      </c>
      <c r="D3" s="11">
        <v>19</v>
      </c>
      <c r="E3" s="11">
        <v>1715</v>
      </c>
      <c r="F3" s="11">
        <v>1715</v>
      </c>
      <c r="G3" s="12">
        <v>25.8</v>
      </c>
      <c r="H3" s="12"/>
      <c r="I3" s="19">
        <v>150</v>
      </c>
      <c r="J3" s="20">
        <f>SUM(F3*G3+H3+I3)</f>
        <v>44397</v>
      </c>
      <c r="K3" s="21">
        <v>120181</v>
      </c>
    </row>
    <row r="4" s="3" customFormat="1" ht="33" customHeight="1" spans="1:11">
      <c r="A4" s="10">
        <v>43838</v>
      </c>
      <c r="B4" s="11" t="s">
        <v>17</v>
      </c>
      <c r="C4" s="13"/>
      <c r="D4" s="13"/>
      <c r="E4" s="13"/>
      <c r="F4" s="13"/>
      <c r="G4" s="13"/>
      <c r="H4" s="13"/>
      <c r="I4" s="22"/>
      <c r="J4" s="20">
        <v>-44397</v>
      </c>
      <c r="K4" s="13"/>
    </row>
    <row r="5" s="2" customFormat="1" ht="33" customHeight="1" spans="1:11">
      <c r="A5" s="10">
        <v>43805</v>
      </c>
      <c r="B5" s="11" t="s">
        <v>12</v>
      </c>
      <c r="C5" s="11" t="s">
        <v>13</v>
      </c>
      <c r="D5" s="11">
        <v>41</v>
      </c>
      <c r="E5" s="11">
        <v>2024</v>
      </c>
      <c r="F5" s="11">
        <v>2024</v>
      </c>
      <c r="G5" s="12">
        <v>26.5</v>
      </c>
      <c r="H5" s="12"/>
      <c r="I5" s="19">
        <v>150</v>
      </c>
      <c r="J5" s="20">
        <f>SUM(F5*G5+H5+I5)</f>
        <v>53786</v>
      </c>
      <c r="K5" s="21">
        <v>120122</v>
      </c>
    </row>
    <row r="6" s="2" customFormat="1" ht="33" customHeight="1" spans="1:11">
      <c r="A6" s="14">
        <v>43816</v>
      </c>
      <c r="B6" s="15" t="s">
        <v>14</v>
      </c>
      <c r="C6" s="11" t="s">
        <v>13</v>
      </c>
      <c r="D6" s="15">
        <v>12</v>
      </c>
      <c r="E6" s="15">
        <v>3367</v>
      </c>
      <c r="F6" s="11">
        <v>3367</v>
      </c>
      <c r="G6" s="12">
        <v>34.5</v>
      </c>
      <c r="H6" s="12"/>
      <c r="I6" s="19"/>
      <c r="J6" s="20">
        <f>SUM(F6*G6+H6+I6)</f>
        <v>116161.5</v>
      </c>
      <c r="K6" s="21">
        <v>120152</v>
      </c>
    </row>
    <row r="7" s="2" customFormat="1" ht="33" customHeight="1" spans="1:11">
      <c r="A7" s="14">
        <v>43874</v>
      </c>
      <c r="B7" s="15"/>
      <c r="C7" s="11"/>
      <c r="D7" s="15"/>
      <c r="E7" s="15"/>
      <c r="F7" s="11"/>
      <c r="G7" s="12"/>
      <c r="H7" s="12"/>
      <c r="I7" s="19"/>
      <c r="J7" s="20">
        <v>-100000</v>
      </c>
      <c r="K7" s="21"/>
    </row>
    <row r="8" s="2" customFormat="1" ht="33" customHeight="1" spans="1:11">
      <c r="A8" s="14">
        <v>43878</v>
      </c>
      <c r="B8" s="15"/>
      <c r="C8" s="11"/>
      <c r="D8" s="15"/>
      <c r="E8" s="15"/>
      <c r="F8" s="11"/>
      <c r="G8" s="12"/>
      <c r="H8" s="12"/>
      <c r="I8" s="19"/>
      <c r="J8" s="20">
        <v>-69947.5</v>
      </c>
      <c r="K8" s="21"/>
    </row>
    <row r="9" s="4" customFormat="1" ht="33" customHeight="1" spans="1:11">
      <c r="A9" s="16"/>
      <c r="B9" s="16"/>
      <c r="C9" s="16"/>
      <c r="D9" s="16"/>
      <c r="E9" s="16"/>
      <c r="F9" s="16"/>
      <c r="G9" s="16"/>
      <c r="H9" s="16"/>
      <c r="I9" s="16"/>
      <c r="J9" s="23">
        <f>SUM(J3:J8)</f>
        <v>0</v>
      </c>
      <c r="K9" s="24"/>
    </row>
    <row r="15" spans="1:2">
      <c r="A15" s="14"/>
      <c r="B15" s="15" t="s">
        <v>18</v>
      </c>
    </row>
    <row r="16" spans="1:2">
      <c r="A16" s="10"/>
      <c r="B16" s="11" t="s">
        <v>17</v>
      </c>
    </row>
  </sheetData>
  <mergeCells count="1">
    <mergeCell ref="A1:I1"/>
  </mergeCells>
  <pageMargins left="0.472222222222222" right="0.236111111111111" top="0.66875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总欠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2020-02-17T10:27:52Z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