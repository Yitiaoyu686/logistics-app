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3"/>
  </bookViews>
  <sheets>
    <sheet name="总欠" sheetId="1" r:id="rId1"/>
    <sheet name="7月22日公帐支付" sheetId="2" r:id="rId2"/>
    <sheet name="8月6日私账支付" sheetId="3" r:id="rId3"/>
    <sheet name="8月27日私账支付" sheetId="4" r:id="rId4"/>
  </sheets>
  <definedNames>
    <definedName name="_xlnm.Print_Area" localSheetId="2">'8月6日私账支付'!$A$1:$I$5</definedName>
  </definedNames>
  <calcPr calcId="144525"/>
</workbook>
</file>

<file path=xl/sharedStrings.xml><?xml version="1.0" encoding="utf-8"?>
<sst xmlns="http://schemas.openxmlformats.org/spreadsheetml/2006/main" count="65" uniqueCount="22">
  <si>
    <t xml:space="preserve"> 广 州 易 站 跨 境 电 商 有 限 公 司
   GUANGZHOU E-STATION INTERNATIONAL LOGISTICS LIMITED</t>
  </si>
  <si>
    <r>
      <rPr>
        <sz val="11"/>
        <rFont val="宋体"/>
        <charset val="134"/>
      </rPr>
      <t>财务：Martin   电话：020-31234423</t>
    </r>
  </si>
  <si>
    <r>
      <rPr>
        <sz val="11"/>
        <rFont val="宋体"/>
        <charset val="134"/>
      </rPr>
      <t>公司地址：广州市白云区云城东路565号云璟汇1号楼1915房</t>
    </r>
  </si>
  <si>
    <t>6月份对账单</t>
  </si>
  <si>
    <r>
      <rPr>
        <sz val="11"/>
        <rFont val="宋体"/>
        <charset val="134"/>
      </rPr>
      <t>客户：</t>
    </r>
  </si>
  <si>
    <r>
      <rPr>
        <sz val="11"/>
        <rFont val="宋体"/>
        <charset val="134"/>
      </rPr>
      <t>瞄瞄货运</t>
    </r>
  </si>
  <si>
    <t>日期</t>
  </si>
  <si>
    <t>提单号</t>
  </si>
  <si>
    <t>目的地</t>
  </si>
  <si>
    <r>
      <rPr>
        <sz val="11"/>
        <rFont val="宋体"/>
        <charset val="134"/>
      </rPr>
      <t>件数</t>
    </r>
  </si>
  <si>
    <r>
      <rPr>
        <sz val="11"/>
        <rFont val="宋体"/>
        <charset val="134"/>
      </rPr>
      <t>毛重</t>
    </r>
  </si>
  <si>
    <r>
      <rPr>
        <sz val="11"/>
        <rFont val="宋体"/>
        <charset val="134"/>
      </rPr>
      <t>计费重量</t>
    </r>
  </si>
  <si>
    <t>单价</t>
  </si>
  <si>
    <t>金额</t>
  </si>
  <si>
    <t>备注</t>
  </si>
  <si>
    <r>
      <rPr>
        <sz val="11"/>
        <rFont val="宋体"/>
        <charset val="134"/>
      </rPr>
      <t>071-34537495</t>
    </r>
  </si>
  <si>
    <r>
      <rPr>
        <sz val="11"/>
        <rFont val="宋体"/>
        <charset val="134"/>
      </rPr>
      <t>LOS</t>
    </r>
  </si>
  <si>
    <r>
      <rPr>
        <sz val="11"/>
        <rFont val="宋体"/>
        <charset val="134"/>
      </rPr>
      <t>071-34537613</t>
    </r>
  </si>
  <si>
    <r>
      <rPr>
        <sz val="11"/>
        <rFont val="宋体"/>
        <charset val="134"/>
      </rPr>
      <t>071-34543762</t>
    </r>
  </si>
  <si>
    <r>
      <rPr>
        <sz val="11"/>
        <rFont val="宋体"/>
        <charset val="134"/>
      </rPr>
      <t>071-34543854</t>
    </r>
  </si>
  <si>
    <r>
      <rPr>
        <sz val="11"/>
        <rFont val="宋体"/>
        <charset val="134"/>
      </rPr>
      <t>071-34552103</t>
    </r>
  </si>
  <si>
    <t>支付：易站清单</t>
  </si>
</sst>
</file>

<file path=xl/styles.xml><?xml version="1.0" encoding="utf-8"?>
<styleSheet xmlns="http://schemas.openxmlformats.org/spreadsheetml/2006/main">
  <numFmts count="7">
    <numFmt numFmtId="176" formatCode="yyyy/mm/dd;@"/>
    <numFmt numFmtId="177" formatCode="&quot;￥&quot;#,##0.00_);[Red]\(&quot;￥&quot;#,##0.00\)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8" formatCode="&quot;JOB&quot;000000"/>
  </numFmts>
  <fonts count="32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b/>
      <sz val="10"/>
      <color theme="1"/>
      <name val="宋体"/>
      <charset val="134"/>
      <scheme val="minor"/>
    </font>
    <font>
      <sz val="11"/>
      <name val="宋体"/>
      <charset val="134"/>
    </font>
    <font>
      <b/>
      <sz val="11"/>
      <color theme="1"/>
      <name val="宋体"/>
      <charset val="134"/>
      <scheme val="minor"/>
    </font>
    <font>
      <sz val="14"/>
      <name val="宋体"/>
      <charset val="134"/>
    </font>
    <font>
      <sz val="14"/>
      <color rgb="FF000000"/>
      <name val="Times New Roman"/>
      <charset val="204"/>
    </font>
    <font>
      <sz val="12"/>
      <name val="宋体"/>
      <charset val="134"/>
    </font>
    <font>
      <sz val="10"/>
      <color rgb="FF000000"/>
      <name val="Times New Roman"/>
      <charset val="204"/>
    </font>
    <font>
      <sz val="11"/>
      <color rgb="FF000000"/>
      <name val="Times New Roman"/>
      <charset val="20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1" fillId="19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6" fillId="28" borderId="13" applyNumberFormat="0" applyAlignment="0" applyProtection="0">
      <alignment vertical="center"/>
    </xf>
    <xf numFmtId="0" fontId="28" fillId="28" borderId="10" applyNumberFormat="0" applyAlignment="0" applyProtection="0">
      <alignment vertical="center"/>
    </xf>
    <xf numFmtId="0" fontId="30" fillId="31" borderId="14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 shrinkToFit="1"/>
    </xf>
    <xf numFmtId="2" fontId="4" fillId="0" borderId="3" xfId="0" applyNumberFormat="1" applyFont="1" applyFill="1" applyBorder="1" applyAlignment="1">
      <alignment horizontal="center" vertical="center" shrinkToFit="1"/>
    </xf>
    <xf numFmtId="177" fontId="4" fillId="0" borderId="4" xfId="0" applyNumberFormat="1" applyFont="1" applyFill="1" applyBorder="1" applyAlignment="1">
      <alignment horizontal="center" vertical="center" shrinkToFit="1"/>
    </xf>
    <xf numFmtId="176" fontId="4" fillId="0" borderId="5" xfId="0" applyNumberFormat="1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wrapText="1"/>
    </xf>
    <xf numFmtId="1" fontId="4" fillId="0" borderId="2" xfId="0" applyNumberFormat="1" applyFont="1" applyFill="1" applyBorder="1" applyAlignment="1">
      <alignment horizontal="center" vertical="center" shrinkToFit="1"/>
    </xf>
    <xf numFmtId="2" fontId="4" fillId="0" borderId="5" xfId="0" applyNumberFormat="1" applyFont="1" applyFill="1" applyBorder="1" applyAlignment="1">
      <alignment horizontal="center" vertical="center" shrinkToFit="1"/>
    </xf>
    <xf numFmtId="177" fontId="4" fillId="0" borderId="6" xfId="0" applyNumberFormat="1" applyFont="1" applyFill="1" applyBorder="1" applyAlignment="1">
      <alignment horizontal="center" vertical="center" shrinkToFit="1"/>
    </xf>
    <xf numFmtId="0" fontId="0" fillId="0" borderId="4" xfId="0" applyFill="1" applyBorder="1">
      <alignment vertical="center"/>
    </xf>
    <xf numFmtId="177" fontId="5" fillId="0" borderId="4" xfId="0" applyNumberFormat="1" applyFont="1" applyFill="1" applyBorder="1">
      <alignment vertical="center"/>
    </xf>
    <xf numFmtId="0" fontId="6" fillId="0" borderId="2" xfId="0" applyFont="1" applyFill="1" applyBorder="1" applyAlignment="1">
      <alignment horizontal="center" vertical="center" wrapText="1"/>
    </xf>
    <xf numFmtId="178" fontId="4" fillId="0" borderId="4" xfId="0" applyNumberFormat="1" applyFont="1" applyFill="1" applyBorder="1" applyAlignment="1">
      <alignment horizontal="center" vertical="center" shrinkToFit="1"/>
    </xf>
    <xf numFmtId="178" fontId="4" fillId="0" borderId="6" xfId="0" applyNumberFormat="1" applyFont="1" applyFill="1" applyBorder="1" applyAlignment="1">
      <alignment horizontal="center" vertical="center" shrinkToFit="1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shrinkToFit="1"/>
    </xf>
    <xf numFmtId="1" fontId="4" fillId="0" borderId="1" xfId="0" applyNumberFormat="1" applyFont="1" applyFill="1" applyBorder="1" applyAlignment="1">
      <alignment horizontal="center" vertical="center" shrinkToFit="1"/>
    </xf>
    <xf numFmtId="2" fontId="4" fillId="0" borderId="3" xfId="0" applyNumberFormat="1" applyFont="1" applyFill="1" applyBorder="1" applyAlignment="1">
      <alignment horizontal="center" vertical="center" shrinkToFit="1"/>
    </xf>
    <xf numFmtId="177" fontId="4" fillId="0" borderId="4" xfId="0" applyNumberFormat="1" applyFont="1" applyFill="1" applyBorder="1" applyAlignment="1">
      <alignment horizontal="center" vertical="center" shrinkToFit="1"/>
    </xf>
    <xf numFmtId="0" fontId="0" fillId="0" borderId="4" xfId="0" applyBorder="1">
      <alignment vertical="center"/>
    </xf>
    <xf numFmtId="177" fontId="7" fillId="0" borderId="4" xfId="0" applyNumberFormat="1" applyFont="1" applyBorder="1">
      <alignment vertical="center"/>
    </xf>
    <xf numFmtId="0" fontId="6" fillId="0" borderId="2" xfId="0" applyFont="1" applyFill="1" applyBorder="1" applyAlignment="1">
      <alignment horizontal="center" vertical="center" wrapText="1"/>
    </xf>
    <xf numFmtId="178" fontId="4" fillId="0" borderId="4" xfId="0" applyNumberFormat="1" applyFont="1" applyFill="1" applyBorder="1" applyAlignment="1">
      <alignment horizontal="center" vertical="center" shrinkToFit="1"/>
    </xf>
    <xf numFmtId="0" fontId="0" fillId="0" borderId="0" xfId="0" applyFill="1">
      <alignment vertical="center"/>
    </xf>
    <xf numFmtId="0" fontId="0" fillId="0" borderId="4" xfId="0" applyFill="1" applyBorder="1">
      <alignment vertical="center"/>
    </xf>
    <xf numFmtId="177" fontId="5" fillId="0" borderId="4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left" vertical="top" wrapText="1" indent="2"/>
    </xf>
    <xf numFmtId="0" fontId="6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76" fontId="4" fillId="0" borderId="5" xfId="0" applyNumberFormat="1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wrapText="1"/>
    </xf>
    <xf numFmtId="1" fontId="4" fillId="0" borderId="2" xfId="0" applyNumberFormat="1" applyFont="1" applyFill="1" applyBorder="1" applyAlignment="1">
      <alignment horizontal="center" vertical="center" shrinkToFit="1"/>
    </xf>
    <xf numFmtId="2" fontId="4" fillId="0" borderId="5" xfId="0" applyNumberFormat="1" applyFont="1" applyFill="1" applyBorder="1" applyAlignment="1">
      <alignment horizontal="center" vertical="center" shrinkToFit="1"/>
    </xf>
    <xf numFmtId="177" fontId="4" fillId="0" borderId="6" xfId="0" applyNumberFormat="1" applyFont="1" applyFill="1" applyBorder="1" applyAlignment="1">
      <alignment horizontal="center" vertical="center" shrinkToFit="1"/>
    </xf>
    <xf numFmtId="177" fontId="5" fillId="0" borderId="4" xfId="0" applyNumberFormat="1" applyFont="1" applyBorder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78" fontId="4" fillId="0" borderId="6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F19" sqref="F19"/>
    </sheetView>
  </sheetViews>
  <sheetFormatPr defaultColWidth="9" defaultRowHeight="13.5"/>
  <cols>
    <col min="1" max="1" width="11.75" customWidth="1"/>
    <col min="2" max="2" width="14.375" customWidth="1"/>
    <col min="3" max="3" width="5.125" customWidth="1"/>
    <col min="4" max="4" width="4.375" customWidth="1"/>
    <col min="5" max="5" width="4.875" customWidth="1"/>
    <col min="8" max="8" width="16.5" customWidth="1"/>
    <col min="9" max="9" width="15.625" customWidth="1"/>
  </cols>
  <sheetData>
    <row r="1" ht="18.75" spans="1:9">
      <c r="A1" s="38" t="s">
        <v>0</v>
      </c>
      <c r="B1" s="39"/>
      <c r="C1" s="39"/>
      <c r="D1" s="39"/>
      <c r="E1" s="39"/>
      <c r="F1" s="39"/>
      <c r="G1" s="39"/>
      <c r="H1" s="39"/>
      <c r="I1" s="39"/>
    </row>
    <row r="2" spans="1:9">
      <c r="A2" s="40" t="s">
        <v>1</v>
      </c>
      <c r="B2" s="40"/>
      <c r="C2" s="40"/>
      <c r="D2" s="40"/>
      <c r="E2" s="40"/>
      <c r="F2" s="40"/>
      <c r="G2" s="40"/>
      <c r="H2" s="40"/>
      <c r="I2" s="54"/>
    </row>
    <row r="3" spans="1:9">
      <c r="A3" s="40" t="s">
        <v>2</v>
      </c>
      <c r="B3" s="40"/>
      <c r="C3" s="40"/>
      <c r="D3" s="40"/>
      <c r="E3" s="40"/>
      <c r="F3" s="40"/>
      <c r="G3" s="40"/>
      <c r="H3" s="40"/>
      <c r="I3" s="54"/>
    </row>
    <row r="4" ht="14.25" spans="1:9">
      <c r="A4" s="41" t="s">
        <v>3</v>
      </c>
      <c r="B4" s="41"/>
      <c r="C4" s="41"/>
      <c r="D4" s="41"/>
      <c r="E4" s="41"/>
      <c r="F4" s="41"/>
      <c r="G4" s="41"/>
      <c r="H4" s="41"/>
      <c r="I4" s="55"/>
    </row>
    <row r="5" ht="15" spans="1:9">
      <c r="A5" s="42" t="s">
        <v>4</v>
      </c>
      <c r="B5" s="43" t="s">
        <v>5</v>
      </c>
      <c r="C5" s="44"/>
      <c r="D5" s="44"/>
      <c r="E5" s="44"/>
      <c r="F5" s="44"/>
      <c r="G5" s="44"/>
      <c r="H5" s="44"/>
      <c r="I5" s="56"/>
    </row>
    <row r="6" s="37" customFormat="1" ht="30" customHeight="1" spans="1:9">
      <c r="A6" s="45" t="s">
        <v>6</v>
      </c>
      <c r="B6" s="45" t="s">
        <v>7</v>
      </c>
      <c r="C6" s="45" t="s">
        <v>8</v>
      </c>
      <c r="D6" s="46" t="s">
        <v>9</v>
      </c>
      <c r="E6" s="46" t="s">
        <v>10</v>
      </c>
      <c r="F6" s="46" t="s">
        <v>11</v>
      </c>
      <c r="G6" s="45" t="s">
        <v>12</v>
      </c>
      <c r="H6" s="47" t="s">
        <v>13</v>
      </c>
      <c r="I6" s="57" t="s">
        <v>14</v>
      </c>
    </row>
    <row r="7" s="37" customFormat="1" ht="30" customHeight="1" spans="1:9">
      <c r="A7" s="26">
        <v>43625</v>
      </c>
      <c r="B7" s="24" t="s">
        <v>15</v>
      </c>
      <c r="C7" s="24" t="s">
        <v>16</v>
      </c>
      <c r="D7" s="27">
        <v>18</v>
      </c>
      <c r="E7" s="27">
        <v>869</v>
      </c>
      <c r="F7" s="27">
        <v>869</v>
      </c>
      <c r="G7" s="28">
        <v>23.5</v>
      </c>
      <c r="H7" s="29">
        <f>SUM(F7*G7)</f>
        <v>20421.5</v>
      </c>
      <c r="I7" s="33">
        <v>60083</v>
      </c>
    </row>
    <row r="8" s="37" customFormat="1" ht="30" customHeight="1" spans="1:9">
      <c r="A8" s="26">
        <v>43630</v>
      </c>
      <c r="B8" s="24" t="s">
        <v>17</v>
      </c>
      <c r="C8" s="24" t="s">
        <v>16</v>
      </c>
      <c r="D8" s="27">
        <v>21</v>
      </c>
      <c r="E8" s="27">
        <v>2885</v>
      </c>
      <c r="F8" s="27">
        <v>2885</v>
      </c>
      <c r="G8" s="28">
        <v>22.8</v>
      </c>
      <c r="H8" s="29">
        <f>SUM(F8*G8)</f>
        <v>65778</v>
      </c>
      <c r="I8" s="33">
        <v>60099</v>
      </c>
    </row>
    <row r="9" s="37" customFormat="1" ht="30" customHeight="1" spans="1:9">
      <c r="A9" s="26">
        <v>43634</v>
      </c>
      <c r="B9" s="24" t="s">
        <v>18</v>
      </c>
      <c r="C9" s="24" t="s">
        <v>16</v>
      </c>
      <c r="D9" s="27">
        <v>28</v>
      </c>
      <c r="E9" s="27">
        <v>1784</v>
      </c>
      <c r="F9" s="27">
        <v>1784</v>
      </c>
      <c r="G9" s="28">
        <v>22.5</v>
      </c>
      <c r="H9" s="29">
        <f>SUM(F9*G9)</f>
        <v>40140</v>
      </c>
      <c r="I9" s="33">
        <v>60112</v>
      </c>
    </row>
    <row r="10" s="37" customFormat="1" ht="30" customHeight="1" spans="1:9">
      <c r="A10" s="26">
        <v>43637</v>
      </c>
      <c r="B10" s="24" t="s">
        <v>19</v>
      </c>
      <c r="C10" s="24" t="s">
        <v>16</v>
      </c>
      <c r="D10" s="27">
        <v>8</v>
      </c>
      <c r="E10" s="27">
        <v>1090</v>
      </c>
      <c r="F10" s="27">
        <v>1090</v>
      </c>
      <c r="G10" s="28">
        <v>22.8</v>
      </c>
      <c r="H10" s="29">
        <f>SUM(F10*G10)</f>
        <v>24852</v>
      </c>
      <c r="I10" s="33">
        <v>60124</v>
      </c>
    </row>
    <row r="11" s="37" customFormat="1" ht="30" customHeight="1" spans="1:9">
      <c r="A11" s="48">
        <v>43645</v>
      </c>
      <c r="B11" s="49" t="s">
        <v>20</v>
      </c>
      <c r="C11" s="49" t="s">
        <v>16</v>
      </c>
      <c r="D11" s="50">
        <v>20</v>
      </c>
      <c r="E11" s="50">
        <v>1056</v>
      </c>
      <c r="F11" s="50">
        <v>1056</v>
      </c>
      <c r="G11" s="51">
        <v>22.7</v>
      </c>
      <c r="H11" s="52">
        <f>SUM(F11*G11)</f>
        <v>23971.2</v>
      </c>
      <c r="I11" s="58">
        <v>60138</v>
      </c>
    </row>
    <row r="12" ht="30" customHeight="1" spans="1:9">
      <c r="A12" s="30"/>
      <c r="B12" s="30"/>
      <c r="C12" s="30"/>
      <c r="D12" s="30"/>
      <c r="E12" s="30"/>
      <c r="F12" s="30"/>
      <c r="G12" s="30"/>
      <c r="H12" s="53">
        <f>SUM(H7:H11)</f>
        <v>175162.7</v>
      </c>
      <c r="I12" s="30"/>
    </row>
  </sheetData>
  <mergeCells count="4">
    <mergeCell ref="A1:I1"/>
    <mergeCell ref="A2:I2"/>
    <mergeCell ref="A3:I3"/>
    <mergeCell ref="A4:I4"/>
  </mergeCells>
  <pageMargins left="0.472222222222222" right="0.472222222222222" top="0.393055555555556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$A1:$XFD1"/>
    </sheetView>
  </sheetViews>
  <sheetFormatPr defaultColWidth="9" defaultRowHeight="13.5" outlineLevelRow="3"/>
  <cols>
    <col min="1" max="1" width="11.75" customWidth="1"/>
    <col min="2" max="2" width="14.375" customWidth="1"/>
    <col min="3" max="3" width="5.125" customWidth="1"/>
    <col min="4" max="4" width="4.375" customWidth="1"/>
    <col min="5" max="5" width="4.875" customWidth="1"/>
    <col min="8" max="8" width="16.5" customWidth="1"/>
    <col min="9" max="9" width="15.625" customWidth="1"/>
  </cols>
  <sheetData>
    <row r="1" ht="57" customHeight="1" spans="1:9">
      <c r="A1" s="3" t="s">
        <v>21</v>
      </c>
      <c r="B1" s="3"/>
      <c r="C1" s="3"/>
      <c r="D1" s="3"/>
      <c r="E1" s="3"/>
      <c r="F1" s="3"/>
      <c r="G1" s="3"/>
      <c r="H1" s="3"/>
      <c r="I1" s="3"/>
    </row>
    <row r="2" s="22" customFormat="1" ht="55" customHeight="1" spans="1:9">
      <c r="A2" s="23" t="s">
        <v>6</v>
      </c>
      <c r="B2" s="23" t="s">
        <v>7</v>
      </c>
      <c r="C2" s="23" t="s">
        <v>8</v>
      </c>
      <c r="D2" s="24" t="s">
        <v>9</v>
      </c>
      <c r="E2" s="24" t="s">
        <v>10</v>
      </c>
      <c r="F2" s="24" t="s">
        <v>11</v>
      </c>
      <c r="G2" s="23" t="s">
        <v>12</v>
      </c>
      <c r="H2" s="25" t="s">
        <v>13</v>
      </c>
      <c r="I2" s="32" t="s">
        <v>14</v>
      </c>
    </row>
    <row r="3" s="22" customFormat="1" ht="55" customHeight="1" spans="1:9">
      <c r="A3" s="26">
        <v>43634</v>
      </c>
      <c r="B3" s="24" t="s">
        <v>18</v>
      </c>
      <c r="C3" s="24" t="s">
        <v>16</v>
      </c>
      <c r="D3" s="27">
        <v>28</v>
      </c>
      <c r="E3" s="27">
        <v>1784</v>
      </c>
      <c r="F3" s="27">
        <v>1784</v>
      </c>
      <c r="G3" s="28">
        <v>22.5</v>
      </c>
      <c r="H3" s="29">
        <f>SUM(F3*G3)</f>
        <v>40140</v>
      </c>
      <c r="I3" s="33">
        <v>60112</v>
      </c>
    </row>
    <row r="4" s="34" customFormat="1" ht="55" customHeight="1" spans="1:9">
      <c r="A4" s="35"/>
      <c r="B4" s="35"/>
      <c r="C4" s="35"/>
      <c r="D4" s="35"/>
      <c r="E4" s="35"/>
      <c r="F4" s="35"/>
      <c r="G4" s="35"/>
      <c r="H4" s="36">
        <f>SUM(H3:H3)</f>
        <v>40140</v>
      </c>
      <c r="I4" s="35"/>
    </row>
  </sheetData>
  <mergeCells count="1">
    <mergeCell ref="A1:I1"/>
  </mergeCells>
  <pageMargins left="0.472222222222222" right="0.472222222222222" top="0.393055555555556" bottom="1" header="0.156944444444444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$A1:$XFD1"/>
    </sheetView>
  </sheetViews>
  <sheetFormatPr defaultColWidth="9" defaultRowHeight="13.5" outlineLevelRow="4"/>
  <cols>
    <col min="1" max="1" width="11.75" customWidth="1"/>
    <col min="2" max="2" width="14.375" customWidth="1"/>
    <col min="3" max="3" width="5.125" customWidth="1"/>
    <col min="4" max="4" width="4.375" customWidth="1"/>
    <col min="5" max="5" width="4.875" customWidth="1"/>
    <col min="8" max="8" width="16.5" customWidth="1"/>
    <col min="9" max="9" width="15.625" customWidth="1"/>
  </cols>
  <sheetData>
    <row r="1" customFormat="1" ht="42" customHeight="1" spans="1:9">
      <c r="A1" s="3" t="s">
        <v>21</v>
      </c>
      <c r="B1" s="3"/>
      <c r="C1" s="3"/>
      <c r="D1" s="3"/>
      <c r="E1" s="3"/>
      <c r="F1" s="3"/>
      <c r="G1" s="3"/>
      <c r="H1" s="3"/>
      <c r="I1" s="3"/>
    </row>
    <row r="2" s="22" customFormat="1" ht="40" customHeight="1" spans="1:9">
      <c r="A2" s="23" t="s">
        <v>6</v>
      </c>
      <c r="B2" s="23" t="s">
        <v>7</v>
      </c>
      <c r="C2" s="23" t="s">
        <v>8</v>
      </c>
      <c r="D2" s="24" t="s">
        <v>9</v>
      </c>
      <c r="E2" s="24" t="s">
        <v>10</v>
      </c>
      <c r="F2" s="24" t="s">
        <v>11</v>
      </c>
      <c r="G2" s="23" t="s">
        <v>12</v>
      </c>
      <c r="H2" s="25" t="s">
        <v>13</v>
      </c>
      <c r="I2" s="32" t="s">
        <v>14</v>
      </c>
    </row>
    <row r="3" s="22" customFormat="1" ht="40" customHeight="1" spans="1:9">
      <c r="A3" s="26">
        <v>43625</v>
      </c>
      <c r="B3" s="24" t="s">
        <v>15</v>
      </c>
      <c r="C3" s="24" t="s">
        <v>16</v>
      </c>
      <c r="D3" s="27">
        <v>18</v>
      </c>
      <c r="E3" s="27">
        <v>869</v>
      </c>
      <c r="F3" s="27">
        <v>869</v>
      </c>
      <c r="G3" s="28">
        <v>23.5</v>
      </c>
      <c r="H3" s="29">
        <f>SUM(F3*G3)</f>
        <v>20421.5</v>
      </c>
      <c r="I3" s="33">
        <v>60083</v>
      </c>
    </row>
    <row r="4" s="22" customFormat="1" ht="40" customHeight="1" spans="1:9">
      <c r="A4" s="26">
        <v>43630</v>
      </c>
      <c r="B4" s="24" t="s">
        <v>17</v>
      </c>
      <c r="C4" s="24" t="s">
        <v>16</v>
      </c>
      <c r="D4" s="27">
        <v>21</v>
      </c>
      <c r="E4" s="27">
        <v>2885</v>
      </c>
      <c r="F4" s="27">
        <v>2885</v>
      </c>
      <c r="G4" s="28">
        <v>22.8</v>
      </c>
      <c r="H4" s="29">
        <f>SUM(F4*G4)</f>
        <v>65778</v>
      </c>
      <c r="I4" s="33">
        <v>60099</v>
      </c>
    </row>
    <row r="5" ht="30" customHeight="1" spans="1:9">
      <c r="A5" s="30"/>
      <c r="B5" s="30"/>
      <c r="C5" s="30"/>
      <c r="D5" s="30"/>
      <c r="E5" s="30"/>
      <c r="F5" s="30"/>
      <c r="G5" s="30"/>
      <c r="H5" s="31">
        <f>SUM(H3:H4)</f>
        <v>86199.5</v>
      </c>
      <c r="I5" s="30"/>
    </row>
  </sheetData>
  <mergeCells count="1">
    <mergeCell ref="A1:I1"/>
  </mergeCells>
  <pageMargins left="0.472222222222222" right="0.472222222222222" top="0.393055555555556" bottom="1" header="0.156944444444444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H12" sqref="H12"/>
    </sheetView>
  </sheetViews>
  <sheetFormatPr defaultColWidth="9" defaultRowHeight="13.5" outlineLevelRow="4"/>
  <cols>
    <col min="1" max="1" width="11.75" customWidth="1"/>
    <col min="2" max="2" width="14.375" customWidth="1"/>
    <col min="3" max="3" width="5.125" customWidth="1"/>
    <col min="4" max="4" width="4.375" customWidth="1"/>
    <col min="5" max="5" width="4.875" customWidth="1"/>
    <col min="7" max="7" width="5.375" customWidth="1"/>
    <col min="8" max="8" width="16.5" customWidth="1"/>
    <col min="9" max="9" width="15.625" customWidth="1"/>
  </cols>
  <sheetData>
    <row r="1" customFormat="1" ht="42" customHeight="1" spans="1:9">
      <c r="A1" s="3" t="s">
        <v>21</v>
      </c>
      <c r="B1" s="3"/>
      <c r="C1" s="3"/>
      <c r="D1" s="3"/>
      <c r="E1" s="3"/>
      <c r="F1" s="3"/>
      <c r="G1" s="3"/>
      <c r="H1" s="3"/>
      <c r="I1" s="3"/>
    </row>
    <row r="2" s="1" customFormat="1" ht="44" customHeight="1" spans="1:9">
      <c r="A2" s="4" t="s">
        <v>6</v>
      </c>
      <c r="B2" s="4" t="s">
        <v>7</v>
      </c>
      <c r="C2" s="4" t="s">
        <v>8</v>
      </c>
      <c r="D2" s="5" t="s">
        <v>9</v>
      </c>
      <c r="E2" s="5" t="s">
        <v>10</v>
      </c>
      <c r="F2" s="5" t="s">
        <v>11</v>
      </c>
      <c r="G2" s="4" t="s">
        <v>12</v>
      </c>
      <c r="H2" s="6" t="s">
        <v>13</v>
      </c>
      <c r="I2" s="19" t="s">
        <v>14</v>
      </c>
    </row>
    <row r="3" s="1" customFormat="1" ht="44" customHeight="1" spans="1:9">
      <c r="A3" s="7">
        <v>43637</v>
      </c>
      <c r="B3" s="8" t="s">
        <v>19</v>
      </c>
      <c r="C3" s="8" t="s">
        <v>16</v>
      </c>
      <c r="D3" s="9">
        <v>8</v>
      </c>
      <c r="E3" s="9">
        <v>1090</v>
      </c>
      <c r="F3" s="9">
        <v>1090</v>
      </c>
      <c r="G3" s="10">
        <v>22.8</v>
      </c>
      <c r="H3" s="11">
        <f>SUM(F3*G3)</f>
        <v>24852</v>
      </c>
      <c r="I3" s="20">
        <v>60124</v>
      </c>
    </row>
    <row r="4" s="1" customFormat="1" ht="44" customHeight="1" spans="1:9">
      <c r="A4" s="12">
        <v>43645</v>
      </c>
      <c r="B4" s="13" t="s">
        <v>20</v>
      </c>
      <c r="C4" s="13" t="s">
        <v>16</v>
      </c>
      <c r="D4" s="14">
        <v>20</v>
      </c>
      <c r="E4" s="14">
        <v>1056</v>
      </c>
      <c r="F4" s="14">
        <v>1056</v>
      </c>
      <c r="G4" s="15">
        <v>22.7</v>
      </c>
      <c r="H4" s="16">
        <f>SUM(F4*G4)</f>
        <v>23971.2</v>
      </c>
      <c r="I4" s="21">
        <v>60138</v>
      </c>
    </row>
    <row r="5" s="2" customFormat="1" ht="44" customHeight="1" spans="1:9">
      <c r="A5" s="17"/>
      <c r="B5" s="17"/>
      <c r="C5" s="17"/>
      <c r="D5" s="17"/>
      <c r="E5" s="17"/>
      <c r="F5" s="17"/>
      <c r="G5" s="17"/>
      <c r="H5" s="18">
        <f>SUM(H3:H4)</f>
        <v>48823.2</v>
      </c>
      <c r="I5" s="17"/>
    </row>
  </sheetData>
  <mergeCells count="1">
    <mergeCell ref="A1:I1"/>
  </mergeCells>
  <pageMargins left="0.472222222222222" right="0.472222222222222" top="0.708333333333333" bottom="1" header="0.156944444444444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总欠</vt:lpstr>
      <vt:lpstr>7月22日公帐支付</vt:lpstr>
      <vt:lpstr>8月6日私账支付</vt:lpstr>
      <vt:lpstr>8月27日私账支付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2019-07-03T04:04:00Z</dcterms:created>
  <dcterms:modified xsi:type="dcterms:W3CDTF">2019-08-27T07:05:47Z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