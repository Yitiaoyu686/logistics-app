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Sheet1!$A$9:$R$29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Q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叉车费</t>
        </r>
      </text>
    </comment>
  </commentList>
</comments>
</file>

<file path=xl/sharedStrings.xml><?xml version="1.0" encoding="utf-8"?>
<sst xmlns="http://schemas.openxmlformats.org/spreadsheetml/2006/main" count="135" uniqueCount="59">
  <si>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</si>
  <si>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</si>
  <si>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</si>
  <si>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</si>
  <si>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</si>
  <si>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</si>
  <si>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</si>
  <si>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</si>
  <si>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6月份</t>
  </si>
  <si>
    <t>RMB</t>
  </si>
  <si>
    <t>日期</t>
  </si>
  <si>
    <t>运单号码</t>
  </si>
  <si>
    <t>件数</t>
  </si>
  <si>
    <t>重量</t>
  </si>
  <si>
    <t>方数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</si>
  <si>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</si>
  <si>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</si>
  <si>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</si>
  <si>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</si>
  <si>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</si>
  <si>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</si>
  <si>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</si>
  <si>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</si>
  <si>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</si>
  <si>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</si>
  <si>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</si>
  <si>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</si>
  <si>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</si>
  <si>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</si>
  <si>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快件拼车</t>
  </si>
  <si>
    <t>香港自提</t>
  </si>
  <si>
    <t>-</t>
  </si>
  <si>
    <t>JOB060276</t>
  </si>
  <si>
    <t>LOS</t>
  </si>
  <si>
    <t>JOB060279</t>
  </si>
  <si>
    <t>ACC</t>
  </si>
  <si>
    <t>顶派</t>
  </si>
  <si>
    <t>JOB060284</t>
  </si>
  <si>
    <t>一般贸易</t>
  </si>
  <si>
    <t>报关货</t>
  </si>
  <si>
    <t>三票报关货</t>
  </si>
  <si>
    <t>JOB060305</t>
  </si>
  <si>
    <t>JOB060302</t>
  </si>
  <si>
    <t>JOB060301</t>
  </si>
  <si>
    <t>报关货2票</t>
  </si>
  <si>
    <t>JOB060312</t>
  </si>
  <si>
    <t>JOB060316</t>
  </si>
  <si>
    <t>JOB060326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</si>
  <si>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</si>
  <si>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</si>
  <si>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</si>
  <si>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</si>
  <si>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</si>
  <si>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</si>
  <si>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</si>
  <si>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我司收款账户如下：</t>
  </si>
  <si>
    <t>开户行：中国建设银行深圳振华支行</t>
  </si>
  <si>
    <t>收款账号：6217 0072 0011 4161 048</t>
  </si>
  <si>
    <t>户名：梁海霞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</si>
</sst>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 "/>
    <numFmt numFmtId="178" formatCode="m&quot;月&quot;d&quot;日&quot;;@"/>
  </numFmts>
  <fonts count="30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4" borderId="2" applyNumberFormat="0" applyAlignment="0" applyProtection="0">
      <alignment vertical="center"/>
    </xf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8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9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10" borderId="0" applyNumberFormat="0" applyBorder="0" applyAlignment="0" applyProtection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9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13" borderId="7" applyNumberFormat="0" applyAlignment="0" applyProtection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5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3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5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9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5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3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11814" applyFont="1" applyAlignment="1">
      <alignment horizontal="center" vertical="center"/>
    </xf>
    <xf numFmtId="178" fontId="2" fillId="0" borderId="0" xfId="11814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0" fontId="2" fillId="0" borderId="0" xfId="11814" applyAlignment="1">
      <alignment horizontal="center" vertical="center"/>
    </xf>
    <xf numFmtId="58" fontId="2" fillId="0" borderId="0" xfId="11814" applyNumberFormat="1" applyFont="1" applyAlignment="1">
      <alignment horizontal="center" vertical="center"/>
    </xf>
    <xf numFmtId="178" fontId="2" fillId="0" borderId="1" xfId="11814" applyNumberFormat="1" applyBorder="1" applyAlignment="1">
      <alignment horizontal="center" vertical="center"/>
    </xf>
    <xf numFmtId="0" fontId="2" fillId="0" borderId="1" xfId="11814" applyBorder="1" applyAlignment="1">
      <alignment horizontal="center" vertical="center"/>
    </xf>
    <xf numFmtId="178" fontId="2" fillId="0" borderId="1" xfId="11814" applyNumberFormat="1" applyFill="1" applyBorder="1" applyAlignment="1">
      <alignment horizontal="center" vertical="center"/>
    </xf>
    <xf numFmtId="0" fontId="2" fillId="0" borderId="1" xfId="11814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2" fillId="0" borderId="0" xfId="11814" applyNumberFormat="1" applyAlignment="1">
      <alignment horizontal="center" vertical="center"/>
    </xf>
    <xf numFmtId="177" fontId="2" fillId="0" borderId="1" xfId="11814" applyNumberFormat="1" applyBorder="1" applyAlignment="1">
      <alignment horizontal="center" vertical="center"/>
    </xf>
    <xf numFmtId="0" fontId="2" fillId="0" borderId="1" xfId="11814" applyFon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6" fontId="2" fillId="0" borderId="0" xfId="11814" applyNumberFormat="1" applyAlignment="1">
      <alignment horizontal="center" vertical="center"/>
    </xf>
    <xf numFmtId="176" fontId="2" fillId="0" borderId="1" xfId="11814" applyNumberFormat="1" applyBorder="1" applyAlignment="1">
      <alignment horizontal="center" vertical="center"/>
    </xf>
    <xf numFmtId="176" fontId="2" fillId="0" borderId="1" xfId="11814" applyNumberFormat="1" applyFill="1" applyBorder="1" applyAlignment="1">
      <alignment horizontal="center" vertical="center"/>
    </xf>
    <xf numFmtId="0" fontId="4" fillId="0" borderId="1" xfId="11814" applyFont="1" applyBorder="1" applyAlignment="1">
      <alignment horizontal="center" vertical="center"/>
    </xf>
    <xf numFmtId="176" fontId="2" fillId="2" borderId="1" xfId="11814" applyNumberFormat="1" applyFill="1" applyBorder="1" applyAlignment="1">
      <alignment horizontal="center" vertical="center"/>
    </xf>
    <xf numFmtId="176" fontId="4" fillId="0" borderId="0" xfId="11814" applyNumberFormat="1" applyFont="1" applyAlignment="1">
      <alignment horizontal="center"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29 7 8" xfId="496"/>
    <cellStyle name="常规 13 54 7" xfId="497"/>
    <cellStyle name="常规 2 34 7 8" xfId="498"/>
    <cellStyle name="常规 2 11 12 14" xfId="499"/>
    <cellStyle name="常规 2 11 37 8 4 2" xfId="500"/>
    <cellStyle name="常规 2 11 42 8 4 2" xfId="501"/>
    <cellStyle name="常规 2 6 2 2 9 5 2" xfId="502"/>
    <cellStyle name="常规 2 40 17 2" xfId="503"/>
    <cellStyle name="常规 2 35 17 2" xfId="504"/>
    <cellStyle name="常规 2 11 15 2 8" xfId="505"/>
    <cellStyle name="常规 2 11 20 2 8" xfId="506"/>
    <cellStyle name="常规 2 11 34 16 2" xfId="507"/>
    <cellStyle name="常规 2 11 29 16 2" xfId="508"/>
    <cellStyle name="常规 2 13 15" xfId="509"/>
    <cellStyle name="常规 2 13 20" xfId="510"/>
    <cellStyle name="40% - 强调文字颜色 5" xfId="511" builtinId="47"/>
    <cellStyle name="常规 2 11 18 9 6" xfId="512"/>
    <cellStyle name="常规 2 11 23 9 6" xfId="513"/>
    <cellStyle name="常规 2 5 2 2 9 8" xfId="514"/>
    <cellStyle name="常规 2 44 5 5" xfId="515"/>
    <cellStyle name="常规 2 39 5 5" xfId="516"/>
    <cellStyle name="常规 2 10 4 3 11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44" xfId="1005"/>
    <cellStyle name="常规 13 39" xfId="1006"/>
    <cellStyle name="常规 2 11 24 9 10" xfId="1007"/>
    <cellStyle name="常规 2 11 19 9 10" xfId="1008"/>
    <cellStyle name="常规 2 10 2 2 8 3 2" xfId="1009"/>
    <cellStyle name="常规 44 6 2" xfId="1010"/>
    <cellStyle name="常规 39 6 2" xfId="1011"/>
    <cellStyle name="常规 2 12 2 9 2 2" xfId="1012"/>
    <cellStyle name="常规 2 10 2 6 10" xfId="1013"/>
    <cellStyle name="常规 2 2 2 3 9 4 2" xfId="1014"/>
    <cellStyle name="常规 2 11 35 6 4 2" xfId="1015"/>
    <cellStyle name="常规 2 11 40 6 4 2" xfId="1016"/>
    <cellStyle name="常规 2 13 6 8" xfId="1017"/>
    <cellStyle name="常规 2 11 2 10 9" xfId="1018"/>
    <cellStyle name="常规 2 8 3 2 10" xfId="1019"/>
    <cellStyle name="常规 2 10 3 5 7 2" xfId="1020"/>
    <cellStyle name="常规 2 33 2 2" xfId="1021"/>
    <cellStyle name="常规 2 11 12 6 3" xfId="1022"/>
    <cellStyle name="常规 2 14 10 4" xfId="1023"/>
    <cellStyle name="常规 2 28 2 2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6"/>
  <sheetViews>
    <sheetView tabSelected="1" zoomScale="90" zoomScaleNormal="90" topLeftCell="A4" workbookViewId="0">
      <selection activeCell="V25" sqref="V25"/>
    </sheetView>
  </sheetViews>
  <sheetFormatPr defaultColWidth="9" defaultRowHeight="13.5"/>
  <cols>
    <col min="1" max="1" width="9.5" style="2" customWidth="1"/>
    <col min="2" max="2" width="16.25" style="2" customWidth="1"/>
    <col min="3" max="6" width="9" style="2"/>
    <col min="7" max="7" width="9.875" style="2" customWidth="1"/>
    <col min="8" max="8" width="9" style="2"/>
    <col min="9" max="9" width="26.875" style="2" customWidth="1"/>
    <col min="10" max="10" width="9" style="2"/>
    <col min="11" max="11" width="12.625" style="3" customWidth="1"/>
    <col min="12" max="17" width="9" style="2"/>
    <col min="18" max="18" width="9" style="4"/>
    <col min="19" max="19" width="16.1083333333333" style="2" customWidth="1"/>
    <col min="20" max="20" width="10.9666666666667" style="2" customWidth="1"/>
    <col min="21" max="16384" width="9" style="2"/>
  </cols>
  <sheetData>
    <row r="1" ht="18.75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18.75" spans="1:18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8.75" spans="1:18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8.75" spans="1:18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4.25" spans="1:18">
      <c r="A5" s="6" t="s">
        <v>4</v>
      </c>
      <c r="B5" s="7" t="s">
        <v>5</v>
      </c>
      <c r="C5" s="8"/>
      <c r="D5" s="8"/>
      <c r="E5" s="8"/>
      <c r="F5" s="8"/>
      <c r="G5" s="8"/>
      <c r="H5" s="8"/>
      <c r="I5" s="8"/>
      <c r="J5" s="8"/>
      <c r="K5" s="23"/>
      <c r="L5" s="8"/>
      <c r="M5" s="8"/>
      <c r="N5" s="8"/>
      <c r="O5" s="8"/>
      <c r="P5" s="8"/>
      <c r="Q5" s="8"/>
      <c r="R5" s="27"/>
    </row>
    <row r="6" ht="14.25" spans="1:18">
      <c r="A6" s="6" t="s">
        <v>6</v>
      </c>
      <c r="B6" s="8"/>
      <c r="C6" s="8"/>
      <c r="D6" s="8"/>
      <c r="E6" s="8"/>
      <c r="F6" s="8"/>
      <c r="G6" s="8"/>
      <c r="H6" s="8"/>
      <c r="I6" s="8"/>
      <c r="J6" s="8"/>
      <c r="K6" s="23"/>
      <c r="L6" s="8"/>
      <c r="M6" s="8"/>
      <c r="N6" s="8"/>
      <c r="O6" s="8"/>
      <c r="P6" s="8"/>
      <c r="Q6" s="8"/>
      <c r="R6" s="27"/>
    </row>
    <row r="7" ht="14.25" spans="1:18">
      <c r="A7" s="6" t="s">
        <v>7</v>
      </c>
      <c r="B7" s="9" t="s">
        <v>8</v>
      </c>
      <c r="C7" s="8"/>
      <c r="D7" s="8"/>
      <c r="E7" s="8"/>
      <c r="F7" s="8"/>
      <c r="G7" s="8"/>
      <c r="H7" s="8"/>
      <c r="I7" s="8"/>
      <c r="J7" s="8"/>
      <c r="K7" s="23"/>
      <c r="L7" s="8"/>
      <c r="M7" s="8"/>
      <c r="N7" s="8"/>
      <c r="O7" s="8"/>
      <c r="P7" s="8"/>
      <c r="Q7" s="8"/>
      <c r="R7" s="27" t="s">
        <v>9</v>
      </c>
    </row>
    <row r="9" ht="25" customHeight="1" spans="1:18">
      <c r="A9" s="10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24" t="s">
        <v>20</v>
      </c>
      <c r="L9" s="11" t="s">
        <v>21</v>
      </c>
      <c r="M9" s="11" t="s">
        <v>22</v>
      </c>
      <c r="N9" s="11" t="s">
        <v>23</v>
      </c>
      <c r="O9" s="11" t="s">
        <v>24</v>
      </c>
      <c r="P9" s="11" t="s">
        <v>25</v>
      </c>
      <c r="Q9" s="11" t="s">
        <v>26</v>
      </c>
      <c r="R9" s="28" t="s">
        <v>27</v>
      </c>
    </row>
    <row r="10" s="1" customFormat="1" ht="21" customHeight="1" spans="1:20">
      <c r="A10" s="12">
        <v>45079.9802083333</v>
      </c>
      <c r="B10" s="13">
        <v>82087314</v>
      </c>
      <c r="C10" s="13">
        <v>49</v>
      </c>
      <c r="D10" s="13">
        <v>1617</v>
      </c>
      <c r="E10" s="13">
        <v>9.35</v>
      </c>
      <c r="F10" s="13">
        <v>1617</v>
      </c>
      <c r="G10" s="14" t="s">
        <v>28</v>
      </c>
      <c r="H10" s="13" t="s">
        <v>29</v>
      </c>
      <c r="I10" s="13" t="s">
        <v>30</v>
      </c>
      <c r="J10" s="13" t="s">
        <v>31</v>
      </c>
      <c r="K10" s="13">
        <f>+(62*3)+(1555*0.7)</f>
        <v>1274.5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29">
        <f t="shared" ref="R10:R28" si="0">SUM(K10:Q10)</f>
        <v>1274.5</v>
      </c>
      <c r="S10" s="1" t="s">
        <v>32</v>
      </c>
      <c r="T10" s="1" t="s">
        <v>33</v>
      </c>
    </row>
    <row r="11" ht="21" customHeight="1" spans="1:20">
      <c r="A11" s="10">
        <v>45079.9933680556</v>
      </c>
      <c r="B11" s="11">
        <v>82087321</v>
      </c>
      <c r="C11" s="11">
        <v>3</v>
      </c>
      <c r="D11" s="11">
        <v>126</v>
      </c>
      <c r="E11" s="11">
        <v>0.44</v>
      </c>
      <c r="F11" s="11">
        <v>126</v>
      </c>
      <c r="G11" s="15" t="s">
        <v>28</v>
      </c>
      <c r="H11" s="11" t="s">
        <v>29</v>
      </c>
      <c r="I11" s="11" t="s">
        <v>30</v>
      </c>
      <c r="J11" s="11" t="s">
        <v>31</v>
      </c>
      <c r="K11" s="11">
        <v>100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28">
        <f t="shared" si="0"/>
        <v>100</v>
      </c>
      <c r="S11" s="2" t="s">
        <v>34</v>
      </c>
      <c r="T11" s="2" t="s">
        <v>35</v>
      </c>
    </row>
    <row r="12" ht="21" customHeight="1" spans="1:19">
      <c r="A12" s="10">
        <v>45082.8789236111</v>
      </c>
      <c r="B12" s="11">
        <v>82087340</v>
      </c>
      <c r="C12" s="11">
        <v>98</v>
      </c>
      <c r="D12" s="11">
        <v>1390</v>
      </c>
      <c r="E12" s="11">
        <v>7.26</v>
      </c>
      <c r="F12" s="11">
        <v>1390</v>
      </c>
      <c r="G12" s="15" t="s">
        <v>28</v>
      </c>
      <c r="H12" s="11" t="s">
        <v>29</v>
      </c>
      <c r="I12" s="11" t="s">
        <v>30</v>
      </c>
      <c r="J12" s="11">
        <v>0.7</v>
      </c>
      <c r="K12" s="11">
        <f>+J12*F12</f>
        <v>973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28">
        <f t="shared" si="0"/>
        <v>973</v>
      </c>
      <c r="S12" s="2" t="s">
        <v>36</v>
      </c>
    </row>
    <row r="13" ht="21" customHeight="1" spans="1:20">
      <c r="A13" s="10">
        <v>45087.209537037</v>
      </c>
      <c r="B13" s="11">
        <v>82087390</v>
      </c>
      <c r="C13" s="11">
        <v>75</v>
      </c>
      <c r="D13" s="11">
        <v>2386</v>
      </c>
      <c r="E13" s="11">
        <v>13.85</v>
      </c>
      <c r="F13" s="11">
        <v>2386</v>
      </c>
      <c r="G13" s="15" t="s">
        <v>28</v>
      </c>
      <c r="H13" s="11" t="s">
        <v>29</v>
      </c>
      <c r="I13" s="11" t="s">
        <v>30</v>
      </c>
      <c r="J13" s="11" t="s">
        <v>31</v>
      </c>
      <c r="K13" s="11">
        <f>+(58*3)+(2328*0.7)</f>
        <v>1803.6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28">
        <f t="shared" si="0"/>
        <v>1803.6</v>
      </c>
      <c r="S13" s="2" t="s">
        <v>37</v>
      </c>
      <c r="T13" s="2" t="s">
        <v>33</v>
      </c>
    </row>
    <row r="14" ht="23" customHeight="1" spans="1:21">
      <c r="A14" s="10">
        <v>45087.2114699074</v>
      </c>
      <c r="B14" s="11">
        <v>82087391</v>
      </c>
      <c r="C14" s="11">
        <v>2</v>
      </c>
      <c r="D14" s="11">
        <v>37</v>
      </c>
      <c r="E14" s="11">
        <v>0.32</v>
      </c>
      <c r="F14" s="11">
        <v>53.44</v>
      </c>
      <c r="G14" s="15" t="s">
        <v>28</v>
      </c>
      <c r="H14" s="11" t="s">
        <v>38</v>
      </c>
      <c r="I14" s="11" t="s">
        <v>30</v>
      </c>
      <c r="J14" s="11" t="s">
        <v>31</v>
      </c>
      <c r="K14" s="11">
        <v>150</v>
      </c>
      <c r="L14" s="11">
        <v>0</v>
      </c>
      <c r="M14" s="11">
        <v>300</v>
      </c>
      <c r="N14" s="11">
        <v>0</v>
      </c>
      <c r="O14" s="11">
        <v>0</v>
      </c>
      <c r="P14" s="11">
        <v>0</v>
      </c>
      <c r="Q14" s="11">
        <v>0</v>
      </c>
      <c r="R14" s="28">
        <f t="shared" si="0"/>
        <v>450</v>
      </c>
      <c r="U14" s="2" t="s">
        <v>39</v>
      </c>
    </row>
    <row r="15" ht="21" customHeight="1" spans="1:19">
      <c r="A15" s="10">
        <v>45089.8761805556</v>
      </c>
      <c r="B15" s="11">
        <v>82087417</v>
      </c>
      <c r="C15" s="11">
        <v>80</v>
      </c>
      <c r="D15" s="11">
        <v>1195</v>
      </c>
      <c r="E15" s="11">
        <v>6</v>
      </c>
      <c r="F15" s="11">
        <v>1195</v>
      </c>
      <c r="G15" s="15" t="s">
        <v>28</v>
      </c>
      <c r="H15" s="11" t="s">
        <v>29</v>
      </c>
      <c r="I15" s="11" t="s">
        <v>30</v>
      </c>
      <c r="J15" s="11">
        <v>0.7</v>
      </c>
      <c r="K15" s="11">
        <f>+J15*F15</f>
        <v>836.5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28">
        <f t="shared" si="0"/>
        <v>836.5</v>
      </c>
      <c r="S15" s="2" t="s">
        <v>36</v>
      </c>
    </row>
    <row r="16" ht="21" customHeight="1" spans="1:20">
      <c r="A16" s="10">
        <v>45093.8975925926</v>
      </c>
      <c r="B16" s="11">
        <v>82087449</v>
      </c>
      <c r="C16" s="11">
        <v>16</v>
      </c>
      <c r="D16" s="11">
        <v>301</v>
      </c>
      <c r="E16" s="11">
        <v>1.4</v>
      </c>
      <c r="F16" s="11">
        <v>301</v>
      </c>
      <c r="G16" s="15" t="s">
        <v>28</v>
      </c>
      <c r="H16" s="11" t="s">
        <v>38</v>
      </c>
      <c r="I16" s="11" t="s">
        <v>30</v>
      </c>
      <c r="J16" s="11">
        <v>0.7</v>
      </c>
      <c r="K16" s="11">
        <v>210.7</v>
      </c>
      <c r="L16" s="11">
        <v>0</v>
      </c>
      <c r="M16" s="11">
        <v>450</v>
      </c>
      <c r="N16" s="11">
        <v>0</v>
      </c>
      <c r="O16" s="11">
        <v>0</v>
      </c>
      <c r="P16" s="11">
        <v>0</v>
      </c>
      <c r="Q16" s="11">
        <v>0</v>
      </c>
      <c r="R16" s="28">
        <f t="shared" si="0"/>
        <v>660.7</v>
      </c>
      <c r="S16" s="2" t="s">
        <v>36</v>
      </c>
      <c r="T16" s="2" t="s">
        <v>40</v>
      </c>
    </row>
    <row r="17" ht="21" customHeight="1" spans="1:20">
      <c r="A17" s="10">
        <v>45094.0047453704</v>
      </c>
      <c r="B17" s="11">
        <v>82087456</v>
      </c>
      <c r="C17" s="11">
        <v>2</v>
      </c>
      <c r="D17" s="11">
        <v>82</v>
      </c>
      <c r="E17" s="11">
        <v>0.17</v>
      </c>
      <c r="F17" s="11">
        <v>82</v>
      </c>
      <c r="G17" s="15" t="s">
        <v>28</v>
      </c>
      <c r="H17" s="11" t="s">
        <v>29</v>
      </c>
      <c r="I17" s="11" t="s">
        <v>30</v>
      </c>
      <c r="J17" s="11" t="s">
        <v>31</v>
      </c>
      <c r="K17" s="11">
        <v>100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28">
        <f>SUM(K17:Q17)</f>
        <v>100</v>
      </c>
      <c r="S17" s="2" t="s">
        <v>41</v>
      </c>
      <c r="T17" s="2" t="s">
        <v>35</v>
      </c>
    </row>
    <row r="18" ht="21" customHeight="1" spans="1:21">
      <c r="A18" s="10">
        <v>45093.9912037037</v>
      </c>
      <c r="B18" s="11">
        <v>82087455</v>
      </c>
      <c r="C18" s="11">
        <v>4</v>
      </c>
      <c r="D18" s="11">
        <v>60</v>
      </c>
      <c r="E18" s="11">
        <v>0.55</v>
      </c>
      <c r="F18" s="11">
        <v>91.85</v>
      </c>
      <c r="G18" s="15" t="s">
        <v>28</v>
      </c>
      <c r="H18" s="11" t="s">
        <v>38</v>
      </c>
      <c r="I18" s="11" t="s">
        <v>30</v>
      </c>
      <c r="J18" s="11">
        <v>0</v>
      </c>
      <c r="K18" s="11">
        <v>150</v>
      </c>
      <c r="L18" s="11">
        <v>0</v>
      </c>
      <c r="M18" s="11">
        <v>150</v>
      </c>
      <c r="N18" s="11">
        <v>0</v>
      </c>
      <c r="O18" s="11">
        <v>0</v>
      </c>
      <c r="P18" s="11">
        <v>0</v>
      </c>
      <c r="Q18" s="11">
        <v>0</v>
      </c>
      <c r="R18" s="28">
        <f>SUM(K18:Q18)</f>
        <v>300</v>
      </c>
      <c r="U18" s="2" t="s">
        <v>39</v>
      </c>
    </row>
    <row r="19" ht="21" customHeight="1" spans="1:20">
      <c r="A19" s="10">
        <v>45094.0061342593</v>
      </c>
      <c r="B19" s="11">
        <v>82087457</v>
      </c>
      <c r="C19" s="11">
        <v>2</v>
      </c>
      <c r="D19" s="11">
        <v>104</v>
      </c>
      <c r="E19" s="11">
        <v>0.19</v>
      </c>
      <c r="F19" s="11">
        <v>104</v>
      </c>
      <c r="G19" s="15" t="s">
        <v>28</v>
      </c>
      <c r="H19" s="11" t="s">
        <v>29</v>
      </c>
      <c r="I19" s="11" t="s">
        <v>30</v>
      </c>
      <c r="J19" s="11" t="s">
        <v>31</v>
      </c>
      <c r="K19" s="11">
        <v>100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28">
        <f>SUM(K19:Q19)</f>
        <v>100</v>
      </c>
      <c r="S19" s="2" t="s">
        <v>42</v>
      </c>
      <c r="T19" s="2" t="s">
        <v>33</v>
      </c>
    </row>
    <row r="20" ht="21" customHeight="1" spans="1:20">
      <c r="A20" s="10">
        <v>45094.007349537</v>
      </c>
      <c r="B20" s="11">
        <v>82087458</v>
      </c>
      <c r="C20" s="11">
        <v>45</v>
      </c>
      <c r="D20" s="11">
        <v>1848</v>
      </c>
      <c r="E20" s="11">
        <v>9.48</v>
      </c>
      <c r="F20" s="11">
        <v>1848</v>
      </c>
      <c r="G20" s="15" t="s">
        <v>28</v>
      </c>
      <c r="H20" s="11" t="s">
        <v>29</v>
      </c>
      <c r="I20" s="11" t="s">
        <v>30</v>
      </c>
      <c r="J20" s="11">
        <v>0.7</v>
      </c>
      <c r="K20" s="11">
        <f>+J20*F20</f>
        <v>1293.6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28">
        <f>SUM(K20:Q20)</f>
        <v>1293.6</v>
      </c>
      <c r="S20" s="2" t="s">
        <v>43</v>
      </c>
      <c r="T20" s="2" t="s">
        <v>33</v>
      </c>
    </row>
    <row r="21" ht="21" customHeight="1" spans="1:21">
      <c r="A21" s="10">
        <v>45093.9891898148</v>
      </c>
      <c r="B21" s="11">
        <v>82087454</v>
      </c>
      <c r="C21" s="11">
        <v>6</v>
      </c>
      <c r="D21" s="11">
        <v>142</v>
      </c>
      <c r="E21" s="11">
        <v>0.52</v>
      </c>
      <c r="F21" s="11">
        <v>142</v>
      </c>
      <c r="G21" s="15" t="s">
        <v>28</v>
      </c>
      <c r="H21" s="11" t="s">
        <v>38</v>
      </c>
      <c r="I21" s="11" t="s">
        <v>30</v>
      </c>
      <c r="J21" s="11">
        <v>0.7</v>
      </c>
      <c r="K21" s="11">
        <v>150</v>
      </c>
      <c r="L21" s="11">
        <v>0</v>
      </c>
      <c r="M21" s="25">
        <v>300</v>
      </c>
      <c r="N21" s="11">
        <v>0</v>
      </c>
      <c r="O21" s="11">
        <v>0</v>
      </c>
      <c r="P21" s="11">
        <v>0</v>
      </c>
      <c r="Q21" s="11">
        <v>0</v>
      </c>
      <c r="R21" s="28">
        <f>SUM(K21:Q21)</f>
        <v>450</v>
      </c>
      <c r="U21" s="2" t="s">
        <v>44</v>
      </c>
    </row>
    <row r="22" ht="21" customHeight="1" spans="1:19">
      <c r="A22" s="10">
        <v>45096.9095138889</v>
      </c>
      <c r="B22" s="11">
        <v>82087477</v>
      </c>
      <c r="C22" s="11">
        <v>93</v>
      </c>
      <c r="D22" s="11">
        <v>1186</v>
      </c>
      <c r="E22" s="11">
        <v>6</v>
      </c>
      <c r="F22" s="11">
        <v>1186</v>
      </c>
      <c r="G22" s="15" t="s">
        <v>28</v>
      </c>
      <c r="H22" s="11" t="s">
        <v>29</v>
      </c>
      <c r="I22" s="11" t="s">
        <v>30</v>
      </c>
      <c r="J22" s="11">
        <v>0.7</v>
      </c>
      <c r="K22" s="11">
        <f>+J22*F22</f>
        <v>830.2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28">
        <f t="shared" si="0"/>
        <v>830.2</v>
      </c>
      <c r="S22" s="2" t="s">
        <v>36</v>
      </c>
    </row>
    <row r="23" ht="21" customHeight="1" spans="1:20">
      <c r="A23" s="10">
        <v>45097.9520486111</v>
      </c>
      <c r="B23" s="11">
        <v>82087499</v>
      </c>
      <c r="C23" s="11">
        <v>51</v>
      </c>
      <c r="D23" s="11">
        <v>2185</v>
      </c>
      <c r="E23" s="11">
        <v>11.1</v>
      </c>
      <c r="F23" s="11">
        <v>2185</v>
      </c>
      <c r="G23" s="15" t="s">
        <v>28</v>
      </c>
      <c r="H23" s="11" t="s">
        <v>29</v>
      </c>
      <c r="I23" s="11" t="s">
        <v>30</v>
      </c>
      <c r="J23" s="11" t="s">
        <v>31</v>
      </c>
      <c r="K23" s="11">
        <f>+(116*3)+(2069*0.7)</f>
        <v>1796.3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50</v>
      </c>
      <c r="R23" s="28">
        <f t="shared" si="0"/>
        <v>1846.3</v>
      </c>
      <c r="S23" s="2" t="s">
        <v>45</v>
      </c>
      <c r="T23" s="2" t="s">
        <v>33</v>
      </c>
    </row>
    <row r="24" ht="21" customHeight="1" spans="1:20">
      <c r="A24" s="10">
        <v>45100.9913310185</v>
      </c>
      <c r="B24" s="11">
        <v>82087525</v>
      </c>
      <c r="C24" s="11">
        <v>30</v>
      </c>
      <c r="D24" s="11">
        <v>1516</v>
      </c>
      <c r="E24" s="11">
        <v>9.27</v>
      </c>
      <c r="F24" s="11">
        <v>1548.09</v>
      </c>
      <c r="G24" s="15" t="s">
        <v>28</v>
      </c>
      <c r="H24" s="11" t="s">
        <v>29</v>
      </c>
      <c r="I24" s="11" t="s">
        <v>30</v>
      </c>
      <c r="J24" s="11" t="s">
        <v>31</v>
      </c>
      <c r="K24" s="11">
        <f>+(135.82*3)+(1412.27*0.7)</f>
        <v>1396.049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28">
        <f t="shared" si="0"/>
        <v>1396.049</v>
      </c>
      <c r="S24" s="2" t="s">
        <v>46</v>
      </c>
      <c r="T24" s="2" t="s">
        <v>33</v>
      </c>
    </row>
    <row r="25" ht="21" customHeight="1" spans="1:19">
      <c r="A25" s="10">
        <v>45103.8858912037</v>
      </c>
      <c r="B25" s="11">
        <v>82087538</v>
      </c>
      <c r="C25" s="11">
        <v>89</v>
      </c>
      <c r="D25" s="11">
        <v>1313</v>
      </c>
      <c r="E25" s="11">
        <v>7</v>
      </c>
      <c r="F25" s="11">
        <v>1313</v>
      </c>
      <c r="G25" s="15" t="s">
        <v>28</v>
      </c>
      <c r="H25" s="11" t="s">
        <v>29</v>
      </c>
      <c r="I25" s="11" t="s">
        <v>30</v>
      </c>
      <c r="J25" s="11">
        <v>0.7</v>
      </c>
      <c r="K25" s="11">
        <f>+J25*F25</f>
        <v>919.1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28">
        <f t="shared" si="0"/>
        <v>919.1</v>
      </c>
      <c r="S25" s="2" t="s">
        <v>36</v>
      </c>
    </row>
    <row r="26" ht="21" customHeight="1" spans="1:20">
      <c r="A26" s="10">
        <v>45103.8881018519</v>
      </c>
      <c r="B26" s="11">
        <v>82087539</v>
      </c>
      <c r="C26" s="11">
        <v>1</v>
      </c>
      <c r="D26" s="11">
        <v>9</v>
      </c>
      <c r="E26" s="11">
        <v>0.06</v>
      </c>
      <c r="F26" s="11">
        <v>10.02</v>
      </c>
      <c r="G26" s="15" t="s">
        <v>28</v>
      </c>
      <c r="H26" s="11" t="s">
        <v>38</v>
      </c>
      <c r="I26" s="11" t="s">
        <v>30</v>
      </c>
      <c r="J26" s="11">
        <v>0</v>
      </c>
      <c r="K26" s="11">
        <v>150</v>
      </c>
      <c r="L26" s="11">
        <v>0</v>
      </c>
      <c r="M26" s="11">
        <v>150</v>
      </c>
      <c r="N26" s="11">
        <v>0</v>
      </c>
      <c r="O26" s="11">
        <v>0</v>
      </c>
      <c r="P26" s="11">
        <v>0</v>
      </c>
      <c r="Q26" s="11">
        <v>0</v>
      </c>
      <c r="R26" s="28">
        <f t="shared" si="0"/>
        <v>300</v>
      </c>
      <c r="T26" s="2" t="s">
        <v>39</v>
      </c>
    </row>
    <row r="27" ht="21" customHeight="1" spans="1:20">
      <c r="A27" s="10">
        <v>45105.8862962963</v>
      </c>
      <c r="B27" s="11">
        <v>82087565</v>
      </c>
      <c r="C27" s="11">
        <v>11</v>
      </c>
      <c r="D27" s="11">
        <v>174</v>
      </c>
      <c r="E27" s="11">
        <v>0.87</v>
      </c>
      <c r="F27" s="11">
        <v>174</v>
      </c>
      <c r="G27" s="15" t="s">
        <v>28</v>
      </c>
      <c r="H27" s="11" t="s">
        <v>38</v>
      </c>
      <c r="I27" s="11" t="s">
        <v>30</v>
      </c>
      <c r="J27" s="11">
        <v>0</v>
      </c>
      <c r="K27" s="11">
        <v>150</v>
      </c>
      <c r="L27" s="11">
        <v>0</v>
      </c>
      <c r="M27" s="11">
        <v>450</v>
      </c>
      <c r="N27" s="11">
        <v>0</v>
      </c>
      <c r="O27" s="11">
        <v>0</v>
      </c>
      <c r="P27" s="11">
        <v>0</v>
      </c>
      <c r="Q27" s="11">
        <v>0</v>
      </c>
      <c r="R27" s="28">
        <f t="shared" si="0"/>
        <v>600</v>
      </c>
      <c r="S27" s="2" t="s">
        <v>36</v>
      </c>
      <c r="T27" s="2" t="s">
        <v>40</v>
      </c>
    </row>
    <row r="28" ht="21" customHeight="1" spans="1:20">
      <c r="A28" s="10">
        <v>45104.9530902778</v>
      </c>
      <c r="B28" s="11">
        <v>82087553</v>
      </c>
      <c r="C28" s="11">
        <v>49</v>
      </c>
      <c r="D28" s="11">
        <v>1778</v>
      </c>
      <c r="E28" s="11">
        <v>11.04</v>
      </c>
      <c r="F28" s="11">
        <v>1843.68</v>
      </c>
      <c r="G28" s="15" t="s">
        <v>28</v>
      </c>
      <c r="H28" s="11" t="s">
        <v>29</v>
      </c>
      <c r="I28" s="11" t="s">
        <v>30</v>
      </c>
      <c r="J28" s="11" t="s">
        <v>31</v>
      </c>
      <c r="K28" s="11">
        <f>+(137*3)+(1771.07*0.7)</f>
        <v>1650.749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28">
        <f t="shared" si="0"/>
        <v>1650.749</v>
      </c>
      <c r="S28" s="2" t="s">
        <v>47</v>
      </c>
      <c r="T28" s="2" t="s">
        <v>33</v>
      </c>
    </row>
    <row r="29" ht="45" customHeight="1" spans="1:18">
      <c r="A29" s="15"/>
      <c r="B29" s="11"/>
      <c r="C29" s="11"/>
      <c r="D29" s="11"/>
      <c r="E29" s="15"/>
      <c r="F29" s="15"/>
      <c r="G29" s="15"/>
      <c r="H29" s="11"/>
      <c r="I29" s="11"/>
      <c r="J29" s="24"/>
      <c r="K29" s="24"/>
      <c r="L29" s="11"/>
      <c r="M29" s="11"/>
      <c r="N29" s="11"/>
      <c r="O29" s="11"/>
      <c r="P29" s="11"/>
      <c r="Q29" s="30" t="s">
        <v>48</v>
      </c>
      <c r="R29" s="31">
        <f>SUM(R10:R28)</f>
        <v>15884.298</v>
      </c>
    </row>
    <row r="30" ht="21" customHeight="1" spans="1:18">
      <c r="A30" s="6"/>
      <c r="B30" s="8"/>
      <c r="C30" s="8"/>
      <c r="D30" s="8"/>
      <c r="H30" s="8"/>
      <c r="I30" s="8"/>
      <c r="J30" s="8"/>
      <c r="K30" s="23"/>
      <c r="L30" s="8"/>
      <c r="M30" s="8"/>
      <c r="N30" s="8"/>
      <c r="O30" s="8"/>
      <c r="P30" s="8"/>
      <c r="Q30" s="8"/>
      <c r="R30" s="32"/>
    </row>
    <row r="33" spans="1:2">
      <c r="A33" s="16" t="s">
        <v>49</v>
      </c>
      <c r="B33" s="17" t="s">
        <v>50</v>
      </c>
    </row>
    <row r="34" spans="1:2">
      <c r="A34" s="18"/>
      <c r="B34" s="17" t="s">
        <v>51</v>
      </c>
    </row>
    <row r="35" spans="1:11">
      <c r="A35" s="18"/>
      <c r="B35" s="19" t="s">
        <v>52</v>
      </c>
      <c r="K35" s="26"/>
    </row>
    <row r="36" spans="1:2">
      <c r="A36" s="18"/>
      <c r="B36" s="19" t="s">
        <v>53</v>
      </c>
    </row>
    <row r="37" spans="1:2">
      <c r="A37" s="18"/>
      <c r="B37" s="20" t="s">
        <v>54</v>
      </c>
    </row>
    <row r="38" ht="14.25" spans="1:2">
      <c r="A38" s="21"/>
      <c r="B38" s="22" t="s">
        <v>55</v>
      </c>
    </row>
    <row r="39" ht="14.25" spans="1:2">
      <c r="A39" s="21"/>
      <c r="B39" s="22" t="s">
        <v>56</v>
      </c>
    </row>
    <row r="40" ht="14.25" spans="1:2">
      <c r="A40" s="21"/>
      <c r="B40" s="22" t="s">
        <v>57</v>
      </c>
    </row>
    <row r="41" ht="14.25" spans="1:2">
      <c r="A41" s="21"/>
      <c r="B41" s="22" t="s">
        <v>58</v>
      </c>
    </row>
    <row r="54" spans="2:2">
      <c r="B54" s="8"/>
    </row>
    <row r="55" spans="2:2">
      <c r="B55" s="8"/>
    </row>
    <row r="56" spans="2:2">
      <c r="B56" s="8"/>
    </row>
  </sheetData>
  <mergeCells count="12">
    <mergeCell ref="A1:R1"/>
    <mergeCell ref="A2:R2"/>
    <mergeCell ref="A3:R3"/>
    <mergeCell ref="A4:R4"/>
    <mergeCell ref="B54:B56"/>
    <mergeCell ref="S13:S14"/>
    <mergeCell ref="S17:S18"/>
    <mergeCell ref="S20:S21"/>
    <mergeCell ref="S25:S26"/>
    <mergeCell ref="T13:T14"/>
    <mergeCell ref="T17:T18"/>
    <mergeCell ref="T20:T21"/>
  </mergeCells>
  <conditionalFormatting sqref="B38:B4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2023-07-04T03:57:53Z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2052-11.1.0.14309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