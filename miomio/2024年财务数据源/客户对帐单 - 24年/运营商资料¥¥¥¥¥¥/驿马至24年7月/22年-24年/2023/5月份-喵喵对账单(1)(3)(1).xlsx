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Sheet1!$A$9:$R$24</definedName>
  </definedNames>
  <calcPr calcId="144525"/>
</workbook>
</file>

<file path=xl/sharedStrings.xml><?xml version="1.0" encoding="utf-8"?>
<sst xmlns="http://schemas.openxmlformats.org/spreadsheetml/2006/main" count="110" uniqueCount="54">
  <si>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</si>
  <si>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</si>
  <si>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</si>
  <si>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</si>
  <si>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</si>
  <si>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</si>
  <si>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</si>
  <si>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</si>
  <si>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5月份</t>
  </si>
  <si>
    <t>RMB</t>
  </si>
  <si>
    <t>日期</t>
  </si>
  <si>
    <t>运单号码</t>
  </si>
  <si>
    <t>件数</t>
  </si>
  <si>
    <t>重量</t>
  </si>
  <si>
    <t>方数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</si>
  <si>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</si>
  <si>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</si>
  <si>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</si>
  <si>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</si>
  <si>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</si>
  <si>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</si>
  <si>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</si>
  <si>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</si>
  <si>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</si>
  <si>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</si>
  <si>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</si>
  <si>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</si>
  <si>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</si>
  <si>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</si>
  <si>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快件拼车</t>
  </si>
  <si>
    <t>香港自提</t>
  </si>
  <si>
    <t>-</t>
  </si>
  <si>
    <t>JOB050277</t>
  </si>
  <si>
    <t>LOS</t>
  </si>
  <si>
    <t>顶派</t>
  </si>
  <si>
    <t>JOB050282</t>
  </si>
  <si>
    <t>一般贸易</t>
  </si>
  <si>
    <t>JOB050287</t>
  </si>
  <si>
    <t>报关货</t>
  </si>
  <si>
    <t>JOB050293</t>
  </si>
  <si>
    <t>JOB050315</t>
  </si>
  <si>
    <t>JOB050322</t>
  </si>
  <si>
    <t>ACC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</si>
  <si>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</si>
  <si>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</si>
  <si>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</si>
  <si>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</si>
  <si>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</si>
  <si>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</si>
  <si>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</si>
  <si>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我司收款账户如下：</t>
  </si>
  <si>
    <t>开户行：中国建设银行深圳振华支行</t>
  </si>
  <si>
    <t>收款账号：6217 0072 0011 4161 048</t>
  </si>
  <si>
    <t>户名：梁海霞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</si>
</sst>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2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7" fillId="4" borderId="2" applyNumberFormat="0" applyAlignment="0" applyProtection="0">
      <alignment vertical="center"/>
    </xf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9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10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10" borderId="0" applyNumberFormat="0" applyBorder="0" applyAlignment="0" applyProtection="0">
      <alignment vertical="center"/>
    </xf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11" borderId="0" applyNumberFormat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0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13" borderId="7" applyNumberFormat="0" applyAlignment="0" applyProtection="0">
      <alignment vertical="center"/>
    </xf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6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4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6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10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8" fillId="0" borderId="0"/>
    <xf numFmtId="0" fontId="2" fillId="0" borderId="0"/>
    <xf numFmtId="0" fontId="6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0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</cellStyleXfs>
  <cellXfs count="3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178" fontId="2" fillId="0" borderId="1" xfId="11814" applyNumberFormat="1" applyFill="1" applyBorder="1" applyAlignment="1">
      <alignment horizontal="center" vertical="center"/>
    </xf>
    <xf numFmtId="0" fontId="2" fillId="0" borderId="1" xfId="11814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2" fillId="0" borderId="0" xfId="11814" applyNumberForma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0" fontId="4" fillId="0" borderId="1" xfId="11814" applyFon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177" fontId="2" fillId="0" borderId="1" xfId="11814" applyNumberFormat="1" applyFill="1" applyBorder="1" applyAlignment="1">
      <alignment horizontal="center" vertical="center"/>
    </xf>
    <xf numFmtId="0" fontId="5" fillId="0" borderId="1" xfId="11814" applyFont="1" applyBorder="1" applyAlignment="1">
      <alignment horizontal="center" vertical="center"/>
    </xf>
    <xf numFmtId="177" fontId="2" fillId="2" borderId="1" xfId="11814" applyNumberFormat="1" applyFill="1" applyBorder="1" applyAlignment="1">
      <alignment horizontal="center" vertical="center"/>
    </xf>
    <xf numFmtId="177" fontId="5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34 7 8" xfId="496"/>
    <cellStyle name="常规 13 54 7" xfId="497"/>
    <cellStyle name="常规 2 29 7 8" xfId="498"/>
    <cellStyle name="40% - 强调文字颜色 5" xfId="499" builtinId="47"/>
    <cellStyle name="常规 2 11 34 16 2" xfId="500"/>
    <cellStyle name="常规 2 11 29 16 2" xfId="501"/>
    <cellStyle name="常规 2 13 15" xfId="502"/>
    <cellStyle name="常规 2 13 20" xfId="503"/>
    <cellStyle name="常规 2 10 4 3 11" xfId="504"/>
    <cellStyle name="常规 2 11 23 9 6" xfId="505"/>
    <cellStyle name="常规 2 11 18 9 6" xfId="506"/>
    <cellStyle name="常规 2 39 5 5" xfId="507"/>
    <cellStyle name="常规 2 44 5 5" xfId="508"/>
    <cellStyle name="常规 2 5 2 2 9 8" xfId="509"/>
    <cellStyle name="常规 2 11 12 14" xfId="510"/>
    <cellStyle name="常规 2 11 37 8 4 2" xfId="511"/>
    <cellStyle name="常规 2 11 42 8 4 2" xfId="512"/>
    <cellStyle name="常规 2 6 2 2 9 5 2" xfId="513"/>
    <cellStyle name="常规 2 40 17 2" xfId="514"/>
    <cellStyle name="常规 2 35 17 2" xfId="515"/>
    <cellStyle name="常规 2 11 15 2 8" xfId="516"/>
    <cellStyle name="常规 2 11 20 2 8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39" xfId="1005"/>
    <cellStyle name="常规 13 44" xfId="1006"/>
    <cellStyle name="常规 2 11 24 9 10" xfId="1007"/>
    <cellStyle name="常规 2 11 19 9 10" xfId="1008"/>
    <cellStyle name="常规 2 10 2 2 8 3 2" xfId="1009"/>
    <cellStyle name="常规 2 8 3 2 10" xfId="1010"/>
    <cellStyle name="常规 2 10 3 5 7 2" xfId="1011"/>
    <cellStyle name="常规 2 14 10 4" xfId="1012"/>
    <cellStyle name="常规 2 28 2 2" xfId="1013"/>
    <cellStyle name="常规 2 33 2 2" xfId="1014"/>
    <cellStyle name="常规 2 11 12 6 3" xfId="1015"/>
    <cellStyle name="常规 44 6 2" xfId="1016"/>
    <cellStyle name="常规 39 6 2" xfId="1017"/>
    <cellStyle name="常规 2 12 2 9 2 2" xfId="1018"/>
    <cellStyle name="常规 2 10 2 6 10" xfId="1019"/>
    <cellStyle name="常规 2 2 2 3 9 4 2" xfId="1020"/>
    <cellStyle name="常规 2 11 35 6 4 2" xfId="1021"/>
    <cellStyle name="常规 2 11 40 6 4 2" xfId="1022"/>
    <cellStyle name="常规 2 11 2 10 9" xfId="1023"/>
    <cellStyle name="常规 2 13 6 8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tabSelected="1" zoomScale="90" zoomScaleNormal="90" workbookViewId="0">
      <selection activeCell="T25" sqref="T25"/>
    </sheetView>
  </sheetViews>
  <sheetFormatPr defaultColWidth="9" defaultRowHeight="13.5"/>
  <cols>
    <col min="1" max="1" width="9.5" style="2" customWidth="1"/>
    <col min="2" max="2" width="16.25" style="2" customWidth="1"/>
    <col min="3" max="6" width="9" style="2"/>
    <col min="7" max="7" width="9.875" style="2" customWidth="1"/>
    <col min="8" max="8" width="9" style="2"/>
    <col min="9" max="9" width="26.875" style="2" customWidth="1"/>
    <col min="10" max="10" width="9" style="2"/>
    <col min="11" max="11" width="12.625" style="3" customWidth="1"/>
    <col min="12" max="17" width="9" style="2"/>
    <col min="18" max="18" width="9" style="4"/>
    <col min="19" max="19" width="14.8583333333333" style="2" customWidth="1"/>
    <col min="20" max="20" width="12.3583333333333" style="2" customWidth="1"/>
    <col min="21" max="16384" width="9" style="2"/>
  </cols>
  <sheetData>
    <row r="1" ht="18.75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8.75" spans="1:18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8.75" spans="1:18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8.75" spans="1:18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4.25" spans="1:18">
      <c r="A5" s="6" t="s">
        <v>4</v>
      </c>
      <c r="B5" s="7" t="s">
        <v>5</v>
      </c>
      <c r="C5" s="8"/>
      <c r="D5" s="8"/>
      <c r="E5" s="8"/>
      <c r="F5" s="8"/>
      <c r="G5" s="8"/>
      <c r="H5" s="8"/>
      <c r="I5" s="8"/>
      <c r="J5" s="8"/>
      <c r="K5" s="23"/>
      <c r="L5" s="8"/>
      <c r="M5" s="8"/>
      <c r="N5" s="8"/>
      <c r="O5" s="8"/>
      <c r="P5" s="8"/>
      <c r="Q5" s="8"/>
      <c r="R5" s="27"/>
    </row>
    <row r="6" ht="14.25" spans="1:18">
      <c r="A6" s="6" t="s">
        <v>6</v>
      </c>
      <c r="B6" s="8"/>
      <c r="C6" s="8"/>
      <c r="D6" s="8"/>
      <c r="E6" s="8"/>
      <c r="F6" s="8"/>
      <c r="G6" s="8"/>
      <c r="H6" s="8"/>
      <c r="I6" s="8"/>
      <c r="J6" s="8"/>
      <c r="K6" s="23"/>
      <c r="L6" s="8"/>
      <c r="M6" s="8"/>
      <c r="N6" s="8"/>
      <c r="O6" s="8"/>
      <c r="P6" s="8"/>
      <c r="Q6" s="8"/>
      <c r="R6" s="27"/>
    </row>
    <row r="7" ht="14.25" spans="1:18">
      <c r="A7" s="6" t="s">
        <v>7</v>
      </c>
      <c r="B7" s="9" t="s">
        <v>8</v>
      </c>
      <c r="C7" s="8"/>
      <c r="D7" s="8"/>
      <c r="E7" s="8"/>
      <c r="F7" s="8"/>
      <c r="G7" s="8"/>
      <c r="H7" s="8"/>
      <c r="I7" s="8"/>
      <c r="J7" s="8"/>
      <c r="K7" s="23"/>
      <c r="L7" s="8"/>
      <c r="M7" s="8"/>
      <c r="N7" s="8"/>
      <c r="O7" s="8"/>
      <c r="P7" s="8"/>
      <c r="Q7" s="8"/>
      <c r="R7" s="27" t="s">
        <v>9</v>
      </c>
    </row>
    <row r="9" ht="25" customHeight="1" spans="1:18">
      <c r="A9" s="10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24" t="s">
        <v>20</v>
      </c>
      <c r="L9" s="11" t="s">
        <v>21</v>
      </c>
      <c r="M9" s="11" t="s">
        <v>22</v>
      </c>
      <c r="N9" s="11" t="s">
        <v>23</v>
      </c>
      <c r="O9" s="11" t="s">
        <v>24</v>
      </c>
      <c r="P9" s="11" t="s">
        <v>25</v>
      </c>
      <c r="Q9" s="11" t="s">
        <v>26</v>
      </c>
      <c r="R9" s="28" t="s">
        <v>27</v>
      </c>
    </row>
    <row r="10" s="1" customFormat="1" ht="21" customHeight="1" spans="1:20">
      <c r="A10" s="12">
        <v>45051.9881944444</v>
      </c>
      <c r="B10" s="13">
        <v>82087024</v>
      </c>
      <c r="C10" s="13">
        <v>52</v>
      </c>
      <c r="D10" s="13">
        <v>1533</v>
      </c>
      <c r="E10" s="13">
        <v>7.6</v>
      </c>
      <c r="F10" s="13">
        <v>1533</v>
      </c>
      <c r="G10" s="14" t="s">
        <v>28</v>
      </c>
      <c r="H10" s="13" t="s">
        <v>29</v>
      </c>
      <c r="I10" s="13" t="s">
        <v>30</v>
      </c>
      <c r="J10" s="13" t="s">
        <v>31</v>
      </c>
      <c r="K10" s="13">
        <f>+(68.6*3)+(1464.4*0.7)</f>
        <v>1230.88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29">
        <f t="shared" ref="R10:R23" si="0">SUM(K10:Q10)</f>
        <v>1230.88</v>
      </c>
      <c r="S10" s="1" t="s">
        <v>32</v>
      </c>
      <c r="T10" s="1" t="s">
        <v>33</v>
      </c>
    </row>
    <row r="11" ht="21" customHeight="1" spans="1:19">
      <c r="A11" s="10">
        <v>45051.8863194444</v>
      </c>
      <c r="B11" s="11">
        <v>82087022</v>
      </c>
      <c r="C11" s="11">
        <v>74</v>
      </c>
      <c r="D11" s="11">
        <v>1165</v>
      </c>
      <c r="E11" s="11">
        <v>6.3</v>
      </c>
      <c r="F11" s="11">
        <v>1165</v>
      </c>
      <c r="G11" s="15" t="s">
        <v>28</v>
      </c>
      <c r="H11" s="11" t="s">
        <v>29</v>
      </c>
      <c r="I11" s="11" t="s">
        <v>30</v>
      </c>
      <c r="J11" s="11">
        <v>0.7</v>
      </c>
      <c r="K11" s="11">
        <f>+J11*F11</f>
        <v>815.5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28">
        <f t="shared" si="0"/>
        <v>815.5</v>
      </c>
      <c r="S11" s="2" t="s">
        <v>34</v>
      </c>
    </row>
    <row r="12" ht="21" customHeight="1" spans="1:20">
      <c r="A12" s="10">
        <v>45055.9638425926</v>
      </c>
      <c r="B12" s="11">
        <v>82087072</v>
      </c>
      <c r="C12" s="11">
        <v>28</v>
      </c>
      <c r="D12" s="11">
        <v>1416</v>
      </c>
      <c r="E12" s="11">
        <v>7.82</v>
      </c>
      <c r="F12" s="11">
        <v>1416</v>
      </c>
      <c r="G12" s="15" t="s">
        <v>28</v>
      </c>
      <c r="H12" s="11" t="s">
        <v>29</v>
      </c>
      <c r="I12" s="11" t="s">
        <v>30</v>
      </c>
      <c r="J12" s="13" t="s">
        <v>31</v>
      </c>
      <c r="K12" s="13">
        <f>+(314.2*3)+(1101.8*0.7)</f>
        <v>1713.86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28">
        <f t="shared" si="0"/>
        <v>1713.86</v>
      </c>
      <c r="S12" s="2" t="s">
        <v>35</v>
      </c>
      <c r="T12" s="2" t="s">
        <v>33</v>
      </c>
    </row>
    <row r="13" ht="21" customHeight="1" spans="1:19">
      <c r="A13" s="10">
        <v>45058.9242361111</v>
      </c>
      <c r="B13" s="11">
        <v>82087101</v>
      </c>
      <c r="C13" s="11">
        <v>97</v>
      </c>
      <c r="D13" s="11">
        <v>1672</v>
      </c>
      <c r="E13" s="11">
        <v>8.23</v>
      </c>
      <c r="F13" s="11">
        <v>1672</v>
      </c>
      <c r="G13" s="15" t="s">
        <v>28</v>
      </c>
      <c r="H13" s="11" t="s">
        <v>29</v>
      </c>
      <c r="I13" s="11" t="s">
        <v>30</v>
      </c>
      <c r="J13" s="11">
        <v>0.7</v>
      </c>
      <c r="K13" s="11">
        <f>+J13*F13</f>
        <v>1170.4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28">
        <f t="shared" si="0"/>
        <v>1170.4</v>
      </c>
      <c r="S13" s="2" t="s">
        <v>34</v>
      </c>
    </row>
    <row r="14" ht="21" customHeight="1" spans="1:21">
      <c r="A14" s="10">
        <v>45058.9265740741</v>
      </c>
      <c r="B14" s="11">
        <v>82087102</v>
      </c>
      <c r="C14" s="11">
        <v>2</v>
      </c>
      <c r="D14" s="11">
        <v>12</v>
      </c>
      <c r="E14" s="11">
        <v>0.09</v>
      </c>
      <c r="F14" s="11">
        <v>15.03</v>
      </c>
      <c r="G14" s="15" t="s">
        <v>28</v>
      </c>
      <c r="H14" s="11" t="s">
        <v>36</v>
      </c>
      <c r="I14" s="11" t="s">
        <v>30</v>
      </c>
      <c r="J14" s="13" t="s">
        <v>31</v>
      </c>
      <c r="K14" s="13">
        <v>150</v>
      </c>
      <c r="L14" s="11">
        <v>0</v>
      </c>
      <c r="M14" s="11">
        <v>300</v>
      </c>
      <c r="N14" s="11">
        <v>0</v>
      </c>
      <c r="O14" s="11">
        <v>0</v>
      </c>
      <c r="P14" s="11">
        <v>0</v>
      </c>
      <c r="Q14" s="11">
        <v>0</v>
      </c>
      <c r="R14" s="28">
        <f t="shared" si="0"/>
        <v>450</v>
      </c>
      <c r="S14" s="2" t="s">
        <v>37</v>
      </c>
      <c r="T14" s="2" t="s">
        <v>33</v>
      </c>
      <c r="U14" s="2" t="s">
        <v>38</v>
      </c>
    </row>
    <row r="15" ht="21" customHeight="1" spans="1:18">
      <c r="A15" s="10">
        <v>45058.9786574074</v>
      </c>
      <c r="B15" s="11">
        <v>82087107</v>
      </c>
      <c r="C15" s="11">
        <v>55</v>
      </c>
      <c r="D15" s="11">
        <v>1561</v>
      </c>
      <c r="E15" s="11">
        <v>9.33</v>
      </c>
      <c r="F15" s="11">
        <v>1561</v>
      </c>
      <c r="G15" s="15" t="s">
        <v>28</v>
      </c>
      <c r="H15" s="11" t="s">
        <v>29</v>
      </c>
      <c r="I15" s="11" t="s">
        <v>30</v>
      </c>
      <c r="J15" s="13" t="s">
        <v>31</v>
      </c>
      <c r="K15" s="13">
        <f>+(63*3)+(1498*0.7)</f>
        <v>1237.6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28">
        <f t="shared" si="0"/>
        <v>1237.6</v>
      </c>
    </row>
    <row r="16" ht="21" customHeight="1" spans="1:20">
      <c r="A16" s="10">
        <v>45062.9659375</v>
      </c>
      <c r="B16" s="11">
        <v>82087142</v>
      </c>
      <c r="C16" s="11">
        <v>40</v>
      </c>
      <c r="D16" s="11">
        <v>1288</v>
      </c>
      <c r="E16" s="11">
        <v>7.57</v>
      </c>
      <c r="F16" s="11">
        <v>1288</v>
      </c>
      <c r="G16" s="15" t="s">
        <v>28</v>
      </c>
      <c r="H16" s="11" t="s">
        <v>29</v>
      </c>
      <c r="I16" s="11" t="s">
        <v>30</v>
      </c>
      <c r="J16" s="13" t="s">
        <v>31</v>
      </c>
      <c r="K16" s="13">
        <f>+(192*3)+(1096*0.7)</f>
        <v>1343.2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28">
        <f t="shared" si="0"/>
        <v>1343.2</v>
      </c>
      <c r="S16" s="2" t="s">
        <v>39</v>
      </c>
      <c r="T16" s="2" t="s">
        <v>33</v>
      </c>
    </row>
    <row r="17" ht="21" customHeight="1" spans="1:19">
      <c r="A17" s="10">
        <v>45068.8722337963</v>
      </c>
      <c r="B17" s="11">
        <v>82087185</v>
      </c>
      <c r="C17" s="11">
        <v>87</v>
      </c>
      <c r="D17" s="11">
        <v>1260</v>
      </c>
      <c r="E17" s="11">
        <v>6.8</v>
      </c>
      <c r="F17" s="11">
        <v>1260</v>
      </c>
      <c r="G17" s="15" t="s">
        <v>28</v>
      </c>
      <c r="H17" s="11" t="s">
        <v>29</v>
      </c>
      <c r="I17" s="11" t="s">
        <v>30</v>
      </c>
      <c r="J17" s="11">
        <v>0.7</v>
      </c>
      <c r="K17" s="11">
        <f>+J17*F17</f>
        <v>882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28">
        <f t="shared" si="0"/>
        <v>882</v>
      </c>
      <c r="S17" s="2" t="s">
        <v>34</v>
      </c>
    </row>
    <row r="18" ht="21" customHeight="1" spans="1:20">
      <c r="A18" s="10">
        <v>45070.7794560185</v>
      </c>
      <c r="B18" s="11">
        <v>82087207</v>
      </c>
      <c r="C18" s="11">
        <v>8</v>
      </c>
      <c r="D18" s="11">
        <v>125</v>
      </c>
      <c r="E18" s="11">
        <v>0.58</v>
      </c>
      <c r="F18" s="11">
        <v>125</v>
      </c>
      <c r="G18" s="15" t="s">
        <v>28</v>
      </c>
      <c r="H18" s="11" t="s">
        <v>36</v>
      </c>
      <c r="I18" s="11" t="s">
        <v>30</v>
      </c>
      <c r="J18" s="13" t="s">
        <v>31</v>
      </c>
      <c r="K18" s="11">
        <v>150</v>
      </c>
      <c r="L18" s="11">
        <v>0</v>
      </c>
      <c r="M18" s="11">
        <v>300</v>
      </c>
      <c r="N18" s="11">
        <v>0</v>
      </c>
      <c r="O18" s="11">
        <v>0</v>
      </c>
      <c r="P18" s="11">
        <v>0</v>
      </c>
      <c r="Q18" s="11">
        <v>0</v>
      </c>
      <c r="R18" s="28">
        <f t="shared" si="0"/>
        <v>450</v>
      </c>
      <c r="S18" s="2" t="s">
        <v>34</v>
      </c>
      <c r="T18" s="2" t="s">
        <v>38</v>
      </c>
    </row>
    <row r="19" ht="21" customHeight="1" spans="1:20">
      <c r="A19" s="10">
        <v>45072.9791666667</v>
      </c>
      <c r="B19" s="11">
        <v>82087234</v>
      </c>
      <c r="C19" s="11">
        <v>48</v>
      </c>
      <c r="D19" s="11">
        <v>2218</v>
      </c>
      <c r="E19" s="11">
        <v>12</v>
      </c>
      <c r="F19" s="11">
        <v>2218</v>
      </c>
      <c r="G19" s="15" t="s">
        <v>28</v>
      </c>
      <c r="H19" s="11" t="s">
        <v>29</v>
      </c>
      <c r="I19" s="11" t="s">
        <v>30</v>
      </c>
      <c r="J19" s="13" t="s">
        <v>31</v>
      </c>
      <c r="K19" s="25">
        <f>+((111+58.83)*3)+(2048.17*0.7)</f>
        <v>1943.209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28">
        <f t="shared" si="0"/>
        <v>1943.209</v>
      </c>
      <c r="S19" s="2" t="s">
        <v>40</v>
      </c>
      <c r="T19" s="2" t="s">
        <v>33</v>
      </c>
    </row>
    <row r="20" ht="21" customHeight="1" spans="1:21">
      <c r="A20" s="10">
        <v>45072.9886458333</v>
      </c>
      <c r="B20" s="11">
        <v>82087238</v>
      </c>
      <c r="C20" s="11">
        <v>7</v>
      </c>
      <c r="D20" s="11">
        <v>86</v>
      </c>
      <c r="E20" s="11">
        <v>0.31</v>
      </c>
      <c r="F20" s="11">
        <v>86</v>
      </c>
      <c r="G20" s="15" t="s">
        <v>28</v>
      </c>
      <c r="H20" s="11" t="s">
        <v>36</v>
      </c>
      <c r="I20" s="11" t="s">
        <v>30</v>
      </c>
      <c r="J20" s="13" t="s">
        <v>31</v>
      </c>
      <c r="K20" s="11">
        <v>150</v>
      </c>
      <c r="L20" s="11">
        <v>0</v>
      </c>
      <c r="M20" s="11">
        <v>150</v>
      </c>
      <c r="N20" s="11">
        <v>0</v>
      </c>
      <c r="O20" s="11">
        <v>0</v>
      </c>
      <c r="P20" s="11">
        <v>0</v>
      </c>
      <c r="Q20" s="11">
        <v>0</v>
      </c>
      <c r="R20" s="28">
        <f t="shared" si="0"/>
        <v>300</v>
      </c>
      <c r="U20" s="2" t="s">
        <v>38</v>
      </c>
    </row>
    <row r="21" ht="21" customHeight="1" spans="1:20">
      <c r="A21" s="10">
        <v>45075.9429861111</v>
      </c>
      <c r="B21" s="11">
        <v>82087258</v>
      </c>
      <c r="C21" s="11">
        <v>3</v>
      </c>
      <c r="D21" s="11">
        <v>302</v>
      </c>
      <c r="E21" s="11">
        <v>0.91</v>
      </c>
      <c r="F21" s="11">
        <v>302</v>
      </c>
      <c r="G21" s="15" t="s">
        <v>28</v>
      </c>
      <c r="H21" s="11" t="s">
        <v>29</v>
      </c>
      <c r="I21" s="11" t="s">
        <v>30</v>
      </c>
      <c r="J21" s="13">
        <v>0.7</v>
      </c>
      <c r="K21" s="11">
        <f>+J21*F21</f>
        <v>211.4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50</v>
      </c>
      <c r="R21" s="28">
        <f t="shared" si="0"/>
        <v>261.4</v>
      </c>
      <c r="S21" s="2" t="s">
        <v>41</v>
      </c>
      <c r="T21" s="2" t="s">
        <v>42</v>
      </c>
    </row>
    <row r="22" ht="21" customHeight="1" spans="1:19">
      <c r="A22" s="10">
        <v>45075.9502893519</v>
      </c>
      <c r="B22" s="11">
        <v>82087261</v>
      </c>
      <c r="C22" s="11">
        <v>145</v>
      </c>
      <c r="D22" s="11">
        <v>2120</v>
      </c>
      <c r="E22" s="11">
        <v>9.51</v>
      </c>
      <c r="F22" s="11">
        <v>2120</v>
      </c>
      <c r="G22" s="15" t="s">
        <v>28</v>
      </c>
      <c r="H22" s="11" t="s">
        <v>29</v>
      </c>
      <c r="I22" s="11" t="s">
        <v>30</v>
      </c>
      <c r="J22" s="13">
        <v>0.7</v>
      </c>
      <c r="K22" s="11">
        <f>+J22*F22</f>
        <v>1484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28">
        <f t="shared" si="0"/>
        <v>1484</v>
      </c>
      <c r="S22" s="2" t="s">
        <v>34</v>
      </c>
    </row>
    <row r="23" ht="21" customHeight="1" spans="1:19">
      <c r="A23" s="10">
        <v>45076.8647337963</v>
      </c>
      <c r="B23" s="11">
        <v>82087275</v>
      </c>
      <c r="C23" s="11">
        <v>10</v>
      </c>
      <c r="D23" s="11">
        <v>137</v>
      </c>
      <c r="E23" s="11">
        <v>0.7</v>
      </c>
      <c r="F23" s="11">
        <v>137</v>
      </c>
      <c r="G23" s="15" t="s">
        <v>28</v>
      </c>
      <c r="H23" s="11" t="s">
        <v>29</v>
      </c>
      <c r="I23" s="11" t="s">
        <v>30</v>
      </c>
      <c r="J23" s="13">
        <v>0.7</v>
      </c>
      <c r="K23" s="11">
        <v>100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28">
        <f t="shared" si="0"/>
        <v>100</v>
      </c>
      <c r="S23" s="2" t="s">
        <v>34</v>
      </c>
    </row>
    <row r="24" ht="45" customHeight="1" spans="1:18">
      <c r="A24" s="15"/>
      <c r="B24" s="11"/>
      <c r="C24" s="11"/>
      <c r="D24" s="11"/>
      <c r="E24" s="15"/>
      <c r="F24" s="15"/>
      <c r="G24" s="15"/>
      <c r="H24" s="11"/>
      <c r="I24" s="11"/>
      <c r="J24" s="24"/>
      <c r="K24" s="24"/>
      <c r="L24" s="11"/>
      <c r="M24" s="11"/>
      <c r="N24" s="11"/>
      <c r="O24" s="11"/>
      <c r="P24" s="11"/>
      <c r="Q24" s="30" t="s">
        <v>43</v>
      </c>
      <c r="R24" s="31">
        <f>SUM(R10:R23)</f>
        <v>13382.049</v>
      </c>
    </row>
    <row r="25" ht="21" customHeight="1" spans="1:18">
      <c r="A25" s="6"/>
      <c r="B25" s="8"/>
      <c r="C25" s="8"/>
      <c r="D25" s="8"/>
      <c r="H25" s="8"/>
      <c r="I25" s="8"/>
      <c r="J25" s="8"/>
      <c r="K25" s="23"/>
      <c r="L25" s="8"/>
      <c r="M25" s="8"/>
      <c r="N25" s="8"/>
      <c r="O25" s="8"/>
      <c r="P25" s="8"/>
      <c r="Q25" s="8"/>
      <c r="R25" s="32"/>
    </row>
    <row r="28" spans="1:2">
      <c r="A28" s="16" t="s">
        <v>44</v>
      </c>
      <c r="B28" s="17" t="s">
        <v>45</v>
      </c>
    </row>
    <row r="29" spans="1:2">
      <c r="A29" s="18"/>
      <c r="B29" s="17" t="s">
        <v>46</v>
      </c>
    </row>
    <row r="30" spans="1:11">
      <c r="A30" s="18"/>
      <c r="B30" s="19" t="s">
        <v>47</v>
      </c>
      <c r="K30" s="26"/>
    </row>
    <row r="31" spans="1:2">
      <c r="A31" s="18"/>
      <c r="B31" s="19" t="s">
        <v>48</v>
      </c>
    </row>
    <row r="32" spans="1:2">
      <c r="A32" s="18"/>
      <c r="B32" s="20" t="s">
        <v>49</v>
      </c>
    </row>
    <row r="33" ht="14.25" spans="1:2">
      <c r="A33" s="21"/>
      <c r="B33" s="22" t="s">
        <v>50</v>
      </c>
    </row>
    <row r="34" ht="14.25" spans="1:2">
      <c r="A34" s="21"/>
      <c r="B34" s="22" t="s">
        <v>51</v>
      </c>
    </row>
    <row r="35" ht="14.25" spans="1:2">
      <c r="A35" s="21"/>
      <c r="B35" s="22" t="s">
        <v>52</v>
      </c>
    </row>
    <row r="36" ht="14.25" spans="1:2">
      <c r="A36" s="21"/>
      <c r="B36" s="22" t="s">
        <v>53</v>
      </c>
    </row>
    <row r="49" spans="2:2">
      <c r="B49" s="8"/>
    </row>
    <row r="50" spans="2:2">
      <c r="B50" s="8"/>
    </row>
    <row r="51" spans="2:2">
      <c r="B51" s="8"/>
    </row>
  </sheetData>
  <mergeCells count="9">
    <mergeCell ref="A1:R1"/>
    <mergeCell ref="A2:R2"/>
    <mergeCell ref="A3:R3"/>
    <mergeCell ref="A4:R4"/>
    <mergeCell ref="B49:B51"/>
    <mergeCell ref="S14:S15"/>
    <mergeCell ref="S19:S20"/>
    <mergeCell ref="T14:T15"/>
    <mergeCell ref="T19:T20"/>
  </mergeCells>
  <conditionalFormatting sqref="B33:B36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2023-06-07T05:47:57Z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2052-11.1.0.14309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