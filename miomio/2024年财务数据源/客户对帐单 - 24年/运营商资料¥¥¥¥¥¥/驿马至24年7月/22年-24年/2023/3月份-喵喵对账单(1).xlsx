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3" sheetId="3" r:id="rId2"/>
  </sheets>
  <definedNames>
    <definedName name="_xlnm._FilterDatabase" localSheetId="0" hidden="1">Sheet1!$A$9:$T$21</definedName>
  </definedNames>
  <calcPr calcId="144525"/>
</workbook>
</file>

<file path=xl/sharedStrings.xml><?xml version="1.0" encoding="utf-8"?>
<sst xmlns="http://schemas.openxmlformats.org/spreadsheetml/2006/main" count="89" uniqueCount="54">
  <si>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</si>
  <si>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</si>
  <si>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</si>
  <si>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</si>
  <si>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</si>
  <si>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</si>
  <si>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</si>
  <si>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</si>
  <si>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3月份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</si>
  <si>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</si>
  <si>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</si>
  <si>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</si>
  <si>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</si>
  <si>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</si>
  <si>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</si>
  <si>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</si>
  <si>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</si>
  <si>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</si>
  <si>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</si>
  <si>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</si>
  <si>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</si>
  <si>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</si>
  <si>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</si>
  <si>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</si>
  <si>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</si>
  <si>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</si>
  <si>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</si>
  <si>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</si>
  <si>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</si>
  <si>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</si>
  <si>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</si>
  <si>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JOB030298</t>
  </si>
  <si>
    <t>OTP</t>
  </si>
  <si>
    <t>JOB030294</t>
  </si>
  <si>
    <t>ACC</t>
  </si>
  <si>
    <t>顶派</t>
  </si>
  <si>
    <t>JOB030300</t>
  </si>
  <si>
    <t>LOS</t>
  </si>
  <si>
    <t>一般贸易</t>
  </si>
  <si>
    <t>-</t>
  </si>
  <si>
    <t>JOB030304</t>
  </si>
  <si>
    <t>JOB030319</t>
  </si>
  <si>
    <t>JOB040265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</si>
  <si>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</si>
  <si>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</si>
  <si>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</si>
  <si>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</si>
  <si>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</si>
  <si>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</si>
  <si>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</si>
  <si>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</si>
  <si>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开户行：宁波银行深圳龙华支行</t>
  </si>
  <si>
    <t>收款账号：6214 1866 6600 3954 455</t>
  </si>
  <si>
    <t>户名：梁琼芳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</si>
</sst>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_ "/>
    <numFmt numFmtId="178" formatCode="0_);[Red]\(0\)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4" borderId="2" applyNumberFormat="0" applyAlignment="0" applyProtection="0">
      <alignment vertical="center"/>
    </xf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9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0" borderId="0" applyNumberFormat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9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13" borderId="7" applyNumberFormat="0" applyAlignment="0" applyProtection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5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3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9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/>
    <xf numFmtId="0" fontId="2" fillId="0" borderId="0"/>
    <xf numFmtId="0" fontId="5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4" fillId="0" borderId="1" xfId="11814" applyFont="1" applyBorder="1" applyAlignment="1">
      <alignment horizontal="center" vertical="center"/>
    </xf>
    <xf numFmtId="178" fontId="2" fillId="2" borderId="1" xfId="11814" applyNumberFormat="1" applyFill="1" applyBorder="1" applyAlignment="1">
      <alignment horizontal="center" vertical="center"/>
    </xf>
    <xf numFmtId="178" fontId="4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10 4 3 11" xfId="504"/>
    <cellStyle name="常规 2 11 18 9 6" xfId="505"/>
    <cellStyle name="常规 2 11 23 9 6" xfId="506"/>
    <cellStyle name="常规 2 39 5 5" xfId="507"/>
    <cellStyle name="常规 2 5 2 2 9 8" xfId="508"/>
    <cellStyle name="常规 2 44 5 5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14 10 4" xfId="1012"/>
    <cellStyle name="常规 2 28 2 2" xfId="1013"/>
    <cellStyle name="常规 2 33 2 2" xfId="1014"/>
    <cellStyle name="常规 2 11 12 6 3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1 2 10 9" xfId="1023"/>
    <cellStyle name="常规 2 13 6 8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R10" sqref="R10:R18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4.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9"/>
      <c r="L5" s="7"/>
      <c r="M5" s="7"/>
      <c r="N5" s="7"/>
      <c r="O5" s="7"/>
      <c r="P5" s="7"/>
      <c r="Q5" s="7"/>
      <c r="R5" s="22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9"/>
      <c r="L6" s="7"/>
      <c r="M6" s="7"/>
      <c r="N6" s="7"/>
      <c r="O6" s="7"/>
      <c r="P6" s="7"/>
      <c r="Q6" s="7"/>
      <c r="R6" s="22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9"/>
      <c r="L7" s="7"/>
      <c r="M7" s="7"/>
      <c r="N7" s="7"/>
      <c r="O7" s="7"/>
      <c r="P7" s="7"/>
      <c r="Q7" s="7"/>
      <c r="R7" s="22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20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3" t="s">
        <v>27</v>
      </c>
    </row>
    <row r="10" ht="21" customHeight="1" spans="1:20">
      <c r="A10" s="9">
        <v>44986.8080902778</v>
      </c>
      <c r="B10" s="10">
        <v>82088228</v>
      </c>
      <c r="C10" s="10">
        <v>23</v>
      </c>
      <c r="D10" s="10">
        <v>399</v>
      </c>
      <c r="E10" s="10">
        <v>2.3</v>
      </c>
      <c r="F10" s="10">
        <v>399</v>
      </c>
      <c r="G10" s="11" t="s">
        <v>28</v>
      </c>
      <c r="H10" s="10" t="s">
        <v>29</v>
      </c>
      <c r="I10" s="10" t="s">
        <v>30</v>
      </c>
      <c r="J10" s="10">
        <v>0.7</v>
      </c>
      <c r="K10" s="10">
        <f t="shared" ref="K10:K14" si="0">+J10*F10</f>
        <v>279.3</v>
      </c>
      <c r="L10" s="10">
        <v>0</v>
      </c>
      <c r="M10" s="10">
        <f>+L10*D10</f>
        <v>0</v>
      </c>
      <c r="N10" s="10">
        <v>0</v>
      </c>
      <c r="O10" s="10">
        <v>0</v>
      </c>
      <c r="P10" s="10">
        <v>0</v>
      </c>
      <c r="Q10" s="10">
        <v>0</v>
      </c>
      <c r="R10" s="23">
        <f t="shared" ref="R10:R20" si="1">SUM(K10:Q10)</f>
        <v>279.3</v>
      </c>
      <c r="S10" s="1" t="s">
        <v>31</v>
      </c>
      <c r="T10" s="1" t="s">
        <v>32</v>
      </c>
    </row>
    <row r="11" ht="21" customHeight="1" spans="1:18">
      <c r="A11" s="9">
        <v>44987.7114814815</v>
      </c>
      <c r="B11" s="10">
        <v>82088242</v>
      </c>
      <c r="C11" s="10">
        <v>10</v>
      </c>
      <c r="D11" s="10">
        <v>176</v>
      </c>
      <c r="E11" s="10">
        <v>0.88</v>
      </c>
      <c r="F11" s="10">
        <v>176</v>
      </c>
      <c r="G11" s="11" t="s">
        <v>28</v>
      </c>
      <c r="H11" s="10" t="s">
        <v>29</v>
      </c>
      <c r="I11" s="10" t="s">
        <v>30</v>
      </c>
      <c r="J11" s="10">
        <v>0.7</v>
      </c>
      <c r="K11" s="10">
        <f t="shared" si="0"/>
        <v>123.2</v>
      </c>
      <c r="L11" s="10">
        <v>0</v>
      </c>
      <c r="M11" s="10">
        <f>+L11*D11</f>
        <v>0</v>
      </c>
      <c r="N11" s="10">
        <v>0</v>
      </c>
      <c r="O11" s="10">
        <v>0</v>
      </c>
      <c r="P11" s="10">
        <v>0</v>
      </c>
      <c r="Q11" s="10">
        <v>0</v>
      </c>
      <c r="R11" s="23">
        <f t="shared" si="1"/>
        <v>123.2</v>
      </c>
    </row>
    <row r="12" ht="21" customHeight="1" spans="1:20">
      <c r="A12" s="9">
        <v>44988.9317013889</v>
      </c>
      <c r="B12" s="10">
        <v>82088254</v>
      </c>
      <c r="C12" s="10">
        <v>3</v>
      </c>
      <c r="D12" s="10">
        <v>212</v>
      </c>
      <c r="E12" s="10">
        <v>0.91</v>
      </c>
      <c r="F12" s="10">
        <v>212</v>
      </c>
      <c r="G12" s="11" t="s">
        <v>28</v>
      </c>
      <c r="H12" s="10" t="s">
        <v>29</v>
      </c>
      <c r="I12" s="10" t="s">
        <v>30</v>
      </c>
      <c r="J12" s="10">
        <v>0.7</v>
      </c>
      <c r="K12" s="10">
        <f t="shared" si="0"/>
        <v>148.4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3">
        <f t="shared" si="1"/>
        <v>148.4</v>
      </c>
      <c r="S12" s="1" t="s">
        <v>33</v>
      </c>
      <c r="T12" s="1" t="s">
        <v>34</v>
      </c>
    </row>
    <row r="13" ht="21" customHeight="1" spans="1:19">
      <c r="A13" s="9">
        <v>44994.88125</v>
      </c>
      <c r="B13" s="10">
        <v>82088321</v>
      </c>
      <c r="C13" s="10">
        <v>108</v>
      </c>
      <c r="D13" s="10">
        <v>1630</v>
      </c>
      <c r="E13" s="10">
        <v>7.6</v>
      </c>
      <c r="F13" s="10">
        <v>1630</v>
      </c>
      <c r="G13" s="11" t="s">
        <v>28</v>
      </c>
      <c r="H13" s="10" t="s">
        <v>29</v>
      </c>
      <c r="I13" s="10" t="s">
        <v>30</v>
      </c>
      <c r="J13" s="10">
        <v>0.7</v>
      </c>
      <c r="K13" s="10">
        <f t="shared" si="0"/>
        <v>1141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3">
        <f t="shared" si="1"/>
        <v>1141</v>
      </c>
      <c r="S13" s="1" t="s">
        <v>35</v>
      </c>
    </row>
    <row r="14" ht="21" customHeight="1" spans="1:20">
      <c r="A14" s="9">
        <v>44995.9097337963</v>
      </c>
      <c r="B14" s="10">
        <v>82088338</v>
      </c>
      <c r="C14" s="10">
        <v>64</v>
      </c>
      <c r="D14" s="10">
        <v>3926</v>
      </c>
      <c r="E14" s="10">
        <v>16.9</v>
      </c>
      <c r="F14" s="10">
        <v>3926</v>
      </c>
      <c r="G14" s="11" t="s">
        <v>28</v>
      </c>
      <c r="H14" s="10" t="s">
        <v>29</v>
      </c>
      <c r="I14" s="10" t="s">
        <v>30</v>
      </c>
      <c r="J14" s="10">
        <v>0.7</v>
      </c>
      <c r="K14" s="10">
        <f t="shared" si="0"/>
        <v>2748.2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3">
        <f t="shared" si="1"/>
        <v>2748.2</v>
      </c>
      <c r="S14" s="1" t="s">
        <v>36</v>
      </c>
      <c r="T14" s="1" t="s">
        <v>37</v>
      </c>
    </row>
    <row r="15" ht="21" customHeight="1" spans="1:20">
      <c r="A15" s="9">
        <v>45002.8346643519</v>
      </c>
      <c r="B15" s="10">
        <v>82088423</v>
      </c>
      <c r="C15" s="10">
        <v>1</v>
      </c>
      <c r="D15" s="10">
        <v>49</v>
      </c>
      <c r="E15" s="10">
        <v>0.15</v>
      </c>
      <c r="F15" s="1">
        <v>49</v>
      </c>
      <c r="G15" s="11" t="s">
        <v>28</v>
      </c>
      <c r="H15" s="10" t="s">
        <v>38</v>
      </c>
      <c r="I15" s="10" t="s">
        <v>30</v>
      </c>
      <c r="J15" s="10" t="s">
        <v>39</v>
      </c>
      <c r="K15" s="10">
        <v>100</v>
      </c>
      <c r="L15" s="10">
        <v>0</v>
      </c>
      <c r="M15" s="10">
        <v>150</v>
      </c>
      <c r="N15" s="10">
        <v>0</v>
      </c>
      <c r="O15" s="10">
        <v>0</v>
      </c>
      <c r="P15" s="10">
        <v>0</v>
      </c>
      <c r="Q15" s="10">
        <v>0</v>
      </c>
      <c r="R15" s="23">
        <f t="shared" si="1"/>
        <v>250</v>
      </c>
      <c r="S15" s="1" t="s">
        <v>40</v>
      </c>
      <c r="T15" s="1" t="s">
        <v>37</v>
      </c>
    </row>
    <row r="16" ht="21" customHeight="1" spans="1:18">
      <c r="A16" s="9">
        <v>45002.9384490741</v>
      </c>
      <c r="B16" s="10">
        <v>82088425</v>
      </c>
      <c r="C16" s="10">
        <v>35</v>
      </c>
      <c r="D16" s="10">
        <v>1458</v>
      </c>
      <c r="E16" s="10">
        <v>8.96</v>
      </c>
      <c r="F16" s="10">
        <v>1496.32</v>
      </c>
      <c r="G16" s="11" t="s">
        <v>28</v>
      </c>
      <c r="H16" s="10" t="s">
        <v>29</v>
      </c>
      <c r="I16" s="10" t="s">
        <v>30</v>
      </c>
      <c r="J16" s="10">
        <v>0.7</v>
      </c>
      <c r="K16" s="10">
        <f t="shared" ref="K16:K19" si="2">+J16*F16</f>
        <v>1047.424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12</v>
      </c>
      <c r="R16" s="23">
        <f t="shared" si="1"/>
        <v>1059.424</v>
      </c>
    </row>
    <row r="17" ht="21" customHeight="1" spans="1:20">
      <c r="A17" s="9">
        <v>45009.9378472222</v>
      </c>
      <c r="B17" s="10">
        <v>82088500</v>
      </c>
      <c r="C17" s="10">
        <v>59</v>
      </c>
      <c r="D17" s="10">
        <v>1710</v>
      </c>
      <c r="E17" s="10">
        <v>10.14</v>
      </c>
      <c r="F17" s="10">
        <v>1710</v>
      </c>
      <c r="G17" s="11" t="s">
        <v>28</v>
      </c>
      <c r="H17" s="10" t="s">
        <v>29</v>
      </c>
      <c r="I17" s="10" t="s">
        <v>30</v>
      </c>
      <c r="J17" s="10">
        <v>0.7</v>
      </c>
      <c r="K17" s="10">
        <f t="shared" si="2"/>
        <v>1197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</v>
      </c>
      <c r="R17" s="23">
        <f t="shared" si="1"/>
        <v>1247</v>
      </c>
      <c r="S17" s="1" t="s">
        <v>41</v>
      </c>
      <c r="T17" s="1" t="s">
        <v>37</v>
      </c>
    </row>
    <row r="18" ht="21" customHeight="1" spans="1:20">
      <c r="A18" s="9">
        <v>45013.9746527778</v>
      </c>
      <c r="B18" s="10">
        <v>82088532</v>
      </c>
      <c r="C18" s="10">
        <v>78</v>
      </c>
      <c r="D18" s="10">
        <v>4926</v>
      </c>
      <c r="E18" s="10">
        <v>18.22</v>
      </c>
      <c r="F18" s="10">
        <v>4926</v>
      </c>
      <c r="G18" s="11" t="s">
        <v>28</v>
      </c>
      <c r="H18" s="10" t="s">
        <v>29</v>
      </c>
      <c r="I18" s="10" t="s">
        <v>30</v>
      </c>
      <c r="J18" s="10" t="s">
        <v>39</v>
      </c>
      <c r="K18" s="10">
        <f>+(122*2)+(4804*0.7)</f>
        <v>3606.8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23">
        <f t="shared" si="1"/>
        <v>3606.8</v>
      </c>
      <c r="S18" s="1" t="s">
        <v>42</v>
      </c>
      <c r="T18" s="1" t="s">
        <v>37</v>
      </c>
    </row>
    <row r="19" ht="21" customHeight="1" spans="1:19">
      <c r="A19" s="9">
        <v>45013.9840972222</v>
      </c>
      <c r="B19" s="10">
        <v>82088536</v>
      </c>
      <c r="C19" s="10">
        <v>195</v>
      </c>
      <c r="D19" s="10">
        <v>2456</v>
      </c>
      <c r="E19" s="10">
        <v>11.18</v>
      </c>
      <c r="F19" s="10">
        <v>2456</v>
      </c>
      <c r="G19" s="11" t="s">
        <v>28</v>
      </c>
      <c r="H19" s="10" t="s">
        <v>29</v>
      </c>
      <c r="I19" s="10" t="s">
        <v>30</v>
      </c>
      <c r="J19" s="10">
        <v>0.7</v>
      </c>
      <c r="K19" s="10">
        <f t="shared" si="2"/>
        <v>1719.2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23">
        <f t="shared" si="1"/>
        <v>1719.2</v>
      </c>
      <c r="S19" s="1" t="s">
        <v>35</v>
      </c>
    </row>
    <row r="20" ht="21" customHeight="1" spans="1:18">
      <c r="A20" s="9">
        <v>45013.9899421296</v>
      </c>
      <c r="B20" s="10">
        <v>82088537</v>
      </c>
      <c r="C20" s="10">
        <v>35</v>
      </c>
      <c r="D20" s="10">
        <v>22</v>
      </c>
      <c r="E20" s="10">
        <v>0.27</v>
      </c>
      <c r="F20" s="10">
        <v>45.09</v>
      </c>
      <c r="G20" s="11" t="s">
        <v>28</v>
      </c>
      <c r="H20" s="11" t="s">
        <v>28</v>
      </c>
      <c r="I20" s="10" t="s">
        <v>30</v>
      </c>
      <c r="J20" s="10" t="s">
        <v>39</v>
      </c>
      <c r="K20" s="10">
        <v>150</v>
      </c>
      <c r="L20" s="10">
        <v>0</v>
      </c>
      <c r="M20" s="10">
        <v>150</v>
      </c>
      <c r="N20" s="10">
        <v>0</v>
      </c>
      <c r="O20" s="10">
        <v>0</v>
      </c>
      <c r="P20" s="10">
        <v>0</v>
      </c>
      <c r="Q20" s="10">
        <v>0</v>
      </c>
      <c r="R20" s="23">
        <f t="shared" si="1"/>
        <v>300</v>
      </c>
    </row>
    <row r="21" ht="45" customHeight="1" spans="1:18">
      <c r="A21" s="11"/>
      <c r="B21" s="10"/>
      <c r="C21" s="10"/>
      <c r="D21" s="10"/>
      <c r="E21" s="11"/>
      <c r="F21" s="11"/>
      <c r="G21" s="11"/>
      <c r="H21" s="10"/>
      <c r="I21" s="10"/>
      <c r="J21" s="20"/>
      <c r="K21" s="20"/>
      <c r="L21" s="10"/>
      <c r="M21" s="10"/>
      <c r="N21" s="10"/>
      <c r="O21" s="10"/>
      <c r="P21" s="10"/>
      <c r="Q21" s="24" t="s">
        <v>43</v>
      </c>
      <c r="R21" s="25">
        <f>SUM(R10:R20)</f>
        <v>12622.524</v>
      </c>
    </row>
    <row r="22" ht="21" customHeight="1" spans="1:18">
      <c r="A22" s="5"/>
      <c r="B22" s="7"/>
      <c r="C22" s="7"/>
      <c r="D22" s="7"/>
      <c r="H22" s="7"/>
      <c r="I22" s="7"/>
      <c r="J22" s="7"/>
      <c r="K22" s="19"/>
      <c r="L22" s="7"/>
      <c r="M22" s="7"/>
      <c r="N22" s="7"/>
      <c r="O22" s="7"/>
      <c r="P22" s="7"/>
      <c r="Q22" s="7"/>
      <c r="R22" s="26"/>
    </row>
    <row r="27" spans="1:2">
      <c r="A27" s="12" t="s">
        <v>44</v>
      </c>
      <c r="B27" s="13" t="s">
        <v>45</v>
      </c>
    </row>
    <row r="28" spans="1:2">
      <c r="A28" s="14"/>
      <c r="B28" s="13" t="s">
        <v>46</v>
      </c>
    </row>
    <row r="29" spans="1:11">
      <c r="A29" s="14"/>
      <c r="B29" s="15" t="s">
        <v>47</v>
      </c>
      <c r="K29" s="21"/>
    </row>
    <row r="30" spans="1:2">
      <c r="A30" s="14"/>
      <c r="B30" s="15" t="s">
        <v>48</v>
      </c>
    </row>
    <row r="31" spans="1:2">
      <c r="A31" s="14"/>
      <c r="B31" s="16" t="s">
        <v>49</v>
      </c>
    </row>
    <row r="32" ht="14.25" spans="1:2">
      <c r="A32" s="17"/>
      <c r="B32" s="18" t="s">
        <v>50</v>
      </c>
    </row>
    <row r="33" ht="14.25" spans="1:2">
      <c r="A33" s="17"/>
      <c r="B33" s="18" t="s">
        <v>51</v>
      </c>
    </row>
    <row r="34" ht="14.25" spans="1:2">
      <c r="A34" s="17"/>
      <c r="B34" s="18" t="s">
        <v>52</v>
      </c>
    </row>
    <row r="35" ht="14.25" spans="1:2">
      <c r="A35" s="17"/>
      <c r="B35" s="18" t="s">
        <v>53</v>
      </c>
    </row>
    <row r="48" spans="2:2">
      <c r="B48" s="7"/>
    </row>
    <row r="49" spans="2:2">
      <c r="B49" s="7"/>
    </row>
    <row r="50" spans="2:2">
      <c r="B50" s="7"/>
    </row>
  </sheetData>
  <autoFilter ref="A9:T21">
    <extLst/>
  </autoFilter>
  <mergeCells count="10">
    <mergeCell ref="A1:R1"/>
    <mergeCell ref="A2:R2"/>
    <mergeCell ref="A3:R3"/>
    <mergeCell ref="A4:R4"/>
    <mergeCell ref="B48:B50"/>
    <mergeCell ref="S10:S11"/>
    <mergeCell ref="S15:S16"/>
    <mergeCell ref="S19:S20"/>
    <mergeCell ref="T10:T11"/>
    <mergeCell ref="T15:T16"/>
  </mergeCells>
  <conditionalFormatting sqref="B32:B35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刘劭勇</cp:lastModifiedBy>
  <dcterms:created xsi:type="dcterms:W3CDTF">2018-12-17T04:50:00Z</dcterms:created>
  <dcterms:modified xsi:type="dcterms:W3CDTF">2023-04-07T06:52:06Z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2052-11.1.0.14036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