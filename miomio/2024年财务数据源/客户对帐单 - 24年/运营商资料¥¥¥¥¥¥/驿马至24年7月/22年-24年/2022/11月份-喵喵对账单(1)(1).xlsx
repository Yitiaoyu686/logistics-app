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Sheet1!$A$9:$R$16</definedName>
  </definedNames>
  <calcPr calcId="144525"/>
</workbook>
</file>

<file path=xl/sharedStrings.xml><?xml version="1.0" encoding="utf-8"?>
<sst xmlns="http://schemas.openxmlformats.org/spreadsheetml/2006/main" count="66" uniqueCount="50">
  <si>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</si>
  <si>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</si>
  <si>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</si>
  <si>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</si>
  <si>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</si>
  <si>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</si>
  <si>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</si>
  <si>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</si>
  <si>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11月份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</si>
  <si>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</si>
  <si>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</si>
  <si>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</si>
  <si>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</si>
  <si>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</si>
  <si>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</si>
  <si>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</si>
  <si>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</si>
  <si>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</si>
  <si>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</si>
  <si>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</si>
  <si>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</si>
  <si>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</si>
  <si>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</si>
  <si>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</si>
  <si>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</si>
  <si>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</si>
  <si>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</si>
  <si>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</si>
  <si>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</si>
  <si>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一般贸易</t>
  </si>
  <si>
    <t>香港自提</t>
  </si>
  <si>
    <t>顶派</t>
  </si>
  <si>
    <t>快件出口</t>
  </si>
  <si>
    <t>JOB110288</t>
  </si>
  <si>
    <t>LLW</t>
  </si>
  <si>
    <t>JOB110282</t>
  </si>
  <si>
    <t>LOS</t>
  </si>
  <si>
    <t>JOB110293</t>
  </si>
  <si>
    <t>ACC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</si>
  <si>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</si>
  <si>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</si>
  <si>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</si>
  <si>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</si>
  <si>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</si>
  <si>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</si>
  <si>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</si>
  <si>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</si>
  <si>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 xml:space="preserve">户名：梁琼芳   </t>
  </si>
  <si>
    <t xml:space="preserve">收款账号：6230 5800 0014 2639 819  </t>
  </si>
  <si>
    <t>开户行：平安银行深圳宝安福永支行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</si>
</sst>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m&quot;月&quot;d&quot;日&quot;;@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0" fontId="3" fillId="0" borderId="1" xfId="11814" applyFont="1" applyBorder="1" applyAlignment="1">
      <alignment horizontal="center" vertical="center"/>
    </xf>
    <xf numFmtId="176" fontId="2" fillId="2" borderId="1" xfId="11814" applyNumberFormat="1" applyFill="1" applyBorder="1" applyAlignment="1">
      <alignment horizontal="center" vertical="center"/>
    </xf>
    <xf numFmtId="176" fontId="3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29 7 8" xfId="496"/>
    <cellStyle name="常规 13 54 7" xfId="497"/>
    <cellStyle name="常规 2 34 7 8" xfId="498"/>
    <cellStyle name="常规 2 11 12 14" xfId="499"/>
    <cellStyle name="常规 2 11 37 8 4 2" xfId="500"/>
    <cellStyle name="常规 2 11 42 8 4 2" xfId="501"/>
    <cellStyle name="常规 2 6 2 2 9 5 2" xfId="502"/>
    <cellStyle name="常规 2 40 17 2" xfId="503"/>
    <cellStyle name="常规 2 35 17 2" xfId="504"/>
    <cellStyle name="常规 2 11 15 2 8" xfId="505"/>
    <cellStyle name="常规 2 11 20 2 8" xfId="506"/>
    <cellStyle name="常规 2 11 34 16 2" xfId="507"/>
    <cellStyle name="常规 2 11 29 16 2" xfId="508"/>
    <cellStyle name="常规 2 13 15" xfId="509"/>
    <cellStyle name="常规 2 13 20" xfId="510"/>
    <cellStyle name="40% - 强调文字颜色 5" xfId="511" builtinId="47"/>
    <cellStyle name="常规 2 10 4 3 11" xfId="512"/>
    <cellStyle name="常规 2 39 5 5" xfId="513"/>
    <cellStyle name="常规 2 5 2 2 9 8" xfId="514"/>
    <cellStyle name="常规 2 44 5 5" xfId="515"/>
    <cellStyle name="常规 2 11 18 9 6" xfId="516"/>
    <cellStyle name="常规 2 11 23 9 6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44" xfId="1005"/>
    <cellStyle name="常规 13 39" xfId="1006"/>
    <cellStyle name="常规 2 11 24 9 10" xfId="1007"/>
    <cellStyle name="常规 2 11 19 9 10" xfId="1008"/>
    <cellStyle name="常规 2 10 2 2 8 3 2" xfId="1009"/>
    <cellStyle name="常规 44 6 2" xfId="1010"/>
    <cellStyle name="常规 39 6 2" xfId="1011"/>
    <cellStyle name="常规 2 12 2 9 2 2" xfId="1012"/>
    <cellStyle name="常规 2 10 2 6 10" xfId="1013"/>
    <cellStyle name="常规 2 2 2 3 9 4 2" xfId="1014"/>
    <cellStyle name="常规 2 11 35 6 4 2" xfId="1015"/>
    <cellStyle name="常规 2 11 40 6 4 2" xfId="1016"/>
    <cellStyle name="常规 2 11 2 10 9" xfId="1017"/>
    <cellStyle name="常规 2 13 6 8" xfId="1018"/>
    <cellStyle name="常规 2 8 3 2 10" xfId="1019"/>
    <cellStyle name="常规 2 10 3 5 7 2" xfId="1020"/>
    <cellStyle name="常规 2 11 12 6 3" xfId="1021"/>
    <cellStyle name="常规 2 14 10 4" xfId="1022"/>
    <cellStyle name="常规 2 28 2 2" xfId="1023"/>
    <cellStyle name="常规 2 33 2 2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T14" sqref="T14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4.62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</row>
    <row r="10" ht="21" customHeight="1" spans="1:19">
      <c r="A10" s="9">
        <v>44866.8417824074</v>
      </c>
      <c r="B10" s="10">
        <v>82069172</v>
      </c>
      <c r="C10" s="10">
        <v>397</v>
      </c>
      <c r="D10" s="10">
        <v>1216</v>
      </c>
      <c r="E10" s="10">
        <v>10.97</v>
      </c>
      <c r="F10" s="10">
        <v>1216</v>
      </c>
      <c r="G10" s="10" t="s">
        <v>28</v>
      </c>
      <c r="H10" s="10" t="s">
        <v>29</v>
      </c>
      <c r="I10" s="10" t="s">
        <v>30</v>
      </c>
      <c r="J10" s="10">
        <v>200</v>
      </c>
      <c r="K10" s="10">
        <f>+J10*E10</f>
        <v>2194</v>
      </c>
      <c r="L10" s="10">
        <v>0</v>
      </c>
      <c r="M10" s="10">
        <v>200</v>
      </c>
      <c r="N10" s="10">
        <v>0</v>
      </c>
      <c r="O10" s="10">
        <v>0</v>
      </c>
      <c r="P10" s="10">
        <v>0</v>
      </c>
      <c r="Q10" s="10">
        <v>0</v>
      </c>
      <c r="R10" s="22">
        <f t="shared" ref="R10:R15" si="0">SUM(K10:Q10)</f>
        <v>2394</v>
      </c>
      <c r="S10" s="1" t="s">
        <v>31</v>
      </c>
    </row>
    <row r="11" ht="21" customHeight="1" spans="1:19">
      <c r="A11" s="9">
        <v>44872.8998263889</v>
      </c>
      <c r="B11" s="10">
        <v>82069235</v>
      </c>
      <c r="C11" s="10">
        <v>124</v>
      </c>
      <c r="D11" s="10">
        <v>1750</v>
      </c>
      <c r="E11" s="10">
        <v>8</v>
      </c>
      <c r="F11" s="10">
        <v>1750</v>
      </c>
      <c r="G11" s="10" t="s">
        <v>28</v>
      </c>
      <c r="H11" s="10" t="s">
        <v>32</v>
      </c>
      <c r="I11" s="10" t="s">
        <v>30</v>
      </c>
      <c r="J11" s="10">
        <v>0.8</v>
      </c>
      <c r="K11" s="10">
        <v>1400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22">
        <f t="shared" si="0"/>
        <v>1400</v>
      </c>
      <c r="S11" s="1" t="s">
        <v>31</v>
      </c>
    </row>
    <row r="12" ht="21" customHeight="1" spans="1:19">
      <c r="A12" s="9">
        <v>44872.9035185185</v>
      </c>
      <c r="B12" s="10">
        <v>82069236</v>
      </c>
      <c r="C12" s="10">
        <v>109</v>
      </c>
      <c r="D12" s="10">
        <v>1619</v>
      </c>
      <c r="E12" s="10">
        <v>7.8</v>
      </c>
      <c r="F12" s="10">
        <v>1619</v>
      </c>
      <c r="G12" s="10" t="s">
        <v>28</v>
      </c>
      <c r="H12" s="10" t="s">
        <v>32</v>
      </c>
      <c r="I12" s="10" t="s">
        <v>30</v>
      </c>
      <c r="J12" s="10">
        <v>0.8</v>
      </c>
      <c r="K12" s="10">
        <v>1295.2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2">
        <f t="shared" si="0"/>
        <v>1295.2</v>
      </c>
      <c r="S12" s="1" t="s">
        <v>31</v>
      </c>
    </row>
    <row r="13" ht="21" customHeight="1" spans="1:20">
      <c r="A13" s="9">
        <v>44882.7993981481</v>
      </c>
      <c r="B13" s="10">
        <v>82069300</v>
      </c>
      <c r="C13" s="10">
        <v>3</v>
      </c>
      <c r="D13" s="10">
        <v>136</v>
      </c>
      <c r="E13" s="10">
        <v>0.63</v>
      </c>
      <c r="F13" s="10">
        <v>136</v>
      </c>
      <c r="G13" s="10" t="s">
        <v>28</v>
      </c>
      <c r="H13" s="10" t="s">
        <v>32</v>
      </c>
      <c r="I13" s="10" t="s">
        <v>30</v>
      </c>
      <c r="J13" s="10">
        <v>0.8</v>
      </c>
      <c r="K13" s="10">
        <f>+J13*F13</f>
        <v>108.8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2">
        <f t="shared" si="0"/>
        <v>108.8</v>
      </c>
      <c r="S13" s="1" t="s">
        <v>33</v>
      </c>
      <c r="T13" s="1" t="s">
        <v>34</v>
      </c>
    </row>
    <row r="14" ht="21" customHeight="1" spans="1:20">
      <c r="A14" s="9">
        <v>44884.000625</v>
      </c>
      <c r="B14" s="10">
        <v>82069320</v>
      </c>
      <c r="C14" s="10">
        <v>31</v>
      </c>
      <c r="D14" s="10">
        <v>1468</v>
      </c>
      <c r="E14" s="10">
        <v>9.93</v>
      </c>
      <c r="F14" s="10">
        <v>1658.31</v>
      </c>
      <c r="G14" s="10" t="s">
        <v>28</v>
      </c>
      <c r="H14" s="10" t="s">
        <v>32</v>
      </c>
      <c r="I14" s="10" t="s">
        <v>30</v>
      </c>
      <c r="J14" s="10">
        <v>0.8</v>
      </c>
      <c r="K14" s="10">
        <f>+J14*F14</f>
        <v>1326.648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22">
        <f t="shared" si="0"/>
        <v>1326.648</v>
      </c>
      <c r="S14" s="1" t="s">
        <v>35</v>
      </c>
      <c r="T14" s="1" t="s">
        <v>36</v>
      </c>
    </row>
    <row r="15" ht="21" customHeight="1" spans="1:20">
      <c r="A15" s="9">
        <v>44889.8174305556</v>
      </c>
      <c r="B15" s="10">
        <v>82069353</v>
      </c>
      <c r="C15" s="10">
        <v>3</v>
      </c>
      <c r="D15" s="10">
        <v>265</v>
      </c>
      <c r="E15" s="10">
        <v>0.15</v>
      </c>
      <c r="F15" s="10">
        <v>265</v>
      </c>
      <c r="G15" s="10" t="s">
        <v>28</v>
      </c>
      <c r="H15" s="10" t="s">
        <v>32</v>
      </c>
      <c r="I15" s="10" t="s">
        <v>30</v>
      </c>
      <c r="J15" s="10">
        <v>1.2</v>
      </c>
      <c r="K15" s="10">
        <f>+J15*F15</f>
        <v>318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22">
        <f t="shared" si="0"/>
        <v>318</v>
      </c>
      <c r="S15" s="1" t="s">
        <v>37</v>
      </c>
      <c r="T15" s="1" t="s">
        <v>38</v>
      </c>
    </row>
    <row r="16" ht="45" customHeight="1" spans="1:18">
      <c r="A16" s="11"/>
      <c r="B16" s="10"/>
      <c r="C16" s="10"/>
      <c r="D16" s="10"/>
      <c r="E16" s="10"/>
      <c r="F16" s="10"/>
      <c r="G16" s="10"/>
      <c r="H16" s="10"/>
      <c r="I16" s="10"/>
      <c r="J16" s="19"/>
      <c r="K16" s="19"/>
      <c r="L16" s="10"/>
      <c r="M16" s="10"/>
      <c r="N16" s="10"/>
      <c r="O16" s="10"/>
      <c r="P16" s="10"/>
      <c r="Q16" s="23" t="s">
        <v>39</v>
      </c>
      <c r="R16" s="24">
        <f>SUM(R10:R15)</f>
        <v>6842.648</v>
      </c>
    </row>
    <row r="17" ht="21" customHeight="1" spans="1:18">
      <c r="A17" s="5"/>
      <c r="B17" s="7"/>
      <c r="C17" s="7"/>
      <c r="D17" s="7"/>
      <c r="E17" s="7"/>
      <c r="F17" s="7"/>
      <c r="G17" s="7"/>
      <c r="H17" s="7"/>
      <c r="I17" s="7"/>
      <c r="J17" s="7"/>
      <c r="K17" s="18"/>
      <c r="L17" s="7"/>
      <c r="M17" s="7"/>
      <c r="N17" s="7"/>
      <c r="O17" s="7"/>
      <c r="P17" s="7"/>
      <c r="Q17" s="7"/>
      <c r="R17" s="25"/>
    </row>
    <row r="22" spans="1:2">
      <c r="A22" s="12" t="s">
        <v>40</v>
      </c>
      <c r="B22" s="13" t="s">
        <v>41</v>
      </c>
    </row>
    <row r="23" spans="1:2">
      <c r="A23" s="14"/>
      <c r="B23" s="13" t="s">
        <v>42</v>
      </c>
    </row>
    <row r="24" spans="1:11">
      <c r="A24" s="14"/>
      <c r="B24" s="15" t="s">
        <v>43</v>
      </c>
      <c r="K24" s="20"/>
    </row>
    <row r="25" spans="1:2">
      <c r="A25" s="14"/>
      <c r="B25" s="15" t="s">
        <v>44</v>
      </c>
    </row>
    <row r="26" spans="1:2">
      <c r="A26" s="14"/>
      <c r="B26" s="16" t="s">
        <v>45</v>
      </c>
    </row>
    <row r="27" spans="1:2">
      <c r="A27" s="17"/>
      <c r="B27" s="15" t="s">
        <v>46</v>
      </c>
    </row>
    <row r="28" spans="1:2">
      <c r="A28" s="17"/>
      <c r="B28" s="15" t="s">
        <v>47</v>
      </c>
    </row>
    <row r="29" spans="1:2">
      <c r="A29" s="17"/>
      <c r="B29" s="15" t="s">
        <v>48</v>
      </c>
    </row>
    <row r="30" spans="1:2">
      <c r="A30" s="17"/>
      <c r="B30" s="15" t="s">
        <v>49</v>
      </c>
    </row>
    <row r="43" spans="2:2">
      <c r="B43" s="7"/>
    </row>
    <row r="44" spans="2:2">
      <c r="B44" s="7"/>
    </row>
    <row r="45" spans="2:2">
      <c r="B45" s="7"/>
    </row>
  </sheetData>
  <mergeCells count="5">
    <mergeCell ref="A1:R1"/>
    <mergeCell ref="A2:R2"/>
    <mergeCell ref="A3:R3"/>
    <mergeCell ref="A4:R4"/>
    <mergeCell ref="B43:B4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2022-12-10T10:37:33Z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2052-11.1.0.12763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