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definedNames>
    <definedName name="_xlnm._FilterDatabase" localSheetId="0" hidden="1">Sheet1!$A$9:$R$12</definedName>
  </definedNames>
  <calcPr calcId="144525"/>
</workbook>
</file>

<file path=xl/sharedStrings.xml><?xml version="1.0" encoding="utf-8"?>
<sst xmlns="http://schemas.openxmlformats.org/spreadsheetml/2006/main" count="49" uniqueCount="45">
  <si>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</si>
  <si>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</si>
  <si>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</si>
  <si>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</si>
  <si>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</si>
  <si>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</si>
  <si>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</si>
  <si>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</si>
  <si>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7月份</t>
  </si>
  <si>
    <t>RMB</t>
  </si>
  <si>
    <t>日期</t>
  </si>
  <si>
    <t>单号</t>
  </si>
  <si>
    <t>件数</t>
  </si>
  <si>
    <t>重量</t>
  </si>
  <si>
    <t>立方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</si>
  <si>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</si>
  <si>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</si>
  <si>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</si>
  <si>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</si>
  <si>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</si>
  <si>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</si>
  <si>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</si>
  <si>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</si>
  <si>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</si>
  <si>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</si>
  <si>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</si>
  <si>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</si>
  <si>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</si>
  <si>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</si>
  <si>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快件出口</t>
  </si>
  <si>
    <t>香港自提</t>
  </si>
  <si>
    <t>JOB070273</t>
  </si>
  <si>
    <t>ACC</t>
  </si>
  <si>
    <t>JOb070283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</si>
  <si>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</si>
  <si>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</si>
  <si>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</si>
  <si>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</si>
  <si>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</si>
  <si>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</si>
  <si>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</si>
  <si>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</si>
  <si>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>开户行：中国工商银行</t>
  </si>
  <si>
    <t>收款账号：6212 2540 0000 5096 852</t>
  </si>
  <si>
    <t>收款人：蒋时香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</si>
</sst>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4" borderId="2" applyNumberFormat="0" applyAlignment="0" applyProtection="0">
      <alignment vertical="center"/>
    </xf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0" borderId="0" applyNumberFormat="0" applyBorder="0" applyAlignment="0" applyProtection="0">
      <alignment vertical="center"/>
    </xf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13" borderId="7" applyNumberFormat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2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2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8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8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4" applyFont="1" applyAlignment="1">
      <alignment horizontal="center" vertical="center"/>
    </xf>
    <xf numFmtId="178" fontId="2" fillId="0" borderId="0" xfId="11814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0" fontId="2" fillId="0" borderId="0" xfId="11814" applyAlignment="1">
      <alignment horizontal="center" vertical="center"/>
    </xf>
    <xf numFmtId="58" fontId="2" fillId="0" borderId="0" xfId="11814" applyNumberFormat="1" applyFont="1" applyAlignment="1">
      <alignment horizontal="center" vertical="center"/>
    </xf>
    <xf numFmtId="178" fontId="2" fillId="0" borderId="1" xfId="11814" applyNumberFormat="1" applyBorder="1" applyAlignment="1">
      <alignment horizontal="center" vertical="center"/>
    </xf>
    <xf numFmtId="0" fontId="2" fillId="0" borderId="1" xfId="11814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6" fontId="2" fillId="0" borderId="0" xfId="11814" applyNumberFormat="1" applyAlignment="1">
      <alignment horizontal="center" vertical="center"/>
    </xf>
    <xf numFmtId="176" fontId="2" fillId="0" borderId="1" xfId="11814" applyNumberForma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4" applyNumberFormat="1" applyAlignment="1">
      <alignment horizontal="center" vertical="center"/>
    </xf>
    <xf numFmtId="177" fontId="2" fillId="0" borderId="1" xfId="11814" applyNumberFormat="1" applyBorder="1" applyAlignment="1">
      <alignment horizontal="center" vertical="center"/>
    </xf>
    <xf numFmtId="0" fontId="3" fillId="0" borderId="1" xfId="11814" applyFont="1" applyBorder="1" applyAlignment="1">
      <alignment horizontal="center" vertical="center"/>
    </xf>
    <xf numFmtId="177" fontId="2" fillId="2" borderId="1" xfId="11814" applyNumberFormat="1" applyFill="1" applyBorder="1" applyAlignment="1">
      <alignment horizontal="center" vertical="center"/>
    </xf>
    <xf numFmtId="177" fontId="3" fillId="0" borderId="0" xfId="11814" applyNumberFormat="1" applyFont="1" applyAlignment="1">
      <alignment horizontal="center"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29 7 8" xfId="496"/>
    <cellStyle name="常规 13 54 7" xfId="497"/>
    <cellStyle name="常规 2 34 7 8" xfId="498"/>
    <cellStyle name="常规 2 11 12 14" xfId="499"/>
    <cellStyle name="常规 2 11 37 8 4 2" xfId="500"/>
    <cellStyle name="常规 2 11 42 8 4 2" xfId="501"/>
    <cellStyle name="常规 2 6 2 2 9 5 2" xfId="502"/>
    <cellStyle name="常规 2 40 17 2" xfId="503"/>
    <cellStyle name="常规 2 35 17 2" xfId="504"/>
    <cellStyle name="常规 2 11 15 2 8" xfId="505"/>
    <cellStyle name="常规 2 11 20 2 8" xfId="506"/>
    <cellStyle name="常规 2 11 34 16 2" xfId="507"/>
    <cellStyle name="常规 2 11 29 16 2" xfId="508"/>
    <cellStyle name="常规 2 13 15" xfId="509"/>
    <cellStyle name="常规 2 13 20" xfId="510"/>
    <cellStyle name="40% - 强调文字颜色 5" xfId="511" builtinId="47"/>
    <cellStyle name="常规 2 10 4 3 11" xfId="512"/>
    <cellStyle name="常规 2 39 5 5" xfId="513"/>
    <cellStyle name="常规 2 44 5 5" xfId="514"/>
    <cellStyle name="常规 2 5 2 2 9 8" xfId="515"/>
    <cellStyle name="常规 2 11 23 9 6" xfId="516"/>
    <cellStyle name="常规 2 11 18 9 6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44" xfId="1005"/>
    <cellStyle name="常规 13 39" xfId="1006"/>
    <cellStyle name="常规 2 11 24 9 10" xfId="1007"/>
    <cellStyle name="常规 2 11 19 9 10" xfId="1008"/>
    <cellStyle name="常规 2 10 2 2 8 3 2" xfId="1009"/>
    <cellStyle name="常规 44 6 2" xfId="1010"/>
    <cellStyle name="常规 39 6 2" xfId="1011"/>
    <cellStyle name="常规 2 12 2 9 2 2" xfId="1012"/>
    <cellStyle name="常规 2 10 2 6 10" xfId="1013"/>
    <cellStyle name="常规 2 2 2 3 9 4 2" xfId="1014"/>
    <cellStyle name="常规 2 11 35 6 4 2" xfId="1015"/>
    <cellStyle name="常规 2 11 40 6 4 2" xfId="1016"/>
    <cellStyle name="常规 2 11 2 10 9" xfId="1017"/>
    <cellStyle name="常规 2 13 6 8" xfId="1018"/>
    <cellStyle name="常规 2 8 3 2 10" xfId="1019"/>
    <cellStyle name="常规 2 10 3 5 7 2" xfId="1020"/>
    <cellStyle name="常规 2 11 12 6 3" xfId="1021"/>
    <cellStyle name="常规 2 14 10 4" xfId="1022"/>
    <cellStyle name="常规 2 28 2 2" xfId="1023"/>
    <cellStyle name="常规 2 33 2 2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1"/>
  <sheetViews>
    <sheetView tabSelected="1" workbookViewId="0">
      <selection activeCell="R10" sqref="R10"/>
    </sheetView>
  </sheetViews>
  <sheetFormatPr defaultColWidth="9" defaultRowHeight="13.5"/>
  <cols>
    <col min="1" max="1" width="9.5" style="1" customWidth="1"/>
    <col min="2" max="2" width="16.25" style="1" customWidth="1"/>
    <col min="3" max="6" width="9" style="1"/>
    <col min="7" max="7" width="9.875" style="1" customWidth="1"/>
    <col min="8" max="8" width="9" style="1"/>
    <col min="9" max="9" width="26.875" style="1" customWidth="1"/>
    <col min="10" max="10" width="9" style="1"/>
    <col min="11" max="11" width="12.625" style="2" customWidth="1"/>
    <col min="12" max="17" width="9" style="1"/>
    <col min="18" max="18" width="9" style="3"/>
    <col min="19" max="19" width="13.375" style="1" customWidth="1"/>
    <col min="20" max="16384" width="9" style="1"/>
  </cols>
  <sheetData>
    <row r="1" ht="18.75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8.75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8.75" spans="1:18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8.75" spans="1:18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spans="1:18">
      <c r="A5" s="5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18"/>
      <c r="L5" s="7"/>
      <c r="M5" s="7"/>
      <c r="N5" s="7"/>
      <c r="O5" s="7"/>
      <c r="P5" s="7"/>
      <c r="Q5" s="7"/>
      <c r="R5" s="21"/>
    </row>
    <row r="6" ht="14.25" spans="1:18">
      <c r="A6" s="5" t="s">
        <v>6</v>
      </c>
      <c r="B6" s="7"/>
      <c r="C6" s="7"/>
      <c r="D6" s="7"/>
      <c r="E6" s="7"/>
      <c r="F6" s="7"/>
      <c r="G6" s="7"/>
      <c r="H6" s="7"/>
      <c r="I6" s="7"/>
      <c r="J6" s="7"/>
      <c r="K6" s="18"/>
      <c r="L6" s="7"/>
      <c r="M6" s="7"/>
      <c r="N6" s="7"/>
      <c r="O6" s="7"/>
      <c r="P6" s="7"/>
      <c r="Q6" s="7"/>
      <c r="R6" s="21"/>
    </row>
    <row r="7" ht="14.25" spans="1:18">
      <c r="A7" s="5" t="s">
        <v>7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18"/>
      <c r="L7" s="7"/>
      <c r="M7" s="7"/>
      <c r="N7" s="7"/>
      <c r="O7" s="7"/>
      <c r="P7" s="7"/>
      <c r="Q7" s="7"/>
      <c r="R7" s="21" t="s">
        <v>9</v>
      </c>
    </row>
    <row r="9" ht="21" customHeight="1" spans="1:18">
      <c r="A9" s="9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9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  <c r="Q9" s="10" t="s">
        <v>26</v>
      </c>
      <c r="R9" s="22" t="s">
        <v>27</v>
      </c>
    </row>
    <row r="10" ht="21" customHeight="1" spans="1:20">
      <c r="A10" s="9">
        <v>44761.8367824074</v>
      </c>
      <c r="B10" s="10">
        <v>82054132</v>
      </c>
      <c r="C10" s="10">
        <v>3</v>
      </c>
      <c r="D10" s="10">
        <v>134</v>
      </c>
      <c r="E10" s="10">
        <v>0.8</v>
      </c>
      <c r="F10" s="10">
        <v>134</v>
      </c>
      <c r="G10" s="10" t="s">
        <v>28</v>
      </c>
      <c r="H10" s="10" t="s">
        <v>29</v>
      </c>
      <c r="I10" s="10" t="s">
        <v>30</v>
      </c>
      <c r="J10" s="10">
        <v>1.5</v>
      </c>
      <c r="K10" s="10">
        <f>+J10*F10</f>
        <v>201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22">
        <f>SUM(K10:Q10)</f>
        <v>201</v>
      </c>
      <c r="S10" s="1" t="s">
        <v>31</v>
      </c>
      <c r="T10" s="1" t="s">
        <v>32</v>
      </c>
    </row>
    <row r="11" ht="21" customHeight="1" spans="1:20">
      <c r="A11" s="9">
        <v>44768.8449884259</v>
      </c>
      <c r="B11" s="10">
        <v>82054194</v>
      </c>
      <c r="C11" s="10">
        <v>2</v>
      </c>
      <c r="D11" s="10">
        <v>104</v>
      </c>
      <c r="E11" s="10">
        <v>0.72</v>
      </c>
      <c r="F11" s="10">
        <v>120.24</v>
      </c>
      <c r="G11" s="10" t="s">
        <v>28</v>
      </c>
      <c r="H11" s="10" t="s">
        <v>29</v>
      </c>
      <c r="I11" s="10" t="s">
        <v>30</v>
      </c>
      <c r="J11" s="10">
        <v>1.5</v>
      </c>
      <c r="K11" s="10">
        <f>+J11*F11</f>
        <v>180.36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22">
        <f>SUM(K11:Q11)</f>
        <v>180.36</v>
      </c>
      <c r="S11" s="1" t="s">
        <v>33</v>
      </c>
      <c r="T11" s="1" t="s">
        <v>32</v>
      </c>
    </row>
    <row r="12" ht="45" customHeight="1" spans="1:18">
      <c r="A12" s="11"/>
      <c r="B12" s="10"/>
      <c r="C12" s="10"/>
      <c r="D12" s="10"/>
      <c r="E12" s="10"/>
      <c r="F12" s="10"/>
      <c r="G12" s="10"/>
      <c r="H12" s="10"/>
      <c r="I12" s="10"/>
      <c r="J12" s="19"/>
      <c r="K12" s="19"/>
      <c r="L12" s="10"/>
      <c r="M12" s="10"/>
      <c r="N12" s="10"/>
      <c r="O12" s="10"/>
      <c r="P12" s="10"/>
      <c r="Q12" s="23" t="s">
        <v>34</v>
      </c>
      <c r="R12" s="24">
        <f>SUM(R10:R11)</f>
        <v>381.36</v>
      </c>
    </row>
    <row r="13" ht="21" customHeight="1" spans="1:18">
      <c r="A13" s="5"/>
      <c r="B13" s="7"/>
      <c r="C13" s="7"/>
      <c r="D13" s="7"/>
      <c r="E13" s="7"/>
      <c r="F13" s="7"/>
      <c r="G13" s="7"/>
      <c r="H13" s="7"/>
      <c r="I13" s="7"/>
      <c r="J13" s="7"/>
      <c r="K13" s="18"/>
      <c r="L13" s="7"/>
      <c r="M13" s="7"/>
      <c r="N13" s="7"/>
      <c r="O13" s="7"/>
      <c r="P13" s="7"/>
      <c r="Q13" s="7"/>
      <c r="R13" s="25"/>
    </row>
    <row r="18" spans="1:2">
      <c r="A18" s="12" t="s">
        <v>35</v>
      </c>
      <c r="B18" s="13" t="s">
        <v>36</v>
      </c>
    </row>
    <row r="19" spans="1:2">
      <c r="A19" s="14"/>
      <c r="B19" s="13" t="s">
        <v>37</v>
      </c>
    </row>
    <row r="20" spans="1:11">
      <c r="A20" s="14"/>
      <c r="B20" s="15" t="s">
        <v>38</v>
      </c>
      <c r="K20" s="20"/>
    </row>
    <row r="21" spans="1:2">
      <c r="A21" s="14"/>
      <c r="B21" s="15" t="s">
        <v>39</v>
      </c>
    </row>
    <row r="22" spans="1:2">
      <c r="A22" s="14"/>
      <c r="B22" s="16" t="s">
        <v>40</v>
      </c>
    </row>
    <row r="23" spans="1:2">
      <c r="A23" s="17"/>
      <c r="B23" s="15" t="s">
        <v>41</v>
      </c>
    </row>
    <row r="24" spans="1:2">
      <c r="A24" s="17"/>
      <c r="B24" s="15" t="s">
        <v>42</v>
      </c>
    </row>
    <row r="25" spans="1:2">
      <c r="A25" s="17"/>
      <c r="B25" s="15" t="s">
        <v>43</v>
      </c>
    </row>
    <row r="26" spans="1:2">
      <c r="A26" s="17"/>
      <c r="B26" s="15" t="s">
        <v>44</v>
      </c>
    </row>
    <row r="39" spans="2:2">
      <c r="B39" s="7"/>
    </row>
    <row r="40" spans="2:2">
      <c r="B40" s="7"/>
    </row>
    <row r="41" spans="2:2">
      <c r="B41" s="7"/>
    </row>
  </sheetData>
  <mergeCells count="5">
    <mergeCell ref="A1:R1"/>
    <mergeCell ref="A2:R2"/>
    <mergeCell ref="A3:R3"/>
    <mergeCell ref="A4:R4"/>
    <mergeCell ref="B39:B4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2022-08-08T04:29:15Z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2052-11.1.0.12302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