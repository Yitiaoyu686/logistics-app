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Sheet1!$A$9:$R$21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有核注清单</t>
        </r>
      </text>
    </comment>
    <comment ref="Q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叉车费用两次</t>
        </r>
      </text>
    </comment>
    <comment ref="M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有核注清单</t>
        </r>
      </text>
    </comment>
  </commentList>
</comments>
</file>

<file path=xl/sharedStrings.xml><?xml version="1.0" encoding="utf-8"?>
<sst xmlns="http://schemas.openxmlformats.org/spreadsheetml/2006/main" count="86" uniqueCount="53">
  <si>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</si>
  <si>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</si>
  <si>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</si>
  <si>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</si>
  <si>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</si>
  <si>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</si>
  <si>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</si>
  <si>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</si>
  <si>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6月份</t>
  </si>
  <si>
    <t>RMB</t>
  </si>
  <si>
    <t>日期</t>
  </si>
  <si>
    <t>单号</t>
  </si>
  <si>
    <t>件数</t>
  </si>
  <si>
    <t>重量</t>
  </si>
  <si>
    <t>立方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</si>
  <si>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</si>
  <si>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</si>
  <si>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</si>
  <si>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</si>
  <si>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</si>
  <si>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</si>
  <si>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</si>
  <si>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</si>
  <si>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</si>
  <si>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</si>
  <si>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</si>
  <si>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</si>
  <si>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</si>
  <si>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</si>
  <si>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一般贸易</t>
  </si>
  <si>
    <t>香港自提</t>
  </si>
  <si>
    <t>DP—报关货</t>
  </si>
  <si>
    <t>快件出口</t>
  </si>
  <si>
    <t>JOB060230</t>
  </si>
  <si>
    <t>LOS</t>
  </si>
  <si>
    <t>-</t>
  </si>
  <si>
    <t>JOB060233</t>
  </si>
  <si>
    <t>JOB060241</t>
  </si>
  <si>
    <t>JOB060264</t>
  </si>
  <si>
    <t>ACC</t>
  </si>
  <si>
    <t>JOB060266</t>
  </si>
  <si>
    <t>EBB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</si>
  <si>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</si>
  <si>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</si>
  <si>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</si>
  <si>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</si>
  <si>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</si>
  <si>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</si>
  <si>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</si>
  <si>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</si>
  <si>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>开户行：中国工商银行</t>
  </si>
  <si>
    <t>收款账号：6212 2540 0000 5096 852</t>
  </si>
  <si>
    <t>收款人：蒋时香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</si>
</sst>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2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4" borderId="2" applyNumberFormat="0" applyAlignment="0" applyProtection="0">
      <alignment vertical="center"/>
    </xf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0" borderId="0" applyNumberFormat="0" applyBorder="0" applyAlignment="0" applyProtection="0">
      <alignment vertical="center"/>
    </xf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13" borderId="7" applyNumberFormat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2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8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3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178" fontId="2" fillId="2" borderId="1" xfId="11814" applyNumberFormat="1" applyFill="1" applyBorder="1" applyAlignment="1">
      <alignment horizontal="center" vertical="center"/>
    </xf>
    <xf numFmtId="0" fontId="2" fillId="2" borderId="1" xfId="11814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6" fontId="2" fillId="0" borderId="0" xfId="11814" applyNumberForma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176" fontId="2" fillId="2" borderId="1" xfId="11814" applyNumberFormat="1" applyFill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0" fontId="0" fillId="0" borderId="0" xfId="0" applyAlignment="1">
      <alignment vertical="center"/>
    </xf>
    <xf numFmtId="177" fontId="2" fillId="2" borderId="1" xfId="11814" applyNumberFormat="1" applyFill="1" applyBorder="1" applyAlignment="1">
      <alignment horizontal="center" vertical="center"/>
    </xf>
    <xf numFmtId="0" fontId="3" fillId="0" borderId="1" xfId="11814" applyFont="1" applyBorder="1" applyAlignment="1">
      <alignment horizontal="center" vertical="center"/>
    </xf>
    <xf numFmtId="177" fontId="3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29 7 8" xfId="496"/>
    <cellStyle name="常规 13 54 7" xfId="497"/>
    <cellStyle name="常规 2 34 7 8" xfId="498"/>
    <cellStyle name="常规 2 11 12 14" xfId="499"/>
    <cellStyle name="常规 2 11 37 8 4 2" xfId="500"/>
    <cellStyle name="常规 2 11 42 8 4 2" xfId="501"/>
    <cellStyle name="常规 2 6 2 2 9 5 2" xfId="502"/>
    <cellStyle name="常规 2 40 17 2" xfId="503"/>
    <cellStyle name="常规 2 35 17 2" xfId="504"/>
    <cellStyle name="常规 2 11 15 2 8" xfId="505"/>
    <cellStyle name="常规 2 11 20 2 8" xfId="506"/>
    <cellStyle name="常规 2 11 34 16 2" xfId="507"/>
    <cellStyle name="常规 2 11 29 16 2" xfId="508"/>
    <cellStyle name="常规 2 13 15" xfId="509"/>
    <cellStyle name="常规 2 13 20" xfId="510"/>
    <cellStyle name="40% - 强调文字颜色 5" xfId="511" builtinId="47"/>
    <cellStyle name="常规 2 10 4 3 11" xfId="512"/>
    <cellStyle name="常规 2 39 5 5" xfId="513"/>
    <cellStyle name="常规 2 44 5 5" xfId="514"/>
    <cellStyle name="常规 2 5 2 2 9 8" xfId="515"/>
    <cellStyle name="常规 2 11 23 9 6" xfId="516"/>
    <cellStyle name="常规 2 11 18 9 6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44" xfId="1005"/>
    <cellStyle name="常规 13 39" xfId="1006"/>
    <cellStyle name="常规 2 11 24 9 10" xfId="1007"/>
    <cellStyle name="常规 2 11 19 9 10" xfId="1008"/>
    <cellStyle name="常规 2 10 2 2 8 3 2" xfId="1009"/>
    <cellStyle name="常规 44 6 2" xfId="1010"/>
    <cellStyle name="常规 39 6 2" xfId="1011"/>
    <cellStyle name="常规 2 12 2 9 2 2" xfId="1012"/>
    <cellStyle name="常规 2 10 2 6 10" xfId="1013"/>
    <cellStyle name="常规 2 2 2 3 9 4 2" xfId="1014"/>
    <cellStyle name="常规 2 11 35 6 4 2" xfId="1015"/>
    <cellStyle name="常规 2 11 40 6 4 2" xfId="1016"/>
    <cellStyle name="常规 2 11 2 10 9" xfId="1017"/>
    <cellStyle name="常规 2 13 6 8" xfId="1018"/>
    <cellStyle name="常规 2 8 3 2 10" xfId="1019"/>
    <cellStyle name="常规 2 10 3 5 7 2" xfId="1020"/>
    <cellStyle name="常规 2 11 12 6 3" xfId="1021"/>
    <cellStyle name="常规 2 14 10 4" xfId="1022"/>
    <cellStyle name="常规 2 28 2 2" xfId="1023"/>
    <cellStyle name="常规 2 33 2 2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workbookViewId="0">
      <selection activeCell="U24" sqref="U24"/>
    </sheetView>
  </sheetViews>
  <sheetFormatPr defaultColWidth="9" defaultRowHeight="13.5"/>
  <cols>
    <col min="1" max="1" width="9.5" style="2" customWidth="1"/>
    <col min="2" max="2" width="16.25" style="2" customWidth="1"/>
    <col min="3" max="6" width="9" style="2"/>
    <col min="7" max="7" width="9.875" style="2" customWidth="1"/>
    <col min="8" max="8" width="9" style="2"/>
    <col min="9" max="9" width="26.875" style="2" customWidth="1"/>
    <col min="10" max="10" width="9" style="2"/>
    <col min="11" max="11" width="12.625" style="3" customWidth="1"/>
    <col min="12" max="17" width="9" style="2"/>
    <col min="18" max="18" width="9" style="4"/>
    <col min="19" max="19" width="17.875" style="2" customWidth="1"/>
    <col min="20" max="16384" width="9" style="2"/>
  </cols>
  <sheetData>
    <row r="1" ht="18.75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8.75" spans="1:18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8.75" spans="1:18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8.75" spans="1:18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4.25" spans="1:18">
      <c r="A5" s="6" t="s">
        <v>4</v>
      </c>
      <c r="B5" s="7" t="s">
        <v>5</v>
      </c>
      <c r="C5" s="8"/>
      <c r="D5" s="8"/>
      <c r="E5" s="8"/>
      <c r="F5" s="8"/>
      <c r="G5" s="8"/>
      <c r="H5" s="8"/>
      <c r="I5" s="8"/>
      <c r="J5" s="8"/>
      <c r="K5" s="21"/>
      <c r="L5" s="8"/>
      <c r="M5" s="8"/>
      <c r="N5" s="8"/>
      <c r="O5" s="8"/>
      <c r="P5" s="8"/>
      <c r="Q5" s="8"/>
      <c r="R5" s="25"/>
    </row>
    <row r="6" ht="14.25" spans="1:18">
      <c r="A6" s="6" t="s">
        <v>6</v>
      </c>
      <c r="B6" s="8"/>
      <c r="C6" s="8"/>
      <c r="D6" s="8"/>
      <c r="E6" s="8"/>
      <c r="F6" s="8"/>
      <c r="G6" s="8"/>
      <c r="H6" s="8"/>
      <c r="I6" s="8"/>
      <c r="J6" s="8"/>
      <c r="K6" s="21"/>
      <c r="L6" s="8"/>
      <c r="M6" s="8"/>
      <c r="N6" s="8"/>
      <c r="O6" s="8"/>
      <c r="P6" s="8"/>
      <c r="Q6" s="8"/>
      <c r="R6" s="25"/>
    </row>
    <row r="7" ht="14.25" spans="1:18">
      <c r="A7" s="6" t="s">
        <v>7</v>
      </c>
      <c r="B7" s="9" t="s">
        <v>8</v>
      </c>
      <c r="C7" s="8"/>
      <c r="D7" s="8"/>
      <c r="E7" s="8"/>
      <c r="F7" s="8"/>
      <c r="G7" s="8"/>
      <c r="H7" s="8"/>
      <c r="I7" s="8"/>
      <c r="J7" s="8"/>
      <c r="K7" s="21"/>
      <c r="L7" s="8"/>
      <c r="M7" s="8"/>
      <c r="N7" s="8"/>
      <c r="O7" s="8"/>
      <c r="P7" s="8"/>
      <c r="Q7" s="8"/>
      <c r="R7" s="25" t="s">
        <v>9</v>
      </c>
    </row>
    <row r="9" ht="21" customHeight="1" spans="1:18">
      <c r="A9" s="10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22" t="s">
        <v>20</v>
      </c>
      <c r="L9" s="11" t="s">
        <v>21</v>
      </c>
      <c r="M9" s="11" t="s">
        <v>22</v>
      </c>
      <c r="N9" s="11" t="s">
        <v>23</v>
      </c>
      <c r="O9" s="11" t="s">
        <v>24</v>
      </c>
      <c r="P9" s="11" t="s">
        <v>25</v>
      </c>
      <c r="Q9" s="11" t="s">
        <v>26</v>
      </c>
      <c r="R9" s="26" t="s">
        <v>27</v>
      </c>
    </row>
    <row r="10" ht="21" customHeight="1" spans="1:20">
      <c r="A10" s="10">
        <v>44713.7938425926</v>
      </c>
      <c r="B10" s="11">
        <v>82068771</v>
      </c>
      <c r="C10" s="11">
        <v>71</v>
      </c>
      <c r="D10" s="11">
        <v>792</v>
      </c>
      <c r="E10" s="11">
        <v>4.03</v>
      </c>
      <c r="F10" s="11">
        <v>792</v>
      </c>
      <c r="G10" s="11" t="s">
        <v>28</v>
      </c>
      <c r="H10" s="11" t="s">
        <v>29</v>
      </c>
      <c r="I10" s="11" t="s">
        <v>30</v>
      </c>
      <c r="J10" s="13">
        <v>1.5</v>
      </c>
      <c r="K10" s="23">
        <f>+J10*F10</f>
        <v>1188</v>
      </c>
      <c r="L10" s="11">
        <v>0</v>
      </c>
      <c r="M10" s="11">
        <v>200</v>
      </c>
      <c r="N10" s="11">
        <v>0</v>
      </c>
      <c r="O10" s="11">
        <v>0</v>
      </c>
      <c r="P10" s="11">
        <v>0</v>
      </c>
      <c r="Q10" s="11">
        <v>0</v>
      </c>
      <c r="R10" s="26">
        <f t="shared" ref="R10:R17" si="0">SUM(K10:Q10)</f>
        <v>1388</v>
      </c>
      <c r="S10" s="2" t="s">
        <v>31</v>
      </c>
      <c r="T10" s="27"/>
    </row>
    <row r="11" ht="21" customHeight="1" spans="1:20">
      <c r="A11" s="10">
        <v>44713.7950115741</v>
      </c>
      <c r="B11" s="11">
        <v>82068772</v>
      </c>
      <c r="C11" s="11">
        <v>4</v>
      </c>
      <c r="D11" s="11">
        <v>9</v>
      </c>
      <c r="E11" s="11">
        <v>0.18</v>
      </c>
      <c r="F11" s="11">
        <v>30.06</v>
      </c>
      <c r="G11" s="11" t="s">
        <v>28</v>
      </c>
      <c r="H11" s="11" t="s">
        <v>29</v>
      </c>
      <c r="I11" s="11" t="s">
        <v>30</v>
      </c>
      <c r="J11" s="13">
        <v>1.5</v>
      </c>
      <c r="K11" s="23">
        <v>150</v>
      </c>
      <c r="L11" s="11">
        <v>0</v>
      </c>
      <c r="M11" s="11">
        <v>250</v>
      </c>
      <c r="N11" s="11">
        <v>0</v>
      </c>
      <c r="O11" s="11">
        <v>0</v>
      </c>
      <c r="P11" s="11">
        <v>0</v>
      </c>
      <c r="Q11" s="11">
        <v>0</v>
      </c>
      <c r="R11" s="26">
        <f t="shared" si="0"/>
        <v>400</v>
      </c>
      <c r="T11" s="27"/>
    </row>
    <row r="12" s="1" customFormat="1" ht="21" customHeight="1" spans="1:20">
      <c r="A12" s="12">
        <v>44715.7137268518</v>
      </c>
      <c r="B12" s="13">
        <v>82068783</v>
      </c>
      <c r="C12" s="13">
        <v>24</v>
      </c>
      <c r="D12" s="13">
        <v>1052</v>
      </c>
      <c r="E12" s="13">
        <v>4.94</v>
      </c>
      <c r="F12" s="13">
        <v>1052</v>
      </c>
      <c r="G12" s="13" t="s">
        <v>28</v>
      </c>
      <c r="H12" s="13" t="s">
        <v>32</v>
      </c>
      <c r="I12" s="13" t="s">
        <v>30</v>
      </c>
      <c r="J12" s="13">
        <v>1.5</v>
      </c>
      <c r="K12" s="23">
        <f>+J12*F12</f>
        <v>1578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28">
        <f t="shared" si="0"/>
        <v>1578</v>
      </c>
      <c r="S12" s="2" t="s">
        <v>33</v>
      </c>
      <c r="T12" s="2" t="s">
        <v>34</v>
      </c>
    </row>
    <row r="13" ht="21" customHeight="1" spans="1:20">
      <c r="A13" s="10">
        <v>44718.8164930556</v>
      </c>
      <c r="B13" s="11">
        <v>82068796</v>
      </c>
      <c r="C13" s="11">
        <v>38</v>
      </c>
      <c r="D13" s="11">
        <v>1594</v>
      </c>
      <c r="E13" s="11">
        <v>5.95</v>
      </c>
      <c r="F13" s="11">
        <v>1594</v>
      </c>
      <c r="G13" s="11" t="s">
        <v>28</v>
      </c>
      <c r="H13" s="11" t="s">
        <v>32</v>
      </c>
      <c r="I13" s="11" t="s">
        <v>30</v>
      </c>
      <c r="J13" s="11" t="s">
        <v>35</v>
      </c>
      <c r="K13" s="22">
        <f>+(87*3)+(F13*2)</f>
        <v>3449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26">
        <f t="shared" si="0"/>
        <v>3449</v>
      </c>
      <c r="S13" s="2" t="s">
        <v>36</v>
      </c>
      <c r="T13" s="2" t="s">
        <v>34</v>
      </c>
    </row>
    <row r="14" ht="21" customHeight="1" spans="1:18">
      <c r="A14" s="10">
        <v>44718.8202546296</v>
      </c>
      <c r="B14" s="11">
        <v>82068797</v>
      </c>
      <c r="C14" s="11">
        <v>1</v>
      </c>
      <c r="D14" s="11">
        <v>102</v>
      </c>
      <c r="E14" s="11">
        <v>0.55</v>
      </c>
      <c r="F14" s="11">
        <v>102</v>
      </c>
      <c r="G14" s="11" t="s">
        <v>28</v>
      </c>
      <c r="H14" s="11" t="s">
        <v>29</v>
      </c>
      <c r="I14" s="11" t="s">
        <v>30</v>
      </c>
      <c r="J14" s="13">
        <v>1.5</v>
      </c>
      <c r="K14" s="23">
        <f>+J14*F14</f>
        <v>153</v>
      </c>
      <c r="L14" s="11">
        <v>0</v>
      </c>
      <c r="M14" s="11">
        <v>200</v>
      </c>
      <c r="N14" s="11">
        <v>0</v>
      </c>
      <c r="O14" s="11">
        <v>0</v>
      </c>
      <c r="P14" s="11">
        <v>0</v>
      </c>
      <c r="Q14" s="11">
        <v>0</v>
      </c>
      <c r="R14" s="26">
        <f t="shared" si="0"/>
        <v>353</v>
      </c>
    </row>
    <row r="15" ht="21" customHeight="1" spans="1:20">
      <c r="A15" s="10">
        <v>44722.8045949074</v>
      </c>
      <c r="B15" s="11">
        <v>82068835</v>
      </c>
      <c r="C15" s="11">
        <v>15</v>
      </c>
      <c r="D15" s="11">
        <v>1150</v>
      </c>
      <c r="E15" s="11">
        <v>3.6</v>
      </c>
      <c r="F15" s="11">
        <v>1150</v>
      </c>
      <c r="G15" s="11" t="s">
        <v>28</v>
      </c>
      <c r="H15" s="11" t="s">
        <v>32</v>
      </c>
      <c r="I15" s="11" t="s">
        <v>30</v>
      </c>
      <c r="J15" s="11" t="s">
        <v>35</v>
      </c>
      <c r="K15" s="22">
        <f>+(93*3)+(F15*1.5)</f>
        <v>2004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100</v>
      </c>
      <c r="R15" s="26">
        <f t="shared" si="0"/>
        <v>2104</v>
      </c>
      <c r="S15" s="2" t="s">
        <v>37</v>
      </c>
      <c r="T15" s="2" t="s">
        <v>34</v>
      </c>
    </row>
    <row r="16" ht="21" customHeight="1" spans="1:20">
      <c r="A16" s="10">
        <v>44738.8311342593</v>
      </c>
      <c r="B16" s="11">
        <v>82068958</v>
      </c>
      <c r="C16" s="11">
        <v>12</v>
      </c>
      <c r="D16" s="11">
        <v>350</v>
      </c>
      <c r="E16" s="11">
        <v>1.92</v>
      </c>
      <c r="F16" s="11">
        <v>350</v>
      </c>
      <c r="G16" s="11" t="s">
        <v>28</v>
      </c>
      <c r="H16" s="11" t="s">
        <v>32</v>
      </c>
      <c r="I16" s="11" t="s">
        <v>30</v>
      </c>
      <c r="J16" s="11">
        <v>1.5</v>
      </c>
      <c r="K16" s="22">
        <f t="shared" ref="K16:K20" si="1">+J16*F16</f>
        <v>525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26">
        <f t="shared" si="0"/>
        <v>525</v>
      </c>
      <c r="S16" s="2" t="s">
        <v>38</v>
      </c>
      <c r="T16" s="2" t="s">
        <v>39</v>
      </c>
    </row>
    <row r="17" ht="21" customHeight="1" spans="1:20">
      <c r="A17" s="10">
        <v>44729.8456944444</v>
      </c>
      <c r="B17" s="11">
        <v>82068880</v>
      </c>
      <c r="C17" s="11">
        <v>1</v>
      </c>
      <c r="D17" s="11">
        <v>1188</v>
      </c>
      <c r="E17" s="11">
        <v>3.56</v>
      </c>
      <c r="F17" s="11">
        <v>1188</v>
      </c>
      <c r="G17" s="11" t="s">
        <v>28</v>
      </c>
      <c r="H17" s="11" t="s">
        <v>32</v>
      </c>
      <c r="I17" s="11" t="s">
        <v>30</v>
      </c>
      <c r="J17" s="11">
        <v>2</v>
      </c>
      <c r="K17" s="22">
        <f t="shared" si="1"/>
        <v>2376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26">
        <f t="shared" si="0"/>
        <v>2376</v>
      </c>
      <c r="S17" s="2" t="s">
        <v>40</v>
      </c>
      <c r="T17" s="2" t="s">
        <v>41</v>
      </c>
    </row>
    <row r="18" ht="21" customHeight="1" spans="1:19">
      <c r="A18" s="10">
        <v>44739.8479166667</v>
      </c>
      <c r="B18" s="11">
        <v>82068969</v>
      </c>
      <c r="C18" s="11">
        <v>12</v>
      </c>
      <c r="D18" s="11">
        <v>138</v>
      </c>
      <c r="E18" s="11">
        <v>0.85</v>
      </c>
      <c r="F18" s="11">
        <v>141.95</v>
      </c>
      <c r="G18" s="11" t="s">
        <v>28</v>
      </c>
      <c r="H18" s="11" t="s">
        <v>29</v>
      </c>
      <c r="I18" s="11" t="s">
        <v>30</v>
      </c>
      <c r="J18" s="13">
        <v>1.5</v>
      </c>
      <c r="K18" s="23">
        <f t="shared" si="1"/>
        <v>212.925</v>
      </c>
      <c r="L18" s="11">
        <v>0</v>
      </c>
      <c r="M18" s="11">
        <v>200</v>
      </c>
      <c r="N18" s="11">
        <v>0</v>
      </c>
      <c r="O18" s="11">
        <v>0</v>
      </c>
      <c r="P18" s="11">
        <v>0</v>
      </c>
      <c r="Q18" s="11">
        <v>0</v>
      </c>
      <c r="R18" s="26">
        <f t="shared" ref="R18:R20" si="2">SUM(K18:Q18)</f>
        <v>412.925</v>
      </c>
      <c r="S18" s="2" t="s">
        <v>31</v>
      </c>
    </row>
    <row r="19" ht="21" customHeight="1" spans="1:18">
      <c r="A19" s="10">
        <v>44739.8479166667</v>
      </c>
      <c r="B19" s="11">
        <v>82068970</v>
      </c>
      <c r="C19" s="11">
        <v>10</v>
      </c>
      <c r="D19" s="11">
        <v>97</v>
      </c>
      <c r="E19" s="11">
        <v>0.61</v>
      </c>
      <c r="F19" s="11">
        <v>101.87</v>
      </c>
      <c r="G19" s="11" t="s">
        <v>28</v>
      </c>
      <c r="H19" s="11" t="s">
        <v>29</v>
      </c>
      <c r="I19" s="11" t="s">
        <v>30</v>
      </c>
      <c r="J19" s="13">
        <v>1.5</v>
      </c>
      <c r="K19" s="23">
        <f t="shared" si="1"/>
        <v>152.805</v>
      </c>
      <c r="L19" s="11">
        <v>0</v>
      </c>
      <c r="M19" s="11">
        <v>200</v>
      </c>
      <c r="N19" s="11">
        <v>0</v>
      </c>
      <c r="O19" s="11">
        <v>0</v>
      </c>
      <c r="P19" s="11">
        <v>0</v>
      </c>
      <c r="Q19" s="11">
        <v>0</v>
      </c>
      <c r="R19" s="26">
        <f t="shared" si="2"/>
        <v>352.805</v>
      </c>
    </row>
    <row r="20" ht="21" customHeight="1" spans="1:18">
      <c r="A20" s="10">
        <v>44739.8479166667</v>
      </c>
      <c r="B20" s="11">
        <v>82068971</v>
      </c>
      <c r="C20" s="11">
        <v>24</v>
      </c>
      <c r="D20" s="11">
        <v>233</v>
      </c>
      <c r="E20" s="11">
        <v>2.15</v>
      </c>
      <c r="F20" s="11">
        <v>359.05</v>
      </c>
      <c r="G20" s="11" t="s">
        <v>28</v>
      </c>
      <c r="H20" s="11" t="s">
        <v>29</v>
      </c>
      <c r="I20" s="11" t="s">
        <v>30</v>
      </c>
      <c r="J20" s="13">
        <v>1.5</v>
      </c>
      <c r="K20" s="23">
        <f t="shared" si="1"/>
        <v>538.575</v>
      </c>
      <c r="L20" s="11">
        <v>0</v>
      </c>
      <c r="M20" s="11">
        <v>250</v>
      </c>
      <c r="N20" s="11">
        <v>0</v>
      </c>
      <c r="O20" s="11">
        <v>0</v>
      </c>
      <c r="P20" s="11">
        <v>0</v>
      </c>
      <c r="Q20" s="11">
        <v>0</v>
      </c>
      <c r="R20" s="26">
        <f t="shared" si="2"/>
        <v>788.575</v>
      </c>
    </row>
    <row r="21" ht="45" customHeight="1" spans="1:18">
      <c r="A21" s="14"/>
      <c r="B21" s="11"/>
      <c r="C21" s="11"/>
      <c r="D21" s="11"/>
      <c r="E21" s="11"/>
      <c r="F21" s="11"/>
      <c r="G21" s="11"/>
      <c r="H21" s="11"/>
      <c r="I21" s="11"/>
      <c r="J21" s="22"/>
      <c r="K21" s="22"/>
      <c r="L21" s="11"/>
      <c r="M21" s="11"/>
      <c r="N21" s="11"/>
      <c r="O21" s="11"/>
      <c r="P21" s="11"/>
      <c r="Q21" s="29" t="s">
        <v>42</v>
      </c>
      <c r="R21" s="28">
        <f>SUM(R10:R20)</f>
        <v>13727.305</v>
      </c>
    </row>
    <row r="22" ht="21" customHeight="1" spans="1:18">
      <c r="A22" s="6"/>
      <c r="B22" s="8"/>
      <c r="C22" s="8"/>
      <c r="D22" s="8"/>
      <c r="E22" s="8"/>
      <c r="F22" s="8"/>
      <c r="G22" s="8"/>
      <c r="H22" s="8"/>
      <c r="I22" s="8"/>
      <c r="J22" s="8"/>
      <c r="K22" s="21"/>
      <c r="L22" s="8"/>
      <c r="M22" s="8"/>
      <c r="N22" s="8"/>
      <c r="O22" s="8"/>
      <c r="P22" s="8"/>
      <c r="Q22" s="8"/>
      <c r="R22" s="30"/>
    </row>
    <row r="27" spans="1:2">
      <c r="A27" s="15" t="s">
        <v>43</v>
      </c>
      <c r="B27" s="16" t="s">
        <v>44</v>
      </c>
    </row>
    <row r="28" spans="1:2">
      <c r="A28" s="17"/>
      <c r="B28" s="16" t="s">
        <v>45</v>
      </c>
    </row>
    <row r="29" spans="1:11">
      <c r="A29" s="17"/>
      <c r="B29" s="18" t="s">
        <v>46</v>
      </c>
      <c r="K29" s="24"/>
    </row>
    <row r="30" spans="1:2">
      <c r="A30" s="17"/>
      <c r="B30" s="18" t="s">
        <v>47</v>
      </c>
    </row>
    <row r="31" spans="1:2">
      <c r="A31" s="17"/>
      <c r="B31" s="19" t="s">
        <v>48</v>
      </c>
    </row>
    <row r="32" spans="1:2">
      <c r="A32" s="20"/>
      <c r="B32" s="18" t="s">
        <v>49</v>
      </c>
    </row>
    <row r="33" spans="1:2">
      <c r="A33" s="20"/>
      <c r="B33" s="18" t="s">
        <v>50</v>
      </c>
    </row>
    <row r="34" spans="1:2">
      <c r="A34" s="20"/>
      <c r="B34" s="18" t="s">
        <v>51</v>
      </c>
    </row>
    <row r="35" spans="1:2">
      <c r="A35" s="20"/>
      <c r="B35" s="18" t="s">
        <v>52</v>
      </c>
    </row>
    <row r="48" spans="2:2">
      <c r="B48" s="8"/>
    </row>
    <row r="49" spans="2:2">
      <c r="B49" s="8"/>
    </row>
    <row r="50" spans="2:2">
      <c r="B50" s="8"/>
    </row>
  </sheetData>
  <mergeCells count="9">
    <mergeCell ref="A1:R1"/>
    <mergeCell ref="A2:R2"/>
    <mergeCell ref="A3:R3"/>
    <mergeCell ref="A4:R4"/>
    <mergeCell ref="B48:B50"/>
    <mergeCell ref="S10:S11"/>
    <mergeCell ref="S13:S14"/>
    <mergeCell ref="S18:S20"/>
    <mergeCell ref="T13:T14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M20" rgbClr="28CB9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2022-07-26T06:52:21Z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2052-11.1.0.11875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