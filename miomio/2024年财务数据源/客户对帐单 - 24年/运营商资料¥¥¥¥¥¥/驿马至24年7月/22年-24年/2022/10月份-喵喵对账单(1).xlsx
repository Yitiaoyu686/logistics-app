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3" sheetId="3" r:id="rId2"/>
  </sheets>
  <definedNames>
    <definedName name="_xlnm._FilterDatabase" localSheetId="0" hidden="1">Sheet1!$A$9:$R$15</definedName>
  </definedNames>
  <calcPr calcId="144525"/>
</workbook>
</file>

<file path=xl/sharedStrings.xml><?xml version="1.0" encoding="utf-8"?>
<sst xmlns="http://schemas.openxmlformats.org/spreadsheetml/2006/main" count="64" uniqueCount="52">
  <si>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</si>
  <si>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</si>
  <si>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</si>
  <si>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</si>
  <si>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</si>
  <si>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</si>
  <si>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</si>
  <si>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</si>
  <si>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10月份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</si>
  <si>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</si>
  <si>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</si>
  <si>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</si>
  <si>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</si>
  <si>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</si>
  <si>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</si>
  <si>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</si>
  <si>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</si>
  <si>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</si>
  <si>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</si>
  <si>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</si>
  <si>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</si>
  <si>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</si>
  <si>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</si>
  <si>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</si>
  <si>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</si>
  <si>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</si>
  <si>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</si>
  <si>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</si>
  <si>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</si>
  <si>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快件出口</t>
  </si>
  <si>
    <t>香港自提</t>
  </si>
  <si>
    <t>JOB100267</t>
  </si>
  <si>
    <t>OTP</t>
  </si>
  <si>
    <t>-</t>
  </si>
  <si>
    <t>JOB100254</t>
  </si>
  <si>
    <t>LOS</t>
  </si>
  <si>
    <t>JOB100257</t>
  </si>
  <si>
    <t>一般贸易</t>
  </si>
  <si>
    <t>顶派</t>
  </si>
  <si>
    <t>JOB100273</t>
  </si>
  <si>
    <t>ACC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</si>
  <si>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</si>
  <si>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</si>
  <si>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</si>
  <si>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</si>
  <si>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</si>
  <si>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</si>
  <si>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</si>
  <si>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</si>
  <si>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 xml:space="preserve">户名：梁琼芳   </t>
  </si>
  <si>
    <t xml:space="preserve">收款账号：6230 5800 0014 2639 819  </t>
  </si>
  <si>
    <t>开户行：平安银行深圳宝安福永支行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</si>
</sst>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m&quot;月&quot;d&quot;日&quot;;@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0" fontId="3" fillId="0" borderId="1" xfId="11813" applyFont="1" applyBorder="1" applyAlignment="1">
      <alignment horizontal="center" vertical="center"/>
    </xf>
    <xf numFmtId="176" fontId="2" fillId="2" borderId="1" xfId="11813" applyNumberFormat="1" applyFill="1" applyBorder="1" applyAlignment="1">
      <alignment horizontal="center" vertical="center"/>
    </xf>
    <xf numFmtId="176" fontId="3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常规 2 32 3 2" xfId="1"/>
    <cellStyle name="常规 2 11 11 7 3" xfId="2"/>
    <cellStyle name="常规 2 27 3 2" xfId="3"/>
    <cellStyle name="常规 2 10 3 4 8 2" xfId="4"/>
    <cellStyle name="常规 2 11 9 4 12" xfId="5"/>
    <cellStyle name="常规 2 17 5 5" xfId="6"/>
    <cellStyle name="常规 2 22 5 5" xfId="7"/>
    <cellStyle name="货币[0]" xfId="8" builtinId="7"/>
    <cellStyle name="常规 3 4 4 3 2" xfId="9"/>
    <cellStyle name="常规 2 32 10 4" xfId="10"/>
    <cellStyle name="常规 2 27 10 4" xfId="11"/>
    <cellStyle name="常规 2 10 2 2 7 4 2" xfId="12"/>
    <cellStyle name="常规 3 2 3 8 6 2" xfId="13"/>
    <cellStyle name="常规 2 10 2 2 7 6" xfId="14"/>
    <cellStyle name="常规 2 12 7 6 2" xfId="15"/>
    <cellStyle name="常规 2 5 3 7 5 2" xfId="16"/>
    <cellStyle name="常规 2 11 38 3 4 2" xfId="17"/>
    <cellStyle name="常规 2 11 43 3 4 2" xfId="18"/>
    <cellStyle name="20% - 强调文字颜色 3" xfId="19" builtinId="38"/>
    <cellStyle name="常规 2 11 34 3 8 2" xfId="20"/>
    <cellStyle name="常规 2 11 29 3 8 2" xfId="21"/>
    <cellStyle name="输入" xfId="22" builtinId="20"/>
    <cellStyle name="常规 2 51 7 5" xfId="23"/>
    <cellStyle name="常规 2 46 7 5" xfId="24"/>
    <cellStyle name="常规 13 62" xfId="25"/>
    <cellStyle name="常规 13 57" xfId="26"/>
    <cellStyle name="常规 2 11 32 2 5" xfId="27"/>
    <cellStyle name="常规 2 11 27 2 5" xfId="28"/>
    <cellStyle name="常规 2 10 3 8 6" xfId="29"/>
    <cellStyle name="常规 2 5 2 9 6" xfId="30"/>
    <cellStyle name="常规 2 11 37 5 5" xfId="31"/>
    <cellStyle name="常规 2 11 2 2 7 3 2" xfId="32"/>
    <cellStyle name="常规 2 11 42 5 5" xfId="33"/>
    <cellStyle name="常规 2 12 3 2 8 2" xfId="34"/>
    <cellStyle name="货币" xfId="35" builtinId="4"/>
    <cellStyle name="常规 2 6 2 2 6 6" xfId="36"/>
    <cellStyle name="常规 2 11 14 4 12" xfId="37"/>
    <cellStyle name="常规 2 11 34 10 2 2" xfId="38"/>
    <cellStyle name="常规 2 11 29 10 2 2" xfId="39"/>
    <cellStyle name="常规 2 11 3 2 5 4 2" xfId="40"/>
    <cellStyle name="常规 2 5 2 2 3 8 2" xfId="41"/>
    <cellStyle name="常规 2 11 18 3 6 2" xfId="42"/>
    <cellStyle name="常规 2 11 23 3 6 2" xfId="43"/>
    <cellStyle name="常规 2 3 2 8 7 2" xfId="44"/>
    <cellStyle name="常规 2 11 2 2 8 4" xfId="45"/>
    <cellStyle name="常规 2 12 3 3 9" xfId="46"/>
    <cellStyle name="常规 2 2 4 2 6" xfId="47"/>
    <cellStyle name="常规 2 11 24 13 2" xfId="48"/>
    <cellStyle name="常规 2 11 19 13 2" xfId="49"/>
    <cellStyle name="常规 2 10 4 7 4 2" xfId="50"/>
    <cellStyle name="常规 2 6 2 5 3" xfId="51"/>
    <cellStyle name="千位分隔[0]" xfId="52" builtinId="6"/>
    <cellStyle name="常规 2 11 9 3 11" xfId="53"/>
    <cellStyle name="常规 2 11 11 2 2" xfId="54"/>
    <cellStyle name="常规 2 9 4 5 6" xfId="55"/>
    <cellStyle name="常规 2 10 2 2 5 8 2" xfId="56"/>
    <cellStyle name="常规 2 11 3 9 6" xfId="57"/>
    <cellStyle name="常规 2 11 10 10 2 2" xfId="58"/>
    <cellStyle name="常规 2 11 10 7 11" xfId="59"/>
    <cellStyle name="常规 2 11 11 5 5 2" xfId="60"/>
    <cellStyle name="常规 2 10 10 2" xfId="61"/>
    <cellStyle name="常规 2 54 5 6" xfId="62"/>
    <cellStyle name="常规 2 49 5 6" xfId="63"/>
    <cellStyle name="常规 2 11 33 9 7" xfId="64"/>
    <cellStyle name="常规 2 11 28 9 7" xfId="65"/>
    <cellStyle name="常规 2 10 2 2 2 5" xfId="66"/>
    <cellStyle name="常规 2 11 16 3 2 2" xfId="67"/>
    <cellStyle name="常规 2 11 21 3 2 2" xfId="68"/>
    <cellStyle name="常规 2 43 5 2 2" xfId="69"/>
    <cellStyle name="常规 2 38 5 2 2" xfId="70"/>
    <cellStyle name="常规 2 11 17 9 3 2" xfId="71"/>
    <cellStyle name="常规 2 11 22 9 3 2" xfId="72"/>
    <cellStyle name="常规 2 11 15 2 6" xfId="73"/>
    <cellStyle name="常规 2 11 20 2 6" xfId="74"/>
    <cellStyle name="常规 2 19 9 9" xfId="75"/>
    <cellStyle name="常规 2 24 9 9" xfId="76"/>
    <cellStyle name="常规 2 11 12 12" xfId="77"/>
    <cellStyle name="常规 2 11 14 2 5 2" xfId="78"/>
    <cellStyle name="常规 2 13 13" xfId="79"/>
    <cellStyle name="40% - 强调文字颜色 3" xfId="80" builtinId="39"/>
    <cellStyle name="常规 2 5 2 2 9 6" xfId="81"/>
    <cellStyle name="常规 2 44 5 3" xfId="82"/>
    <cellStyle name="常规 2 39 5 3" xfId="83"/>
    <cellStyle name="常规 2 11 23 9 4" xfId="84"/>
    <cellStyle name="常规 2 11 18 9 4" xfId="85"/>
    <cellStyle name="常规 2 11 10 4 9" xfId="86"/>
    <cellStyle name="常规 2 34 7 6" xfId="87"/>
    <cellStyle name="常规 13 54 5" xfId="88"/>
    <cellStyle name="常规 2 29 7 6" xfId="89"/>
    <cellStyle name="差" xfId="90" builtinId="27"/>
    <cellStyle name="常规 2 11 10 4 10" xfId="91"/>
    <cellStyle name="常规 3 2 9 2 2" xfId="92"/>
    <cellStyle name="常规 2 11 2 3 4 9" xfId="93"/>
    <cellStyle name="常规 2 11 2 2 17 2" xfId="94"/>
    <cellStyle name="常规 2 11 39 13 2" xfId="95"/>
    <cellStyle name="常规 2 11 44 13 2" xfId="96"/>
    <cellStyle name="千位分隔" xfId="97" builtinId="3"/>
    <cellStyle name="常规 2 14 2 12 2" xfId="98"/>
    <cellStyle name="常规 2 11 11 10 7" xfId="99"/>
    <cellStyle name="常规 2 10 2 2 3 2 2" xfId="100"/>
    <cellStyle name="常规 2 9 2 14 2" xfId="101"/>
    <cellStyle name="60% - 强调文字颜色 3" xfId="102" builtinId="40"/>
    <cellStyle name="常规 2 11 2 4 4 2" xfId="103"/>
    <cellStyle name="常规 2 10 2 2 4 5" xfId="104"/>
    <cellStyle name="常规 2 11 16 3 4 2" xfId="105"/>
    <cellStyle name="常规 2 11 21 3 4 2" xfId="106"/>
    <cellStyle name="常规 2 11 31 17" xfId="107"/>
    <cellStyle name="常规 2 11 26 17" xfId="108"/>
    <cellStyle name="常规 3 7 8 2" xfId="109"/>
    <cellStyle name="超链接" xfId="110" builtinId="8"/>
    <cellStyle name="常规 2 32 18" xfId="111"/>
    <cellStyle name="常规 2 27 18" xfId="112"/>
    <cellStyle name="常规 2 11 11 5 7 2" xfId="113"/>
    <cellStyle name="常规 2 10 12 2" xfId="114"/>
    <cellStyle name="常规 2 11 38 9 4" xfId="115"/>
    <cellStyle name="常规 2 11 43 9 4" xfId="116"/>
    <cellStyle name="常规 2 10 2 7 2 2" xfId="117"/>
    <cellStyle name="常规 2 11 11 4 2" xfId="118"/>
    <cellStyle name="常规 2 11 10 10 4 2" xfId="119"/>
    <cellStyle name="常规 2 11 18 4 12" xfId="120"/>
    <cellStyle name="常规 2 11 23 4 12" xfId="121"/>
    <cellStyle name="常规 2 10 2 2 3 11" xfId="122"/>
    <cellStyle name="常规 2 11 2 3 2 3 2" xfId="123"/>
    <cellStyle name="常规 2 40 7 5 2" xfId="124"/>
    <cellStyle name="常规 2 35 7 5 2" xfId="125"/>
    <cellStyle name="常规 2 11 4 2 10 7 2" xfId="126"/>
    <cellStyle name="常规 2 10 2 2 9" xfId="127"/>
    <cellStyle name="常规 2 11 14 5 11" xfId="128"/>
    <cellStyle name="常规 2 10 2 6 3 2" xfId="129"/>
    <cellStyle name="常规 2 8 2 2 3 12" xfId="130"/>
    <cellStyle name="常规 2 11 34 3 6" xfId="131"/>
    <cellStyle name="常规 2 11 29 3 6" xfId="132"/>
    <cellStyle name="百分比" xfId="133" builtinId="5"/>
    <cellStyle name="常规 2 11 11 4 8 2" xfId="134"/>
    <cellStyle name="常规 2 11 34 10 5 2" xfId="135"/>
    <cellStyle name="常规 2 11 29 10 5 2" xfId="136"/>
    <cellStyle name="已访问的超链接" xfId="137" builtinId="9"/>
    <cellStyle name="常规 2 11 3 2 5 7 2" xfId="138"/>
    <cellStyle name="常规 2 11 2 4 2 3" xfId="139"/>
    <cellStyle name="常规 2 11 24 16 2" xfId="140"/>
    <cellStyle name="常规 2 11 19 16 2" xfId="141"/>
    <cellStyle name="常规 2 10 4 7 7 2" xfId="142"/>
    <cellStyle name="常规 2 10 2 3 2" xfId="143"/>
    <cellStyle name="常规 2 40 4 4" xfId="144"/>
    <cellStyle name="常规 2 35 4 4" xfId="145"/>
    <cellStyle name="常规 2 11 14 8 5" xfId="146"/>
    <cellStyle name="常规 2 9 2 5 2 2" xfId="147"/>
    <cellStyle name="常规 2 11 12 6 10" xfId="148"/>
    <cellStyle name="注释" xfId="149" builtinId="10"/>
    <cellStyle name="常规 2 11 38 6 9" xfId="150"/>
    <cellStyle name="常规 2 11 43 6 9" xfId="151"/>
    <cellStyle name="常规 2 11 13 4 8 2" xfId="152"/>
    <cellStyle name="常规 2 11 34 5 11" xfId="153"/>
    <cellStyle name="常规 2 11 29 5 11" xfId="154"/>
    <cellStyle name="常规 2 10 4 6 3 2" xfId="155"/>
    <cellStyle name="60% - 强调文字颜色 2" xfId="156" builtinId="36"/>
    <cellStyle name="常规 2 11 31 7 2 2" xfId="157"/>
    <cellStyle name="常规 2 11 26 7 2 2" xfId="158"/>
    <cellStyle name="常规 2 10 2 2 15 2" xfId="159"/>
    <cellStyle name="常规 12 2 2" xfId="160"/>
    <cellStyle name="常规 2 2 2 2 6 10" xfId="161"/>
    <cellStyle name="常规 2 11 3 2 2 2 2" xfId="162"/>
    <cellStyle name="常规 2 11 36 5 9" xfId="163"/>
    <cellStyle name="常规 2 11 41 5 9" xfId="164"/>
    <cellStyle name="常规 2 11 13 2 7 2" xfId="165"/>
    <cellStyle name="常规 2 42 5 4 2" xfId="166"/>
    <cellStyle name="常规 2 37 5 4 2" xfId="167"/>
    <cellStyle name="常规 2 11 16 9 5 2" xfId="168"/>
    <cellStyle name="常规 2 11 21 9 5 2" xfId="169"/>
    <cellStyle name="常规 2 7 2 2 3 3" xfId="170"/>
    <cellStyle name="常规 2 34 10 3 2" xfId="171"/>
    <cellStyle name="常规 2 10 4 4 2 2" xfId="172"/>
    <cellStyle name="常规 2 29 10 3 2" xfId="173"/>
    <cellStyle name="标题 4" xfId="174" builtinId="19"/>
    <cellStyle name="常规 2 10 2 2 9 7" xfId="175"/>
    <cellStyle name="常规 3 4 6 6" xfId="176"/>
    <cellStyle name="常规 2 11 32 19" xfId="177"/>
    <cellStyle name="常规 2 11 27 19" xfId="178"/>
    <cellStyle name="常规 2 11 5 7 7" xfId="179"/>
    <cellStyle name="常规 13 45 19" xfId="180"/>
    <cellStyle name="常规 2 11 12 4 6 2" xfId="181"/>
    <cellStyle name="常规 2 11 11 8 10" xfId="182"/>
    <cellStyle name="警告文本" xfId="183" builtinId="11"/>
    <cellStyle name="常规 2 11 9 8 11" xfId="184"/>
    <cellStyle name="常规 2 11 12 2 2" xfId="185"/>
    <cellStyle name="常规 2 10 2 2 6 8 2" xfId="186"/>
    <cellStyle name="常规 2 8 2 2 4 10" xfId="187"/>
    <cellStyle name="常规 2 55 4 3" xfId="188"/>
    <cellStyle name="常规 2 11 34 8 4" xfId="189"/>
    <cellStyle name="常规 2 11 29 8 4" xfId="190"/>
    <cellStyle name="常规 2 10 17" xfId="191"/>
    <cellStyle name="常规 2 10 22" xfId="192"/>
    <cellStyle name="常规 2 40 4 3 2" xfId="193"/>
    <cellStyle name="常规 2 35 4 3 2" xfId="194"/>
    <cellStyle name="常规 2 11 14 8 4 2" xfId="195"/>
    <cellStyle name="常规 2 2 2 10 4" xfId="196"/>
    <cellStyle name="标题" xfId="197" builtinId="15"/>
    <cellStyle name="常规 2 10 2 7 7" xfId="198"/>
    <cellStyle name="解释性文本" xfId="199" builtinId="53"/>
    <cellStyle name="常规 2 34 3 5 2" xfId="200"/>
    <cellStyle name="常规 2 11 13 7 6 2" xfId="201"/>
    <cellStyle name="常规 2 29 3 5 2" xfId="202"/>
    <cellStyle name="常规 2 2 2 5 13" xfId="203"/>
    <cellStyle name="常规 2 4 3 3 2 2" xfId="204"/>
    <cellStyle name="常规 2 14 2 4 5 2" xfId="205"/>
    <cellStyle name="标题 1" xfId="206" builtinId="16"/>
    <cellStyle name="常规 2 34 3" xfId="207"/>
    <cellStyle name="常规 2 29 3" xfId="208"/>
    <cellStyle name="常规 2 10 3 6 8" xfId="209"/>
    <cellStyle name="常规 2 10 2 2 9 4" xfId="210"/>
    <cellStyle name="常规 3 4 6 3" xfId="211"/>
    <cellStyle name="常规 2 11 32 21" xfId="212"/>
    <cellStyle name="常规 2 11 32 16" xfId="213"/>
    <cellStyle name="常规 2 11 27 21" xfId="214"/>
    <cellStyle name="常规 2 11 27 16" xfId="215"/>
    <cellStyle name="常规 2 11 31 11 2" xfId="216"/>
    <cellStyle name="常规 2 11 26 11 2" xfId="217"/>
    <cellStyle name="常规 2 3 11 9" xfId="218"/>
    <cellStyle name="常规 2 31 4 8 2" xfId="219"/>
    <cellStyle name="常规 2 26 4 8 2" xfId="220"/>
    <cellStyle name="常规 2 8 2 6 4 2" xfId="221"/>
    <cellStyle name="常规 13 45 21" xfId="222"/>
    <cellStyle name="常规 13 45 16" xfId="223"/>
    <cellStyle name="常规 2 2 5 7" xfId="224"/>
    <cellStyle name="常规 2 11 5 7 4" xfId="225"/>
    <cellStyle name="常规 2 10 2 2 4 10" xfId="226"/>
    <cellStyle name="常规 2 11 18 5 11" xfId="227"/>
    <cellStyle name="常规 2 11 23 5 11" xfId="228"/>
    <cellStyle name="常规 2 41 2 5 2" xfId="229"/>
    <cellStyle name="常规 2 36 2 5 2" xfId="230"/>
    <cellStyle name="常规 2 11 15 6 6 2" xfId="231"/>
    <cellStyle name="常规 2 11 20 6 6 2" xfId="232"/>
    <cellStyle name="常规 50 8" xfId="233"/>
    <cellStyle name="常规 45 8" xfId="234"/>
    <cellStyle name="常规 2 55 4 3 2" xfId="235"/>
    <cellStyle name="常规 2 11 34 8 4 2" xfId="236"/>
    <cellStyle name="常规 2 11 29 8 4 2" xfId="237"/>
    <cellStyle name="常规 2 10 17 2" xfId="238"/>
    <cellStyle name="常规 2 4 3 3 2 3" xfId="239"/>
    <cellStyle name="标题 2" xfId="240" builtinId="17"/>
    <cellStyle name="常规 2 34 4" xfId="241"/>
    <cellStyle name="常规 2 29 4" xfId="242"/>
    <cellStyle name="常规 2 10 3 6 9" xfId="243"/>
    <cellStyle name="常规 2 10 2 7 7 2" xfId="244"/>
    <cellStyle name="常规 2 10 2 2 9 5" xfId="245"/>
    <cellStyle name="常规 3 4 6 4" xfId="246"/>
    <cellStyle name="常规 2 11 32 17" xfId="247"/>
    <cellStyle name="常规 2 11 27 17" xfId="248"/>
    <cellStyle name="常规 2 11 4 8 3 2" xfId="249"/>
    <cellStyle name="常规 13 45 17" xfId="250"/>
    <cellStyle name="常规 2 2 5 8" xfId="251"/>
    <cellStyle name="常规 2 11 5 7 5" xfId="252"/>
    <cellStyle name="常规 2 11 11 9 2" xfId="253"/>
    <cellStyle name="常规 2 10 2 2 4 11" xfId="254"/>
    <cellStyle name="常规 2 11 2 3 2 8 2" xfId="255"/>
    <cellStyle name="常规 2 11 18 5 12" xfId="256"/>
    <cellStyle name="常规 2 11 23 5 12" xfId="257"/>
    <cellStyle name="60% - 强调文字颜色 1" xfId="258" builtinId="32"/>
    <cellStyle name="标题 3" xfId="259" builtinId="18"/>
    <cellStyle name="常规 2 32 10 4 2" xfId="260"/>
    <cellStyle name="常规 2 27 10 4 2" xfId="261"/>
    <cellStyle name="常规 2 11 33 7 10" xfId="262"/>
    <cellStyle name="常规 2 11 28 7 10" xfId="263"/>
    <cellStyle name="常规 2 32 3 2 2" xfId="264"/>
    <cellStyle name="常规 2 11 11 7 3 2" xfId="265"/>
    <cellStyle name="常规 2 27 3 2 2" xfId="266"/>
    <cellStyle name="常规 2 10 2 2 9 6" xfId="267"/>
    <cellStyle name="常规 2 12 7 8 2" xfId="268"/>
    <cellStyle name="常规 57 11 2 2" xfId="269"/>
    <cellStyle name="常规 3 4 6 5" xfId="270"/>
    <cellStyle name="常规 2 11 32 18" xfId="271"/>
    <cellStyle name="常规 2 11 27 18" xfId="272"/>
    <cellStyle name="常规 2 10 2 2 7 6 2" xfId="273"/>
    <cellStyle name="常规 13 45 18" xfId="274"/>
    <cellStyle name="常规 2 2 5 9" xfId="275"/>
    <cellStyle name="常规 2 11 5 7 6" xfId="276"/>
    <cellStyle name="常规 2 32 5 2" xfId="277"/>
    <cellStyle name="常规 2 11 11 9 3" xfId="278"/>
    <cellStyle name="常规 2 27 5 2" xfId="279"/>
    <cellStyle name="常规 2 10 2 2 4 12" xfId="280"/>
    <cellStyle name="常规 2 11 34 10 7 2" xfId="281"/>
    <cellStyle name="常规 2 11 29 10 7 2" xfId="282"/>
    <cellStyle name="60% - 强调文字颜色 4" xfId="283" builtinId="44"/>
    <cellStyle name="输出" xfId="284" builtinId="21"/>
    <cellStyle name="常规 2 6 2 2 7 2" xfId="285"/>
    <cellStyle name="常规 2 11 4 2 2 10" xfId="286"/>
    <cellStyle name="常规 2 11 14 3 9" xfId="287"/>
    <cellStyle name="常规 2 3 18 2" xfId="288"/>
    <cellStyle name="计算" xfId="289" builtinId="22"/>
    <cellStyle name="常规 2 19 2 4 2" xfId="290"/>
    <cellStyle name="常规 2 24 2 4 2" xfId="291"/>
    <cellStyle name="常规 2 11 2 4 8 2" xfId="292"/>
    <cellStyle name="常规 2 5 11 5 2" xfId="293"/>
    <cellStyle name="常规 2 10 9" xfId="294"/>
    <cellStyle name="常规 2 11 13 4 2 2" xfId="295"/>
    <cellStyle name="常规 2 13 8 3" xfId="296"/>
    <cellStyle name="常规 2 11 17 2 12" xfId="297"/>
    <cellStyle name="常规 2 11 22 2 12" xfId="298"/>
    <cellStyle name="常规 2 34 7 7 2" xfId="299"/>
    <cellStyle name="常规 13 54 6 2" xfId="300"/>
    <cellStyle name="常规 2 29 7 7 2" xfId="301"/>
    <cellStyle name="常规 2 10 9 3 2" xfId="302"/>
    <cellStyle name="检查单元格" xfId="303" builtinId="23"/>
    <cellStyle name="常规 13 5" xfId="304"/>
    <cellStyle name="常规 2 11 3 2 3 5" xfId="305"/>
    <cellStyle name="常规 2 10 4 5 5" xfId="306"/>
    <cellStyle name="常规 2 54 6 4 2" xfId="307"/>
    <cellStyle name="常规 2 49 6 4 2" xfId="308"/>
    <cellStyle name="常规 2 11 23 9 10" xfId="309"/>
    <cellStyle name="常规 2 11 18 9 10" xfId="310"/>
    <cellStyle name="常规 2 10 2 2 3 3 2" xfId="311"/>
    <cellStyle name="20% - 强调文字颜色 6" xfId="312" builtinId="50"/>
    <cellStyle name="常规 2 41 4 8" xfId="313"/>
    <cellStyle name="常规 2 36 4 8" xfId="314"/>
    <cellStyle name="常规 2 11 4 2 8 10" xfId="315"/>
    <cellStyle name="常规 2 11 15 8 9" xfId="316"/>
    <cellStyle name="常规 2 11 20 8 9" xfId="317"/>
    <cellStyle name="常规 2 11 3 3 7 4 2" xfId="318"/>
    <cellStyle name="常规 2 11 24 5 6 2" xfId="319"/>
    <cellStyle name="常规 2 11 19 5 6 2" xfId="320"/>
    <cellStyle name="常规 2 10 3 3 6" xfId="321"/>
    <cellStyle name="常规 2 10 2 2 6 2" xfId="322"/>
    <cellStyle name="常规 3 2 2 6 4 2" xfId="323"/>
    <cellStyle name="常规 2 11 5 4 2" xfId="324"/>
    <cellStyle name="强调文字颜色 2" xfId="325" builtinId="33"/>
    <cellStyle name="常规 2 7 4 4 8 2" xfId="326"/>
    <cellStyle name="常规 2 11 37 10 6 2" xfId="327"/>
    <cellStyle name="常规 2 11 42 10 6 2" xfId="328"/>
    <cellStyle name="常规 2 2 2 5" xfId="329"/>
    <cellStyle name="常规 2 10 3 10 2 2" xfId="330"/>
    <cellStyle name="常规 2 10 2 2 8 6 2" xfId="331"/>
    <cellStyle name="常规 2 32 4 2 2" xfId="332"/>
    <cellStyle name="常规 2 11 11 8 3 2" xfId="333"/>
    <cellStyle name="常规 2 27 4 2 2" xfId="334"/>
    <cellStyle name="链接单元格" xfId="335" builtinId="24"/>
    <cellStyle name="常规 2 11 36 8 5" xfId="336"/>
    <cellStyle name="常规 2 11 2 2 6 6 2" xfId="337"/>
    <cellStyle name="常规 2 11 41 8 5" xfId="338"/>
    <cellStyle name="汇总" xfId="339" builtinId="25"/>
    <cellStyle name="常规 2 11 24 17" xfId="340"/>
    <cellStyle name="常规 2 11 19 17" xfId="341"/>
    <cellStyle name="常规 2 10 4 7 8" xfId="342"/>
    <cellStyle name="常规 2 32 9 5" xfId="343"/>
    <cellStyle name="常规 2 27 9 5" xfId="344"/>
    <cellStyle name="好" xfId="345" builtinId="26"/>
    <cellStyle name="常规 2 11 7 2 8" xfId="346"/>
    <cellStyle name="常规 3 4 9 7 2" xfId="347"/>
    <cellStyle name="常规 2 11 4 3 9 9" xfId="348"/>
    <cellStyle name="常规 2 5 2 2 2 4" xfId="349"/>
    <cellStyle name="常规 2 11 18 2 2" xfId="350"/>
    <cellStyle name="常规 2 11 23 2 2" xfId="351"/>
    <cellStyle name="常规 2 11 30 5 10" xfId="352"/>
    <cellStyle name="常规 2 11 25 5 10" xfId="353"/>
    <cellStyle name="常规 2 10 3 2 10" xfId="354"/>
    <cellStyle name="常规 2 11 13 4 5" xfId="355"/>
    <cellStyle name="常规 2 11 5 3 4 12" xfId="356"/>
    <cellStyle name="适中" xfId="357" builtinId="28"/>
    <cellStyle name="常规 2 11 36 14" xfId="358"/>
    <cellStyle name="常规 2 11 41 14" xfId="359"/>
    <cellStyle name="常规 2 10 2 3 4 2" xfId="360"/>
    <cellStyle name="常规 2 40 4 6 2" xfId="361"/>
    <cellStyle name="常规 2 35 4 6 2" xfId="362"/>
    <cellStyle name="常规 2 11 14 8 7 2" xfId="363"/>
    <cellStyle name="20% - 强调文字颜色 5" xfId="364" builtinId="46"/>
    <cellStyle name="强调文字颜色 1" xfId="365" builtinId="29"/>
    <cellStyle name="常规 2 2 2 4" xfId="366"/>
    <cellStyle name="常规 2 19 4 8 2" xfId="367"/>
    <cellStyle name="常规 2 24 4 8 2" xfId="368"/>
    <cellStyle name="常规 2 11 11 11 2" xfId="369"/>
    <cellStyle name="常规 2 5 2 2 4 5 2" xfId="370"/>
    <cellStyle name="常规 2 11 18 4 3 2" xfId="371"/>
    <cellStyle name="常规 2 11 23 4 3 2" xfId="372"/>
    <cellStyle name="20% - 强调文字颜色 1" xfId="373" builtinId="30"/>
    <cellStyle name="常规 2 11 14 5" xfId="374"/>
    <cellStyle name="常规 13 54 10" xfId="375"/>
    <cellStyle name="常规 2 34 2 5 2" xfId="376"/>
    <cellStyle name="常规 2 11 13 6 6 2" xfId="377"/>
    <cellStyle name="常规 2 29 2 5 2" xfId="378"/>
    <cellStyle name="常规 2 11 36 3" xfId="379"/>
    <cellStyle name="常规 2 11 41 3" xfId="380"/>
    <cellStyle name="常规 2 11 16 4 10" xfId="381"/>
    <cellStyle name="常规 2 11 21 4 10" xfId="382"/>
    <cellStyle name="常规 2 10 4 5 6 2" xfId="383"/>
    <cellStyle name="常规 13 6 2" xfId="384"/>
    <cellStyle name="常规 2 11 3 2 3 6 2" xfId="385"/>
    <cellStyle name="常规 2 11 32 2 2 3" xfId="386"/>
    <cellStyle name="常规 2 11 3 10 2 2" xfId="387"/>
    <cellStyle name="常规 2 11 27 2 2 3" xfId="388"/>
    <cellStyle name="常规 2 11 15 2 4" xfId="389"/>
    <cellStyle name="常规 2 11 20 2 4" xfId="390"/>
    <cellStyle name="常规 2 19 9 7" xfId="391"/>
    <cellStyle name="常规 2 24 9 7" xfId="392"/>
    <cellStyle name="常规 2 11 12 10" xfId="393"/>
    <cellStyle name="常规 2 11 11 2 13" xfId="394"/>
    <cellStyle name="常规 2 13 11" xfId="395"/>
    <cellStyle name="40% - 强调文字颜色 1" xfId="396" builtinId="31"/>
    <cellStyle name="常规 2 11 7 9 8" xfId="397"/>
    <cellStyle name="常规 2 11 6 6 2 2" xfId="398"/>
    <cellStyle name="常规 2 16 2 9" xfId="399"/>
    <cellStyle name="常规 2 21 2 9" xfId="400"/>
    <cellStyle name="常规 2 3 4 5 2" xfId="401"/>
    <cellStyle name="常规 2 11 38 3 11" xfId="402"/>
    <cellStyle name="常规 2 11 43 3 11" xfId="403"/>
    <cellStyle name="常规 2 13 3 6 5" xfId="404"/>
    <cellStyle name="常规 2 6 8" xfId="405"/>
    <cellStyle name="常规 2 5 2 2 9 4" xfId="406"/>
    <cellStyle name="常规 2 11 23 9 2" xfId="407"/>
    <cellStyle name="常规 2 11 18 9 2" xfId="408"/>
    <cellStyle name="常规 2 10 3 19" xfId="409"/>
    <cellStyle name="常规 2 13 8 4 2" xfId="410"/>
    <cellStyle name="常规 2 11 10 4 7" xfId="411"/>
    <cellStyle name="常规 2 8 2 2 5 3 2" xfId="412"/>
    <cellStyle name="常规 2 34 7 4" xfId="413"/>
    <cellStyle name="常规 13 54 3" xfId="414"/>
    <cellStyle name="常规 2 29 7 4" xfId="415"/>
    <cellStyle name="20% - 强调文字颜色 2" xfId="416" builtinId="34"/>
    <cellStyle name="常规 2 11 15 2 5" xfId="417"/>
    <cellStyle name="常规 2 11 20 2 5" xfId="418"/>
    <cellStyle name="常规 2 19 9 8" xfId="419"/>
    <cellStyle name="常规 2 24 9 8" xfId="420"/>
    <cellStyle name="常规 2 11 12 11" xfId="421"/>
    <cellStyle name="常规 2 11 5 2 4 4 2" xfId="422"/>
    <cellStyle name="常规 2 13 12" xfId="423"/>
    <cellStyle name="40% - 强调文字颜色 2" xfId="424" builtinId="35"/>
    <cellStyle name="常规 2 11 7 9 9" xfId="425"/>
    <cellStyle name="常规 2 3 4 5 3" xfId="426"/>
    <cellStyle name="常规 2 11 38 3 12" xfId="427"/>
    <cellStyle name="常规 2 11 43 3 12" xfId="428"/>
    <cellStyle name="常规 2 13 3 6 6" xfId="429"/>
    <cellStyle name="常规 2 6 9" xfId="430"/>
    <cellStyle name="常规 2 5 2 2 9 5" xfId="431"/>
    <cellStyle name="常规 2 44 5 2" xfId="432"/>
    <cellStyle name="常规 2 39 5 2" xfId="433"/>
    <cellStyle name="常规 2 11 23 9 3" xfId="434"/>
    <cellStyle name="常规 2 11 18 9 3" xfId="435"/>
    <cellStyle name="常规 2 5 2 7 7 2" xfId="436"/>
    <cellStyle name="常规 2 11 37 3 6 2" xfId="437"/>
    <cellStyle name="常规 2 11 42 3 6 2" xfId="438"/>
    <cellStyle name="常规 2 6 2 2 4 7 2" xfId="439"/>
    <cellStyle name="常规 2 11 10 4 8" xfId="440"/>
    <cellStyle name="常规 2 34 7 5" xfId="441"/>
    <cellStyle name="常规 13 54 4" xfId="442"/>
    <cellStyle name="常规 2 29 7 5" xfId="443"/>
    <cellStyle name="常规 3 4 19" xfId="444"/>
    <cellStyle name="常规 2 11 5 3 12 2" xfId="445"/>
    <cellStyle name="常规 2 11 5 4 3" xfId="446"/>
    <cellStyle name="强调文字颜色 3" xfId="447" builtinId="37"/>
    <cellStyle name="常规 2 2 2 6" xfId="448"/>
    <cellStyle name="常规 2 10 10 2 2" xfId="449"/>
    <cellStyle name="常规 2 10 2 2 2 5 2" xfId="450"/>
    <cellStyle name="常规 2 11 28 9 7 2" xfId="451"/>
    <cellStyle name="常规 2 11 33 9 7 2" xfId="452"/>
    <cellStyle name="常规 2 49 5 6 2" xfId="453"/>
    <cellStyle name="常规 2 54 5 6 2" xfId="454"/>
    <cellStyle name="常规 2 10 2 2 6 3" xfId="455"/>
    <cellStyle name="常规 2 12 2 10 6 2" xfId="456"/>
    <cellStyle name="常规 2 11 14 2 10" xfId="457"/>
    <cellStyle name="常规 2 11 4 2 8 11" xfId="458"/>
    <cellStyle name="常规 2 36 4 9" xfId="459"/>
    <cellStyle name="常规 2 41 4 9" xfId="460"/>
    <cellStyle name="常规 2 11 11 2 2 2" xfId="461"/>
    <cellStyle name="常规 2 10 3 3 7" xfId="462"/>
    <cellStyle name="常规 2 26 2" xfId="463"/>
    <cellStyle name="常规 2 20 9 5 2" xfId="464"/>
    <cellStyle name="常规 2 31 2" xfId="465"/>
    <cellStyle name="常规 2 15 9 5 2" xfId="466"/>
    <cellStyle name="常规 2 3 2 2 2 11" xfId="467"/>
    <cellStyle name="常规 2 26 4 5 2" xfId="468"/>
    <cellStyle name="常规 2 11 10 8 6 2" xfId="469"/>
    <cellStyle name="常规 2 31 4 5 2" xfId="470"/>
    <cellStyle name="常规 2 11 5 4 4" xfId="471"/>
    <cellStyle name="强调文字颜色 4" xfId="472" builtinId="41"/>
    <cellStyle name="常规 2 2 2 7" xfId="473"/>
    <cellStyle name="常规 2 11 10 4 6 2" xfId="474"/>
    <cellStyle name="20% - 强调文字颜色 4" xfId="475" builtinId="42"/>
    <cellStyle name="常规 2 29 7 3 2" xfId="476"/>
    <cellStyle name="常规 2 34 7 3 2" xfId="477"/>
    <cellStyle name="常规 2 11 12 13" xfId="478"/>
    <cellStyle name="常规 2 11 20 2 7" xfId="479"/>
    <cellStyle name="常规 2 11 15 2 7" xfId="480"/>
    <cellStyle name="常规 2 13 14" xfId="481"/>
    <cellStyle name="常规 2 10 6 4 2" xfId="482"/>
    <cellStyle name="40% - 强调文字颜色 4" xfId="483" builtinId="43"/>
    <cellStyle name="常规 2 10 4 3 10" xfId="484"/>
    <cellStyle name="常规 2 11 18 9 5" xfId="485"/>
    <cellStyle name="常规 2 11 23 9 5" xfId="486"/>
    <cellStyle name="常规 2 39 5 4" xfId="487"/>
    <cellStyle name="常规 2 44 5 4" xfId="488"/>
    <cellStyle name="常规 2 5 2 2 9 7" xfId="489"/>
    <cellStyle name="常规 2 29 7 7" xfId="490"/>
    <cellStyle name="常规 13 54 6" xfId="491"/>
    <cellStyle name="常规 2 34 7 7" xfId="492"/>
    <cellStyle name="常规 2 11 5 4 5" xfId="493"/>
    <cellStyle name="强调文字颜色 5" xfId="494" builtinId="45"/>
    <cellStyle name="常规 2 2 2 8" xfId="495"/>
    <cellStyle name="常规 2 11 12 14" xfId="496"/>
    <cellStyle name="常规 2 11 20 2 8" xfId="497"/>
    <cellStyle name="常规 2 11 15 2 8" xfId="498"/>
    <cellStyle name="常规 2 35 17 2" xfId="499"/>
    <cellStyle name="常规 2 40 17 2" xfId="500"/>
    <cellStyle name="常规 2 6 2 2 9 5 2" xfId="501"/>
    <cellStyle name="常规 2 11 42 8 4 2" xfId="502"/>
    <cellStyle name="常规 2 11 37 8 4 2" xfId="503"/>
    <cellStyle name="常规 2 10 4 3 11" xfId="504"/>
    <cellStyle name="常规 2 44 5 5" xfId="505"/>
    <cellStyle name="常规 2 5 2 2 9 8" xfId="506"/>
    <cellStyle name="常规 2 11 18 9 6" xfId="507"/>
    <cellStyle name="常规 2 11 23 9 6" xfId="508"/>
    <cellStyle name="常规 2 39 5 5" xfId="509"/>
    <cellStyle name="40% - 强调文字颜色 5" xfId="510" builtinId="47"/>
    <cellStyle name="常规 2 11 34 16 2" xfId="511"/>
    <cellStyle name="常规 2 11 29 16 2" xfId="512"/>
    <cellStyle name="常规 2 13 15" xfId="513"/>
    <cellStyle name="常规 2 13 20" xfId="514"/>
    <cellStyle name="常规 2 34 7 8" xfId="515"/>
    <cellStyle name="常规 13 54 7" xfId="516"/>
    <cellStyle name="常规 2 29 7 8" xfId="517"/>
    <cellStyle name="60% - 强调文字颜色 5" xfId="518" builtinId="48"/>
    <cellStyle name="常规 2 34 3 4 2" xfId="519"/>
    <cellStyle name="常规 2 11 13 7 5 2" xfId="520"/>
    <cellStyle name="常规 2 29 3 4 2" xfId="521"/>
    <cellStyle name="常规 3 2 3 7 8" xfId="522"/>
    <cellStyle name="常规 2 12 6 8" xfId="523"/>
    <cellStyle name="常规 57 10 2" xfId="524"/>
    <cellStyle name="常规 2 11 40 5 4 2" xfId="525"/>
    <cellStyle name="常规 2 11 35 5 4 2" xfId="526"/>
    <cellStyle name="常规 2 11 13 10 11" xfId="527"/>
    <cellStyle name="常规 2 11 4 2 12 2" xfId="528"/>
    <cellStyle name="常规 2 32 2 2" xfId="529"/>
    <cellStyle name="常规 2 11 11 6 3" xfId="530"/>
    <cellStyle name="常规 2 27 2 2" xfId="531"/>
    <cellStyle name="常规 2 10 3 4 7 2" xfId="532"/>
    <cellStyle name="常规 2 51 3 6 2" xfId="533"/>
    <cellStyle name="常规 2 46 3 6 2" xfId="534"/>
    <cellStyle name="常规 2 11 30 7 7 2" xfId="535"/>
    <cellStyle name="常规 2 11 25 7 7 2" xfId="536"/>
    <cellStyle name="常规 2 2 2 9" xfId="537"/>
    <cellStyle name="强调文字颜色 6" xfId="538" builtinId="49"/>
    <cellStyle name="常规 2 11 5 4 6" xfId="539"/>
    <cellStyle name="常规 2 11 24 4 10" xfId="540"/>
    <cellStyle name="常规 2 11 19 4 10" xfId="541"/>
    <cellStyle name="常规 2 10 2 2 7 3 2" xfId="542"/>
    <cellStyle name="常规 2 5 2 2 9 9" xfId="543"/>
    <cellStyle name="常规 2 44 5 6" xfId="544"/>
    <cellStyle name="常规 2 39 5 6" xfId="545"/>
    <cellStyle name="常规 2 11 23 9 7" xfId="546"/>
    <cellStyle name="常规 2 11 18 9 7" xfId="547"/>
    <cellStyle name="常规 2 10 4 3 12" xfId="548"/>
    <cellStyle name="常规 2 3 4 5 7" xfId="549"/>
    <cellStyle name="常规 2 11 2 3 3 10" xfId="550"/>
    <cellStyle name="常规 2 3 2 13 2" xfId="551"/>
    <cellStyle name="40% - 强调文字颜色 6" xfId="552" builtinId="51"/>
    <cellStyle name="常规 2 13 16" xfId="553"/>
    <cellStyle name="常规 2 13 21" xfId="554"/>
    <cellStyle name="常规 2 6 2 3 6 2" xfId="555"/>
    <cellStyle name="常规 2 11 15 2 9" xfId="556"/>
    <cellStyle name="常规 2 11 20 2 9" xfId="557"/>
    <cellStyle name="常规 2 14 3 2 10" xfId="558"/>
    <cellStyle name="常规 3 2 6 2" xfId="559"/>
    <cellStyle name="常规 2 11 12 20" xfId="560"/>
    <cellStyle name="常规 2 11 12 15" xfId="561"/>
    <cellStyle name="常规 2 40 3 2 2" xfId="562"/>
    <cellStyle name="常规 2 35 3 2 2" xfId="563"/>
    <cellStyle name="常规 2 11 14 7 3 2" xfId="564"/>
    <cellStyle name="常规 2 34 7 9" xfId="565"/>
    <cellStyle name="常规 13 54 8" xfId="566"/>
    <cellStyle name="常规 2 29 7 9" xfId="567"/>
    <cellStyle name="60% - 强调文字颜色 6" xfId="568" builtinId="52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12 6 3" xfId="1005"/>
    <cellStyle name="常规 2 14 10 4" xfId="1006"/>
    <cellStyle name="常规 2 28 2 2" xfId="1007"/>
    <cellStyle name="常规 2 33 2 2" xfId="1008"/>
    <cellStyle name="常规 2 8 3 2 10" xfId="1009"/>
    <cellStyle name="常规 2 10 3 5 7 2" xfId="1010"/>
    <cellStyle name="常规 2 13 6 8" xfId="1011"/>
    <cellStyle name="常规 2 11 2 10 9" xfId="1012"/>
    <cellStyle name="常规 2 11 35 6 4 2" xfId="1013"/>
    <cellStyle name="常规 2 11 40 6 4 2" xfId="1014"/>
    <cellStyle name="常规 2 10 2 6 10" xfId="1015"/>
    <cellStyle name="常规 2 2 2 3 9 4 2" xfId="1016"/>
    <cellStyle name="常规 44 6 2" xfId="1017"/>
    <cellStyle name="常规 39 6 2" xfId="1018"/>
    <cellStyle name="常规 2 12 2 9 2 2" xfId="1019"/>
    <cellStyle name="常规 2 11 24 9 10" xfId="1020"/>
    <cellStyle name="常规 2 11 19 9 10" xfId="1021"/>
    <cellStyle name="常规 2 10 2 2 8 3 2" xfId="1022"/>
    <cellStyle name="常规 13 44" xfId="1023"/>
    <cellStyle name="常规 13 39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tabSelected="1" workbookViewId="0">
      <selection activeCell="I25" sqref="I25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5.12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20">
      <c r="A10" s="9">
        <v>44843.8647569444</v>
      </c>
      <c r="B10" s="10">
        <v>82054803</v>
      </c>
      <c r="C10" s="10">
        <v>8</v>
      </c>
      <c r="D10" s="10">
        <v>201</v>
      </c>
      <c r="E10" s="10">
        <v>1.31</v>
      </c>
      <c r="F10" s="10">
        <v>218.77</v>
      </c>
      <c r="G10" s="10" t="s">
        <v>28</v>
      </c>
      <c r="H10" s="10" t="s">
        <v>29</v>
      </c>
      <c r="I10" s="10" t="s">
        <v>30</v>
      </c>
      <c r="J10" s="10">
        <v>1.5</v>
      </c>
      <c r="K10" s="10">
        <f>+J10*F10</f>
        <v>328.155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14" si="0">SUM(K10:Q10)</f>
        <v>328.155</v>
      </c>
      <c r="S10" s="1" t="s">
        <v>31</v>
      </c>
      <c r="T10" s="1" t="s">
        <v>32</v>
      </c>
    </row>
    <row r="11" ht="21" customHeight="1" spans="1:20">
      <c r="A11" s="9">
        <v>44843.9276273148</v>
      </c>
      <c r="B11" s="10">
        <v>82054804</v>
      </c>
      <c r="C11" s="10">
        <v>31</v>
      </c>
      <c r="D11" s="10">
        <v>1922</v>
      </c>
      <c r="E11" s="10">
        <v>8.74</v>
      </c>
      <c r="F11" s="10">
        <v>1922</v>
      </c>
      <c r="G11" s="10" t="s">
        <v>28</v>
      </c>
      <c r="H11" s="10" t="s">
        <v>29</v>
      </c>
      <c r="I11" s="10" t="s">
        <v>30</v>
      </c>
      <c r="J11" s="10" t="s">
        <v>33</v>
      </c>
      <c r="K11" s="10">
        <f>+(169*3)+(1700*1.5)</f>
        <v>3057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2">
        <f t="shared" si="0"/>
        <v>3057</v>
      </c>
      <c r="S11" s="1" t="s">
        <v>34</v>
      </c>
      <c r="T11" s="1" t="s">
        <v>35</v>
      </c>
    </row>
    <row r="12" ht="21" customHeight="1" spans="1:20">
      <c r="A12" s="9">
        <v>44845.9588310185</v>
      </c>
      <c r="B12" s="10">
        <v>82054826</v>
      </c>
      <c r="C12" s="10">
        <v>25</v>
      </c>
      <c r="D12" s="10">
        <v>1241</v>
      </c>
      <c r="E12" s="10">
        <v>6.68</v>
      </c>
      <c r="F12" s="10">
        <v>1241</v>
      </c>
      <c r="G12" s="10" t="s">
        <v>28</v>
      </c>
      <c r="H12" s="10" t="s">
        <v>29</v>
      </c>
      <c r="I12" s="10" t="s">
        <v>30</v>
      </c>
      <c r="J12" s="10">
        <v>1.5</v>
      </c>
      <c r="K12" s="10">
        <f>+J12*F12</f>
        <v>1861.5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2">
        <f t="shared" si="0"/>
        <v>1861.5</v>
      </c>
      <c r="S12" s="1" t="s">
        <v>36</v>
      </c>
      <c r="T12" s="1" t="s">
        <v>35</v>
      </c>
    </row>
    <row r="13" ht="21" customHeight="1" spans="1:19">
      <c r="A13" s="9">
        <v>44848.652662037</v>
      </c>
      <c r="B13" s="10">
        <v>82054850</v>
      </c>
      <c r="C13" s="10">
        <v>11</v>
      </c>
      <c r="D13" s="10">
        <v>149</v>
      </c>
      <c r="E13" s="10">
        <v>0.67</v>
      </c>
      <c r="F13" s="10">
        <v>149</v>
      </c>
      <c r="G13" s="10" t="s">
        <v>28</v>
      </c>
      <c r="H13" s="10" t="s">
        <v>37</v>
      </c>
      <c r="I13" s="10" t="s">
        <v>30</v>
      </c>
      <c r="J13" s="10">
        <v>1.5</v>
      </c>
      <c r="K13" s="19">
        <v>223.5</v>
      </c>
      <c r="L13" s="10">
        <v>0</v>
      </c>
      <c r="M13" s="10">
        <v>200</v>
      </c>
      <c r="N13" s="10">
        <v>0</v>
      </c>
      <c r="O13" s="10">
        <v>0</v>
      </c>
      <c r="P13" s="10">
        <v>0</v>
      </c>
      <c r="Q13" s="10">
        <v>0</v>
      </c>
      <c r="R13" s="22">
        <f t="shared" si="0"/>
        <v>423.5</v>
      </c>
      <c r="S13" s="1" t="s">
        <v>38</v>
      </c>
    </row>
    <row r="14" ht="21" customHeight="1" spans="1:20">
      <c r="A14" s="9">
        <v>44857.7637152778</v>
      </c>
      <c r="B14" s="10">
        <v>82054927</v>
      </c>
      <c r="C14" s="10">
        <v>8</v>
      </c>
      <c r="D14" s="10">
        <v>298</v>
      </c>
      <c r="E14" s="10">
        <v>1.56</v>
      </c>
      <c r="F14" s="10">
        <v>298</v>
      </c>
      <c r="G14" s="10" t="s">
        <v>28</v>
      </c>
      <c r="H14" s="10" t="s">
        <v>29</v>
      </c>
      <c r="I14" s="10" t="s">
        <v>30</v>
      </c>
      <c r="J14" s="10">
        <v>1.5</v>
      </c>
      <c r="K14" s="19">
        <f>+J14*F14</f>
        <v>447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2">
        <f t="shared" si="0"/>
        <v>447</v>
      </c>
      <c r="S14" s="1" t="s">
        <v>39</v>
      </c>
      <c r="T14" s="1" t="s">
        <v>40</v>
      </c>
    </row>
    <row r="15" ht="45" customHeight="1" spans="1:18">
      <c r="A15" s="11"/>
      <c r="B15" s="10"/>
      <c r="C15" s="10"/>
      <c r="D15" s="10"/>
      <c r="E15" s="10"/>
      <c r="F15" s="10"/>
      <c r="G15" s="10"/>
      <c r="H15" s="10"/>
      <c r="I15" s="10"/>
      <c r="J15" s="19"/>
      <c r="K15" s="19"/>
      <c r="L15" s="10"/>
      <c r="M15" s="10"/>
      <c r="N15" s="10"/>
      <c r="O15" s="10"/>
      <c r="P15" s="10"/>
      <c r="Q15" s="23" t="s">
        <v>41</v>
      </c>
      <c r="R15" s="24">
        <f>SUM(R10:R14)</f>
        <v>6117.155</v>
      </c>
    </row>
    <row r="16" ht="21" customHeight="1" spans="1:18">
      <c r="A16" s="5"/>
      <c r="B16" s="7"/>
      <c r="C16" s="7"/>
      <c r="D16" s="7"/>
      <c r="E16" s="7"/>
      <c r="F16" s="7"/>
      <c r="G16" s="7"/>
      <c r="H16" s="7"/>
      <c r="I16" s="7"/>
      <c r="J16" s="7"/>
      <c r="K16" s="18"/>
      <c r="L16" s="7"/>
      <c r="M16" s="7"/>
      <c r="N16" s="7"/>
      <c r="O16" s="7"/>
      <c r="P16" s="7"/>
      <c r="Q16" s="7"/>
      <c r="R16" s="25"/>
    </row>
    <row r="21" spans="1:2">
      <c r="A21" s="12" t="s">
        <v>42</v>
      </c>
      <c r="B21" s="13" t="s">
        <v>43</v>
      </c>
    </row>
    <row r="22" spans="1:2">
      <c r="A22" s="14"/>
      <c r="B22" s="13" t="s">
        <v>44</v>
      </c>
    </row>
    <row r="23" spans="1:11">
      <c r="A23" s="14"/>
      <c r="B23" s="15" t="s">
        <v>45</v>
      </c>
      <c r="K23" s="20"/>
    </row>
    <row r="24" spans="1:2">
      <c r="A24" s="14"/>
      <c r="B24" s="15" t="s">
        <v>46</v>
      </c>
    </row>
    <row r="25" spans="1:2">
      <c r="A25" s="14"/>
      <c r="B25" s="16" t="s">
        <v>47</v>
      </c>
    </row>
    <row r="26" spans="1:2">
      <c r="A26" s="17"/>
      <c r="B26" s="15" t="s">
        <v>48</v>
      </c>
    </row>
    <row r="27" spans="1:2">
      <c r="A27" s="17"/>
      <c r="B27" s="15" t="s">
        <v>49</v>
      </c>
    </row>
    <row r="28" spans="1:2">
      <c r="A28" s="17"/>
      <c r="B28" s="15" t="s">
        <v>50</v>
      </c>
    </row>
    <row r="29" spans="1:2">
      <c r="A29" s="17"/>
      <c r="B29" s="15" t="s">
        <v>51</v>
      </c>
    </row>
    <row r="42" spans="2:2">
      <c r="B42" s="7"/>
    </row>
    <row r="43" spans="2:2">
      <c r="B43" s="7"/>
    </row>
    <row r="44" spans="2:2">
      <c r="B44" s="7"/>
    </row>
  </sheetData>
  <mergeCells count="5">
    <mergeCell ref="A1:R1"/>
    <mergeCell ref="A2:R2"/>
    <mergeCell ref="A3:R3"/>
    <mergeCell ref="A4:R4"/>
    <mergeCell ref="B42:B4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2022-11-02T07:33:19Z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2052-11.1.0.12598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