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11月28日私帐支付" sheetId="4" r:id="rId1"/>
    <sheet name="12月5日私帐支付" sheetId="6" r:id="rId2"/>
    <sheet name="总欠" sheetId="5" r:id="rId3"/>
  </sheets>
  <calcPr calcId="144525" concurrentCalc="0"/>
</workbook>
</file>

<file path=xl/sharedStrings.xml><?xml version="1.0" encoding="utf-8"?>
<sst xmlns="http://schemas.openxmlformats.org/spreadsheetml/2006/main" count="30">
  <si>
    <t>翁智9月份对帐单</t>
  </si>
  <si>
    <t>单号</t>
  </si>
  <si>
    <t>JOB</t>
  </si>
  <si>
    <t>入仓时间</t>
  </si>
  <si>
    <t>件数</t>
  </si>
  <si>
    <t>毛重</t>
  </si>
  <si>
    <t>体积</t>
  </si>
  <si>
    <t>航班号</t>
  </si>
  <si>
    <t>头程</t>
  </si>
  <si>
    <t>二程</t>
  </si>
  <si>
    <t>价格</t>
  </si>
  <si>
    <t>金额</t>
  </si>
  <si>
    <t>杂费</t>
  </si>
  <si>
    <t>总金额</t>
  </si>
  <si>
    <t>备注</t>
  </si>
  <si>
    <t>071-3258 2992</t>
  </si>
  <si>
    <t>090028
090057</t>
  </si>
  <si>
    <t>ET3607</t>
  </si>
  <si>
    <t>打托80</t>
  </si>
  <si>
    <t>071-3258 6853</t>
  </si>
  <si>
    <t xml:space="preserve">090083
090094
</t>
  </si>
  <si>
    <t>合  计</t>
  </si>
  <si>
    <t>071-3245 3024</t>
  </si>
  <si>
    <t>157-4828 5683</t>
  </si>
  <si>
    <t>QR8941</t>
  </si>
  <si>
    <t>牌子报关费0.6/kg</t>
  </si>
  <si>
    <t>071-3258 3051</t>
  </si>
  <si>
    <t>090054
090061</t>
  </si>
  <si>
    <t>235-7698 1542</t>
  </si>
  <si>
    <t>TK6525</t>
  </si>
</sst>
</file>

<file path=xl/styles.xml><?xml version="1.0" encoding="utf-8"?>
<styleSheet xmlns="http://schemas.openxmlformats.org/spreadsheetml/2006/main">
  <numFmts count="7">
    <numFmt numFmtId="176" formatCode="000000"/>
    <numFmt numFmtId="177" formatCode="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&quot;￥&quot;#,##0.00_);[Red]\(&quot;￥&quot;#,##0.00\)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pane ySplit="2" topLeftCell="A2" activePane="bottomLeft" state="frozen"/>
      <selection/>
      <selection pane="bottomLeft" activeCell="M11" sqref="M11"/>
    </sheetView>
  </sheetViews>
  <sheetFormatPr defaultColWidth="9" defaultRowHeight="13.5"/>
  <cols>
    <col min="1" max="1" width="11.25" style="3" customWidth="1"/>
    <col min="2" max="2" width="5.125" style="3" customWidth="1"/>
    <col min="3" max="3" width="7.625" style="3" customWidth="1"/>
    <col min="4" max="4" width="4.125" style="3" customWidth="1"/>
    <col min="5" max="6" width="4.375" style="3" customWidth="1"/>
    <col min="7" max="7" width="5.875" style="3" customWidth="1"/>
    <col min="8" max="9" width="6.625" style="3" customWidth="1"/>
    <col min="10" max="10" width="7.375" style="3" customWidth="1"/>
    <col min="11" max="11" width="10.375" style="3" customWidth="1"/>
    <col min="12" max="12" width="9.625" style="3" customWidth="1"/>
    <col min="13" max="13" width="12" style="3" customWidth="1"/>
    <col min="14" max="14" width="5.875" style="3" customWidth="1"/>
  </cols>
  <sheetData>
    <row r="1" ht="48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1" customFormat="1" ht="38" customHeight="1" spans="1:14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5" t="s">
        <v>10</v>
      </c>
      <c r="K2" s="5" t="s">
        <v>11</v>
      </c>
      <c r="L2" s="11" t="s">
        <v>12</v>
      </c>
      <c r="M2" s="12" t="s">
        <v>13</v>
      </c>
      <c r="N2" s="11" t="s">
        <v>14</v>
      </c>
    </row>
    <row r="3" s="15" customFormat="1" ht="38" customHeight="1" spans="1:14">
      <c r="A3" s="16" t="s">
        <v>15</v>
      </c>
      <c r="B3" s="20" t="s">
        <v>16</v>
      </c>
      <c r="C3" s="18">
        <v>43354</v>
      </c>
      <c r="D3" s="16">
        <v>6</v>
      </c>
      <c r="E3" s="16">
        <v>523</v>
      </c>
      <c r="F3" s="16">
        <v>1.18</v>
      </c>
      <c r="G3" s="16" t="s">
        <v>17</v>
      </c>
      <c r="H3" s="18">
        <v>43355</v>
      </c>
      <c r="I3" s="18">
        <v>43356</v>
      </c>
      <c r="J3" s="19">
        <v>25.5</v>
      </c>
      <c r="K3" s="19">
        <f>E3*J3</f>
        <v>13336.5</v>
      </c>
      <c r="L3" s="19">
        <v>460</v>
      </c>
      <c r="M3" s="14">
        <f>K3+L3</f>
        <v>13796.5</v>
      </c>
      <c r="N3" s="16" t="s">
        <v>18</v>
      </c>
    </row>
    <row r="4" s="15" customFormat="1" ht="38" customHeight="1" spans="1:14">
      <c r="A4" s="16" t="s">
        <v>19</v>
      </c>
      <c r="B4" s="20" t="s">
        <v>20</v>
      </c>
      <c r="C4" s="18">
        <v>43365</v>
      </c>
      <c r="D4" s="16">
        <v>5</v>
      </c>
      <c r="E4" s="16">
        <v>412</v>
      </c>
      <c r="F4" s="16">
        <v>1.08</v>
      </c>
      <c r="G4" s="16" t="s">
        <v>17</v>
      </c>
      <c r="H4" s="18">
        <v>43367</v>
      </c>
      <c r="I4" s="18">
        <v>43369</v>
      </c>
      <c r="J4" s="19">
        <v>31</v>
      </c>
      <c r="K4" s="19">
        <f>E4*J4</f>
        <v>12772</v>
      </c>
      <c r="L4" s="19">
        <v>780</v>
      </c>
      <c r="M4" s="14">
        <f>K4+L4</f>
        <v>13552</v>
      </c>
      <c r="N4" s="16"/>
    </row>
    <row r="5" s="2" customFormat="1" ht="38" customHeight="1" spans="1:14">
      <c r="A5" s="21" t="s">
        <v>21</v>
      </c>
      <c r="B5" s="22"/>
      <c r="C5" s="23"/>
      <c r="D5" s="7"/>
      <c r="E5" s="7"/>
      <c r="F5" s="7"/>
      <c r="G5" s="7"/>
      <c r="H5" s="7"/>
      <c r="I5" s="7"/>
      <c r="J5" s="7"/>
      <c r="K5" s="13">
        <f>SUM(K3:K4)</f>
        <v>26108.5</v>
      </c>
      <c r="L5" s="13">
        <f>SUM(L3:L4)</f>
        <v>1240</v>
      </c>
      <c r="M5" s="14">
        <f>SUM(M3:M4)</f>
        <v>27348.5</v>
      </c>
      <c r="N5" s="7"/>
    </row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</sheetData>
  <mergeCells count="2">
    <mergeCell ref="A1:N1"/>
    <mergeCell ref="A5:C5"/>
  </mergeCells>
  <pageMargins left="0.0388888888888889" right="0.313888888888889" top="0.629166666666667" bottom="0.751388888888889" header="0.297916666666667" footer="0.297916666666667"/>
  <pageSetup paperSize="9" orientation="portrait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pane ySplit="2" topLeftCell="A2" activePane="bottomLeft" state="frozen"/>
      <selection/>
      <selection pane="bottomLeft" activeCell="M12" sqref="M12"/>
    </sheetView>
  </sheetViews>
  <sheetFormatPr defaultColWidth="9" defaultRowHeight="13.5"/>
  <cols>
    <col min="1" max="1" width="12.375" style="3" customWidth="1"/>
    <col min="2" max="2" width="9.25" style="3" customWidth="1"/>
    <col min="3" max="3" width="9" style="3" customWidth="1"/>
    <col min="4" max="4" width="4.125" style="3" customWidth="1"/>
    <col min="5" max="6" width="4.375" style="3" customWidth="1"/>
    <col min="7" max="7" width="5.875" style="3" customWidth="1"/>
    <col min="8" max="9" width="6.625" style="3" customWidth="1"/>
    <col min="10" max="10" width="7.375" style="3" customWidth="1"/>
    <col min="11" max="11" width="11.25" style="3" customWidth="1"/>
    <col min="12" max="12" width="9.625" style="3" customWidth="1"/>
    <col min="13" max="13" width="12.875" style="3" customWidth="1"/>
    <col min="14" max="14" width="17.5" style="3" customWidth="1"/>
  </cols>
  <sheetData>
    <row r="1" ht="48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1" customFormat="1" ht="38" customHeight="1" spans="1:14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5" t="s">
        <v>10</v>
      </c>
      <c r="K2" s="5" t="s">
        <v>11</v>
      </c>
      <c r="L2" s="11" t="s">
        <v>12</v>
      </c>
      <c r="M2" s="12" t="s">
        <v>13</v>
      </c>
      <c r="N2" s="11" t="s">
        <v>14</v>
      </c>
    </row>
    <row r="3" s="15" customFormat="1" ht="38" customHeight="1" spans="1:14">
      <c r="A3" s="16" t="s">
        <v>22</v>
      </c>
      <c r="B3" s="17">
        <v>90038</v>
      </c>
      <c r="C3" s="18">
        <v>43344</v>
      </c>
      <c r="D3" s="16">
        <v>68</v>
      </c>
      <c r="E3" s="16">
        <v>1089</v>
      </c>
      <c r="F3" s="16">
        <v>6.36</v>
      </c>
      <c r="G3" s="16" t="s">
        <v>17</v>
      </c>
      <c r="H3" s="18">
        <v>43349</v>
      </c>
      <c r="I3" s="18">
        <v>43349</v>
      </c>
      <c r="J3" s="19">
        <v>24.8</v>
      </c>
      <c r="K3" s="19">
        <f>E3*J3</f>
        <v>27007.2</v>
      </c>
      <c r="L3" s="19">
        <v>380</v>
      </c>
      <c r="M3" s="14">
        <f>K3+L3</f>
        <v>27387.2</v>
      </c>
      <c r="N3" s="16"/>
    </row>
    <row r="4" s="2" customFormat="1" ht="38" customHeight="1" spans="1:14">
      <c r="A4" s="7" t="s">
        <v>23</v>
      </c>
      <c r="B4" s="8">
        <v>90031</v>
      </c>
      <c r="C4" s="9">
        <v>43348</v>
      </c>
      <c r="D4" s="7">
        <v>36</v>
      </c>
      <c r="E4" s="7">
        <v>1320</v>
      </c>
      <c r="F4" s="7">
        <v>7.43</v>
      </c>
      <c r="G4" s="7" t="s">
        <v>24</v>
      </c>
      <c r="H4" s="9">
        <v>43349</v>
      </c>
      <c r="I4" s="9">
        <v>43350</v>
      </c>
      <c r="J4" s="13">
        <v>25</v>
      </c>
      <c r="K4" s="13">
        <f>E4*J4</f>
        <v>33000</v>
      </c>
      <c r="L4" s="13">
        <v>972</v>
      </c>
      <c r="M4" s="14">
        <f>K4+L4</f>
        <v>33972</v>
      </c>
      <c r="N4" s="7" t="s">
        <v>25</v>
      </c>
    </row>
    <row r="5" s="2" customFormat="1" ht="38" customHeight="1" spans="1:14">
      <c r="A5" s="7" t="s">
        <v>26</v>
      </c>
      <c r="B5" s="10" t="s">
        <v>27</v>
      </c>
      <c r="C5" s="9">
        <v>43358</v>
      </c>
      <c r="D5" s="7">
        <v>37</v>
      </c>
      <c r="E5" s="7">
        <v>1369</v>
      </c>
      <c r="F5" s="7">
        <v>8.02</v>
      </c>
      <c r="G5" s="7" t="s">
        <v>17</v>
      </c>
      <c r="H5" s="9">
        <v>43358</v>
      </c>
      <c r="I5" s="9">
        <v>43364</v>
      </c>
      <c r="J5" s="13">
        <v>25.5</v>
      </c>
      <c r="K5" s="13">
        <f>E5*J5</f>
        <v>34909.5</v>
      </c>
      <c r="L5" s="13">
        <v>380</v>
      </c>
      <c r="M5" s="14">
        <f>K5+L5</f>
        <v>35289.5</v>
      </c>
      <c r="N5" s="7"/>
    </row>
    <row r="6" s="2" customFormat="1" ht="38" customHeight="1" spans="1:14">
      <c r="A6" s="7" t="s">
        <v>28</v>
      </c>
      <c r="B6" s="8">
        <v>90074</v>
      </c>
      <c r="C6" s="9">
        <v>43362</v>
      </c>
      <c r="D6" s="7">
        <v>39</v>
      </c>
      <c r="E6" s="7">
        <v>1735</v>
      </c>
      <c r="F6" s="7">
        <v>3.46</v>
      </c>
      <c r="G6" s="7" t="s">
        <v>29</v>
      </c>
      <c r="H6" s="9">
        <v>43363</v>
      </c>
      <c r="I6" s="9">
        <v>43366</v>
      </c>
      <c r="J6" s="13">
        <v>25</v>
      </c>
      <c r="K6" s="13">
        <f>E6*J6</f>
        <v>43375</v>
      </c>
      <c r="L6" s="13">
        <v>380</v>
      </c>
      <c r="M6" s="14">
        <f>K6+L6</f>
        <v>43755</v>
      </c>
      <c r="N6" s="7"/>
    </row>
    <row r="7" s="2" customFormat="1" ht="38" customHeight="1" spans="1:14">
      <c r="A7" s="7"/>
      <c r="B7" s="7"/>
      <c r="C7" s="7"/>
      <c r="D7" s="7"/>
      <c r="E7" s="7"/>
      <c r="F7" s="7"/>
      <c r="G7" s="7"/>
      <c r="H7" s="7"/>
      <c r="I7" s="7"/>
      <c r="J7" s="7"/>
      <c r="K7" s="13">
        <f>SUM(K3:K6)</f>
        <v>138291.7</v>
      </c>
      <c r="L7" s="13">
        <f>SUM(L3:L6)</f>
        <v>2112</v>
      </c>
      <c r="M7" s="14">
        <f>SUM(M3:M6)</f>
        <v>140403.7</v>
      </c>
      <c r="N7" s="7"/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">
    <mergeCell ref="A1:N1"/>
  </mergeCells>
  <printOptions horizontalCentered="1"/>
  <pageMargins left="0.471527777777778" right="0.700694444444445" top="1.0625" bottom="0.751388888888889" header="0.297916666666667" footer="0.297916666666667"/>
  <pageSetup paperSize="9" orientation="landscape" horizontalDpi="6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pane ySplit="2" topLeftCell="A2" activePane="bottomLeft" state="frozen"/>
      <selection/>
      <selection pane="bottomLeft" activeCell="K15" sqref="K15"/>
    </sheetView>
  </sheetViews>
  <sheetFormatPr defaultColWidth="9" defaultRowHeight="13.5"/>
  <cols>
    <col min="1" max="1" width="12.375" style="3" customWidth="1"/>
    <col min="2" max="2" width="9.25" style="3" customWidth="1"/>
    <col min="3" max="3" width="9" style="3" customWidth="1"/>
    <col min="4" max="4" width="4.125" style="3" customWidth="1"/>
    <col min="5" max="6" width="4.375" style="3" customWidth="1"/>
    <col min="7" max="7" width="5.875" style="3" customWidth="1"/>
    <col min="8" max="9" width="6.625" style="3" customWidth="1"/>
    <col min="10" max="10" width="7.375" style="3" customWidth="1"/>
    <col min="11" max="11" width="11.25" style="3" customWidth="1"/>
    <col min="12" max="12" width="9.625" style="3" customWidth="1"/>
    <col min="13" max="13" width="21.875" style="3" customWidth="1"/>
    <col min="14" max="14" width="17.5" style="3" customWidth="1"/>
  </cols>
  <sheetData>
    <row r="1" ht="48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1" customFormat="1" ht="38" customHeight="1" spans="1:14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5" t="s">
        <v>10</v>
      </c>
      <c r="K2" s="5" t="s">
        <v>11</v>
      </c>
      <c r="L2" s="11" t="s">
        <v>12</v>
      </c>
      <c r="M2" s="12" t="s">
        <v>13</v>
      </c>
      <c r="N2" s="11" t="s">
        <v>14</v>
      </c>
    </row>
    <row r="3" s="2" customFormat="1" ht="38" customHeight="1" spans="1:14">
      <c r="A3" s="7" t="s">
        <v>22</v>
      </c>
      <c r="B3" s="8">
        <v>90038</v>
      </c>
      <c r="C3" s="9">
        <v>43344</v>
      </c>
      <c r="D3" s="7">
        <v>68</v>
      </c>
      <c r="E3" s="7">
        <v>1089</v>
      </c>
      <c r="F3" s="7">
        <v>6.36</v>
      </c>
      <c r="G3" s="7" t="s">
        <v>17</v>
      </c>
      <c r="H3" s="9">
        <v>43349</v>
      </c>
      <c r="I3" s="9">
        <v>43349</v>
      </c>
      <c r="J3" s="13">
        <v>24.8</v>
      </c>
      <c r="K3" s="13">
        <f t="shared" ref="K3:K8" si="0">E3*J3</f>
        <v>27007.2</v>
      </c>
      <c r="L3" s="13">
        <v>380</v>
      </c>
      <c r="M3" s="14">
        <f t="shared" ref="M3:M8" si="1">K3+L3</f>
        <v>27387.2</v>
      </c>
      <c r="N3" s="7"/>
    </row>
    <row r="4" s="2" customFormat="1" ht="38" customHeight="1" spans="1:14">
      <c r="A4" s="7" t="s">
        <v>23</v>
      </c>
      <c r="B4" s="8">
        <v>90031</v>
      </c>
      <c r="C4" s="9">
        <v>43348</v>
      </c>
      <c r="D4" s="7">
        <v>36</v>
      </c>
      <c r="E4" s="7">
        <v>1320</v>
      </c>
      <c r="F4" s="7">
        <v>7.43</v>
      </c>
      <c r="G4" s="7" t="s">
        <v>24</v>
      </c>
      <c r="H4" s="9">
        <v>43349</v>
      </c>
      <c r="I4" s="9">
        <v>43350</v>
      </c>
      <c r="J4" s="13">
        <v>25</v>
      </c>
      <c r="K4" s="13">
        <f t="shared" si="0"/>
        <v>33000</v>
      </c>
      <c r="L4" s="13">
        <v>972</v>
      </c>
      <c r="M4" s="14">
        <f t="shared" si="1"/>
        <v>33972</v>
      </c>
      <c r="N4" s="7" t="s">
        <v>25</v>
      </c>
    </row>
    <row r="5" s="2" customFormat="1" ht="38" customHeight="1" spans="1:14">
      <c r="A5" s="7" t="s">
        <v>15</v>
      </c>
      <c r="B5" s="10" t="s">
        <v>16</v>
      </c>
      <c r="C5" s="9">
        <v>43354</v>
      </c>
      <c r="D5" s="7">
        <v>6</v>
      </c>
      <c r="E5" s="7">
        <v>523</v>
      </c>
      <c r="F5" s="7">
        <v>1.18</v>
      </c>
      <c r="G5" s="7" t="s">
        <v>17</v>
      </c>
      <c r="H5" s="9">
        <v>43355</v>
      </c>
      <c r="I5" s="9">
        <v>43356</v>
      </c>
      <c r="J5" s="13">
        <v>25.5</v>
      </c>
      <c r="K5" s="13">
        <f t="shared" si="0"/>
        <v>13336.5</v>
      </c>
      <c r="L5" s="13">
        <v>460</v>
      </c>
      <c r="M5" s="14">
        <f t="shared" si="1"/>
        <v>13796.5</v>
      </c>
      <c r="N5" s="7" t="s">
        <v>18</v>
      </c>
    </row>
    <row r="6" s="2" customFormat="1" ht="38" customHeight="1" spans="1:14">
      <c r="A6" s="7" t="s">
        <v>26</v>
      </c>
      <c r="B6" s="10" t="s">
        <v>27</v>
      </c>
      <c r="C6" s="9">
        <v>43358</v>
      </c>
      <c r="D6" s="7">
        <v>37</v>
      </c>
      <c r="E6" s="7">
        <v>1369</v>
      </c>
      <c r="F6" s="7">
        <v>8.02</v>
      </c>
      <c r="G6" s="7" t="s">
        <v>17</v>
      </c>
      <c r="H6" s="9">
        <v>43358</v>
      </c>
      <c r="I6" s="9">
        <v>43364</v>
      </c>
      <c r="J6" s="13">
        <v>25.5</v>
      </c>
      <c r="K6" s="13">
        <f t="shared" si="0"/>
        <v>34909.5</v>
      </c>
      <c r="L6" s="13">
        <v>380</v>
      </c>
      <c r="M6" s="14">
        <f t="shared" si="1"/>
        <v>35289.5</v>
      </c>
      <c r="N6" s="7"/>
    </row>
    <row r="7" s="2" customFormat="1" ht="38" customHeight="1" spans="1:14">
      <c r="A7" s="7" t="s">
        <v>28</v>
      </c>
      <c r="B7" s="8">
        <v>90074</v>
      </c>
      <c r="C7" s="9">
        <v>43362</v>
      </c>
      <c r="D7" s="7">
        <v>39</v>
      </c>
      <c r="E7" s="7">
        <v>1735</v>
      </c>
      <c r="F7" s="7">
        <v>3.46</v>
      </c>
      <c r="G7" s="7" t="s">
        <v>29</v>
      </c>
      <c r="H7" s="9">
        <v>43363</v>
      </c>
      <c r="I7" s="9">
        <v>43366</v>
      </c>
      <c r="J7" s="13">
        <v>25</v>
      </c>
      <c r="K7" s="13">
        <f t="shared" si="0"/>
        <v>43375</v>
      </c>
      <c r="L7" s="13">
        <v>380</v>
      </c>
      <c r="M7" s="14">
        <f t="shared" si="1"/>
        <v>43755</v>
      </c>
      <c r="N7" s="7"/>
    </row>
    <row r="8" s="2" customFormat="1" ht="38" customHeight="1" spans="1:14">
      <c r="A8" s="7" t="s">
        <v>19</v>
      </c>
      <c r="B8" s="10" t="s">
        <v>20</v>
      </c>
      <c r="C8" s="9">
        <v>43365</v>
      </c>
      <c r="D8" s="7">
        <v>5</v>
      </c>
      <c r="E8" s="7">
        <v>412</v>
      </c>
      <c r="F8" s="7">
        <v>1.08</v>
      </c>
      <c r="G8" s="7" t="s">
        <v>17</v>
      </c>
      <c r="H8" s="9">
        <v>43367</v>
      </c>
      <c r="I8" s="9">
        <v>43369</v>
      </c>
      <c r="J8" s="13">
        <v>31</v>
      </c>
      <c r="K8" s="13">
        <f t="shared" si="0"/>
        <v>12772</v>
      </c>
      <c r="L8" s="13">
        <v>780</v>
      </c>
      <c r="M8" s="14">
        <f t="shared" si="1"/>
        <v>13552</v>
      </c>
      <c r="N8" s="7"/>
    </row>
    <row r="9" s="2" customFormat="1" ht="38" customHeight="1" spans="1:14">
      <c r="A9" s="7"/>
      <c r="B9" s="7"/>
      <c r="C9" s="7"/>
      <c r="D9" s="7"/>
      <c r="E9" s="7"/>
      <c r="F9" s="7"/>
      <c r="G9" s="7"/>
      <c r="H9" s="7"/>
      <c r="I9" s="7"/>
      <c r="J9" s="7"/>
      <c r="K9" s="13">
        <f t="shared" ref="K9:M9" si="2">SUM(K3:K8)</f>
        <v>164400.2</v>
      </c>
      <c r="L9" s="13">
        <f t="shared" si="2"/>
        <v>3352</v>
      </c>
      <c r="M9" s="14">
        <f t="shared" si="2"/>
        <v>167752.2</v>
      </c>
      <c r="N9" s="7"/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</sheetData>
  <mergeCells count="1">
    <mergeCell ref="A1:N1"/>
  </mergeCells>
  <pageMargins left="0.471527777777778" right="0.700694444444445" top="1.0625" bottom="0.751388888888889" header="0.297916666666667" footer="0.297916666666667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11月28日私帐支付</vt:lpstr>
      <vt:lpstr>12月5日私帐支付</vt:lpstr>
      <vt:lpstr>总欠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2006-09-13T11:21:00Z</dcterms:created>
  <dcterms:modified xsi:type="dcterms:W3CDTF">2019-01-10T03:07:10Z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KSORubyTemplateID" linkTarget="0">
    <vt:lpwstr>14</vt:lpwstr>
  </property>
</Properties>
</file>