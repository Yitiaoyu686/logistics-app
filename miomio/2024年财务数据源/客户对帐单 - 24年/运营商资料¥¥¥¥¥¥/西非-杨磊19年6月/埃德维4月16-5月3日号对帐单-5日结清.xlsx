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465" activeTab="1"/>
  </bookViews>
  <sheets>
    <sheet name="4月17日公帐支付" sheetId="1" r:id="rId1"/>
    <sheet name="5月5日公帐支付" sheetId="2" r:id="rId2"/>
  </sheets>
  <calcPr calcId="144525"/>
</workbook>
</file>

<file path=xl/sharedStrings.xml><?xml version="1.0" encoding="utf-8"?>
<sst xmlns="http://schemas.openxmlformats.org/spreadsheetml/2006/main" count="61" uniqueCount="33">
  <si>
    <t>DEBIT NOTE</t>
  </si>
  <si>
    <t>NAME:</t>
  </si>
  <si>
    <t>广州喵喵</t>
  </si>
  <si>
    <t>INVOICE DATE</t>
  </si>
  <si>
    <t>2019-16/4-3/5</t>
  </si>
  <si>
    <t>PHONE/FAX:</t>
  </si>
  <si>
    <t>MAWB NO.</t>
  </si>
  <si>
    <t>ORIGIN/DEST</t>
  </si>
  <si>
    <t xml:space="preserve">ET   PCS/GW:  </t>
  </si>
  <si>
    <t>FLIGHT/VESSEL</t>
  </si>
  <si>
    <t>ACC  AIRFREIGHT</t>
  </si>
  <si>
    <t>CNY</t>
  </si>
  <si>
    <t>JOB040114</t>
  </si>
  <si>
    <t>JOB050061</t>
  </si>
  <si>
    <t>合计：</t>
  </si>
  <si>
    <t>CHARGE DESCRIPTION</t>
  </si>
  <si>
    <t>RATE</t>
  </si>
  <si>
    <t>CURR</t>
  </si>
  <si>
    <t>QTY</t>
  </si>
  <si>
    <t>AMOUNT</t>
  </si>
  <si>
    <t>备注</t>
  </si>
  <si>
    <t>JOB040107</t>
  </si>
  <si>
    <t>JOB040125</t>
  </si>
  <si>
    <t>JOB040127</t>
  </si>
  <si>
    <t>ABJ  AIRFREIGHT</t>
  </si>
  <si>
    <t>JOB040135</t>
  </si>
  <si>
    <t>CUSTOMS CLEARANCS FEE</t>
  </si>
  <si>
    <t>JOB040099</t>
  </si>
  <si>
    <t>ACC  PICKCUP FEE</t>
  </si>
  <si>
    <t>JOB040128</t>
  </si>
  <si>
    <t>JOB040138</t>
  </si>
  <si>
    <t>ＯＵＡ</t>
  </si>
  <si>
    <t>JOB050063</t>
  </si>
</sst>
</file>

<file path=xl/styles.xml><?xml version="1.0" encoding="utf-8"?>
<styleSheet xmlns="http://schemas.openxmlformats.org/spreadsheetml/2006/main">
  <numFmts count="10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176" formatCode="#,##0.0_);[Red]\(#,##0.0\)"/>
    <numFmt numFmtId="177" formatCode="&quot;JOB&quot;000000"/>
    <numFmt numFmtId="178" formatCode="#,##0.0_ "/>
    <numFmt numFmtId="179" formatCode="0.00_);[Red]\(0.00\)"/>
    <numFmt numFmtId="180" formatCode="#,##0_ "/>
    <numFmt numFmtId="181" formatCode="&quot;￥&quot;#,##0.00_);[Red]\(&quot;￥&quot;#,##0.00\)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Arial"/>
      <charset val="0"/>
    </font>
    <font>
      <sz val="12"/>
      <name val="Arial"/>
      <charset val="0"/>
    </font>
    <font>
      <sz val="10"/>
      <name val="Arial"/>
      <charset val="0"/>
    </font>
    <font>
      <sz val="11"/>
      <name val="宋体"/>
      <charset val="134"/>
    </font>
    <font>
      <sz val="10"/>
      <name val="宋体"/>
      <charset val="0"/>
    </font>
    <font>
      <sz val="14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2" fillId="1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" fillId="0" borderId="0"/>
    <xf numFmtId="41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7" fillId="21" borderId="4" applyNumberFormat="0" applyAlignment="0" applyProtection="0">
      <alignment vertical="center"/>
    </xf>
    <xf numFmtId="0" fontId="19" fillId="21" borderId="3" applyNumberFormat="0" applyAlignment="0" applyProtection="0">
      <alignment vertical="center"/>
    </xf>
    <xf numFmtId="0" fontId="21" fillId="22" borderId="5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7" fontId="0" fillId="0" borderId="0" xfId="0" applyNumberForma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5" applyFont="1"/>
    <xf numFmtId="177" fontId="1" fillId="0" borderId="0" xfId="0" applyNumberFormat="1" applyFont="1" applyFill="1" applyBorder="1" applyAlignment="1">
      <alignment horizontal="center" vertical="center"/>
    </xf>
    <xf numFmtId="0" fontId="3" fillId="0" borderId="0" xfId="5" applyFont="1" applyAlignment="1">
      <alignment vertical="center"/>
    </xf>
    <xf numFmtId="14" fontId="3" fillId="0" borderId="0" xfId="5" applyNumberFormat="1" applyFont="1" applyAlignment="1">
      <alignment horizontal="left"/>
    </xf>
    <xf numFmtId="0" fontId="3" fillId="0" borderId="0" xfId="5" applyFont="1" applyAlignment="1">
      <alignment horizontal="left"/>
    </xf>
    <xf numFmtId="176" fontId="3" fillId="0" borderId="0" xfId="5" applyNumberFormat="1" applyFont="1" applyAlignment="1">
      <alignment horizontal="left"/>
    </xf>
    <xf numFmtId="178" fontId="3" fillId="0" borderId="0" xfId="5" applyNumberFormat="1" applyFont="1"/>
    <xf numFmtId="0" fontId="4" fillId="0" borderId="1" xfId="5" applyFont="1" applyFill="1" applyBorder="1" applyAlignment="1">
      <alignment horizontal="center" vertical="center"/>
    </xf>
    <xf numFmtId="0" fontId="3" fillId="0" borderId="1" xfId="5" applyFont="1" applyFill="1" applyBorder="1" applyAlignment="1">
      <alignment horizontal="center" vertical="center"/>
    </xf>
    <xf numFmtId="178" fontId="3" fillId="0" borderId="1" xfId="5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9" fontId="3" fillId="0" borderId="1" xfId="5" applyNumberFormat="1" applyFont="1" applyFill="1" applyBorder="1" applyAlignment="1">
      <alignment horizontal="center" vertical="center"/>
    </xf>
    <xf numFmtId="180" fontId="3" fillId="0" borderId="1" xfId="5" applyNumberFormat="1" applyFont="1" applyFill="1" applyBorder="1" applyAlignment="1">
      <alignment horizontal="center" vertical="center"/>
    </xf>
    <xf numFmtId="4" fontId="3" fillId="0" borderId="1" xfId="5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0" fontId="4" fillId="0" borderId="1" xfId="5" applyFont="1" applyFill="1" applyBorder="1" applyAlignment="1">
      <alignment horizontal="center" vertical="center" wrapText="1"/>
    </xf>
    <xf numFmtId="0" fontId="6" fillId="0" borderId="1" xfId="5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81" fontId="7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" fillId="0" borderId="0" xfId="5" applyFont="1" applyFill="1"/>
    <xf numFmtId="0" fontId="4" fillId="0" borderId="1" xfId="5" applyFont="1" applyFill="1" applyBorder="1" applyAlignment="1">
      <alignment horizontal="center" vertical="center"/>
    </xf>
    <xf numFmtId="4" fontId="3" fillId="0" borderId="1" xfId="5" applyNumberFormat="1" applyFont="1" applyFill="1" applyBorder="1" applyAlignment="1">
      <alignment horizontal="center" vertical="center"/>
    </xf>
    <xf numFmtId="0" fontId="3" fillId="0" borderId="1" xfId="5" applyFont="1" applyFill="1" applyBorder="1" applyAlignment="1">
      <alignment horizontal="center" vertical="center"/>
    </xf>
    <xf numFmtId="180" fontId="3" fillId="0" borderId="1" xfId="5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常规_Sheet1_6" xfId="5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2" defaultPivotStyle="PivotStyleLight16"/>
  <colors>
    <mruColors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D9" sqref="D9"/>
    </sheetView>
  </sheetViews>
  <sheetFormatPr defaultColWidth="9" defaultRowHeight="13.5" outlineLevelCol="6"/>
  <cols>
    <col min="1" max="1" width="25" style="3" customWidth="1"/>
    <col min="2" max="2" width="9.125" style="3"/>
    <col min="3" max="3" width="6.75" style="3" customWidth="1"/>
    <col min="4" max="4" width="7.325" style="3" customWidth="1"/>
    <col min="5" max="5" width="12.9833333333333" style="3" customWidth="1"/>
    <col min="6" max="6" width="18.125" style="3" customWidth="1"/>
    <col min="7" max="7" width="15.1916666666667" style="4" customWidth="1"/>
    <col min="8" max="16384" width="9" style="3"/>
  </cols>
  <sheetData>
    <row r="1" s="1" customFormat="1" ht="21" customHeight="1" spans="1:7">
      <c r="A1" s="5" t="s">
        <v>0</v>
      </c>
      <c r="B1" s="5"/>
      <c r="C1" s="5"/>
      <c r="D1" s="5"/>
      <c r="E1" s="5"/>
      <c r="F1" s="5"/>
      <c r="G1" s="5"/>
    </row>
    <row r="2" s="1" customFormat="1" ht="11" customHeight="1" spans="5:7">
      <c r="E2" s="6"/>
      <c r="F2" s="6"/>
      <c r="G2" s="7"/>
    </row>
    <row r="3" s="1" customFormat="1" ht="17.1" customHeight="1" spans="1:7">
      <c r="A3" s="8" t="s">
        <v>1</v>
      </c>
      <c r="B3" s="8" t="s">
        <v>2</v>
      </c>
      <c r="C3" s="8"/>
      <c r="D3" s="8"/>
      <c r="E3" s="6" t="s">
        <v>3</v>
      </c>
      <c r="F3" s="9" t="s">
        <v>4</v>
      </c>
      <c r="G3" s="7"/>
    </row>
    <row r="4" s="1" customFormat="1" ht="17.1" customHeight="1" spans="1:7">
      <c r="A4" s="6" t="s">
        <v>5</v>
      </c>
      <c r="B4" s="10"/>
      <c r="C4" s="10"/>
      <c r="D4" s="10"/>
      <c r="E4" s="6" t="s">
        <v>0</v>
      </c>
      <c r="F4" s="11"/>
      <c r="G4" s="7"/>
    </row>
    <row r="5" s="1" customFormat="1" ht="17.1" customHeight="1" spans="1:7">
      <c r="A5" s="6" t="s">
        <v>6</v>
      </c>
      <c r="B5" s="6"/>
      <c r="C5" s="6"/>
      <c r="D5" s="12"/>
      <c r="E5" s="6" t="s">
        <v>7</v>
      </c>
      <c r="F5" s="11"/>
      <c r="G5" s="7"/>
    </row>
    <row r="6" s="1" customFormat="1" ht="17.1" customHeight="1" spans="1:7">
      <c r="A6" s="6" t="s">
        <v>8</v>
      </c>
      <c r="B6" s="6"/>
      <c r="C6" s="6"/>
      <c r="D6" s="12"/>
      <c r="E6" s="6" t="s">
        <v>9</v>
      </c>
      <c r="F6" s="11"/>
      <c r="G6" s="7"/>
    </row>
    <row r="7" s="1" customFormat="1" ht="3" customHeight="1" spans="2:7">
      <c r="B7" s="26"/>
      <c r="C7" s="6"/>
      <c r="D7" s="12"/>
      <c r="E7" s="6"/>
      <c r="F7" s="11"/>
      <c r="G7" s="7"/>
    </row>
    <row r="8" s="25" customFormat="1" ht="47" customHeight="1" spans="1:7">
      <c r="A8" s="27" t="s">
        <v>10</v>
      </c>
      <c r="B8" s="28">
        <v>1850</v>
      </c>
      <c r="C8" s="29" t="s">
        <v>11</v>
      </c>
      <c r="D8" s="30">
        <v>2</v>
      </c>
      <c r="E8" s="28">
        <f>D8*32</f>
        <v>64</v>
      </c>
      <c r="F8" s="28">
        <v>3700</v>
      </c>
      <c r="G8" s="31" t="s">
        <v>12</v>
      </c>
    </row>
    <row r="9" s="25" customFormat="1" ht="47" customHeight="1" spans="1:7">
      <c r="A9" s="27" t="s">
        <v>10</v>
      </c>
      <c r="B9" s="28">
        <v>1850</v>
      </c>
      <c r="C9" s="29" t="s">
        <v>11</v>
      </c>
      <c r="D9" s="30">
        <v>2</v>
      </c>
      <c r="E9" s="28">
        <f>D9*32</f>
        <v>64</v>
      </c>
      <c r="F9" s="28">
        <v>3700</v>
      </c>
      <c r="G9" s="31" t="s">
        <v>13</v>
      </c>
    </row>
    <row r="10" s="2" customFormat="1" ht="47" customHeight="1" spans="1:7">
      <c r="A10" s="23" t="s">
        <v>14</v>
      </c>
      <c r="B10" s="23"/>
      <c r="C10" s="23"/>
      <c r="D10" s="23"/>
      <c r="E10" s="16"/>
      <c r="F10" s="24">
        <f>SUM(F8:F9)</f>
        <v>7400</v>
      </c>
      <c r="G10" s="23"/>
    </row>
    <row r="11" ht="30" customHeight="1"/>
  </sheetData>
  <mergeCells count="2">
    <mergeCell ref="A1:G1"/>
    <mergeCell ref="B4:D4"/>
  </mergeCells>
  <pageMargins left="0.393055555555556" right="0.393055555555556" top="0.432638888888889" bottom="1" header="0.747916666666667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tabSelected="1" workbookViewId="0">
      <selection activeCell="E14" sqref="E14"/>
    </sheetView>
  </sheetViews>
  <sheetFormatPr defaultColWidth="9" defaultRowHeight="13.5" outlineLevelCol="6"/>
  <cols>
    <col min="1" max="1" width="25" style="3" customWidth="1"/>
    <col min="2" max="2" width="9.125" style="3"/>
    <col min="3" max="3" width="6.75" style="3" customWidth="1"/>
    <col min="4" max="4" width="7.325" style="3" customWidth="1"/>
    <col min="5" max="5" width="12.9833333333333" style="3" customWidth="1"/>
    <col min="6" max="6" width="18.125" style="3" customWidth="1"/>
    <col min="7" max="7" width="15.1916666666667" style="4" customWidth="1"/>
    <col min="8" max="16384" width="9" style="3"/>
  </cols>
  <sheetData>
    <row r="1" s="1" customFormat="1" ht="21" customHeight="1" spans="1:7">
      <c r="A1" s="5" t="s">
        <v>0</v>
      </c>
      <c r="B1" s="5"/>
      <c r="C1" s="5"/>
      <c r="D1" s="5"/>
      <c r="E1" s="5"/>
      <c r="F1" s="5"/>
      <c r="G1" s="5"/>
    </row>
    <row r="2" s="1" customFormat="1" ht="11" customHeight="1" spans="5:7">
      <c r="E2" s="6"/>
      <c r="F2" s="6"/>
      <c r="G2" s="7"/>
    </row>
    <row r="3" s="1" customFormat="1" ht="17.1" customHeight="1" spans="1:7">
      <c r="A3" s="8" t="s">
        <v>1</v>
      </c>
      <c r="B3" s="8" t="s">
        <v>2</v>
      </c>
      <c r="C3" s="8"/>
      <c r="D3" s="8"/>
      <c r="E3" s="6" t="s">
        <v>3</v>
      </c>
      <c r="F3" s="9" t="s">
        <v>4</v>
      </c>
      <c r="G3" s="7"/>
    </row>
    <row r="4" s="1" customFormat="1" ht="17.1" customHeight="1" spans="1:7">
      <c r="A4" s="6" t="s">
        <v>5</v>
      </c>
      <c r="B4" s="10"/>
      <c r="C4" s="10"/>
      <c r="D4" s="10"/>
      <c r="E4" s="6" t="s">
        <v>0</v>
      </c>
      <c r="F4" s="11"/>
      <c r="G4" s="7"/>
    </row>
    <row r="5" s="1" customFormat="1" ht="17.1" customHeight="1" spans="1:7">
      <c r="A5" s="6" t="s">
        <v>6</v>
      </c>
      <c r="B5" s="6"/>
      <c r="C5" s="6"/>
      <c r="D5" s="12"/>
      <c r="E5" s="6" t="s">
        <v>7</v>
      </c>
      <c r="F5" s="11"/>
      <c r="G5" s="7"/>
    </row>
    <row r="6" s="1" customFormat="1" ht="17.1" customHeight="1" spans="1:7">
      <c r="A6" s="6" t="s">
        <v>8</v>
      </c>
      <c r="B6" s="6"/>
      <c r="C6" s="6"/>
      <c r="D6" s="12"/>
      <c r="E6" s="6" t="s">
        <v>9</v>
      </c>
      <c r="F6" s="11"/>
      <c r="G6" s="7"/>
    </row>
    <row r="7" s="2" customFormat="1" ht="24" customHeight="1" spans="1:7">
      <c r="A7" s="13" t="s">
        <v>15</v>
      </c>
      <c r="B7" s="14" t="s">
        <v>16</v>
      </c>
      <c r="C7" s="14" t="s">
        <v>17</v>
      </c>
      <c r="D7" s="15" t="s">
        <v>18</v>
      </c>
      <c r="E7" s="14" t="s">
        <v>19</v>
      </c>
      <c r="F7" s="14"/>
      <c r="G7" s="16" t="s">
        <v>20</v>
      </c>
    </row>
    <row r="8" s="2" customFormat="1" ht="21" customHeight="1" spans="1:7">
      <c r="A8" s="14" t="s">
        <v>10</v>
      </c>
      <c r="B8" s="17">
        <v>1850</v>
      </c>
      <c r="C8" s="14" t="s">
        <v>11</v>
      </c>
      <c r="D8" s="18">
        <v>1</v>
      </c>
      <c r="E8" s="19">
        <f t="shared" ref="E8:E10" si="0">D8*32</f>
        <v>32</v>
      </c>
      <c r="F8" s="19">
        <f>D8*B8</f>
        <v>1850</v>
      </c>
      <c r="G8" s="20" t="s">
        <v>21</v>
      </c>
    </row>
    <row r="9" s="2" customFormat="1" ht="21" customHeight="1" spans="1:7">
      <c r="A9" s="13" t="s">
        <v>10</v>
      </c>
      <c r="B9" s="19">
        <v>2350</v>
      </c>
      <c r="C9" s="14" t="s">
        <v>11</v>
      </c>
      <c r="D9" s="18">
        <v>4</v>
      </c>
      <c r="E9" s="19">
        <f t="shared" si="0"/>
        <v>128</v>
      </c>
      <c r="F9" s="19">
        <v>11250</v>
      </c>
      <c r="G9" s="16" t="s">
        <v>22</v>
      </c>
    </row>
    <row r="10" s="2" customFormat="1" ht="21" customHeight="1" spans="1:7">
      <c r="A10" s="13" t="s">
        <v>10</v>
      </c>
      <c r="B10" s="19">
        <v>1850</v>
      </c>
      <c r="C10" s="14" t="s">
        <v>11</v>
      </c>
      <c r="D10" s="18">
        <v>1</v>
      </c>
      <c r="E10" s="19">
        <f t="shared" si="0"/>
        <v>32</v>
      </c>
      <c r="F10" s="19">
        <f t="shared" ref="F10:F15" si="1">B10*D10</f>
        <v>1850</v>
      </c>
      <c r="G10" s="16" t="s">
        <v>23</v>
      </c>
    </row>
    <row r="11" s="2" customFormat="1" ht="21" customHeight="1" spans="1:7">
      <c r="A11" s="13" t="s">
        <v>24</v>
      </c>
      <c r="B11" s="17">
        <v>200</v>
      </c>
      <c r="C11" s="14" t="s">
        <v>11</v>
      </c>
      <c r="D11" s="18">
        <v>1</v>
      </c>
      <c r="E11" s="19">
        <v>3.5</v>
      </c>
      <c r="F11" s="19">
        <f>D11*B11</f>
        <v>200</v>
      </c>
      <c r="G11" s="16" t="s">
        <v>25</v>
      </c>
    </row>
    <row r="12" s="2" customFormat="1" ht="21" customHeight="1" spans="1:7">
      <c r="A12" s="21" t="s">
        <v>26</v>
      </c>
      <c r="B12" s="17">
        <v>960.5</v>
      </c>
      <c r="C12" s="14" t="s">
        <v>11</v>
      </c>
      <c r="D12" s="18">
        <v>3</v>
      </c>
      <c r="E12" s="19">
        <v>3</v>
      </c>
      <c r="F12" s="19">
        <f>B12</f>
        <v>960.5</v>
      </c>
      <c r="G12" s="16" t="s">
        <v>27</v>
      </c>
    </row>
    <row r="13" s="2" customFormat="1" ht="21" customHeight="1" spans="1:7">
      <c r="A13" s="13" t="s">
        <v>28</v>
      </c>
      <c r="B13" s="19">
        <v>250</v>
      </c>
      <c r="C13" s="14" t="s">
        <v>11</v>
      </c>
      <c r="D13" s="18">
        <v>1</v>
      </c>
      <c r="E13" s="19">
        <f>D13*32</f>
        <v>32</v>
      </c>
      <c r="F13" s="19">
        <f t="shared" si="1"/>
        <v>250</v>
      </c>
      <c r="G13" s="16" t="s">
        <v>29</v>
      </c>
    </row>
    <row r="14" s="2" customFormat="1" ht="21" customHeight="1" spans="1:7">
      <c r="A14" s="13" t="s">
        <v>10</v>
      </c>
      <c r="B14" s="19">
        <v>1850</v>
      </c>
      <c r="C14" s="14" t="s">
        <v>11</v>
      </c>
      <c r="D14" s="18">
        <v>1</v>
      </c>
      <c r="E14" s="19">
        <f>D14*32</f>
        <v>32</v>
      </c>
      <c r="F14" s="19">
        <f t="shared" si="1"/>
        <v>1850</v>
      </c>
      <c r="G14" s="16"/>
    </row>
    <row r="15" s="2" customFormat="1" ht="21" customHeight="1" spans="1:7">
      <c r="A15" s="13" t="s">
        <v>10</v>
      </c>
      <c r="B15" s="19">
        <v>1850</v>
      </c>
      <c r="C15" s="14" t="s">
        <v>11</v>
      </c>
      <c r="D15" s="18">
        <v>1</v>
      </c>
      <c r="E15" s="19">
        <f>D15*32</f>
        <v>32</v>
      </c>
      <c r="F15" s="19">
        <f t="shared" si="1"/>
        <v>1850</v>
      </c>
      <c r="G15" s="16" t="s">
        <v>30</v>
      </c>
    </row>
    <row r="16" s="2" customFormat="1" ht="21" customHeight="1" spans="1:7">
      <c r="A16" s="22" t="s">
        <v>31</v>
      </c>
      <c r="B16" s="19">
        <v>240</v>
      </c>
      <c r="C16" s="14"/>
      <c r="D16" s="18">
        <v>1</v>
      </c>
      <c r="E16" s="19"/>
      <c r="F16" s="19">
        <f>SUM(B16*D16)</f>
        <v>240</v>
      </c>
      <c r="G16" s="16" t="s">
        <v>32</v>
      </c>
    </row>
    <row r="17" s="2" customFormat="1" ht="16" customHeight="1" spans="1:7">
      <c r="A17" s="23" t="s">
        <v>14</v>
      </c>
      <c r="B17" s="23"/>
      <c r="C17" s="23"/>
      <c r="D17" s="23"/>
      <c r="E17" s="16"/>
      <c r="F17" s="24">
        <f>SUM(F8:F16)</f>
        <v>20300.5</v>
      </c>
      <c r="G17" s="23"/>
    </row>
  </sheetData>
  <mergeCells count="3">
    <mergeCell ref="A1:G1"/>
    <mergeCell ref="B4:D4"/>
    <mergeCell ref="G13:G14"/>
  </mergeCells>
  <pageMargins left="0.393055555555556" right="0.393055555555556" top="0.354166666666667" bottom="1" header="0.550694444444444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4月17日公帐支付</vt:lpstr>
      <vt:lpstr>5月5日公帐支付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2019-04-17T09:33:00Z</dcterms:created>
  <dcterms:modified xsi:type="dcterms:W3CDTF">2019-05-17T03:00:51Z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