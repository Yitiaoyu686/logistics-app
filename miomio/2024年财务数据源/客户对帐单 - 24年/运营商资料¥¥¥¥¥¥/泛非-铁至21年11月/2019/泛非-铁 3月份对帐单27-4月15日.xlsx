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1"/>
  </bookViews>
  <sheets>
    <sheet name="总欠" sheetId="1" r:id="rId1"/>
    <sheet name="4月19日私帐支付" sheetId="4" r:id="rId2"/>
    <sheet name="4月22日私帐支付" sheetId="2" r:id="rId3"/>
    <sheet name="4月24日私帐支付" sheetId="5" r:id="rId4"/>
    <sheet name="4月26日私帐支付" sheetId="6" r:id="rId5"/>
    <sheet name="4月30日私帐支付" sheetId="7" r:id="rId6"/>
    <sheet name="5月5日私帐支付" sheetId="8" r:id="rId7"/>
  </sheets>
  <calcPr calcId="144525"/>
</workbook>
</file>

<file path=xl/sharedStrings.xml><?xml version="1.0" encoding="utf-8"?>
<sst xmlns="http://schemas.openxmlformats.org/spreadsheetml/2006/main" count="154" uniqueCount="33">
  <si>
    <t>泛非-铁对帐单</t>
  </si>
  <si>
    <t>TO:</t>
  </si>
  <si>
    <t>广州喵喵国际货运代理有限公司</t>
  </si>
  <si>
    <t>DATE</t>
  </si>
  <si>
    <t>MCO</t>
  </si>
  <si>
    <t>KG</t>
  </si>
  <si>
    <t>应收</t>
  </si>
  <si>
    <t>行李号</t>
  </si>
  <si>
    <t>头程</t>
  </si>
  <si>
    <t>二程</t>
  </si>
  <si>
    <t>备注</t>
  </si>
  <si>
    <t>ET223048--58</t>
  </si>
  <si>
    <t>ET3617/30MAR/PMC5620ET</t>
  </si>
  <si>
    <t>LOADED THRU</t>
  </si>
  <si>
    <t>ET225112-13</t>
  </si>
  <si>
    <t>ET3617/02APR</t>
  </si>
  <si>
    <t>ET225115--19</t>
  </si>
  <si>
    <t>ET3751/05APR</t>
  </si>
  <si>
    <t>ET225152-53</t>
  </si>
  <si>
    <t>ET225134-48</t>
  </si>
  <si>
    <t>ET3751/03APR</t>
  </si>
  <si>
    <t>ET225606-10 /14/15</t>
  </si>
  <si>
    <t>ET3751/08APR</t>
  </si>
  <si>
    <t>ET225657-72</t>
  </si>
  <si>
    <t>ET3751/12APR</t>
  </si>
  <si>
    <t>ET329501-19</t>
  </si>
  <si>
    <t>ET329540-50</t>
  </si>
  <si>
    <t>ET330191-93</t>
  </si>
  <si>
    <t>合计</t>
  </si>
  <si>
    <t>户名：趙勝鉄</t>
  </si>
  <si>
    <t>账号：6212263602122492283</t>
  </si>
  <si>
    <t>开户行：工商銀行</t>
  </si>
  <si>
    <t>備注：合計到時候減300</t>
  </si>
</sst>
</file>

<file path=xl/styles.xml><?xml version="1.0" encoding="utf-8"?>
<styleSheet xmlns="http://schemas.openxmlformats.org/spreadsheetml/2006/main">
  <numFmts count="7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￥&quot;#,##0.00_);[Red]\(&quot;￥&quot;#,##0.00\)"/>
    <numFmt numFmtId="177" formatCode="&quot;JOB&quot;000000"/>
    <numFmt numFmtId="8" formatCode="&quot;￥&quot;#,##0.00;[Red]&quot;￥&quot;\-#,##0.00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b/>
      <sz val="15"/>
      <name val="宋体"/>
      <charset val="134"/>
    </font>
    <font>
      <b/>
      <sz val="15"/>
      <name val="Courier New"/>
      <charset val="134"/>
    </font>
    <font>
      <sz val="12"/>
      <name val="Courier New"/>
      <charset val="134"/>
    </font>
    <font>
      <sz val="12"/>
      <name val="宋体"/>
      <charset val="134"/>
    </font>
    <font>
      <sz val="10"/>
      <color rgb="FFFF0000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</font>
    <font>
      <sz val="11"/>
      <name val="Courier New"/>
      <charset val="134"/>
    </font>
    <font>
      <sz val="9"/>
      <color theme="1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13" borderId="6" applyNumberFormat="0" applyFont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22" fillId="17" borderId="7" applyNumberFormat="0" applyAlignment="0" applyProtection="0">
      <alignment vertical="center"/>
    </xf>
    <xf numFmtId="0" fontId="24" fillId="17" borderId="5" applyNumberFormat="0" applyAlignment="0" applyProtection="0">
      <alignment vertical="center"/>
    </xf>
    <xf numFmtId="0" fontId="26" fillId="18" borderId="8" applyNumberFormat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7" fontId="0" fillId="0" borderId="0" xfId="0" applyNumberFormat="1">
      <alignment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177" fontId="1" fillId="0" borderId="0" xfId="0" applyNumberFormat="1" applyFont="1">
      <alignment vertical="center"/>
    </xf>
    <xf numFmtId="0" fontId="2" fillId="0" borderId="1" xfId="0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8" fillId="2" borderId="1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177" fontId="9" fillId="0" borderId="4" xfId="0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76" fontId="8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8" fontId="8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left" vertical="center"/>
    </xf>
    <xf numFmtId="14" fontId="2" fillId="0" borderId="3" xfId="0" applyNumberFormat="1" applyFont="1" applyBorder="1" applyAlignment="1">
      <alignment horizontal="left" vertical="center"/>
    </xf>
    <xf numFmtId="177" fontId="2" fillId="0" borderId="4" xfId="0" applyNumberFormat="1" applyFont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4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76" fontId="13" fillId="2" borderId="1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14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176" fontId="13" fillId="0" borderId="1" xfId="0" applyNumberFormat="1" applyFont="1" applyFill="1" applyBorder="1" applyAlignment="1">
      <alignment horizontal="center" vertical="center" wrapText="1"/>
    </xf>
    <xf numFmtId="177" fontId="12" fillId="0" borderId="1" xfId="0" applyNumberFormat="1" applyFont="1" applyFill="1" applyBorder="1" applyAlignment="1">
      <alignment horizontal="center" vertical="center" wrapText="1"/>
    </xf>
    <xf numFmtId="8" fontId="13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F15" sqref="F15"/>
    </sheetView>
  </sheetViews>
  <sheetFormatPr defaultColWidth="9" defaultRowHeight="13.5" outlineLevelCol="7"/>
  <cols>
    <col min="1" max="1" width="9.375" customWidth="1"/>
    <col min="2" max="2" width="7.375" customWidth="1"/>
    <col min="3" max="3" width="6.125" customWidth="1"/>
    <col min="4" max="4" width="13.625" customWidth="1"/>
    <col min="5" max="5" width="11.625" customWidth="1"/>
    <col min="6" max="6" width="13.375" customWidth="1"/>
    <col min="7" max="7" width="12.625" customWidth="1"/>
    <col min="8" max="8" width="11.375" style="4" customWidth="1"/>
  </cols>
  <sheetData>
    <row r="1" ht="27" customHeight="1" spans="1:7">
      <c r="A1" s="5" t="s">
        <v>0</v>
      </c>
      <c r="B1" s="6"/>
      <c r="C1" s="6"/>
      <c r="D1" s="6"/>
      <c r="E1" s="6"/>
      <c r="F1" s="6"/>
      <c r="G1" s="6"/>
    </row>
    <row r="2" s="1" customFormat="1" ht="18" customHeight="1" spans="1:8">
      <c r="A2" s="7" t="s">
        <v>1</v>
      </c>
      <c r="B2" s="31" t="s">
        <v>2</v>
      </c>
      <c r="C2" s="32"/>
      <c r="D2" s="32"/>
      <c r="E2" s="32"/>
      <c r="F2" s="7"/>
      <c r="G2" s="7"/>
      <c r="H2" s="9"/>
    </row>
    <row r="3" s="2" customFormat="1" ht="19" customHeight="1" spans="1:8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1" t="s">
        <v>10</v>
      </c>
    </row>
    <row r="4" s="2" customFormat="1" ht="25" customHeight="1" spans="1:8">
      <c r="A4" s="33">
        <v>43551</v>
      </c>
      <c r="B4" s="34">
        <v>11</v>
      </c>
      <c r="C4" s="34">
        <v>473</v>
      </c>
      <c r="D4" s="35">
        <v>16854</v>
      </c>
      <c r="E4" s="34" t="s">
        <v>11</v>
      </c>
      <c r="F4" s="34" t="s">
        <v>12</v>
      </c>
      <c r="G4" s="34" t="s">
        <v>13</v>
      </c>
      <c r="H4" s="36">
        <v>30133</v>
      </c>
    </row>
    <row r="5" s="30" customFormat="1" ht="19" customHeight="1" spans="1:8">
      <c r="A5" s="37">
        <v>43554</v>
      </c>
      <c r="B5" s="38">
        <v>2</v>
      </c>
      <c r="C5" s="38">
        <v>83</v>
      </c>
      <c r="D5" s="39">
        <v>2910</v>
      </c>
      <c r="E5" s="38" t="s">
        <v>14</v>
      </c>
      <c r="F5" s="38" t="s">
        <v>15</v>
      </c>
      <c r="G5" s="38" t="s">
        <v>13</v>
      </c>
      <c r="H5" s="40">
        <v>30139</v>
      </c>
    </row>
    <row r="6" s="30" customFormat="1" ht="19" customHeight="1" spans="1:8">
      <c r="A6" s="37">
        <v>43555</v>
      </c>
      <c r="B6" s="38">
        <v>5</v>
      </c>
      <c r="C6" s="38">
        <v>209</v>
      </c>
      <c r="D6" s="39">
        <v>7328</v>
      </c>
      <c r="E6" s="38" t="s">
        <v>16</v>
      </c>
      <c r="F6" s="38" t="s">
        <v>17</v>
      </c>
      <c r="G6" s="38" t="s">
        <v>13</v>
      </c>
      <c r="H6" s="40">
        <v>40058</v>
      </c>
    </row>
    <row r="7" s="30" customFormat="1" ht="19" customHeight="1" spans="1:8">
      <c r="A7" s="37">
        <v>43557</v>
      </c>
      <c r="B7" s="38">
        <v>2</v>
      </c>
      <c r="C7" s="38">
        <v>87</v>
      </c>
      <c r="D7" s="39">
        <v>3050</v>
      </c>
      <c r="E7" s="38" t="s">
        <v>18</v>
      </c>
      <c r="F7" s="38" t="s">
        <v>17</v>
      </c>
      <c r="G7" s="38" t="s">
        <v>13</v>
      </c>
      <c r="H7" s="40">
        <v>40066</v>
      </c>
    </row>
    <row r="8" s="2" customFormat="1" ht="19" customHeight="1" spans="1:8">
      <c r="A8" s="33">
        <v>43556</v>
      </c>
      <c r="B8" s="34">
        <v>15</v>
      </c>
      <c r="C8" s="34">
        <v>618</v>
      </c>
      <c r="D8" s="35">
        <v>21668</v>
      </c>
      <c r="E8" s="34" t="s">
        <v>19</v>
      </c>
      <c r="F8" s="34" t="s">
        <v>20</v>
      </c>
      <c r="G8" s="34" t="s">
        <v>13</v>
      </c>
      <c r="H8" s="36">
        <v>40061</v>
      </c>
    </row>
    <row r="9" s="2" customFormat="1" ht="21" customHeight="1" spans="1:8">
      <c r="A9" s="33">
        <v>43561</v>
      </c>
      <c r="B9" s="34">
        <v>7</v>
      </c>
      <c r="C9" s="34">
        <v>282</v>
      </c>
      <c r="D9" s="35">
        <v>9887</v>
      </c>
      <c r="E9" s="34" t="s">
        <v>21</v>
      </c>
      <c r="F9" s="34" t="s">
        <v>22</v>
      </c>
      <c r="G9" s="34" t="s">
        <v>13</v>
      </c>
      <c r="H9" s="36">
        <v>40083</v>
      </c>
    </row>
    <row r="10" s="2" customFormat="1" ht="19" customHeight="1" spans="1:8">
      <c r="A10" s="33">
        <v>43564</v>
      </c>
      <c r="B10" s="34">
        <v>16</v>
      </c>
      <c r="C10" s="34">
        <v>668</v>
      </c>
      <c r="D10" s="35">
        <v>23421</v>
      </c>
      <c r="E10" s="34" t="s">
        <v>23</v>
      </c>
      <c r="F10" s="34" t="s">
        <v>24</v>
      </c>
      <c r="G10" s="34" t="s">
        <v>13</v>
      </c>
      <c r="H10" s="36">
        <v>40087</v>
      </c>
    </row>
    <row r="11" s="2" customFormat="1" ht="19" customHeight="1" spans="1:8">
      <c r="A11" s="33">
        <v>43569</v>
      </c>
      <c r="B11" s="34">
        <v>19</v>
      </c>
      <c r="C11" s="34">
        <v>807</v>
      </c>
      <c r="D11" s="35">
        <v>28295</v>
      </c>
      <c r="E11" s="34" t="s">
        <v>25</v>
      </c>
      <c r="F11" s="34"/>
      <c r="G11" s="34"/>
      <c r="H11" s="36">
        <v>40100</v>
      </c>
    </row>
    <row r="12" s="2" customFormat="1" ht="19" customHeight="1" spans="1:8">
      <c r="A12" s="33">
        <v>43570</v>
      </c>
      <c r="B12" s="34">
        <v>11</v>
      </c>
      <c r="C12" s="34">
        <v>457</v>
      </c>
      <c r="D12" s="35">
        <v>16023</v>
      </c>
      <c r="E12" s="34" t="s">
        <v>26</v>
      </c>
      <c r="F12" s="34"/>
      <c r="G12" s="34"/>
      <c r="H12" s="36">
        <v>40097</v>
      </c>
    </row>
    <row r="13" s="2" customFormat="1" ht="19" customHeight="1" spans="1:8">
      <c r="A13" s="33">
        <v>43570</v>
      </c>
      <c r="B13" s="34">
        <v>3</v>
      </c>
      <c r="C13" s="34">
        <v>92</v>
      </c>
      <c r="D13" s="35">
        <v>4508</v>
      </c>
      <c r="E13" s="34" t="s">
        <v>27</v>
      </c>
      <c r="F13" s="34"/>
      <c r="G13" s="34"/>
      <c r="H13" s="36">
        <v>40099</v>
      </c>
    </row>
    <row r="14" s="2" customFormat="1" ht="19" customHeight="1" spans="1:8">
      <c r="A14" s="33"/>
      <c r="B14" s="34"/>
      <c r="C14" s="34"/>
      <c r="D14" s="41">
        <v>-300</v>
      </c>
      <c r="E14" s="34"/>
      <c r="F14" s="34"/>
      <c r="G14" s="34"/>
      <c r="H14" s="36">
        <v>40099</v>
      </c>
    </row>
    <row r="15" s="2" customFormat="1" ht="19" customHeight="1" spans="1:8">
      <c r="A15" s="33" t="s">
        <v>28</v>
      </c>
      <c r="B15" s="34"/>
      <c r="C15" s="34"/>
      <c r="D15" s="35">
        <f>SUM(D4:D14)</f>
        <v>133644</v>
      </c>
      <c r="E15" s="34"/>
      <c r="F15" s="34"/>
      <c r="G15" s="34"/>
      <c r="H15" s="36"/>
    </row>
    <row r="16" s="3" customFormat="1" ht="19" customHeight="1" spans="1:8">
      <c r="A16" s="15" t="s">
        <v>29</v>
      </c>
      <c r="B16" s="16"/>
      <c r="C16" s="16"/>
      <c r="D16" s="16"/>
      <c r="E16" s="16"/>
      <c r="F16" s="16"/>
      <c r="G16" s="16"/>
      <c r="H16" s="17"/>
    </row>
    <row r="17" s="3" customFormat="1" ht="19" customHeight="1" spans="1:8">
      <c r="A17" s="15" t="s">
        <v>30</v>
      </c>
      <c r="B17" s="16"/>
      <c r="C17" s="16"/>
      <c r="D17" s="16"/>
      <c r="E17" s="16"/>
      <c r="F17" s="16"/>
      <c r="G17" s="16"/>
      <c r="H17" s="17"/>
    </row>
    <row r="18" s="3" customFormat="1" ht="19" customHeight="1" spans="1:8">
      <c r="A18" s="15" t="s">
        <v>31</v>
      </c>
      <c r="B18" s="16"/>
      <c r="C18" s="16"/>
      <c r="D18" s="16"/>
      <c r="E18" s="16"/>
      <c r="F18" s="16"/>
      <c r="G18" s="16"/>
      <c r="H18" s="17"/>
    </row>
  </sheetData>
  <mergeCells count="6">
    <mergeCell ref="A1:G1"/>
    <mergeCell ref="B2:E2"/>
    <mergeCell ref="F2:G2"/>
    <mergeCell ref="A16:H16"/>
    <mergeCell ref="A17:H17"/>
    <mergeCell ref="A18:H18"/>
  </mergeCells>
  <pageMargins left="0.75" right="0.75" top="0.236111111111111" bottom="1" header="0.156944444444444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E5" sqref="E5"/>
    </sheetView>
  </sheetViews>
  <sheetFormatPr defaultColWidth="9" defaultRowHeight="13.5" outlineLevelCol="7"/>
  <cols>
    <col min="1" max="1" width="9.375" customWidth="1"/>
    <col min="2" max="2" width="7.375" customWidth="1"/>
    <col min="3" max="3" width="6.125" customWidth="1"/>
    <col min="4" max="4" width="13.625" customWidth="1"/>
    <col min="5" max="6" width="16" customWidth="1"/>
    <col min="7" max="7" width="12.625" customWidth="1"/>
    <col min="8" max="8" width="14.375" style="4" customWidth="1"/>
  </cols>
  <sheetData>
    <row r="1" ht="54" customHeight="1" spans="1:7">
      <c r="A1" s="5" t="s">
        <v>0</v>
      </c>
      <c r="B1" s="6"/>
      <c r="C1" s="6"/>
      <c r="D1" s="6"/>
      <c r="E1" s="6"/>
      <c r="F1" s="6"/>
      <c r="G1" s="6"/>
    </row>
    <row r="2" s="1" customFormat="1" ht="29.1" customHeight="1" spans="1:8">
      <c r="A2" s="7" t="s">
        <v>1</v>
      </c>
      <c r="B2" s="8" t="s">
        <v>2</v>
      </c>
      <c r="C2" s="7"/>
      <c r="D2" s="7"/>
      <c r="E2" s="7"/>
      <c r="F2" s="7"/>
      <c r="G2" s="7"/>
      <c r="H2" s="9"/>
    </row>
    <row r="3" s="2" customFormat="1" ht="36" customHeight="1" spans="1:8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1" t="s">
        <v>10</v>
      </c>
    </row>
    <row r="4" s="2" customFormat="1" ht="36" customHeight="1" spans="1:8">
      <c r="A4" s="12">
        <v>43551</v>
      </c>
      <c r="B4" s="18">
        <v>11</v>
      </c>
      <c r="C4" s="18">
        <v>473</v>
      </c>
      <c r="D4" s="14">
        <v>16854</v>
      </c>
      <c r="E4" s="18" t="s">
        <v>11</v>
      </c>
      <c r="F4" s="26" t="s">
        <v>12</v>
      </c>
      <c r="G4" s="10" t="s">
        <v>13</v>
      </c>
      <c r="H4" s="11">
        <v>30133</v>
      </c>
    </row>
    <row r="5" s="2" customFormat="1" ht="36" customHeight="1" spans="1:8">
      <c r="A5" s="12" t="s">
        <v>28</v>
      </c>
      <c r="B5" s="10"/>
      <c r="C5" s="10"/>
      <c r="D5" s="14">
        <f>SUM(D4:D4)</f>
        <v>16854</v>
      </c>
      <c r="E5" s="10"/>
      <c r="F5" s="10"/>
      <c r="G5" s="10"/>
      <c r="H5" s="11"/>
    </row>
    <row r="6" s="2" customFormat="1" ht="19" customHeight="1" spans="1:8">
      <c r="A6" s="27" t="s">
        <v>32</v>
      </c>
      <c r="B6" s="28"/>
      <c r="C6" s="28"/>
      <c r="D6" s="28"/>
      <c r="E6" s="28"/>
      <c r="F6" s="28"/>
      <c r="G6" s="28"/>
      <c r="H6" s="29"/>
    </row>
    <row r="7" s="3" customFormat="1" ht="19" customHeight="1" spans="1:8">
      <c r="A7" s="15" t="s">
        <v>29</v>
      </c>
      <c r="B7" s="16"/>
      <c r="C7" s="16"/>
      <c r="D7" s="16"/>
      <c r="E7" s="16"/>
      <c r="F7" s="16"/>
      <c r="G7" s="16"/>
      <c r="H7" s="17"/>
    </row>
    <row r="8" s="3" customFormat="1" ht="19" customHeight="1" spans="1:8">
      <c r="A8" s="15" t="s">
        <v>30</v>
      </c>
      <c r="B8" s="16"/>
      <c r="C8" s="16"/>
      <c r="D8" s="16"/>
      <c r="E8" s="16"/>
      <c r="F8" s="16"/>
      <c r="G8" s="16"/>
      <c r="H8" s="17"/>
    </row>
    <row r="9" s="3" customFormat="1" ht="19" customHeight="1" spans="1:8">
      <c r="A9" s="15" t="s">
        <v>31</v>
      </c>
      <c r="B9" s="16"/>
      <c r="C9" s="16"/>
      <c r="D9" s="16"/>
      <c r="E9" s="16"/>
      <c r="F9" s="16"/>
      <c r="G9" s="16"/>
      <c r="H9" s="17"/>
    </row>
  </sheetData>
  <mergeCells count="7">
    <mergeCell ref="A1:G1"/>
    <mergeCell ref="B2:E2"/>
    <mergeCell ref="F2:G2"/>
    <mergeCell ref="A6:H6"/>
    <mergeCell ref="A7:H7"/>
    <mergeCell ref="A8:H8"/>
    <mergeCell ref="A9:H9"/>
  </mergeCells>
  <pageMargins left="0.472222222222222" right="0.432638888888889" top="0.354166666666667" bottom="1" header="0.27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F7" sqref="F7"/>
    </sheetView>
  </sheetViews>
  <sheetFormatPr defaultColWidth="9" defaultRowHeight="13.5" outlineLevelCol="7"/>
  <cols>
    <col min="1" max="1" width="9.375" customWidth="1"/>
    <col min="2" max="2" width="7.375" customWidth="1"/>
    <col min="3" max="3" width="6.125" customWidth="1"/>
    <col min="4" max="4" width="13.625" customWidth="1"/>
    <col min="5" max="6" width="16" customWidth="1"/>
    <col min="7" max="7" width="12.625" customWidth="1"/>
    <col min="8" max="8" width="14.375" style="4" customWidth="1"/>
  </cols>
  <sheetData>
    <row r="1" ht="40" customHeight="1" spans="1:7">
      <c r="A1" s="5" t="s">
        <v>0</v>
      </c>
      <c r="B1" s="6"/>
      <c r="C1" s="6"/>
      <c r="D1" s="6"/>
      <c r="E1" s="6"/>
      <c r="F1" s="6"/>
      <c r="G1" s="6"/>
    </row>
    <row r="2" s="1" customFormat="1" ht="29.1" customHeight="1" spans="1:8">
      <c r="A2" s="7" t="s">
        <v>1</v>
      </c>
      <c r="B2" s="8" t="s">
        <v>2</v>
      </c>
      <c r="C2" s="7"/>
      <c r="D2" s="7"/>
      <c r="E2" s="7"/>
      <c r="F2" s="7"/>
      <c r="G2" s="7"/>
      <c r="H2" s="9"/>
    </row>
    <row r="3" s="2" customFormat="1" ht="29.1" customHeight="1" spans="1:8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1" t="s">
        <v>10</v>
      </c>
    </row>
    <row r="4" s="2" customFormat="1" ht="29.1" customHeight="1" spans="1:8">
      <c r="A4" s="19">
        <v>43554</v>
      </c>
      <c r="B4" s="24">
        <v>2</v>
      </c>
      <c r="C4" s="24">
        <v>83</v>
      </c>
      <c r="D4" s="21">
        <v>2910</v>
      </c>
      <c r="E4" s="24" t="s">
        <v>14</v>
      </c>
      <c r="F4" s="24" t="s">
        <v>15</v>
      </c>
      <c r="G4" s="22" t="s">
        <v>13</v>
      </c>
      <c r="H4" s="23">
        <v>30139</v>
      </c>
    </row>
    <row r="5" s="2" customFormat="1" ht="29.1" customHeight="1" spans="1:8">
      <c r="A5" s="19">
        <v>43555</v>
      </c>
      <c r="B5" s="24">
        <v>5</v>
      </c>
      <c r="C5" s="24">
        <v>209</v>
      </c>
      <c r="D5" s="21">
        <v>7328</v>
      </c>
      <c r="E5" s="24" t="s">
        <v>16</v>
      </c>
      <c r="F5" s="24" t="s">
        <v>17</v>
      </c>
      <c r="G5" s="22" t="s">
        <v>13</v>
      </c>
      <c r="H5" s="23">
        <v>40058</v>
      </c>
    </row>
    <row r="6" s="2" customFormat="1" ht="29.1" customHeight="1" spans="1:8">
      <c r="A6" s="19">
        <v>43570</v>
      </c>
      <c r="B6" s="24">
        <v>3</v>
      </c>
      <c r="C6" s="24">
        <v>92</v>
      </c>
      <c r="D6" s="21">
        <v>4508</v>
      </c>
      <c r="E6" s="24" t="s">
        <v>27</v>
      </c>
      <c r="F6" s="24"/>
      <c r="G6" s="22"/>
      <c r="H6" s="23">
        <v>40099</v>
      </c>
    </row>
    <row r="7" s="2" customFormat="1" ht="29.1" customHeight="1" spans="1:8">
      <c r="A7" s="19"/>
      <c r="B7" s="24"/>
      <c r="C7" s="24"/>
      <c r="D7" s="25">
        <v>-300</v>
      </c>
      <c r="E7" s="24"/>
      <c r="F7" s="24"/>
      <c r="G7" s="22"/>
      <c r="H7" s="23">
        <v>40099</v>
      </c>
    </row>
    <row r="8" s="2" customFormat="1" ht="29.1" customHeight="1" spans="1:8">
      <c r="A8" s="12" t="s">
        <v>28</v>
      </c>
      <c r="B8" s="10"/>
      <c r="C8" s="10"/>
      <c r="D8" s="14">
        <f>SUM(D4:D7)</f>
        <v>14446</v>
      </c>
      <c r="E8" s="10"/>
      <c r="F8" s="10"/>
      <c r="G8" s="10"/>
      <c r="H8" s="11"/>
    </row>
    <row r="9" s="3" customFormat="1" ht="24.95" customHeight="1" spans="1:8">
      <c r="A9" s="15" t="s">
        <v>29</v>
      </c>
      <c r="B9" s="16"/>
      <c r="C9" s="16"/>
      <c r="D9" s="16"/>
      <c r="E9" s="16"/>
      <c r="F9" s="16"/>
      <c r="G9" s="16"/>
      <c r="H9" s="17"/>
    </row>
    <row r="10" s="3" customFormat="1" ht="24.95" customHeight="1" spans="1:8">
      <c r="A10" s="15" t="s">
        <v>30</v>
      </c>
      <c r="B10" s="16"/>
      <c r="C10" s="16"/>
      <c r="D10" s="16"/>
      <c r="E10" s="16"/>
      <c r="F10" s="16"/>
      <c r="G10" s="16"/>
      <c r="H10" s="17"/>
    </row>
    <row r="11" s="3" customFormat="1" ht="24.95" customHeight="1" spans="1:8">
      <c r="A11" s="15" t="s">
        <v>31</v>
      </c>
      <c r="B11" s="16"/>
      <c r="C11" s="16"/>
      <c r="D11" s="16"/>
      <c r="E11" s="16"/>
      <c r="F11" s="16"/>
      <c r="G11" s="16"/>
      <c r="H11" s="17"/>
    </row>
  </sheetData>
  <mergeCells count="6">
    <mergeCell ref="A1:G1"/>
    <mergeCell ref="B2:E2"/>
    <mergeCell ref="F2:G2"/>
    <mergeCell ref="A9:H9"/>
    <mergeCell ref="A10:H10"/>
    <mergeCell ref="A11:H11"/>
  </mergeCells>
  <pageMargins left="0.550694444444444" right="0.118055555555556" top="0.275" bottom="1" header="0.236111111111111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9"/>
  <sheetViews>
    <sheetView workbookViewId="0">
      <selection activeCell="D6" sqref="D6"/>
    </sheetView>
  </sheetViews>
  <sheetFormatPr defaultColWidth="9" defaultRowHeight="13.5" outlineLevelCol="7"/>
  <cols>
    <col min="1" max="1" width="9.375" customWidth="1"/>
    <col min="2" max="2" width="7.375" customWidth="1"/>
    <col min="3" max="3" width="6.125" customWidth="1"/>
    <col min="4" max="4" width="13.625" customWidth="1"/>
    <col min="5" max="6" width="16" customWidth="1"/>
    <col min="7" max="7" width="12.625" customWidth="1"/>
    <col min="8" max="8" width="17.7583333333333" style="4" customWidth="1"/>
  </cols>
  <sheetData>
    <row r="1" ht="54" customHeight="1" spans="1:7">
      <c r="A1" s="5" t="s">
        <v>0</v>
      </c>
      <c r="B1" s="6"/>
      <c r="C1" s="6"/>
      <c r="D1" s="6"/>
      <c r="E1" s="6"/>
      <c r="F1" s="6"/>
      <c r="G1" s="6"/>
    </row>
    <row r="2" s="1" customFormat="1" ht="29.1" customHeight="1" spans="1:8">
      <c r="A2" s="7" t="s">
        <v>1</v>
      </c>
      <c r="B2" s="8" t="s">
        <v>2</v>
      </c>
      <c r="C2" s="7"/>
      <c r="D2" s="7"/>
      <c r="E2" s="7"/>
      <c r="F2" s="7"/>
      <c r="G2" s="7"/>
      <c r="H2" s="9"/>
    </row>
    <row r="3" s="2" customFormat="1" ht="29.1" customHeight="1" spans="1:8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1" t="s">
        <v>10</v>
      </c>
    </row>
    <row r="4" s="2" customFormat="1" ht="29.1" customHeight="1" spans="1:8">
      <c r="A4" s="19">
        <v>43564</v>
      </c>
      <c r="B4" s="20">
        <v>16</v>
      </c>
      <c r="C4" s="20">
        <v>668</v>
      </c>
      <c r="D4" s="21">
        <v>23421</v>
      </c>
      <c r="E4" s="20" t="s">
        <v>23</v>
      </c>
      <c r="F4" s="20" t="s">
        <v>24</v>
      </c>
      <c r="G4" s="22" t="s">
        <v>13</v>
      </c>
      <c r="H4" s="23">
        <v>40087</v>
      </c>
    </row>
    <row r="5" s="2" customFormat="1" ht="29.1" customHeight="1" spans="1:8">
      <c r="A5" s="19">
        <v>43557</v>
      </c>
      <c r="B5" s="20">
        <v>2</v>
      </c>
      <c r="C5" s="20">
        <v>87</v>
      </c>
      <c r="D5" s="21">
        <v>3050</v>
      </c>
      <c r="E5" s="20" t="s">
        <v>18</v>
      </c>
      <c r="F5" s="20" t="s">
        <v>17</v>
      </c>
      <c r="G5" s="22" t="s">
        <v>13</v>
      </c>
      <c r="H5" s="23">
        <v>40066</v>
      </c>
    </row>
    <row r="6" s="2" customFormat="1" ht="29.1" customHeight="1" spans="1:8">
      <c r="A6" s="12" t="s">
        <v>28</v>
      </c>
      <c r="B6" s="10"/>
      <c r="C6" s="10"/>
      <c r="D6" s="14">
        <f>SUM(D4:D5)</f>
        <v>26471</v>
      </c>
      <c r="E6" s="10"/>
      <c r="F6" s="10"/>
      <c r="G6" s="10"/>
      <c r="H6" s="11"/>
    </row>
    <row r="7" s="3" customFormat="1" ht="24.95" customHeight="1" spans="1:8">
      <c r="A7" s="15" t="s">
        <v>29</v>
      </c>
      <c r="B7" s="16"/>
      <c r="C7" s="16"/>
      <c r="D7" s="16"/>
      <c r="E7" s="16"/>
      <c r="F7" s="16"/>
      <c r="G7" s="16"/>
      <c r="H7" s="17"/>
    </row>
    <row r="8" s="3" customFormat="1" ht="24.95" customHeight="1" spans="1:8">
      <c r="A8" s="15" t="s">
        <v>30</v>
      </c>
      <c r="B8" s="16"/>
      <c r="C8" s="16"/>
      <c r="D8" s="16"/>
      <c r="E8" s="16"/>
      <c r="F8" s="16"/>
      <c r="G8" s="16"/>
      <c r="H8" s="17"/>
    </row>
    <row r="9" s="3" customFormat="1" ht="24.95" customHeight="1" spans="1:8">
      <c r="A9" s="15" t="s">
        <v>31</v>
      </c>
      <c r="B9" s="16"/>
      <c r="C9" s="16"/>
      <c r="D9" s="16"/>
      <c r="E9" s="16"/>
      <c r="F9" s="16"/>
      <c r="G9" s="16"/>
      <c r="H9" s="17"/>
    </row>
  </sheetData>
  <mergeCells count="6">
    <mergeCell ref="A1:G1"/>
    <mergeCell ref="B2:E2"/>
    <mergeCell ref="F2:G2"/>
    <mergeCell ref="A7:H7"/>
    <mergeCell ref="A8:H8"/>
    <mergeCell ref="A9:H9"/>
  </mergeCells>
  <pageMargins left="0.75" right="0.75" top="0.432638888888889" bottom="1" header="0.354166666666667" footer="0.5"/>
  <pageSetup paperSize="9" scale="8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H1" sqref="H1"/>
    </sheetView>
  </sheetViews>
  <sheetFormatPr defaultColWidth="9" defaultRowHeight="13.5" outlineLevelRow="7" outlineLevelCol="7"/>
  <cols>
    <col min="1" max="1" width="9.375" customWidth="1"/>
    <col min="2" max="2" width="7.375" customWidth="1"/>
    <col min="3" max="3" width="6.125" customWidth="1"/>
    <col min="4" max="4" width="11" customWidth="1"/>
    <col min="5" max="6" width="16" customWidth="1"/>
    <col min="7" max="7" width="12.625" customWidth="1"/>
    <col min="8" max="8" width="9.25" style="4" customWidth="1"/>
  </cols>
  <sheetData>
    <row r="1" ht="54" customHeight="1" spans="1:7">
      <c r="A1" s="5" t="s">
        <v>0</v>
      </c>
      <c r="B1" s="6"/>
      <c r="C1" s="6"/>
      <c r="D1" s="6"/>
      <c r="E1" s="6"/>
      <c r="F1" s="6"/>
      <c r="G1" s="6"/>
    </row>
    <row r="2" s="1" customFormat="1" ht="29.1" customHeight="1" spans="1:8">
      <c r="A2" s="7" t="s">
        <v>1</v>
      </c>
      <c r="B2" s="8" t="s">
        <v>2</v>
      </c>
      <c r="C2" s="7"/>
      <c r="D2" s="7"/>
      <c r="E2" s="7"/>
      <c r="F2" s="7"/>
      <c r="G2" s="7"/>
      <c r="H2" s="9"/>
    </row>
    <row r="3" s="2" customFormat="1" ht="29.1" customHeight="1" spans="1:8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1" t="s">
        <v>10</v>
      </c>
    </row>
    <row r="4" s="2" customFormat="1" ht="29.1" customHeight="1" spans="1:8">
      <c r="A4" s="12">
        <v>43561</v>
      </c>
      <c r="B4" s="18">
        <v>7</v>
      </c>
      <c r="C4" s="18">
        <v>282</v>
      </c>
      <c r="D4" s="14">
        <v>9887</v>
      </c>
      <c r="E4" s="18" t="s">
        <v>21</v>
      </c>
      <c r="F4" s="18" t="s">
        <v>22</v>
      </c>
      <c r="G4" s="10" t="s">
        <v>13</v>
      </c>
      <c r="H4" s="11">
        <v>40083</v>
      </c>
    </row>
    <row r="5" s="2" customFormat="1" ht="29.1" customHeight="1" spans="1:8">
      <c r="A5" s="12" t="s">
        <v>28</v>
      </c>
      <c r="B5" s="10"/>
      <c r="C5" s="10"/>
      <c r="D5" s="14">
        <f>SUM(D4:D4)</f>
        <v>9887</v>
      </c>
      <c r="E5" s="10"/>
      <c r="F5" s="10"/>
      <c r="G5" s="10"/>
      <c r="H5" s="11"/>
    </row>
    <row r="6" s="3" customFormat="1" ht="24.95" customHeight="1" spans="1:8">
      <c r="A6" s="15" t="s">
        <v>29</v>
      </c>
      <c r="B6" s="16"/>
      <c r="C6" s="16"/>
      <c r="D6" s="16"/>
      <c r="E6" s="16"/>
      <c r="F6" s="16"/>
      <c r="G6" s="16"/>
      <c r="H6" s="17"/>
    </row>
    <row r="7" s="3" customFormat="1" ht="24.95" customHeight="1" spans="1:8">
      <c r="A7" s="15" t="s">
        <v>30</v>
      </c>
      <c r="B7" s="16"/>
      <c r="C7" s="16"/>
      <c r="D7" s="16"/>
      <c r="E7" s="16"/>
      <c r="F7" s="16"/>
      <c r="G7" s="16"/>
      <c r="H7" s="17"/>
    </row>
    <row r="8" s="3" customFormat="1" ht="24.95" customHeight="1" spans="1:8">
      <c r="A8" s="15" t="s">
        <v>31</v>
      </c>
      <c r="B8" s="16"/>
      <c r="C8" s="16"/>
      <c r="D8" s="16"/>
      <c r="E8" s="16"/>
      <c r="F8" s="16"/>
      <c r="G8" s="16"/>
      <c r="H8" s="17"/>
    </row>
  </sheetData>
  <mergeCells count="6">
    <mergeCell ref="A1:G1"/>
    <mergeCell ref="B2:E2"/>
    <mergeCell ref="F2:G2"/>
    <mergeCell ref="A6:H6"/>
    <mergeCell ref="A7:H7"/>
    <mergeCell ref="A8:H8"/>
  </mergeCells>
  <pageMargins left="0.75" right="0.75" top="0.432638888888889" bottom="1" header="0.354166666666667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9"/>
  <sheetViews>
    <sheetView workbookViewId="0">
      <selection activeCell="D14" sqref="D14"/>
    </sheetView>
  </sheetViews>
  <sheetFormatPr defaultColWidth="9" defaultRowHeight="13.5" outlineLevelCol="7"/>
  <cols>
    <col min="1" max="1" width="9.375" customWidth="1"/>
    <col min="2" max="2" width="7.375" customWidth="1"/>
    <col min="3" max="3" width="6.125" customWidth="1"/>
    <col min="4" max="4" width="13.625" customWidth="1"/>
    <col min="5" max="6" width="16" customWidth="1"/>
    <col min="7" max="7" width="12.625" customWidth="1"/>
    <col min="8" max="8" width="14.375" style="4" customWidth="1"/>
  </cols>
  <sheetData>
    <row r="1" ht="54" customHeight="1" spans="1:7">
      <c r="A1" s="5" t="s">
        <v>0</v>
      </c>
      <c r="B1" s="6"/>
      <c r="C1" s="6"/>
      <c r="D1" s="6"/>
      <c r="E1" s="6"/>
      <c r="F1" s="6"/>
      <c r="G1" s="6"/>
    </row>
    <row r="2" s="1" customFormat="1" ht="29.1" customHeight="1" spans="1:8">
      <c r="A2" s="7" t="s">
        <v>1</v>
      </c>
      <c r="B2" s="8" t="s">
        <v>2</v>
      </c>
      <c r="C2" s="7"/>
      <c r="D2" s="7"/>
      <c r="E2" s="7"/>
      <c r="F2" s="7"/>
      <c r="G2" s="7"/>
      <c r="H2" s="9"/>
    </row>
    <row r="3" s="2" customFormat="1" ht="29.1" customHeight="1" spans="1:8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1" t="s">
        <v>10</v>
      </c>
    </row>
    <row r="4" s="2" customFormat="1" ht="29.1" customHeight="1" spans="1:8">
      <c r="A4" s="12">
        <v>43569</v>
      </c>
      <c r="B4" s="13">
        <v>19</v>
      </c>
      <c r="C4" s="13">
        <v>807</v>
      </c>
      <c r="D4" s="14">
        <v>28295</v>
      </c>
      <c r="E4" s="13" t="s">
        <v>25</v>
      </c>
      <c r="F4" s="13"/>
      <c r="G4" s="10"/>
      <c r="H4" s="11">
        <v>40100</v>
      </c>
    </row>
    <row r="5" s="2" customFormat="1" ht="29.1" customHeight="1" spans="1:8">
      <c r="A5" s="12">
        <v>43570</v>
      </c>
      <c r="B5" s="13">
        <v>11</v>
      </c>
      <c r="C5" s="13">
        <v>457</v>
      </c>
      <c r="D5" s="14">
        <v>16023</v>
      </c>
      <c r="E5" s="13" t="s">
        <v>26</v>
      </c>
      <c r="F5" s="13"/>
      <c r="G5" s="10"/>
      <c r="H5" s="11">
        <v>40097</v>
      </c>
    </row>
    <row r="6" s="2" customFormat="1" ht="29.1" customHeight="1" spans="1:8">
      <c r="A6" s="12" t="s">
        <v>28</v>
      </c>
      <c r="B6" s="10"/>
      <c r="C6" s="10"/>
      <c r="D6" s="14">
        <f>SUM(D4:D5)</f>
        <v>44318</v>
      </c>
      <c r="E6" s="10"/>
      <c r="F6" s="10"/>
      <c r="G6" s="10"/>
      <c r="H6" s="11"/>
    </row>
    <row r="7" s="3" customFormat="1" ht="24.95" customHeight="1" spans="1:8">
      <c r="A7" s="15" t="s">
        <v>29</v>
      </c>
      <c r="B7" s="16"/>
      <c r="C7" s="16"/>
      <c r="D7" s="16"/>
      <c r="E7" s="16"/>
      <c r="F7" s="16"/>
      <c r="G7" s="16"/>
      <c r="H7" s="17"/>
    </row>
    <row r="8" s="3" customFormat="1" ht="24.95" customHeight="1" spans="1:8">
      <c r="A8" s="15" t="s">
        <v>30</v>
      </c>
      <c r="B8" s="16"/>
      <c r="C8" s="16"/>
      <c r="D8" s="16"/>
      <c r="E8" s="16"/>
      <c r="F8" s="16"/>
      <c r="G8" s="16"/>
      <c r="H8" s="17"/>
    </row>
    <row r="9" s="3" customFormat="1" ht="24.95" customHeight="1" spans="1:8">
      <c r="A9" s="15" t="s">
        <v>31</v>
      </c>
      <c r="B9" s="16"/>
      <c r="C9" s="16"/>
      <c r="D9" s="16"/>
      <c r="E9" s="16"/>
      <c r="F9" s="16"/>
      <c r="G9" s="16"/>
      <c r="H9" s="17"/>
    </row>
  </sheetData>
  <mergeCells count="6">
    <mergeCell ref="A1:G1"/>
    <mergeCell ref="B2:E2"/>
    <mergeCell ref="F2:G2"/>
    <mergeCell ref="A7:H7"/>
    <mergeCell ref="A8:H8"/>
    <mergeCell ref="A9:H9"/>
  </mergeCells>
  <pageMargins left="0.75" right="0.75" top="0.432638888888889" bottom="1" header="0.275" footer="0.5"/>
  <pageSetup paperSize="9" scale="92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F25" sqref="F25"/>
    </sheetView>
  </sheetViews>
  <sheetFormatPr defaultColWidth="9" defaultRowHeight="13.5" outlineLevelRow="7" outlineLevelCol="7"/>
  <cols>
    <col min="1" max="1" width="9.375" customWidth="1"/>
    <col min="2" max="2" width="7.375" customWidth="1"/>
    <col min="3" max="3" width="6.125" customWidth="1"/>
    <col min="4" max="4" width="13.625" customWidth="1"/>
    <col min="5" max="6" width="16" customWidth="1"/>
    <col min="7" max="7" width="12.625" customWidth="1"/>
    <col min="8" max="8" width="14.375" style="4" customWidth="1"/>
  </cols>
  <sheetData>
    <row r="1" ht="54" customHeight="1" spans="1:7">
      <c r="A1" s="5" t="s">
        <v>0</v>
      </c>
      <c r="B1" s="6"/>
      <c r="C1" s="6"/>
      <c r="D1" s="6"/>
      <c r="E1" s="6"/>
      <c r="F1" s="6"/>
      <c r="G1" s="6"/>
    </row>
    <row r="2" s="1" customFormat="1" ht="29.1" customHeight="1" spans="1:8">
      <c r="A2" s="7" t="s">
        <v>1</v>
      </c>
      <c r="B2" s="8" t="s">
        <v>2</v>
      </c>
      <c r="C2" s="7"/>
      <c r="D2" s="7"/>
      <c r="E2" s="7"/>
      <c r="F2" s="7"/>
      <c r="G2" s="7"/>
      <c r="H2" s="9"/>
    </row>
    <row r="3" s="2" customFormat="1" ht="29.1" customHeight="1" spans="1:8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1" t="s">
        <v>10</v>
      </c>
    </row>
    <row r="4" s="2" customFormat="1" ht="29.1" customHeight="1" spans="1:8">
      <c r="A4" s="12">
        <v>43556</v>
      </c>
      <c r="B4" s="13">
        <v>15</v>
      </c>
      <c r="C4" s="13">
        <v>618</v>
      </c>
      <c r="D4" s="14">
        <v>21668</v>
      </c>
      <c r="E4" s="13" t="s">
        <v>19</v>
      </c>
      <c r="F4" s="13" t="s">
        <v>20</v>
      </c>
      <c r="G4" s="10" t="s">
        <v>13</v>
      </c>
      <c r="H4" s="11">
        <v>40061</v>
      </c>
    </row>
    <row r="5" s="2" customFormat="1" ht="29.1" customHeight="1" spans="1:8">
      <c r="A5" s="12" t="s">
        <v>28</v>
      </c>
      <c r="B5" s="10"/>
      <c r="C5" s="10"/>
      <c r="D5" s="14">
        <f>SUM(D4:D4)</f>
        <v>21668</v>
      </c>
      <c r="E5" s="10"/>
      <c r="F5" s="10"/>
      <c r="G5" s="10"/>
      <c r="H5" s="11"/>
    </row>
    <row r="6" s="3" customFormat="1" ht="24.95" customHeight="1" spans="1:8">
      <c r="A6" s="15" t="s">
        <v>29</v>
      </c>
      <c r="B6" s="16"/>
      <c r="C6" s="16"/>
      <c r="D6" s="16"/>
      <c r="E6" s="16"/>
      <c r="F6" s="16"/>
      <c r="G6" s="16"/>
      <c r="H6" s="17"/>
    </row>
    <row r="7" s="3" customFormat="1" ht="24.95" customHeight="1" spans="1:8">
      <c r="A7" s="15" t="s">
        <v>30</v>
      </c>
      <c r="B7" s="16"/>
      <c r="C7" s="16"/>
      <c r="D7" s="16"/>
      <c r="E7" s="16"/>
      <c r="F7" s="16"/>
      <c r="G7" s="16"/>
      <c r="H7" s="17"/>
    </row>
    <row r="8" s="3" customFormat="1" ht="24.95" customHeight="1" spans="1:8">
      <c r="A8" s="15" t="s">
        <v>31</v>
      </c>
      <c r="B8" s="16"/>
      <c r="C8" s="16"/>
      <c r="D8" s="16"/>
      <c r="E8" s="16"/>
      <c r="F8" s="16"/>
      <c r="G8" s="16"/>
      <c r="H8" s="17"/>
    </row>
  </sheetData>
  <mergeCells count="6">
    <mergeCell ref="A1:G1"/>
    <mergeCell ref="B2:E2"/>
    <mergeCell ref="F2:G2"/>
    <mergeCell ref="A6:H6"/>
    <mergeCell ref="A7:H7"/>
    <mergeCell ref="A8:H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总欠</vt:lpstr>
      <vt:lpstr>4月19日私帐支付</vt:lpstr>
      <vt:lpstr>4月22日私帐支付</vt:lpstr>
      <vt:lpstr>4月24日私帐支付</vt:lpstr>
      <vt:lpstr>4月26日私帐支付</vt:lpstr>
      <vt:lpstr>4月30日私帐支付</vt:lpstr>
      <vt:lpstr>5月5日私帐支付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2019-03-20T08:06:00Z</dcterms:created>
  <dcterms:modified xsi:type="dcterms:W3CDTF">2019-05-17T03:22:34Z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