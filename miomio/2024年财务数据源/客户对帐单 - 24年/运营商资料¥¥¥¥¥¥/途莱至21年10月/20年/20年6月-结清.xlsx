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Sheet1" sheetId="1" r:id="rId1"/>
    <sheet name="Sheet1 (2)" sheetId="2" r:id="rId2"/>
  </sheets>
  <definedNames>
    <definedName name="_xlnm.Print_Area" localSheetId="1">'Sheet1 (2)'!$A$1:$L$5</definedName>
  </definedNames>
  <calcPr calcId="144525"/>
</workbook>
</file>

<file path=xl/sharedStrings.xml><?xml version="1.0" encoding="utf-8"?>
<sst xmlns="http://schemas.openxmlformats.org/spreadsheetml/2006/main" count="46" uniqueCount="24">
  <si>
    <t>广州途莱6月份对账单</t>
  </si>
  <si>
    <t>日期</t>
  </si>
  <si>
    <t>AWB</t>
  </si>
  <si>
    <t>起运港</t>
  </si>
  <si>
    <t>目的港</t>
  </si>
  <si>
    <t>件数</t>
  </si>
  <si>
    <t>公斤数（KG）</t>
  </si>
  <si>
    <t>价格</t>
  </si>
  <si>
    <t>提货费</t>
  </si>
  <si>
    <t>杂费</t>
  </si>
  <si>
    <t>货币</t>
  </si>
  <si>
    <t>总额</t>
  </si>
  <si>
    <t>备注</t>
  </si>
  <si>
    <t>071-37726415</t>
  </si>
  <si>
    <t>HKG</t>
  </si>
  <si>
    <t>LLW</t>
  </si>
  <si>
    <t>RMB</t>
  </si>
  <si>
    <t>JOB060151
JOB070159</t>
  </si>
  <si>
    <t>071-37726426</t>
  </si>
  <si>
    <t>ACC</t>
  </si>
  <si>
    <t>JOB060174</t>
  </si>
  <si>
    <t>合计</t>
  </si>
  <si>
    <t>支付：途莱物流明细</t>
  </si>
  <si>
    <t>私账支付</t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</si>
</sst>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176" formatCode="yyyy&quot;年&quot;m&quot;月&quot;d&quot;日&quot;;@"/>
    <numFmt numFmtId="177" formatCode="[$-409]dd/mmm/yy;@"/>
    <numFmt numFmtId="178" formatCode="&quot;￥&quot;#,##0.00_);[Red]\(&quot;￥&quot;#,##0.00\)"/>
    <numFmt numFmtId="179" formatCode="0.00_ "/>
    <numFmt numFmtId="180" formatCode="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81" formatCode="0_ "/>
    <numFmt numFmtId="182" formatCode="&quot;JOB&quot;000000"/>
    <numFmt numFmtId="183" formatCode="&quot;￥&quot;#,##0_);[Red]\(&quot;￥&quot;#,##0\)"/>
  </numFmts>
  <fonts count="30">
    <font>
      <sz val="11"/>
      <color theme="1"/>
      <name val="宋体"/>
      <charset val="134"/>
      <scheme val="minor"/>
    </font>
    <font>
      <sz val="10"/>
      <color theme="6" tint="-0.5"/>
      <name val="宋体"/>
      <charset val="134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0"/>
      <color theme="1"/>
      <name val="宋体"/>
      <charset val="134"/>
    </font>
    <font>
      <sz val="18"/>
      <color theme="1"/>
      <name val="宋体"/>
      <charset val="134"/>
      <scheme val="minor"/>
    </font>
    <font>
      <b/>
      <sz val="10"/>
      <name val="宋体"/>
      <charset val="134"/>
    </font>
    <font>
      <b/>
      <sz val="9"/>
      <name val="宋体"/>
      <charset val="134"/>
    </font>
    <font>
      <sz val="10"/>
      <color theme="1"/>
      <name val="宋体"/>
      <charset val="134"/>
      <scheme val="maj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9" fillId="18" borderId="9" applyNumberFormat="0" applyAlignment="0" applyProtection="0">
      <alignment vertical="center"/>
    </xf>
    <xf numFmtId="0" fontId="21" fillId="18" borderId="4" applyNumberForma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0" fontId="3" fillId="0" borderId="0" xfId="0" applyNumberFormat="1" applyFont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82" fontId="0" fillId="0" borderId="0" xfId="0" applyNumberForma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3" sqref="$A3:$XFD4"/>
    </sheetView>
  </sheetViews>
  <sheetFormatPr defaultColWidth="19.875" defaultRowHeight="13.5" outlineLevelRow="4"/>
  <cols>
    <col min="1" max="1" width="7.25" style="3" customWidth="1"/>
    <col min="2" max="2" width="11.25" style="4" customWidth="1"/>
    <col min="3" max="3" width="5.625" style="4" customWidth="1"/>
    <col min="4" max="4" width="4.25" style="4" customWidth="1"/>
    <col min="5" max="5" width="4.375" style="4" customWidth="1"/>
    <col min="6" max="6" width="6.875" style="5" customWidth="1"/>
    <col min="7" max="7" width="6.5" style="5" customWidth="1"/>
    <col min="8" max="8" width="7.875" style="5" customWidth="1"/>
    <col min="9" max="9" width="7.5" style="5" customWidth="1"/>
    <col min="10" max="10" width="5.875" style="5" customWidth="1"/>
    <col min="11" max="11" width="14.1416666666667" style="5" customWidth="1"/>
    <col min="12" max="12" width="11.75" style="28" customWidth="1"/>
    <col min="13" max="16370" width="19.875" style="4" customWidth="1"/>
    <col min="16371" max="16384" width="19.875" style="4"/>
  </cols>
  <sheetData>
    <row r="1" ht="37" customHeight="1" spans="1:1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36"/>
    </row>
    <row r="2" s="27" customFormat="1" ht="51" customHeight="1" spans="1:12">
      <c r="A2" s="30" t="s">
        <v>1</v>
      </c>
      <c r="B2" s="31" t="s">
        <v>2</v>
      </c>
      <c r="C2" s="32" t="s">
        <v>3</v>
      </c>
      <c r="D2" s="32" t="s">
        <v>4</v>
      </c>
      <c r="E2" s="33" t="s">
        <v>5</v>
      </c>
      <c r="F2" s="30" t="s">
        <v>6</v>
      </c>
      <c r="G2" s="30" t="s">
        <v>7</v>
      </c>
      <c r="H2" s="30" t="s">
        <v>8</v>
      </c>
      <c r="I2" s="30" t="s">
        <v>9</v>
      </c>
      <c r="J2" s="30" t="s">
        <v>10</v>
      </c>
      <c r="K2" s="37" t="s">
        <v>11</v>
      </c>
      <c r="L2" s="38" t="s">
        <v>12</v>
      </c>
    </row>
    <row r="3" ht="36" customHeight="1" spans="1:12">
      <c r="A3" s="10">
        <v>44005</v>
      </c>
      <c r="B3" s="11" t="s">
        <v>13</v>
      </c>
      <c r="C3" s="11" t="s">
        <v>14</v>
      </c>
      <c r="D3" s="11" t="s">
        <v>15</v>
      </c>
      <c r="E3" s="12">
        <v>17</v>
      </c>
      <c r="F3" s="13">
        <v>464</v>
      </c>
      <c r="G3" s="13">
        <v>58</v>
      </c>
      <c r="H3" s="13">
        <v>350</v>
      </c>
      <c r="I3" s="13">
        <v>465</v>
      </c>
      <c r="J3" s="13" t="s">
        <v>16</v>
      </c>
      <c r="K3" s="22">
        <f>(G3*F3)+H3+I3</f>
        <v>27727</v>
      </c>
      <c r="L3" s="23" t="s">
        <v>17</v>
      </c>
    </row>
    <row r="4" ht="36" customHeight="1" spans="1:12">
      <c r="A4" s="10">
        <v>44005</v>
      </c>
      <c r="B4" s="11" t="s">
        <v>18</v>
      </c>
      <c r="C4" s="11" t="s">
        <v>14</v>
      </c>
      <c r="D4" s="11" t="s">
        <v>19</v>
      </c>
      <c r="E4" s="12">
        <v>6</v>
      </c>
      <c r="F4" s="13">
        <v>165</v>
      </c>
      <c r="G4" s="13">
        <v>56</v>
      </c>
      <c r="H4" s="13"/>
      <c r="I4" s="13">
        <v>186</v>
      </c>
      <c r="J4" s="13" t="s">
        <v>16</v>
      </c>
      <c r="K4" s="22">
        <f>(G4*F4)+H4+I4</f>
        <v>9426</v>
      </c>
      <c r="L4" s="24" t="s">
        <v>20</v>
      </c>
    </row>
    <row r="5" s="2" customFormat="1" ht="36" customHeight="1" spans="1:12">
      <c r="A5" s="34" t="s">
        <v>21</v>
      </c>
      <c r="B5" s="25"/>
      <c r="C5" s="25"/>
      <c r="D5" s="25"/>
      <c r="E5" s="25"/>
      <c r="F5" s="26"/>
      <c r="G5" s="26"/>
      <c r="H5" s="35"/>
      <c r="I5" s="26"/>
      <c r="J5" s="26"/>
      <c r="K5" s="39">
        <f>SUM(K3:K4)</f>
        <v>37153</v>
      </c>
      <c r="L5" s="40"/>
    </row>
  </sheetData>
  <mergeCells count="1">
    <mergeCell ref="A1:K1"/>
  </mergeCells>
  <pageMargins left="0.747916666666667" right="0.156944444444444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"/>
  <sheetViews>
    <sheetView tabSelected="1" workbookViewId="0">
      <selection activeCell="N6" sqref="N6"/>
    </sheetView>
  </sheetViews>
  <sheetFormatPr defaultColWidth="19.875" defaultRowHeight="13.5" outlineLevelRow="4"/>
  <cols>
    <col min="1" max="1" width="7.25" style="3" customWidth="1"/>
    <col min="2" max="2" width="12.125" style="4" customWidth="1"/>
    <col min="3" max="3" width="6.25" style="4" customWidth="1"/>
    <col min="4" max="4" width="5.875" style="4" customWidth="1"/>
    <col min="5" max="5" width="4" style="4" customWidth="1"/>
    <col min="6" max="6" width="7.375" style="5" customWidth="1"/>
    <col min="7" max="7" width="6.5" style="5" customWidth="1"/>
    <col min="8" max="8" width="6.375" style="5" customWidth="1"/>
    <col min="9" max="9" width="7.5" style="5" customWidth="1"/>
    <col min="10" max="10" width="6.375" style="5" customWidth="1"/>
    <col min="11" max="11" width="14.8916666666667" style="4" customWidth="1"/>
    <col min="12" max="12" width="10.9" style="4" customWidth="1"/>
    <col min="13" max="16376" width="19.875" style="4" customWidth="1"/>
    <col min="16377" max="16384" width="19.875" style="4"/>
  </cols>
  <sheetData>
    <row r="1" ht="30" customHeight="1" spans="1:1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1" customFormat="1" ht="30" customHeight="1" spans="1:16384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10</v>
      </c>
      <c r="I2" s="7" t="s">
        <v>8</v>
      </c>
      <c r="J2" s="7" t="s">
        <v>9</v>
      </c>
      <c r="K2" s="20" t="s">
        <v>12</v>
      </c>
      <c r="L2" s="21" t="s">
        <v>12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ht="36" customHeight="1" spans="1:16384">
      <c r="A3" s="10">
        <v>44005</v>
      </c>
      <c r="B3" s="11" t="s">
        <v>13</v>
      </c>
      <c r="C3" s="11" t="s">
        <v>14</v>
      </c>
      <c r="D3" s="11" t="s">
        <v>15</v>
      </c>
      <c r="E3" s="12">
        <v>17</v>
      </c>
      <c r="F3" s="13">
        <v>464</v>
      </c>
      <c r="G3" s="13">
        <v>58</v>
      </c>
      <c r="H3" s="13">
        <v>350</v>
      </c>
      <c r="I3" s="13">
        <v>465</v>
      </c>
      <c r="J3" s="13"/>
      <c r="K3" s="22">
        <f>(G3*F3)+H3+I3</f>
        <v>27727</v>
      </c>
      <c r="L3" s="23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="1" customFormat="1" ht="36" customHeight="1" spans="1:16384">
      <c r="A4" s="10">
        <v>44005</v>
      </c>
      <c r="B4" s="11" t="s">
        <v>18</v>
      </c>
      <c r="C4" s="11" t="s">
        <v>14</v>
      </c>
      <c r="D4" s="11" t="s">
        <v>19</v>
      </c>
      <c r="E4" s="12">
        <v>6</v>
      </c>
      <c r="F4" s="13">
        <v>165</v>
      </c>
      <c r="G4" s="13">
        <v>56</v>
      </c>
      <c r="H4" s="13"/>
      <c r="I4" s="13">
        <v>186</v>
      </c>
      <c r="J4" s="13"/>
      <c r="K4" s="22">
        <f>(G4*F4)+H4+I4</f>
        <v>9426</v>
      </c>
      <c r="L4" s="24" t="s">
        <v>20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="2" customFormat="1" ht="31" customHeight="1" spans="1:12">
      <c r="A5" s="14">
        <v>44043</v>
      </c>
      <c r="B5" s="15" t="s">
        <v>23</v>
      </c>
      <c r="C5" s="16"/>
      <c r="D5" s="17"/>
      <c r="E5" s="18"/>
      <c r="F5" s="18"/>
      <c r="G5" s="19"/>
      <c r="H5" s="19"/>
      <c r="I5" s="19"/>
      <c r="J5" s="25"/>
      <c r="K5" s="26">
        <v>-37153</v>
      </c>
      <c r="L5" s="25"/>
    </row>
  </sheetData>
  <mergeCells count="1">
    <mergeCell ref="A1:K1"/>
  </mergeCells>
  <pageMargins left="0.590277777777778" right="0.156944444444444" top="0.747916666666667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2020-04-21T04:19:00Z</dcterms:created>
  <dcterms:modified xsi:type="dcterms:W3CDTF">2020-07-31T08:39:30Z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