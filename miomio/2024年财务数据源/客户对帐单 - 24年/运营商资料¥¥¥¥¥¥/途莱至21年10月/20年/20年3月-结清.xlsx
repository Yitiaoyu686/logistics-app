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Sheet1" sheetId="1" r:id="rId1"/>
    <sheet name="Sheet1 (2)" sheetId="2" r:id="rId2"/>
  </sheets>
  <definedNames>
    <definedName name="_xlnm.Print_Area" localSheetId="1">'Sheet1 (2)'!$A$1:$K$8</definedName>
  </definedNames>
  <calcPr calcId="144525"/>
</workbook>
</file>

<file path=xl/sharedStrings.xml><?xml version="1.0" encoding="utf-8"?>
<sst xmlns="http://schemas.openxmlformats.org/spreadsheetml/2006/main" count="52" uniqueCount="26">
  <si>
    <t>广州途莱3月份对账单</t>
  </si>
  <si>
    <t>DATE
日期</t>
  </si>
  <si>
    <t>AWB
提单号</t>
  </si>
  <si>
    <t>目的港</t>
  </si>
  <si>
    <t>CTNS
件数</t>
  </si>
  <si>
    <t>KG
重量</t>
  </si>
  <si>
    <t>PRICE
卖价</t>
  </si>
  <si>
    <t>提货费</t>
  </si>
  <si>
    <t>登记费
停车费</t>
  </si>
  <si>
    <t>AMOUNT
运费金额</t>
  </si>
  <si>
    <t>应付金额</t>
  </si>
  <si>
    <t>备注</t>
  </si>
  <si>
    <t>071-36883011</t>
  </si>
  <si>
    <t>LOS</t>
  </si>
  <si>
    <t>JOB030171</t>
  </si>
  <si>
    <t>071-36886673</t>
  </si>
  <si>
    <t>JOB030173</t>
  </si>
  <si>
    <t>071-36882985</t>
  </si>
  <si>
    <t>JOB030170</t>
  </si>
  <si>
    <t>071-36890766</t>
  </si>
  <si>
    <t>ACC</t>
  </si>
  <si>
    <t>JOB030181</t>
  </si>
  <si>
    <t>合计</t>
  </si>
  <si>
    <t>支付：途莱物流明细</t>
  </si>
  <si>
    <t>私账支付</t>
  </si>
  <si>
    <t>欠</t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</si>
</sst>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yyyy&quot;年&quot;m&quot;月&quot;d&quot;日&quot;;@"/>
    <numFmt numFmtId="177" formatCode="&quot;￥&quot;#,##0.00_);[Red]\(&quot;￥&quot;#,##0.00\)"/>
    <numFmt numFmtId="178" formatCode="m&quot;月&quot;d&quot;日&quot;;@"/>
    <numFmt numFmtId="179" formatCode="0_ "/>
    <numFmt numFmtId="180" formatCode="[$-409]dd/mmm/yy;@"/>
    <numFmt numFmtId="181" formatCode="0.00_ "/>
    <numFmt numFmtId="182" formatCode="&quot;￥&quot;#,##0_);[Red]\(&quot;￥&quot;#,##0\)"/>
  </numFmts>
  <fonts count="25">
    <font>
      <sz val="11"/>
      <color theme="1"/>
      <name val="宋体"/>
      <charset val="134"/>
      <scheme val="minor"/>
    </font>
    <font>
      <sz val="10"/>
      <color theme="6" tint="-0.5"/>
      <name val="宋体"/>
      <charset val="134"/>
    </font>
    <font>
      <sz val="1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</font>
    <font>
      <sz val="2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16" fillId="15" borderId="3" applyNumberFormat="0" applyAlignment="0" applyProtection="0">
      <alignment vertical="center"/>
    </xf>
    <xf numFmtId="0" fontId="18" fillId="18" borderId="5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3" fillId="0" borderId="0" xfId="0" applyNumberFormat="1" applyFont="1" applyAlignment="1">
      <alignment horizontal="left" vertical="center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Fill="1" applyBorder="1" applyAlignment="1">
      <alignment horizontal="center" vertical="center"/>
    </xf>
    <xf numFmtId="182" fontId="4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C13" sqref="C13"/>
    </sheetView>
  </sheetViews>
  <sheetFormatPr defaultColWidth="19.875" defaultRowHeight="13.5" outlineLevelRow="6"/>
  <cols>
    <col min="1" max="1" width="7.25" style="3" customWidth="1"/>
    <col min="2" max="2" width="12.125" style="4" customWidth="1"/>
    <col min="3" max="3" width="6.25" style="4" customWidth="1"/>
    <col min="4" max="4" width="5.875" style="4" customWidth="1"/>
    <col min="5" max="5" width="9.375" style="4" customWidth="1"/>
    <col min="6" max="6" width="7.375" style="5" customWidth="1"/>
    <col min="7" max="7" width="6.5" style="5" customWidth="1"/>
    <col min="8" max="8" width="7.5" style="5" customWidth="1"/>
    <col min="9" max="9" width="9.125" style="5" customWidth="1"/>
    <col min="10" max="10" width="13.25" style="5" customWidth="1"/>
    <col min="11" max="11" width="10.75" style="4" customWidth="1"/>
    <col min="12" max="16376" width="19.875" style="4" customWidth="1"/>
    <col min="16377" max="16384" width="19.875" style="4"/>
  </cols>
  <sheetData>
    <row r="1" ht="37" customHeight="1" spans="1:1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="1" customFormat="1" ht="33" customHeight="1" spans="1:11">
      <c r="A2" s="7" t="s">
        <v>1</v>
      </c>
      <c r="B2" s="8" t="s">
        <v>2</v>
      </c>
      <c r="C2" s="9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20" t="s">
        <v>9</v>
      </c>
      <c r="J2" s="20" t="s">
        <v>10</v>
      </c>
      <c r="K2" s="21" t="s">
        <v>11</v>
      </c>
    </row>
    <row r="3" s="2" customFormat="1" ht="29" customHeight="1" spans="1:11">
      <c r="A3" s="11">
        <v>43910</v>
      </c>
      <c r="B3" s="12" t="s">
        <v>12</v>
      </c>
      <c r="C3" s="12" t="s">
        <v>13</v>
      </c>
      <c r="D3" s="13">
        <v>12</v>
      </c>
      <c r="E3" s="14">
        <v>2280</v>
      </c>
      <c r="F3" s="14">
        <v>28.5</v>
      </c>
      <c r="G3" s="15"/>
      <c r="H3" s="15">
        <v>138</v>
      </c>
      <c r="I3" s="15">
        <f>F3*E3</f>
        <v>64980</v>
      </c>
      <c r="J3" s="18">
        <f>SUM(G3:I3)</f>
        <v>65118</v>
      </c>
      <c r="K3" s="17" t="s">
        <v>14</v>
      </c>
    </row>
    <row r="4" s="2" customFormat="1" ht="29" customHeight="1" spans="1:11">
      <c r="A4" s="11">
        <v>43910</v>
      </c>
      <c r="B4" s="12" t="s">
        <v>15</v>
      </c>
      <c r="C4" s="12" t="s">
        <v>13</v>
      </c>
      <c r="D4" s="13">
        <v>28</v>
      </c>
      <c r="E4" s="14">
        <v>1145</v>
      </c>
      <c r="F4" s="14">
        <v>35</v>
      </c>
      <c r="G4" s="15">
        <f>1128*0.5</f>
        <v>564</v>
      </c>
      <c r="H4" s="15">
        <v>138</v>
      </c>
      <c r="I4" s="15">
        <f>F4*E4</f>
        <v>40075</v>
      </c>
      <c r="J4" s="18">
        <f>SUM(G4:I4)</f>
        <v>40777</v>
      </c>
      <c r="K4" s="17" t="s">
        <v>16</v>
      </c>
    </row>
    <row r="5" s="2" customFormat="1" ht="29" customHeight="1" spans="1:11">
      <c r="A5" s="11">
        <v>43910</v>
      </c>
      <c r="B5" s="12" t="s">
        <v>17</v>
      </c>
      <c r="C5" s="12" t="s">
        <v>13</v>
      </c>
      <c r="D5" s="13">
        <v>22</v>
      </c>
      <c r="E5" s="14">
        <v>1094</v>
      </c>
      <c r="F5" s="14">
        <v>28.5</v>
      </c>
      <c r="G5" s="15"/>
      <c r="H5" s="15">
        <v>138</v>
      </c>
      <c r="I5" s="15">
        <f>F5*E5</f>
        <v>31179</v>
      </c>
      <c r="J5" s="18">
        <f>SUM(G5:I5)</f>
        <v>31317</v>
      </c>
      <c r="K5" s="17" t="s">
        <v>18</v>
      </c>
    </row>
    <row r="6" s="2" customFormat="1" ht="29" customHeight="1" spans="1:11">
      <c r="A6" s="11">
        <v>43916</v>
      </c>
      <c r="B6" s="12" t="s">
        <v>19</v>
      </c>
      <c r="C6" s="12" t="s">
        <v>20</v>
      </c>
      <c r="D6" s="13">
        <v>12</v>
      </c>
      <c r="E6" s="14">
        <v>500</v>
      </c>
      <c r="F6" s="14">
        <v>51.5</v>
      </c>
      <c r="G6" s="15">
        <v>450</v>
      </c>
      <c r="H6" s="15">
        <v>138</v>
      </c>
      <c r="I6" s="15">
        <f>F6*E6</f>
        <v>25750</v>
      </c>
      <c r="J6" s="18">
        <f>SUM(G6:I6)</f>
        <v>26338</v>
      </c>
      <c r="K6" s="17" t="s">
        <v>21</v>
      </c>
    </row>
    <row r="7" s="2" customFormat="1" ht="29" customHeight="1" spans="1:11">
      <c r="A7" s="16" t="s">
        <v>22</v>
      </c>
      <c r="B7" s="17"/>
      <c r="C7" s="17"/>
      <c r="D7" s="17"/>
      <c r="E7" s="17"/>
      <c r="F7" s="18"/>
      <c r="G7" s="18"/>
      <c r="H7" s="19"/>
      <c r="I7" s="18"/>
      <c r="J7" s="18">
        <f>SUM(J3:J6)</f>
        <v>163550</v>
      </c>
      <c r="K7" s="17"/>
    </row>
  </sheetData>
  <mergeCells count="1">
    <mergeCell ref="A1:K1"/>
  </mergeCells>
  <pageMargins left="0.550694444444444" right="0.156944444444444" top="0.472222222222222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F6" sqref="F6"/>
    </sheetView>
  </sheetViews>
  <sheetFormatPr defaultColWidth="19.875" defaultRowHeight="13.5"/>
  <cols>
    <col min="1" max="1" width="7.25" style="3" customWidth="1"/>
    <col min="2" max="2" width="12.125" style="4" customWidth="1"/>
    <col min="3" max="3" width="6.25" style="4" customWidth="1"/>
    <col min="4" max="4" width="5.875" style="4" customWidth="1"/>
    <col min="5" max="5" width="9.375" style="4" customWidth="1"/>
    <col min="6" max="6" width="7.375" style="5" customWidth="1"/>
    <col min="7" max="7" width="6.5" style="5" customWidth="1"/>
    <col min="8" max="8" width="7.5" style="5" customWidth="1"/>
    <col min="9" max="9" width="9.125" style="5" customWidth="1"/>
    <col min="10" max="10" width="13.25" style="5" customWidth="1"/>
    <col min="11" max="11" width="10.75" style="4" customWidth="1"/>
    <col min="12" max="16376" width="19.875" style="4" customWidth="1"/>
    <col min="16377" max="16384" width="19.875" style="4"/>
  </cols>
  <sheetData>
    <row r="1" ht="37" customHeight="1" spans="1:1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="1" customFormat="1" ht="33" customHeight="1" spans="1:11">
      <c r="A2" s="7" t="s">
        <v>1</v>
      </c>
      <c r="B2" s="8" t="s">
        <v>2</v>
      </c>
      <c r="C2" s="9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20" t="s">
        <v>9</v>
      </c>
      <c r="J2" s="20" t="s">
        <v>10</v>
      </c>
      <c r="K2" s="21" t="s">
        <v>11</v>
      </c>
    </row>
    <row r="3" s="2" customFormat="1" ht="29" customHeight="1" spans="1:11">
      <c r="A3" s="11">
        <v>43910</v>
      </c>
      <c r="B3" s="12" t="s">
        <v>12</v>
      </c>
      <c r="C3" s="12" t="s">
        <v>13</v>
      </c>
      <c r="D3" s="13">
        <v>12</v>
      </c>
      <c r="E3" s="14">
        <v>2280</v>
      </c>
      <c r="F3" s="14">
        <v>28.5</v>
      </c>
      <c r="G3" s="15"/>
      <c r="H3" s="15">
        <v>138</v>
      </c>
      <c r="I3" s="15">
        <f t="shared" ref="I3:I7" si="0">F3*E3</f>
        <v>64980</v>
      </c>
      <c r="J3" s="18">
        <f t="shared" ref="J3:J7" si="1">SUM(G3:I3)</f>
        <v>65118</v>
      </c>
      <c r="K3" s="17" t="s">
        <v>14</v>
      </c>
    </row>
    <row r="4" s="2" customFormat="1" ht="29" customHeight="1" spans="1:11">
      <c r="A4" s="11">
        <v>43910</v>
      </c>
      <c r="B4" s="12" t="s">
        <v>15</v>
      </c>
      <c r="C4" s="12" t="s">
        <v>13</v>
      </c>
      <c r="D4" s="13">
        <v>28</v>
      </c>
      <c r="E4" s="14">
        <v>1145</v>
      </c>
      <c r="F4" s="14">
        <v>35</v>
      </c>
      <c r="G4" s="15">
        <f>1128*0.5</f>
        <v>564</v>
      </c>
      <c r="H4" s="15">
        <v>138</v>
      </c>
      <c r="I4" s="15">
        <f t="shared" si="0"/>
        <v>40075</v>
      </c>
      <c r="J4" s="18">
        <f t="shared" si="1"/>
        <v>40777</v>
      </c>
      <c r="K4" s="17" t="s">
        <v>16</v>
      </c>
    </row>
    <row r="5" s="2" customFormat="1" ht="29" customHeight="1" spans="1:11">
      <c r="A5" s="11">
        <v>43943</v>
      </c>
      <c r="B5" s="12" t="s">
        <v>24</v>
      </c>
      <c r="C5" s="12"/>
      <c r="D5" s="13"/>
      <c r="E5" s="14"/>
      <c r="F5" s="14"/>
      <c r="G5" s="15"/>
      <c r="H5" s="15"/>
      <c r="I5" s="15"/>
      <c r="J5" s="18">
        <v>-105895</v>
      </c>
      <c r="K5" s="17"/>
    </row>
    <row r="6" s="2" customFormat="1" ht="29" customHeight="1" spans="1:11">
      <c r="A6" s="11">
        <v>43910</v>
      </c>
      <c r="B6" s="12" t="s">
        <v>17</v>
      </c>
      <c r="C6" s="12" t="s">
        <v>13</v>
      </c>
      <c r="D6" s="13">
        <v>22</v>
      </c>
      <c r="E6" s="14">
        <v>1094</v>
      </c>
      <c r="F6" s="14">
        <v>28.5</v>
      </c>
      <c r="G6" s="15"/>
      <c r="H6" s="15">
        <v>138</v>
      </c>
      <c r="I6" s="15">
        <f t="shared" si="0"/>
        <v>31179</v>
      </c>
      <c r="J6" s="18">
        <f t="shared" si="1"/>
        <v>31317</v>
      </c>
      <c r="K6" s="17" t="s">
        <v>18</v>
      </c>
    </row>
    <row r="7" s="2" customFormat="1" ht="29" customHeight="1" spans="1:11">
      <c r="A7" s="11">
        <v>43916</v>
      </c>
      <c r="B7" s="12" t="s">
        <v>19</v>
      </c>
      <c r="C7" s="12" t="s">
        <v>20</v>
      </c>
      <c r="D7" s="13">
        <v>12</v>
      </c>
      <c r="E7" s="14">
        <v>500</v>
      </c>
      <c r="F7" s="14">
        <v>51.5</v>
      </c>
      <c r="G7" s="15">
        <v>450</v>
      </c>
      <c r="H7" s="15">
        <v>138</v>
      </c>
      <c r="I7" s="15">
        <f t="shared" si="0"/>
        <v>25750</v>
      </c>
      <c r="J7" s="18">
        <f t="shared" si="1"/>
        <v>26338</v>
      </c>
      <c r="K7" s="17" t="s">
        <v>21</v>
      </c>
    </row>
    <row r="8" s="2" customFormat="1" ht="29" customHeight="1" spans="1:11">
      <c r="A8" s="11">
        <v>43957</v>
      </c>
      <c r="B8" s="12" t="s">
        <v>24</v>
      </c>
      <c r="C8" s="12"/>
      <c r="D8" s="13"/>
      <c r="E8" s="14"/>
      <c r="F8" s="14"/>
      <c r="G8" s="15"/>
      <c r="H8" s="15"/>
      <c r="I8" s="15"/>
      <c r="J8" s="18">
        <v>-57655</v>
      </c>
      <c r="K8" s="17"/>
    </row>
    <row r="9" s="2" customFormat="1" ht="29" customHeight="1" spans="1:11">
      <c r="A9" s="16" t="s">
        <v>25</v>
      </c>
      <c r="B9" s="17"/>
      <c r="C9" s="17"/>
      <c r="D9" s="17"/>
      <c r="E9" s="17"/>
      <c r="F9" s="18"/>
      <c r="G9" s="18"/>
      <c r="H9" s="19"/>
      <c r="I9" s="18"/>
      <c r="J9" s="18">
        <f>SUM(J3:J8)</f>
        <v>0</v>
      </c>
      <c r="K9" s="17"/>
    </row>
  </sheetData>
  <mergeCells count="1">
    <mergeCell ref="A1:K1"/>
  </mergeCells>
  <pageMargins left="0.550694444444444" right="0.156944444444444" top="0.590277777777778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2020-04-21T04:19:00Z</dcterms:created>
  <dcterms:modified xsi:type="dcterms:W3CDTF">2020-05-06T06:51:16Z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