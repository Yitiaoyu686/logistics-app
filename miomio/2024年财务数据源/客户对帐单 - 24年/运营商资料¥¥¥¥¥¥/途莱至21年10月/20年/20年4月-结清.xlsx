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Sheet1 (2)" sheetId="2" r:id="rId2"/>
  </sheets>
  <definedNames>
    <definedName name="_xlnm.Print_Area" localSheetId="1">'Sheet1 (2)'!$A$1:$L$10</definedName>
  </definedNames>
  <calcPr calcId="144525"/>
</workbook>
</file>

<file path=xl/sharedStrings.xml><?xml version="1.0" encoding="utf-8"?>
<sst xmlns="http://schemas.openxmlformats.org/spreadsheetml/2006/main" count="80" uniqueCount="30">
  <si>
    <t>广州途莱4月份对账单</t>
  </si>
  <si>
    <t>日期</t>
  </si>
  <si>
    <t>AWB</t>
  </si>
  <si>
    <t>起运港</t>
  </si>
  <si>
    <t>目的港</t>
  </si>
  <si>
    <t>件数</t>
  </si>
  <si>
    <t>公斤数（KG）</t>
  </si>
  <si>
    <t>价格</t>
  </si>
  <si>
    <t>货币</t>
  </si>
  <si>
    <t>提货费</t>
  </si>
  <si>
    <t>杂费</t>
  </si>
  <si>
    <t>备注</t>
  </si>
  <si>
    <t>071-37054813</t>
  </si>
  <si>
    <t>HKG</t>
  </si>
  <si>
    <t>ACC</t>
  </si>
  <si>
    <t>RMB</t>
  </si>
  <si>
    <t>JOB040147</t>
  </si>
  <si>
    <t>071-37054673</t>
  </si>
  <si>
    <t>JOB040153</t>
  </si>
  <si>
    <t>071-37163781</t>
  </si>
  <si>
    <t>JOB040158</t>
  </si>
  <si>
    <t>071-37168331</t>
  </si>
  <si>
    <t>LLW</t>
  </si>
  <si>
    <t>JOB040171</t>
  </si>
  <si>
    <t>235-57666173</t>
  </si>
  <si>
    <t>JOB040164</t>
  </si>
  <si>
    <t>合计</t>
  </si>
  <si>
    <t>支付：途莱物流明细</t>
  </si>
  <si>
    <t>私账支付</t>
  </si>
  <si>
    <t>欠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</si>
</sst>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176" formatCode="yyyy&quot;年&quot;m&quot;月&quot;d&quot;日&quot;;@"/>
    <numFmt numFmtId="177" formatCode="&quot;￥&quot;#,##0.00_);[Red]\(&quot;￥&quot;#,##0.00\)"/>
    <numFmt numFmtId="178" formatCode="m&quot;月&quot;d&quot;日&quot;;@"/>
    <numFmt numFmtId="179" formatCode="&quot;￥&quot;#,##0_);[Red]\(&quot;￥&quot;#,##0\)"/>
    <numFmt numFmtId="42" formatCode="_ &quot;￥&quot;* #,##0_ ;_ &quot;￥&quot;* \-#,##0_ ;_ &quot;￥&quot;* &quot;-&quot;_ ;_ @_ "/>
    <numFmt numFmtId="180" formatCode="[$-409]dd/mmm/yy;@"/>
    <numFmt numFmtId="44" formatCode="_ &quot;￥&quot;* #,##0.00_ ;_ &quot;￥&quot;* \-#,##0.00_ ;_ &quot;￥&quot;* &quot;-&quot;??_ ;_ @_ "/>
    <numFmt numFmtId="181" formatCode="0.00_ "/>
    <numFmt numFmtId="43" formatCode="_ * #,##0.00_ ;_ * \-#,##0.00_ ;_ * &quot;-&quot;??_ ;_ @_ "/>
    <numFmt numFmtId="182" formatCode="0_ "/>
  </numFmts>
  <fonts count="29">
    <font>
      <sz val="11"/>
      <color theme="1"/>
      <name val="宋体"/>
      <charset val="134"/>
      <scheme val="minor"/>
    </font>
    <font>
      <sz val="10"/>
      <color theme="6" tint="-0.5"/>
      <name val="宋体"/>
      <charset val="134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宋体"/>
      <charset val="134"/>
      <scheme val="major"/>
    </font>
    <font>
      <sz val="10"/>
      <name val="宋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18" fillId="8" borderId="3" applyNumberFormat="0" applyAlignment="0" applyProtection="0">
      <alignment vertical="center"/>
    </xf>
    <xf numFmtId="0" fontId="27" fillId="19" borderId="9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82" fontId="4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82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2" sqref="$A2:$XFD7"/>
    </sheetView>
  </sheetViews>
  <sheetFormatPr defaultColWidth="19.875" defaultRowHeight="13.5" outlineLevelRow="7"/>
  <cols>
    <col min="1" max="1" width="7.25" style="3" customWidth="1"/>
    <col min="2" max="2" width="12.125" style="4" customWidth="1"/>
    <col min="3" max="3" width="6.25" style="4" customWidth="1"/>
    <col min="4" max="4" width="5.15" style="4" customWidth="1"/>
    <col min="5" max="5" width="4.375" style="4" customWidth="1"/>
    <col min="6" max="6" width="5.625" style="5" customWidth="1"/>
    <col min="7" max="7" width="6.5" style="5" customWidth="1"/>
    <col min="8" max="8" width="4" style="5" customWidth="1"/>
    <col min="9" max="10" width="7.5" style="5" customWidth="1"/>
    <col min="11" max="11" width="14.1416666666667" style="5" customWidth="1"/>
    <col min="12" max="12" width="11.75" style="4" customWidth="1"/>
    <col min="13" max="16370" width="19.875" style="4" customWidth="1"/>
    <col min="16371" max="16384" width="19.875" style="4"/>
  </cols>
  <sheetData>
    <row r="1" ht="37" customHeight="1" spans="1:1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3"/>
    </row>
    <row r="2" ht="36" customHeight="1" spans="1:12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27" t="s">
        <v>11</v>
      </c>
      <c r="L2" s="28" t="s">
        <v>11</v>
      </c>
    </row>
    <row r="3" ht="36" customHeight="1" spans="1:12">
      <c r="A3" s="10">
        <v>43935</v>
      </c>
      <c r="B3" s="11" t="s">
        <v>12</v>
      </c>
      <c r="C3" s="11" t="s">
        <v>13</v>
      </c>
      <c r="D3" s="11" t="s">
        <v>14</v>
      </c>
      <c r="E3" s="12">
        <v>6</v>
      </c>
      <c r="F3" s="13">
        <v>233</v>
      </c>
      <c r="G3" s="14">
        <v>59.6</v>
      </c>
      <c r="H3" s="14" t="s">
        <v>15</v>
      </c>
      <c r="I3" s="14">
        <v>350</v>
      </c>
      <c r="J3" s="14">
        <v>186</v>
      </c>
      <c r="K3" s="29">
        <f>(G3*F3)+I3+J3</f>
        <v>14422.8</v>
      </c>
      <c r="L3" s="30" t="s">
        <v>16</v>
      </c>
    </row>
    <row r="4" ht="36" customHeight="1" spans="1:12">
      <c r="A4" s="10">
        <v>43938</v>
      </c>
      <c r="B4" s="11" t="s">
        <v>17</v>
      </c>
      <c r="C4" s="11" t="s">
        <v>13</v>
      </c>
      <c r="D4" s="11" t="s">
        <v>14</v>
      </c>
      <c r="E4" s="12">
        <v>22</v>
      </c>
      <c r="F4" s="13">
        <v>902</v>
      </c>
      <c r="G4" s="14">
        <v>40.5</v>
      </c>
      <c r="H4" s="14" t="s">
        <v>15</v>
      </c>
      <c r="I4" s="14"/>
      <c r="J4" s="14">
        <v>176.7</v>
      </c>
      <c r="K4" s="29">
        <f>(G4*F4)+I4+J4</f>
        <v>36707.7</v>
      </c>
      <c r="L4" s="30" t="s">
        <v>18</v>
      </c>
    </row>
    <row r="5" ht="36" customHeight="1" spans="1:12">
      <c r="A5" s="10">
        <v>43943</v>
      </c>
      <c r="B5" s="11" t="s">
        <v>19</v>
      </c>
      <c r="C5" s="11" t="s">
        <v>13</v>
      </c>
      <c r="D5" s="11" t="s">
        <v>14</v>
      </c>
      <c r="E5" s="12">
        <v>9</v>
      </c>
      <c r="F5" s="13">
        <v>372</v>
      </c>
      <c r="G5" s="14">
        <v>57.6</v>
      </c>
      <c r="H5" s="14" t="s">
        <v>15</v>
      </c>
      <c r="I5" s="14">
        <v>350</v>
      </c>
      <c r="J5" s="14">
        <v>231</v>
      </c>
      <c r="K5" s="29">
        <f>(G5*F5)+I5+J5</f>
        <v>22008.2</v>
      </c>
      <c r="L5" s="30" t="s">
        <v>20</v>
      </c>
    </row>
    <row r="6" ht="36" customHeight="1" spans="1:12">
      <c r="A6" s="10">
        <v>43950</v>
      </c>
      <c r="B6" s="11" t="s">
        <v>21</v>
      </c>
      <c r="C6" s="11" t="s">
        <v>13</v>
      </c>
      <c r="D6" s="11" t="s">
        <v>22</v>
      </c>
      <c r="E6" s="12">
        <v>11</v>
      </c>
      <c r="F6" s="13">
        <v>404</v>
      </c>
      <c r="G6" s="14">
        <v>60</v>
      </c>
      <c r="H6" s="14" t="s">
        <v>15</v>
      </c>
      <c r="I6" s="14"/>
      <c r="J6" s="14">
        <v>176.7</v>
      </c>
      <c r="K6" s="29">
        <f>(G6*F6)+I6+J6</f>
        <v>24416.7</v>
      </c>
      <c r="L6" s="30" t="s">
        <v>23</v>
      </c>
    </row>
    <row r="7" ht="36" customHeight="1" spans="1:12">
      <c r="A7" s="10">
        <v>43950</v>
      </c>
      <c r="B7" s="11" t="s">
        <v>24</v>
      </c>
      <c r="C7" s="11" t="s">
        <v>13</v>
      </c>
      <c r="D7" s="11" t="s">
        <v>14</v>
      </c>
      <c r="E7" s="12">
        <v>43</v>
      </c>
      <c r="F7" s="13">
        <v>1599</v>
      </c>
      <c r="G7" s="14">
        <v>74</v>
      </c>
      <c r="H7" s="14" t="s">
        <v>15</v>
      </c>
      <c r="I7" s="14"/>
      <c r="J7" s="14"/>
      <c r="K7" s="29">
        <f>SUM(F7*G7+J7)</f>
        <v>118326</v>
      </c>
      <c r="L7" s="30" t="s">
        <v>25</v>
      </c>
    </row>
    <row r="8" s="2" customFormat="1" ht="36" customHeight="1" spans="1:12">
      <c r="A8" s="32" t="s">
        <v>26</v>
      </c>
      <c r="B8" s="21"/>
      <c r="C8" s="21"/>
      <c r="D8" s="21"/>
      <c r="E8" s="21"/>
      <c r="F8" s="22"/>
      <c r="G8" s="22"/>
      <c r="H8" s="23"/>
      <c r="I8" s="22"/>
      <c r="J8" s="22"/>
      <c r="K8" s="34">
        <f>SUM(K3:K7)</f>
        <v>215881.4</v>
      </c>
      <c r="L8" s="21"/>
    </row>
  </sheetData>
  <mergeCells count="1">
    <mergeCell ref="A1:K1"/>
  </mergeCells>
  <pageMargins left="0.550694444444444" right="0.156944444444444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tabSelected="1" workbookViewId="0">
      <selection activeCell="N11" sqref="N11"/>
    </sheetView>
  </sheetViews>
  <sheetFormatPr defaultColWidth="19.875" defaultRowHeight="13.5"/>
  <cols>
    <col min="1" max="1" width="7.25" style="3" customWidth="1"/>
    <col min="2" max="2" width="12.125" style="4" customWidth="1"/>
    <col min="3" max="3" width="6.25" style="4" customWidth="1"/>
    <col min="4" max="4" width="5.875" style="4" customWidth="1"/>
    <col min="5" max="5" width="4" style="4" customWidth="1"/>
    <col min="6" max="6" width="7.375" style="5" customWidth="1"/>
    <col min="7" max="7" width="6.5" style="5" customWidth="1"/>
    <col min="8" max="8" width="4" style="5" customWidth="1"/>
    <col min="9" max="10" width="7.5" style="5" customWidth="1"/>
    <col min="11" max="11" width="14.8916666666667" style="4" customWidth="1"/>
    <col min="12" max="12" width="10.9" style="4" customWidth="1"/>
    <col min="13" max="16376" width="19.875" style="4" customWidth="1"/>
    <col min="16377" max="16384" width="19.875" style="4"/>
  </cols>
  <sheetData>
    <row r="1" ht="30" customHeight="1" spans="1:1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ht="30" customHeight="1" spans="1:16384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27" t="s">
        <v>11</v>
      </c>
      <c r="L2" s="28" t="s">
        <v>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ht="31" customHeight="1" spans="1:16384">
      <c r="A3" s="10">
        <v>43935</v>
      </c>
      <c r="B3" s="11" t="s">
        <v>12</v>
      </c>
      <c r="C3" s="11" t="s">
        <v>13</v>
      </c>
      <c r="D3" s="11" t="s">
        <v>14</v>
      </c>
      <c r="E3" s="12">
        <v>6</v>
      </c>
      <c r="F3" s="13">
        <v>233</v>
      </c>
      <c r="G3" s="14">
        <v>59.6</v>
      </c>
      <c r="H3" s="14" t="s">
        <v>15</v>
      </c>
      <c r="I3" s="14">
        <v>350</v>
      </c>
      <c r="J3" s="14">
        <v>186</v>
      </c>
      <c r="K3" s="29">
        <f t="shared" ref="K3:K6" si="0">(G3*F3)+I3+J3</f>
        <v>14422.8</v>
      </c>
      <c r="L3" s="30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ht="31" customHeight="1" spans="1:16384">
      <c r="A4" s="10">
        <v>43938</v>
      </c>
      <c r="B4" s="11" t="s">
        <v>17</v>
      </c>
      <c r="C4" s="11" t="s">
        <v>13</v>
      </c>
      <c r="D4" s="11" t="s">
        <v>14</v>
      </c>
      <c r="E4" s="12">
        <v>22</v>
      </c>
      <c r="F4" s="13">
        <v>902</v>
      </c>
      <c r="G4" s="14">
        <v>40.5</v>
      </c>
      <c r="H4" s="14" t="s">
        <v>15</v>
      </c>
      <c r="I4" s="14"/>
      <c r="J4" s="14">
        <v>176.7</v>
      </c>
      <c r="K4" s="29">
        <f t="shared" si="0"/>
        <v>36707.7</v>
      </c>
      <c r="L4" s="30" t="s">
        <v>18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="1" customFormat="1" ht="31" customHeight="1" spans="1:16384">
      <c r="A5" s="10">
        <v>43943</v>
      </c>
      <c r="B5" s="11" t="s">
        <v>19</v>
      </c>
      <c r="C5" s="11" t="s">
        <v>13</v>
      </c>
      <c r="D5" s="11" t="s">
        <v>14</v>
      </c>
      <c r="E5" s="12">
        <v>9</v>
      </c>
      <c r="F5" s="13">
        <v>372</v>
      </c>
      <c r="G5" s="14">
        <v>57.6</v>
      </c>
      <c r="H5" s="14" t="s">
        <v>15</v>
      </c>
      <c r="I5" s="14">
        <v>350</v>
      </c>
      <c r="J5" s="14">
        <v>231</v>
      </c>
      <c r="K5" s="29">
        <f t="shared" si="0"/>
        <v>22008.2</v>
      </c>
      <c r="L5" s="30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s="1" customFormat="1" ht="31" customHeight="1" spans="1:16384">
      <c r="A6" s="10">
        <v>43950</v>
      </c>
      <c r="B6" s="11" t="s">
        <v>21</v>
      </c>
      <c r="C6" s="11" t="s">
        <v>13</v>
      </c>
      <c r="D6" s="11" t="s">
        <v>22</v>
      </c>
      <c r="E6" s="12">
        <v>11</v>
      </c>
      <c r="F6" s="13">
        <v>404</v>
      </c>
      <c r="G6" s="14">
        <v>60</v>
      </c>
      <c r="H6" s="14" t="s">
        <v>15</v>
      </c>
      <c r="I6" s="14"/>
      <c r="J6" s="14">
        <v>176.7</v>
      </c>
      <c r="K6" s="29">
        <f t="shared" si="0"/>
        <v>24416.7</v>
      </c>
      <c r="L6" s="30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="2" customFormat="1" ht="31" customHeight="1" spans="1:12">
      <c r="A7" s="15">
        <v>43970</v>
      </c>
      <c r="B7" s="16" t="s">
        <v>28</v>
      </c>
      <c r="C7" s="17"/>
      <c r="D7" s="18"/>
      <c r="E7" s="19"/>
      <c r="F7" s="19"/>
      <c r="G7" s="20"/>
      <c r="H7" s="20"/>
      <c r="I7" s="20"/>
      <c r="J7" s="21"/>
      <c r="K7" s="22">
        <v>-97555.4</v>
      </c>
      <c r="L7" s="21"/>
    </row>
    <row r="8" s="1" customFormat="1" ht="31" customHeight="1" spans="1:16384">
      <c r="A8" s="10">
        <v>43950</v>
      </c>
      <c r="B8" s="11" t="s">
        <v>24</v>
      </c>
      <c r="C8" s="11" t="s">
        <v>13</v>
      </c>
      <c r="D8" s="11" t="s">
        <v>14</v>
      </c>
      <c r="E8" s="12">
        <v>43</v>
      </c>
      <c r="F8" s="13">
        <v>1599</v>
      </c>
      <c r="G8" s="14">
        <v>74</v>
      </c>
      <c r="H8" s="14" t="s">
        <v>15</v>
      </c>
      <c r="I8" s="14"/>
      <c r="J8" s="14"/>
      <c r="K8" s="29">
        <f>SUM(F8*G8+J8)</f>
        <v>118326</v>
      </c>
      <c r="L8" s="30" t="s">
        <v>25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="2" customFormat="1" ht="31" customHeight="1" spans="1:12">
      <c r="A9" s="15">
        <v>43977</v>
      </c>
      <c r="B9" s="16" t="s">
        <v>28</v>
      </c>
      <c r="C9" s="21"/>
      <c r="D9" s="21"/>
      <c r="E9" s="21"/>
      <c r="F9" s="22"/>
      <c r="G9" s="22"/>
      <c r="H9" s="23"/>
      <c r="I9" s="22"/>
      <c r="J9" s="21"/>
      <c r="K9" s="29">
        <v>-118326</v>
      </c>
      <c r="L9" s="21"/>
    </row>
    <row r="10" ht="31" customHeight="1" spans="1:12">
      <c r="A10" s="24" t="s">
        <v>29</v>
      </c>
      <c r="B10" s="25"/>
      <c r="C10" s="25"/>
      <c r="D10" s="25"/>
      <c r="E10" s="25"/>
      <c r="F10" s="26"/>
      <c r="G10" s="26"/>
      <c r="H10" s="26"/>
      <c r="I10" s="26"/>
      <c r="J10" s="26"/>
      <c r="K10" s="26">
        <f>SUM(K3:K9)</f>
        <v>0</v>
      </c>
      <c r="L10" s="25"/>
    </row>
  </sheetData>
  <mergeCells count="1">
    <mergeCell ref="A1:K1"/>
  </mergeCells>
  <pageMargins left="0.590277777777778" right="0.156944444444444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2020-05-26T08:39:00Z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