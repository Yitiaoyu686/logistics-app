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Sheet1 (2)" sheetId="2" r:id="rId2"/>
  </sheets>
  <definedNames>
    <definedName name="_xlnm.Print_Area" localSheetId="1">'Sheet1 (2)'!$A$1:$F$13</definedName>
  </definedNames>
  <calcPr calcId="144525"/>
</workbook>
</file>

<file path=xl/sharedStrings.xml><?xml version="1.0" encoding="utf-8"?>
<sst xmlns="http://schemas.openxmlformats.org/spreadsheetml/2006/main" count="49" uniqueCount="24">
  <si>
    <t>广州途莱8月份对账单</t>
  </si>
  <si>
    <t>MM发货日期</t>
  </si>
  <si>
    <t>件数</t>
  </si>
  <si>
    <t>目的地</t>
  </si>
  <si>
    <t>计费重量</t>
  </si>
  <si>
    <t>应付费用</t>
  </si>
  <si>
    <t>明细</t>
  </si>
  <si>
    <t>LLW</t>
  </si>
  <si>
    <t>JOB070200</t>
  </si>
  <si>
    <t>ACC</t>
  </si>
  <si>
    <t>JOB070203</t>
  </si>
  <si>
    <t>JOB080171</t>
  </si>
  <si>
    <t>JOB080170</t>
  </si>
  <si>
    <t>JOB080172</t>
  </si>
  <si>
    <t>JOB080179</t>
  </si>
  <si>
    <t>LOS</t>
  </si>
  <si>
    <t>JOB080191</t>
  </si>
  <si>
    <t>JOB080190</t>
  </si>
  <si>
    <t>JOB080193</t>
  </si>
  <si>
    <t>合计：</t>
  </si>
  <si>
    <t>支付：途莱物流明细</t>
  </si>
  <si>
    <t>公账支付</t>
  </si>
  <si>
    <t>私账支付</t>
  </si>
  <si>
    <t>结清</t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</si>
</sst>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m&quot;月&quot;d&quot;日&quot;;@"/>
    <numFmt numFmtId="178" formatCode="&quot;￥&quot;#,##0.00_);[Red]\(&quot;￥&quot;#,##0.00\)"/>
    <numFmt numFmtId="179" formatCode="0.00_ "/>
    <numFmt numFmtId="180" formatCode="&quot;JOB&quot;000000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8"/>
      <color theme="1"/>
      <name val="宋体"/>
      <charset val="134"/>
      <scheme val="minor"/>
    </font>
    <font>
      <sz val="12"/>
      <name val="微软雅黑"/>
      <charset val="134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80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3" sqref="$A3:$XFD12"/>
    </sheetView>
  </sheetViews>
  <sheetFormatPr defaultColWidth="19.875" defaultRowHeight="13.5"/>
  <cols>
    <col min="1" max="1" width="14.625" style="4" customWidth="1"/>
    <col min="2" max="2" width="11.6916666666667" style="5" customWidth="1"/>
    <col min="3" max="5" width="14.625" style="5" customWidth="1"/>
    <col min="6" max="6" width="17.25" style="6" customWidth="1"/>
    <col min="7" max="7" width="6.5" style="6" customWidth="1"/>
    <col min="8" max="8" width="7.875" style="6" customWidth="1"/>
    <col min="9" max="9" width="7.5" style="6" customWidth="1"/>
    <col min="10" max="10" width="5.875" style="6" customWidth="1"/>
    <col min="11" max="11" width="14.1416666666667" style="6" customWidth="1"/>
    <col min="12" max="12" width="11.75" style="20" customWidth="1"/>
    <col min="13" max="16370" width="19.875" style="5" customWidth="1"/>
    <col min="16371" max="16384" width="19.875" style="5"/>
  </cols>
  <sheetData>
    <row r="1" ht="30" customHeight="1" spans="1:11">
      <c r="A1" s="21" t="s">
        <v>0</v>
      </c>
      <c r="B1" s="21"/>
      <c r="C1" s="21"/>
      <c r="D1" s="21"/>
      <c r="E1" s="21"/>
      <c r="F1" s="21"/>
      <c r="G1" s="22"/>
      <c r="H1" s="22"/>
      <c r="I1" s="22"/>
      <c r="J1" s="22"/>
      <c r="K1" s="22"/>
    </row>
    <row r="2" s="18" customFormat="1" ht="23" customHeight="1" spans="1:6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</row>
    <row r="3" s="1" customFormat="1" ht="24" customHeight="1" spans="1:6">
      <c r="A3" s="9">
        <v>44039</v>
      </c>
      <c r="B3" s="10">
        <v>5</v>
      </c>
      <c r="C3" s="11" t="s">
        <v>7</v>
      </c>
      <c r="D3" s="12">
        <v>120</v>
      </c>
      <c r="E3" s="13">
        <v>7496</v>
      </c>
      <c r="F3" s="12" t="s">
        <v>8</v>
      </c>
    </row>
    <row r="4" s="1" customFormat="1" ht="24" customHeight="1" spans="1:6">
      <c r="A4" s="9">
        <v>44039</v>
      </c>
      <c r="B4" s="10">
        <v>4</v>
      </c>
      <c r="C4" s="11" t="s">
        <v>9</v>
      </c>
      <c r="D4" s="12">
        <v>170</v>
      </c>
      <c r="E4" s="13">
        <v>9121</v>
      </c>
      <c r="F4" s="12" t="s">
        <v>10</v>
      </c>
    </row>
    <row r="5" s="1" customFormat="1" ht="24" customHeight="1" spans="1:6">
      <c r="A5" s="9">
        <v>44043</v>
      </c>
      <c r="B5" s="10">
        <v>22</v>
      </c>
      <c r="C5" s="11" t="s">
        <v>9</v>
      </c>
      <c r="D5" s="12">
        <v>842</v>
      </c>
      <c r="E5" s="13">
        <v>40602</v>
      </c>
      <c r="F5" s="12" t="s">
        <v>11</v>
      </c>
    </row>
    <row r="6" s="1" customFormat="1" ht="24" customHeight="1" spans="1:6">
      <c r="A6" s="9">
        <v>44047</v>
      </c>
      <c r="B6" s="10">
        <v>3</v>
      </c>
      <c r="C6" s="11" t="s">
        <v>7</v>
      </c>
      <c r="D6" s="12">
        <v>108</v>
      </c>
      <c r="E6" s="13">
        <v>6800</v>
      </c>
      <c r="F6" s="12" t="s">
        <v>12</v>
      </c>
    </row>
    <row r="7" s="1" customFormat="1" ht="24" customHeight="1" spans="1:6">
      <c r="A7" s="9">
        <v>44047</v>
      </c>
      <c r="B7" s="10">
        <v>4</v>
      </c>
      <c r="C7" s="11" t="s">
        <v>9</v>
      </c>
      <c r="D7" s="12">
        <v>198</v>
      </c>
      <c r="E7" s="13">
        <v>10185</v>
      </c>
      <c r="F7" s="12" t="s">
        <v>13</v>
      </c>
    </row>
    <row r="8" s="1" customFormat="1" ht="24" customHeight="1" spans="1:6">
      <c r="A8" s="9">
        <v>44053</v>
      </c>
      <c r="B8" s="10">
        <v>4</v>
      </c>
      <c r="C8" s="11" t="s">
        <v>7</v>
      </c>
      <c r="D8" s="12">
        <v>167</v>
      </c>
      <c r="E8" s="13">
        <v>10222</v>
      </c>
      <c r="F8" s="12" t="s">
        <v>14</v>
      </c>
    </row>
    <row r="9" s="1" customFormat="1" ht="24" customHeight="1" spans="1:6">
      <c r="A9" s="9">
        <v>44066</v>
      </c>
      <c r="B9" s="10">
        <v>13</v>
      </c>
      <c r="C9" s="11" t="s">
        <v>15</v>
      </c>
      <c r="D9" s="12">
        <v>1000</v>
      </c>
      <c r="E9" s="13">
        <v>43939.5</v>
      </c>
      <c r="F9" s="12" t="s">
        <v>16</v>
      </c>
    </row>
    <row r="10" s="1" customFormat="1" ht="24" customHeight="1" spans="1:6">
      <c r="A10" s="9">
        <v>44066</v>
      </c>
      <c r="B10" s="10">
        <v>15</v>
      </c>
      <c r="C10" s="11" t="s">
        <v>9</v>
      </c>
      <c r="D10" s="12">
        <v>500</v>
      </c>
      <c r="E10" s="13">
        <v>24936</v>
      </c>
      <c r="F10" s="12" t="s">
        <v>17</v>
      </c>
    </row>
    <row r="11" s="1" customFormat="1" ht="24" customHeight="1" spans="1:6">
      <c r="A11" s="9">
        <v>44071</v>
      </c>
      <c r="B11" s="10">
        <v>5</v>
      </c>
      <c r="C11" s="11" t="s">
        <v>7</v>
      </c>
      <c r="D11" s="12">
        <v>135</v>
      </c>
      <c r="E11" s="13">
        <v>8366</v>
      </c>
      <c r="F11" s="12" t="s">
        <v>18</v>
      </c>
    </row>
    <row r="12" s="19" customFormat="1" ht="18" customHeight="1" spans="1:6">
      <c r="A12" s="24"/>
      <c r="B12" s="24"/>
      <c r="C12" s="24"/>
      <c r="D12" s="24" t="s">
        <v>19</v>
      </c>
      <c r="E12" s="25">
        <f>SUM(E3:E11)</f>
        <v>161667.5</v>
      </c>
      <c r="F12" s="24"/>
    </row>
  </sheetData>
  <mergeCells count="1">
    <mergeCell ref="A1:F1"/>
  </mergeCells>
  <pageMargins left="0.865972222222222" right="0.156944444444444" top="0.314583333333333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tabSelected="1" workbookViewId="0">
      <selection activeCell="E13" sqref="E13"/>
    </sheetView>
  </sheetViews>
  <sheetFormatPr defaultColWidth="19.875" defaultRowHeight="13.5"/>
  <cols>
    <col min="1" max="1" width="14.375" style="4" customWidth="1"/>
    <col min="2" max="2" width="14.375" style="5" customWidth="1"/>
    <col min="3" max="3" width="10.5" style="5" customWidth="1"/>
    <col min="4" max="4" width="14.375" style="5" customWidth="1"/>
    <col min="5" max="5" width="17.625" style="6" customWidth="1"/>
    <col min="6" max="6" width="14.375" style="6" customWidth="1"/>
    <col min="7" max="7" width="6.5" style="6" customWidth="1"/>
    <col min="8" max="8" width="6.375" style="6" customWidth="1"/>
    <col min="9" max="9" width="7.5" style="6" customWidth="1"/>
    <col min="10" max="10" width="6.375" style="6" customWidth="1"/>
    <col min="11" max="16374" width="19.875" style="5" customWidth="1"/>
    <col min="16375" max="16384" width="19.875" style="5"/>
  </cols>
  <sheetData>
    <row r="1" ht="30" customHeight="1" spans="1:10">
      <c r="A1" s="7" t="s">
        <v>20</v>
      </c>
      <c r="B1" s="7"/>
      <c r="C1" s="7"/>
      <c r="D1" s="7"/>
      <c r="E1" s="8"/>
      <c r="F1" s="7"/>
      <c r="G1" s="7"/>
      <c r="H1" s="7"/>
      <c r="I1" s="7"/>
      <c r="J1" s="7"/>
    </row>
    <row r="2" s="1" customFormat="1" ht="24" customHeight="1" spans="1:6">
      <c r="A2" s="9">
        <v>44039</v>
      </c>
      <c r="B2" s="10">
        <v>5</v>
      </c>
      <c r="C2" s="11" t="s">
        <v>7</v>
      </c>
      <c r="D2" s="12">
        <v>120</v>
      </c>
      <c r="E2" s="13">
        <v>7496</v>
      </c>
      <c r="F2" s="12" t="s">
        <v>8</v>
      </c>
    </row>
    <row r="3" s="1" customFormat="1" ht="24" customHeight="1" spans="1:6">
      <c r="A3" s="9">
        <v>44039</v>
      </c>
      <c r="B3" s="10">
        <v>4</v>
      </c>
      <c r="C3" s="11" t="s">
        <v>9</v>
      </c>
      <c r="D3" s="12">
        <v>170</v>
      </c>
      <c r="E3" s="13">
        <v>9121</v>
      </c>
      <c r="F3" s="12" t="s">
        <v>10</v>
      </c>
    </row>
    <row r="4" s="1" customFormat="1" ht="24" customHeight="1" spans="1:6">
      <c r="A4" s="9">
        <v>44043</v>
      </c>
      <c r="B4" s="10">
        <v>22</v>
      </c>
      <c r="C4" s="11" t="s">
        <v>9</v>
      </c>
      <c r="D4" s="12">
        <v>842</v>
      </c>
      <c r="E4" s="13">
        <v>40602</v>
      </c>
      <c r="F4" s="12" t="s">
        <v>11</v>
      </c>
    </row>
    <row r="5" s="2" customFormat="1" ht="24" customHeight="1" spans="1:16384">
      <c r="A5" s="14">
        <v>44113</v>
      </c>
      <c r="B5" s="15" t="s">
        <v>21</v>
      </c>
      <c r="C5" s="15"/>
      <c r="D5" s="15"/>
      <c r="E5" s="16">
        <v>-57219</v>
      </c>
      <c r="F5" s="16"/>
      <c r="G5" s="6"/>
      <c r="H5" s="6"/>
      <c r="I5" s="6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  <c r="XES5" s="5"/>
      <c r="XET5" s="5"/>
      <c r="XEU5" s="5"/>
      <c r="XEV5" s="5"/>
      <c r="XEW5" s="5"/>
      <c r="XEX5" s="5"/>
      <c r="XEY5" s="5"/>
      <c r="XEZ5" s="5"/>
      <c r="XFA5" s="5"/>
      <c r="XFB5" s="5"/>
      <c r="XFC5" s="5"/>
      <c r="XFD5" s="5"/>
    </row>
    <row r="6" s="1" customFormat="1" ht="24" customHeight="1" spans="1:6">
      <c r="A6" s="9">
        <v>44047</v>
      </c>
      <c r="B6" s="10">
        <v>3</v>
      </c>
      <c r="C6" s="11" t="s">
        <v>7</v>
      </c>
      <c r="D6" s="12">
        <v>108</v>
      </c>
      <c r="E6" s="13">
        <v>6800</v>
      </c>
      <c r="F6" s="12" t="s">
        <v>12</v>
      </c>
    </row>
    <row r="7" s="1" customFormat="1" ht="24" customHeight="1" spans="1:6">
      <c r="A7" s="9">
        <v>44047</v>
      </c>
      <c r="B7" s="10">
        <v>4</v>
      </c>
      <c r="C7" s="11" t="s">
        <v>9</v>
      </c>
      <c r="D7" s="12">
        <v>198</v>
      </c>
      <c r="E7" s="13">
        <v>10185</v>
      </c>
      <c r="F7" s="12" t="s">
        <v>13</v>
      </c>
    </row>
    <row r="8" s="1" customFormat="1" ht="24" customHeight="1" spans="1:6">
      <c r="A8" s="9">
        <v>44053</v>
      </c>
      <c r="B8" s="10">
        <v>4</v>
      </c>
      <c r="C8" s="11" t="s">
        <v>7</v>
      </c>
      <c r="D8" s="12">
        <v>167</v>
      </c>
      <c r="E8" s="13">
        <v>10222</v>
      </c>
      <c r="F8" s="12" t="s">
        <v>14</v>
      </c>
    </row>
    <row r="9" s="1" customFormat="1" ht="24" customHeight="1" spans="1:6">
      <c r="A9" s="9">
        <v>44066</v>
      </c>
      <c r="B9" s="10">
        <v>13</v>
      </c>
      <c r="C9" s="11" t="s">
        <v>15</v>
      </c>
      <c r="D9" s="12">
        <v>1000</v>
      </c>
      <c r="E9" s="13">
        <v>43939.5</v>
      </c>
      <c r="F9" s="12" t="s">
        <v>16</v>
      </c>
    </row>
    <row r="10" s="2" customFormat="1" ht="24" customHeight="1" spans="1:16384">
      <c r="A10" s="14">
        <v>44123</v>
      </c>
      <c r="B10" s="15" t="s">
        <v>21</v>
      </c>
      <c r="C10" s="15"/>
      <c r="D10" s="15"/>
      <c r="E10" s="16">
        <v>-71146.5</v>
      </c>
      <c r="F10" s="16"/>
      <c r="G10" s="6"/>
      <c r="H10" s="6"/>
      <c r="I10" s="6"/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  <c r="XFD10" s="5"/>
    </row>
    <row r="11" s="1" customFormat="1" ht="35" customHeight="1" spans="1:6">
      <c r="A11" s="9">
        <v>44066</v>
      </c>
      <c r="B11" s="10">
        <v>15</v>
      </c>
      <c r="C11" s="11" t="s">
        <v>9</v>
      </c>
      <c r="D11" s="12">
        <v>500</v>
      </c>
      <c r="E11" s="13">
        <v>24936</v>
      </c>
      <c r="F11" s="12" t="s">
        <v>17</v>
      </c>
    </row>
    <row r="12" s="1" customFormat="1" ht="35" customHeight="1" spans="1:6">
      <c r="A12" s="9">
        <v>44071</v>
      </c>
      <c r="B12" s="10">
        <v>5</v>
      </c>
      <c r="C12" s="11" t="s">
        <v>7</v>
      </c>
      <c r="D12" s="12">
        <v>135</v>
      </c>
      <c r="E12" s="13">
        <v>8366</v>
      </c>
      <c r="F12" s="12" t="s">
        <v>18</v>
      </c>
    </row>
    <row r="13" s="3" customFormat="1" ht="35" customHeight="1" spans="1:6">
      <c r="A13" s="9">
        <v>44123</v>
      </c>
      <c r="B13" s="10" t="s">
        <v>22</v>
      </c>
      <c r="C13" s="11"/>
      <c r="D13" s="12"/>
      <c r="E13" s="13">
        <v>-33302</v>
      </c>
      <c r="F13" s="12"/>
    </row>
    <row r="14" ht="30" customHeight="1" spans="1:6">
      <c r="A14" s="17" t="s">
        <v>23</v>
      </c>
      <c r="B14" s="15"/>
      <c r="C14" s="15"/>
      <c r="D14" s="15"/>
      <c r="E14" s="16">
        <f>SUM(E2:E13)</f>
        <v>0</v>
      </c>
      <c r="F14" s="16"/>
    </row>
  </sheetData>
  <pageMargins left="0.984027777777778" right="0.156944444444444" top="1.1416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2020-10-19T04:26:54Z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