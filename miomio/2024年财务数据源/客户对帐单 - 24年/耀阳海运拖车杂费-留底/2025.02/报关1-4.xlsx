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喵喵报关费用" sheetId="1" r:id="rId1"/>
    <sheet name="昊玉报关费（代收代付）" sheetId="3" r:id="rId2"/>
    <sheet name="3月拖车（喵喵）" sheetId="2" r:id="rId3"/>
    <sheet name="3月拖车 (赛捷代收代付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<sst xmlns="http://schemas.openxmlformats.org/spreadsheetml/2006/main" count="132" uniqueCount="68">
  <si>
    <t>广 州 耀 阳 供 应 链 管 理  有  限  公  司  费  用  表</t>
  </si>
  <si>
    <t>时间</t>
  </si>
  <si>
    <t>客户</t>
  </si>
  <si>
    <t>品名</t>
  </si>
  <si>
    <t>柜号</t>
  </si>
  <si>
    <t>杂费</t>
  </si>
  <si>
    <t>应收报关费</t>
  </si>
  <si>
    <t>应收费用</t>
  </si>
  <si>
    <t>JOB</t>
  </si>
  <si>
    <t>2025.04.22</t>
  </si>
  <si>
    <t>陆总</t>
  </si>
  <si>
    <t>普杂</t>
  </si>
  <si>
    <t>JXLU4480530</t>
  </si>
  <si>
    <t>040396</t>
  </si>
  <si>
    <t>2025.04.24</t>
  </si>
  <si>
    <t>ZCSU7068785</t>
  </si>
  <si>
    <t>040397</t>
  </si>
  <si>
    <t>2025.04.30</t>
  </si>
  <si>
    <t>AB单</t>
  </si>
  <si>
    <t>BSIU9528779</t>
  </si>
  <si>
    <t>1300+250</t>
  </si>
  <si>
    <t>050377</t>
  </si>
  <si>
    <t>合计</t>
  </si>
  <si>
    <t>户名：邝永根</t>
  </si>
  <si>
    <t>账号:6013 8219 0006 376 7755</t>
  </si>
  <si>
    <t>开户行：中国银行广州丰田支行</t>
  </si>
  <si>
    <t>备注</t>
  </si>
  <si>
    <t>2025.01.20</t>
  </si>
  <si>
    <t>TEMU8624734</t>
  </si>
  <si>
    <t>昊玉（代收代付）6月17日微信收到</t>
  </si>
  <si>
    <t xml:space="preserve">广 州 耀 阳 供 应 链 管 理  有  限  公  司 </t>
  </si>
  <si>
    <t>应收对账单</t>
  </si>
  <si>
    <t xml:space="preserve">To:非洲  </t>
  </si>
  <si>
    <t>结算日期:2025-03-01-2025-03-31</t>
  </si>
  <si>
    <t>序号</t>
  </si>
  <si>
    <t>日期</t>
  </si>
  <si>
    <t>客户简称</t>
  </si>
  <si>
    <t>工厂名称</t>
  </si>
  <si>
    <t>柜型</t>
  </si>
  <si>
    <t>订舱号</t>
  </si>
  <si>
    <t>封条号</t>
  </si>
  <si>
    <t>运费</t>
  </si>
  <si>
    <t>提柜费</t>
  </si>
  <si>
    <t>办单费</t>
  </si>
  <si>
    <t>过磅费</t>
  </si>
  <si>
    <t>其它费</t>
  </si>
  <si>
    <t>小计</t>
  </si>
  <si>
    <t>3-5</t>
  </si>
  <si>
    <t>030372</t>
  </si>
  <si>
    <t>非洲仓</t>
  </si>
  <si>
    <t>40HC</t>
  </si>
  <si>
    <t>GOSUGZH0509876</t>
  </si>
  <si>
    <t>TCNU4255962</t>
  </si>
  <si>
    <t/>
  </si>
  <si>
    <t>3-12</t>
  </si>
  <si>
    <t>030378</t>
  </si>
  <si>
    <t>里水和顺</t>
  </si>
  <si>
    <t>GOSUGZH0514441</t>
  </si>
  <si>
    <t>TCLU9298044</t>
  </si>
  <si>
    <t>合计:</t>
  </si>
  <si>
    <t xml:space="preserve">总箱型箱量：40HC*3   </t>
  </si>
  <si>
    <t>制单人:管理员    2025-05-16</t>
  </si>
  <si>
    <t>3-29</t>
  </si>
  <si>
    <t>赛捷</t>
  </si>
  <si>
    <t>白云区清湖</t>
  </si>
  <si>
    <t>GOSUGZH0516451</t>
  </si>
  <si>
    <t>MAGU5460889</t>
  </si>
  <si>
    <t>6月10日企业支付宝收到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</si>
</sst>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5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8"/>
      <name val="宋体"/>
      <charset val="134"/>
    </font>
    <font>
      <b/>
      <sz val="12"/>
      <name val="宋体"/>
      <charset val="134"/>
    </font>
    <font>
      <b/>
      <sz val="9"/>
      <name val="Microsoft JhengHei"/>
      <charset val="134"/>
    </font>
    <font>
      <sz val="9"/>
      <name val="Microsoft JhengHei"/>
      <charset val="134"/>
    </font>
    <font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6" borderId="12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/>
    <xf numFmtId="0" fontId="3" fillId="2" borderId="0" xfId="0" applyNumberFormat="1" applyFont="1" applyFill="1" applyBorder="1" applyAlignment="1"/>
    <xf numFmtId="0" fontId="7" fillId="0" borderId="0" xfId="0" applyNumberFormat="1" applyFont="1" applyFill="1" applyBorder="1" applyAlignment="1">
      <alignment horizontal="right" vertical="center" wrapText="1"/>
    </xf>
    <xf numFmtId="0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8" fillId="0" borderId="1" xfId="0" applyNumberFormat="1" applyFont="1" applyFill="1" applyBorder="1" applyAlignment="1">
      <alignment horizontal="right" vertical="center" wrapText="1"/>
    </xf>
    <xf numFmtId="176" fontId="8" fillId="0" borderId="1" xfId="0" applyNumberFormat="1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9" fillId="0" borderId="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5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vertical="center"/>
    </xf>
    <xf numFmtId="176" fontId="11" fillId="0" borderId="5" xfId="0" applyNumberFormat="1" applyFont="1" applyFill="1" applyBorder="1" applyAlignment="1">
      <alignment vertical="center"/>
    </xf>
    <xf numFmtId="0" fontId="11" fillId="0" borderId="5" xfId="0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176" fontId="9" fillId="3" borderId="5" xfId="0" applyNumberFormat="1" applyFont="1" applyFill="1" applyBorder="1" applyAlignment="1">
      <alignment vertical="center"/>
    </xf>
    <xf numFmtId="49" fontId="9" fillId="0" borderId="5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76" fontId="15" fillId="0" borderId="5" xfId="0" applyNumberFormat="1" applyFont="1" applyFill="1" applyBorder="1" applyAlignment="1">
      <alignment vertical="center"/>
    </xf>
    <xf numFmtId="0" fontId="0" fillId="0" borderId="5" xfId="0" applyBorder="1">
      <alignment vertical="center"/>
    </xf>
    <xf numFmtId="0" fontId="8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115" zoomScaleNormal="115" workbookViewId="0">
      <selection activeCell="G9" sqref="G9"/>
    </sheetView>
  </sheetViews>
  <sheetFormatPr defaultColWidth="9" defaultRowHeight="13.5" outlineLevelCol="7"/>
  <cols>
    <col min="1" max="1" width="12.925" customWidth="1"/>
    <col min="2" max="2" width="6.075" customWidth="1"/>
    <col min="3" max="3" width="8.475" customWidth="1"/>
    <col min="4" max="4" width="11.4166666666667" customWidth="1"/>
    <col min="5" max="5" width="5.98333333333333" customWidth="1"/>
    <col min="6" max="6" width="14.625" customWidth="1"/>
    <col min="7" max="7" width="13" customWidth="1"/>
    <col min="8" max="8" width="14.3416666666667" customWidth="1"/>
  </cols>
  <sheetData>
    <row r="1" ht="25" customHeight="1" spans="1:6">
      <c r="A1" s="25" t="s">
        <v>0</v>
      </c>
      <c r="B1" s="25"/>
      <c r="C1" s="25"/>
      <c r="D1" s="25"/>
      <c r="E1" s="25"/>
      <c r="F1" s="25"/>
    </row>
    <row r="2" s="24" customFormat="1" ht="14.25" spans="1:8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7" t="s">
        <v>7</v>
      </c>
      <c r="H2" s="28" t="s">
        <v>8</v>
      </c>
    </row>
    <row r="3" s="24" customFormat="1" ht="14.25" spans="1:8">
      <c r="A3" s="28" t="s">
        <v>9</v>
      </c>
      <c r="B3" s="28" t="s">
        <v>10</v>
      </c>
      <c r="C3" s="28" t="s">
        <v>11</v>
      </c>
      <c r="D3" s="27" t="s">
        <v>12</v>
      </c>
      <c r="E3" s="35"/>
      <c r="F3" s="36">
        <v>1500</v>
      </c>
      <c r="G3" s="37">
        <v>1500</v>
      </c>
      <c r="H3" s="38" t="s">
        <v>13</v>
      </c>
    </row>
    <row r="4" s="24" customFormat="1" ht="14.25" spans="1:8">
      <c r="A4" s="28" t="s">
        <v>14</v>
      </c>
      <c r="B4" s="28" t="s">
        <v>10</v>
      </c>
      <c r="C4" s="28" t="s">
        <v>11</v>
      </c>
      <c r="D4" s="27" t="s">
        <v>15</v>
      </c>
      <c r="E4" s="35"/>
      <c r="F4" s="27">
        <v>2100</v>
      </c>
      <c r="G4" s="39">
        <v>2100</v>
      </c>
      <c r="H4" s="38" t="s">
        <v>16</v>
      </c>
    </row>
    <row r="5" s="24" customFormat="1" ht="14.25" spans="1:8">
      <c r="A5" s="28" t="s">
        <v>17</v>
      </c>
      <c r="B5" s="28" t="s">
        <v>10</v>
      </c>
      <c r="C5" s="28" t="s">
        <v>18</v>
      </c>
      <c r="D5" s="27" t="s">
        <v>19</v>
      </c>
      <c r="E5" s="35"/>
      <c r="F5" s="40" t="s">
        <v>20</v>
      </c>
      <c r="G5" s="39">
        <v>1550</v>
      </c>
      <c r="H5" s="38" t="s">
        <v>21</v>
      </c>
    </row>
    <row r="6" customFormat="1" ht="14.25" spans="1:8">
      <c r="A6" s="41" t="s">
        <v>22</v>
      </c>
      <c r="B6" s="42"/>
      <c r="C6" s="42"/>
      <c r="D6" s="42"/>
      <c r="E6" s="42"/>
      <c r="F6" s="43"/>
      <c r="G6" s="44">
        <f>SUM(G3:G5)</f>
        <v>5150</v>
      </c>
      <c r="H6" s="45"/>
    </row>
    <row r="8" ht="14.25" spans="1:1">
      <c r="A8" s="11" t="s">
        <v>23</v>
      </c>
    </row>
    <row r="9" ht="14.25" spans="1:1">
      <c r="A9" s="11" t="s">
        <v>24</v>
      </c>
    </row>
    <row r="10" ht="14.25" spans="1:1">
      <c r="A10" s="12" t="s">
        <v>25</v>
      </c>
    </row>
    <row r="12" ht="14.25" spans="1:3">
      <c r="A12" s="34"/>
      <c r="B12" s="34"/>
      <c r="C12" s="34"/>
    </row>
    <row r="13" ht="14.25" spans="1:3">
      <c r="A13" s="34"/>
      <c r="B13" s="34"/>
      <c r="C13" s="34"/>
    </row>
    <row r="14" ht="14.25" spans="1:3">
      <c r="A14" s="34"/>
      <c r="B14" s="34"/>
      <c r="C14" s="34"/>
    </row>
  </sheetData>
  <mergeCells count="2">
    <mergeCell ref="A1:F1"/>
    <mergeCell ref="A6:F6"/>
  </mergeCells>
  <pageMargins left="0.75" right="0.75" top="1" bottom="1" header="0.5" footer="0.5"/>
  <pageSetup paperSize="9" orientation="portrait"/>
  <headerFooter/>
  <ignoredErrors>
    <ignoredError sqref="H3:H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115" zoomScaleNormal="115" workbookViewId="0">
      <selection activeCell="A1" sqref="A1:H1"/>
    </sheetView>
  </sheetViews>
  <sheetFormatPr defaultColWidth="9" defaultRowHeight="13.5" outlineLevelCol="7"/>
  <cols>
    <col min="1" max="1" width="11.7333333333333" customWidth="1"/>
    <col min="2" max="2" width="7.60833333333333" customWidth="1"/>
    <col min="3" max="3" width="11.2916666666667" customWidth="1"/>
    <col min="4" max="4" width="13.2583333333333" customWidth="1"/>
    <col min="5" max="5" width="9.24166666666667" customWidth="1"/>
    <col min="6" max="6" width="10.8666666666667" customWidth="1"/>
    <col min="7" max="7" width="9.025" customWidth="1"/>
    <col min="8" max="8" width="8.8" customWidth="1"/>
  </cols>
  <sheetData>
    <row r="1" ht="25" customHeight="1" spans="1:8">
      <c r="A1" s="25" t="s">
        <v>0</v>
      </c>
      <c r="B1" s="25"/>
      <c r="C1" s="25"/>
      <c r="D1" s="25"/>
      <c r="E1" s="25"/>
      <c r="F1" s="25"/>
      <c r="G1" s="25"/>
      <c r="H1" s="25"/>
    </row>
    <row r="2" s="24" customFormat="1" ht="14.25" spans="1:8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7" t="s">
        <v>7</v>
      </c>
      <c r="H2" s="28" t="s">
        <v>26</v>
      </c>
    </row>
    <row r="3" s="24" customFormat="1" ht="54" spans="1:8">
      <c r="A3" s="29" t="s">
        <v>27</v>
      </c>
      <c r="B3" s="29" t="s">
        <v>10</v>
      </c>
      <c r="C3" s="29" t="s">
        <v>11</v>
      </c>
      <c r="D3" s="30" t="s">
        <v>28</v>
      </c>
      <c r="E3" s="30"/>
      <c r="F3" s="30">
        <v>800</v>
      </c>
      <c r="G3" s="31">
        <v>800</v>
      </c>
      <c r="H3" s="32" t="s">
        <v>29</v>
      </c>
    </row>
    <row r="4" customFormat="1" ht="14.25" spans="7:7">
      <c r="G4" s="33"/>
    </row>
    <row r="6" ht="14.25" spans="1:1">
      <c r="A6" s="11" t="s">
        <v>23</v>
      </c>
    </row>
    <row r="7" ht="14.25" spans="1:1">
      <c r="A7" s="11" t="s">
        <v>24</v>
      </c>
    </row>
    <row r="8" ht="14.25" spans="1:1">
      <c r="A8" s="12" t="s">
        <v>25</v>
      </c>
    </row>
    <row r="10" ht="14.25" spans="1:3">
      <c r="A10" s="34"/>
      <c r="B10" s="34"/>
      <c r="C10" s="34"/>
    </row>
    <row r="11" ht="14.25" spans="1:3">
      <c r="A11" s="34"/>
      <c r="B11" s="34"/>
      <c r="C11" s="34"/>
    </row>
    <row r="12" ht="14.25" spans="1:3">
      <c r="A12" s="34"/>
      <c r="B12" s="34"/>
      <c r="C12" s="34"/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O7" sqref="O7:O8"/>
    </sheetView>
  </sheetViews>
  <sheetFormatPr defaultColWidth="9.84166666666667" defaultRowHeight="12.75"/>
  <cols>
    <col min="1" max="1" width="6.46666666666667" style="1"/>
    <col min="2" max="2" width="6.5" style="1" customWidth="1"/>
    <col min="3" max="3" width="8.61666666666667" style="1"/>
    <col min="4" max="4" width="9" style="1" customWidth="1"/>
    <col min="5" max="5" width="8.25" style="1" customWidth="1"/>
    <col min="6" max="6" width="7.5" style="1" customWidth="1"/>
    <col min="7" max="7" width="14" style="1"/>
    <col min="8" max="8" width="10.625" style="1" customWidth="1"/>
    <col min="9" max="9" width="6.125" style="1" customWidth="1"/>
    <col min="10" max="10" width="8.61666666666667" style="1"/>
    <col min="11" max="11" width="5.875" style="1" customWidth="1"/>
    <col min="12" max="13" width="8.61666666666667" style="1"/>
    <col min="14" max="14" width="7" style="1" customWidth="1"/>
    <col min="15" max="15" width="14" style="1" customWidth="1"/>
    <col min="16" max="16" width="8.25" style="1" customWidth="1"/>
    <col min="17" max="16384" width="9.84166666666667" style="1"/>
  </cols>
  <sheetData>
    <row r="1" s="1" customFormat="1" ht="22.5" customHeight="1" spans="1:1">
      <c r="A1" s="2" t="s">
        <v>30</v>
      </c>
    </row>
    <row r="2" s="1" customFormat="1" ht="17.5" customHeight="1" spans="1:1">
      <c r="A2" s="3"/>
    </row>
    <row r="3" s="1" customFormat="1" ht="17.5" customHeight="1" spans="1:1">
      <c r="A3" s="3"/>
    </row>
    <row r="4" s="1" customFormat="1" ht="17.5" customHeight="1" spans="1:1">
      <c r="A4" s="3" t="s">
        <v>31</v>
      </c>
    </row>
    <row r="5" s="1" customFormat="1" ht="17.5" customHeight="1" spans="1:11">
      <c r="A5" s="4" t="s">
        <v>32</v>
      </c>
      <c r="K5" s="13" t="s">
        <v>33</v>
      </c>
    </row>
    <row r="6" s="1" customFormat="1" ht="20" customHeight="1" spans="1:16">
      <c r="A6" s="16" t="s">
        <v>34</v>
      </c>
      <c r="B6" s="16" t="s">
        <v>35</v>
      </c>
      <c r="C6" s="16" t="s">
        <v>8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</v>
      </c>
      <c r="I6" s="16" t="s">
        <v>40</v>
      </c>
      <c r="J6" s="16" t="s">
        <v>41</v>
      </c>
      <c r="K6" s="16" t="s">
        <v>42</v>
      </c>
      <c r="L6" s="16" t="s">
        <v>43</v>
      </c>
      <c r="M6" s="16" t="s">
        <v>44</v>
      </c>
      <c r="N6" s="16" t="s">
        <v>45</v>
      </c>
      <c r="O6" s="16" t="s">
        <v>46</v>
      </c>
      <c r="P6" s="16" t="s">
        <v>26</v>
      </c>
    </row>
    <row r="7" s="1" customFormat="1" ht="20" customHeight="1" spans="1:16">
      <c r="A7" s="17">
        <v>1</v>
      </c>
      <c r="B7" s="17" t="s">
        <v>47</v>
      </c>
      <c r="C7" s="46" t="s">
        <v>48</v>
      </c>
      <c r="D7" s="18" t="s">
        <v>10</v>
      </c>
      <c r="E7" s="18" t="s">
        <v>49</v>
      </c>
      <c r="F7" s="17" t="s">
        <v>50</v>
      </c>
      <c r="G7" s="18" t="s">
        <v>51</v>
      </c>
      <c r="H7" s="17" t="s">
        <v>52</v>
      </c>
      <c r="I7" s="18" t="s">
        <v>53</v>
      </c>
      <c r="J7" s="21">
        <v>1680</v>
      </c>
      <c r="K7" s="21" t="s">
        <v>53</v>
      </c>
      <c r="L7" s="21">
        <v>61</v>
      </c>
      <c r="M7" s="21" t="s">
        <v>53</v>
      </c>
      <c r="N7" s="21" t="s">
        <v>53</v>
      </c>
      <c r="O7" s="22">
        <f>SUM(J7:N7)</f>
        <v>1741</v>
      </c>
      <c r="P7" s="18" t="s">
        <v>53</v>
      </c>
    </row>
    <row r="8" s="1" customFormat="1" ht="20" customHeight="1" spans="1:16">
      <c r="A8" s="17">
        <v>2</v>
      </c>
      <c r="B8" s="17" t="s">
        <v>54</v>
      </c>
      <c r="C8" s="46" t="s">
        <v>55</v>
      </c>
      <c r="D8" s="18" t="s">
        <v>10</v>
      </c>
      <c r="E8" s="18" t="s">
        <v>56</v>
      </c>
      <c r="F8" s="17" t="s">
        <v>50</v>
      </c>
      <c r="G8" s="18" t="s">
        <v>57</v>
      </c>
      <c r="H8" s="17" t="s">
        <v>58</v>
      </c>
      <c r="I8" s="18" t="s">
        <v>53</v>
      </c>
      <c r="J8" s="21">
        <v>1680</v>
      </c>
      <c r="K8" s="21" t="s">
        <v>53</v>
      </c>
      <c r="L8" s="21">
        <v>61</v>
      </c>
      <c r="M8" s="21">
        <v>64</v>
      </c>
      <c r="N8" s="21">
        <v>40</v>
      </c>
      <c r="O8" s="22">
        <f>SUM(J8:N8)</f>
        <v>1845</v>
      </c>
      <c r="P8" s="18" t="s">
        <v>53</v>
      </c>
    </row>
    <row r="9" s="1" customFormat="1" ht="20" customHeight="1" spans="1:16">
      <c r="A9" s="19" t="s">
        <v>59</v>
      </c>
      <c r="B9" s="20"/>
      <c r="C9" s="20"/>
      <c r="D9" s="20"/>
      <c r="E9" s="20"/>
      <c r="F9" s="20"/>
      <c r="G9" s="20"/>
      <c r="H9" s="20"/>
      <c r="I9" s="23"/>
      <c r="J9" s="21">
        <f t="shared" ref="J9:O9" si="0">SUM(J7:J8)</f>
        <v>3360</v>
      </c>
      <c r="K9" s="21">
        <f t="shared" si="0"/>
        <v>0</v>
      </c>
      <c r="L9" s="21">
        <f t="shared" si="0"/>
        <v>122</v>
      </c>
      <c r="M9" s="21">
        <f t="shared" si="0"/>
        <v>64</v>
      </c>
      <c r="N9" s="21">
        <f t="shared" si="0"/>
        <v>40</v>
      </c>
      <c r="O9" s="22">
        <f t="shared" si="0"/>
        <v>3586</v>
      </c>
      <c r="P9" s="21" t="s">
        <v>53</v>
      </c>
    </row>
    <row r="10" s="1" customFormat="1" ht="20" customHeight="1" spans="1:1">
      <c r="A10" s="1" t="s">
        <v>60</v>
      </c>
    </row>
    <row r="11" s="1" customFormat="1" ht="20" customHeight="1" spans="1:1">
      <c r="A11" s="10" t="s">
        <v>53</v>
      </c>
    </row>
    <row r="12" s="1" customFormat="1" ht="20" customHeight="1" spans="1:1">
      <c r="A12" s="10" t="s">
        <v>61</v>
      </c>
    </row>
    <row r="15" ht="14.25" spans="1:1">
      <c r="A15" s="11" t="s">
        <v>23</v>
      </c>
    </row>
    <row r="16" ht="14.25" spans="1:1">
      <c r="A16" s="11" t="s">
        <v>24</v>
      </c>
    </row>
    <row r="17" ht="14.25" spans="1:1">
      <c r="A17" s="12" t="s">
        <v>25</v>
      </c>
    </row>
  </sheetData>
  <mergeCells count="10">
    <mergeCell ref="A1:P1"/>
    <mergeCell ref="A2:P2"/>
    <mergeCell ref="A3:P3"/>
    <mergeCell ref="A4:P4"/>
    <mergeCell ref="A5:J5"/>
    <mergeCell ref="K5:P5"/>
    <mergeCell ref="A9:I9"/>
    <mergeCell ref="A10:P10"/>
    <mergeCell ref="A11:P11"/>
    <mergeCell ref="A12:P12"/>
  </mergeCells>
  <pageMargins left="0.75" right="0.275" top="1" bottom="1" header="0.5" footer="0.5"/>
  <pageSetup paperSize="9" orientation="landscape"/>
  <headerFooter/>
  <ignoredErrors>
    <ignoredError sqref="C7:C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A7" sqref="$A7:$XFD7"/>
    </sheetView>
  </sheetViews>
  <sheetFormatPr defaultColWidth="9.84166666666667" defaultRowHeight="12.75"/>
  <cols>
    <col min="1" max="1" width="6.46666666666667" style="1"/>
    <col min="2" max="3" width="8.61666666666667" style="1"/>
    <col min="4" max="4" width="8.25" style="1" customWidth="1"/>
    <col min="5" max="5" width="7.75" style="1" customWidth="1"/>
    <col min="6" max="6" width="7.625" style="1" customWidth="1"/>
    <col min="7" max="7" width="14" style="1"/>
    <col min="8" max="8" width="12.125" style="1" customWidth="1"/>
    <col min="9" max="10" width="8.61666666666667" style="1"/>
    <col min="11" max="11" width="6.25" style="1" customWidth="1"/>
    <col min="12" max="12" width="8.61666666666667" style="1"/>
    <col min="13" max="13" width="5.25" style="1" customWidth="1"/>
    <col min="14" max="14" width="11.125" style="1" customWidth="1"/>
    <col min="15" max="15" width="9.875" style="1" customWidth="1"/>
    <col min="16" max="16384" width="9.84166666666667" style="1"/>
  </cols>
  <sheetData>
    <row r="1" s="1" customFormat="1" ht="22.5" customHeight="1" spans="1:1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="1" customFormat="1" ht="17.5" customHeight="1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="1" customFormat="1" ht="17.5" customHeight="1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="1" customFormat="1" ht="17.5" customHeight="1" spans="1:15">
      <c r="A4" s="3" t="s">
        <v>31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="1" customFormat="1" ht="17.5" customHeight="1" spans="1:15">
      <c r="A5" s="4" t="s">
        <v>32</v>
      </c>
      <c r="B5" s="4"/>
      <c r="C5" s="4"/>
      <c r="D5" s="4"/>
      <c r="E5" s="4"/>
      <c r="F5" s="4"/>
      <c r="G5" s="4"/>
      <c r="H5" s="4"/>
      <c r="I5" s="4"/>
      <c r="J5" s="13" t="s">
        <v>33</v>
      </c>
      <c r="K5" s="13"/>
      <c r="L5" s="13"/>
      <c r="M5" s="13"/>
      <c r="N5" s="13"/>
      <c r="O5" s="13"/>
    </row>
    <row r="6" s="1" customFormat="1" ht="20" customHeight="1" spans="1:15">
      <c r="A6" s="5" t="s">
        <v>34</v>
      </c>
      <c r="B6" s="5" t="s">
        <v>35</v>
      </c>
      <c r="C6" s="5" t="s">
        <v>8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</v>
      </c>
      <c r="I6" s="5" t="s">
        <v>41</v>
      </c>
      <c r="J6" s="5" t="s">
        <v>42</v>
      </c>
      <c r="K6" s="5" t="s">
        <v>43</v>
      </c>
      <c r="L6" s="5" t="s">
        <v>44</v>
      </c>
      <c r="M6" s="5" t="s">
        <v>45</v>
      </c>
      <c r="N6" s="5" t="s">
        <v>46</v>
      </c>
      <c r="O6" s="5" t="s">
        <v>26</v>
      </c>
    </row>
    <row r="7" s="1" customFormat="1" ht="36" customHeight="1" spans="1:15">
      <c r="A7" s="6">
        <v>3</v>
      </c>
      <c r="B7" s="6" t="s">
        <v>62</v>
      </c>
      <c r="C7" s="6" t="s">
        <v>63</v>
      </c>
      <c r="D7" s="7" t="s">
        <v>10</v>
      </c>
      <c r="E7" s="7" t="s">
        <v>64</v>
      </c>
      <c r="F7" s="6" t="s">
        <v>50</v>
      </c>
      <c r="G7" s="7" t="s">
        <v>65</v>
      </c>
      <c r="H7" s="6" t="s">
        <v>66</v>
      </c>
      <c r="I7" s="14">
        <v>1680</v>
      </c>
      <c r="J7" s="14">
        <v>105</v>
      </c>
      <c r="K7" s="14">
        <v>61</v>
      </c>
      <c r="L7" s="14">
        <v>38</v>
      </c>
      <c r="M7" s="14" t="s">
        <v>53</v>
      </c>
      <c r="N7" s="15">
        <f>SUM(I7:M7)</f>
        <v>1884</v>
      </c>
      <c r="O7" s="7" t="s">
        <v>67</v>
      </c>
    </row>
    <row r="8" s="1" customFormat="1" ht="20" customHeight="1" spans="1:15">
      <c r="A8" s="8" t="s">
        <v>59</v>
      </c>
      <c r="B8" s="9"/>
      <c r="C8" s="9"/>
      <c r="D8" s="9"/>
      <c r="E8" s="9"/>
      <c r="F8" s="9"/>
      <c r="G8" s="9"/>
      <c r="H8" s="9"/>
      <c r="I8" s="14">
        <f t="shared" ref="I8:N8" si="0">SUM(I7:I7)</f>
        <v>1680</v>
      </c>
      <c r="J8" s="14">
        <f t="shared" si="0"/>
        <v>105</v>
      </c>
      <c r="K8" s="14">
        <f t="shared" si="0"/>
        <v>61</v>
      </c>
      <c r="L8" s="14">
        <f t="shared" si="0"/>
        <v>38</v>
      </c>
      <c r="M8" s="14">
        <f t="shared" si="0"/>
        <v>0</v>
      </c>
      <c r="N8" s="15">
        <f t="shared" si="0"/>
        <v>1884</v>
      </c>
      <c r="O8" s="14" t="s">
        <v>53</v>
      </c>
    </row>
    <row r="9" s="1" customFormat="1" ht="20" customHeight="1" spans="1:1">
      <c r="A9" s="1" t="s">
        <v>60</v>
      </c>
    </row>
    <row r="10" s="1" customFormat="1" ht="20" customHeight="1" spans="1:15">
      <c r="A10" s="10" t="s">
        <v>53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="1" customFormat="1" ht="20" customHeight="1" spans="1:15">
      <c r="A11" s="10" t="s">
        <v>61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4" ht="14.25" spans="1:1">
      <c r="A14" s="11" t="s">
        <v>23</v>
      </c>
    </row>
    <row r="15" ht="14.25" spans="1:1">
      <c r="A15" s="11" t="s">
        <v>24</v>
      </c>
    </row>
    <row r="16" ht="14.25" spans="1:1">
      <c r="A16" s="12" t="s">
        <v>25</v>
      </c>
    </row>
  </sheetData>
  <mergeCells count="10">
    <mergeCell ref="A1:O1"/>
    <mergeCell ref="A2:O2"/>
    <mergeCell ref="A3:O3"/>
    <mergeCell ref="A4:O4"/>
    <mergeCell ref="A5:I5"/>
    <mergeCell ref="J5:O5"/>
    <mergeCell ref="A8:H8"/>
    <mergeCell ref="A9:O9"/>
    <mergeCell ref="A10:O10"/>
    <mergeCell ref="A11:O1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喵喵报关费用</vt:lpstr>
      <vt:lpstr>昊玉报关费（代收代付）</vt:lpstr>
      <vt:lpstr>3月拖车（喵喵）</vt:lpstr>
      <vt:lpstr>3月拖车 (赛捷代收代付)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</dc:creator>
  <cp:lastModifiedBy>刘劭勇</cp:lastModifiedBy>
  <dcterms:created xsi:type="dcterms:W3CDTF">2024-04-10T15:43:00Z</dcterms:created>
  <dcterms:modified xsi:type="dcterms:W3CDTF">2025-06-18T02:00:46Z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5D87D3AE5EAB47F2A000ED4952A38DBE_13</vt:lpwstr>
  </property>
  <property fmtid="{D5CDD505-2E9C-101B-9397-08002B2CF9AE}" pid="3" name="KSOProductBuildVer">
    <vt:lpwstr>2052-12.1.0.21541</vt:lpwstr>
  </property>
</Properties>
</file>