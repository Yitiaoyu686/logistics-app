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2024.12" sheetId="1" r:id="rId1"/>
    <sheet name="2025.1" sheetId="2" r:id="rId2"/>
    <sheet name="2025.2" sheetId="3" r:id="rId3"/>
  </sheets>
  <definedNames>
    <definedName name="_xlnm._FilterDatabase" localSheetId="1" hidden="1">'2025.1'!$A$6:$Q$34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<sst xmlns="http://schemas.openxmlformats.org/spreadsheetml/2006/main" count="480" uniqueCount="185">
  <si>
    <t>广州南沙耀阳供应链</t>
  </si>
  <si>
    <t>南沙珠江湾海悦庭-D栋南沙珠江湾-4栋501</t>
  </si>
  <si>
    <t>应收对账单</t>
  </si>
  <si>
    <t xml:space="preserve">To:非洲  </t>
  </si>
  <si>
    <t>结算日期:2024-12-01-2024-12-31</t>
  </si>
  <si>
    <t>序号</t>
  </si>
  <si>
    <t>日期</t>
  </si>
  <si>
    <t>JOB</t>
  </si>
  <si>
    <t>工厂名称</t>
  </si>
  <si>
    <t>柜型</t>
  </si>
  <si>
    <t>订舱号</t>
  </si>
  <si>
    <t>柜号</t>
  </si>
  <si>
    <t>封条号</t>
  </si>
  <si>
    <t>运费</t>
  </si>
  <si>
    <t>提柜费</t>
  </si>
  <si>
    <t>办单费</t>
  </si>
  <si>
    <t>过磅费</t>
  </si>
  <si>
    <t>其它费</t>
  </si>
  <si>
    <t>高速费</t>
  </si>
  <si>
    <t>异提·费</t>
  </si>
  <si>
    <t>小计</t>
  </si>
  <si>
    <t>备注</t>
  </si>
  <si>
    <t>12-5</t>
  </si>
  <si>
    <t>里水镇和顺</t>
  </si>
  <si>
    <t>40HC</t>
  </si>
  <si>
    <t>GGZ2379881</t>
  </si>
  <si>
    <t>FFAU4554148</t>
  </si>
  <si>
    <t/>
  </si>
  <si>
    <t>12-6</t>
  </si>
  <si>
    <t>白云区清湖</t>
  </si>
  <si>
    <t>HUHG40386400</t>
  </si>
  <si>
    <t>PCIU9008147</t>
  </si>
  <si>
    <t>12-10</t>
  </si>
  <si>
    <t>GOSUGZH0481400</t>
  </si>
  <si>
    <t>SEGU5754492</t>
  </si>
  <si>
    <t>GOSUGZH0481402</t>
  </si>
  <si>
    <t>ZCSU7906770</t>
  </si>
  <si>
    <t>12-11</t>
  </si>
  <si>
    <t>HUHG40153600</t>
  </si>
  <si>
    <t>GCXU5131027</t>
  </si>
  <si>
    <t>12-12</t>
  </si>
  <si>
    <t>GOSUGZH0481403</t>
  </si>
  <si>
    <t>PRSU8856651</t>
  </si>
  <si>
    <t>12-17</t>
  </si>
  <si>
    <t>GOSUGZH0485937</t>
  </si>
  <si>
    <t>JXLU6358584</t>
  </si>
  <si>
    <t>12-18</t>
  </si>
  <si>
    <t>GOSUGZH0485938</t>
  </si>
  <si>
    <t>ZCSU7897359</t>
  </si>
  <si>
    <t>12-19</t>
  </si>
  <si>
    <t>GOSUGZH0485793</t>
  </si>
  <si>
    <t>ZCSU7914369</t>
  </si>
  <si>
    <t>停车费25</t>
  </si>
  <si>
    <t>12-26</t>
  </si>
  <si>
    <t>GOSUGZH0493751</t>
  </si>
  <si>
    <t>JXLU6167459</t>
  </si>
  <si>
    <t>补高速200</t>
  </si>
  <si>
    <t>12-27</t>
  </si>
  <si>
    <t>GOSUGZH0493715</t>
  </si>
  <si>
    <t>TCNU2311774</t>
  </si>
  <si>
    <t>12-29</t>
  </si>
  <si>
    <t>GOSUGZH0493725</t>
  </si>
  <si>
    <t>JXLU4673479</t>
  </si>
  <si>
    <t>合计:</t>
  </si>
  <si>
    <t>合计(大写):</t>
  </si>
  <si>
    <t>贰万贰仟叁佰玖拾陆元整</t>
  </si>
  <si>
    <t xml:space="preserve">总箱型箱量：40HC*12   </t>
  </si>
  <si>
    <t>制单人:管理员    2025-01-01</t>
  </si>
  <si>
    <t>如若无误请确认、以上费用为不开票费用，安排付款无需备注。谢谢！</t>
  </si>
  <si>
    <t>账户：邝永根</t>
  </si>
  <si>
    <t>账号RMB:601 382 1900 06376 7755</t>
  </si>
  <si>
    <t>开户行：中国银行广州丰田支行</t>
  </si>
  <si>
    <t>深圳荣江达物流有限公司</t>
  </si>
  <si>
    <t>结算日期:2025-01-01-2025-01-31</t>
  </si>
  <si>
    <t>客户简称</t>
  </si>
  <si>
    <t>异地费</t>
  </si>
  <si>
    <t>1-2</t>
  </si>
  <si>
    <t>GOSUGZH0491235</t>
  </si>
  <si>
    <t>TCNU6907587</t>
  </si>
  <si>
    <t>1-5</t>
  </si>
  <si>
    <t>010311</t>
  </si>
  <si>
    <t>非洲仓</t>
  </si>
  <si>
    <t>GOSUGZH0491236</t>
  </si>
  <si>
    <t>JXLU4665370</t>
  </si>
  <si>
    <t>超重500</t>
  </si>
  <si>
    <t>1-8</t>
  </si>
  <si>
    <t>010315</t>
  </si>
  <si>
    <t>GOSUGZH0493885</t>
  </si>
  <si>
    <t>JXLU4661570</t>
  </si>
  <si>
    <t>停车费20超重补100</t>
  </si>
  <si>
    <t>010314</t>
  </si>
  <si>
    <t>GOSUGZH0491237</t>
  </si>
  <si>
    <t>CAAU8828855</t>
  </si>
  <si>
    <t>停车费20</t>
  </si>
  <si>
    <t>1-10</t>
  </si>
  <si>
    <t>GOSUGZH0498422</t>
  </si>
  <si>
    <t>CAAU8829770</t>
  </si>
  <si>
    <t>退场柜</t>
  </si>
  <si>
    <t>退场柜48小时再还，吊柜200</t>
  </si>
  <si>
    <t>1-13</t>
  </si>
  <si>
    <t>010321</t>
  </si>
  <si>
    <t>GOSUGZH0498568</t>
  </si>
  <si>
    <t>ZCSU7123753</t>
  </si>
  <si>
    <t>1-14</t>
  </si>
  <si>
    <t>010327</t>
  </si>
  <si>
    <t>GOSUGZH0494942</t>
  </si>
  <si>
    <t>JXLU4670274</t>
  </si>
  <si>
    <t>1-16</t>
  </si>
  <si>
    <t>010329</t>
  </si>
  <si>
    <t>GOSUGZH0499671</t>
  </si>
  <si>
    <t>JXLU4709632</t>
  </si>
  <si>
    <t>1-18</t>
  </si>
  <si>
    <t>白云</t>
  </si>
  <si>
    <t>GOSUGZH0499684</t>
  </si>
  <si>
    <t>TLLU4461711</t>
  </si>
  <si>
    <t>非洲</t>
  </si>
  <si>
    <t>CANE97311605</t>
  </si>
  <si>
    <t>TEMU8624734</t>
  </si>
  <si>
    <t>白云清湖</t>
  </si>
  <si>
    <t>GOSUGZH0499703</t>
  </si>
  <si>
    <t>ZCSU7794664</t>
  </si>
  <si>
    <t>1-20</t>
  </si>
  <si>
    <t>010334</t>
  </si>
  <si>
    <t>非洲海仓</t>
  </si>
  <si>
    <t>GOSUGZH0499705</t>
  </si>
  <si>
    <t>CICU6896890</t>
  </si>
  <si>
    <t>停车费</t>
  </si>
  <si>
    <t>GOSUGZH0499707</t>
  </si>
  <si>
    <t>GAOU6110686</t>
  </si>
  <si>
    <t>1-21</t>
  </si>
  <si>
    <t>白云苏元庄</t>
  </si>
  <si>
    <t>HUHG50514300</t>
  </si>
  <si>
    <t>GCXU5091691</t>
  </si>
  <si>
    <t>20号预提柜.吊柜200堆存费50</t>
  </si>
  <si>
    <t>010336</t>
  </si>
  <si>
    <t>里水和顺</t>
  </si>
  <si>
    <t>GOSUGZH0500925</t>
  </si>
  <si>
    <t>ZCSU6560471</t>
  </si>
  <si>
    <t>010337</t>
  </si>
  <si>
    <t>GOSUGZH0500926</t>
  </si>
  <si>
    <t>TEMU6674823</t>
  </si>
  <si>
    <t>1-22</t>
  </si>
  <si>
    <t>010338</t>
  </si>
  <si>
    <t>GOSUGZH0500924</t>
  </si>
  <si>
    <t>FSCU8097766</t>
  </si>
  <si>
    <t>010344</t>
  </si>
  <si>
    <t>GOSUGZH0499701</t>
  </si>
  <si>
    <t>EGSU9069215</t>
  </si>
  <si>
    <t>存堆场300，请车还柜500，停车费40</t>
  </si>
  <si>
    <t>010339</t>
  </si>
  <si>
    <t>GZH0500916</t>
  </si>
  <si>
    <t>CAIU4428107</t>
  </si>
  <si>
    <t>1-24</t>
  </si>
  <si>
    <t>GOSUGZH0500920</t>
  </si>
  <si>
    <t>FSCU8171694</t>
  </si>
  <si>
    <t>存堆场300，改单还柜，堆场还柜500</t>
  </si>
  <si>
    <t>1-25</t>
  </si>
  <si>
    <t>GOSUGZH0499716</t>
  </si>
  <si>
    <t>SEGU5813297</t>
  </si>
  <si>
    <t>FFAU5614730</t>
  </si>
  <si>
    <t>预提300，堆存200，改单号还柜</t>
  </si>
  <si>
    <t>陆万贰仟贰佰壹拾伍元整</t>
  </si>
  <si>
    <t xml:space="preserve">总箱型箱量：40HC*23   </t>
  </si>
  <si>
    <t>制单人:管理员    2025-02-13</t>
  </si>
  <si>
    <t>结算日期:2025-02-01-2025-02-28</t>
  </si>
  <si>
    <t>2-21</t>
  </si>
  <si>
    <t>GOSUGZH0506100</t>
  </si>
  <si>
    <t>TCKU7336359</t>
  </si>
  <si>
    <t>2-24</t>
  </si>
  <si>
    <t>020175</t>
  </si>
  <si>
    <t>和顺非洲海仓</t>
  </si>
  <si>
    <t>GOSUGZH0508419</t>
  </si>
  <si>
    <t>BSIU9753574</t>
  </si>
  <si>
    <t>GOSUGZH0508420</t>
  </si>
  <si>
    <t>ZCSU7379447</t>
  </si>
  <si>
    <t>2-26</t>
  </si>
  <si>
    <t>HUHG50701000</t>
  </si>
  <si>
    <t>PCIU9391159</t>
  </si>
  <si>
    <t>改单还柜</t>
  </si>
  <si>
    <t>2-27</t>
  </si>
  <si>
    <t>G0SUGZH0508422</t>
  </si>
  <si>
    <t>JXLU6153687</t>
  </si>
  <si>
    <t>捌仟捌佰伍拾玖元整</t>
  </si>
  <si>
    <t xml:space="preserve">总箱型箱量：40HC*5   </t>
  </si>
  <si>
    <t>制单人:管理员    2025-03-27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</si>
</sst>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b/>
      <sz val="18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C9" sqref="C9"/>
    </sheetView>
  </sheetViews>
  <sheetFormatPr defaultColWidth="8.72727272727273" defaultRowHeight="12.5"/>
  <cols>
    <col min="1" max="1" width="6" style="1"/>
    <col min="2" max="2" width="8" style="1"/>
    <col min="3" max="4" width="10" style="1"/>
    <col min="5" max="5" width="9" style="1"/>
    <col min="6" max="6" width="15.2727272727273" style="1" customWidth="1"/>
    <col min="7" max="7" width="12" style="1"/>
    <col min="8" max="8" width="10" style="1"/>
    <col min="9" max="15" width="8" style="1"/>
    <col min="16" max="16" width="10" style="1"/>
    <col min="17" max="17" width="30" style="1"/>
    <col min="18" max="16384" width="8.72727272727273" style="1"/>
  </cols>
  <sheetData>
    <row r="1" s="1" customFormat="1" ht="22.5" customHeight="1" spans="1:1">
      <c r="A1" s="2" t="s">
        <v>0</v>
      </c>
    </row>
    <row r="2" s="1" customFormat="1" ht="17.45" customHeight="1" spans="1:1">
      <c r="A2" s="3" t="s">
        <v>1</v>
      </c>
    </row>
    <row r="3" s="1" customFormat="1" ht="17.45" customHeight="1" spans="1:1">
      <c r="A3" s="3"/>
    </row>
    <row r="4" s="1" customFormat="1" ht="17.45" customHeight="1" spans="1:1">
      <c r="A4" s="3" t="s">
        <v>2</v>
      </c>
    </row>
    <row r="5" s="1" customFormat="1" ht="17.45" customHeight="1" spans="1:12">
      <c r="A5" s="4" t="s">
        <v>3</v>
      </c>
      <c r="L5" s="5" t="s">
        <v>4</v>
      </c>
    </row>
    <row r="6" s="1" customFormat="1" ht="20.1" customHeight="1" spans="1:17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</row>
    <row r="7" s="1" customFormat="1" ht="20.1" customHeight="1" spans="1:17">
      <c r="A7" s="7">
        <v>1</v>
      </c>
      <c r="B7" s="7" t="s">
        <v>22</v>
      </c>
      <c r="C7" s="7">
        <v>120360</v>
      </c>
      <c r="D7" s="8" t="s">
        <v>23</v>
      </c>
      <c r="E7" s="7" t="s">
        <v>24</v>
      </c>
      <c r="F7" s="8" t="s">
        <v>25</v>
      </c>
      <c r="G7" s="7" t="s">
        <v>26</v>
      </c>
      <c r="H7" s="8" t="s">
        <v>27</v>
      </c>
      <c r="I7" s="14">
        <v>1670</v>
      </c>
      <c r="J7" s="14" t="s">
        <v>27</v>
      </c>
      <c r="K7" s="14">
        <v>54</v>
      </c>
      <c r="L7" s="14">
        <v>69</v>
      </c>
      <c r="M7" s="14">
        <v>30</v>
      </c>
      <c r="N7" s="14" t="s">
        <v>27</v>
      </c>
      <c r="O7" s="14" t="s">
        <v>27</v>
      </c>
      <c r="P7" s="14">
        <f t="shared" ref="P7:P18" si="0">SUM(I7:O7)</f>
        <v>1823</v>
      </c>
      <c r="Q7" s="8" t="s">
        <v>27</v>
      </c>
    </row>
    <row r="8" s="1" customFormat="1" ht="20.1" customHeight="1" spans="1:17">
      <c r="A8" s="7">
        <v>2</v>
      </c>
      <c r="B8" s="7" t="s">
        <v>28</v>
      </c>
      <c r="C8" s="7"/>
      <c r="D8" s="8" t="s">
        <v>29</v>
      </c>
      <c r="E8" s="7" t="s">
        <v>24</v>
      </c>
      <c r="F8" s="8" t="s">
        <v>30</v>
      </c>
      <c r="G8" s="7" t="s">
        <v>31</v>
      </c>
      <c r="H8" s="8" t="s">
        <v>27</v>
      </c>
      <c r="I8" s="14">
        <v>1670</v>
      </c>
      <c r="J8" s="14" t="s">
        <v>27</v>
      </c>
      <c r="K8" s="14">
        <v>31</v>
      </c>
      <c r="L8" s="14">
        <v>42</v>
      </c>
      <c r="M8" s="14" t="s">
        <v>27</v>
      </c>
      <c r="N8" s="14">
        <v>321</v>
      </c>
      <c r="O8" s="14" t="s">
        <v>27</v>
      </c>
      <c r="P8" s="14">
        <f t="shared" si="0"/>
        <v>2064</v>
      </c>
      <c r="Q8" s="8" t="s">
        <v>27</v>
      </c>
    </row>
    <row r="9" s="1" customFormat="1" ht="20.1" customHeight="1" spans="1:17">
      <c r="A9" s="7">
        <v>3</v>
      </c>
      <c r="B9" s="7" t="s">
        <v>32</v>
      </c>
      <c r="C9" s="7">
        <v>120375</v>
      </c>
      <c r="D9" s="8" t="s">
        <v>23</v>
      </c>
      <c r="E9" s="7" t="s">
        <v>24</v>
      </c>
      <c r="F9" s="8" t="s">
        <v>33</v>
      </c>
      <c r="G9" s="7" t="s">
        <v>34</v>
      </c>
      <c r="H9" s="8" t="s">
        <v>27</v>
      </c>
      <c r="I9" s="14">
        <v>1670</v>
      </c>
      <c r="J9" s="14" t="s">
        <v>27</v>
      </c>
      <c r="K9" s="14">
        <v>61</v>
      </c>
      <c r="L9" s="14">
        <v>70</v>
      </c>
      <c r="M9" s="14" t="s">
        <v>27</v>
      </c>
      <c r="N9" s="14" t="s">
        <v>27</v>
      </c>
      <c r="O9" s="14" t="s">
        <v>27</v>
      </c>
      <c r="P9" s="14">
        <f t="shared" si="0"/>
        <v>1801</v>
      </c>
      <c r="Q9" s="8" t="s">
        <v>27</v>
      </c>
    </row>
    <row r="10" s="1" customFormat="1" ht="20.1" customHeight="1" spans="1:17">
      <c r="A10" s="7">
        <v>4</v>
      </c>
      <c r="B10" s="7" t="s">
        <v>32</v>
      </c>
      <c r="C10" s="7">
        <v>120376</v>
      </c>
      <c r="D10" s="8" t="s">
        <v>23</v>
      </c>
      <c r="E10" s="7" t="s">
        <v>24</v>
      </c>
      <c r="F10" s="8" t="s">
        <v>35</v>
      </c>
      <c r="G10" s="7" t="s">
        <v>36</v>
      </c>
      <c r="H10" s="8" t="s">
        <v>27</v>
      </c>
      <c r="I10" s="14">
        <v>1670</v>
      </c>
      <c r="J10" s="14" t="s">
        <v>27</v>
      </c>
      <c r="K10" s="14">
        <v>61</v>
      </c>
      <c r="L10" s="14">
        <v>68</v>
      </c>
      <c r="M10" s="14" t="s">
        <v>27</v>
      </c>
      <c r="N10" s="14" t="s">
        <v>27</v>
      </c>
      <c r="O10" s="14" t="s">
        <v>27</v>
      </c>
      <c r="P10" s="14">
        <f t="shared" si="0"/>
        <v>1799</v>
      </c>
      <c r="Q10" s="8" t="s">
        <v>27</v>
      </c>
    </row>
    <row r="11" s="1" customFormat="1" ht="20.1" customHeight="1" spans="1:17">
      <c r="A11" s="7">
        <v>5</v>
      </c>
      <c r="B11" s="7" t="s">
        <v>37</v>
      </c>
      <c r="C11" s="7"/>
      <c r="D11" s="8" t="s">
        <v>29</v>
      </c>
      <c r="E11" s="7" t="s">
        <v>24</v>
      </c>
      <c r="F11" s="8" t="s">
        <v>38</v>
      </c>
      <c r="G11" s="7" t="s">
        <v>39</v>
      </c>
      <c r="H11" s="8" t="s">
        <v>27</v>
      </c>
      <c r="I11" s="14">
        <v>1670</v>
      </c>
      <c r="J11" s="14">
        <v>105</v>
      </c>
      <c r="K11" s="14">
        <v>61</v>
      </c>
      <c r="L11" s="14">
        <v>53</v>
      </c>
      <c r="M11" s="14" t="s">
        <v>27</v>
      </c>
      <c r="N11" s="14" t="s">
        <v>27</v>
      </c>
      <c r="O11" s="14">
        <v>100</v>
      </c>
      <c r="P11" s="14">
        <f t="shared" si="0"/>
        <v>1989</v>
      </c>
      <c r="Q11" s="8" t="s">
        <v>27</v>
      </c>
    </row>
    <row r="12" s="1" customFormat="1" ht="20.1" customHeight="1" spans="1:17">
      <c r="A12" s="7">
        <v>6</v>
      </c>
      <c r="B12" s="7" t="s">
        <v>40</v>
      </c>
      <c r="C12" s="7">
        <v>120381</v>
      </c>
      <c r="D12" s="8" t="s">
        <v>23</v>
      </c>
      <c r="E12" s="7" t="s">
        <v>24</v>
      </c>
      <c r="F12" s="8" t="s">
        <v>41</v>
      </c>
      <c r="G12" s="7" t="s">
        <v>42</v>
      </c>
      <c r="H12" s="8" t="s">
        <v>27</v>
      </c>
      <c r="I12" s="14">
        <v>1670</v>
      </c>
      <c r="J12" s="14">
        <v>105</v>
      </c>
      <c r="K12" s="14">
        <v>61</v>
      </c>
      <c r="L12" s="14">
        <v>71</v>
      </c>
      <c r="M12" s="14" t="s">
        <v>27</v>
      </c>
      <c r="N12" s="14" t="s">
        <v>27</v>
      </c>
      <c r="O12" s="14" t="s">
        <v>27</v>
      </c>
      <c r="P12" s="14">
        <f t="shared" si="0"/>
        <v>1907</v>
      </c>
      <c r="Q12" s="8" t="s">
        <v>27</v>
      </c>
    </row>
    <row r="13" s="1" customFormat="1" ht="20.1" customHeight="1" spans="1:17">
      <c r="A13" s="7">
        <v>7</v>
      </c>
      <c r="B13" s="7" t="s">
        <v>43</v>
      </c>
      <c r="C13" s="7">
        <v>120387</v>
      </c>
      <c r="D13" s="8" t="s">
        <v>23</v>
      </c>
      <c r="E13" s="7" t="s">
        <v>24</v>
      </c>
      <c r="F13" s="8" t="s">
        <v>44</v>
      </c>
      <c r="G13" s="7" t="s">
        <v>45</v>
      </c>
      <c r="H13" s="8" t="s">
        <v>27</v>
      </c>
      <c r="I13" s="14">
        <v>1670</v>
      </c>
      <c r="J13" s="14" t="s">
        <v>27</v>
      </c>
      <c r="K13" s="14">
        <v>61</v>
      </c>
      <c r="L13" s="14">
        <v>64</v>
      </c>
      <c r="M13" s="14">
        <v>25</v>
      </c>
      <c r="N13" s="14" t="s">
        <v>27</v>
      </c>
      <c r="O13" s="14" t="s">
        <v>27</v>
      </c>
      <c r="P13" s="14">
        <f t="shared" si="0"/>
        <v>1820</v>
      </c>
      <c r="Q13" s="8" t="s">
        <v>27</v>
      </c>
    </row>
    <row r="14" s="1" customFormat="1" ht="20.1" customHeight="1" spans="1:17">
      <c r="A14" s="7">
        <v>8</v>
      </c>
      <c r="B14" s="7" t="s">
        <v>46</v>
      </c>
      <c r="C14" s="7"/>
      <c r="D14" s="8" t="s">
        <v>29</v>
      </c>
      <c r="E14" s="7" t="s">
        <v>24</v>
      </c>
      <c r="F14" s="8" t="s">
        <v>47</v>
      </c>
      <c r="G14" s="7" t="s">
        <v>48</v>
      </c>
      <c r="H14" s="8" t="s">
        <v>27</v>
      </c>
      <c r="I14" s="14">
        <v>1670</v>
      </c>
      <c r="J14" s="14" t="s">
        <v>27</v>
      </c>
      <c r="K14" s="14">
        <v>61</v>
      </c>
      <c r="L14" s="14">
        <v>44</v>
      </c>
      <c r="M14" s="14" t="s">
        <v>27</v>
      </c>
      <c r="N14" s="14" t="s">
        <v>27</v>
      </c>
      <c r="O14" s="14" t="s">
        <v>27</v>
      </c>
      <c r="P14" s="14">
        <f t="shared" si="0"/>
        <v>1775</v>
      </c>
      <c r="Q14" s="8" t="s">
        <v>27</v>
      </c>
    </row>
    <row r="15" s="1" customFormat="1" ht="20.1" customHeight="1" spans="1:17">
      <c r="A15" s="7">
        <v>9</v>
      </c>
      <c r="B15" s="7" t="s">
        <v>49</v>
      </c>
      <c r="C15" s="7">
        <v>120390</v>
      </c>
      <c r="D15" s="8" t="s">
        <v>23</v>
      </c>
      <c r="E15" s="7" t="s">
        <v>24</v>
      </c>
      <c r="F15" s="8" t="s">
        <v>50</v>
      </c>
      <c r="G15" s="7" t="s">
        <v>51</v>
      </c>
      <c r="H15" s="8" t="s">
        <v>27</v>
      </c>
      <c r="I15" s="14">
        <v>1670</v>
      </c>
      <c r="J15" s="14" t="s">
        <v>27</v>
      </c>
      <c r="K15" s="14">
        <v>61</v>
      </c>
      <c r="L15" s="14">
        <v>61</v>
      </c>
      <c r="M15" s="14">
        <v>25</v>
      </c>
      <c r="N15" s="14" t="s">
        <v>27</v>
      </c>
      <c r="O15" s="14" t="s">
        <v>27</v>
      </c>
      <c r="P15" s="14">
        <f t="shared" si="0"/>
        <v>1817</v>
      </c>
      <c r="Q15" s="8" t="s">
        <v>52</v>
      </c>
    </row>
    <row r="16" s="1" customFormat="1" ht="20.1" customHeight="1" spans="1:17">
      <c r="A16" s="7">
        <v>10</v>
      </c>
      <c r="B16" s="7" t="s">
        <v>53</v>
      </c>
      <c r="C16" s="7"/>
      <c r="D16" s="8" t="s">
        <v>29</v>
      </c>
      <c r="E16" s="7" t="s">
        <v>24</v>
      </c>
      <c r="F16" s="8" t="s">
        <v>54</v>
      </c>
      <c r="G16" s="7" t="s">
        <v>55</v>
      </c>
      <c r="H16" s="8" t="s">
        <v>27</v>
      </c>
      <c r="I16" s="14">
        <v>1670</v>
      </c>
      <c r="J16" s="14" t="s">
        <v>27</v>
      </c>
      <c r="K16" s="14">
        <v>61</v>
      </c>
      <c r="L16" s="14">
        <v>40</v>
      </c>
      <c r="M16" s="14" t="s">
        <v>27</v>
      </c>
      <c r="N16" s="14">
        <v>200</v>
      </c>
      <c r="O16" s="14" t="s">
        <v>27</v>
      </c>
      <c r="P16" s="14">
        <f t="shared" si="0"/>
        <v>1971</v>
      </c>
      <c r="Q16" s="8" t="s">
        <v>56</v>
      </c>
    </row>
    <row r="17" s="1" customFormat="1" ht="20.1" customHeight="1" spans="1:17">
      <c r="A17" s="7">
        <v>11</v>
      </c>
      <c r="B17" s="7" t="s">
        <v>57</v>
      </c>
      <c r="C17" s="7">
        <v>120399</v>
      </c>
      <c r="D17" s="8" t="s">
        <v>23</v>
      </c>
      <c r="E17" s="7" t="s">
        <v>24</v>
      </c>
      <c r="F17" s="8" t="s">
        <v>58</v>
      </c>
      <c r="G17" s="7" t="s">
        <v>59</v>
      </c>
      <c r="H17" s="8" t="s">
        <v>27</v>
      </c>
      <c r="I17" s="14">
        <v>1670</v>
      </c>
      <c r="J17" s="14" t="s">
        <v>27</v>
      </c>
      <c r="K17" s="14">
        <v>61</v>
      </c>
      <c r="L17" s="14">
        <v>70</v>
      </c>
      <c r="M17" s="14" t="s">
        <v>27</v>
      </c>
      <c r="N17" s="14" t="s">
        <v>27</v>
      </c>
      <c r="O17" s="14" t="s">
        <v>27</v>
      </c>
      <c r="P17" s="14">
        <f t="shared" si="0"/>
        <v>1801</v>
      </c>
      <c r="Q17" s="8" t="s">
        <v>27</v>
      </c>
    </row>
    <row r="18" s="1" customFormat="1" ht="20.1" customHeight="1" spans="1:17">
      <c r="A18" s="7">
        <v>12</v>
      </c>
      <c r="B18" s="7" t="s">
        <v>60</v>
      </c>
      <c r="C18" s="7">
        <v>120404</v>
      </c>
      <c r="D18" s="8" t="s">
        <v>23</v>
      </c>
      <c r="E18" s="7" t="s">
        <v>24</v>
      </c>
      <c r="F18" s="8" t="s">
        <v>61</v>
      </c>
      <c r="G18" s="7" t="s">
        <v>62</v>
      </c>
      <c r="H18" s="8" t="s">
        <v>27</v>
      </c>
      <c r="I18" s="14">
        <v>1670</v>
      </c>
      <c r="J18" s="14" t="s">
        <v>27</v>
      </c>
      <c r="K18" s="14">
        <v>61</v>
      </c>
      <c r="L18" s="14">
        <v>70</v>
      </c>
      <c r="M18" s="14">
        <v>28</v>
      </c>
      <c r="N18" s="14" t="s">
        <v>27</v>
      </c>
      <c r="O18" s="14" t="s">
        <v>27</v>
      </c>
      <c r="P18" s="14">
        <f t="shared" si="0"/>
        <v>1829</v>
      </c>
      <c r="Q18" s="8" t="s">
        <v>27</v>
      </c>
    </row>
    <row r="19" s="1" customFormat="1" ht="20.1" customHeight="1" spans="1:17">
      <c r="A19" s="10" t="s">
        <v>63</v>
      </c>
      <c r="B19" s="11"/>
      <c r="C19" s="11"/>
      <c r="D19" s="11"/>
      <c r="E19" s="11"/>
      <c r="F19" s="11"/>
      <c r="G19" s="11"/>
      <c r="H19" s="12"/>
      <c r="I19" s="14">
        <f t="shared" ref="I19:P19" si="1">SUM(I7:I18)</f>
        <v>20040</v>
      </c>
      <c r="J19" s="14">
        <f t="shared" si="1"/>
        <v>210</v>
      </c>
      <c r="K19" s="14">
        <f t="shared" si="1"/>
        <v>695</v>
      </c>
      <c r="L19" s="14">
        <f t="shared" si="1"/>
        <v>722</v>
      </c>
      <c r="M19" s="14">
        <f t="shared" si="1"/>
        <v>108</v>
      </c>
      <c r="N19" s="14">
        <f t="shared" si="1"/>
        <v>521</v>
      </c>
      <c r="O19" s="14">
        <f t="shared" si="1"/>
        <v>100</v>
      </c>
      <c r="P19" s="14">
        <f t="shared" si="1"/>
        <v>22396</v>
      </c>
      <c r="Q19" s="14"/>
    </row>
    <row r="20" s="1" customFormat="1" ht="20.1" customHeight="1" spans="1:17">
      <c r="A20" s="10" t="s">
        <v>64</v>
      </c>
      <c r="B20" s="11"/>
      <c r="C20" s="11"/>
      <c r="D20" s="11"/>
      <c r="E20" s="11"/>
      <c r="F20" s="11"/>
      <c r="G20" s="11"/>
      <c r="H20" s="12"/>
      <c r="I20" s="15" t="s">
        <v>65</v>
      </c>
      <c r="J20" s="16"/>
      <c r="K20" s="16"/>
      <c r="L20" s="16"/>
      <c r="M20" s="16"/>
      <c r="N20" s="16"/>
      <c r="O20" s="16"/>
      <c r="P20" s="16"/>
      <c r="Q20" s="17"/>
    </row>
    <row r="21" s="1" customFormat="1" ht="20.1" customHeight="1" spans="1:1">
      <c r="A21" s="1" t="s">
        <v>66</v>
      </c>
    </row>
    <row r="22" s="1" customFormat="1" ht="20.1" customHeight="1" spans="1:1">
      <c r="A22" s="13" t="s">
        <v>27</v>
      </c>
    </row>
    <row r="23" s="1" customFormat="1" ht="20.1" customHeight="1" spans="1:1">
      <c r="A23" s="13" t="s">
        <v>67</v>
      </c>
    </row>
    <row r="25" s="1" customFormat="1" spans="1:6">
      <c r="A25" s="18" t="s">
        <v>68</v>
      </c>
      <c r="B25" s="18"/>
      <c r="C25" s="18"/>
      <c r="D25" s="18"/>
      <c r="E25" s="18"/>
      <c r="F25" s="18"/>
    </row>
    <row r="26" s="1" customFormat="1" ht="27.75" customHeight="1" spans="1:6">
      <c r="A26" s="18"/>
      <c r="B26" s="18"/>
      <c r="C26" s="18"/>
      <c r="D26" s="18"/>
      <c r="E26" s="18"/>
      <c r="F26" s="18"/>
    </row>
    <row r="27" s="1" customFormat="1" ht="13" spans="1:6">
      <c r="A27" s="19" t="s">
        <v>69</v>
      </c>
      <c r="B27" s="19"/>
      <c r="C27" s="19"/>
      <c r="D27" s="19"/>
      <c r="E27" s="19"/>
      <c r="F27" s="20"/>
    </row>
    <row r="28" s="1" customFormat="1" ht="13" spans="1:6">
      <c r="A28" s="21" t="s">
        <v>70</v>
      </c>
      <c r="B28" s="21"/>
      <c r="C28" s="21"/>
      <c r="D28" s="21"/>
      <c r="E28" s="21"/>
      <c r="F28" s="20"/>
    </row>
    <row r="29" s="1" customFormat="1" ht="13" spans="1:6">
      <c r="A29" s="21" t="s">
        <v>71</v>
      </c>
      <c r="B29" s="21"/>
      <c r="C29" s="21"/>
      <c r="D29" s="21"/>
      <c r="E29" s="21"/>
      <c r="F29" s="20"/>
    </row>
    <row r="30" s="1" customFormat="1" ht="14" spans="1:6">
      <c r="A30" s="22"/>
      <c r="B30" s="23"/>
      <c r="C30" s="23"/>
      <c r="D30" s="23"/>
      <c r="E30" s="23"/>
      <c r="F30" s="23"/>
    </row>
  </sheetData>
  <mergeCells count="14">
    <mergeCell ref="A1:Q1"/>
    <mergeCell ref="A2:Q2"/>
    <mergeCell ref="A3:Q3"/>
    <mergeCell ref="A4:Q4"/>
    <mergeCell ref="A5:K5"/>
    <mergeCell ref="L5:Q5"/>
    <mergeCell ref="A19:H19"/>
    <mergeCell ref="A20:H20"/>
    <mergeCell ref="I20:Q20"/>
    <mergeCell ref="A21:Q21"/>
    <mergeCell ref="A22:Q22"/>
    <mergeCell ref="A23:Q23"/>
    <mergeCell ref="A27:E27"/>
    <mergeCell ref="A25:F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opLeftCell="A9" workbookViewId="0">
      <selection activeCell="L18" sqref="L18"/>
    </sheetView>
  </sheetViews>
  <sheetFormatPr defaultColWidth="8.72727272727273" defaultRowHeight="12.5"/>
  <cols>
    <col min="1" max="1" width="6" style="1"/>
    <col min="2" max="2" width="8" style="1"/>
    <col min="3" max="4" width="10" style="1"/>
    <col min="5" max="5" width="9" style="1"/>
    <col min="6" max="6" width="17" style="1" customWidth="1"/>
    <col min="7" max="7" width="12" style="1"/>
    <col min="8" max="8" width="10" style="1"/>
    <col min="9" max="15" width="8" style="1"/>
    <col min="16" max="16" width="10" style="1"/>
    <col min="17" max="17" width="30" style="1"/>
    <col min="18" max="16384" width="8.72727272727273" style="1"/>
  </cols>
  <sheetData>
    <row r="1" s="1" customFormat="1" ht="22.5" customHeight="1" spans="1:1">
      <c r="A1" s="2" t="s">
        <v>72</v>
      </c>
    </row>
    <row r="2" s="1" customFormat="1" ht="17.45" customHeight="1" spans="1:1">
      <c r="A2" s="3" t="s">
        <v>1</v>
      </c>
    </row>
    <row r="3" s="1" customFormat="1" ht="17.45" customHeight="1" spans="1:1">
      <c r="A3" s="3"/>
    </row>
    <row r="4" s="1" customFormat="1" ht="17.45" customHeight="1" spans="1:1">
      <c r="A4" s="3" t="s">
        <v>2</v>
      </c>
    </row>
    <row r="5" s="1" customFormat="1" ht="17.45" customHeight="1" spans="1:12">
      <c r="A5" s="4" t="s">
        <v>3</v>
      </c>
      <c r="L5" s="5" t="s">
        <v>73</v>
      </c>
    </row>
    <row r="6" s="1" customFormat="1" ht="20.1" customHeight="1" spans="1:17">
      <c r="A6" s="6" t="s">
        <v>5</v>
      </c>
      <c r="B6" s="6" t="s">
        <v>6</v>
      </c>
      <c r="C6" s="6" t="s">
        <v>74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75</v>
      </c>
      <c r="P6" s="6" t="s">
        <v>20</v>
      </c>
      <c r="Q6" s="6" t="s">
        <v>21</v>
      </c>
    </row>
    <row r="7" s="1" customFormat="1" ht="20.1" customHeight="1" spans="1:17">
      <c r="A7" s="7">
        <v>1</v>
      </c>
      <c r="B7" s="7" t="s">
        <v>76</v>
      </c>
      <c r="C7" s="9"/>
      <c r="D7" s="8" t="s">
        <v>29</v>
      </c>
      <c r="E7" s="7" t="s">
        <v>24</v>
      </c>
      <c r="F7" s="8" t="s">
        <v>77</v>
      </c>
      <c r="G7" s="7" t="s">
        <v>78</v>
      </c>
      <c r="H7" s="8" t="s">
        <v>27</v>
      </c>
      <c r="I7" s="14">
        <v>1670</v>
      </c>
      <c r="J7" s="14" t="s">
        <v>27</v>
      </c>
      <c r="K7" s="14">
        <v>61</v>
      </c>
      <c r="L7" s="14">
        <v>41</v>
      </c>
      <c r="M7" s="14" t="s">
        <v>27</v>
      </c>
      <c r="N7" s="14" t="s">
        <v>27</v>
      </c>
      <c r="O7" s="14" t="s">
        <v>27</v>
      </c>
      <c r="P7" s="14">
        <f t="shared" ref="P7:P29" si="0">SUM(I7:O7)</f>
        <v>1772</v>
      </c>
      <c r="Q7" s="8" t="s">
        <v>27</v>
      </c>
    </row>
    <row r="8" s="1" customFormat="1" ht="20.1" customHeight="1" spans="1:17">
      <c r="A8" s="7">
        <v>2</v>
      </c>
      <c r="B8" s="7" t="s">
        <v>79</v>
      </c>
      <c r="C8" s="9" t="s">
        <v>80</v>
      </c>
      <c r="D8" s="8" t="s">
        <v>81</v>
      </c>
      <c r="E8" s="7" t="s">
        <v>24</v>
      </c>
      <c r="F8" s="8" t="s">
        <v>82</v>
      </c>
      <c r="G8" s="7" t="s">
        <v>83</v>
      </c>
      <c r="H8" s="8" t="s">
        <v>27</v>
      </c>
      <c r="I8" s="14">
        <v>1670</v>
      </c>
      <c r="J8" s="14" t="s">
        <v>27</v>
      </c>
      <c r="K8" s="14">
        <v>61</v>
      </c>
      <c r="L8" s="14">
        <v>71</v>
      </c>
      <c r="M8" s="14">
        <v>500</v>
      </c>
      <c r="N8" s="14" t="s">
        <v>27</v>
      </c>
      <c r="O8" s="14" t="s">
        <v>27</v>
      </c>
      <c r="P8" s="14">
        <f t="shared" si="0"/>
        <v>2302</v>
      </c>
      <c r="Q8" s="8" t="s">
        <v>84</v>
      </c>
    </row>
    <row r="9" s="1" customFormat="1" ht="20.1" customHeight="1" spans="1:17">
      <c r="A9" s="7">
        <v>3</v>
      </c>
      <c r="B9" s="7" t="s">
        <v>85</v>
      </c>
      <c r="C9" s="9" t="s">
        <v>86</v>
      </c>
      <c r="D9" s="8" t="s">
        <v>23</v>
      </c>
      <c r="E9" s="7" t="s">
        <v>24</v>
      </c>
      <c r="F9" s="8" t="s">
        <v>87</v>
      </c>
      <c r="G9" s="7" t="s">
        <v>88</v>
      </c>
      <c r="H9" s="8" t="s">
        <v>27</v>
      </c>
      <c r="I9" s="14">
        <v>1670</v>
      </c>
      <c r="J9" s="14" t="s">
        <v>27</v>
      </c>
      <c r="K9" s="14">
        <v>61</v>
      </c>
      <c r="L9" s="14">
        <v>70</v>
      </c>
      <c r="M9" s="14">
        <v>120</v>
      </c>
      <c r="N9" s="14" t="s">
        <v>27</v>
      </c>
      <c r="O9" s="14" t="s">
        <v>27</v>
      </c>
      <c r="P9" s="14">
        <f t="shared" si="0"/>
        <v>1921</v>
      </c>
      <c r="Q9" s="8" t="s">
        <v>89</v>
      </c>
    </row>
    <row r="10" s="1" customFormat="1" ht="20.1" customHeight="1" spans="1:17">
      <c r="A10" s="7">
        <v>4</v>
      </c>
      <c r="B10" s="7" t="s">
        <v>85</v>
      </c>
      <c r="C10" s="9" t="s">
        <v>90</v>
      </c>
      <c r="D10" s="8" t="s">
        <v>23</v>
      </c>
      <c r="E10" s="7" t="s">
        <v>24</v>
      </c>
      <c r="F10" s="8" t="s">
        <v>91</v>
      </c>
      <c r="G10" s="7" t="s">
        <v>92</v>
      </c>
      <c r="H10" s="8" t="s">
        <v>27</v>
      </c>
      <c r="I10" s="14">
        <v>1670</v>
      </c>
      <c r="J10" s="14" t="s">
        <v>27</v>
      </c>
      <c r="K10" s="14">
        <v>61</v>
      </c>
      <c r="L10" s="14">
        <v>70</v>
      </c>
      <c r="M10" s="14">
        <v>20</v>
      </c>
      <c r="N10" s="14" t="s">
        <v>27</v>
      </c>
      <c r="O10" s="14" t="s">
        <v>27</v>
      </c>
      <c r="P10" s="14">
        <f t="shared" si="0"/>
        <v>1821</v>
      </c>
      <c r="Q10" s="8" t="s">
        <v>93</v>
      </c>
    </row>
    <row r="11" s="1" customFormat="1" ht="20.1" customHeight="1" spans="1:17">
      <c r="A11" s="7">
        <v>5</v>
      </c>
      <c r="B11" s="7" t="s">
        <v>94</v>
      </c>
      <c r="C11" s="9"/>
      <c r="D11" s="8" t="s">
        <v>29</v>
      </c>
      <c r="E11" s="7" t="s">
        <v>24</v>
      </c>
      <c r="F11" s="8" t="s">
        <v>95</v>
      </c>
      <c r="G11" s="7" t="s">
        <v>96</v>
      </c>
      <c r="H11" s="8" t="s">
        <v>27</v>
      </c>
      <c r="I11" s="14">
        <v>1670</v>
      </c>
      <c r="J11" s="14" t="s">
        <v>27</v>
      </c>
      <c r="K11" s="14">
        <v>61</v>
      </c>
      <c r="L11" s="14">
        <v>37</v>
      </c>
      <c r="M11" s="14" t="s">
        <v>27</v>
      </c>
      <c r="N11" s="14">
        <v>229</v>
      </c>
      <c r="O11" s="14" t="s">
        <v>27</v>
      </c>
      <c r="P11" s="14">
        <f t="shared" si="0"/>
        <v>1997</v>
      </c>
      <c r="Q11" s="8" t="s">
        <v>27</v>
      </c>
    </row>
    <row r="12" s="1" customFormat="1" ht="20.1" customHeight="1" spans="1:17">
      <c r="A12" s="7">
        <v>6</v>
      </c>
      <c r="B12" s="7" t="s">
        <v>94</v>
      </c>
      <c r="C12" s="9"/>
      <c r="D12" s="8" t="s">
        <v>97</v>
      </c>
      <c r="E12" s="7" t="s">
        <v>24</v>
      </c>
      <c r="F12" s="8" t="s">
        <v>47</v>
      </c>
      <c r="G12" s="7" t="s">
        <v>48</v>
      </c>
      <c r="H12" s="8" t="s">
        <v>27</v>
      </c>
      <c r="I12" s="14">
        <v>600</v>
      </c>
      <c r="J12" s="14" t="s">
        <v>27</v>
      </c>
      <c r="K12" s="14">
        <v>130</v>
      </c>
      <c r="L12" s="14" t="s">
        <v>27</v>
      </c>
      <c r="M12" s="14">
        <v>200</v>
      </c>
      <c r="N12" s="14" t="s">
        <v>27</v>
      </c>
      <c r="O12" s="14" t="s">
        <v>27</v>
      </c>
      <c r="P12" s="14">
        <f t="shared" si="0"/>
        <v>930</v>
      </c>
      <c r="Q12" s="8" t="s">
        <v>98</v>
      </c>
    </row>
    <row r="13" s="1" customFormat="1" ht="20.1" customHeight="1" spans="1:17">
      <c r="A13" s="7">
        <v>7</v>
      </c>
      <c r="B13" s="7" t="s">
        <v>99</v>
      </c>
      <c r="C13" s="9" t="s">
        <v>100</v>
      </c>
      <c r="D13" s="8" t="s">
        <v>23</v>
      </c>
      <c r="E13" s="7" t="s">
        <v>24</v>
      </c>
      <c r="F13" s="8" t="s">
        <v>101</v>
      </c>
      <c r="G13" s="7" t="s">
        <v>102</v>
      </c>
      <c r="H13" s="8" t="s">
        <v>27</v>
      </c>
      <c r="I13" s="14">
        <v>1670</v>
      </c>
      <c r="J13" s="14" t="s">
        <v>27</v>
      </c>
      <c r="K13" s="14">
        <v>61</v>
      </c>
      <c r="L13" s="14">
        <v>70</v>
      </c>
      <c r="M13" s="14">
        <v>40</v>
      </c>
      <c r="N13" s="14">
        <v>450</v>
      </c>
      <c r="O13" s="14" t="s">
        <v>27</v>
      </c>
      <c r="P13" s="14">
        <f t="shared" si="0"/>
        <v>2291</v>
      </c>
      <c r="Q13" s="8" t="s">
        <v>27</v>
      </c>
    </row>
    <row r="14" s="1" customFormat="1" ht="20.1" customHeight="1" spans="1:17">
      <c r="A14" s="7">
        <v>8</v>
      </c>
      <c r="B14" s="7" t="s">
        <v>103</v>
      </c>
      <c r="C14" s="9" t="s">
        <v>104</v>
      </c>
      <c r="D14" s="8" t="s">
        <v>81</v>
      </c>
      <c r="E14" s="7" t="s">
        <v>24</v>
      </c>
      <c r="F14" s="8" t="s">
        <v>105</v>
      </c>
      <c r="G14" s="7" t="s">
        <v>106</v>
      </c>
      <c r="H14" s="8" t="s">
        <v>27</v>
      </c>
      <c r="I14" s="14">
        <v>1670</v>
      </c>
      <c r="J14" s="14" t="s">
        <v>27</v>
      </c>
      <c r="K14" s="14">
        <v>61</v>
      </c>
      <c r="L14" s="14">
        <v>67</v>
      </c>
      <c r="M14" s="14">
        <v>35</v>
      </c>
      <c r="N14" s="14">
        <v>450</v>
      </c>
      <c r="O14" s="14" t="s">
        <v>27</v>
      </c>
      <c r="P14" s="14">
        <f t="shared" si="0"/>
        <v>2283</v>
      </c>
      <c r="Q14" s="8" t="s">
        <v>27</v>
      </c>
    </row>
    <row r="15" s="1" customFormat="1" ht="20.1" customHeight="1" spans="1:17">
      <c r="A15" s="7">
        <v>9</v>
      </c>
      <c r="B15" s="7" t="s">
        <v>107</v>
      </c>
      <c r="C15" s="9" t="s">
        <v>108</v>
      </c>
      <c r="D15" s="8" t="s">
        <v>81</v>
      </c>
      <c r="E15" s="7" t="s">
        <v>24</v>
      </c>
      <c r="F15" s="8" t="s">
        <v>109</v>
      </c>
      <c r="G15" s="7" t="s">
        <v>110</v>
      </c>
      <c r="H15" s="8" t="s">
        <v>27</v>
      </c>
      <c r="I15" s="14">
        <v>1670</v>
      </c>
      <c r="J15" s="14" t="s">
        <v>27</v>
      </c>
      <c r="K15" s="14">
        <v>61</v>
      </c>
      <c r="L15" s="14">
        <v>62</v>
      </c>
      <c r="M15" s="14">
        <v>20</v>
      </c>
      <c r="N15" s="14">
        <v>400</v>
      </c>
      <c r="O15" s="14" t="s">
        <v>27</v>
      </c>
      <c r="P15" s="14">
        <f t="shared" si="0"/>
        <v>2213</v>
      </c>
      <c r="Q15" s="8" t="s">
        <v>27</v>
      </c>
    </row>
    <row r="16" s="1" customFormat="1" ht="20.1" customHeight="1" spans="1:17">
      <c r="A16" s="7">
        <v>10</v>
      </c>
      <c r="B16" s="7" t="s">
        <v>111</v>
      </c>
      <c r="C16" s="9"/>
      <c r="D16" s="8" t="s">
        <v>112</v>
      </c>
      <c r="E16" s="7" t="s">
        <v>24</v>
      </c>
      <c r="F16" s="8" t="s">
        <v>113</v>
      </c>
      <c r="G16" s="7" t="s">
        <v>114</v>
      </c>
      <c r="H16" s="8" t="s">
        <v>27</v>
      </c>
      <c r="I16" s="14">
        <v>1670</v>
      </c>
      <c r="J16" s="14" t="s">
        <v>27</v>
      </c>
      <c r="K16" s="14">
        <v>61</v>
      </c>
      <c r="L16" s="14">
        <v>43</v>
      </c>
      <c r="M16" s="14">
        <v>32</v>
      </c>
      <c r="N16" s="14">
        <v>450</v>
      </c>
      <c r="O16" s="14" t="s">
        <v>27</v>
      </c>
      <c r="P16" s="14">
        <f t="shared" si="0"/>
        <v>2256</v>
      </c>
      <c r="Q16" s="8" t="s">
        <v>27</v>
      </c>
    </row>
    <row r="17" s="1" customFormat="1" ht="20.1" customHeight="1" spans="1:17">
      <c r="A17" s="7">
        <v>11</v>
      </c>
      <c r="B17" s="7" t="s">
        <v>111</v>
      </c>
      <c r="C17" s="9"/>
      <c r="D17" s="8" t="s">
        <v>115</v>
      </c>
      <c r="E17" s="7" t="s">
        <v>24</v>
      </c>
      <c r="F17" s="8" t="s">
        <v>116</v>
      </c>
      <c r="G17" s="7" t="s">
        <v>117</v>
      </c>
      <c r="H17" s="8" t="s">
        <v>27</v>
      </c>
      <c r="I17" s="14">
        <v>1670</v>
      </c>
      <c r="J17" s="14" t="s">
        <v>27</v>
      </c>
      <c r="K17" s="14">
        <v>61</v>
      </c>
      <c r="L17" s="14">
        <v>41</v>
      </c>
      <c r="M17" s="14">
        <v>20</v>
      </c>
      <c r="N17" s="14">
        <v>450</v>
      </c>
      <c r="O17" s="14" t="s">
        <v>27</v>
      </c>
      <c r="P17" s="14">
        <f t="shared" si="0"/>
        <v>2242</v>
      </c>
      <c r="Q17" s="8" t="s">
        <v>27</v>
      </c>
    </row>
    <row r="18" s="1" customFormat="1" ht="20.1" customHeight="1" spans="1:17">
      <c r="A18" s="7">
        <v>12</v>
      </c>
      <c r="B18" s="7" t="s">
        <v>111</v>
      </c>
      <c r="C18" s="9"/>
      <c r="D18" s="8" t="s">
        <v>118</v>
      </c>
      <c r="E18" s="7" t="s">
        <v>24</v>
      </c>
      <c r="F18" s="8" t="s">
        <v>119</v>
      </c>
      <c r="G18" s="7" t="s">
        <v>120</v>
      </c>
      <c r="H18" s="8" t="s">
        <v>27</v>
      </c>
      <c r="I18" s="14">
        <v>3300</v>
      </c>
      <c r="J18" s="14" t="s">
        <v>27</v>
      </c>
      <c r="K18" s="14">
        <v>61</v>
      </c>
      <c r="L18" s="14">
        <v>40</v>
      </c>
      <c r="M18" s="14" t="s">
        <v>27</v>
      </c>
      <c r="N18" s="14" t="s">
        <v>27</v>
      </c>
      <c r="O18" s="14" t="s">
        <v>27</v>
      </c>
      <c r="P18" s="14">
        <f t="shared" si="0"/>
        <v>3401</v>
      </c>
      <c r="Q18" s="8" t="s">
        <v>27</v>
      </c>
    </row>
    <row r="19" s="1" customFormat="1" ht="20.1" customHeight="1" spans="1:17">
      <c r="A19" s="7">
        <v>13</v>
      </c>
      <c r="B19" s="7" t="s">
        <v>121</v>
      </c>
      <c r="C19" s="9" t="s">
        <v>122</v>
      </c>
      <c r="D19" s="8" t="s">
        <v>123</v>
      </c>
      <c r="E19" s="7" t="s">
        <v>24</v>
      </c>
      <c r="F19" s="8" t="s">
        <v>124</v>
      </c>
      <c r="G19" s="7" t="s">
        <v>125</v>
      </c>
      <c r="H19" s="8" t="s">
        <v>27</v>
      </c>
      <c r="I19" s="14">
        <v>1670</v>
      </c>
      <c r="J19" s="14" t="s">
        <v>27</v>
      </c>
      <c r="K19" s="14">
        <v>61</v>
      </c>
      <c r="L19" s="14">
        <v>70</v>
      </c>
      <c r="M19" s="14">
        <v>30</v>
      </c>
      <c r="N19" s="14">
        <v>450</v>
      </c>
      <c r="O19" s="14" t="s">
        <v>27</v>
      </c>
      <c r="P19" s="14">
        <f t="shared" si="0"/>
        <v>2281</v>
      </c>
      <c r="Q19" s="8" t="s">
        <v>126</v>
      </c>
    </row>
    <row r="20" s="1" customFormat="1" ht="20.1" customHeight="1" spans="1:17">
      <c r="A20" s="7">
        <v>14</v>
      </c>
      <c r="B20" s="7" t="s">
        <v>121</v>
      </c>
      <c r="C20" s="9"/>
      <c r="D20" s="8" t="s">
        <v>112</v>
      </c>
      <c r="E20" s="7" t="s">
        <v>24</v>
      </c>
      <c r="F20" s="8" t="s">
        <v>127</v>
      </c>
      <c r="G20" s="7" t="s">
        <v>128</v>
      </c>
      <c r="H20" s="8" t="s">
        <v>27</v>
      </c>
      <c r="I20" s="14">
        <v>3300</v>
      </c>
      <c r="J20" s="14" t="s">
        <v>27</v>
      </c>
      <c r="K20" s="14">
        <v>61</v>
      </c>
      <c r="L20" s="14">
        <v>40</v>
      </c>
      <c r="M20" s="14" t="s">
        <v>27</v>
      </c>
      <c r="N20" s="14">
        <v>450</v>
      </c>
      <c r="O20" s="14" t="s">
        <v>27</v>
      </c>
      <c r="P20" s="14">
        <f t="shared" si="0"/>
        <v>3851</v>
      </c>
      <c r="Q20" s="8" t="s">
        <v>27</v>
      </c>
    </row>
    <row r="21" s="1" customFormat="1" ht="20.1" customHeight="1" spans="1:17">
      <c r="A21" s="7">
        <v>15</v>
      </c>
      <c r="B21" s="7" t="s">
        <v>129</v>
      </c>
      <c r="C21" s="9"/>
      <c r="D21" s="8" t="s">
        <v>130</v>
      </c>
      <c r="E21" s="7" t="s">
        <v>24</v>
      </c>
      <c r="F21" s="8" t="s">
        <v>131</v>
      </c>
      <c r="G21" s="7" t="s">
        <v>132</v>
      </c>
      <c r="H21" s="8" t="s">
        <v>27</v>
      </c>
      <c r="I21" s="14">
        <v>1670</v>
      </c>
      <c r="J21" s="14" t="s">
        <v>27</v>
      </c>
      <c r="K21" s="14">
        <v>122</v>
      </c>
      <c r="L21" s="14">
        <v>45</v>
      </c>
      <c r="M21" s="14">
        <v>250</v>
      </c>
      <c r="N21" s="14">
        <v>450</v>
      </c>
      <c r="O21" s="14" t="s">
        <v>27</v>
      </c>
      <c r="P21" s="14">
        <f t="shared" si="0"/>
        <v>2537</v>
      </c>
      <c r="Q21" s="8" t="s">
        <v>133</v>
      </c>
    </row>
    <row r="22" s="1" customFormat="1" ht="20.1" customHeight="1" spans="1:17">
      <c r="A22" s="7">
        <v>16</v>
      </c>
      <c r="B22" s="7" t="s">
        <v>129</v>
      </c>
      <c r="C22" s="9" t="s">
        <v>134</v>
      </c>
      <c r="D22" s="8" t="s">
        <v>135</v>
      </c>
      <c r="E22" s="7" t="s">
        <v>24</v>
      </c>
      <c r="F22" s="8" t="s">
        <v>136</v>
      </c>
      <c r="G22" s="7" t="s">
        <v>137</v>
      </c>
      <c r="H22" s="8" t="s">
        <v>27</v>
      </c>
      <c r="I22" s="14">
        <v>1670</v>
      </c>
      <c r="J22" s="14" t="s">
        <v>27</v>
      </c>
      <c r="K22" s="14">
        <v>61</v>
      </c>
      <c r="L22" s="14">
        <v>70</v>
      </c>
      <c r="M22" s="14">
        <v>40</v>
      </c>
      <c r="N22" s="14">
        <v>450</v>
      </c>
      <c r="O22" s="14" t="s">
        <v>27</v>
      </c>
      <c r="P22" s="14">
        <f t="shared" si="0"/>
        <v>2291</v>
      </c>
      <c r="Q22" s="8" t="s">
        <v>27</v>
      </c>
    </row>
    <row r="23" s="1" customFormat="1" ht="20.1" customHeight="1" spans="1:17">
      <c r="A23" s="7">
        <v>17</v>
      </c>
      <c r="B23" s="7" t="s">
        <v>129</v>
      </c>
      <c r="C23" s="9" t="s">
        <v>138</v>
      </c>
      <c r="D23" s="8" t="s">
        <v>23</v>
      </c>
      <c r="E23" s="7" t="s">
        <v>24</v>
      </c>
      <c r="F23" s="8" t="s">
        <v>139</v>
      </c>
      <c r="G23" s="7" t="s">
        <v>140</v>
      </c>
      <c r="H23" s="8" t="s">
        <v>27</v>
      </c>
      <c r="I23" s="14">
        <v>3300</v>
      </c>
      <c r="J23" s="14">
        <v>30</v>
      </c>
      <c r="K23" s="14">
        <v>61</v>
      </c>
      <c r="L23" s="14">
        <v>54</v>
      </c>
      <c r="M23" s="14">
        <v>30</v>
      </c>
      <c r="N23" s="14" t="s">
        <v>27</v>
      </c>
      <c r="O23" s="14">
        <v>100</v>
      </c>
      <c r="P23" s="14">
        <f t="shared" si="0"/>
        <v>3575</v>
      </c>
      <c r="Q23" s="8" t="s">
        <v>27</v>
      </c>
    </row>
    <row r="24" s="1" customFormat="1" ht="20.1" customHeight="1" spans="1:17">
      <c r="A24" s="7">
        <v>18</v>
      </c>
      <c r="B24" s="7" t="s">
        <v>141</v>
      </c>
      <c r="C24" s="9" t="s">
        <v>142</v>
      </c>
      <c r="D24" s="8" t="s">
        <v>135</v>
      </c>
      <c r="E24" s="7" t="s">
        <v>24</v>
      </c>
      <c r="F24" s="8" t="s">
        <v>143</v>
      </c>
      <c r="G24" s="7" t="s">
        <v>144</v>
      </c>
      <c r="H24" s="8" t="s">
        <v>27</v>
      </c>
      <c r="I24" s="14">
        <v>3300</v>
      </c>
      <c r="J24" s="14" t="s">
        <v>27</v>
      </c>
      <c r="K24" s="14">
        <v>61</v>
      </c>
      <c r="L24" s="14">
        <v>47</v>
      </c>
      <c r="M24" s="14" t="s">
        <v>27</v>
      </c>
      <c r="N24" s="14">
        <v>450</v>
      </c>
      <c r="O24" s="14" t="s">
        <v>27</v>
      </c>
      <c r="P24" s="14">
        <f t="shared" si="0"/>
        <v>3858</v>
      </c>
      <c r="Q24" s="8" t="s">
        <v>27</v>
      </c>
    </row>
    <row r="25" s="1" customFormat="1" ht="20.1" customHeight="1" spans="1:17">
      <c r="A25" s="7">
        <v>19</v>
      </c>
      <c r="B25" s="7" t="s">
        <v>141</v>
      </c>
      <c r="C25" s="9" t="s">
        <v>145</v>
      </c>
      <c r="D25" s="8" t="s">
        <v>135</v>
      </c>
      <c r="E25" s="7" t="s">
        <v>24</v>
      </c>
      <c r="F25" s="8" t="s">
        <v>146</v>
      </c>
      <c r="G25" s="7" t="s">
        <v>147</v>
      </c>
      <c r="H25" s="8" t="s">
        <v>27</v>
      </c>
      <c r="I25" s="14">
        <v>1670</v>
      </c>
      <c r="J25" s="14">
        <v>30</v>
      </c>
      <c r="K25" s="14">
        <v>122</v>
      </c>
      <c r="L25" s="14">
        <v>46</v>
      </c>
      <c r="M25" s="14">
        <v>840</v>
      </c>
      <c r="N25" s="14">
        <v>450</v>
      </c>
      <c r="O25" s="14">
        <v>100</v>
      </c>
      <c r="P25" s="14">
        <f t="shared" si="0"/>
        <v>3258</v>
      </c>
      <c r="Q25" s="8" t="s">
        <v>148</v>
      </c>
    </row>
    <row r="26" s="1" customFormat="1" ht="20.1" customHeight="1" spans="1:17">
      <c r="A26" s="7">
        <v>20</v>
      </c>
      <c r="B26" s="7" t="s">
        <v>141</v>
      </c>
      <c r="C26" s="9" t="s">
        <v>149</v>
      </c>
      <c r="D26" s="8" t="s">
        <v>23</v>
      </c>
      <c r="E26" s="7" t="s">
        <v>24</v>
      </c>
      <c r="F26" s="8" t="s">
        <v>150</v>
      </c>
      <c r="G26" s="7" t="s">
        <v>151</v>
      </c>
      <c r="H26" s="8" t="s">
        <v>27</v>
      </c>
      <c r="I26" s="14">
        <v>3200</v>
      </c>
      <c r="J26" s="14">
        <v>105</v>
      </c>
      <c r="K26" s="14">
        <v>61</v>
      </c>
      <c r="L26" s="14">
        <v>46</v>
      </c>
      <c r="M26" s="14">
        <v>40</v>
      </c>
      <c r="N26" s="14" t="s">
        <v>27</v>
      </c>
      <c r="O26" s="14" t="s">
        <v>27</v>
      </c>
      <c r="P26" s="14">
        <f t="shared" si="0"/>
        <v>3452</v>
      </c>
      <c r="Q26" s="8" t="s">
        <v>27</v>
      </c>
    </row>
    <row r="27" s="1" customFormat="1" ht="20.1" customHeight="1" spans="1:17">
      <c r="A27" s="7">
        <v>21</v>
      </c>
      <c r="B27" s="7" t="s">
        <v>152</v>
      </c>
      <c r="C27" s="9"/>
      <c r="D27" s="8" t="s">
        <v>29</v>
      </c>
      <c r="E27" s="7" t="s">
        <v>24</v>
      </c>
      <c r="F27" s="8" t="s">
        <v>153</v>
      </c>
      <c r="G27" s="7" t="s">
        <v>154</v>
      </c>
      <c r="H27" s="8" t="s">
        <v>27</v>
      </c>
      <c r="I27" s="14">
        <v>3300</v>
      </c>
      <c r="J27" s="14" t="s">
        <v>27</v>
      </c>
      <c r="K27" s="14">
        <v>122</v>
      </c>
      <c r="L27" s="14">
        <v>37</v>
      </c>
      <c r="M27" s="14">
        <v>800</v>
      </c>
      <c r="N27" s="14" t="s">
        <v>27</v>
      </c>
      <c r="O27" s="14" t="s">
        <v>27</v>
      </c>
      <c r="P27" s="14">
        <f t="shared" si="0"/>
        <v>4259</v>
      </c>
      <c r="Q27" s="8" t="s">
        <v>155</v>
      </c>
    </row>
    <row r="28" s="1" customFormat="1" ht="20.1" customHeight="1" spans="1:17">
      <c r="A28" s="7">
        <v>22</v>
      </c>
      <c r="B28" s="7" t="s">
        <v>156</v>
      </c>
      <c r="C28" s="9"/>
      <c r="D28" s="8" t="s">
        <v>29</v>
      </c>
      <c r="E28" s="7" t="s">
        <v>24</v>
      </c>
      <c r="F28" s="8" t="s">
        <v>157</v>
      </c>
      <c r="G28" s="7" t="s">
        <v>158</v>
      </c>
      <c r="H28" s="8" t="s">
        <v>27</v>
      </c>
      <c r="I28" s="14">
        <v>3300</v>
      </c>
      <c r="J28" s="14">
        <v>105</v>
      </c>
      <c r="K28" s="14">
        <v>61</v>
      </c>
      <c r="L28" s="14">
        <v>34</v>
      </c>
      <c r="M28" s="14" t="s">
        <v>27</v>
      </c>
      <c r="N28" s="14" t="s">
        <v>27</v>
      </c>
      <c r="O28" s="14" t="s">
        <v>27</v>
      </c>
      <c r="P28" s="14">
        <f t="shared" si="0"/>
        <v>3500</v>
      </c>
      <c r="Q28" s="8" t="s">
        <v>27</v>
      </c>
    </row>
    <row r="29" s="1" customFormat="1" ht="20.1" customHeight="1" spans="1:17">
      <c r="A29" s="7">
        <v>23</v>
      </c>
      <c r="B29" s="7" t="s">
        <v>156</v>
      </c>
      <c r="C29" s="9"/>
      <c r="D29" s="8" t="s">
        <v>118</v>
      </c>
      <c r="E29" s="7" t="s">
        <v>24</v>
      </c>
      <c r="F29" s="8">
        <v>249401935</v>
      </c>
      <c r="G29" s="7" t="s">
        <v>159</v>
      </c>
      <c r="H29" s="8" t="s">
        <v>27</v>
      </c>
      <c r="I29" s="14">
        <v>3300</v>
      </c>
      <c r="J29" s="14" t="s">
        <v>27</v>
      </c>
      <c r="K29" s="14">
        <v>84</v>
      </c>
      <c r="L29" s="14">
        <v>40</v>
      </c>
      <c r="M29" s="14">
        <v>500</v>
      </c>
      <c r="N29" s="14" t="s">
        <v>27</v>
      </c>
      <c r="O29" s="14" t="s">
        <v>27</v>
      </c>
      <c r="P29" s="14">
        <f t="shared" si="0"/>
        <v>3924</v>
      </c>
      <c r="Q29" s="8" t="s">
        <v>160</v>
      </c>
    </row>
    <row r="30" s="1" customFormat="1" ht="20.1" customHeight="1" spans="1:17">
      <c r="A30" s="10" t="s">
        <v>63</v>
      </c>
      <c r="B30" s="11"/>
      <c r="C30" s="11"/>
      <c r="D30" s="11"/>
      <c r="E30" s="11"/>
      <c r="F30" s="11"/>
      <c r="G30" s="11"/>
      <c r="H30" s="12"/>
      <c r="I30" s="14">
        <f t="shared" ref="I30:P30" si="1">SUM(I7:I29)</f>
        <v>50280</v>
      </c>
      <c r="J30" s="14">
        <f t="shared" si="1"/>
        <v>270</v>
      </c>
      <c r="K30" s="14">
        <f t="shared" si="1"/>
        <v>1678</v>
      </c>
      <c r="L30" s="14">
        <f t="shared" si="1"/>
        <v>1141</v>
      </c>
      <c r="M30" s="14">
        <f t="shared" si="1"/>
        <v>3517</v>
      </c>
      <c r="N30" s="14">
        <f t="shared" si="1"/>
        <v>5129</v>
      </c>
      <c r="O30" s="14">
        <f t="shared" si="1"/>
        <v>200</v>
      </c>
      <c r="P30" s="14">
        <f t="shared" si="1"/>
        <v>62215</v>
      </c>
      <c r="Q30" s="14" t="s">
        <v>27</v>
      </c>
    </row>
    <row r="31" s="1" customFormat="1" ht="20.1" customHeight="1" spans="1:17">
      <c r="A31" s="10" t="s">
        <v>64</v>
      </c>
      <c r="B31" s="11"/>
      <c r="C31" s="11"/>
      <c r="D31" s="11"/>
      <c r="E31" s="11"/>
      <c r="F31" s="11"/>
      <c r="G31" s="11"/>
      <c r="H31" s="12"/>
      <c r="I31" s="15" t="s">
        <v>161</v>
      </c>
      <c r="J31" s="16"/>
      <c r="K31" s="16"/>
      <c r="L31" s="16"/>
      <c r="M31" s="16"/>
      <c r="N31" s="16"/>
      <c r="O31" s="16"/>
      <c r="P31" s="16"/>
      <c r="Q31" s="17"/>
    </row>
    <row r="32" s="1" customFormat="1" ht="20.1" customHeight="1" spans="1:1">
      <c r="A32" s="1" t="s">
        <v>162</v>
      </c>
    </row>
    <row r="33" s="1" customFormat="1" ht="20.1" customHeight="1" spans="1:1">
      <c r="A33" s="13" t="s">
        <v>27</v>
      </c>
    </row>
    <row r="34" s="1" customFormat="1" ht="20.1" customHeight="1" spans="1:1">
      <c r="A34" s="13" t="s">
        <v>163</v>
      </c>
    </row>
    <row r="36" s="1" customFormat="1" spans="1:6">
      <c r="A36" s="18" t="s">
        <v>68</v>
      </c>
      <c r="B36" s="18"/>
      <c r="C36" s="18"/>
      <c r="D36" s="18"/>
      <c r="E36" s="18"/>
      <c r="F36" s="18"/>
    </row>
    <row r="37" s="1" customFormat="1" ht="21" customHeight="1" spans="1:6">
      <c r="A37" s="18"/>
      <c r="B37" s="18"/>
      <c r="C37" s="18"/>
      <c r="D37" s="18"/>
      <c r="E37" s="18"/>
      <c r="F37" s="18"/>
    </row>
    <row r="38" s="1" customFormat="1" ht="13" spans="1:6">
      <c r="A38" s="19" t="s">
        <v>69</v>
      </c>
      <c r="B38" s="19"/>
      <c r="C38" s="19"/>
      <c r="D38" s="19"/>
      <c r="E38" s="19"/>
      <c r="F38" s="20"/>
    </row>
    <row r="39" s="1" customFormat="1" ht="13" spans="1:6">
      <c r="A39" s="21" t="s">
        <v>70</v>
      </c>
      <c r="B39" s="21"/>
      <c r="C39" s="21"/>
      <c r="D39" s="21"/>
      <c r="E39" s="21"/>
      <c r="F39" s="20"/>
    </row>
    <row r="40" s="1" customFormat="1" ht="13" spans="1:6">
      <c r="A40" s="21" t="s">
        <v>71</v>
      </c>
      <c r="B40" s="21"/>
      <c r="C40" s="21"/>
      <c r="D40" s="21"/>
      <c r="E40" s="21"/>
      <c r="F40" s="20"/>
    </row>
    <row r="41" s="1" customFormat="1" ht="14" spans="1:6">
      <c r="A41" s="22"/>
      <c r="B41" s="23"/>
      <c r="C41" s="23"/>
      <c r="D41" s="23"/>
      <c r="E41" s="23"/>
      <c r="F41" s="23"/>
    </row>
  </sheetData>
  <autoFilter xmlns:etc="http://www.wps.cn/officeDocument/2017/etCustomData" ref="A6:Q34" etc:filterBottomFollowUsedRange="0">
    <extLst/>
  </autoFilter>
  <mergeCells count="14">
    <mergeCell ref="A1:Q1"/>
    <mergeCell ref="A2:Q2"/>
    <mergeCell ref="A3:Q3"/>
    <mergeCell ref="A4:Q4"/>
    <mergeCell ref="A5:K5"/>
    <mergeCell ref="L5:Q5"/>
    <mergeCell ref="A30:H30"/>
    <mergeCell ref="A31:H31"/>
    <mergeCell ref="I31:Q31"/>
    <mergeCell ref="A32:Q32"/>
    <mergeCell ref="A33:Q33"/>
    <mergeCell ref="A34:Q34"/>
    <mergeCell ref="A38:E38"/>
    <mergeCell ref="A36:F37"/>
  </mergeCells>
  <pageMargins left="0.7" right="0.7" top="0.75" bottom="0.75" header="0.3" footer="0.3"/>
  <pageSetup paperSize="9" orientation="portrait"/>
  <headerFooter/>
  <ignoredErrors>
    <ignoredError sqref="C8:C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M25" sqref="M25"/>
    </sheetView>
  </sheetViews>
  <sheetFormatPr defaultColWidth="8.72727272727273" defaultRowHeight="12.5"/>
  <cols>
    <col min="1" max="1" width="6" style="1"/>
    <col min="2" max="2" width="8" style="1"/>
    <col min="3" max="3" width="10" style="1"/>
    <col min="4" max="4" width="11.8181818181818" style="1" customWidth="1"/>
    <col min="5" max="5" width="9" style="1"/>
    <col min="6" max="6" width="15.7272727272727" style="1" customWidth="1"/>
    <col min="7" max="7" width="12" style="1"/>
    <col min="8" max="8" width="10" style="1"/>
    <col min="9" max="11" width="8" style="1"/>
    <col min="12" max="12" width="10" style="1"/>
    <col min="13" max="13" width="30" style="1"/>
    <col min="14" max="16384" width="8.72727272727273" style="1"/>
  </cols>
  <sheetData>
    <row r="1" s="1" customFormat="1" ht="22.5" customHeight="1" spans="1:1">
      <c r="A1" s="2" t="s">
        <v>72</v>
      </c>
    </row>
    <row r="2" s="1" customFormat="1" ht="17.45" customHeight="1" spans="1:1">
      <c r="A2" s="3" t="s">
        <v>1</v>
      </c>
    </row>
    <row r="3" s="1" customFormat="1" ht="17.45" customHeight="1" spans="1:1">
      <c r="A3" s="3"/>
    </row>
    <row r="4" s="1" customFormat="1" ht="17.45" customHeight="1" spans="1:1">
      <c r="A4" s="3" t="s">
        <v>2</v>
      </c>
    </row>
    <row r="5" s="1" customFormat="1" ht="17.45" customHeight="1" spans="1:8">
      <c r="A5" s="4" t="s">
        <v>3</v>
      </c>
      <c r="H5" s="5" t="s">
        <v>164</v>
      </c>
    </row>
    <row r="6" s="1" customFormat="1" ht="20.1" customHeight="1" spans="1:13">
      <c r="A6" s="6" t="s">
        <v>5</v>
      </c>
      <c r="B6" s="6" t="s">
        <v>6</v>
      </c>
      <c r="C6" s="6" t="s">
        <v>74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15</v>
      </c>
      <c r="K6" s="6" t="s">
        <v>16</v>
      </c>
      <c r="L6" s="6" t="s">
        <v>20</v>
      </c>
      <c r="M6" s="6" t="s">
        <v>21</v>
      </c>
    </row>
    <row r="7" s="1" customFormat="1" ht="20.1" customHeight="1" spans="1:13">
      <c r="A7" s="7">
        <v>1</v>
      </c>
      <c r="B7" s="7" t="s">
        <v>165</v>
      </c>
      <c r="C7" s="8"/>
      <c r="D7" s="8" t="s">
        <v>29</v>
      </c>
      <c r="E7" s="7" t="s">
        <v>24</v>
      </c>
      <c r="F7" s="8" t="s">
        <v>166</v>
      </c>
      <c r="G7" s="7" t="s">
        <v>167</v>
      </c>
      <c r="H7" s="8" t="s">
        <v>27</v>
      </c>
      <c r="I7" s="14">
        <v>1670</v>
      </c>
      <c r="J7" s="14" t="s">
        <v>27</v>
      </c>
      <c r="K7" s="14">
        <v>39</v>
      </c>
      <c r="L7" s="14">
        <f t="shared" ref="L7:L11" si="0">SUM(I7:K7)</f>
        <v>1709</v>
      </c>
      <c r="M7" s="8" t="s">
        <v>27</v>
      </c>
    </row>
    <row r="8" s="1" customFormat="1" ht="20.1" customHeight="1" spans="1:13">
      <c r="A8" s="7">
        <v>2</v>
      </c>
      <c r="B8" s="7" t="s">
        <v>168</v>
      </c>
      <c r="C8" s="9" t="s">
        <v>169</v>
      </c>
      <c r="D8" s="8" t="s">
        <v>170</v>
      </c>
      <c r="E8" s="7" t="s">
        <v>24</v>
      </c>
      <c r="F8" s="8" t="s">
        <v>171</v>
      </c>
      <c r="G8" s="7" t="s">
        <v>172</v>
      </c>
      <c r="H8" s="8" t="s">
        <v>27</v>
      </c>
      <c r="I8" s="14">
        <v>1670</v>
      </c>
      <c r="J8" s="14">
        <v>61</v>
      </c>
      <c r="K8" s="14">
        <v>68</v>
      </c>
      <c r="L8" s="14">
        <f t="shared" si="0"/>
        <v>1799</v>
      </c>
      <c r="M8" s="8" t="s">
        <v>27</v>
      </c>
    </row>
    <row r="9" s="1" customFormat="1" ht="20.1" customHeight="1" spans="1:13">
      <c r="A9" s="7">
        <v>3</v>
      </c>
      <c r="B9" s="7" t="s">
        <v>168</v>
      </c>
      <c r="C9" s="8"/>
      <c r="D9" s="8" t="s">
        <v>29</v>
      </c>
      <c r="E9" s="7" t="s">
        <v>24</v>
      </c>
      <c r="F9" s="8" t="s">
        <v>173</v>
      </c>
      <c r="G9" s="7" t="s">
        <v>174</v>
      </c>
      <c r="H9" s="8" t="s">
        <v>27</v>
      </c>
      <c r="I9" s="14">
        <v>1670</v>
      </c>
      <c r="J9" s="14">
        <v>61</v>
      </c>
      <c r="K9" s="14">
        <v>42</v>
      </c>
      <c r="L9" s="14">
        <f t="shared" si="0"/>
        <v>1773</v>
      </c>
      <c r="M9" s="8" t="s">
        <v>27</v>
      </c>
    </row>
    <row r="10" s="1" customFormat="1" ht="20.1" customHeight="1" spans="1:13">
      <c r="A10" s="7">
        <v>4</v>
      </c>
      <c r="B10" s="7" t="s">
        <v>175</v>
      </c>
      <c r="C10" s="8"/>
      <c r="D10" s="8" t="s">
        <v>29</v>
      </c>
      <c r="E10" s="7" t="s">
        <v>24</v>
      </c>
      <c r="F10" s="8" t="s">
        <v>176</v>
      </c>
      <c r="G10" s="7" t="s">
        <v>177</v>
      </c>
      <c r="H10" s="8" t="s">
        <v>27</v>
      </c>
      <c r="I10" s="14">
        <v>1670</v>
      </c>
      <c r="J10" s="14">
        <v>92</v>
      </c>
      <c r="K10" s="14">
        <v>44</v>
      </c>
      <c r="L10" s="14">
        <f t="shared" si="0"/>
        <v>1806</v>
      </c>
      <c r="M10" s="8" t="s">
        <v>178</v>
      </c>
    </row>
    <row r="11" s="1" customFormat="1" ht="20.1" customHeight="1" spans="1:13">
      <c r="A11" s="7">
        <v>5</v>
      </c>
      <c r="B11" s="7" t="s">
        <v>179</v>
      </c>
      <c r="C11" s="8"/>
      <c r="D11" s="8" t="s">
        <v>29</v>
      </c>
      <c r="E11" s="7" t="s">
        <v>24</v>
      </c>
      <c r="F11" s="8" t="s">
        <v>180</v>
      </c>
      <c r="G11" s="7" t="s">
        <v>181</v>
      </c>
      <c r="H11" s="8" t="s">
        <v>27</v>
      </c>
      <c r="I11" s="14">
        <v>1670</v>
      </c>
      <c r="J11" s="14">
        <v>61</v>
      </c>
      <c r="K11" s="14">
        <v>41</v>
      </c>
      <c r="L11" s="14">
        <f t="shared" si="0"/>
        <v>1772</v>
      </c>
      <c r="M11" s="8" t="s">
        <v>27</v>
      </c>
    </row>
    <row r="12" s="1" customFormat="1" ht="20.1" customHeight="1" spans="1:13">
      <c r="A12" s="10" t="s">
        <v>63</v>
      </c>
      <c r="B12" s="11"/>
      <c r="C12" s="11"/>
      <c r="D12" s="11"/>
      <c r="E12" s="11"/>
      <c r="F12" s="11"/>
      <c r="G12" s="11"/>
      <c r="H12" s="12"/>
      <c r="I12" s="14">
        <f t="shared" ref="I12:L12" si="1">SUM(I7:I11)</f>
        <v>8350</v>
      </c>
      <c r="J12" s="14">
        <f t="shared" si="1"/>
        <v>275</v>
      </c>
      <c r="K12" s="14">
        <f t="shared" si="1"/>
        <v>234</v>
      </c>
      <c r="L12" s="14">
        <f t="shared" si="1"/>
        <v>8859</v>
      </c>
      <c r="M12" s="14" t="s">
        <v>27</v>
      </c>
    </row>
    <row r="13" s="1" customFormat="1" ht="20.1" customHeight="1" spans="1:13">
      <c r="A13" s="10" t="s">
        <v>64</v>
      </c>
      <c r="B13" s="11"/>
      <c r="C13" s="11"/>
      <c r="D13" s="11"/>
      <c r="E13" s="11"/>
      <c r="F13" s="11"/>
      <c r="G13" s="11"/>
      <c r="H13" s="12"/>
      <c r="I13" s="15" t="s">
        <v>182</v>
      </c>
      <c r="J13" s="16"/>
      <c r="K13" s="16"/>
      <c r="L13" s="16"/>
      <c r="M13" s="17"/>
    </row>
    <row r="14" s="1" customFormat="1" ht="20.1" customHeight="1" spans="1:1">
      <c r="A14" s="1" t="s">
        <v>183</v>
      </c>
    </row>
    <row r="15" s="1" customFormat="1" ht="20.1" customHeight="1" spans="1:1">
      <c r="A15" s="13" t="s">
        <v>27</v>
      </c>
    </row>
    <row r="16" s="1" customFormat="1" ht="20.1" customHeight="1" spans="1:1">
      <c r="A16" s="13" t="s">
        <v>184</v>
      </c>
    </row>
  </sheetData>
  <mergeCells count="12">
    <mergeCell ref="A1:M1"/>
    <mergeCell ref="A2:M2"/>
    <mergeCell ref="A3:M3"/>
    <mergeCell ref="A4:M4"/>
    <mergeCell ref="A5:G5"/>
    <mergeCell ref="H5:M5"/>
    <mergeCell ref="A12:H12"/>
    <mergeCell ref="A13:H13"/>
    <mergeCell ref="I13:M13"/>
    <mergeCell ref="A14:M14"/>
    <mergeCell ref="A15:M15"/>
    <mergeCell ref="A16:M16"/>
  </mergeCells>
  <pageMargins left="0.7" right="0.7" top="0.75" bottom="0.75" header="0.3" footer="0.3"/>
  <pageSetup paperSize="9" orientation="portrait"/>
  <headerFooter/>
  <ignoredErrors>
    <ignoredError sqref="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2024.12</vt:lpstr>
      <vt:lpstr>2025.1</vt:lpstr>
      <vt:lpstr>2025.2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罗珮文</dc:creator>
  <cp:lastModifiedBy>Shirley</cp:lastModifiedBy>
  <dcterms:created xsi:type="dcterms:W3CDTF">2023-05-12T11:15:00Z</dcterms:created>
  <dcterms:modified xsi:type="dcterms:W3CDTF">2025-03-28T09:46:43Z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BB93FE0E855B438B8DFA480B8ABB2A2E_12</vt:lpwstr>
  </property>
</Properties>
</file>