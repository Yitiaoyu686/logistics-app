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<sst xmlns="http://schemas.openxmlformats.org/spreadsheetml/2006/main" count="100" uniqueCount="67">
  <si>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广 州 耀 阳 供 应 链 管 理  有  限  公  司  费  用  表</t>
  </si>
  <si>
    <t>时间</t>
  </si>
  <si>
    <t>客户</t>
  </si>
  <si>
    <t>品名</t>
  </si>
  <si>
    <t>柜号</t>
  </si>
  <si>
    <t>杂费</t>
  </si>
  <si>
    <t>应收报关费</t>
  </si>
  <si>
    <t>应收费用</t>
  </si>
  <si>
    <t>JOB</t>
  </si>
  <si>
    <t>2025.9.4</t>
  </si>
  <si>
    <t>陆总</t>
  </si>
  <si>
    <t>普杂</t>
  </si>
  <si>
    <t>CSNU6190417</t>
  </si>
  <si>
    <t>090395</t>
  </si>
  <si>
    <t>2025.9.5</t>
  </si>
  <si>
    <t>ZCSU6908166</t>
  </si>
  <si>
    <t>1200+250</t>
  </si>
  <si>
    <t>090398</t>
  </si>
  <si>
    <t>2025.9.26</t>
  </si>
  <si>
    <t>ZCSU7196195</t>
  </si>
  <si>
    <t>090432</t>
  </si>
  <si>
    <t>2025.10.21</t>
  </si>
  <si>
    <t>ZCSU6680271</t>
  </si>
  <si>
    <t>100387</t>
  </si>
  <si>
    <t>BEAU5029869</t>
  </si>
  <si>
    <t>1700+500</t>
  </si>
  <si>
    <t>100396</t>
  </si>
  <si>
    <t>2025.10.23</t>
  </si>
  <si>
    <t>JXLU4593497</t>
  </si>
  <si>
    <t>1500+750</t>
  </si>
  <si>
    <t>100398</t>
  </si>
  <si>
    <t>2025.10.24</t>
  </si>
  <si>
    <t>TRHU7390846</t>
  </si>
  <si>
    <t>100400</t>
  </si>
  <si>
    <t>BSIU9535720</t>
  </si>
  <si>
    <t>1600+250</t>
  </si>
  <si>
    <t>090423</t>
  </si>
  <si>
    <t>2025.10.30</t>
  </si>
  <si>
    <t>GAOU6905384</t>
  </si>
  <si>
    <t>1400+250</t>
  </si>
  <si>
    <t>100412</t>
  </si>
  <si>
    <t>2025.11.6</t>
  </si>
  <si>
    <t>ZCSU7653060</t>
  </si>
  <si>
    <t>1000+500</t>
  </si>
  <si>
    <t>JXLU6285929</t>
  </si>
  <si>
    <t>1200+500</t>
  </si>
  <si>
    <t>2025.11.7</t>
  </si>
  <si>
    <t>FCIU9069883</t>
  </si>
  <si>
    <t>1200+750</t>
  </si>
  <si>
    <t>2025.11.14</t>
  </si>
  <si>
    <t>JXLU7818811</t>
  </si>
  <si>
    <t>1200+1000</t>
  </si>
  <si>
    <t>2025.11.18</t>
  </si>
  <si>
    <t>FFAU6517626</t>
  </si>
  <si>
    <t>2025.11.21</t>
  </si>
  <si>
    <t>ONEU6412531</t>
  </si>
  <si>
    <t>800+750</t>
  </si>
  <si>
    <t>2025.11.26</t>
  </si>
  <si>
    <t>CICU6912178</t>
  </si>
  <si>
    <t>900+500</t>
  </si>
  <si>
    <t>合计</t>
  </si>
  <si>
    <t>户名：蔡大鹏</t>
  </si>
  <si>
    <t>账号:3110379980120185954</t>
  </si>
  <si>
    <t>开户行：中国建设银行股份有限公司佛山环市支行</t>
  </si>
  <si>
    <t>户名：广州港前绿能供应链管理有限公司</t>
  </si>
  <si>
    <t>账号:654081913</t>
  </si>
  <si>
    <t>开户行：中国民生银行南沙分行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</si>
</sst>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0" fontId="5" fillId="3" borderId="0" xfId="0" applyFont="1" applyFill="1" applyBorder="1" applyAlignment="1"/>
    <xf numFmtId="0" fontId="5" fillId="3" borderId="0" xfId="0" applyNumberFormat="1" applyFont="1" applyFill="1" applyBorder="1" applyAlignment="1"/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G12" sqref="G12"/>
    </sheetView>
  </sheetViews>
  <sheetFormatPr defaultColWidth="9" defaultRowHeight="13.5" outlineLevelCol="7"/>
  <cols>
    <col min="1" max="1" width="12.125" customWidth="1"/>
    <col min="2" max="2" width="7.875" customWidth="1"/>
    <col min="3" max="3" width="6.625" customWidth="1"/>
    <col min="4" max="4" width="18.5" customWidth="1"/>
    <col min="5" max="5" width="6.875" customWidth="1"/>
    <col min="6" max="6" width="11.125" customWidth="1"/>
    <col min="7" max="7" width="14.75" customWidth="1"/>
    <col min="8" max="8" width="8.75" customWidth="1"/>
  </cols>
  <sheetData>
    <row r="1" ht="25" customHeight="1" spans="1:8">
      <c r="A1" s="2" t="s">
        <v>0</v>
      </c>
      <c r="B1" s="2"/>
      <c r="C1" s="2"/>
      <c r="D1" s="2"/>
      <c r="E1" s="2"/>
      <c r="F1" s="2"/>
    </row>
    <row r="2" s="1" customFormat="1" ht="14.25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</row>
    <row r="3" s="1" customFormat="1" ht="14.25" spans="1:8">
      <c r="A3" s="4" t="s">
        <v>9</v>
      </c>
      <c r="B3" s="4" t="s">
        <v>10</v>
      </c>
      <c r="C3" s="4" t="s">
        <v>11</v>
      </c>
      <c r="D3" s="5" t="s">
        <v>12</v>
      </c>
      <c r="E3" s="6"/>
      <c r="F3" s="6">
        <v>0</v>
      </c>
      <c r="G3" s="7">
        <v>-18700</v>
      </c>
      <c r="H3" s="8" t="s">
        <v>13</v>
      </c>
    </row>
    <row r="4" s="1" customFormat="1" ht="14.25" spans="1:8">
      <c r="A4" s="4" t="s">
        <v>14</v>
      </c>
      <c r="B4" s="4" t="s">
        <v>10</v>
      </c>
      <c r="C4" s="4" t="s">
        <v>11</v>
      </c>
      <c r="D4" s="5" t="s">
        <v>15</v>
      </c>
      <c r="E4" s="6">
        <v>75</v>
      </c>
      <c r="F4" s="4" t="s">
        <v>16</v>
      </c>
      <c r="G4" s="7">
        <v>1525</v>
      </c>
      <c r="H4" s="8" t="s">
        <v>17</v>
      </c>
    </row>
    <row r="5" s="1" customFormat="1" ht="14.25" spans="1:8">
      <c r="A5" s="4" t="s">
        <v>18</v>
      </c>
      <c r="B5" s="4" t="s">
        <v>10</v>
      </c>
      <c r="C5" s="4" t="s">
        <v>11</v>
      </c>
      <c r="D5" s="4" t="s">
        <v>19</v>
      </c>
      <c r="E5" s="6">
        <v>75</v>
      </c>
      <c r="F5" s="4">
        <v>250</v>
      </c>
      <c r="G5" s="7">
        <v>325</v>
      </c>
      <c r="H5" s="8" t="s">
        <v>20</v>
      </c>
    </row>
    <row r="6" s="1" customFormat="1" ht="14.25" spans="1:8">
      <c r="A6" s="4" t="s">
        <v>21</v>
      </c>
      <c r="B6" s="4" t="s">
        <v>10</v>
      </c>
      <c r="C6" s="4" t="s">
        <v>11</v>
      </c>
      <c r="D6" s="4" t="s">
        <v>22</v>
      </c>
      <c r="E6" s="6"/>
      <c r="F6" s="4">
        <v>1500</v>
      </c>
      <c r="G6" s="7">
        <f>SUM(E6:F6)</f>
        <v>1500</v>
      </c>
      <c r="H6" s="8" t="s">
        <v>23</v>
      </c>
    </row>
    <row r="7" customFormat="1" ht="14.25" spans="1:8">
      <c r="A7" s="4" t="s">
        <v>21</v>
      </c>
      <c r="B7" s="4" t="s">
        <v>10</v>
      </c>
      <c r="C7" s="4" t="s">
        <v>11</v>
      </c>
      <c r="D7" s="4" t="s">
        <v>24</v>
      </c>
      <c r="E7" s="6">
        <v>150</v>
      </c>
      <c r="F7" s="4" t="s">
        <v>25</v>
      </c>
      <c r="G7" s="9">
        <v>2350</v>
      </c>
      <c r="H7" s="10" t="s">
        <v>26</v>
      </c>
    </row>
    <row r="8" customFormat="1" ht="14.25" spans="1:8">
      <c r="A8" s="4" t="s">
        <v>27</v>
      </c>
      <c r="B8" s="4" t="s">
        <v>10</v>
      </c>
      <c r="C8" s="4" t="s">
        <v>11</v>
      </c>
      <c r="D8" s="4" t="s">
        <v>28</v>
      </c>
      <c r="E8" s="6">
        <v>225</v>
      </c>
      <c r="F8" s="4" t="s">
        <v>29</v>
      </c>
      <c r="G8" s="7">
        <v>2475</v>
      </c>
      <c r="H8" s="10" t="s">
        <v>30</v>
      </c>
    </row>
    <row r="9" customFormat="1" ht="14.25" spans="1:8">
      <c r="A9" s="4" t="s">
        <v>31</v>
      </c>
      <c r="B9" s="4" t="s">
        <v>10</v>
      </c>
      <c r="C9" s="4" t="s">
        <v>11</v>
      </c>
      <c r="D9" s="4" t="s">
        <v>32</v>
      </c>
      <c r="E9" s="6"/>
      <c r="F9" s="4">
        <v>1300</v>
      </c>
      <c r="G9" s="9">
        <f>SUM(E9:F9)</f>
        <v>1300</v>
      </c>
      <c r="H9" s="10" t="s">
        <v>33</v>
      </c>
    </row>
    <row r="10" customFormat="1" ht="14.25" spans="1:8">
      <c r="A10" s="4" t="s">
        <v>31</v>
      </c>
      <c r="B10" s="4" t="s">
        <v>10</v>
      </c>
      <c r="C10" s="4" t="s">
        <v>11</v>
      </c>
      <c r="D10" s="4" t="s">
        <v>34</v>
      </c>
      <c r="E10" s="6">
        <v>75</v>
      </c>
      <c r="F10" s="4" t="s">
        <v>35</v>
      </c>
      <c r="G10" s="7">
        <v>1925</v>
      </c>
      <c r="H10" s="10" t="s">
        <v>36</v>
      </c>
    </row>
    <row r="11" customFormat="1" ht="14.25" spans="1:8">
      <c r="A11" s="4" t="s">
        <v>37</v>
      </c>
      <c r="B11" s="4" t="s">
        <v>10</v>
      </c>
      <c r="C11" s="4" t="s">
        <v>11</v>
      </c>
      <c r="D11" s="4" t="s">
        <v>38</v>
      </c>
      <c r="E11" s="6">
        <v>75</v>
      </c>
      <c r="F11" s="4" t="s">
        <v>39</v>
      </c>
      <c r="G11" s="9">
        <v>1725</v>
      </c>
      <c r="H11" s="10" t="s">
        <v>40</v>
      </c>
    </row>
    <row r="12" s="1" customFormat="1" ht="14.25" spans="1:8">
      <c r="A12" s="4" t="s">
        <v>41</v>
      </c>
      <c r="B12" s="4" t="s">
        <v>10</v>
      </c>
      <c r="C12" s="4" t="s">
        <v>11</v>
      </c>
      <c r="D12" s="5" t="s">
        <v>42</v>
      </c>
      <c r="E12" s="6">
        <v>150</v>
      </c>
      <c r="F12" s="4" t="s">
        <v>43</v>
      </c>
      <c r="G12" s="7">
        <v>1650</v>
      </c>
      <c r="H12" s="4">
        <v>110376</v>
      </c>
    </row>
    <row r="13" s="1" customFormat="1" ht="14.25" spans="1:8">
      <c r="A13" s="4" t="s">
        <v>41</v>
      </c>
      <c r="B13" s="4" t="s">
        <v>10</v>
      </c>
      <c r="C13" s="4" t="s">
        <v>11</v>
      </c>
      <c r="D13" s="11" t="s">
        <v>44</v>
      </c>
      <c r="E13" s="6">
        <v>150</v>
      </c>
      <c r="F13" s="4" t="s">
        <v>45</v>
      </c>
      <c r="G13" s="7">
        <v>1850</v>
      </c>
      <c r="H13" s="4">
        <v>110379</v>
      </c>
    </row>
    <row r="14" s="1" customFormat="1" ht="14.25" spans="1:8">
      <c r="A14" s="4" t="s">
        <v>46</v>
      </c>
      <c r="B14" s="4" t="s">
        <v>10</v>
      </c>
      <c r="C14" s="4" t="s">
        <v>11</v>
      </c>
      <c r="D14" s="4" t="s">
        <v>47</v>
      </c>
      <c r="E14" s="6">
        <v>225</v>
      </c>
      <c r="F14" s="4" t="s">
        <v>48</v>
      </c>
      <c r="G14" s="7">
        <v>2175</v>
      </c>
      <c r="H14" s="4">
        <v>110381</v>
      </c>
    </row>
    <row r="15" s="1" customFormat="1" ht="14.25" spans="1:8">
      <c r="A15" s="4" t="s">
        <v>49</v>
      </c>
      <c r="B15" s="4" t="s">
        <v>10</v>
      </c>
      <c r="C15" s="4" t="s">
        <v>11</v>
      </c>
      <c r="D15" s="4" t="s">
        <v>50</v>
      </c>
      <c r="E15" s="6">
        <v>300</v>
      </c>
      <c r="F15" s="4" t="s">
        <v>51</v>
      </c>
      <c r="G15" s="7">
        <v>2500</v>
      </c>
      <c r="H15" s="4">
        <v>110390</v>
      </c>
    </row>
    <row r="16" customFormat="1" ht="14.25" spans="1:8">
      <c r="A16" s="4" t="s">
        <v>52</v>
      </c>
      <c r="B16" s="4" t="s">
        <v>10</v>
      </c>
      <c r="C16" s="4" t="s">
        <v>11</v>
      </c>
      <c r="D16" s="4" t="s">
        <v>53</v>
      </c>
      <c r="E16" s="6"/>
      <c r="F16" s="4">
        <v>500</v>
      </c>
      <c r="G16" s="9">
        <v>500</v>
      </c>
      <c r="H16" s="12">
        <v>110392</v>
      </c>
    </row>
    <row r="17" customFormat="1" ht="14.25" spans="1:8">
      <c r="A17" s="4" t="s">
        <v>54</v>
      </c>
      <c r="B17" s="4" t="s">
        <v>10</v>
      </c>
      <c r="C17" s="4" t="s">
        <v>11</v>
      </c>
      <c r="D17" s="4" t="s">
        <v>55</v>
      </c>
      <c r="E17" s="6">
        <v>225</v>
      </c>
      <c r="F17" s="4" t="s">
        <v>56</v>
      </c>
      <c r="G17" s="7">
        <v>1775</v>
      </c>
      <c r="H17" s="12">
        <v>110400</v>
      </c>
    </row>
    <row r="18" customFormat="1" ht="14.25" spans="1:8">
      <c r="A18" s="4" t="s">
        <v>57</v>
      </c>
      <c r="B18" s="4" t="s">
        <v>10</v>
      </c>
      <c r="C18" s="4" t="s">
        <v>11</v>
      </c>
      <c r="D18" s="4" t="s">
        <v>58</v>
      </c>
      <c r="E18" s="6">
        <v>150</v>
      </c>
      <c r="F18" s="4" t="s">
        <v>59</v>
      </c>
      <c r="G18" s="13">
        <v>1550</v>
      </c>
      <c r="H18" s="12">
        <v>110406</v>
      </c>
    </row>
    <row r="19" customFormat="1" ht="14.25" spans="1:8">
      <c r="A19" s="14" t="s">
        <v>60</v>
      </c>
      <c r="B19" s="15"/>
      <c r="C19" s="15"/>
      <c r="D19" s="15"/>
      <c r="E19" s="15"/>
      <c r="F19" s="16"/>
      <c r="G19" s="17">
        <f>SUM(G3:G18)</f>
        <v>6425</v>
      </c>
      <c r="H19" s="18"/>
    </row>
    <row r="21" ht="14.25" spans="1:8">
      <c r="A21" s="19" t="s">
        <v>61</v>
      </c>
    </row>
    <row r="22" ht="14.25" spans="1:8">
      <c r="A22" s="19" t="s">
        <v>62</v>
      </c>
    </row>
    <row r="23" ht="14.25" spans="1:8">
      <c r="A23" s="20" t="s">
        <v>63</v>
      </c>
    </row>
    <row r="25" ht="14.25" spans="1:8">
      <c r="A25" s="21" t="s">
        <v>64</v>
      </c>
      <c r="B25" s="21"/>
      <c r="C25" s="21"/>
    </row>
    <row r="26" ht="14.25" spans="1:8">
      <c r="A26" s="21" t="s">
        <v>65</v>
      </c>
      <c r="B26" s="21"/>
      <c r="C26" s="21"/>
    </row>
    <row r="27" ht="14.25" spans="1:8">
      <c r="A27" s="21" t="s">
        <v>66</v>
      </c>
      <c r="B27" s="21"/>
      <c r="C27" s="21"/>
    </row>
  </sheetData>
  <mergeCells count="2">
    <mergeCell ref="A1:F1"/>
    <mergeCell ref="A19:F19"/>
  </mergeCells>
  <pageMargins left="0.75" right="0.75" top="1" bottom="1" header="0.5" footer="0.5"/>
  <pageSetup paperSize="9" orientation="portrait"/>
  <headerFooter/>
  <ignoredErrors>
    <ignoredError sqref="A1:H1 A2:G2 A3:H11 B19:C19 E19:F19 H19 A20:H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</dc:creator>
  <cp:lastModifiedBy>刘劭勇</cp:lastModifiedBy>
  <dcterms:created xsi:type="dcterms:W3CDTF">2024-04-10T06:43:00Z</dcterms:created>
  <dcterms:modified xsi:type="dcterms:W3CDTF">2025-12-30T07:29:06Z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5D87D3AE5EAB47F2A000ED4952A38DBE_13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