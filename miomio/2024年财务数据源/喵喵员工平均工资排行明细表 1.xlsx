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5"/>
  </bookViews>
  <sheets>
    <sheet name="2021" sheetId="1" r:id="rId1"/>
    <sheet name="2022" sheetId="2" r:id="rId2"/>
    <sheet name="2023" sheetId="3" r:id="rId3"/>
    <sheet name="2024" sheetId="4" r:id="rId4"/>
    <sheet name="2025" sheetId="5" r:id="rId5"/>
    <sheet name="202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22年1月发放</t>
        </r>
      </text>
    </comment>
    <comment ref="M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22年1月发放
</t>
        </r>
      </text>
    </comment>
    <comment ref="O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22年1月发放
</t>
        </r>
      </text>
    </comment>
    <comment ref="Q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22年1月发放
</t>
        </r>
      </text>
    </comment>
    <comment ref="S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22年3月发放
</t>
        </r>
      </text>
    </comment>
    <comment ref="U6" authorId="0">
      <text>
        <r>
          <rPr>
            <sz val="9"/>
            <rFont val="宋体"/>
            <charset val="134"/>
          </rPr>
          <t xml:space="preserve">
22年5月份发放</t>
        </r>
      </text>
    </comment>
    <comment ref="W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22年7月份发放</t>
        </r>
      </text>
    </comment>
    <comment ref="Y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22年8月份发放</t>
        </r>
      </text>
    </comment>
    <comment ref="AA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22年11月份发放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4" authorId="0">
      <text>
        <r>
          <rPr>
            <sz val="9"/>
            <rFont val="宋体"/>
            <charset val="134"/>
          </rPr>
          <t xml:space="preserve">
22年5月份发放</t>
        </r>
      </text>
    </comment>
    <comment ref="G4" authorId="0">
      <text>
        <r>
          <rPr>
            <sz val="9"/>
            <rFont val="宋体"/>
            <charset val="134"/>
          </rPr>
          <t xml:space="preserve">
22年6月份发放
</t>
        </r>
      </text>
    </commen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22年7月份发放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22年8月份发放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22年8月份发放</t>
        </r>
      </text>
    </comment>
    <comment ref="O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22年9月份发放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22年10月份发放</t>
        </r>
      </text>
    </comment>
    <comment ref="S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22年11月份发放
</t>
        </r>
      </text>
    </comment>
    <comment ref="U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22年12月份发放
</t>
        </r>
      </text>
    </comment>
    <comment ref="W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23年1月份发放
</t>
        </r>
      </text>
    </comment>
    <comment ref="Y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23年2月份发放
</t>
        </r>
      </text>
    </comment>
    <comment ref="AA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23年4月份发放
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22年11月份发放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22年11月份发放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22年11月份发放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22年12月发放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22年12月发放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22年12月发放
</t>
        </r>
      </text>
    </comment>
    <comment ref="S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23年1月份发放</t>
        </r>
      </text>
    </comment>
    <comment ref="U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23年2月份发放</t>
        </r>
      </text>
    </comment>
    <comment ref="W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23年3月份发放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22年5月份发放</t>
        </r>
      </text>
    </comment>
    <comment ref="I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22年7月份发放
</t>
        </r>
      </text>
    </comment>
    <comment ref="K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22年8月份发放</t>
        </r>
      </text>
    </comment>
    <comment ref="M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22年8月份发放</t>
        </r>
      </text>
    </comment>
    <comment ref="O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22年9月份发放</t>
        </r>
      </text>
    </comment>
    <comment ref="Q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22年10月份发放
</t>
        </r>
      </text>
    </comment>
    <comment ref="S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22年11月份发放
</t>
        </r>
      </text>
    </comment>
    <comment ref="U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22年12月份发放</t>
        </r>
      </text>
    </comment>
    <comment ref="W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23年1月份发放
</t>
        </r>
      </text>
    </comment>
    <comment ref="Y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23年2月份发放</t>
        </r>
      </text>
    </comment>
    <comment ref="AA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23年3月份发放
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22年5月份发放</t>
        </r>
      </text>
    </comment>
    <comment ref="I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22年7月份发放
</t>
        </r>
      </text>
    </comment>
    <comment ref="K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22年8月份发放</t>
        </r>
      </text>
    </comment>
    <comment ref="M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22年8月份发放</t>
        </r>
      </text>
    </comment>
    <comment ref="O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22年9月份发放</t>
        </r>
      </text>
    </comment>
    <comment ref="Q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22年10月份发放
</t>
        </r>
      </text>
    </comment>
    <comment ref="S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22年11月份发放
</t>
        </r>
      </text>
    </comment>
    <comment ref="U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22年12月份发放</t>
        </r>
      </text>
    </comment>
    <comment ref="W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23年1月份发放
</t>
        </r>
      </text>
    </comment>
    <comment ref="Y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23年2月份发放</t>
        </r>
      </text>
    </comment>
    <comment ref="AA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23年3月份发放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23年5月份发放
</t>
        </r>
      </text>
    </commen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24年5月份发放</t>
        </r>
      </text>
    </commen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9月份发放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9月份发放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10月份发放</t>
        </r>
      </text>
    </comment>
    <comment ref="O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11月份发放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12月发放</t>
        </r>
      </text>
    </comment>
    <comment ref="S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24年1月份发放</t>
        </r>
      </text>
    </comment>
    <comment ref="U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24年2月份发放</t>
        </r>
      </text>
    </comment>
    <comment ref="W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24年3月份发放</t>
        </r>
      </text>
    </comment>
    <comment ref="Y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24年4月份发放</t>
        </r>
      </text>
    </comment>
    <comment ref="AA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24年6月份发放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23年8月份发放
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23年8月份发放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9月份发放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10月份发放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11月份发放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12月份发放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24年1月份发放</t>
        </r>
      </text>
    </comment>
    <comment ref="S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24年2月份发放</t>
        </r>
      </text>
    </comment>
    <comment ref="U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24年3月份发放</t>
        </r>
      </text>
    </comment>
    <comment ref="W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24年4月份发放</t>
        </r>
      </text>
    </comment>
    <comment ref="Y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24年5月份发放</t>
        </r>
      </text>
    </comment>
    <comment ref="A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24年6月份发放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23年4月份发放
</t>
        </r>
      </text>
    </comment>
    <comment ref="G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23年5月份发放
</t>
        </r>
      </text>
    </comment>
    <comment ref="I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23年7月份发放
</t>
        </r>
      </text>
    </comment>
    <comment ref="K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22年8月份发放</t>
        </r>
      </text>
    </comment>
    <comment ref="M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9月份发放</t>
        </r>
      </text>
    </comment>
    <comment ref="O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25年5月份发放
</t>
        </r>
      </text>
    </comment>
    <comment ref="Q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11月份发放</t>
        </r>
      </text>
    </comment>
    <comment ref="S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12月份发放</t>
        </r>
      </text>
    </comment>
    <comment ref="U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24年1月份发放</t>
        </r>
      </text>
    </comment>
    <comment ref="W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24年2月份发放</t>
        </r>
      </text>
    </comment>
    <comment ref="Y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24年3月份发放</t>
        </r>
      </text>
    </comment>
    <comment ref="A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2024年8月份发放
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23年4月份发放
</t>
        </r>
      </text>
    </comment>
    <comment ref="G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23年5月份发放
</t>
        </r>
      </text>
    </comment>
    <comment ref="I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23年7月份发放</t>
        </r>
      </text>
    </comment>
    <comment ref="K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22年8月份发放
</t>
        </r>
      </text>
    </comment>
    <comment ref="M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9月份发放</t>
        </r>
      </text>
    </comment>
    <comment ref="O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10月份发放
</t>
        </r>
      </text>
    </comment>
    <comment ref="Q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11月份发放</t>
        </r>
      </text>
    </comment>
    <comment ref="S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12月份发放</t>
        </r>
      </text>
    </comment>
    <comment ref="U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24年1月份发放</t>
        </r>
      </text>
    </comment>
    <comment ref="W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24年2月份发放
</t>
        </r>
      </text>
    </comment>
    <comment ref="Y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24年3月份发放
</t>
        </r>
      </text>
    </comment>
    <comment ref="AA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24年4月份发放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24年7月份发放</t>
        </r>
      </text>
    </commen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24年7月份发放</t>
        </r>
      </text>
    </commen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24年7月份发放
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2024年8月份发放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24年9月份发放
</t>
        </r>
      </text>
    </comment>
    <comment ref="O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24年10月份发放</t>
        </r>
      </text>
    </comment>
    <comment ref="P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</t>
        </r>
      </text>
    </comment>
    <comment ref="R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24年11月份发放
</t>
        </r>
      </text>
    </comment>
    <comment ref="S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U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25年5月份发放
</t>
        </r>
      </text>
    </comment>
    <comment ref="V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X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
</t>
        </r>
      </text>
    </comment>
    <comment ref="Y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A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
</t>
        </r>
      </text>
    </comment>
    <comment ref="A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D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25年7月份发放
</t>
        </r>
      </text>
    </comment>
    <comment ref="AE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25年7月份发放
</t>
        </r>
      </text>
    </comment>
    <comment ref="A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24年7月份发放
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2024年8月份发放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24年9月份发放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24年10月份发放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24年11月份发放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25年5月份发放
</t>
        </r>
      </text>
    </comment>
    <comment ref="P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2025年10月份确认
￥-663.14
</t>
        </r>
      </text>
    </comment>
    <comment ref="R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</t>
        </r>
      </text>
    </comment>
    <comment ref="S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2025年10月份确认
￥-1932.67</t>
        </r>
      </text>
    </comment>
    <comment ref="U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
</t>
        </r>
      </text>
    </comment>
    <comment ref="V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X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25年7月份发放</t>
        </r>
      </text>
    </comment>
    <comment ref="Y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25年7月份发放
</t>
        </r>
      </text>
    </comment>
    <comment ref="A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</t>
        </r>
      </text>
    </comment>
    <comment ref="A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</t>
        </r>
      </text>
    </comment>
    <comment ref="A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24年5月份发放
</t>
        </r>
      </text>
    </comment>
    <comment ref="G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24年6月份发放</t>
        </r>
      </text>
    </comment>
    <comment ref="I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2024年7月份发放
</t>
        </r>
      </text>
    </comment>
    <comment ref="K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2024年8月份发放
</t>
        </r>
      </text>
    </comment>
    <comment ref="M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24年9月份发放
</t>
        </r>
      </text>
    </comment>
    <comment ref="O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24年10月份发放
</t>
        </r>
      </text>
    </comment>
    <comment ref="P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R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24年11月份发放
</t>
        </r>
      </text>
    </comment>
    <comment ref="S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U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25年5月份发放</t>
        </r>
      </text>
    </comment>
    <comment ref="V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X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
</t>
        </r>
      </text>
    </comment>
    <comment ref="Y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A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
</t>
        </r>
      </text>
    </comment>
    <comment ref="A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D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25年7月份发放
</t>
        </r>
      </text>
    </comment>
    <comment ref="A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G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25年7月份发放
</t>
        </r>
      </text>
    </comment>
    <comment ref="AH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2025年10月份确认
￥-1967.02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24年5月份发放</t>
        </r>
      </text>
    </comment>
    <comment ref="G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24年6月份发放</t>
        </r>
      </text>
    </comment>
    <comment ref="I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2024年7月份发放</t>
        </r>
      </text>
    </comment>
    <comment ref="K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24年10月份发放</t>
        </r>
      </text>
    </comment>
    <comment ref="M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25年5月份发放</t>
        </r>
      </text>
    </comment>
    <comment ref="O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24年10月份发放朱小飞收
</t>
        </r>
      </text>
    </comment>
    <comment ref="P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R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24年11月份发放朱小飞收</t>
        </r>
      </text>
    </comment>
    <comment ref="S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U8" authorId="0">
      <text>
        <r>
          <rPr>
            <sz val="9"/>
            <rFont val="宋体"/>
            <charset val="134"/>
          </rPr>
          <t xml:space="preserve">
25年5月份发放朱小飞收
</t>
        </r>
      </text>
    </comment>
    <comment ref="V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X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25年6月份发放朱小飞收
</t>
        </r>
      </text>
    </comment>
    <comment ref="Y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A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25年6月份发放朱小飞收
</t>
        </r>
      </text>
    </comment>
    <comment ref="A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D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25年7月份发放
</t>
        </r>
      </text>
    </comment>
    <comment ref="A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AG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25年6月份发放三凤收</t>
        </r>
      </text>
    </comment>
    <comment ref="A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2025年10月份发放
</t>
        </r>
      </text>
    </comment>
    <comment ref="V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10月份发放</t>
        </r>
      </text>
    </comment>
    <comment ref="Y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</t>
        </r>
      </text>
    </comment>
    <comment ref="A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
</t>
        </r>
      </text>
    </comment>
    <comment ref="AE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
</t>
        </r>
      </text>
    </comment>
    <comment ref="AH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提成1千，实发517
(从24年12月份开始扣，分12个月扣)
造粒机维修+物流费￥21208+单证申报导致
损失￥1976；合计￥23184.00/12=1932/月
每人每月扣483元</t>
        </r>
      </text>
    </comment>
    <comment ref="V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10月份发放
</t>
        </r>
      </text>
    </comment>
    <comment ref="Y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</t>
        </r>
      </text>
    </comment>
    <comment ref="AB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
</t>
        </r>
      </text>
    </comment>
    <comment ref="AE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
</t>
        </r>
      </text>
    </comment>
    <comment ref="AH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提成1千，实发517
(从24年12月份开始扣，分12个月扣)
造粒机维修+物流费￥21208+单证申报导致
损失￥1976；合计￥23184.00/12=1932/月
每人每月扣483元</t>
        </r>
      </text>
    </comment>
    <comment ref="V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10月份发放
</t>
        </r>
      </text>
    </comment>
    <comment ref="Y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</t>
        </r>
      </text>
    </comment>
    <comment ref="AB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
</t>
        </r>
      </text>
    </comment>
    <comment ref="AE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
</t>
        </r>
      </text>
    </comment>
    <comment ref="AH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提成1千，实发517
(从24年12月份开始扣，分12个月扣)
造粒机维修+物流费￥21208+单证申报导致
损失￥1976；合计￥23184.00/12=1932/月
每人每月扣483元</t>
        </r>
      </text>
    </comment>
    <comment ref="Y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</t>
        </r>
      </text>
    </comment>
    <comment ref="A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25年1月份发放
</t>
        </r>
      </text>
    </comment>
    <comment ref="AH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提成1千，实发517
(从24年12月份开始扣，分12个月扣)
造粒机维修+物流费￥21208+单证申报导致
损失￥1976；合计￥23184.00/12=1932/月
每人每月扣483元</t>
        </r>
      </text>
    </comment>
    <comment ref="AH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提成：￥-4046.61</t>
        </r>
      </text>
    </comment>
    <comment ref="J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4月份跟5月份10天一起结算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</t>
        </r>
      </text>
    </comment>
    <comment ref="N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25年10月份发放
</t>
        </r>
      </text>
    </comment>
    <comment ref="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25年10月份发放
</t>
        </r>
      </text>
    </comment>
    <comment ref="W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25年11月份发放</t>
        </r>
      </text>
    </comment>
    <comment ref="Z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</t>
        </r>
      </text>
    </comment>
    <comment ref="AC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</t>
        </r>
      </text>
    </comment>
    <comment ref="A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26年1月份发放</t>
        </r>
      </text>
    </comment>
    <comment ref="A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26年2月份发放</t>
        </r>
      </text>
    </comment>
    <comment ref="A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26年3月份发放</t>
        </r>
      </text>
    </comment>
    <comment ref="E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</t>
        </r>
      </text>
    </comment>
    <comment ref="H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</t>
        </r>
      </text>
    </comment>
    <comment ref="K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25年10月份发放
</t>
        </r>
      </text>
    </comment>
    <comment ref="N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25年11月份发放</t>
        </r>
      </text>
    </comment>
    <comment ref="Q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25年11月份发放</t>
        </r>
      </text>
    </comment>
    <comment ref="T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</t>
        </r>
      </text>
    </comment>
    <comment ref="W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
</t>
        </r>
      </text>
    </comment>
    <comment ref="Z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26年1月份发放</t>
        </r>
      </text>
    </comment>
    <comment ref="AC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26年3月份发放</t>
        </r>
      </text>
    </comment>
    <comment ref="AF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26年3月份发放</t>
        </r>
      </text>
    </comment>
    <comment ref="E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25年6月份发放
</t>
        </r>
      </text>
    </comment>
    <comment ref="H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2月份（-35.62）</t>
        </r>
      </text>
    </comment>
    <comment ref="K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25年7月份发放</t>
        </r>
      </text>
    </comment>
    <comment ref="N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</t>
        </r>
      </text>
    </comment>
    <comment ref="Q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</t>
        </r>
      </text>
    </comment>
    <comment ref="T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</t>
        </r>
      </text>
    </comment>
    <comment ref="W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25年10月份发放</t>
        </r>
      </text>
    </comment>
    <comment ref="Z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
</t>
        </r>
      </text>
    </comment>
    <comment ref="AC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</t>
        </r>
      </text>
    </comment>
    <comment ref="AF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26年1月份发放
</t>
        </r>
      </text>
    </comment>
    <comment ref="AI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26年2月份发放
</t>
        </r>
      </text>
    </comment>
    <comment ref="AL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26年3月份发放</t>
        </r>
      </text>
    </comment>
    <comment ref="E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</t>
        </r>
      </text>
    </comment>
    <comment ref="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</t>
        </r>
      </text>
    </comment>
    <comment ref="K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</t>
        </r>
      </text>
    </comment>
    <comment ref="N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</t>
        </r>
      </text>
    </comment>
    <comment ref="Q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25年10月份发放
</t>
        </r>
      </text>
    </comment>
    <comment ref="Z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</t>
        </r>
      </text>
    </comment>
    <comment ref="AC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</t>
        </r>
      </text>
    </comment>
    <comment ref="AF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26年1月份发放</t>
        </r>
      </text>
    </comment>
    <comment ref="AI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26年2月份发放
</t>
        </r>
      </text>
    </comment>
    <comment ref="AL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26年3月份发放
</t>
        </r>
      </text>
    </comment>
    <comment ref="AF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26年1月份发放
</t>
        </r>
      </text>
    </comment>
    <comment ref="AI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26年2月份发放
</t>
        </r>
      </text>
    </comment>
    <comment ref="AL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26年3月份发放
</t>
        </r>
      </text>
    </comment>
    <comment ref="AL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26年3月份发放
</t>
        </r>
      </text>
    </comment>
    <comment ref="F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提成1950-483=实发1467
(从24年12月份开始扣，分12个月扣)
造粒机维修+物流费￥21208+单证申报导致
损失￥1976；合计￥23184.00/12=1932/月
每人每月扣483元</t>
        </r>
      </text>
    </comment>
    <comment ref="L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提成￥1600-483=实发1117
(从24年12月份开始扣，分12个月扣)
造粒机维修+物流费￥21208+单证申报导致
损失￥1976；合计￥23184.00/12=1932/月
每人每月扣483元
</t>
        </r>
      </text>
    </comment>
    <comment ref="O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提成￥2300-483=实发1817
(从24年12月份开始扣，分12个月扣)
造粒机维修+物流费￥21208+单证申报导致
损失￥1976；合计￥23184.00/12=1932/月
每人每月扣483元</t>
        </r>
      </text>
    </comment>
    <comment ref="R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提成￥950-483=实发￥467
(从24年12月份开始扣，分12个月扣)
造粒机维修+物流费￥21208+单证申报导致
损失￥1976；合计￥23184.00/12=1932/月
扣483/人</t>
        </r>
      </text>
    </comment>
    <comment ref="U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提成￥1550-483=实发￥1067
(从24年12月份开始扣，分12个月扣)
造粒机维修+物流费￥21208+单证申报导致
损失￥1976；合计￥23184.00/12=1932/月
扣483/人</t>
        </r>
      </text>
    </comment>
    <comment ref="X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提成￥1050-483=实发￥567
(从24年12月份开始扣，分12个月扣)
造粒机维修+物流费￥21208+单证申报导致
损失￥1976；合计￥23184.00/12=1932/月
扣483/人</t>
        </r>
      </text>
    </comment>
    <comment ref="AA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25年10月份发放
提成￥1120-483=实发￥637
(从24年12月份开始扣，分12个月扣)
造粒机维修+物流费￥21208+单证申报导致
损失￥1976；合计￥23184.00/12=1932/月
扣483/人
</t>
        </r>
      </text>
    </comment>
    <comment ref="AD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25年11月份发放
提成￥2225-483=实发￥1742
(从24年12月份开始扣，分12个月扣)
造粒机维修+物流费￥21208+单证申报导致
损失￥1976；合计￥23184.00/12=1932/月
扣483/人
</t>
        </r>
      </text>
    </comment>
    <comment ref="AG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
提成￥1850-483=实发￥1367
(从24年12月份开始扣，分12个月扣)
造粒机维修+物流费￥21208+单证申报导致
损失￥1976；合计￥23184.00/12=1932/月
扣483/人
</t>
        </r>
      </text>
    </comment>
    <comment ref="AJ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26年1月份发放
提成￥1250-966（扣2月份跟11月份）=实发￥284
(从24年12月份开始扣，分12个月扣)
造粒机维修+物流费￥21208+单证申报导致
损失￥1976；合计￥23184.00/12=1932/月
扣483/人</t>
        </r>
      </text>
    </comment>
    <comment ref="AM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2026年1月份发放</t>
        </r>
      </text>
    </comment>
    <comment ref="F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提成1950-483=实发1467
(从24年12月份开始扣，分12个月扣)
造粒机维修+物流费￥21208+单证申报导致
损失￥1976；合计￥23184.00/12=1932/月
每人每月扣483元</t>
        </r>
      </text>
    </comment>
    <comment ref="L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提成￥1600-483=实发1117
(从24年12月份开始扣，分12个月扣)
造粒机维修+物流费￥21208+单证申报导致
损失￥1976；合计￥23184.00/12=1932/月
每人每月扣483元
</t>
        </r>
      </text>
    </comment>
    <comment ref="O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提成￥2300-483=实发1817
(从24年12月份开始扣，分12个月扣)
造粒机维修+物流费￥21208+单证申报导致
损失￥1976；合计￥23184.00/12=1932/月
每人每月扣483元</t>
        </r>
      </text>
    </comment>
    <comment ref="R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提成￥950-483=实发￥467
(从24年12月份开始扣，分12个月扣)
造粒机维修+物流费￥21208+单证申报导致
损失￥1976；合计￥23184.00/12=1932/月
扣483/人</t>
        </r>
      </text>
    </comment>
    <comment ref="U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提成￥1550-483=实发￥1067
(从24年12月份开始扣，分12个月扣)
造粒机维修+物流费￥21208+单证申报导致
损失￥1976；合计￥23184.00/12=1932/月
扣483/人</t>
        </r>
      </text>
    </comment>
    <comment ref="X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提成￥1050-483=实发￥567
(从24年12月份开始扣，分12个月扣)
造粒机维修+物流费￥21208+单证申报导致
损失￥1976；合计￥23184.00/12=1932/月
扣483/人</t>
        </r>
      </text>
    </comment>
    <comment ref="AA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25年10月份发放
提成￥1120-483=实发￥637
(从24年12月份开始扣，分12个月扣)
造粒机维修+物流费￥21208+单证申报导致
损失￥1976；合计￥23184.00/12=1932/月
扣483/人
</t>
        </r>
      </text>
    </comment>
    <comment ref="AD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25年11月份发放
提成￥2225-483=实发￥1742
(从24年12月份开始扣，分12个月扣)
造粒机维修+物流费￥21208+单证申报导致
损失￥1976；合计￥23184.00/12=1932/月
扣483/人
</t>
        </r>
      </text>
    </comment>
    <comment ref="AG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
提成￥1850-483=实发￥1367
(从24年12月份开始扣，分12个月扣)
造粒机维修+物流费￥21208+单证申报导致
损失￥1976；合计￥23184.00/12=1932/月
扣483/人
</t>
        </r>
      </text>
    </comment>
    <comment ref="AJ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26年1月份发放
提成￥1250-966（扣2月份跟11月份）=实发￥284
(从24年12月份开始扣，分12个月扣)
造粒机维修+物流费￥21208+单证申报导致
损失￥1976；合计￥23184.00/12=1932/月
扣483/人</t>
        </r>
      </text>
    </comment>
    <comment ref="AM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2026年1月份发放</t>
        </r>
      </text>
    </comment>
    <comment ref="F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提成1950-483=实发1467
(从24年12月份开始扣，分12个月扣)
造粒机维修+物流费￥21208+单证申报导致
损失￥1976；合计￥23184.00/12=1932/月
每人每月扣483元</t>
        </r>
      </text>
    </comment>
    <comment ref="L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提成￥1600-483=实发1117
(从24年12月份开始扣，分12个月扣)
造粒机维修+物流费￥21208+单证申报导致
损失￥1976；合计￥23184.00/12=1932/月
每人每月扣483元
</t>
        </r>
      </text>
    </comment>
    <comment ref="O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提成￥2300-483=实发1817
(从24年12月份开始扣，分12个月扣)
造粒机维修+物流费￥21208+单证申报导致
损失￥1976；合计￥23184.00/12=1932/月
每人每月扣483元</t>
        </r>
      </text>
    </comment>
    <comment ref="R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提成￥950-483=实发￥467
(从24年12月份开始扣，分12个月扣)
造粒机维修+物流费￥21208+单证申报导致
损失￥1976；合计￥23184.00/12=1932/月
扣483/人</t>
        </r>
      </text>
    </comment>
    <comment ref="U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提成￥1550-483=实发￥1067
(从24年12月份开始扣，分12个月扣)
造粒机维修+物流费￥21208+单证申报导致
损失￥1976；合计￥23184.00/12=1932/月
扣483/人</t>
        </r>
      </text>
    </comment>
    <comment ref="X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提成￥1050-483=实发￥567
(从24年12月份开始扣，分12个月扣)
造粒机维修+物流费￥21208+单证申报导致
损失￥1976；合计￥23184.00/12=1932/月
扣483/人</t>
        </r>
      </text>
    </comment>
    <comment ref="AA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25年10月份发放
提成￥1120-483=实发￥637
(从24年12月份开始扣，分12个月扣)
造粒机维修+物流费￥21208+单证申报导致
损失￥1976；合计￥23184.00/12=1932/月
扣483/人
</t>
        </r>
      </text>
    </comment>
    <comment ref="AD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25年11月份发放
提成￥2225-483=实发￥1742
(从24年12月份开始扣，分12个月扣)
造粒机维修+物流费￥21208+单证申报导致
损失￥1976；合计￥23184.00/12=1932/月
扣483/人
</t>
        </r>
      </text>
    </comment>
    <comment ref="AG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
提成￥1850-483=实发￥1367
(从24年12月份开始扣，分12个月扣)
造粒机维修+物流费￥21208+单证申报导致
损失￥1976；合计￥23184.00/12=1932/月
扣483/人
</t>
        </r>
      </text>
    </comment>
    <comment ref="AJ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26年1月份发放
提成￥1250-966（扣2月份跟11月份）=实发￥284
(从24年12月份开始扣，分12个月扣)
造粒机维修+物流费￥21208+单证申报导致
损失￥1976；合计￥23184.00/12=1932/月
扣483/人</t>
        </r>
      </text>
    </comment>
    <comment ref="AM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2026年1月份发放</t>
        </r>
      </text>
    </comment>
    <comment ref="F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提成1950-483=实发1467
(从24年12月份开始扣，分12个月扣)
造粒机维修+物流费￥21208+单证申报导致
损失￥1976；合计￥23184.00/12=1932/月
每人每月扣483元</t>
        </r>
      </text>
    </comment>
    <comment ref="L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提成￥1600-483=实发1117
(从24年12月份开始扣，分12个月扣)
造粒机维修+物流费￥21208+单证申报导致
损失￥1976；合计￥23184.00/12=1932/月
每人每月扣483元
</t>
        </r>
      </text>
    </comment>
    <comment ref="O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25年8月份发放
提成￥2300-483=实发1817
(从24年12月份开始扣，分12个月扣)
造粒机维修+物流费￥21208+单证申报导致
损失￥1976；合计￥23184.00/12=1932/月
每人每月扣483元</t>
        </r>
      </text>
    </comment>
    <comment ref="R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提成￥950-483=实发￥467
(从24年12月份开始扣，分12个月扣)
造粒机维修+物流费￥21208+单证申报导致
损失￥1976；合计￥23184.00/12=1932/月
扣483/人</t>
        </r>
      </text>
    </comment>
    <comment ref="U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提成￥1550-483=实发￥1067
(从24年12月份开始扣，分12个月扣)
造粒机维修+物流费￥21208+单证申报导致
损失￥1976；合计￥23184.00/12=1932/月
扣483/人</t>
        </r>
      </text>
    </comment>
    <comment ref="X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25年9月份发放
提成￥1050-483=实发￥567
(从24年12月份开始扣，分12个月扣)
造粒机维修+物流费￥21208+单证申报导致
损失￥1976；合计￥23184.00/12=1932/月
扣483/人</t>
        </r>
      </text>
    </comment>
    <comment ref="AA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25年10月份发放
提成￥1120-483=实发￥637
(从24年12月份开始扣，分12个月扣)
造粒机维修+物流费￥21208+单证申报导致
损失￥1976；合计￥23184.00/12=1932/月
扣483/人
</t>
        </r>
      </text>
    </comment>
    <comment ref="AD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25年11月份发放
提成￥2225-483=实发￥1742
(从24年12月份开始扣，分12个月扣)
造粒机维修+物流费￥21208+单证申报导致
损失￥1976；合计￥23184.00/12=1932/月
扣483/人
</t>
        </r>
      </text>
    </comment>
    <comment ref="AG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25年12月份发放
提成￥1850-483=实发￥1367
(从24年12月份开始扣，分12个月扣)
造粒机维修+物流费￥21208+单证申报导致
损失￥1976；合计￥23184.00/12=1932/月
扣483/人
</t>
        </r>
      </text>
    </comment>
    <comment ref="AJ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26年1月份发放
提成￥1250-966（扣2月份跟11月份）=实发￥284
(从24年12月份开始扣，分12个月扣)
造粒机维修+物流费￥21208+单证申报导致
损失￥1976；合计￥23184.00/12=1932/月
扣483/人</t>
        </r>
      </text>
    </comment>
    <comment ref="AM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2026年1月份发放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F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26年2月份发放</t>
        </r>
      </text>
    </comment>
    <comment ref="F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26年2月份发放</t>
        </r>
      </text>
    </comment>
    <comment ref="F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26年2月份发放</t>
        </r>
      </text>
    </comment>
    <comment ref="F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26年2月份发放</t>
        </r>
      </text>
    </comment>
  </commentList>
</comments>
</file>

<file path=xl/sharedStrings.xml><?xml version="1.0" encoding="utf-8"?>
<sst xmlns="http://schemas.openxmlformats.org/spreadsheetml/2006/main" count="590" uniqueCount="95">
  <si>
    <t>2021年喵喵员工平均工资排行表</t>
  </si>
  <si>
    <t>序号</t>
  </si>
  <si>
    <t>职工姓名</t>
  </si>
  <si>
    <t>职务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</si>
  <si>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</si>
  <si>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</si>
  <si>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</si>
  <si>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</si>
  <si>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</si>
  <si>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</si>
  <si>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</si>
  <si>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</si>
  <si>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</si>
  <si>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10月份</t>
  </si>
  <si>
    <t>11月份</t>
  </si>
  <si>
    <t>12月份</t>
  </si>
  <si>
    <t>公司部分
社保费
（年）</t>
  </si>
  <si>
    <t>年终奖</t>
  </si>
  <si>
    <t>合计金额</t>
  </si>
  <si>
    <t>共月份</t>
  </si>
  <si>
    <t>平均每月工资</t>
  </si>
  <si>
    <t>一年内共</t>
  </si>
  <si>
    <t>工资</t>
  </si>
  <si>
    <t>提成</t>
  </si>
  <si>
    <t>请假</t>
  </si>
  <si>
    <t>迟到</t>
  </si>
  <si>
    <t>黄  颖</t>
  </si>
  <si>
    <t>推 广</t>
  </si>
  <si>
    <t>陈三凤</t>
  </si>
  <si>
    <t>吕沛霖</t>
  </si>
  <si>
    <t>罗泳华</t>
  </si>
  <si>
    <t>经理</t>
  </si>
  <si>
    <t>朱小飞</t>
  </si>
  <si>
    <t>罗伟健</t>
  </si>
  <si>
    <t>仓管</t>
  </si>
  <si>
    <t>罗 敏</t>
  </si>
  <si>
    <t>客服</t>
  </si>
  <si>
    <t>马建华</t>
  </si>
  <si>
    <t>仓管员</t>
  </si>
  <si>
    <t>罗月梅</t>
  </si>
  <si>
    <t>财 务</t>
  </si>
  <si>
    <t>张海峰</t>
  </si>
  <si>
    <t>刘建华</t>
  </si>
  <si>
    <t>浦海森</t>
  </si>
  <si>
    <t>总经理</t>
  </si>
  <si>
    <t>刘劭勇</t>
  </si>
  <si>
    <t>出纳</t>
  </si>
  <si>
    <t>陈泳筠</t>
  </si>
  <si>
    <t>吴润斌</t>
  </si>
  <si>
    <t>谢文杰</t>
  </si>
  <si>
    <t>韦德方</t>
  </si>
  <si>
    <t>合   计</t>
  </si>
  <si>
    <t>工资合计</t>
  </si>
  <si>
    <t>业务员提成合计</t>
  </si>
  <si>
    <t>仓库提成合计</t>
  </si>
  <si>
    <t>2022年喵喵员工平均工资排行表</t>
  </si>
  <si>
    <t>序
号</t>
  </si>
  <si>
    <t>陈玉川</t>
  </si>
  <si>
    <t>李 豪</t>
  </si>
  <si>
    <t>庞华华</t>
  </si>
  <si>
    <t>罗银涛</t>
  </si>
  <si>
    <t>何怡婷</t>
  </si>
  <si>
    <t>2023年喵喵员工平均工资排行表</t>
  </si>
  <si>
    <t>推广部
经理</t>
  </si>
  <si>
    <t>刘成浪</t>
  </si>
  <si>
    <t>巫坤炎</t>
  </si>
  <si>
    <t>吴敏琪</t>
  </si>
  <si>
    <t>黄智林</t>
  </si>
  <si>
    <t>谭小瑜</t>
  </si>
  <si>
    <t>2024年喵喵员工平均工资排行表</t>
  </si>
  <si>
    <t>平均每月工资/人</t>
  </si>
  <si>
    <t>空运提成</t>
  </si>
  <si>
    <t>海运提成</t>
  </si>
  <si>
    <t>海运仓</t>
  </si>
  <si>
    <t>林志军</t>
  </si>
  <si>
    <t>莫祖勇</t>
  </si>
  <si>
    <t>罗珮文</t>
  </si>
  <si>
    <t>总经理
助理</t>
  </si>
  <si>
    <t>陆梓龙</t>
  </si>
  <si>
    <t>业务员</t>
  </si>
  <si>
    <t>苏慧琪</t>
  </si>
  <si>
    <t>黎彬民</t>
  </si>
  <si>
    <t>欧福深</t>
  </si>
  <si>
    <t>曾国清</t>
  </si>
  <si>
    <t>江经辉</t>
  </si>
  <si>
    <t>曾永平</t>
  </si>
  <si>
    <t>陈文俊</t>
  </si>
  <si>
    <t>王梦巧</t>
  </si>
  <si>
    <t>推广</t>
  </si>
  <si>
    <t>空运仓提成合计</t>
  </si>
  <si>
    <t>海运仓提成合计</t>
  </si>
  <si>
    <t>2025年喵喵员工平均工资排行表</t>
  </si>
  <si>
    <t>李明霞</t>
  </si>
  <si>
    <t>李小蓝</t>
  </si>
  <si>
    <t>2026年喵喵员工平均工资排行表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</si>
</sst>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#&quot;天&quot;"/>
    <numFmt numFmtId="178" formatCode="#&quot;分&quot;&quot;钟&quot;"/>
    <numFmt numFmtId="179" formatCode="#.0&quot;天&quot;"/>
    <numFmt numFmtId="180" formatCode="0##.0&quot;天&quot;"/>
    <numFmt numFmtId="181" formatCode="&quot;￥&quot;#,##0.00000_);[Red]\(&quot;￥&quot;#,##0.00000\)"/>
    <numFmt numFmtId="182" formatCode="##.0&quot;天&quot;"/>
  </numFmts>
  <fonts count="4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9"/>
      <name val="微软雅黑"/>
      <charset val="134"/>
    </font>
    <font>
      <sz val="11"/>
      <name val="宋体"/>
      <charset val="134"/>
    </font>
    <font>
      <sz val="8"/>
      <name val="宋体"/>
      <charset val="134"/>
    </font>
    <font>
      <b/>
      <sz val="16"/>
      <name val="宋体"/>
      <charset val="134"/>
    </font>
    <font>
      <sz val="11"/>
      <color rgb="FFFF0000"/>
      <name val="宋体"/>
      <charset val="134"/>
    </font>
    <font>
      <sz val="8"/>
      <name val="微软雅黑"/>
      <charset val="134"/>
    </font>
    <font>
      <sz val="8"/>
      <color rgb="FFFF0000"/>
      <name val="微软雅黑"/>
      <charset val="134"/>
    </font>
    <font>
      <sz val="10"/>
      <name val="微软雅黑"/>
      <charset val="134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name val="宋体"/>
      <charset val="134"/>
    </font>
    <font>
      <b/>
      <sz val="10"/>
      <name val="宋体"/>
      <charset val="134"/>
    </font>
    <font>
      <sz val="9"/>
      <color theme="5" tint="-0.25"/>
      <name val="微软雅黑"/>
      <charset val="134"/>
    </font>
    <font>
      <sz val="10"/>
      <color rgb="FFFF0000"/>
      <name val="宋体"/>
      <charset val="134"/>
    </font>
    <font>
      <sz val="9"/>
      <color rgb="FFFF0000"/>
      <name val="微软雅黑"/>
      <charset val="134"/>
    </font>
    <font>
      <sz val="8"/>
      <color theme="1"/>
      <name val="微软雅黑"/>
      <charset val="134"/>
    </font>
    <font>
      <sz val="9"/>
      <color theme="5" tint="-0.25"/>
      <name val="宋体"/>
      <charset val="134"/>
    </font>
    <font>
      <sz val="9"/>
      <color rgb="FFFF0000"/>
      <name val="宋体"/>
      <charset val="134"/>
    </font>
    <font>
      <sz val="9"/>
      <color theme="1"/>
      <name val="宋体"/>
      <charset val="134"/>
      <scheme val="major"/>
    </font>
    <font>
      <sz val="8"/>
      <color theme="1"/>
      <name val="宋体"/>
      <charset val="134"/>
      <scheme val="minor"/>
    </font>
    <font>
      <sz val="10"/>
      <color theme="5" tint="-0.25"/>
      <name val="宋体"/>
      <charset val="134"/>
      <scheme val="minor"/>
    </font>
    <font>
      <sz val="9"/>
      <color theme="5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11" applyNumberFormat="0" applyAlignment="0" applyProtection="0">
      <alignment vertical="center"/>
    </xf>
    <xf numFmtId="0" fontId="34" fillId="13" borderId="12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14" borderId="13" applyNumberFormat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1" fillId="0" borderId="0"/>
  </cellStyleXfs>
  <cellXfs count="17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1" fillId="2" borderId="0" xfId="0" applyFont="1" applyFill="1" applyAlignment="1"/>
    <xf numFmtId="0" fontId="5" fillId="2" borderId="0" xfId="0" applyFont="1" applyFill="1" applyAlignment="1">
      <alignment horizontal="center" vertical="center"/>
    </xf>
    <xf numFmtId="7" fontId="1" fillId="2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6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7" fontId="6" fillId="2" borderId="0" xfId="0" applyNumberFormat="1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7" fontId="10" fillId="2" borderId="1" xfId="0" applyNumberFormat="1" applyFont="1" applyFill="1" applyBorder="1" applyAlignment="1">
      <alignment horizontal="center" vertical="center"/>
    </xf>
    <xf numFmtId="7" fontId="10" fillId="2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center" vertical="center"/>
    </xf>
    <xf numFmtId="176" fontId="9" fillId="7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7" fontId="10" fillId="7" borderId="2" xfId="0" applyNumberFormat="1" applyFont="1" applyFill="1" applyBorder="1" applyAlignment="1">
      <alignment horizontal="center" vertical="center"/>
    </xf>
    <xf numFmtId="0" fontId="8" fillId="6" borderId="1" xfId="49" applyFont="1" applyFill="1" applyBorder="1" applyAlignment="1">
      <alignment horizontal="center" vertical="center"/>
    </xf>
    <xf numFmtId="0" fontId="10" fillId="0" borderId="1" xfId="49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7" fontId="10" fillId="2" borderId="1" xfId="49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2" fillId="0" borderId="2" xfId="0" applyNumberFormat="1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8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176" fontId="2" fillId="2" borderId="1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 vertical="center"/>
    </xf>
    <xf numFmtId="176" fontId="15" fillId="6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12" fillId="2" borderId="1" xfId="0" applyNumberFormat="1" applyFont="1" applyFill="1" applyBorder="1">
      <alignment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1" fillId="0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/>
    <xf numFmtId="0" fontId="3" fillId="0" borderId="1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176" fontId="16" fillId="6" borderId="1" xfId="0" applyNumberFormat="1" applyFont="1" applyFill="1" applyBorder="1" applyAlignment="1">
      <alignment horizontal="center" vertical="center"/>
    </xf>
    <xf numFmtId="176" fontId="14" fillId="7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/>
    <xf numFmtId="176" fontId="4" fillId="0" borderId="0" xfId="0" applyNumberFormat="1" applyFont="1" applyFill="1" applyAlignment="1"/>
    <xf numFmtId="176" fontId="1" fillId="0" borderId="0" xfId="0" applyNumberFormat="1" applyFont="1" applyFill="1" applyAlignment="1"/>
    <xf numFmtId="49" fontId="2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0" xfId="0" applyFont="1" applyFill="1" applyAlignment="1"/>
    <xf numFmtId="176" fontId="17" fillId="2" borderId="1" xfId="0" applyNumberFormat="1" applyFont="1" applyFill="1" applyBorder="1" applyAlignment="1">
      <alignment horizontal="center" vertical="center"/>
    </xf>
    <xf numFmtId="176" fontId="18" fillId="2" borderId="1" xfId="0" applyNumberFormat="1" applyFont="1" applyFill="1" applyBorder="1" applyAlignment="1">
      <alignment horizontal="center" vertical="center"/>
    </xf>
    <xf numFmtId="0" fontId="8" fillId="6" borderId="5" xfId="49" applyFont="1" applyFill="1" applyBorder="1" applyAlignment="1">
      <alignment horizontal="center" vertical="center"/>
    </xf>
    <xf numFmtId="176" fontId="10" fillId="6" borderId="1" xfId="0" applyNumberFormat="1" applyFont="1" applyFill="1" applyBorder="1" applyAlignment="1">
      <alignment horizontal="center" vertical="center"/>
    </xf>
    <xf numFmtId="176" fontId="8" fillId="6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/>
    <xf numFmtId="176" fontId="2" fillId="2" borderId="1" xfId="0" applyNumberFormat="1" applyFont="1" applyFill="1" applyBorder="1" applyAlignment="1">
      <alignment horizontal="center"/>
    </xf>
    <xf numFmtId="176" fontId="5" fillId="0" borderId="0" xfId="0" applyNumberFormat="1" applyFont="1" applyFill="1" applyAlignment="1"/>
    <xf numFmtId="181" fontId="1" fillId="0" borderId="0" xfId="0" applyNumberFormat="1" applyFont="1" applyFill="1" applyAlignment="1"/>
    <xf numFmtId="0" fontId="13" fillId="0" borderId="0" xfId="0" applyFont="1" applyFill="1" applyAlignment="1"/>
    <xf numFmtId="0" fontId="1" fillId="7" borderId="0" xfId="0" applyFont="1" applyFill="1" applyAlignment="1"/>
    <xf numFmtId="0" fontId="4" fillId="7" borderId="0" xfId="0" applyFont="1" applyFill="1" applyAlignment="1"/>
    <xf numFmtId="0" fontId="4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right" vertical="center"/>
    </xf>
    <xf numFmtId="176" fontId="13" fillId="7" borderId="1" xfId="0" applyNumberFormat="1" applyFont="1" applyFill="1" applyBorder="1" applyAlignment="1">
      <alignment horizontal="center" vertical="center"/>
    </xf>
    <xf numFmtId="176" fontId="19" fillId="6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6" fontId="10" fillId="0" borderId="1" xfId="49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/>
    <xf numFmtId="176" fontId="20" fillId="8" borderId="1" xfId="0" applyNumberFormat="1" applyFont="1" applyFill="1" applyBorder="1" applyAlignment="1">
      <alignment horizontal="center" vertical="center"/>
    </xf>
    <xf numFmtId="176" fontId="21" fillId="7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182" fontId="3" fillId="0" borderId="1" xfId="0" applyNumberFormat="1" applyFont="1" applyFill="1" applyBorder="1" applyAlignment="1">
      <alignment horizontal="center" vertical="center"/>
    </xf>
    <xf numFmtId="176" fontId="22" fillId="7" borderId="1" xfId="0" applyNumberFormat="1" applyFont="1" applyFill="1" applyBorder="1" applyAlignment="1">
      <alignment horizontal="center" vertical="center"/>
    </xf>
    <xf numFmtId="176" fontId="23" fillId="6" borderId="7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6" fontId="8" fillId="10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/>
    <xf numFmtId="176" fontId="2" fillId="7" borderId="1" xfId="0" applyNumberFormat="1" applyFont="1" applyFill="1" applyBorder="1" applyAlignment="1">
      <alignment horizontal="center" vertical="center"/>
    </xf>
    <xf numFmtId="176" fontId="14" fillId="2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/>
    <xf numFmtId="176" fontId="2" fillId="7" borderId="0" xfId="0" applyNumberFormat="1" applyFont="1" applyFill="1" applyAlignment="1">
      <alignment horizontal="center" vertical="center"/>
    </xf>
    <xf numFmtId="176" fontId="1" fillId="7" borderId="0" xfId="0" applyNumberFormat="1" applyFont="1" applyFill="1" applyAlignment="1"/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6" fontId="21" fillId="2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6" fontId="24" fillId="6" borderId="7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/>
    <xf numFmtId="176" fontId="13" fillId="4" borderId="1" xfId="0" applyNumberFormat="1" applyFont="1" applyFill="1" applyBorder="1" applyAlignment="1">
      <alignment horizontal="center" vertical="center"/>
    </xf>
    <xf numFmtId="176" fontId="20" fillId="6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/>
    <xf numFmtId="176" fontId="13" fillId="2" borderId="1" xfId="0" applyNumberFormat="1" applyFont="1" applyFill="1" applyBorder="1" applyAlignment="1"/>
    <xf numFmtId="176" fontId="13" fillId="0" borderId="1" xfId="0" applyNumberFormat="1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AI25"/>
  <sheetViews>
    <sheetView workbookViewId="0">
      <pane xSplit="3" ySplit="2" topLeftCell="O3" activePane="bottomRight" state="frozen"/>
      <selection/>
      <selection pane="topRight"/>
      <selection pane="bottomLeft"/>
      <selection pane="bottomRight" activeCell="X10" sqref="X10"/>
    </sheetView>
  </sheetViews>
  <sheetFormatPr defaultColWidth="9" defaultRowHeight="14.25"/>
  <cols>
    <col min="1" max="1" width="4.625" style="1" customWidth="1"/>
    <col min="2" max="2" width="9.5" style="1" customWidth="1"/>
    <col min="3" max="3" width="8.875" style="4" customWidth="1"/>
    <col min="4" max="4" width="12" style="1" customWidth="1"/>
    <col min="5" max="5" width="10.25" style="5" customWidth="1"/>
    <col min="6" max="6" width="12" style="1" customWidth="1"/>
    <col min="7" max="7" width="10.375" style="5" customWidth="1"/>
    <col min="8" max="8" width="10.375" style="1" customWidth="1"/>
    <col min="9" max="9" width="10.375" style="5" customWidth="1"/>
    <col min="10" max="10" width="10.375" style="1" customWidth="1"/>
    <col min="11" max="11" width="10.375" style="5" customWidth="1"/>
    <col min="12" max="12" width="10.375" style="1" customWidth="1"/>
    <col min="13" max="13" width="10.375" style="5" customWidth="1"/>
    <col min="14" max="14" width="12" style="1" customWidth="1"/>
    <col min="15" max="15" width="10.375" style="5" customWidth="1"/>
    <col min="16" max="16" width="10.375" style="1" customWidth="1"/>
    <col min="17" max="17" width="10.375" style="5" customWidth="1"/>
    <col min="18" max="18" width="10.375" style="1" customWidth="1"/>
    <col min="19" max="19" width="10.375" style="5" customWidth="1"/>
    <col min="20" max="20" width="10.375" style="1" customWidth="1"/>
    <col min="21" max="21" width="10.375" style="5" customWidth="1"/>
    <col min="22" max="22" width="10.375" style="1" customWidth="1"/>
    <col min="23" max="23" width="10.375" style="5" customWidth="1"/>
    <col min="24" max="24" width="10.375" style="4" customWidth="1"/>
    <col min="25" max="25" width="10.375" style="12" customWidth="1"/>
    <col min="26" max="26" width="10.375" style="4" customWidth="1"/>
    <col min="27" max="27" width="10.375" style="12" customWidth="1"/>
    <col min="28" max="28" width="11.25" style="4" customWidth="1"/>
    <col min="29" max="29" width="10.375" style="4" customWidth="1"/>
    <col min="30" max="30" width="17" style="4" customWidth="1"/>
    <col min="31" max="31" width="8.625" style="1" customWidth="1"/>
    <col min="32" max="32" width="15.625" style="1" customWidth="1"/>
    <col min="33" max="34" width="9" style="8"/>
    <col min="35" max="16384" width="9" style="1"/>
  </cols>
  <sheetData>
    <row r="1" s="1" customFormat="1" ht="28" customHeight="1" spans="1:3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8"/>
      <c r="AH1" s="8"/>
    </row>
    <row r="2" s="1" customFormat="1" ht="28" customHeight="1" spans="1:34">
      <c r="A2" s="110" t="s">
        <v>1</v>
      </c>
      <c r="B2" s="18" t="s">
        <v>2</v>
      </c>
      <c r="C2" s="18" t="s">
        <v>3</v>
      </c>
      <c r="D2" s="90" t="s">
        <v>4</v>
      </c>
      <c r="E2" s="89"/>
      <c r="F2" s="90" t="s">
        <v>5</v>
      </c>
      <c r="G2" s="89"/>
      <c r="H2" s="90" t="s">
        <v>6</v>
      </c>
      <c r="I2" s="89"/>
      <c r="J2" s="90" t="s">
        <v>7</v>
      </c>
      <c r="K2" s="89"/>
      <c r="L2" s="90" t="s">
        <v>8</v>
      </c>
      <c r="M2" s="89"/>
      <c r="N2" s="90" t="s">
        <v>9</v>
      </c>
      <c r="O2" s="89"/>
      <c r="P2" s="90" t="s">
        <v>10</v>
      </c>
      <c r="Q2" s="89"/>
      <c r="R2" s="90" t="s">
        <v>11</v>
      </c>
      <c r="S2" s="89"/>
      <c r="T2" s="90" t="s">
        <v>12</v>
      </c>
      <c r="U2" s="89"/>
      <c r="V2" s="90" t="s">
        <v>13</v>
      </c>
      <c r="W2" s="89"/>
      <c r="X2" s="90" t="s">
        <v>14</v>
      </c>
      <c r="Y2" s="89"/>
      <c r="Z2" s="90" t="s">
        <v>15</v>
      </c>
      <c r="AA2" s="89"/>
      <c r="AB2" s="22" t="s">
        <v>16</v>
      </c>
      <c r="AC2" s="23" t="s">
        <v>17</v>
      </c>
      <c r="AD2" s="18" t="s">
        <v>18</v>
      </c>
      <c r="AE2" s="25" t="s">
        <v>19</v>
      </c>
      <c r="AF2" s="26" t="s">
        <v>20</v>
      </c>
      <c r="AG2" s="26" t="s">
        <v>21</v>
      </c>
      <c r="AH2" s="26"/>
    </row>
    <row r="3" s="2" customFormat="1" ht="26" customHeight="1" spans="1:34">
      <c r="A3" s="110"/>
      <c r="B3" s="18"/>
      <c r="C3" s="18"/>
      <c r="D3" s="18" t="s">
        <v>22</v>
      </c>
      <c r="E3" s="31" t="s">
        <v>23</v>
      </c>
      <c r="F3" s="18" t="s">
        <v>22</v>
      </c>
      <c r="G3" s="31" t="s">
        <v>23</v>
      </c>
      <c r="H3" s="18" t="s">
        <v>22</v>
      </c>
      <c r="I3" s="31" t="s">
        <v>23</v>
      </c>
      <c r="J3" s="18" t="s">
        <v>22</v>
      </c>
      <c r="K3" s="31" t="s">
        <v>23</v>
      </c>
      <c r="L3" s="18" t="s">
        <v>22</v>
      </c>
      <c r="M3" s="31" t="s">
        <v>23</v>
      </c>
      <c r="N3" s="18" t="s">
        <v>22</v>
      </c>
      <c r="O3" s="31" t="s">
        <v>23</v>
      </c>
      <c r="P3" s="18" t="s">
        <v>22</v>
      </c>
      <c r="Q3" s="31" t="s">
        <v>23</v>
      </c>
      <c r="R3" s="18" t="s">
        <v>22</v>
      </c>
      <c r="S3" s="31" t="s">
        <v>23</v>
      </c>
      <c r="T3" s="18" t="s">
        <v>22</v>
      </c>
      <c r="U3" s="31" t="s">
        <v>23</v>
      </c>
      <c r="V3" s="18" t="s">
        <v>22</v>
      </c>
      <c r="W3" s="31" t="s">
        <v>23</v>
      </c>
      <c r="X3" s="18" t="s">
        <v>22</v>
      </c>
      <c r="Y3" s="31" t="s">
        <v>23</v>
      </c>
      <c r="Z3" s="18" t="s">
        <v>22</v>
      </c>
      <c r="AA3" s="31" t="s">
        <v>23</v>
      </c>
      <c r="AB3" s="32"/>
      <c r="AC3" s="33"/>
      <c r="AD3" s="18"/>
      <c r="AE3" s="34"/>
      <c r="AF3" s="26"/>
      <c r="AG3" s="26" t="s">
        <v>24</v>
      </c>
      <c r="AH3" s="26" t="s">
        <v>25</v>
      </c>
    </row>
    <row r="4" s="1" customFormat="1" ht="23" customHeight="1" spans="1:34">
      <c r="A4" s="160">
        <v>1</v>
      </c>
      <c r="B4" s="53" t="s">
        <v>26</v>
      </c>
      <c r="C4" s="161" t="s">
        <v>27</v>
      </c>
      <c r="D4" s="37">
        <v>4796.81</v>
      </c>
      <c r="E4" s="38">
        <v>11620.1657380437</v>
      </c>
      <c r="F4" s="37">
        <v>4839.72</v>
      </c>
      <c r="G4" s="38">
        <v>2690.51863278854</v>
      </c>
      <c r="H4" s="37">
        <v>5007.5</v>
      </c>
      <c r="I4" s="38">
        <v>17996.6539012071</v>
      </c>
      <c r="J4" s="37">
        <v>4870</v>
      </c>
      <c r="K4" s="38">
        <v>17062.2567414478</v>
      </c>
      <c r="L4" s="37">
        <v>5007.5</v>
      </c>
      <c r="M4" s="38">
        <v>20091.9407576479</v>
      </c>
      <c r="N4" s="37">
        <v>5412.01</v>
      </c>
      <c r="O4" s="71">
        <v>9891.56</v>
      </c>
      <c r="P4" s="87">
        <v>5188.42</v>
      </c>
      <c r="Q4" s="41">
        <v>8823.85564441355</v>
      </c>
      <c r="R4" s="87">
        <v>5480.76</v>
      </c>
      <c r="S4" s="38">
        <v>30566.7882728182</v>
      </c>
      <c r="T4" s="87">
        <v>5446.29</v>
      </c>
      <c r="U4" s="38">
        <v>10586.2728657355</v>
      </c>
      <c r="V4" s="87">
        <v>5496.43</v>
      </c>
      <c r="W4" s="38">
        <v>3952.8918133826</v>
      </c>
      <c r="X4" s="87">
        <v>5462.96</v>
      </c>
      <c r="Y4" s="38">
        <v>7481.37057897794</v>
      </c>
      <c r="Z4" s="87">
        <v>5476.27</v>
      </c>
      <c r="AA4" s="41">
        <v>14444.6430406126</v>
      </c>
      <c r="AB4" s="82">
        <v>12602.02</v>
      </c>
      <c r="AC4" s="116">
        <v>6000</v>
      </c>
      <c r="AD4" s="155">
        <f>SUM(D4:AC4)</f>
        <v>236295.607987075</v>
      </c>
      <c r="AE4" s="162">
        <v>12</v>
      </c>
      <c r="AF4" s="69">
        <f>SUM(AD4/AE4)</f>
        <v>19691.3006655896</v>
      </c>
      <c r="AG4" s="47">
        <v>4</v>
      </c>
      <c r="AH4" s="48">
        <v>665</v>
      </c>
    </row>
    <row r="5" s="1" customFormat="1" ht="23" customHeight="1" spans="1:34">
      <c r="A5" s="160">
        <v>2</v>
      </c>
      <c r="B5" s="57" t="s">
        <v>28</v>
      </c>
      <c r="C5" s="161" t="s">
        <v>27</v>
      </c>
      <c r="D5" s="37">
        <v>4326.12</v>
      </c>
      <c r="E5" s="38">
        <v>6054.64063184271</v>
      </c>
      <c r="F5" s="37">
        <v>4196.63</v>
      </c>
      <c r="G5" s="95">
        <v>2856.44219461138</v>
      </c>
      <c r="H5" s="37">
        <v>4290.64</v>
      </c>
      <c r="I5" s="38">
        <v>9207.13484884504</v>
      </c>
      <c r="J5" s="37">
        <v>4368.06</v>
      </c>
      <c r="K5" s="38">
        <v>6512.14624931778</v>
      </c>
      <c r="L5" s="37">
        <v>4368.06</v>
      </c>
      <c r="M5" s="38">
        <v>6916.43628202819</v>
      </c>
      <c r="N5" s="37">
        <v>4356.39</v>
      </c>
      <c r="O5" s="71">
        <v>974.51946832472</v>
      </c>
      <c r="P5" s="87">
        <v>4264.57</v>
      </c>
      <c r="Q5" s="41">
        <v>2174.58145556114</v>
      </c>
      <c r="R5" s="87">
        <v>4288.78</v>
      </c>
      <c r="S5" s="38">
        <v>10166.7370790535</v>
      </c>
      <c r="T5" s="87">
        <v>4303.56</v>
      </c>
      <c r="U5" s="38">
        <v>15392.0827874708</v>
      </c>
      <c r="V5" s="87">
        <v>4292.36</v>
      </c>
      <c r="W5" s="38">
        <v>8476.16908719056</v>
      </c>
      <c r="X5" s="87">
        <v>4291.93</v>
      </c>
      <c r="Y5" s="38">
        <v>5600.70938920273</v>
      </c>
      <c r="Z5" s="87">
        <v>4266.56</v>
      </c>
      <c r="AA5" s="41">
        <v>9036.23397617321</v>
      </c>
      <c r="AB5" s="82">
        <v>11810.11</v>
      </c>
      <c r="AC5" s="116">
        <v>4800</v>
      </c>
      <c r="AD5" s="155">
        <f t="shared" ref="AD5:AD20" si="0">SUM(D5:AC5)</f>
        <v>151591.603449622</v>
      </c>
      <c r="AE5" s="162">
        <v>12</v>
      </c>
      <c r="AF5" s="69">
        <f t="shared" ref="AF5:AF20" si="1">SUM(AD5/AE5)</f>
        <v>12632.6336208018</v>
      </c>
      <c r="AG5" s="60">
        <v>1.5</v>
      </c>
      <c r="AH5" s="48">
        <v>475</v>
      </c>
    </row>
    <row r="6" s="1" customFormat="1" ht="23" customHeight="1" spans="1:34">
      <c r="A6" s="160">
        <v>3</v>
      </c>
      <c r="B6" s="57" t="s">
        <v>29</v>
      </c>
      <c r="C6" s="161" t="s">
        <v>27</v>
      </c>
      <c r="D6" s="37">
        <v>3307.47</v>
      </c>
      <c r="E6" s="38">
        <v>13876.2640487129</v>
      </c>
      <c r="F6" s="37">
        <v>3616.05</v>
      </c>
      <c r="G6" s="38">
        <v>2449.51617925301</v>
      </c>
      <c r="H6" s="37">
        <v>3863.93</v>
      </c>
      <c r="I6" s="38">
        <v>16525.843165659</v>
      </c>
      <c r="J6" s="37">
        <v>3964.93</v>
      </c>
      <c r="K6" s="38">
        <v>3068.25233918524</v>
      </c>
      <c r="L6" s="37">
        <v>3983.38</v>
      </c>
      <c r="M6" s="38">
        <v>15323.8269105504</v>
      </c>
      <c r="N6" s="37">
        <v>4068.06</v>
      </c>
      <c r="O6" s="71">
        <v>3006.02792215122</v>
      </c>
      <c r="P6" s="87">
        <v>3830.31</v>
      </c>
      <c r="Q6" s="41">
        <v>1948.04971400536</v>
      </c>
      <c r="R6" s="87">
        <v>3671.55</v>
      </c>
      <c r="S6" s="38">
        <v>11102.8798018137</v>
      </c>
      <c r="T6" s="87">
        <v>3667.76</v>
      </c>
      <c r="U6" s="38">
        <v>5098.63829047351</v>
      </c>
      <c r="V6" s="87">
        <v>3908.49</v>
      </c>
      <c r="W6" s="38">
        <v>1559.26433525135</v>
      </c>
      <c r="X6" s="87">
        <v>3989.63</v>
      </c>
      <c r="Y6" s="38">
        <v>5426.22635035418</v>
      </c>
      <c r="Z6" s="87">
        <v>3692.26</v>
      </c>
      <c r="AA6" s="41">
        <v>9065.65121578341</v>
      </c>
      <c r="AB6" s="82">
        <v>11810.11</v>
      </c>
      <c r="AC6" s="116">
        <v>4500</v>
      </c>
      <c r="AD6" s="155">
        <f t="shared" si="0"/>
        <v>150324.370273193</v>
      </c>
      <c r="AE6" s="162">
        <v>12</v>
      </c>
      <c r="AF6" s="69">
        <f t="shared" si="1"/>
        <v>12527.0308560994</v>
      </c>
      <c r="AG6" s="60">
        <v>16.5</v>
      </c>
      <c r="AH6" s="48">
        <v>1320</v>
      </c>
    </row>
    <row r="7" s="1" customFormat="1" ht="23" customHeight="1" spans="1:34">
      <c r="A7" s="160">
        <v>4</v>
      </c>
      <c r="B7" s="40" t="s">
        <v>30</v>
      </c>
      <c r="C7" s="163" t="s">
        <v>31</v>
      </c>
      <c r="D7" s="37">
        <v>9629.89</v>
      </c>
      <c r="E7" s="71"/>
      <c r="F7" s="37">
        <v>9629.89</v>
      </c>
      <c r="G7" s="71"/>
      <c r="H7" s="37">
        <v>9542.92</v>
      </c>
      <c r="I7" s="71"/>
      <c r="J7" s="37">
        <v>9600.9</v>
      </c>
      <c r="K7" s="71"/>
      <c r="L7" s="37">
        <v>9600.9</v>
      </c>
      <c r="M7" s="71"/>
      <c r="N7" s="37">
        <v>9600.9</v>
      </c>
      <c r="O7" s="71"/>
      <c r="P7" s="87">
        <v>9378.14</v>
      </c>
      <c r="Q7" s="164"/>
      <c r="R7" s="87">
        <v>9378.14</v>
      </c>
      <c r="S7" s="164"/>
      <c r="T7" s="87">
        <v>9735.48</v>
      </c>
      <c r="U7" s="164"/>
      <c r="V7" s="87">
        <v>9544.06</v>
      </c>
      <c r="W7" s="164"/>
      <c r="X7" s="87">
        <v>9544.06</v>
      </c>
      <c r="Y7" s="89"/>
      <c r="Z7" s="87">
        <v>9544.06</v>
      </c>
      <c r="AA7" s="89"/>
      <c r="AB7" s="82">
        <v>11810.11</v>
      </c>
      <c r="AC7" s="116">
        <v>11000</v>
      </c>
      <c r="AD7" s="155">
        <f t="shared" si="0"/>
        <v>137539.45</v>
      </c>
      <c r="AE7" s="162">
        <v>12</v>
      </c>
      <c r="AF7" s="69">
        <f t="shared" si="1"/>
        <v>11461.6208333333</v>
      </c>
      <c r="AG7" s="60"/>
      <c r="AH7" s="48"/>
    </row>
    <row r="8" s="1" customFormat="1" ht="23" customHeight="1" spans="1:34">
      <c r="A8" s="160">
        <v>5</v>
      </c>
      <c r="B8" s="162" t="s">
        <v>32</v>
      </c>
      <c r="C8" s="161" t="s">
        <v>27</v>
      </c>
      <c r="D8" s="37">
        <v>3610</v>
      </c>
      <c r="E8" s="71"/>
      <c r="F8" s="37">
        <v>3368.06</v>
      </c>
      <c r="G8" s="71"/>
      <c r="H8" s="37">
        <v>3610</v>
      </c>
      <c r="I8" s="71"/>
      <c r="J8" s="37">
        <v>3668.06</v>
      </c>
      <c r="K8" s="71"/>
      <c r="L8" s="37">
        <v>10145.81</v>
      </c>
      <c r="M8" s="165">
        <v>11954.9792566607</v>
      </c>
      <c r="N8" s="37">
        <v>3668.06</v>
      </c>
      <c r="O8" s="71"/>
      <c r="P8" s="87">
        <v>3471.12</v>
      </c>
      <c r="Q8" s="164"/>
      <c r="R8" s="87">
        <v>3535.56</v>
      </c>
      <c r="S8" s="71">
        <v>1628.17964209529</v>
      </c>
      <c r="T8" s="87">
        <v>3538.59</v>
      </c>
      <c r="U8" s="38">
        <v>1918.99797541259</v>
      </c>
      <c r="V8" s="87">
        <v>3547.2</v>
      </c>
      <c r="W8" s="38">
        <v>122.76709358957</v>
      </c>
      <c r="X8" s="87">
        <v>3538.59</v>
      </c>
      <c r="Y8" s="38">
        <v>24376.0921109655</v>
      </c>
      <c r="Z8" s="87">
        <v>3805.26</v>
      </c>
      <c r="AA8" s="41">
        <v>9558.77052233976</v>
      </c>
      <c r="AB8" s="82">
        <v>11810.11</v>
      </c>
      <c r="AC8" s="116">
        <v>4000</v>
      </c>
      <c r="AD8" s="155">
        <f t="shared" si="0"/>
        <v>114876.206601063</v>
      </c>
      <c r="AE8" s="162">
        <v>12</v>
      </c>
      <c r="AF8" s="69">
        <f t="shared" si="1"/>
        <v>9573.01721675528</v>
      </c>
      <c r="AG8" s="47">
        <v>23</v>
      </c>
      <c r="AH8" s="48"/>
    </row>
    <row r="9" s="1" customFormat="1" ht="23" customHeight="1" spans="1:34">
      <c r="A9" s="160">
        <v>6</v>
      </c>
      <c r="B9" s="40" t="s">
        <v>33</v>
      </c>
      <c r="C9" s="163" t="s">
        <v>34</v>
      </c>
      <c r="D9" s="166">
        <v>5120.4</v>
      </c>
      <c r="E9" s="38">
        <v>1866.81</v>
      </c>
      <c r="F9" s="37">
        <v>5307.5</v>
      </c>
      <c r="G9" s="71"/>
      <c r="H9" s="37">
        <v>5307.5</v>
      </c>
      <c r="I9" s="71">
        <v>2708.63</v>
      </c>
      <c r="J9" s="37">
        <v>5307.5</v>
      </c>
      <c r="K9" s="38">
        <v>2038.86</v>
      </c>
      <c r="L9" s="37">
        <v>5307.5</v>
      </c>
      <c r="M9" s="38">
        <v>5777.74</v>
      </c>
      <c r="N9" s="139">
        <v>5307.5</v>
      </c>
      <c r="O9" s="38">
        <v>2035.8</v>
      </c>
      <c r="P9" s="87">
        <v>5288.82</v>
      </c>
      <c r="Q9" s="41">
        <v>488.130777777778</v>
      </c>
      <c r="R9" s="87">
        <v>5101.72</v>
      </c>
      <c r="S9" s="41">
        <v>1616.078</v>
      </c>
      <c r="T9" s="87">
        <v>5300.46</v>
      </c>
      <c r="U9" s="41">
        <v>929.49</v>
      </c>
      <c r="V9" s="87">
        <v>5206.91</v>
      </c>
      <c r="W9" s="41">
        <v>557.46</v>
      </c>
      <c r="X9" s="87">
        <v>5300.46</v>
      </c>
      <c r="Y9" s="41">
        <v>2626</v>
      </c>
      <c r="Z9" s="87">
        <v>5300.46</v>
      </c>
      <c r="AA9" s="41">
        <v>1617.64</v>
      </c>
      <c r="AB9" s="82">
        <v>12602.02</v>
      </c>
      <c r="AC9" s="116">
        <v>5800</v>
      </c>
      <c r="AD9" s="155">
        <f t="shared" si="0"/>
        <v>103821.388777778</v>
      </c>
      <c r="AE9" s="162">
        <v>12</v>
      </c>
      <c r="AF9" s="69">
        <f t="shared" si="1"/>
        <v>8651.78239814815</v>
      </c>
      <c r="AG9" s="60">
        <v>2.5</v>
      </c>
      <c r="AH9" s="48"/>
    </row>
    <row r="10" s="1" customFormat="1" ht="23" customHeight="1" spans="1:34">
      <c r="A10" s="160">
        <v>7</v>
      </c>
      <c r="B10" s="53" t="s">
        <v>35</v>
      </c>
      <c r="C10" s="161" t="s">
        <v>36</v>
      </c>
      <c r="D10" s="37">
        <v>4807.5</v>
      </c>
      <c r="E10" s="38">
        <v>2022.36</v>
      </c>
      <c r="F10" s="37">
        <v>4807.5</v>
      </c>
      <c r="G10" s="71"/>
      <c r="H10" s="37">
        <v>4807.5</v>
      </c>
      <c r="I10" s="71">
        <v>2708.63</v>
      </c>
      <c r="J10" s="37">
        <v>4807.5</v>
      </c>
      <c r="K10" s="38">
        <v>2127.49</v>
      </c>
      <c r="L10" s="139">
        <v>4807.5</v>
      </c>
      <c r="M10" s="38">
        <v>5777.74</v>
      </c>
      <c r="N10" s="37">
        <v>4807.5</v>
      </c>
      <c r="O10" s="38">
        <v>2035.8</v>
      </c>
      <c r="P10" s="87">
        <v>4788.82</v>
      </c>
      <c r="Q10" s="41">
        <v>530.400777777778</v>
      </c>
      <c r="R10" s="87">
        <v>4788.82</v>
      </c>
      <c r="S10" s="41">
        <v>1869.778</v>
      </c>
      <c r="T10" s="87">
        <v>4800.46</v>
      </c>
      <c r="U10" s="41">
        <v>929.5</v>
      </c>
      <c r="V10" s="87">
        <v>4800.46</v>
      </c>
      <c r="W10" s="41">
        <v>569.33</v>
      </c>
      <c r="X10" s="87">
        <v>4800.46</v>
      </c>
      <c r="Y10" s="41">
        <v>2424</v>
      </c>
      <c r="Z10" s="87">
        <v>4800.46</v>
      </c>
      <c r="AA10" s="41">
        <v>1617.64</v>
      </c>
      <c r="AB10" s="82">
        <v>12602.02</v>
      </c>
      <c r="AC10" s="116">
        <v>5300</v>
      </c>
      <c r="AD10" s="155">
        <f t="shared" si="0"/>
        <v>98139.1687777778</v>
      </c>
      <c r="AE10" s="162">
        <v>12</v>
      </c>
      <c r="AF10" s="69">
        <f t="shared" si="1"/>
        <v>8178.26406481482</v>
      </c>
      <c r="AG10" s="47"/>
      <c r="AH10" s="48"/>
    </row>
    <row r="11" s="1" customFormat="1" ht="23" customHeight="1" spans="1:34">
      <c r="A11" s="160">
        <v>8</v>
      </c>
      <c r="B11" s="162" t="s">
        <v>37</v>
      </c>
      <c r="C11" s="161" t="s">
        <v>38</v>
      </c>
      <c r="D11" s="166">
        <v>4368.06</v>
      </c>
      <c r="E11" s="71">
        <v>1944.58</v>
      </c>
      <c r="F11" s="37">
        <v>3682.35</v>
      </c>
      <c r="G11" s="71"/>
      <c r="H11" s="37">
        <v>4368.06</v>
      </c>
      <c r="I11" s="38">
        <v>2708.63</v>
      </c>
      <c r="J11" s="37">
        <v>4368.06</v>
      </c>
      <c r="K11" s="38">
        <v>2216.13</v>
      </c>
      <c r="L11" s="37">
        <v>4368.06</v>
      </c>
      <c r="M11" s="38">
        <v>5777.74</v>
      </c>
      <c r="N11" s="37">
        <v>4868.06</v>
      </c>
      <c r="O11" s="38">
        <v>1885.8</v>
      </c>
      <c r="P11" s="167">
        <v>4793.62</v>
      </c>
      <c r="Q11" s="41">
        <v>516.010777777778</v>
      </c>
      <c r="R11" s="87">
        <v>4793.62</v>
      </c>
      <c r="S11" s="41">
        <v>2038.938</v>
      </c>
      <c r="T11" s="87">
        <v>4805.26</v>
      </c>
      <c r="U11" s="41">
        <v>929.5</v>
      </c>
      <c r="V11" s="87">
        <v>4805.26</v>
      </c>
      <c r="W11" s="41">
        <v>569.33</v>
      </c>
      <c r="X11" s="87">
        <v>4805.26</v>
      </c>
      <c r="Y11" s="41">
        <v>2626</v>
      </c>
      <c r="Z11" s="87">
        <v>4805.26</v>
      </c>
      <c r="AA11" s="41">
        <v>1318.08</v>
      </c>
      <c r="AB11" s="82">
        <v>11810.11</v>
      </c>
      <c r="AC11" s="116">
        <v>5300</v>
      </c>
      <c r="AD11" s="155">
        <f t="shared" si="0"/>
        <v>94471.7787777778</v>
      </c>
      <c r="AE11" s="162">
        <v>12</v>
      </c>
      <c r="AF11" s="69">
        <f t="shared" si="1"/>
        <v>7872.64823148148</v>
      </c>
      <c r="AG11" s="47"/>
      <c r="AH11" s="48"/>
    </row>
    <row r="12" s="1" customFormat="1" ht="23" customHeight="1" spans="1:34">
      <c r="A12" s="160">
        <v>9</v>
      </c>
      <c r="B12" s="40" t="s">
        <v>39</v>
      </c>
      <c r="C12" s="161" t="s">
        <v>40</v>
      </c>
      <c r="D12" s="37">
        <v>5278.47</v>
      </c>
      <c r="E12" s="71"/>
      <c r="F12" s="37">
        <v>5107.5</v>
      </c>
      <c r="G12" s="71"/>
      <c r="H12" s="37">
        <v>5107.5</v>
      </c>
      <c r="I12" s="71"/>
      <c r="J12" s="37">
        <v>5107.5</v>
      </c>
      <c r="K12" s="71"/>
      <c r="L12" s="37">
        <v>5107.5</v>
      </c>
      <c r="M12" s="71"/>
      <c r="N12" s="37">
        <v>5107.5</v>
      </c>
      <c r="O12" s="71"/>
      <c r="P12" s="87">
        <v>5088.82</v>
      </c>
      <c r="Q12" s="164"/>
      <c r="R12" s="87">
        <v>5088.82</v>
      </c>
      <c r="S12" s="41"/>
      <c r="T12" s="87">
        <v>5100.46</v>
      </c>
      <c r="U12" s="41"/>
      <c r="V12" s="87">
        <v>5100.46</v>
      </c>
      <c r="W12" s="41"/>
      <c r="X12" s="87">
        <v>6100.46</v>
      </c>
      <c r="Y12" s="41"/>
      <c r="Z12" s="87">
        <v>6100.46</v>
      </c>
      <c r="AA12" s="41"/>
      <c r="AB12" s="82">
        <v>12602.02</v>
      </c>
      <c r="AC12" s="116">
        <v>6300</v>
      </c>
      <c r="AD12" s="155">
        <f t="shared" si="0"/>
        <v>82297.47</v>
      </c>
      <c r="AE12" s="162">
        <v>12</v>
      </c>
      <c r="AF12" s="69">
        <f t="shared" si="1"/>
        <v>6858.1225</v>
      </c>
      <c r="AG12" s="47"/>
      <c r="AH12" s="48"/>
    </row>
    <row r="13" s="1" customFormat="1" ht="23" customHeight="1" spans="1:34">
      <c r="A13" s="160">
        <v>10</v>
      </c>
      <c r="B13" s="40" t="s">
        <v>41</v>
      </c>
      <c r="C13" s="161" t="s">
        <v>38</v>
      </c>
      <c r="D13" s="37"/>
      <c r="E13" s="71"/>
      <c r="F13" s="37"/>
      <c r="G13" s="71"/>
      <c r="H13" s="37"/>
      <c r="I13" s="71"/>
      <c r="J13" s="37"/>
      <c r="K13" s="71"/>
      <c r="L13" s="37">
        <v>2322.58</v>
      </c>
      <c r="M13" s="38">
        <v>300</v>
      </c>
      <c r="N13" s="37">
        <v>4425</v>
      </c>
      <c r="O13" s="71"/>
      <c r="P13" s="87">
        <v>4412.97</v>
      </c>
      <c r="Q13" s="41">
        <v>746.77</v>
      </c>
      <c r="R13" s="87">
        <v>4493.62</v>
      </c>
      <c r="S13" s="41">
        <v>1976.064</v>
      </c>
      <c r="T13" s="87">
        <v>4505.26</v>
      </c>
      <c r="U13" s="41">
        <v>1174.12</v>
      </c>
      <c r="V13" s="87">
        <v>4505.26</v>
      </c>
      <c r="W13" s="41">
        <v>569.33</v>
      </c>
      <c r="X13" s="87">
        <v>4421.93</v>
      </c>
      <c r="Y13" s="41">
        <v>2576</v>
      </c>
      <c r="Z13" s="87">
        <v>4343.97</v>
      </c>
      <c r="AA13" s="41">
        <v>1557.73</v>
      </c>
      <c r="AB13" s="82">
        <v>4893.77</v>
      </c>
      <c r="AC13" s="116">
        <v>1000</v>
      </c>
      <c r="AD13" s="155">
        <f t="shared" si="0"/>
        <v>48224.374</v>
      </c>
      <c r="AE13" s="162">
        <v>8</v>
      </c>
      <c r="AF13" s="69">
        <f t="shared" si="1"/>
        <v>6028.04675</v>
      </c>
      <c r="AG13" s="60"/>
      <c r="AH13" s="48"/>
    </row>
    <row r="14" s="1" customFormat="1" ht="23" customHeight="1" spans="1:34">
      <c r="A14" s="160">
        <v>11</v>
      </c>
      <c r="B14" s="40" t="s">
        <v>42</v>
      </c>
      <c r="C14" s="161" t="s">
        <v>38</v>
      </c>
      <c r="D14" s="37"/>
      <c r="E14" s="71"/>
      <c r="F14" s="37"/>
      <c r="G14" s="71"/>
      <c r="H14" s="37"/>
      <c r="I14" s="71"/>
      <c r="J14" s="37"/>
      <c r="K14" s="71"/>
      <c r="L14" s="37">
        <v>3193.55</v>
      </c>
      <c r="M14" s="38">
        <v>300</v>
      </c>
      <c r="N14" s="37">
        <v>4350</v>
      </c>
      <c r="O14" s="71"/>
      <c r="P14" s="87">
        <v>4009.75</v>
      </c>
      <c r="Q14" s="41">
        <v>676.32</v>
      </c>
      <c r="R14" s="87">
        <v>4332.33</v>
      </c>
      <c r="S14" s="41">
        <v>2198.98</v>
      </c>
      <c r="T14" s="87">
        <v>4505.26</v>
      </c>
      <c r="U14" s="41">
        <v>1174.12</v>
      </c>
      <c r="V14" s="87">
        <v>4021.39</v>
      </c>
      <c r="W14" s="41">
        <v>474.45</v>
      </c>
      <c r="X14" s="87">
        <v>4338.59</v>
      </c>
      <c r="Y14" s="41">
        <v>2525</v>
      </c>
      <c r="Z14" s="87">
        <v>4182.68</v>
      </c>
      <c r="AA14" s="41">
        <v>1497.81</v>
      </c>
      <c r="AB14" s="82">
        <v>4893.77</v>
      </c>
      <c r="AC14" s="116">
        <v>1000</v>
      </c>
      <c r="AD14" s="155">
        <f t="shared" si="0"/>
        <v>47674</v>
      </c>
      <c r="AE14" s="162">
        <v>8</v>
      </c>
      <c r="AF14" s="69">
        <f t="shared" si="1"/>
        <v>5959.25</v>
      </c>
      <c r="AG14" s="47"/>
      <c r="AH14" s="48"/>
    </row>
    <row r="15" s="1" customFormat="1" ht="23" customHeight="1" spans="1:34">
      <c r="A15" s="160">
        <v>12</v>
      </c>
      <c r="B15" s="40" t="s">
        <v>43</v>
      </c>
      <c r="C15" s="160" t="s">
        <v>44</v>
      </c>
      <c r="D15" s="37">
        <v>4507.5</v>
      </c>
      <c r="E15" s="71"/>
      <c r="F15" s="37">
        <v>4507.5</v>
      </c>
      <c r="G15" s="71"/>
      <c r="H15" s="37">
        <v>4507.5</v>
      </c>
      <c r="I15" s="71"/>
      <c r="J15" s="37">
        <v>4507.5</v>
      </c>
      <c r="K15" s="71"/>
      <c r="L15" s="37">
        <v>4507.5</v>
      </c>
      <c r="M15" s="71"/>
      <c r="N15" s="37">
        <v>4507.5</v>
      </c>
      <c r="O15" s="71"/>
      <c r="P15" s="87">
        <v>4488.82</v>
      </c>
      <c r="Q15" s="164"/>
      <c r="R15" s="87">
        <v>4488.82</v>
      </c>
      <c r="S15" s="164"/>
      <c r="T15" s="87">
        <v>4500.46</v>
      </c>
      <c r="U15" s="164"/>
      <c r="V15" s="87">
        <v>4500.46</v>
      </c>
      <c r="W15" s="164"/>
      <c r="X15" s="87">
        <v>4500.46</v>
      </c>
      <c r="Y15" s="89"/>
      <c r="Z15" s="87">
        <v>4500.46</v>
      </c>
      <c r="AA15" s="89"/>
      <c r="AB15" s="142">
        <v>12602.02</v>
      </c>
      <c r="AC15" s="116">
        <v>5000</v>
      </c>
      <c r="AD15" s="155">
        <f t="shared" si="0"/>
        <v>71626.5</v>
      </c>
      <c r="AE15" s="162">
        <v>12</v>
      </c>
      <c r="AF15" s="69">
        <f t="shared" si="1"/>
        <v>5968.875</v>
      </c>
      <c r="AG15" s="47"/>
      <c r="AH15" s="48"/>
    </row>
    <row r="16" s="1" customFormat="1" ht="23" customHeight="1" spans="1:34">
      <c r="A16" s="160">
        <v>13</v>
      </c>
      <c r="B16" s="40" t="s">
        <v>45</v>
      </c>
      <c r="C16" s="163" t="s">
        <v>46</v>
      </c>
      <c r="D16" s="37">
        <v>4368.06</v>
      </c>
      <c r="E16" s="71"/>
      <c r="F16" s="37">
        <v>4368.06</v>
      </c>
      <c r="G16" s="71"/>
      <c r="H16" s="37">
        <v>4223.06</v>
      </c>
      <c r="I16" s="71"/>
      <c r="J16" s="37">
        <v>4283.68</v>
      </c>
      <c r="K16" s="71"/>
      <c r="L16" s="37">
        <v>4295.48</v>
      </c>
      <c r="M16" s="71"/>
      <c r="N16" s="37">
        <v>4368.06</v>
      </c>
      <c r="O16" s="71"/>
      <c r="P16" s="87">
        <v>3853.34</v>
      </c>
      <c r="Q16" s="41"/>
      <c r="R16" s="87">
        <v>4279.75</v>
      </c>
      <c r="S16" s="41"/>
      <c r="T16" s="87">
        <v>4300.46</v>
      </c>
      <c r="U16" s="41"/>
      <c r="V16" s="87">
        <v>4300.46</v>
      </c>
      <c r="W16" s="41"/>
      <c r="X16" s="87">
        <v>5100.46</v>
      </c>
      <c r="Y16" s="41"/>
      <c r="Z16" s="87">
        <v>5100.46</v>
      </c>
      <c r="AA16" s="41"/>
      <c r="AB16" s="168">
        <v>11893.3</v>
      </c>
      <c r="AC16" s="116">
        <v>5300</v>
      </c>
      <c r="AD16" s="155">
        <f t="shared" si="0"/>
        <v>70034.63</v>
      </c>
      <c r="AE16" s="162">
        <v>12</v>
      </c>
      <c r="AF16" s="69">
        <f t="shared" si="1"/>
        <v>5836.21916666667</v>
      </c>
      <c r="AG16" s="47">
        <v>5</v>
      </c>
      <c r="AH16" s="48">
        <v>120</v>
      </c>
    </row>
    <row r="17" s="1" customFormat="1" ht="23" customHeight="1" spans="1:35">
      <c r="A17" s="160">
        <v>14</v>
      </c>
      <c r="B17" s="40" t="s">
        <v>47</v>
      </c>
      <c r="C17" s="161" t="s">
        <v>27</v>
      </c>
      <c r="D17" s="37"/>
      <c r="E17" s="71"/>
      <c r="F17" s="37"/>
      <c r="G17" s="71"/>
      <c r="H17" s="37"/>
      <c r="I17" s="71"/>
      <c r="J17" s="37"/>
      <c r="K17" s="71"/>
      <c r="L17" s="37"/>
      <c r="M17" s="38"/>
      <c r="N17" s="37"/>
      <c r="O17" s="71"/>
      <c r="P17" s="87"/>
      <c r="Q17" s="41"/>
      <c r="R17" s="87">
        <v>3338.71</v>
      </c>
      <c r="S17" s="164"/>
      <c r="T17" s="87">
        <v>4500</v>
      </c>
      <c r="U17" s="164"/>
      <c r="V17" s="87">
        <v>4500</v>
      </c>
      <c r="W17" s="164"/>
      <c r="X17" s="87">
        <v>4700</v>
      </c>
      <c r="Y17" s="89"/>
      <c r="Z17" s="87">
        <v>4061.71</v>
      </c>
      <c r="AA17" s="164"/>
      <c r="AB17" s="142">
        <v>1024.36</v>
      </c>
      <c r="AC17" s="116">
        <v>1000</v>
      </c>
      <c r="AD17" s="155">
        <f t="shared" si="0"/>
        <v>23124.78</v>
      </c>
      <c r="AE17" s="162">
        <v>5</v>
      </c>
      <c r="AF17" s="69">
        <f t="shared" si="1"/>
        <v>4624.956</v>
      </c>
      <c r="AG17" s="47"/>
      <c r="AH17" s="48"/>
    </row>
    <row r="18" s="1" customFormat="1" ht="23" customHeight="1" spans="1:35">
      <c r="A18" s="160">
        <v>15</v>
      </c>
      <c r="B18" s="57" t="s">
        <v>48</v>
      </c>
      <c r="C18" s="161" t="s">
        <v>27</v>
      </c>
      <c r="D18" s="37">
        <v>4336.21</v>
      </c>
      <c r="E18" s="38">
        <v>14013.8683806109</v>
      </c>
      <c r="F18" s="37">
        <v>3844.47</v>
      </c>
      <c r="G18" s="38">
        <v>5588.2194493796</v>
      </c>
      <c r="H18" s="37">
        <v>3773.37</v>
      </c>
      <c r="I18" s="38">
        <v>16220.8781367248</v>
      </c>
      <c r="J18" s="37">
        <v>3507.3</v>
      </c>
      <c r="K18" s="38">
        <v>6683.20164564322</v>
      </c>
      <c r="L18" s="37">
        <v>3657.44</v>
      </c>
      <c r="M18" s="38">
        <v>4429.11794905708</v>
      </c>
      <c r="N18" s="37">
        <v>2805.91</v>
      </c>
      <c r="O18" s="71"/>
      <c r="P18" s="87">
        <v>849.47</v>
      </c>
      <c r="Q18" s="164"/>
      <c r="R18" s="169"/>
      <c r="S18" s="164"/>
      <c r="T18" s="169"/>
      <c r="U18" s="164"/>
      <c r="V18" s="169"/>
      <c r="W18" s="164"/>
      <c r="X18" s="170"/>
      <c r="Y18" s="89"/>
      <c r="Z18" s="170"/>
      <c r="AA18" s="89"/>
      <c r="AB18" s="142">
        <v>8031.82</v>
      </c>
      <c r="AC18" s="171"/>
      <c r="AD18" s="155">
        <f t="shared" si="0"/>
        <v>77741.2755614156</v>
      </c>
      <c r="AE18" s="162">
        <v>7</v>
      </c>
      <c r="AF18" s="69">
        <f t="shared" si="1"/>
        <v>11105.8965087737</v>
      </c>
      <c r="AG18" s="60">
        <v>53.5</v>
      </c>
      <c r="AH18" s="48">
        <v>1005</v>
      </c>
    </row>
    <row r="19" s="1" customFormat="1" ht="23" customHeight="1" spans="1:35">
      <c r="A19" s="160">
        <v>16</v>
      </c>
      <c r="B19" s="162" t="s">
        <v>49</v>
      </c>
      <c r="C19" s="161" t="s">
        <v>38</v>
      </c>
      <c r="D19" s="166">
        <v>4368.06</v>
      </c>
      <c r="E19" s="71">
        <v>1944.58</v>
      </c>
      <c r="F19" s="37">
        <v>3939.49</v>
      </c>
      <c r="G19" s="71"/>
      <c r="H19" s="37">
        <v>3439.03</v>
      </c>
      <c r="I19" s="38">
        <v>2106.7</v>
      </c>
      <c r="J19" s="37">
        <v>3888.06</v>
      </c>
      <c r="K19" s="38">
        <v>1506.88</v>
      </c>
      <c r="L19" s="37">
        <v>1735.8</v>
      </c>
      <c r="M19" s="71"/>
      <c r="N19" s="139"/>
      <c r="O19" s="71"/>
      <c r="P19" s="169"/>
      <c r="Q19" s="164"/>
      <c r="R19" s="169"/>
      <c r="S19" s="164"/>
      <c r="T19" s="169"/>
      <c r="U19" s="164"/>
      <c r="V19" s="169"/>
      <c r="W19" s="164"/>
      <c r="X19" s="170"/>
      <c r="Y19" s="89"/>
      <c r="Z19" s="170"/>
      <c r="AA19" s="89"/>
      <c r="AB19" s="142">
        <v>4834.75</v>
      </c>
      <c r="AC19" s="171"/>
      <c r="AD19" s="155">
        <f t="shared" si="0"/>
        <v>27763.35</v>
      </c>
      <c r="AE19" s="162">
        <v>5</v>
      </c>
      <c r="AF19" s="69">
        <f t="shared" si="1"/>
        <v>5552.67</v>
      </c>
      <c r="AG19" s="60">
        <v>28.5</v>
      </c>
      <c r="AH19" s="48"/>
    </row>
    <row r="20" s="1" customFormat="1" ht="23" customHeight="1" spans="1:35">
      <c r="A20" s="160">
        <v>17</v>
      </c>
      <c r="B20" s="162" t="s">
        <v>50</v>
      </c>
      <c r="C20" s="161" t="s">
        <v>38</v>
      </c>
      <c r="D20" s="166">
        <v>4368.06</v>
      </c>
      <c r="E20" s="71">
        <v>1944.58</v>
      </c>
      <c r="F20" s="37">
        <v>3853.77</v>
      </c>
      <c r="G20" s="71"/>
      <c r="H20" s="37">
        <v>4213.22</v>
      </c>
      <c r="I20" s="38">
        <v>2608.31</v>
      </c>
      <c r="J20" s="37">
        <v>3728.06</v>
      </c>
      <c r="K20" s="38">
        <v>1861.57</v>
      </c>
      <c r="L20" s="37">
        <v>1271.29</v>
      </c>
      <c r="M20" s="71"/>
      <c r="N20" s="139"/>
      <c r="O20" s="71"/>
      <c r="P20" s="169"/>
      <c r="Q20" s="164"/>
      <c r="R20" s="169"/>
      <c r="S20" s="164"/>
      <c r="T20" s="169"/>
      <c r="U20" s="164"/>
      <c r="V20" s="169"/>
      <c r="W20" s="164"/>
      <c r="X20" s="170"/>
      <c r="Y20" s="89"/>
      <c r="Z20" s="170"/>
      <c r="AA20" s="89"/>
      <c r="AB20" s="142">
        <v>4834.75</v>
      </c>
      <c r="AC20" s="171"/>
      <c r="AD20" s="155">
        <f t="shared" si="0"/>
        <v>28683.61</v>
      </c>
      <c r="AE20" s="162">
        <v>5</v>
      </c>
      <c r="AF20" s="69">
        <f t="shared" si="1"/>
        <v>5736.722</v>
      </c>
      <c r="AG20" s="47">
        <v>8</v>
      </c>
      <c r="AH20" s="48"/>
    </row>
    <row r="21" s="133" customFormat="1" ht="27" customHeight="1" spans="1:35">
      <c r="A21" s="172" t="s">
        <v>51</v>
      </c>
      <c r="B21" s="172"/>
      <c r="C21" s="173"/>
      <c r="D21" s="174">
        <f t="shared" ref="D21:AD21" si="2">SUM(D4:D20)</f>
        <v>67192.61</v>
      </c>
      <c r="E21" s="71">
        <f t="shared" si="2"/>
        <v>55287.8487992102</v>
      </c>
      <c r="F21" s="174">
        <f t="shared" si="2"/>
        <v>65068.49</v>
      </c>
      <c r="G21" s="71">
        <f t="shared" si="2"/>
        <v>13584.6964560325</v>
      </c>
      <c r="H21" s="174">
        <f t="shared" si="2"/>
        <v>66061.73</v>
      </c>
      <c r="I21" s="71">
        <f t="shared" si="2"/>
        <v>72791.4100524359</v>
      </c>
      <c r="J21" s="174">
        <f t="shared" si="2"/>
        <v>65977.11</v>
      </c>
      <c r="K21" s="71">
        <f t="shared" si="2"/>
        <v>43076.786975594</v>
      </c>
      <c r="L21" s="174">
        <f t="shared" si="2"/>
        <v>73679.85</v>
      </c>
      <c r="M21" s="71">
        <f t="shared" si="2"/>
        <v>76649.5211559443</v>
      </c>
      <c r="N21" s="174">
        <f t="shared" si="2"/>
        <v>67652.45</v>
      </c>
      <c r="O21" s="71">
        <f t="shared" si="2"/>
        <v>19829.5073904759</v>
      </c>
      <c r="P21" s="174">
        <f t="shared" si="2"/>
        <v>63706.99</v>
      </c>
      <c r="Q21" s="71">
        <f t="shared" si="2"/>
        <v>15904.1191473134</v>
      </c>
      <c r="R21" s="174">
        <f t="shared" si="2"/>
        <v>67061</v>
      </c>
      <c r="S21" s="71">
        <f t="shared" si="2"/>
        <v>63164.4227957807</v>
      </c>
      <c r="T21" s="174">
        <f t="shared" si="2"/>
        <v>69009.76</v>
      </c>
      <c r="U21" s="71">
        <f t="shared" si="2"/>
        <v>38132.7219190924</v>
      </c>
      <c r="V21" s="174">
        <f t="shared" si="2"/>
        <v>68529.2</v>
      </c>
      <c r="W21" s="71">
        <f t="shared" si="2"/>
        <v>16850.9923294141</v>
      </c>
      <c r="X21" s="174">
        <f t="shared" si="2"/>
        <v>70895.25</v>
      </c>
      <c r="Y21" s="71">
        <f t="shared" si="2"/>
        <v>55661.3984295003</v>
      </c>
      <c r="Z21" s="174">
        <f t="shared" si="2"/>
        <v>69980.33</v>
      </c>
      <c r="AA21" s="71">
        <f t="shared" si="2"/>
        <v>49714.198754909</v>
      </c>
      <c r="AB21" s="175">
        <f t="shared" si="2"/>
        <v>162467.17</v>
      </c>
      <c r="AC21" s="88">
        <f t="shared" si="2"/>
        <v>66300</v>
      </c>
      <c r="AD21" s="103">
        <f t="shared" si="2"/>
        <v>1564229.5642057</v>
      </c>
      <c r="AE21" s="73"/>
      <c r="AF21" s="69">
        <f>SUM(AF4:AF20)</f>
        <v>148259.055812464</v>
      </c>
      <c r="AG21" s="47">
        <f>SUM(AG4:AG20)</f>
        <v>142.5</v>
      </c>
      <c r="AH21" s="48">
        <f>SUM(AH4:AH20)</f>
        <v>3585</v>
      </c>
    </row>
    <row r="22" s="133" customFormat="1" ht="19" customHeight="1" spans="1:35">
      <c r="A22" s="75" t="s">
        <v>52</v>
      </c>
      <c r="B22" s="75"/>
      <c r="C22" s="75"/>
      <c r="D22" s="71">
        <f>SUM(D21:D21)</f>
        <v>67192.61</v>
      </c>
      <c r="E22" s="71"/>
      <c r="F22" s="71">
        <f>SUM(F21:F21)</f>
        <v>65068.49</v>
      </c>
      <c r="G22" s="71"/>
      <c r="H22" s="71">
        <f>SUM(H21:H21)</f>
        <v>66061.73</v>
      </c>
      <c r="I22" s="71"/>
      <c r="J22" s="71">
        <f>SUM(J21:J21)</f>
        <v>65977.11</v>
      </c>
      <c r="K22" s="71"/>
      <c r="L22" s="71">
        <f>SUM(L21:L21)</f>
        <v>73679.85</v>
      </c>
      <c r="M22" s="71"/>
      <c r="N22" s="71">
        <f>SUM(N21:N21)</f>
        <v>67652.45</v>
      </c>
      <c r="O22" s="71"/>
      <c r="P22" s="71">
        <f>SUM(P21:P21)</f>
        <v>63706.99</v>
      </c>
      <c r="Q22" s="71"/>
      <c r="R22" s="71">
        <f>SUM(R21:R21)</f>
        <v>67061</v>
      </c>
      <c r="S22" s="71"/>
      <c r="T22" s="71">
        <f>SUM(T21:T21)</f>
        <v>69009.76</v>
      </c>
      <c r="U22" s="71"/>
      <c r="V22" s="71">
        <f>SUM(V21:V21)</f>
        <v>68529.2</v>
      </c>
      <c r="W22" s="71"/>
      <c r="X22" s="71">
        <f>SUM(X21:X21)</f>
        <v>70895.25</v>
      </c>
      <c r="Y22" s="71"/>
      <c r="Z22" s="71">
        <f>SUM(Z21:Z21)</f>
        <v>69980.33</v>
      </c>
      <c r="AA22" s="71"/>
      <c r="AB22" s="88">
        <f>SUM(AB21:AB21)</f>
        <v>162467.17</v>
      </c>
      <c r="AC22" s="88">
        <f>SUM(AC21:AC21)</f>
        <v>66300</v>
      </c>
      <c r="AD22" s="76">
        <f>SUM(D22:AC22)</f>
        <v>1043581.94</v>
      </c>
      <c r="AE22" s="77"/>
      <c r="AF22" s="1"/>
      <c r="AG22" s="1"/>
      <c r="AH22" s="1"/>
      <c r="AI22" s="1"/>
    </row>
    <row r="23" spans="1:35">
      <c r="A23" s="75" t="s">
        <v>53</v>
      </c>
      <c r="B23" s="75"/>
      <c r="C23" s="75"/>
      <c r="D23" s="176"/>
      <c r="E23" s="177">
        <f>SUM(E4+E5+E6+E18)</f>
        <v>45564.9387992102</v>
      </c>
      <c r="F23" s="176"/>
      <c r="G23" s="177">
        <f>SUM(G4+G5+G6+G18)</f>
        <v>13584.6964560325</v>
      </c>
      <c r="H23" s="176"/>
      <c r="I23" s="177">
        <f>SUM(I4+I5+I6+I18)</f>
        <v>59950.5100524359</v>
      </c>
      <c r="J23" s="176"/>
      <c r="K23" s="177">
        <f>SUM(K4+K5+K6+K18)</f>
        <v>33325.856975594</v>
      </c>
      <c r="L23" s="176"/>
      <c r="M23" s="177">
        <f>SUM(M4+M5+M6+M8+M18)</f>
        <v>58716.3011559443</v>
      </c>
      <c r="N23" s="176"/>
      <c r="O23" s="177">
        <f>SUM(O4+O5+O6+O18)</f>
        <v>13872.1073904759</v>
      </c>
      <c r="P23" s="176"/>
      <c r="Q23" s="177">
        <f>SUM(Q4+Q5+Q6)</f>
        <v>12946.48681398</v>
      </c>
      <c r="R23" s="176"/>
      <c r="S23" s="177">
        <f>SUM(S4+S5+S6+S8)</f>
        <v>53464.5847957807</v>
      </c>
      <c r="T23" s="176"/>
      <c r="U23" s="177">
        <f>SUM(U4+U5+U6+U8)</f>
        <v>32995.9919190924</v>
      </c>
      <c r="V23" s="176"/>
      <c r="W23" s="177">
        <f>SUM(W4+W5+W6+W8)</f>
        <v>14111.0923294141</v>
      </c>
      <c r="X23" s="176"/>
      <c r="Y23" s="177">
        <f>SUM(Y4+Y5+Y6+Y8)</f>
        <v>42884.3984295003</v>
      </c>
      <c r="Z23" s="176"/>
      <c r="AA23" s="177">
        <f>SUM(AA4+AA5+AA6+AA8)</f>
        <v>42105.298754909</v>
      </c>
      <c r="AB23" s="178"/>
      <c r="AC23" s="176"/>
      <c r="AD23" s="76">
        <f>SUM(D23:AC23)</f>
        <v>423522.263872369</v>
      </c>
      <c r="AG23" s="1"/>
      <c r="AH23" s="1"/>
    </row>
    <row r="24" spans="1:35">
      <c r="A24" s="75" t="s">
        <v>54</v>
      </c>
      <c r="B24" s="75"/>
      <c r="C24" s="75"/>
      <c r="D24" s="176"/>
      <c r="E24" s="177">
        <f>SUM(E9+E10+E11+E19+E20)</f>
        <v>9722.91</v>
      </c>
      <c r="F24" s="176"/>
      <c r="G24" s="177">
        <f>SUM(G9+G10+G11+G19+G20)</f>
        <v>0</v>
      </c>
      <c r="H24" s="176"/>
      <c r="I24" s="177">
        <f>SUM(I9+I10+I11+I19+I20)</f>
        <v>12840.9</v>
      </c>
      <c r="J24" s="176"/>
      <c r="K24" s="177">
        <f>SUM(K9+K10+K11+K19+K20)</f>
        <v>9750.93</v>
      </c>
      <c r="L24" s="176"/>
      <c r="M24" s="177">
        <f>SUM(M9+M10+M11+M13+M14)</f>
        <v>17933.22</v>
      </c>
      <c r="N24" s="176"/>
      <c r="O24" s="177">
        <f>SUM(O9+O10+O11+O19+O20)</f>
        <v>5957.4</v>
      </c>
      <c r="P24" s="176"/>
      <c r="Q24" s="177">
        <f>SUM(Q9+Q10+Q11+Q13+Q14)</f>
        <v>2957.63233333333</v>
      </c>
      <c r="R24" s="176"/>
      <c r="S24" s="177">
        <f>SUM(S9+S10+S11+S13+S14)</f>
        <v>9699.838</v>
      </c>
      <c r="T24" s="176"/>
      <c r="U24" s="177">
        <f>SUM(U9+U10+U11+U13+U14)</f>
        <v>5136.73</v>
      </c>
      <c r="V24" s="176"/>
      <c r="W24" s="177">
        <f>SUM(W9+W10+W11+W13+W14)</f>
        <v>2739.9</v>
      </c>
      <c r="X24" s="176"/>
      <c r="Y24" s="177">
        <f>SUM(Y9+Y10+Y11+Y13+Y14)</f>
        <v>12777</v>
      </c>
      <c r="Z24" s="176"/>
      <c r="AA24" s="177">
        <f>SUM(AA9+AA10+AA11+AA13+AA14)</f>
        <v>7608.9</v>
      </c>
      <c r="AB24" s="178"/>
      <c r="AC24" s="176"/>
      <c r="AD24" s="76">
        <f>SUM(D24:AC24)</f>
        <v>97125.3603333333</v>
      </c>
      <c r="AG24" s="81"/>
      <c r="AH24" s="81"/>
    </row>
    <row r="25" spans="1:35">
      <c r="AF25" s="107"/>
    </row>
  </sheetData>
  <mergeCells count="26">
    <mergeCell ref="A1:AF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G2:AH2"/>
    <mergeCell ref="A21:B21"/>
    <mergeCell ref="A22:C22"/>
    <mergeCell ref="A23:C23"/>
    <mergeCell ref="A24:C24"/>
    <mergeCell ref="A2:A3"/>
    <mergeCell ref="B2:B3"/>
    <mergeCell ref="C2:C3"/>
    <mergeCell ref="AB2:AB3"/>
    <mergeCell ref="AC2:AC3"/>
    <mergeCell ref="AD2:AD3"/>
    <mergeCell ref="AE2:AE3"/>
    <mergeCell ref="AF2:AF3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XFD28"/>
  <sheetViews>
    <sheetView workbookViewId="0">
      <pane xSplit="3" ySplit="3" topLeftCell="S4" activePane="bottomRight" state="frozen"/>
      <selection/>
      <selection pane="topRight"/>
      <selection pane="bottomLeft"/>
      <selection pane="bottomRight" activeCell="AB2" sqref="AB2:AB3"/>
    </sheetView>
  </sheetViews>
  <sheetFormatPr defaultColWidth="9" defaultRowHeight="14.25"/>
  <cols>
    <col min="1" max="1" width="4.625" style="1" customWidth="1"/>
    <col min="2" max="2" width="7.875" style="1" customWidth="1"/>
    <col min="3" max="3" width="8.875" style="4" customWidth="1"/>
    <col min="4" max="4" width="12" style="1" customWidth="1"/>
    <col min="5" max="5" width="12" style="134" customWidth="1"/>
    <col min="6" max="6" width="12" style="1" customWidth="1"/>
    <col min="7" max="7" width="11" style="134" customWidth="1"/>
    <col min="8" max="8" width="12" style="1" customWidth="1"/>
    <col min="9" max="9" width="12" style="134" customWidth="1"/>
    <col min="10" max="10" width="12" style="1" customWidth="1"/>
    <col min="11" max="11" width="12" style="134" customWidth="1"/>
    <col min="12" max="12" width="12" style="1" customWidth="1"/>
    <col min="13" max="13" width="12" style="134" customWidth="1"/>
    <col min="14" max="14" width="12" style="1" customWidth="1"/>
    <col min="15" max="15" width="12" style="134" customWidth="1"/>
    <col min="16" max="16" width="12" style="1" customWidth="1"/>
    <col min="17" max="17" width="12" style="134" customWidth="1"/>
    <col min="18" max="18" width="12" style="1" customWidth="1"/>
    <col min="19" max="19" width="12" style="134" customWidth="1"/>
    <col min="20" max="20" width="12" style="1" customWidth="1"/>
    <col min="21" max="21" width="12" style="134" customWidth="1"/>
    <col min="22" max="22" width="12" style="1" customWidth="1"/>
    <col min="23" max="23" width="12" style="134" customWidth="1"/>
    <col min="24" max="24" width="12" style="4" customWidth="1"/>
    <col min="25" max="25" width="12" style="135" customWidth="1"/>
    <col min="26" max="26" width="13.375" style="4" customWidth="1"/>
    <col min="27" max="27" width="12" style="135" customWidth="1"/>
    <col min="28" max="29" width="12" style="4" customWidth="1"/>
    <col min="30" max="30" width="16.875" style="4" customWidth="1"/>
    <col min="31" max="31" width="10" style="8" customWidth="1"/>
    <col min="32" max="32" width="12.875" style="1" customWidth="1"/>
    <col min="33" max="34" width="9" style="8"/>
    <col min="35" max="16384" width="9" style="1"/>
  </cols>
  <sheetData>
    <row r="1" s="1" customFormat="1" ht="28" customHeight="1" spans="1:1024 1025:16384">
      <c r="A1" s="13" t="s">
        <v>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8"/>
      <c r="AH1" s="8"/>
    </row>
    <row r="2" s="1" customFormat="1" ht="28" customHeight="1" spans="1:1024 1025:16384">
      <c r="A2" s="108" t="s">
        <v>56</v>
      </c>
      <c r="B2" s="18" t="s">
        <v>2</v>
      </c>
      <c r="C2" s="18" t="s">
        <v>3</v>
      </c>
      <c r="D2" s="21" t="s">
        <v>4</v>
      </c>
      <c r="E2" s="136"/>
      <c r="F2" s="90" t="s">
        <v>5</v>
      </c>
      <c r="G2" s="136"/>
      <c r="H2" s="90" t="s">
        <v>6</v>
      </c>
      <c r="I2" s="136"/>
      <c r="J2" s="90" t="s">
        <v>7</v>
      </c>
      <c r="K2" s="136"/>
      <c r="L2" s="90" t="s">
        <v>8</v>
      </c>
      <c r="M2" s="136"/>
      <c r="N2" s="90" t="s">
        <v>9</v>
      </c>
      <c r="O2" s="136"/>
      <c r="P2" s="90" t="s">
        <v>10</v>
      </c>
      <c r="Q2" s="136"/>
      <c r="R2" s="90" t="s">
        <v>11</v>
      </c>
      <c r="S2" s="136"/>
      <c r="T2" s="90" t="s">
        <v>12</v>
      </c>
      <c r="U2" s="136"/>
      <c r="V2" s="90" t="s">
        <v>13</v>
      </c>
      <c r="W2" s="136"/>
      <c r="X2" s="90" t="s">
        <v>14</v>
      </c>
      <c r="Y2" s="136"/>
      <c r="Z2" s="90" t="s">
        <v>15</v>
      </c>
      <c r="AA2" s="136"/>
      <c r="AB2" s="22" t="s">
        <v>16</v>
      </c>
      <c r="AC2" s="23" t="s">
        <v>17</v>
      </c>
      <c r="AD2" s="109" t="s">
        <v>18</v>
      </c>
      <c r="AE2" s="25" t="s">
        <v>19</v>
      </c>
      <c r="AF2" s="26" t="s">
        <v>20</v>
      </c>
      <c r="AG2" s="27" t="s">
        <v>21</v>
      </c>
      <c r="AH2" s="28"/>
    </row>
    <row r="3" s="2" customFormat="1" ht="26" customHeight="1" spans="1:1024 1025:16384">
      <c r="A3" s="110"/>
      <c r="B3" s="18"/>
      <c r="C3" s="18"/>
      <c r="D3" s="30" t="s">
        <v>22</v>
      </c>
      <c r="E3" s="137" t="s">
        <v>23</v>
      </c>
      <c r="F3" s="18" t="s">
        <v>22</v>
      </c>
      <c r="G3" s="137" t="s">
        <v>23</v>
      </c>
      <c r="H3" s="18" t="s">
        <v>22</v>
      </c>
      <c r="I3" s="137" t="s">
        <v>23</v>
      </c>
      <c r="J3" s="18" t="s">
        <v>22</v>
      </c>
      <c r="K3" s="137" t="s">
        <v>23</v>
      </c>
      <c r="L3" s="18" t="s">
        <v>22</v>
      </c>
      <c r="M3" s="137" t="s">
        <v>23</v>
      </c>
      <c r="N3" s="18" t="s">
        <v>22</v>
      </c>
      <c r="O3" s="137" t="s">
        <v>23</v>
      </c>
      <c r="P3" s="18" t="s">
        <v>22</v>
      </c>
      <c r="Q3" s="137" t="s">
        <v>23</v>
      </c>
      <c r="R3" s="18" t="s">
        <v>22</v>
      </c>
      <c r="S3" s="137" t="s">
        <v>23</v>
      </c>
      <c r="T3" s="18" t="s">
        <v>22</v>
      </c>
      <c r="U3" s="137" t="s">
        <v>23</v>
      </c>
      <c r="V3" s="18" t="s">
        <v>22</v>
      </c>
      <c r="W3" s="137" t="s">
        <v>23</v>
      </c>
      <c r="X3" s="18" t="s">
        <v>22</v>
      </c>
      <c r="Y3" s="137" t="s">
        <v>23</v>
      </c>
      <c r="Z3" s="18" t="s">
        <v>22</v>
      </c>
      <c r="AA3" s="137" t="s">
        <v>23</v>
      </c>
      <c r="AB3" s="32"/>
      <c r="AC3" s="33"/>
      <c r="AD3" s="109"/>
      <c r="AE3" s="34"/>
      <c r="AF3" s="26"/>
      <c r="AG3" s="26" t="s">
        <v>24</v>
      </c>
      <c r="AH3" s="26" t="s">
        <v>25</v>
      </c>
    </row>
    <row r="4" s="133" customFormat="1" ht="22" customHeight="1" spans="1:1024 1025:16384">
      <c r="A4" s="138">
        <v>1</v>
      </c>
      <c r="B4" s="45" t="s">
        <v>26</v>
      </c>
      <c r="C4" s="87" t="s">
        <v>27</v>
      </c>
      <c r="D4" s="139">
        <v>4980.76</v>
      </c>
      <c r="E4" s="54">
        <v>14141.7389914818</v>
      </c>
      <c r="F4" s="139">
        <v>5162.93</v>
      </c>
      <c r="G4" s="54">
        <v>4537.41244775045</v>
      </c>
      <c r="H4" s="139">
        <v>5377.94</v>
      </c>
      <c r="I4" s="54">
        <v>8935.33285955152</v>
      </c>
      <c r="J4" s="139">
        <v>5469.24</v>
      </c>
      <c r="K4" s="54">
        <v>6798.17843467293</v>
      </c>
      <c r="L4" s="139">
        <v>5448.5</v>
      </c>
      <c r="M4" s="140">
        <v>15071.5878532546</v>
      </c>
      <c r="N4" s="139">
        <v>5440.9</v>
      </c>
      <c r="O4" s="141">
        <v>12663.9209653448</v>
      </c>
      <c r="P4" s="139">
        <v>4576.42</v>
      </c>
      <c r="Q4" s="54">
        <v>15379.9409511881</v>
      </c>
      <c r="R4" s="139">
        <v>4963.56</v>
      </c>
      <c r="S4" s="54">
        <v>18270.4585690789</v>
      </c>
      <c r="T4" s="87">
        <v>5029.68</v>
      </c>
      <c r="U4" s="141">
        <v>8984.08708911481</v>
      </c>
      <c r="V4" s="87">
        <v>5338.55</v>
      </c>
      <c r="W4" s="141">
        <v>13801.2188565675</v>
      </c>
      <c r="X4" s="87">
        <v>5406.18</v>
      </c>
      <c r="Y4" s="141">
        <v>6427.47752597668</v>
      </c>
      <c r="Z4" s="139">
        <v>5332.82</v>
      </c>
      <c r="AA4" s="141">
        <v>17233.4458478517</v>
      </c>
      <c r="AB4" s="142">
        <v>13300.88</v>
      </c>
      <c r="AC4" s="124">
        <v>6000</v>
      </c>
      <c r="AD4" s="71">
        <f>SUM(D4:AC4)</f>
        <v>224073.160391834</v>
      </c>
      <c r="AE4" s="143">
        <v>12</v>
      </c>
      <c r="AF4" s="139">
        <f>SUM(AD4/AE4)</f>
        <v>18672.7633659861</v>
      </c>
      <c r="AG4" s="47">
        <v>14</v>
      </c>
      <c r="AH4" s="48">
        <v>1332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  <c r="XEZ4" s="1"/>
      <c r="XFA4" s="1"/>
      <c r="XFB4" s="1"/>
      <c r="XFC4" s="1"/>
      <c r="XFD4" s="1"/>
    </row>
    <row r="5" s="133" customFormat="1" ht="22" customHeight="1" spans="1:1024 1025:16384">
      <c r="A5" s="138">
        <v>2</v>
      </c>
      <c r="B5" s="144" t="s">
        <v>29</v>
      </c>
      <c r="C5" s="87" t="s">
        <v>27</v>
      </c>
      <c r="D5" s="139">
        <v>2583.95</v>
      </c>
      <c r="E5" s="54">
        <v>7199.68293564701</v>
      </c>
      <c r="F5" s="139">
        <v>3705.28</v>
      </c>
      <c r="G5" s="145"/>
      <c r="H5" s="139">
        <v>3641.19</v>
      </c>
      <c r="I5" s="54">
        <v>19053.4186834129</v>
      </c>
      <c r="J5" s="139">
        <v>3878.53</v>
      </c>
      <c r="K5" s="54">
        <v>5886.40282404106</v>
      </c>
      <c r="L5" s="139">
        <v>3405.02</v>
      </c>
      <c r="M5" s="54">
        <v>12004.6081324488</v>
      </c>
      <c r="N5" s="139">
        <v>3488.53</v>
      </c>
      <c r="O5" s="141">
        <v>12035.504289499</v>
      </c>
      <c r="P5" s="139">
        <v>3155.43</v>
      </c>
      <c r="Q5" s="54">
        <v>13537.9007035601</v>
      </c>
      <c r="R5" s="139">
        <v>3389.83</v>
      </c>
      <c r="S5" s="54">
        <v>9463.02040504125</v>
      </c>
      <c r="T5" s="87">
        <v>3365.33</v>
      </c>
      <c r="U5" s="141">
        <v>13286.6877696369</v>
      </c>
      <c r="V5" s="87">
        <v>3362.61</v>
      </c>
      <c r="W5" s="141">
        <v>15436.775874523</v>
      </c>
      <c r="X5" s="87">
        <v>3760.28</v>
      </c>
      <c r="Y5" s="146">
        <v>16993.63</v>
      </c>
      <c r="Z5" s="139">
        <v>3914.18</v>
      </c>
      <c r="AA5" s="146">
        <v>9791.07019162259</v>
      </c>
      <c r="AB5" s="142">
        <v>13091</v>
      </c>
      <c r="AC5" s="124">
        <v>4500</v>
      </c>
      <c r="AD5" s="71">
        <f t="shared" ref="AD5:AD22" si="0">SUM(D5:AC5)</f>
        <v>193929.861809433</v>
      </c>
      <c r="AE5" s="143">
        <v>12</v>
      </c>
      <c r="AF5" s="139">
        <f t="shared" ref="AF5:AF22" si="1">SUM(AD5/AE5)</f>
        <v>16160.8218174527</v>
      </c>
      <c r="AG5" s="60">
        <v>32.5</v>
      </c>
      <c r="AH5" s="48">
        <v>4832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1"/>
      <c r="XFB5" s="1"/>
      <c r="XFC5" s="1"/>
      <c r="XFD5" s="1"/>
    </row>
    <row r="6" s="133" customFormat="1" ht="22" customHeight="1" spans="1:1024 1025:16384">
      <c r="A6" s="138">
        <v>3</v>
      </c>
      <c r="B6" s="144" t="s">
        <v>28</v>
      </c>
      <c r="C6" s="87" t="s">
        <v>27</v>
      </c>
      <c r="D6" s="139">
        <v>4059.35</v>
      </c>
      <c r="E6" s="54">
        <v>19190.1354180214</v>
      </c>
      <c r="F6" s="139">
        <v>4112.86</v>
      </c>
      <c r="G6" s="145"/>
      <c r="H6" s="139">
        <v>4260.96</v>
      </c>
      <c r="I6" s="54">
        <v>3836.12824878467</v>
      </c>
      <c r="J6" s="139">
        <v>4276.55</v>
      </c>
      <c r="K6" s="54">
        <v>4654.54304308172</v>
      </c>
      <c r="L6" s="139">
        <v>4219.03</v>
      </c>
      <c r="M6" s="147">
        <v>6709.03504034011</v>
      </c>
      <c r="N6" s="139">
        <v>4111.55</v>
      </c>
      <c r="O6" s="141">
        <v>13378.0432917894</v>
      </c>
      <c r="P6" s="139">
        <v>4259.89</v>
      </c>
      <c r="Q6" s="54">
        <v>2918.43141145716</v>
      </c>
      <c r="R6" s="139">
        <v>3935.7</v>
      </c>
      <c r="S6" s="54">
        <v>5026.73043396829</v>
      </c>
      <c r="T6" s="87">
        <v>4037.41</v>
      </c>
      <c r="U6" s="141">
        <v>3485.87589956638</v>
      </c>
      <c r="V6" s="87">
        <v>4196.98</v>
      </c>
      <c r="W6" s="141">
        <v>3189.39655916077</v>
      </c>
      <c r="X6" s="87">
        <v>4200.78</v>
      </c>
      <c r="Y6" s="141">
        <v>2424.40539260524</v>
      </c>
      <c r="Z6" s="139">
        <v>4146.55</v>
      </c>
      <c r="AA6" s="141">
        <v>5966.68772618711</v>
      </c>
      <c r="AB6" s="142">
        <v>13091</v>
      </c>
      <c r="AC6" s="124">
        <v>4800</v>
      </c>
      <c r="AD6" s="71">
        <f t="shared" si="0"/>
        <v>138488.022464962</v>
      </c>
      <c r="AE6" s="143">
        <v>12</v>
      </c>
      <c r="AF6" s="139">
        <f t="shared" si="1"/>
        <v>11540.6685387469</v>
      </c>
      <c r="AG6" s="60">
        <v>8.5</v>
      </c>
      <c r="AH6" s="48">
        <v>1035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s="133" customFormat="1" ht="22" customHeight="1" spans="1:1024 1025:16384">
      <c r="A7" s="138">
        <v>4</v>
      </c>
      <c r="B7" s="45" t="s">
        <v>30</v>
      </c>
      <c r="C7" s="148" t="s">
        <v>31</v>
      </c>
      <c r="D7" s="139">
        <v>9391.26</v>
      </c>
      <c r="E7" s="145"/>
      <c r="F7" s="139">
        <v>9391.26</v>
      </c>
      <c r="G7" s="145"/>
      <c r="H7" s="139">
        <v>9391.26</v>
      </c>
      <c r="I7" s="145"/>
      <c r="J7" s="139">
        <v>9391.26</v>
      </c>
      <c r="K7" s="145"/>
      <c r="L7" s="139">
        <v>9391.26</v>
      </c>
      <c r="M7" s="145"/>
      <c r="N7" s="139">
        <v>9391.26</v>
      </c>
      <c r="O7" s="145"/>
      <c r="P7" s="139">
        <v>9345.94</v>
      </c>
      <c r="Q7" s="145"/>
      <c r="R7" s="139">
        <v>9352.14</v>
      </c>
      <c r="S7" s="145"/>
      <c r="T7" s="87">
        <v>9398.02</v>
      </c>
      <c r="U7" s="141"/>
      <c r="V7" s="87">
        <v>9398.02</v>
      </c>
      <c r="W7" s="141"/>
      <c r="X7" s="87">
        <v>9398.02</v>
      </c>
      <c r="Y7" s="141"/>
      <c r="Z7" s="139">
        <v>9571.2</v>
      </c>
      <c r="AA7" s="141"/>
      <c r="AB7" s="142">
        <v>13091</v>
      </c>
      <c r="AC7" s="124">
        <v>11000</v>
      </c>
      <c r="AD7" s="71">
        <f t="shared" si="0"/>
        <v>136901.9</v>
      </c>
      <c r="AE7" s="143">
        <v>12</v>
      </c>
      <c r="AF7" s="139">
        <f t="shared" si="1"/>
        <v>11408.4916666667</v>
      </c>
      <c r="AG7" s="60"/>
      <c r="AH7" s="48"/>
    </row>
    <row r="8" s="133" customFormat="1" ht="22" customHeight="1" spans="1:1024 1025:16384">
      <c r="A8" s="138">
        <v>5</v>
      </c>
      <c r="B8" s="74" t="s">
        <v>32</v>
      </c>
      <c r="C8" s="87" t="s">
        <v>27</v>
      </c>
      <c r="D8" s="139">
        <v>3793.22</v>
      </c>
      <c r="E8" s="54">
        <v>9305.38532222814</v>
      </c>
      <c r="F8" s="139">
        <v>3578.93</v>
      </c>
      <c r="G8" s="145"/>
      <c r="H8" s="139">
        <v>3535.16</v>
      </c>
      <c r="I8" s="54">
        <v>3656.03965501573</v>
      </c>
      <c r="J8" s="139">
        <v>3659.89</v>
      </c>
      <c r="K8" s="54">
        <v>7931.90996792994</v>
      </c>
      <c r="L8" s="139">
        <v>3535.16</v>
      </c>
      <c r="M8" s="54">
        <v>5494.3504284857</v>
      </c>
      <c r="N8" s="139">
        <v>3593.22</v>
      </c>
      <c r="O8" s="141">
        <v>5969.619589557</v>
      </c>
      <c r="P8" s="139">
        <v>3461.5</v>
      </c>
      <c r="Q8" s="54">
        <v>4439.35346359098</v>
      </c>
      <c r="R8" s="139">
        <v>3526.02</v>
      </c>
      <c r="S8" s="54">
        <v>15809.8905103451</v>
      </c>
      <c r="T8" s="87">
        <v>3584.08</v>
      </c>
      <c r="U8" s="141">
        <v>8601.76143739443</v>
      </c>
      <c r="V8" s="87">
        <v>3506.66</v>
      </c>
      <c r="W8" s="141">
        <v>1720.82446826335</v>
      </c>
      <c r="X8" s="87">
        <v>3640.75</v>
      </c>
      <c r="Y8" s="141">
        <v>4660.72013754775</v>
      </c>
      <c r="Z8" s="139">
        <v>3822.18</v>
      </c>
      <c r="AA8" s="141">
        <v>2262.7107346395</v>
      </c>
      <c r="AB8" s="142">
        <v>13091</v>
      </c>
      <c r="AC8" s="124">
        <v>4300</v>
      </c>
      <c r="AD8" s="71">
        <f t="shared" si="0"/>
        <v>130480.335714998</v>
      </c>
      <c r="AE8" s="143">
        <v>12</v>
      </c>
      <c r="AF8" s="139">
        <f t="shared" si="1"/>
        <v>10873.3613095831</v>
      </c>
      <c r="AG8" s="47">
        <v>17</v>
      </c>
      <c r="AH8" s="48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133" customFormat="1" ht="22" customHeight="1" spans="1:1024 1025:16384">
      <c r="A9" s="138">
        <v>6</v>
      </c>
      <c r="B9" s="45" t="s">
        <v>33</v>
      </c>
      <c r="C9" s="148" t="s">
        <v>34</v>
      </c>
      <c r="D9" s="139">
        <v>4446.88</v>
      </c>
      <c r="E9" s="54">
        <v>1597.24</v>
      </c>
      <c r="F9" s="139">
        <v>5288.82</v>
      </c>
      <c r="G9" s="145"/>
      <c r="H9" s="139">
        <v>5288.82</v>
      </c>
      <c r="I9" s="54">
        <v>1259.1</v>
      </c>
      <c r="J9" s="139">
        <v>5288.82</v>
      </c>
      <c r="K9" s="54">
        <v>1799.25</v>
      </c>
      <c r="L9" s="139">
        <v>5288.82</v>
      </c>
      <c r="M9" s="54">
        <v>1996.28</v>
      </c>
      <c r="N9" s="139">
        <v>5288.82</v>
      </c>
      <c r="O9" s="141">
        <v>1611.12</v>
      </c>
      <c r="P9" s="139">
        <v>5092.58</v>
      </c>
      <c r="Q9" s="54">
        <v>1137.78</v>
      </c>
      <c r="R9" s="139">
        <v>3782.91</v>
      </c>
      <c r="S9" s="54">
        <v>1571.7</v>
      </c>
      <c r="T9" s="87">
        <v>4796.35</v>
      </c>
      <c r="U9" s="141">
        <v>1128.06</v>
      </c>
      <c r="V9" s="87">
        <v>5279.68</v>
      </c>
      <c r="W9" s="141">
        <v>2324.22</v>
      </c>
      <c r="X9" s="87">
        <v>5279.68</v>
      </c>
      <c r="Y9" s="141">
        <v>1669.09</v>
      </c>
      <c r="Z9" s="139">
        <v>5317.78</v>
      </c>
      <c r="AA9" s="141">
        <v>1784.13</v>
      </c>
      <c r="AB9" s="142">
        <v>13300.88</v>
      </c>
      <c r="AC9" s="124">
        <v>5800</v>
      </c>
      <c r="AD9" s="71">
        <f t="shared" si="0"/>
        <v>97418.81</v>
      </c>
      <c r="AE9" s="143">
        <v>12</v>
      </c>
      <c r="AF9" s="139">
        <f t="shared" si="1"/>
        <v>8118.23416666667</v>
      </c>
      <c r="AG9" s="47">
        <v>16</v>
      </c>
      <c r="AH9" s="48"/>
    </row>
    <row r="10" s="133" customFormat="1" ht="22" customHeight="1" spans="1:1024 1025:16384">
      <c r="A10" s="138">
        <v>7</v>
      </c>
      <c r="B10" s="45" t="s">
        <v>35</v>
      </c>
      <c r="C10" s="87" t="s">
        <v>36</v>
      </c>
      <c r="D10" s="139">
        <v>4788.82</v>
      </c>
      <c r="E10" s="54">
        <v>1986.8</v>
      </c>
      <c r="F10" s="139">
        <v>4788.82</v>
      </c>
      <c r="G10" s="145"/>
      <c r="H10" s="139">
        <v>4788.82</v>
      </c>
      <c r="I10" s="54">
        <v>1259.1</v>
      </c>
      <c r="J10" s="139">
        <v>4788.82</v>
      </c>
      <c r="K10" s="54">
        <v>1799.25</v>
      </c>
      <c r="L10" s="139">
        <v>4788.82</v>
      </c>
      <c r="M10" s="54">
        <v>2149.84</v>
      </c>
      <c r="N10" s="139">
        <v>4788.82</v>
      </c>
      <c r="O10" s="141">
        <v>1482.12</v>
      </c>
      <c r="P10" s="139">
        <v>4779.68</v>
      </c>
      <c r="Q10" s="54">
        <v>1181.54</v>
      </c>
      <c r="R10" s="139">
        <v>4779.68</v>
      </c>
      <c r="S10" s="54">
        <v>2232.9</v>
      </c>
      <c r="T10" s="87">
        <v>4779.68</v>
      </c>
      <c r="U10" s="141">
        <v>1253.4</v>
      </c>
      <c r="V10" s="87">
        <v>4694.2</v>
      </c>
      <c r="W10" s="141">
        <v>2275.74</v>
      </c>
      <c r="X10" s="87">
        <v>4779.68</v>
      </c>
      <c r="Y10" s="141">
        <v>1669.09</v>
      </c>
      <c r="Z10" s="139">
        <v>4817.78</v>
      </c>
      <c r="AA10" s="141">
        <v>1815.99</v>
      </c>
      <c r="AB10" s="142">
        <v>13300.88</v>
      </c>
      <c r="AC10" s="124">
        <v>5300</v>
      </c>
      <c r="AD10" s="71">
        <f t="shared" si="0"/>
        <v>95070.27</v>
      </c>
      <c r="AE10" s="143">
        <v>12</v>
      </c>
      <c r="AF10" s="139">
        <f t="shared" si="1"/>
        <v>7922.5225</v>
      </c>
      <c r="AG10" s="149">
        <v>0.5</v>
      </c>
      <c r="AH10" s="48"/>
    </row>
    <row r="11" s="133" customFormat="1" ht="22" customHeight="1" spans="1:1024 1025:16384">
      <c r="A11" s="138">
        <v>8</v>
      </c>
      <c r="B11" s="45" t="s">
        <v>41</v>
      </c>
      <c r="C11" s="87" t="s">
        <v>38</v>
      </c>
      <c r="D11" s="139">
        <v>4089.99</v>
      </c>
      <c r="E11" s="54">
        <v>1753.06</v>
      </c>
      <c r="F11" s="139">
        <v>4493.22</v>
      </c>
      <c r="G11" s="145"/>
      <c r="H11" s="139">
        <v>4493.22</v>
      </c>
      <c r="I11" s="54">
        <v>1259.1</v>
      </c>
      <c r="J11" s="139">
        <v>4159.89</v>
      </c>
      <c r="K11" s="54">
        <v>1347.35</v>
      </c>
      <c r="L11" s="139">
        <v>4493.22</v>
      </c>
      <c r="M11" s="54">
        <v>1843.45</v>
      </c>
      <c r="N11" s="139">
        <v>4493.22</v>
      </c>
      <c r="O11" s="141">
        <v>1546.56</v>
      </c>
      <c r="P11" s="139">
        <v>4484.08</v>
      </c>
      <c r="Q11" s="150">
        <v>1181.54</v>
      </c>
      <c r="R11" s="139">
        <v>4484.08</v>
      </c>
      <c r="S11" s="54">
        <v>2232.9</v>
      </c>
      <c r="T11" s="87">
        <v>4484.08</v>
      </c>
      <c r="U11" s="141">
        <v>1203.26</v>
      </c>
      <c r="V11" s="87">
        <v>4484.08</v>
      </c>
      <c r="W11" s="141">
        <v>2324.23</v>
      </c>
      <c r="X11" s="87">
        <v>4484.08</v>
      </c>
      <c r="Y11" s="141">
        <v>1638.19</v>
      </c>
      <c r="Z11" s="139">
        <v>4522.18</v>
      </c>
      <c r="AA11" s="141">
        <v>1752.28</v>
      </c>
      <c r="AB11" s="142">
        <v>13091</v>
      </c>
      <c r="AC11" s="124">
        <v>5000</v>
      </c>
      <c r="AD11" s="71">
        <f t="shared" si="0"/>
        <v>89338.26</v>
      </c>
      <c r="AE11" s="143">
        <v>12</v>
      </c>
      <c r="AF11" s="139">
        <f t="shared" si="1"/>
        <v>7444.855</v>
      </c>
      <c r="AG11" s="60">
        <v>4.5</v>
      </c>
      <c r="AH11" s="48"/>
    </row>
    <row r="12" s="133" customFormat="1" ht="22" customHeight="1" spans="1:1024 1025:16384">
      <c r="A12" s="138">
        <v>9</v>
      </c>
      <c r="B12" s="45" t="s">
        <v>39</v>
      </c>
      <c r="C12" s="87" t="s">
        <v>40</v>
      </c>
      <c r="D12" s="139">
        <v>4460.17</v>
      </c>
      <c r="E12" s="145"/>
      <c r="F12" s="139">
        <v>4460.17</v>
      </c>
      <c r="G12" s="145"/>
      <c r="H12" s="139">
        <v>4460.17</v>
      </c>
      <c r="I12" s="54"/>
      <c r="J12" s="139">
        <v>4460.17</v>
      </c>
      <c r="K12" s="54"/>
      <c r="L12" s="139">
        <v>4460.17</v>
      </c>
      <c r="M12" s="54"/>
      <c r="N12" s="139">
        <v>4460.17</v>
      </c>
      <c r="O12" s="141"/>
      <c r="P12" s="139">
        <v>4396.8</v>
      </c>
      <c r="Q12" s="54"/>
      <c r="R12" s="139">
        <v>4408.94</v>
      </c>
      <c r="S12" s="54"/>
      <c r="T12" s="139">
        <v>4454.82</v>
      </c>
      <c r="U12" s="141"/>
      <c r="V12" s="139">
        <v>4454.82</v>
      </c>
      <c r="W12" s="141"/>
      <c r="X12" s="87">
        <v>4454.82</v>
      </c>
      <c r="Y12" s="141"/>
      <c r="Z12" s="139">
        <v>4666.1</v>
      </c>
      <c r="AA12" s="141"/>
      <c r="AB12" s="142">
        <v>13300.88</v>
      </c>
      <c r="AC12" s="124">
        <v>8100</v>
      </c>
      <c r="AD12" s="71">
        <f t="shared" si="0"/>
        <v>74998.2</v>
      </c>
      <c r="AE12" s="143">
        <v>12</v>
      </c>
      <c r="AF12" s="139">
        <f t="shared" si="1"/>
        <v>6249.85</v>
      </c>
      <c r="AG12" s="47"/>
      <c r="AH12" s="48"/>
    </row>
    <row r="13" s="133" customFormat="1" ht="22" customHeight="1" spans="1:1024 1025:16384">
      <c r="A13" s="138">
        <v>10</v>
      </c>
      <c r="B13" s="45" t="s">
        <v>45</v>
      </c>
      <c r="C13" s="148" t="s">
        <v>46</v>
      </c>
      <c r="D13" s="139">
        <v>5088.82</v>
      </c>
      <c r="E13" s="145"/>
      <c r="F13" s="139">
        <v>5088.82</v>
      </c>
      <c r="G13" s="145"/>
      <c r="H13" s="139">
        <v>5088.82</v>
      </c>
      <c r="I13" s="54"/>
      <c r="J13" s="139">
        <v>5088.82</v>
      </c>
      <c r="K13" s="54"/>
      <c r="L13" s="139">
        <v>5088.82</v>
      </c>
      <c r="M13" s="54"/>
      <c r="N13" s="139">
        <v>5088.82</v>
      </c>
      <c r="O13" s="141"/>
      <c r="P13" s="139">
        <v>5079.68</v>
      </c>
      <c r="Q13" s="54"/>
      <c r="R13" s="139">
        <v>5079.68</v>
      </c>
      <c r="S13" s="54"/>
      <c r="T13" s="87">
        <v>5079.68</v>
      </c>
      <c r="U13" s="141"/>
      <c r="V13" s="87">
        <v>5079.68</v>
      </c>
      <c r="W13" s="141"/>
      <c r="X13" s="87">
        <v>5079.68</v>
      </c>
      <c r="Y13" s="141"/>
      <c r="Z13" s="139">
        <v>5117.78</v>
      </c>
      <c r="AA13" s="141"/>
      <c r="AB13" s="151">
        <v>13300.88</v>
      </c>
      <c r="AC13" s="124">
        <v>7100</v>
      </c>
      <c r="AD13" s="71">
        <f t="shared" si="0"/>
        <v>81449.98</v>
      </c>
      <c r="AE13" s="143">
        <v>12</v>
      </c>
      <c r="AF13" s="139">
        <f t="shared" si="1"/>
        <v>6787.49833333333</v>
      </c>
      <c r="AG13" s="60"/>
      <c r="AH13" s="48"/>
    </row>
    <row r="14" s="133" customFormat="1" ht="22" customHeight="1" spans="1:1024 1025:16384">
      <c r="A14" s="138">
        <v>11</v>
      </c>
      <c r="B14" s="45" t="s">
        <v>43</v>
      </c>
      <c r="C14" s="87" t="s">
        <v>44</v>
      </c>
      <c r="D14" s="139">
        <v>4488.82</v>
      </c>
      <c r="E14" s="145"/>
      <c r="F14" s="139">
        <v>4488.82</v>
      </c>
      <c r="G14" s="145"/>
      <c r="H14" s="139">
        <v>4488.82</v>
      </c>
      <c r="I14" s="145"/>
      <c r="J14" s="139">
        <v>4488.82</v>
      </c>
      <c r="K14" s="145"/>
      <c r="L14" s="139">
        <v>4488.82</v>
      </c>
      <c r="M14" s="145"/>
      <c r="N14" s="139">
        <v>4488.82</v>
      </c>
      <c r="O14" s="145"/>
      <c r="P14" s="139">
        <v>4479.68</v>
      </c>
      <c r="Q14" s="145"/>
      <c r="R14" s="139">
        <v>4479.68</v>
      </c>
      <c r="S14" s="145"/>
      <c r="T14" s="87">
        <v>4479.68</v>
      </c>
      <c r="U14" s="141"/>
      <c r="V14" s="87">
        <v>4479.68</v>
      </c>
      <c r="W14" s="141"/>
      <c r="X14" s="87">
        <v>4479.68</v>
      </c>
      <c r="Y14" s="141"/>
      <c r="Z14" s="139">
        <v>4517.78</v>
      </c>
      <c r="AA14" s="141"/>
      <c r="AB14" s="142">
        <v>13300.88</v>
      </c>
      <c r="AC14" s="124">
        <v>5000</v>
      </c>
      <c r="AD14" s="71">
        <f t="shared" si="0"/>
        <v>72149.98</v>
      </c>
      <c r="AE14" s="143">
        <v>12</v>
      </c>
      <c r="AF14" s="139">
        <f t="shared" si="1"/>
        <v>6012.49833333333</v>
      </c>
      <c r="AG14" s="47"/>
      <c r="AH14" s="48"/>
    </row>
    <row r="15" s="133" customFormat="1" ht="22" customHeight="1" spans="1:1024 1025:16384">
      <c r="A15" s="138">
        <v>12</v>
      </c>
      <c r="B15" s="74" t="s">
        <v>47</v>
      </c>
      <c r="C15" s="87" t="s">
        <v>27</v>
      </c>
      <c r="D15" s="139">
        <v>3906.12</v>
      </c>
      <c r="E15" s="145"/>
      <c r="F15" s="139">
        <v>4030.72</v>
      </c>
      <c r="G15" s="145"/>
      <c r="H15" s="139">
        <v>3822.25</v>
      </c>
      <c r="I15" s="145"/>
      <c r="J15" s="139">
        <v>4292.22</v>
      </c>
      <c r="K15" s="145"/>
      <c r="L15" s="139">
        <v>4285.16</v>
      </c>
      <c r="M15" s="145"/>
      <c r="N15" s="139">
        <v>4189.89</v>
      </c>
      <c r="O15" s="145"/>
      <c r="P15" s="139">
        <v>3656.67</v>
      </c>
      <c r="Q15" s="145"/>
      <c r="R15" s="139">
        <v>4024.41</v>
      </c>
      <c r="S15" s="145"/>
      <c r="T15" s="87">
        <v>4284.08</v>
      </c>
      <c r="U15" s="141"/>
      <c r="V15" s="87">
        <v>4256.66</v>
      </c>
      <c r="W15" s="141"/>
      <c r="X15" s="87">
        <v>4439.88</v>
      </c>
      <c r="Y15" s="141"/>
      <c r="Z15" s="139">
        <v>4483.32</v>
      </c>
      <c r="AA15" s="141"/>
      <c r="AB15" s="142">
        <v>13091</v>
      </c>
      <c r="AC15" s="124">
        <v>5000</v>
      </c>
      <c r="AD15" s="71">
        <f t="shared" si="0"/>
        <v>67762.38</v>
      </c>
      <c r="AE15" s="143">
        <v>12</v>
      </c>
      <c r="AF15" s="139">
        <f t="shared" si="1"/>
        <v>5646.865</v>
      </c>
      <c r="AG15" s="47">
        <v>13</v>
      </c>
      <c r="AH15" s="48">
        <v>813</v>
      </c>
    </row>
    <row r="16" s="133" customFormat="1" ht="22" customHeight="1" spans="1:1024 1025:16384">
      <c r="A16" s="138">
        <v>13</v>
      </c>
      <c r="B16" s="74" t="s">
        <v>57</v>
      </c>
      <c r="C16" s="87" t="s">
        <v>38</v>
      </c>
      <c r="D16" s="139"/>
      <c r="E16" s="145"/>
      <c r="F16" s="139"/>
      <c r="G16" s="145"/>
      <c r="H16" s="87"/>
      <c r="I16" s="145"/>
      <c r="J16" s="139">
        <v>4500</v>
      </c>
      <c r="K16" s="145"/>
      <c r="L16" s="139">
        <v>4500</v>
      </c>
      <c r="M16" s="145"/>
      <c r="N16" s="139">
        <v>4350</v>
      </c>
      <c r="O16" s="145"/>
      <c r="P16" s="139">
        <v>4484.08</v>
      </c>
      <c r="Q16" s="150">
        <v>1181.54</v>
      </c>
      <c r="R16" s="139">
        <v>4484.08</v>
      </c>
      <c r="S16" s="54">
        <v>2232.9</v>
      </c>
      <c r="T16" s="87">
        <v>4484.08</v>
      </c>
      <c r="U16" s="141">
        <v>1278.47</v>
      </c>
      <c r="V16" s="87">
        <v>4484.08</v>
      </c>
      <c r="W16" s="141">
        <v>2324.23</v>
      </c>
      <c r="X16" s="87">
        <v>4484.08</v>
      </c>
      <c r="Y16" s="141">
        <v>865.46</v>
      </c>
      <c r="Z16" s="139">
        <v>4522.18</v>
      </c>
      <c r="AA16" s="141">
        <v>1592.98</v>
      </c>
      <c r="AB16" s="142">
        <v>6473.04</v>
      </c>
      <c r="AC16" s="124">
        <v>1500</v>
      </c>
      <c r="AD16" s="71">
        <f t="shared" si="0"/>
        <v>57741.2</v>
      </c>
      <c r="AE16" s="143">
        <v>9</v>
      </c>
      <c r="AF16" s="139">
        <f t="shared" si="1"/>
        <v>6415.68888888889</v>
      </c>
      <c r="AG16" s="47">
        <v>1</v>
      </c>
      <c r="AH16" s="48"/>
    </row>
    <row r="17" s="133" customFormat="1" ht="22" customHeight="1" spans="1:34">
      <c r="A17" s="138">
        <v>14</v>
      </c>
      <c r="B17" s="74" t="s">
        <v>58</v>
      </c>
      <c r="C17" s="87" t="s">
        <v>38</v>
      </c>
      <c r="D17" s="139"/>
      <c r="E17" s="145"/>
      <c r="F17" s="139"/>
      <c r="G17" s="145"/>
      <c r="H17" s="139"/>
      <c r="I17" s="145"/>
      <c r="J17" s="139"/>
      <c r="K17" s="145"/>
      <c r="L17" s="139"/>
      <c r="M17" s="145"/>
      <c r="N17" s="139">
        <v>2100</v>
      </c>
      <c r="O17" s="145"/>
      <c r="P17" s="139">
        <v>4500</v>
      </c>
      <c r="Q17" s="145"/>
      <c r="R17" s="139">
        <v>4500</v>
      </c>
      <c r="S17" s="145"/>
      <c r="T17" s="87">
        <v>4500</v>
      </c>
      <c r="U17" s="141">
        <v>676.84</v>
      </c>
      <c r="V17" s="87">
        <v>4484.08</v>
      </c>
      <c r="W17" s="141">
        <v>2324.23</v>
      </c>
      <c r="X17" s="87">
        <v>4484.08</v>
      </c>
      <c r="Y17" s="141">
        <v>1236.37</v>
      </c>
      <c r="Z17" s="37">
        <v>4522.18</v>
      </c>
      <c r="AA17" s="141">
        <v>1561.12</v>
      </c>
      <c r="AB17" s="142">
        <v>3123.1</v>
      </c>
      <c r="AC17" s="124">
        <v>1500</v>
      </c>
      <c r="AD17" s="71">
        <f t="shared" si="0"/>
        <v>39512</v>
      </c>
      <c r="AE17" s="143">
        <v>6</v>
      </c>
      <c r="AF17" s="139">
        <f t="shared" si="1"/>
        <v>6585.33333333333</v>
      </c>
      <c r="AG17" s="47"/>
      <c r="AH17" s="48"/>
    </row>
    <row r="18" s="133" customFormat="1" ht="22" customHeight="1" spans="1:34">
      <c r="A18" s="138">
        <v>15</v>
      </c>
      <c r="B18" s="74" t="s">
        <v>37</v>
      </c>
      <c r="C18" s="87" t="s">
        <v>38</v>
      </c>
      <c r="D18" s="139">
        <v>4793.22</v>
      </c>
      <c r="E18" s="54">
        <v>1947.85</v>
      </c>
      <c r="F18" s="139">
        <v>4793.22</v>
      </c>
      <c r="G18" s="145"/>
      <c r="H18" s="139">
        <v>4793.22</v>
      </c>
      <c r="I18" s="54">
        <v>1259.1</v>
      </c>
      <c r="J18" s="139">
        <v>4793.22</v>
      </c>
      <c r="K18" s="54">
        <v>1699.25</v>
      </c>
      <c r="L18" s="139">
        <v>4793.22</v>
      </c>
      <c r="M18" s="54">
        <v>1996.28</v>
      </c>
      <c r="N18" s="139">
        <v>4793.22</v>
      </c>
      <c r="O18" s="141">
        <v>1288.8</v>
      </c>
      <c r="P18" s="37"/>
      <c r="Q18" s="145"/>
      <c r="R18" s="139"/>
      <c r="S18" s="145"/>
      <c r="T18" s="37"/>
      <c r="U18" s="145"/>
      <c r="V18" s="37"/>
      <c r="W18" s="145"/>
      <c r="X18" s="37"/>
      <c r="Y18" s="145"/>
      <c r="Z18" s="37"/>
      <c r="AA18" s="145"/>
      <c r="AB18" s="142">
        <v>6617.96</v>
      </c>
      <c r="AC18" s="152"/>
      <c r="AD18" s="71">
        <f t="shared" si="0"/>
        <v>43568.56</v>
      </c>
      <c r="AE18" s="143">
        <v>6</v>
      </c>
      <c r="AF18" s="139">
        <f t="shared" si="1"/>
        <v>7261.42666666667</v>
      </c>
      <c r="AG18" s="47"/>
      <c r="AH18" s="48"/>
    </row>
    <row r="19" s="133" customFormat="1" ht="22" customHeight="1" spans="1:34">
      <c r="A19" s="138">
        <v>16</v>
      </c>
      <c r="B19" s="45" t="s">
        <v>42</v>
      </c>
      <c r="C19" s="87" t="s">
        <v>38</v>
      </c>
      <c r="D19" s="139">
        <v>3364.19</v>
      </c>
      <c r="E19" s="54">
        <v>1402.45</v>
      </c>
      <c r="F19" s="139">
        <v>4314.65</v>
      </c>
      <c r="G19" s="145"/>
      <c r="H19" s="139">
        <v>4331.93</v>
      </c>
      <c r="I19" s="54">
        <v>1212.46343283582</v>
      </c>
      <c r="J19" s="139">
        <v>4200.51</v>
      </c>
      <c r="K19" s="145"/>
      <c r="L19" s="139">
        <v>4377.29</v>
      </c>
      <c r="M19" s="145"/>
      <c r="N19" s="139">
        <v>4444.61</v>
      </c>
      <c r="O19" s="145"/>
      <c r="P19" s="139">
        <v>556.120000000001</v>
      </c>
      <c r="Q19" s="145"/>
      <c r="R19" s="139"/>
      <c r="S19" s="145"/>
      <c r="T19" s="37"/>
      <c r="U19" s="141"/>
      <c r="V19" s="37"/>
      <c r="W19" s="145"/>
      <c r="X19" s="37"/>
      <c r="Y19" s="145"/>
      <c r="Z19" s="37"/>
      <c r="AA19" s="141"/>
      <c r="AB19" s="142">
        <v>6617.96</v>
      </c>
      <c r="AC19" s="124"/>
      <c r="AD19" s="71">
        <f t="shared" si="0"/>
        <v>34822.1734328358</v>
      </c>
      <c r="AE19" s="143">
        <v>6</v>
      </c>
      <c r="AF19" s="139">
        <f t="shared" si="1"/>
        <v>5803.69557213931</v>
      </c>
      <c r="AG19" s="60">
        <v>15.5</v>
      </c>
      <c r="AH19" s="48">
        <v>393</v>
      </c>
    </row>
    <row r="20" s="133" customFormat="1" ht="22" customHeight="1" spans="1:34">
      <c r="A20" s="138">
        <v>17</v>
      </c>
      <c r="B20" s="74" t="s">
        <v>59</v>
      </c>
      <c r="C20" s="87" t="s">
        <v>38</v>
      </c>
      <c r="D20" s="139"/>
      <c r="E20" s="145"/>
      <c r="F20" s="139"/>
      <c r="G20" s="145"/>
      <c r="H20" s="87"/>
      <c r="I20" s="145"/>
      <c r="J20" s="139"/>
      <c r="K20" s="145"/>
      <c r="L20" s="139"/>
      <c r="M20" s="145"/>
      <c r="N20" s="139">
        <v>2550</v>
      </c>
      <c r="O20" s="145"/>
      <c r="P20" s="139">
        <v>4500</v>
      </c>
      <c r="Q20" s="145"/>
      <c r="R20" s="139">
        <v>4500</v>
      </c>
      <c r="S20" s="145"/>
      <c r="T20" s="87">
        <v>4500</v>
      </c>
      <c r="U20" s="141">
        <v>726.97</v>
      </c>
      <c r="V20" s="87">
        <v>4484.08</v>
      </c>
      <c r="W20" s="141"/>
      <c r="X20" s="87">
        <v>166.57</v>
      </c>
      <c r="Y20" s="141"/>
      <c r="Z20" s="139"/>
      <c r="AA20" s="141"/>
      <c r="AB20" s="142">
        <v>1086.06</v>
      </c>
      <c r="AC20" s="124"/>
      <c r="AD20" s="71">
        <f t="shared" si="0"/>
        <v>22513.68</v>
      </c>
      <c r="AE20" s="143">
        <v>5</v>
      </c>
      <c r="AF20" s="139">
        <f t="shared" si="1"/>
        <v>4502.736</v>
      </c>
      <c r="AG20" s="47"/>
      <c r="AH20" s="48"/>
    </row>
    <row r="21" s="133" customFormat="1" ht="22" customHeight="1" spans="1:34">
      <c r="A21" s="138">
        <v>18</v>
      </c>
      <c r="B21" s="74" t="s">
        <v>60</v>
      </c>
      <c r="C21" s="153" t="s">
        <v>38</v>
      </c>
      <c r="D21" s="37"/>
      <c r="E21" s="145"/>
      <c r="F21" s="139">
        <v>1285.71</v>
      </c>
      <c r="G21" s="145"/>
      <c r="H21" s="87"/>
      <c r="I21" s="145"/>
      <c r="J21" s="87"/>
      <c r="K21" s="145"/>
      <c r="L21" s="87"/>
      <c r="M21" s="145"/>
      <c r="N21" s="37"/>
      <c r="O21" s="145"/>
      <c r="P21" s="37"/>
      <c r="Q21" s="145"/>
      <c r="R21" s="139"/>
      <c r="S21" s="145"/>
      <c r="T21" s="37"/>
      <c r="U21" s="145"/>
      <c r="V21" s="37"/>
      <c r="W21" s="145"/>
      <c r="X21" s="37"/>
      <c r="Y21" s="145"/>
      <c r="Z21" s="37"/>
      <c r="AA21" s="145"/>
      <c r="AB21" s="154"/>
      <c r="AC21" s="154"/>
      <c r="AD21" s="71">
        <f t="shared" si="0"/>
        <v>1285.71</v>
      </c>
      <c r="AE21" s="143">
        <v>1</v>
      </c>
      <c r="AF21" s="139">
        <f t="shared" si="1"/>
        <v>1285.71</v>
      </c>
      <c r="AG21" s="60"/>
      <c r="AH21" s="48"/>
    </row>
    <row r="22" s="133" customFormat="1" ht="22" customHeight="1" spans="1:34">
      <c r="A22" s="138">
        <v>19</v>
      </c>
      <c r="B22" s="74" t="s">
        <v>61</v>
      </c>
      <c r="C22" s="87" t="s">
        <v>38</v>
      </c>
      <c r="D22" s="139"/>
      <c r="E22" s="145"/>
      <c r="F22" s="139"/>
      <c r="G22" s="145"/>
      <c r="H22" s="87"/>
      <c r="I22" s="145"/>
      <c r="J22" s="87"/>
      <c r="K22" s="145"/>
      <c r="L22" s="139">
        <v>903.23</v>
      </c>
      <c r="M22" s="145"/>
      <c r="N22" s="37"/>
      <c r="O22" s="145"/>
      <c r="P22" s="37"/>
      <c r="Q22" s="145"/>
      <c r="R22" s="139"/>
      <c r="S22" s="145"/>
      <c r="T22" s="37"/>
      <c r="U22" s="145"/>
      <c r="V22" s="37"/>
      <c r="W22" s="145"/>
      <c r="X22" s="37"/>
      <c r="Y22" s="145"/>
      <c r="Z22" s="37"/>
      <c r="AA22" s="145"/>
      <c r="AB22" s="154"/>
      <c r="AC22" s="154"/>
      <c r="AD22" s="71">
        <f t="shared" si="0"/>
        <v>903.23</v>
      </c>
      <c r="AE22" s="143">
        <v>1</v>
      </c>
      <c r="AF22" s="139">
        <f t="shared" si="1"/>
        <v>903.23</v>
      </c>
      <c r="AG22" s="60"/>
      <c r="AH22" s="48"/>
    </row>
    <row r="23" s="2" customFormat="1" ht="22" customHeight="1" spans="1:34">
      <c r="A23" s="123" t="s">
        <v>51</v>
      </c>
      <c r="B23" s="18"/>
      <c r="C23" s="18"/>
      <c r="D23" s="69">
        <f>SUM(D4:D20)</f>
        <v>64235.57</v>
      </c>
      <c r="E23" s="155">
        <f>SUM(E4:E22)</f>
        <v>58524.3426673783</v>
      </c>
      <c r="F23" s="69">
        <f>SUM(F4:F21)</f>
        <v>68984.23</v>
      </c>
      <c r="G23" s="155">
        <f>SUM(G4:G21)</f>
        <v>4537.41244775045</v>
      </c>
      <c r="H23" s="69">
        <f>SUM(H4:H21)</f>
        <v>67762.58</v>
      </c>
      <c r="I23" s="155">
        <f t="shared" ref="I23:AD23" si="2">SUM(I4:I22)</f>
        <v>41729.7828796006</v>
      </c>
      <c r="J23" s="69">
        <f t="shared" si="2"/>
        <v>72736.76</v>
      </c>
      <c r="K23" s="155">
        <f t="shared" si="2"/>
        <v>31916.1342697256</v>
      </c>
      <c r="L23" s="69">
        <f t="shared" si="2"/>
        <v>73466.54</v>
      </c>
      <c r="M23" s="155">
        <f t="shared" si="2"/>
        <v>47265.4314545292</v>
      </c>
      <c r="N23" s="69">
        <f t="shared" si="2"/>
        <v>77061.85</v>
      </c>
      <c r="O23" s="155">
        <f t="shared" si="2"/>
        <v>49975.6881361902</v>
      </c>
      <c r="P23" s="69">
        <f t="shared" si="2"/>
        <v>70808.55</v>
      </c>
      <c r="Q23" s="155">
        <f t="shared" si="2"/>
        <v>40958.0265297963</v>
      </c>
      <c r="R23" s="69">
        <f t="shared" si="2"/>
        <v>69690.71</v>
      </c>
      <c r="S23" s="155">
        <f t="shared" si="2"/>
        <v>56840.4999184335</v>
      </c>
      <c r="T23" s="69">
        <f t="shared" si="2"/>
        <v>71256.97</v>
      </c>
      <c r="U23" s="155">
        <f t="shared" si="2"/>
        <v>40625.4121957125</v>
      </c>
      <c r="V23" s="69">
        <f t="shared" si="2"/>
        <v>71983.86</v>
      </c>
      <c r="W23" s="155">
        <f t="shared" si="2"/>
        <v>45720.8657585146</v>
      </c>
      <c r="X23" s="69">
        <f t="shared" si="2"/>
        <v>68538.24</v>
      </c>
      <c r="Y23" s="155">
        <f t="shared" si="2"/>
        <v>37584.4330561297</v>
      </c>
      <c r="Z23" s="69">
        <f t="shared" si="2"/>
        <v>69274.01</v>
      </c>
      <c r="AA23" s="155">
        <f t="shared" si="2"/>
        <v>43760.4145003009</v>
      </c>
      <c r="AB23" s="102">
        <f t="shared" si="2"/>
        <v>182269.4</v>
      </c>
      <c r="AC23" s="124">
        <f t="shared" si="2"/>
        <v>74900</v>
      </c>
      <c r="AD23" s="156">
        <f t="shared" si="2"/>
        <v>1602407.71381406</v>
      </c>
      <c r="AE23" s="125"/>
      <c r="AF23" s="126">
        <f>SUM(AF4:AF21)</f>
        <v>148693.020492797</v>
      </c>
      <c r="AG23" s="47">
        <f>SUM(AG4:AG22)</f>
        <v>122.5</v>
      </c>
      <c r="AH23" s="48">
        <f>SUM(AH4:AH22)</f>
        <v>8405</v>
      </c>
    </row>
    <row r="24" s="2" customFormat="1" ht="22" customHeight="1" spans="1:34">
      <c r="A24" s="75" t="s">
        <v>52</v>
      </c>
      <c r="B24" s="75"/>
      <c r="C24" s="75"/>
      <c r="D24" s="70">
        <f>SUM(D23)</f>
        <v>64235.57</v>
      </c>
      <c r="E24" s="70"/>
      <c r="F24" s="70">
        <f>SUM(F23)</f>
        <v>68984.23</v>
      </c>
      <c r="G24" s="70"/>
      <c r="H24" s="70">
        <f>SUM(H23)</f>
        <v>67762.58</v>
      </c>
      <c r="I24" s="70"/>
      <c r="J24" s="70">
        <f>SUM(J23)</f>
        <v>72736.76</v>
      </c>
      <c r="K24" s="70"/>
      <c r="L24" s="70">
        <f>SUM(L23)</f>
        <v>73466.54</v>
      </c>
      <c r="M24" s="70"/>
      <c r="N24" s="70">
        <f>SUM(N23)</f>
        <v>77061.85</v>
      </c>
      <c r="O24" s="70"/>
      <c r="P24" s="70">
        <f>SUM(P23)</f>
        <v>70808.55</v>
      </c>
      <c r="Q24" s="70"/>
      <c r="R24" s="70">
        <f>SUM(R23)</f>
        <v>69690.71</v>
      </c>
      <c r="S24" s="70"/>
      <c r="T24" s="70">
        <f>SUM(T23)</f>
        <v>71256.97</v>
      </c>
      <c r="U24" s="70"/>
      <c r="V24" s="70">
        <f>SUM(V23)</f>
        <v>71983.86</v>
      </c>
      <c r="W24" s="70"/>
      <c r="X24" s="70">
        <f>SUM(X23)</f>
        <v>68538.24</v>
      </c>
      <c r="Y24" s="70"/>
      <c r="Z24" s="70">
        <f>SUM(Z23)</f>
        <v>69274.01</v>
      </c>
      <c r="AA24" s="70"/>
      <c r="AB24" s="124">
        <f>SUM(AB23)</f>
        <v>182269.4</v>
      </c>
      <c r="AC24" s="124">
        <f>SUM(AC23)</f>
        <v>74900</v>
      </c>
      <c r="AD24" s="76">
        <f>SUM(D24:AC24)</f>
        <v>1102969.27</v>
      </c>
      <c r="AE24" s="8"/>
      <c r="AF24" s="1"/>
      <c r="AG24" s="81"/>
      <c r="AH24" s="81"/>
    </row>
    <row r="25" spans="1:34">
      <c r="A25" s="75" t="s">
        <v>53</v>
      </c>
      <c r="B25" s="75"/>
      <c r="C25" s="75"/>
      <c r="D25" s="129"/>
      <c r="E25" s="70">
        <f>SUM(E4+E5+E6+E8)</f>
        <v>49836.9426673784</v>
      </c>
      <c r="F25" s="70"/>
      <c r="G25" s="70">
        <f t="shared" ref="F25:Q25" si="3">SUM(G4+G5+G6+G8)</f>
        <v>4537.41244775045</v>
      </c>
      <c r="H25" s="70"/>
      <c r="I25" s="70">
        <f t="shared" si="3"/>
        <v>35480.9194467648</v>
      </c>
      <c r="J25" s="70"/>
      <c r="K25" s="70">
        <f t="shared" si="3"/>
        <v>25271.0342697256</v>
      </c>
      <c r="L25" s="70"/>
      <c r="M25" s="70">
        <f t="shared" si="3"/>
        <v>39279.5814545292</v>
      </c>
      <c r="N25" s="70"/>
      <c r="O25" s="70">
        <f t="shared" si="3"/>
        <v>44047.0881361902</v>
      </c>
      <c r="P25" s="70"/>
      <c r="Q25" s="70">
        <f t="shared" si="3"/>
        <v>36275.6265297963</v>
      </c>
      <c r="R25" s="70"/>
      <c r="S25" s="70">
        <f t="shared" ref="R25:AA25" si="4">SUM(S4+S5+S6+S8)</f>
        <v>48570.0999184335</v>
      </c>
      <c r="T25" s="70"/>
      <c r="U25" s="70">
        <f t="shared" si="4"/>
        <v>34358.4121957125</v>
      </c>
      <c r="V25" s="70"/>
      <c r="W25" s="70">
        <f t="shared" si="4"/>
        <v>34148.2157585146</v>
      </c>
      <c r="X25" s="70"/>
      <c r="Y25" s="70">
        <f t="shared" si="4"/>
        <v>30506.2330561297</v>
      </c>
      <c r="Z25" s="70"/>
      <c r="AA25" s="70">
        <f t="shared" si="4"/>
        <v>35253.9145003009</v>
      </c>
      <c r="AB25" s="70"/>
      <c r="AC25" s="70"/>
      <c r="AD25" s="76">
        <f>SUM(D25:AC25)</f>
        <v>417565.480381226</v>
      </c>
    </row>
    <row r="26" spans="1:34">
      <c r="A26" s="75" t="s">
        <v>54</v>
      </c>
      <c r="B26" s="75"/>
      <c r="C26" s="75"/>
      <c r="D26" s="129"/>
      <c r="E26" s="70">
        <f>SUM(E9+E10+E11+E18+E19)</f>
        <v>8687.4</v>
      </c>
      <c r="F26" s="70"/>
      <c r="G26" s="70">
        <f>SUM(G9+G10+G11+G18+G19)</f>
        <v>0</v>
      </c>
      <c r="H26" s="70"/>
      <c r="I26" s="70">
        <f>SUM(I9+I10+I11+I18+I19)</f>
        <v>6248.86343283582</v>
      </c>
      <c r="J26" s="70"/>
      <c r="K26" s="70">
        <f>SUM(K9+K10+K11+K18+K19)</f>
        <v>6645.1</v>
      </c>
      <c r="L26" s="70"/>
      <c r="M26" s="70">
        <f>SUM(M9+M10+M11+M18+M19)</f>
        <v>7985.85</v>
      </c>
      <c r="N26" s="70"/>
      <c r="O26" s="70">
        <f>SUM(O9+O10+O11+O18+O19)</f>
        <v>5928.6</v>
      </c>
      <c r="P26" s="70"/>
      <c r="Q26" s="70">
        <f t="shared" ref="P26:S26" si="5">SUM(Q23-Q25)</f>
        <v>4682.40000000005</v>
      </c>
      <c r="R26" s="70"/>
      <c r="S26" s="70">
        <f t="shared" si="5"/>
        <v>8270.40000000004</v>
      </c>
      <c r="T26" s="70"/>
      <c r="U26" s="70">
        <f t="shared" ref="T26:AA26" si="6">SUM(U23-U25)</f>
        <v>6267.00000000001</v>
      </c>
      <c r="V26" s="70"/>
      <c r="W26" s="70">
        <f t="shared" si="6"/>
        <v>11572.65</v>
      </c>
      <c r="X26" s="70"/>
      <c r="Y26" s="70">
        <f t="shared" si="6"/>
        <v>7078.19999999998</v>
      </c>
      <c r="Z26" s="70"/>
      <c r="AA26" s="70">
        <f t="shared" si="6"/>
        <v>8506.5</v>
      </c>
      <c r="AB26" s="70"/>
      <c r="AC26" s="70"/>
      <c r="AD26" s="76">
        <f>SUM(D26:AC26)</f>
        <v>81872.9634328359</v>
      </c>
    </row>
    <row r="27" spans="1:34">
      <c r="D27" s="157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78"/>
      <c r="AC27" s="78"/>
    </row>
    <row r="28" spans="1:34">
      <c r="D28" s="157"/>
      <c r="E28" s="159"/>
    </row>
  </sheetData>
  <mergeCells count="26">
    <mergeCell ref="A1:AF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G2:AH2"/>
    <mergeCell ref="A23:B23"/>
    <mergeCell ref="A24:C24"/>
    <mergeCell ref="A25:C25"/>
    <mergeCell ref="A26:C26"/>
    <mergeCell ref="A2:A3"/>
    <mergeCell ref="B2:B3"/>
    <mergeCell ref="C2:C3"/>
    <mergeCell ref="AB2:AB3"/>
    <mergeCell ref="AC2:AC3"/>
    <mergeCell ref="AD2:AD3"/>
    <mergeCell ref="AE2:AE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AJ45"/>
  <sheetViews>
    <sheetView workbookViewId="0">
      <pane xSplit="3" ySplit="3" topLeftCell="T4" activePane="bottomRight" state="frozen"/>
      <selection/>
      <selection pane="topRight"/>
      <selection pane="bottomLeft"/>
      <selection pane="bottomRight" activeCell="AB2" sqref="AB2:AB3"/>
    </sheetView>
  </sheetViews>
  <sheetFormatPr defaultColWidth="9" defaultRowHeight="14.25"/>
  <cols>
    <col min="1" max="1" width="4.625" style="1" customWidth="1"/>
    <col min="2" max="2" width="7.875" style="1" customWidth="1"/>
    <col min="3" max="3" width="8.875" style="4" customWidth="1"/>
    <col min="4" max="4" width="12" style="1" customWidth="1"/>
    <col min="5" max="5" width="12" style="5" customWidth="1"/>
    <col min="6" max="6" width="12" style="1" customWidth="1"/>
    <col min="7" max="7" width="12" style="5" customWidth="1"/>
    <col min="8" max="8" width="12" style="1" customWidth="1"/>
    <col min="9" max="9" width="11" style="5" customWidth="1"/>
    <col min="10" max="10" width="12" style="1" customWidth="1"/>
    <col min="11" max="11" width="11" style="6" customWidth="1"/>
    <col min="12" max="12" width="12" style="1" customWidth="1"/>
    <col min="13" max="13" width="11" style="10" customWidth="1"/>
    <col min="14" max="14" width="12" style="8" customWidth="1"/>
    <col min="15" max="15" width="11" style="5" customWidth="1"/>
    <col min="16" max="16" width="12" style="1" customWidth="1"/>
    <col min="17" max="17" width="11" style="10" customWidth="1"/>
    <col min="18" max="18" width="12" style="1" customWidth="1"/>
    <col min="19" max="19" width="11" style="5" customWidth="1"/>
    <col min="20" max="20" width="12" style="1" customWidth="1"/>
    <col min="21" max="21" width="12" style="5" customWidth="1"/>
    <col min="22" max="22" width="12" style="1" customWidth="1"/>
    <col min="23" max="23" width="12" style="5" customWidth="1"/>
    <col min="24" max="24" width="12" style="4" customWidth="1"/>
    <col min="25" max="25" width="12" style="11" customWidth="1"/>
    <col min="26" max="26" width="13.375" style="4" customWidth="1"/>
    <col min="27" max="27" width="12" style="12" customWidth="1"/>
    <col min="28" max="29" width="12" style="4" customWidth="1"/>
    <col min="30" max="30" width="16.25" style="4" customWidth="1"/>
    <col min="31" max="31" width="10" style="8" customWidth="1"/>
    <col min="32" max="32" width="15.625" style="1" customWidth="1"/>
    <col min="33" max="34" width="9" style="8"/>
    <col min="35" max="35" width="9" style="1"/>
    <col min="36" max="36" width="9" style="8"/>
    <col min="37" max="16384" width="9" style="1"/>
  </cols>
  <sheetData>
    <row r="1" s="1" customFormat="1" ht="28" customHeight="1" spans="1:36">
      <c r="A1" s="13" t="s">
        <v>62</v>
      </c>
      <c r="B1" s="13"/>
      <c r="C1" s="13"/>
      <c r="D1" s="13"/>
      <c r="E1" s="14"/>
      <c r="F1" s="13"/>
      <c r="G1" s="14"/>
      <c r="H1" s="13"/>
      <c r="I1" s="14"/>
      <c r="J1" s="13"/>
      <c r="K1" s="14"/>
      <c r="L1" s="13"/>
      <c r="M1" s="14"/>
      <c r="N1" s="13"/>
      <c r="O1" s="14"/>
      <c r="P1" s="13"/>
      <c r="Q1" s="14"/>
      <c r="R1" s="13"/>
      <c r="S1" s="14"/>
      <c r="T1" s="13"/>
      <c r="U1" s="14"/>
      <c r="V1" s="13"/>
      <c r="W1" s="14"/>
      <c r="X1" s="13"/>
      <c r="Y1" s="14"/>
      <c r="Z1" s="13"/>
      <c r="AA1" s="14"/>
      <c r="AB1" s="13"/>
      <c r="AC1" s="13"/>
      <c r="AD1" s="13"/>
      <c r="AE1" s="13"/>
      <c r="AF1" s="13"/>
      <c r="AG1" s="8"/>
      <c r="AH1" s="8"/>
      <c r="AJ1" s="8"/>
    </row>
    <row r="2" s="1" customFormat="1" ht="28" customHeight="1" spans="1:36">
      <c r="A2" s="108" t="s">
        <v>56</v>
      </c>
      <c r="B2" s="18" t="s">
        <v>2</v>
      </c>
      <c r="C2" s="18" t="s">
        <v>3</v>
      </c>
      <c r="D2" s="21" t="s">
        <v>4</v>
      </c>
      <c r="E2" s="89"/>
      <c r="F2" s="90" t="s">
        <v>5</v>
      </c>
      <c r="G2" s="89"/>
      <c r="H2" s="90" t="s">
        <v>6</v>
      </c>
      <c r="I2" s="89"/>
      <c r="J2" s="90" t="s">
        <v>7</v>
      </c>
      <c r="K2" s="91"/>
      <c r="L2" s="90" t="s">
        <v>8</v>
      </c>
      <c r="M2" s="89"/>
      <c r="N2" s="90" t="s">
        <v>9</v>
      </c>
      <c r="O2" s="89"/>
      <c r="P2" s="90" t="s">
        <v>10</v>
      </c>
      <c r="Q2" s="89"/>
      <c r="R2" s="90" t="s">
        <v>11</v>
      </c>
      <c r="S2" s="89"/>
      <c r="T2" s="90" t="s">
        <v>12</v>
      </c>
      <c r="U2" s="89"/>
      <c r="V2" s="90" t="s">
        <v>13</v>
      </c>
      <c r="W2" s="89"/>
      <c r="X2" s="90" t="s">
        <v>14</v>
      </c>
      <c r="Y2" s="89"/>
      <c r="Z2" s="90" t="s">
        <v>15</v>
      </c>
      <c r="AA2" s="89"/>
      <c r="AB2" s="22" t="s">
        <v>16</v>
      </c>
      <c r="AC2" s="23" t="s">
        <v>17</v>
      </c>
      <c r="AD2" s="109" t="s">
        <v>18</v>
      </c>
      <c r="AE2" s="25" t="s">
        <v>19</v>
      </c>
      <c r="AF2" s="26" t="s">
        <v>20</v>
      </c>
      <c r="AG2" s="27" t="s">
        <v>21</v>
      </c>
      <c r="AH2" s="28"/>
      <c r="AJ2" s="8"/>
    </row>
    <row r="3" s="2" customFormat="1" ht="26" customHeight="1" spans="1:36">
      <c r="A3" s="110"/>
      <c r="B3" s="18"/>
      <c r="C3" s="18"/>
      <c r="D3" s="30" t="s">
        <v>22</v>
      </c>
      <c r="E3" s="31" t="s">
        <v>23</v>
      </c>
      <c r="F3" s="18" t="s">
        <v>22</v>
      </c>
      <c r="G3" s="31" t="s">
        <v>23</v>
      </c>
      <c r="H3" s="18" t="s">
        <v>22</v>
      </c>
      <c r="I3" s="31" t="s">
        <v>23</v>
      </c>
      <c r="J3" s="18" t="s">
        <v>22</v>
      </c>
      <c r="K3" s="91" t="s">
        <v>23</v>
      </c>
      <c r="L3" s="18" t="s">
        <v>22</v>
      </c>
      <c r="M3" s="31" t="s">
        <v>23</v>
      </c>
      <c r="N3" s="18" t="s">
        <v>22</v>
      </c>
      <c r="O3" s="31" t="s">
        <v>23</v>
      </c>
      <c r="P3" s="18" t="s">
        <v>22</v>
      </c>
      <c r="Q3" s="31" t="s">
        <v>23</v>
      </c>
      <c r="R3" s="18" t="s">
        <v>22</v>
      </c>
      <c r="S3" s="31" t="s">
        <v>23</v>
      </c>
      <c r="T3" s="18" t="s">
        <v>22</v>
      </c>
      <c r="U3" s="31" t="s">
        <v>23</v>
      </c>
      <c r="V3" s="18" t="s">
        <v>22</v>
      </c>
      <c r="W3" s="31" t="s">
        <v>23</v>
      </c>
      <c r="X3" s="18" t="s">
        <v>22</v>
      </c>
      <c r="Y3" s="31" t="s">
        <v>23</v>
      </c>
      <c r="Z3" s="18" t="s">
        <v>22</v>
      </c>
      <c r="AA3" s="31" t="s">
        <v>23</v>
      </c>
      <c r="AB3" s="32"/>
      <c r="AC3" s="33"/>
      <c r="AD3" s="109"/>
      <c r="AE3" s="34"/>
      <c r="AF3" s="26"/>
      <c r="AG3" s="26" t="s">
        <v>24</v>
      </c>
      <c r="AH3" s="26" t="s">
        <v>25</v>
      </c>
      <c r="AJ3" s="81"/>
    </row>
    <row r="4" s="3" customFormat="1" ht="26" customHeight="1" spans="1:36">
      <c r="A4" s="111">
        <v>1</v>
      </c>
      <c r="B4" s="50" t="s">
        <v>26</v>
      </c>
      <c r="C4" s="50" t="s">
        <v>27</v>
      </c>
      <c r="D4" s="37">
        <v>5298.79</v>
      </c>
      <c r="E4" s="38">
        <v>11507.9520256654</v>
      </c>
      <c r="F4" s="37">
        <v>5117.62</v>
      </c>
      <c r="G4" s="41">
        <v>10662.5725214516</v>
      </c>
      <c r="H4" s="37">
        <v>4822.98</v>
      </c>
      <c r="I4" s="38">
        <v>9387.87512973492</v>
      </c>
      <c r="J4" s="37">
        <v>5158.4</v>
      </c>
      <c r="K4" s="41">
        <v>17223.9479862219</v>
      </c>
      <c r="L4" s="87">
        <v>5105.24</v>
      </c>
      <c r="M4" s="38">
        <v>11793.5543959972</v>
      </c>
      <c r="N4" s="37">
        <v>4322.98</v>
      </c>
      <c r="O4" s="38">
        <v>37723.654005092</v>
      </c>
      <c r="P4" s="87">
        <v>4452.78</v>
      </c>
      <c r="Q4" s="38">
        <v>10236.2117717322</v>
      </c>
      <c r="R4" s="87">
        <v>5309.64</v>
      </c>
      <c r="S4" s="41">
        <v>9586.35936852903</v>
      </c>
      <c r="T4" s="87">
        <v>4958.97</v>
      </c>
      <c r="U4" s="38">
        <v>7708.43819547823</v>
      </c>
      <c r="V4" s="37">
        <v>5047.54</v>
      </c>
      <c r="W4" s="38">
        <v>12445.512220576</v>
      </c>
      <c r="X4" s="37">
        <v>5252.72</v>
      </c>
      <c r="Y4" s="38">
        <v>6002.57</v>
      </c>
      <c r="Z4" s="37">
        <v>4968.92</v>
      </c>
      <c r="AA4" s="38">
        <v>11514.38</v>
      </c>
      <c r="AB4" s="82">
        <v>13679.22</v>
      </c>
      <c r="AC4" s="65">
        <v>6000</v>
      </c>
      <c r="AD4" s="51">
        <f>SUM(D4:AC4)</f>
        <v>235288.827620479</v>
      </c>
      <c r="AE4" s="46">
        <v>12</v>
      </c>
      <c r="AF4" s="37">
        <f>SUM(AD4/AE4)</f>
        <v>19607.4023017065</v>
      </c>
      <c r="AG4" s="47">
        <v>21</v>
      </c>
      <c r="AH4" s="48">
        <v>4465</v>
      </c>
    </row>
    <row r="5" s="3" customFormat="1" ht="26" customHeight="1" spans="1:36">
      <c r="A5" s="111">
        <v>2</v>
      </c>
      <c r="B5" s="56" t="s">
        <v>29</v>
      </c>
      <c r="C5" s="50" t="s">
        <v>27</v>
      </c>
      <c r="D5" s="37">
        <v>3462.97</v>
      </c>
      <c r="E5" s="41">
        <v>8433.49777177159</v>
      </c>
      <c r="F5" s="37">
        <v>2908.3</v>
      </c>
      <c r="G5" s="41">
        <v>10395.9432575231</v>
      </c>
      <c r="H5" s="37">
        <v>2546.64</v>
      </c>
      <c r="I5" s="38">
        <v>5460.56820022263</v>
      </c>
      <c r="J5" s="37">
        <v>2866.44</v>
      </c>
      <c r="K5" s="41">
        <v>11065.5962325215</v>
      </c>
      <c r="L5" s="87">
        <v>2706.92</v>
      </c>
      <c r="M5" s="41">
        <v>8543.41313382075</v>
      </c>
      <c r="N5" s="87">
        <v>3502.38</v>
      </c>
      <c r="O5" s="38">
        <v>9443.11397819258</v>
      </c>
      <c r="P5" s="87">
        <v>3361.93</v>
      </c>
      <c r="Q5" s="41">
        <v>6194.95773444657</v>
      </c>
      <c r="R5" s="87">
        <v>3768.68</v>
      </c>
      <c r="S5" s="41">
        <v>11472.9717691743</v>
      </c>
      <c r="T5" s="87">
        <v>3521.7</v>
      </c>
      <c r="U5" s="38">
        <v>9867.54209868714</v>
      </c>
      <c r="V5" s="37">
        <v>3600.53</v>
      </c>
      <c r="W5" s="38">
        <v>11203.133830318</v>
      </c>
      <c r="X5" s="37">
        <v>3693.57</v>
      </c>
      <c r="Y5" s="38">
        <v>8278.29271319954</v>
      </c>
      <c r="Z5" s="37">
        <v>3508.6</v>
      </c>
      <c r="AA5" s="38">
        <v>30013.9778874672</v>
      </c>
      <c r="AB5" s="82">
        <v>13325.9</v>
      </c>
      <c r="AC5" s="65">
        <v>4500</v>
      </c>
      <c r="AD5" s="51">
        <f t="shared" ref="AD5:AD22" si="0">SUM(D5:AC5)</f>
        <v>187647.568607345</v>
      </c>
      <c r="AE5" s="46">
        <v>12</v>
      </c>
      <c r="AF5" s="37">
        <f t="shared" ref="AF5:AF22" si="1">SUM(AD5/AE5)</f>
        <v>15637.2973839454</v>
      </c>
      <c r="AG5" s="47">
        <v>39</v>
      </c>
      <c r="AH5" s="48">
        <v>8436</v>
      </c>
    </row>
    <row r="6" s="3" customFormat="1" ht="26" customHeight="1" spans="1:36">
      <c r="A6" s="111">
        <v>3</v>
      </c>
      <c r="B6" s="36" t="s">
        <v>30</v>
      </c>
      <c r="C6" s="61" t="s">
        <v>63</v>
      </c>
      <c r="D6" s="37">
        <v>9464.57</v>
      </c>
      <c r="E6" s="38"/>
      <c r="F6" s="37">
        <v>9464.57</v>
      </c>
      <c r="G6" s="41"/>
      <c r="H6" s="37">
        <v>9464.57</v>
      </c>
      <c r="I6" s="38"/>
      <c r="J6" s="37">
        <v>9464.57</v>
      </c>
      <c r="K6" s="41"/>
      <c r="L6" s="87">
        <v>9455.14</v>
      </c>
      <c r="M6" s="38"/>
      <c r="N6" s="37">
        <v>9455.14</v>
      </c>
      <c r="O6" s="99"/>
      <c r="P6" s="87">
        <v>9291.67</v>
      </c>
      <c r="Q6" s="112"/>
      <c r="R6" s="87">
        <v>9291.67</v>
      </c>
      <c r="S6" s="41"/>
      <c r="T6" s="87">
        <v>9291.67</v>
      </c>
      <c r="U6" s="38"/>
      <c r="V6" s="37">
        <v>9291.67</v>
      </c>
      <c r="W6" s="38"/>
      <c r="X6" s="37">
        <v>9291.67</v>
      </c>
      <c r="Y6" s="38"/>
      <c r="Z6" s="37">
        <v>9291.67</v>
      </c>
      <c r="AA6" s="113"/>
      <c r="AB6" s="82">
        <v>13325.9</v>
      </c>
      <c r="AC6" s="65">
        <v>11000</v>
      </c>
      <c r="AD6" s="51">
        <f t="shared" si="0"/>
        <v>136844.48</v>
      </c>
      <c r="AE6" s="46">
        <v>12</v>
      </c>
      <c r="AF6" s="37">
        <f t="shared" si="1"/>
        <v>11403.7066666667</v>
      </c>
      <c r="AG6" s="60"/>
      <c r="AH6" s="48"/>
    </row>
    <row r="7" s="3" customFormat="1" ht="20" customHeight="1" spans="1:36">
      <c r="A7" s="111">
        <v>4</v>
      </c>
      <c r="B7" s="56" t="s">
        <v>28</v>
      </c>
      <c r="C7" s="50" t="s">
        <v>27</v>
      </c>
      <c r="D7" s="37">
        <v>4200.36</v>
      </c>
      <c r="E7" s="41">
        <v>3850.98583931559</v>
      </c>
      <c r="F7" s="37">
        <v>3927.38</v>
      </c>
      <c r="G7" s="41">
        <v>4696.61780084944</v>
      </c>
      <c r="H7" s="37">
        <v>4118.1</v>
      </c>
      <c r="I7" s="38">
        <v>2380.03480344166</v>
      </c>
      <c r="J7" s="37">
        <v>4018.21</v>
      </c>
      <c r="K7" s="41">
        <v>2148.69729235572</v>
      </c>
      <c r="L7" s="87">
        <v>4098.75</v>
      </c>
      <c r="M7" s="41">
        <v>2942.91612330262</v>
      </c>
      <c r="N7" s="87">
        <v>4009.88</v>
      </c>
      <c r="O7" s="38">
        <v>1476.0721163567</v>
      </c>
      <c r="P7" s="87">
        <v>3994.36</v>
      </c>
      <c r="Q7" s="41">
        <v>2839.51685965464</v>
      </c>
      <c r="R7" s="87">
        <v>4157.59</v>
      </c>
      <c r="S7" s="41">
        <v>4206.71187057135</v>
      </c>
      <c r="T7" s="87">
        <v>4195.87</v>
      </c>
      <c r="U7" s="38">
        <v>6109.49258994301</v>
      </c>
      <c r="V7" s="37">
        <v>4020.81</v>
      </c>
      <c r="W7" s="38">
        <v>1508.45622188998</v>
      </c>
      <c r="X7" s="37">
        <v>3710.87</v>
      </c>
      <c r="Y7" s="38">
        <v>1644.78188689778</v>
      </c>
      <c r="Z7" s="37">
        <v>3749.52</v>
      </c>
      <c r="AA7" s="38">
        <v>6769.40911413713</v>
      </c>
      <c r="AB7" s="82">
        <v>13325.9</v>
      </c>
      <c r="AC7" s="65">
        <v>4800</v>
      </c>
      <c r="AD7" s="51">
        <f t="shared" si="0"/>
        <v>106901.292518716</v>
      </c>
      <c r="AE7" s="46">
        <v>12</v>
      </c>
      <c r="AF7" s="37">
        <f t="shared" si="1"/>
        <v>8908.4410432263</v>
      </c>
      <c r="AG7" s="60">
        <v>15.5</v>
      </c>
      <c r="AH7" s="48">
        <v>2375</v>
      </c>
    </row>
    <row r="8" s="3" customFormat="1" ht="20" customHeight="1" spans="1:36">
      <c r="A8" s="111">
        <v>5</v>
      </c>
      <c r="B8" s="36" t="s">
        <v>32</v>
      </c>
      <c r="C8" s="50" t="s">
        <v>27</v>
      </c>
      <c r="D8" s="37">
        <v>3814.88</v>
      </c>
      <c r="E8" s="38">
        <v>2843.07685928423</v>
      </c>
      <c r="F8" s="37">
        <v>3200.59</v>
      </c>
      <c r="G8" s="41">
        <v>2072.77063688996</v>
      </c>
      <c r="H8" s="37">
        <v>3537.46</v>
      </c>
      <c r="I8" s="38">
        <v>2080.16387706881</v>
      </c>
      <c r="J8" s="37">
        <v>3528.21</v>
      </c>
      <c r="K8" s="41">
        <v>2440.13643132877</v>
      </c>
      <c r="L8" s="87">
        <v>3537.46</v>
      </c>
      <c r="M8" s="41">
        <v>2933.17848542812</v>
      </c>
      <c r="N8" s="87">
        <v>3599.88</v>
      </c>
      <c r="O8" s="38">
        <v>2777.47030655721</v>
      </c>
      <c r="P8" s="87">
        <v>3412.43</v>
      </c>
      <c r="Q8" s="41">
        <v>2174.4877237727</v>
      </c>
      <c r="R8" s="87">
        <v>3481.78</v>
      </c>
      <c r="S8" s="41">
        <v>1283.96767823023</v>
      </c>
      <c r="T8" s="37">
        <v>3472.53</v>
      </c>
      <c r="U8" s="38">
        <v>3367.82436280781</v>
      </c>
      <c r="V8" s="37">
        <v>3481.78</v>
      </c>
      <c r="W8" s="38">
        <v>6447.7696136439</v>
      </c>
      <c r="X8" s="37">
        <v>3472.53</v>
      </c>
      <c r="Y8" s="38">
        <v>3674.81853473783</v>
      </c>
      <c r="Z8" s="37">
        <v>3412.43</v>
      </c>
      <c r="AA8" s="38">
        <v>7888.46729474186</v>
      </c>
      <c r="AB8" s="82">
        <v>13325.9</v>
      </c>
      <c r="AC8" s="65">
        <v>4300</v>
      </c>
      <c r="AD8" s="51">
        <f t="shared" si="0"/>
        <v>99561.9918044914</v>
      </c>
      <c r="AE8" s="46">
        <v>12</v>
      </c>
      <c r="AF8" s="37">
        <f t="shared" si="1"/>
        <v>8296.83265037428</v>
      </c>
      <c r="AG8" s="60">
        <v>24.5</v>
      </c>
      <c r="AH8" s="48"/>
    </row>
    <row r="9" s="3" customFormat="1" ht="20" customHeight="1" spans="1:36">
      <c r="A9" s="111">
        <v>6</v>
      </c>
      <c r="B9" s="50" t="s">
        <v>35</v>
      </c>
      <c r="C9" s="50" t="s">
        <v>36</v>
      </c>
      <c r="D9" s="37">
        <v>4810.48</v>
      </c>
      <c r="E9" s="41">
        <v>1427.21</v>
      </c>
      <c r="F9" s="37">
        <v>5110.48</v>
      </c>
      <c r="G9" s="41">
        <v>1328.75</v>
      </c>
      <c r="H9" s="37">
        <v>5110.48</v>
      </c>
      <c r="I9" s="38">
        <v>3210.29</v>
      </c>
      <c r="J9" s="37">
        <v>5110.48</v>
      </c>
      <c r="K9" s="41">
        <v>2000</v>
      </c>
      <c r="L9" s="87">
        <v>5110.48</v>
      </c>
      <c r="M9" s="41">
        <v>1367.86</v>
      </c>
      <c r="N9" s="87">
        <v>5110.48</v>
      </c>
      <c r="O9" s="95">
        <v>1960.58</v>
      </c>
      <c r="P9" s="87">
        <v>5054.8</v>
      </c>
      <c r="Q9" s="41">
        <v>1732.73</v>
      </c>
      <c r="R9" s="87">
        <v>5054.8</v>
      </c>
      <c r="S9" s="114">
        <v>2003.1</v>
      </c>
      <c r="T9" s="87">
        <v>5054.8</v>
      </c>
      <c r="U9" s="38">
        <v>1679</v>
      </c>
      <c r="V9" s="37">
        <v>5054.8</v>
      </c>
      <c r="W9" s="38">
        <v>1298.48</v>
      </c>
      <c r="X9" s="37">
        <v>5054.8</v>
      </c>
      <c r="Y9" s="38">
        <v>1226.55</v>
      </c>
      <c r="Z9" s="37">
        <v>5054.8</v>
      </c>
      <c r="AA9" s="38">
        <v>1796.25</v>
      </c>
      <c r="AB9" s="82">
        <v>13679.22</v>
      </c>
      <c r="AC9" s="65">
        <v>5600</v>
      </c>
      <c r="AD9" s="51">
        <f t="shared" si="0"/>
        <v>101001.7</v>
      </c>
      <c r="AE9" s="46">
        <v>12</v>
      </c>
      <c r="AF9" s="37">
        <f t="shared" si="1"/>
        <v>8416.80833333333</v>
      </c>
      <c r="AG9" s="47"/>
      <c r="AH9" s="48"/>
    </row>
    <row r="10" s="3" customFormat="1" ht="20" customHeight="1" spans="1:36">
      <c r="A10" s="111">
        <v>7</v>
      </c>
      <c r="B10" s="36" t="s">
        <v>41</v>
      </c>
      <c r="C10" s="50" t="s">
        <v>38</v>
      </c>
      <c r="D10" s="37">
        <v>4514.88</v>
      </c>
      <c r="E10" s="38">
        <v>1306.26</v>
      </c>
      <c r="F10" s="37">
        <v>4814.88</v>
      </c>
      <c r="G10" s="95">
        <v>1302.05</v>
      </c>
      <c r="H10" s="37">
        <v>4643.91</v>
      </c>
      <c r="I10" s="38">
        <v>3084.06</v>
      </c>
      <c r="J10" s="37">
        <v>4814.88</v>
      </c>
      <c r="K10" s="41">
        <v>2000</v>
      </c>
      <c r="L10" s="87">
        <v>4814.88</v>
      </c>
      <c r="M10" s="41">
        <v>1210.03</v>
      </c>
      <c r="N10" s="87">
        <v>4814.88</v>
      </c>
      <c r="O10" s="95">
        <v>1805.96</v>
      </c>
      <c r="P10" s="87">
        <v>4759.2</v>
      </c>
      <c r="Q10" s="41">
        <v>1663.94</v>
      </c>
      <c r="R10" s="87">
        <v>4502.75</v>
      </c>
      <c r="S10" s="114">
        <v>1824.2</v>
      </c>
      <c r="T10" s="87">
        <v>4494.2</v>
      </c>
      <c r="U10" s="38">
        <v>1578.4</v>
      </c>
      <c r="V10" s="37">
        <v>4759.2</v>
      </c>
      <c r="W10" s="38">
        <v>1354.93</v>
      </c>
      <c r="X10" s="37">
        <v>4670.87</v>
      </c>
      <c r="Y10" s="38">
        <v>1203.3</v>
      </c>
      <c r="Z10" s="37">
        <v>4673.72</v>
      </c>
      <c r="AA10" s="38">
        <v>1763.06</v>
      </c>
      <c r="AB10" s="82">
        <v>13325.9</v>
      </c>
      <c r="AC10" s="65">
        <v>5300</v>
      </c>
      <c r="AD10" s="51">
        <f t="shared" si="0"/>
        <v>95000.34</v>
      </c>
      <c r="AE10" s="46">
        <v>12</v>
      </c>
      <c r="AF10" s="37">
        <f t="shared" si="1"/>
        <v>7916.695</v>
      </c>
      <c r="AG10" s="47">
        <v>5</v>
      </c>
      <c r="AH10" s="48"/>
    </row>
    <row r="11" s="3" customFormat="1" ht="20" customHeight="1" spans="1:36">
      <c r="A11" s="111">
        <v>8</v>
      </c>
      <c r="B11" s="36" t="s">
        <v>39</v>
      </c>
      <c r="C11" s="50" t="s">
        <v>40</v>
      </c>
      <c r="D11" s="37">
        <v>6110.48</v>
      </c>
      <c r="E11" s="41"/>
      <c r="F11" s="37">
        <v>6110.48</v>
      </c>
      <c r="G11" s="41"/>
      <c r="H11" s="37">
        <v>6110.48</v>
      </c>
      <c r="I11" s="38"/>
      <c r="J11" s="37">
        <v>6110.48</v>
      </c>
      <c r="K11" s="41"/>
      <c r="L11" s="87">
        <v>6110.48</v>
      </c>
      <c r="M11" s="95"/>
      <c r="N11" s="58">
        <v>6110.48</v>
      </c>
      <c r="O11" s="38"/>
      <c r="P11" s="87">
        <v>6054.8</v>
      </c>
      <c r="Q11" s="41">
        <v>106.45</v>
      </c>
      <c r="R11" s="87">
        <v>6054.8</v>
      </c>
      <c r="S11" s="41"/>
      <c r="T11" s="87">
        <v>6054.8</v>
      </c>
      <c r="U11" s="38"/>
      <c r="V11" s="37">
        <v>6054.8</v>
      </c>
      <c r="W11" s="38"/>
      <c r="X11" s="37">
        <v>6053.8</v>
      </c>
      <c r="Y11" s="38"/>
      <c r="Z11" s="37">
        <v>6053.8</v>
      </c>
      <c r="AA11" s="38"/>
      <c r="AB11" s="82">
        <v>13696.22</v>
      </c>
      <c r="AC11" s="65">
        <v>6600</v>
      </c>
      <c r="AD11" s="51">
        <f t="shared" si="0"/>
        <v>93392.35</v>
      </c>
      <c r="AE11" s="46">
        <v>12</v>
      </c>
      <c r="AF11" s="37">
        <f t="shared" si="1"/>
        <v>7782.69583333333</v>
      </c>
      <c r="AG11" s="47"/>
      <c r="AH11" s="48"/>
    </row>
    <row r="12" s="3" customFormat="1" ht="20" customHeight="1" spans="1:36">
      <c r="A12" s="111">
        <v>9</v>
      </c>
      <c r="B12" s="36" t="s">
        <v>58</v>
      </c>
      <c r="C12" s="50" t="s">
        <v>38</v>
      </c>
      <c r="D12" s="37">
        <v>4434.23</v>
      </c>
      <c r="E12" s="38">
        <v>1330.45</v>
      </c>
      <c r="F12" s="37">
        <v>4514.88</v>
      </c>
      <c r="G12" s="41">
        <v>1275.48</v>
      </c>
      <c r="H12" s="37">
        <v>4272.94</v>
      </c>
      <c r="I12" s="38">
        <v>3020.65</v>
      </c>
      <c r="J12" s="37">
        <v>4514.88</v>
      </c>
      <c r="K12" s="41">
        <v>2000</v>
      </c>
      <c r="L12" s="87">
        <v>4514.88</v>
      </c>
      <c r="M12" s="38">
        <v>1367.86</v>
      </c>
      <c r="N12" s="37">
        <v>4514.88</v>
      </c>
      <c r="O12" s="95">
        <v>1883.25</v>
      </c>
      <c r="P12" s="87">
        <v>4459.2</v>
      </c>
      <c r="Q12" s="38">
        <v>1732.73</v>
      </c>
      <c r="R12" s="87">
        <v>4459.2</v>
      </c>
      <c r="S12" s="114">
        <v>1931.5</v>
      </c>
      <c r="T12" s="87">
        <v>4459.2</v>
      </c>
      <c r="U12" s="38">
        <v>1679</v>
      </c>
      <c r="V12" s="37">
        <v>4459.2</v>
      </c>
      <c r="W12" s="38">
        <v>1354.93</v>
      </c>
      <c r="X12" s="37">
        <v>4459.2</v>
      </c>
      <c r="Y12" s="38">
        <v>1226.55</v>
      </c>
      <c r="Z12" s="37">
        <v>4459.2</v>
      </c>
      <c r="AA12" s="38">
        <v>1530.19</v>
      </c>
      <c r="AB12" s="82">
        <v>13325.9</v>
      </c>
      <c r="AC12" s="65">
        <v>5000</v>
      </c>
      <c r="AD12" s="51">
        <f t="shared" si="0"/>
        <v>92180.38</v>
      </c>
      <c r="AE12" s="46">
        <v>12</v>
      </c>
      <c r="AF12" s="37">
        <f t="shared" si="1"/>
        <v>7681.69833333333</v>
      </c>
      <c r="AG12" s="47">
        <v>2</v>
      </c>
      <c r="AH12" s="48"/>
    </row>
    <row r="13" s="3" customFormat="1" ht="20" customHeight="1" spans="1:36">
      <c r="A13" s="111">
        <v>10</v>
      </c>
      <c r="B13" s="36" t="s">
        <v>45</v>
      </c>
      <c r="C13" s="61" t="s">
        <v>46</v>
      </c>
      <c r="D13" s="37">
        <v>5110.48</v>
      </c>
      <c r="E13" s="41"/>
      <c r="F13" s="37">
        <v>5010.48</v>
      </c>
      <c r="G13" s="41"/>
      <c r="H13" s="37">
        <v>5110.48</v>
      </c>
      <c r="I13" s="38"/>
      <c r="J13" s="37">
        <v>5110.48</v>
      </c>
      <c r="K13" s="41"/>
      <c r="L13" s="87">
        <v>5110.48</v>
      </c>
      <c r="M13" s="41"/>
      <c r="N13" s="87">
        <v>5110.48</v>
      </c>
      <c r="O13" s="38"/>
      <c r="P13" s="87">
        <v>5054.8</v>
      </c>
      <c r="Q13" s="114"/>
      <c r="R13" s="87">
        <v>5054.8</v>
      </c>
      <c r="S13" s="41"/>
      <c r="T13" s="87">
        <v>5054.8</v>
      </c>
      <c r="U13" s="38"/>
      <c r="V13" s="37">
        <v>4849.69</v>
      </c>
      <c r="W13" s="38"/>
      <c r="X13" s="37">
        <v>5039.24</v>
      </c>
      <c r="Y13" s="38"/>
      <c r="Z13" s="37">
        <v>5039.75</v>
      </c>
      <c r="AA13" s="38"/>
      <c r="AB13" s="82">
        <v>13679.22</v>
      </c>
      <c r="AC13" s="65">
        <v>5600</v>
      </c>
      <c r="AD13" s="51">
        <f t="shared" si="0"/>
        <v>79935.18</v>
      </c>
      <c r="AE13" s="46">
        <v>12</v>
      </c>
      <c r="AF13" s="37">
        <f t="shared" si="1"/>
        <v>6661.265</v>
      </c>
      <c r="AG13" s="60">
        <v>1.5</v>
      </c>
      <c r="AH13" s="48">
        <v>105</v>
      </c>
    </row>
    <row r="14" s="3" customFormat="1" ht="20" customHeight="1" spans="1:36">
      <c r="A14" s="111">
        <v>11</v>
      </c>
      <c r="B14" s="36" t="s">
        <v>64</v>
      </c>
      <c r="C14" s="50" t="s">
        <v>38</v>
      </c>
      <c r="D14" s="37"/>
      <c r="E14" s="99"/>
      <c r="F14" s="37">
        <v>2732.14</v>
      </c>
      <c r="G14" s="41"/>
      <c r="H14" s="87">
        <v>4500</v>
      </c>
      <c r="I14" s="38">
        <v>300</v>
      </c>
      <c r="J14" s="37">
        <v>4500</v>
      </c>
      <c r="K14" s="41"/>
      <c r="L14" s="87">
        <v>4514.88</v>
      </c>
      <c r="M14" s="38">
        <v>789.6</v>
      </c>
      <c r="N14" s="37">
        <v>4514.88</v>
      </c>
      <c r="O14" s="38">
        <v>1883.25</v>
      </c>
      <c r="P14" s="87">
        <v>4459.2</v>
      </c>
      <c r="Q14" s="38">
        <v>1767.13</v>
      </c>
      <c r="R14" s="87">
        <v>4459.2</v>
      </c>
      <c r="S14" s="41">
        <v>1931.5</v>
      </c>
      <c r="T14" s="87">
        <v>4459.2</v>
      </c>
      <c r="U14" s="38">
        <v>1679</v>
      </c>
      <c r="V14" s="37">
        <v>4459.2</v>
      </c>
      <c r="W14" s="38">
        <v>1354.93</v>
      </c>
      <c r="X14" s="37">
        <v>4459.2</v>
      </c>
      <c r="Y14" s="38">
        <v>1226.55</v>
      </c>
      <c r="Z14" s="37">
        <v>4459.2</v>
      </c>
      <c r="AA14" s="38">
        <v>1796.25</v>
      </c>
      <c r="AB14" s="82">
        <v>9124.66</v>
      </c>
      <c r="AC14" s="65">
        <v>1200</v>
      </c>
      <c r="AD14" s="51">
        <f t="shared" si="0"/>
        <v>70569.97</v>
      </c>
      <c r="AE14" s="46">
        <v>11</v>
      </c>
      <c r="AF14" s="37">
        <f t="shared" si="1"/>
        <v>6415.45181818182</v>
      </c>
      <c r="AG14" s="47"/>
      <c r="AH14" s="48"/>
    </row>
    <row r="15" s="3" customFormat="1" ht="20" customHeight="1" spans="1:36">
      <c r="A15" s="111">
        <v>12</v>
      </c>
      <c r="B15" s="115" t="s">
        <v>65</v>
      </c>
      <c r="C15" s="50" t="s">
        <v>38</v>
      </c>
      <c r="D15" s="37"/>
      <c r="E15" s="41"/>
      <c r="F15" s="37"/>
      <c r="G15" s="41"/>
      <c r="H15" s="37"/>
      <c r="I15" s="38"/>
      <c r="J15" s="37"/>
      <c r="K15" s="41"/>
      <c r="L15" s="87">
        <v>1016.13</v>
      </c>
      <c r="M15" s="38"/>
      <c r="N15" s="37">
        <v>4500</v>
      </c>
      <c r="O15" s="38">
        <v>200</v>
      </c>
      <c r="P15" s="87">
        <v>4500</v>
      </c>
      <c r="Q15" s="38"/>
      <c r="R15" s="87">
        <v>4500</v>
      </c>
      <c r="S15" s="41">
        <v>429.2</v>
      </c>
      <c r="T15" s="37">
        <v>4375.87</v>
      </c>
      <c r="U15" s="38">
        <v>1645.55</v>
      </c>
      <c r="V15" s="37">
        <v>4459.2</v>
      </c>
      <c r="W15" s="38">
        <v>1354.93</v>
      </c>
      <c r="X15" s="37">
        <v>4459.2</v>
      </c>
      <c r="Y15" s="101">
        <v>1226.55</v>
      </c>
      <c r="Z15" s="37">
        <v>4459.2</v>
      </c>
      <c r="AA15" s="38">
        <v>1796.25</v>
      </c>
      <c r="AB15" s="82">
        <v>4670.12</v>
      </c>
      <c r="AC15" s="65">
        <v>1200</v>
      </c>
      <c r="AD15" s="51">
        <f t="shared" si="0"/>
        <v>44792.2</v>
      </c>
      <c r="AE15" s="46">
        <v>8</v>
      </c>
      <c r="AF15" s="37">
        <f t="shared" si="1"/>
        <v>5599.025</v>
      </c>
      <c r="AG15" s="47"/>
      <c r="AH15" s="48"/>
    </row>
    <row r="16" s="3" customFormat="1" ht="20" customHeight="1" spans="1:36">
      <c r="A16" s="111">
        <v>13</v>
      </c>
      <c r="B16" s="36" t="s">
        <v>43</v>
      </c>
      <c r="C16" s="36" t="s">
        <v>44</v>
      </c>
      <c r="D16" s="37">
        <v>4510.48</v>
      </c>
      <c r="E16" s="41"/>
      <c r="F16" s="37">
        <v>4510.48</v>
      </c>
      <c r="G16" s="41"/>
      <c r="H16" s="37">
        <v>4510.48</v>
      </c>
      <c r="I16" s="38"/>
      <c r="J16" s="37">
        <v>4510.48</v>
      </c>
      <c r="K16" s="41"/>
      <c r="L16" s="87">
        <v>4510.48</v>
      </c>
      <c r="M16" s="95"/>
      <c r="N16" s="58">
        <v>4510.48</v>
      </c>
      <c r="O16" s="38"/>
      <c r="P16" s="87">
        <v>4454.8</v>
      </c>
      <c r="Q16" s="41"/>
      <c r="R16" s="87">
        <v>4454.8</v>
      </c>
      <c r="S16" s="41"/>
      <c r="T16" s="87">
        <v>4454.8</v>
      </c>
      <c r="U16" s="38"/>
      <c r="V16" s="37">
        <v>4454.8</v>
      </c>
      <c r="W16" s="38"/>
      <c r="X16" s="37">
        <v>4453.8</v>
      </c>
      <c r="Y16" s="38"/>
      <c r="Z16" s="37">
        <v>4453.8</v>
      </c>
      <c r="AA16" s="38"/>
      <c r="AB16" s="82">
        <v>13696.22</v>
      </c>
      <c r="AC16" s="65">
        <v>5000</v>
      </c>
      <c r="AD16" s="51">
        <f t="shared" si="0"/>
        <v>72485.9</v>
      </c>
      <c r="AE16" s="46">
        <v>12</v>
      </c>
      <c r="AF16" s="37">
        <f t="shared" si="1"/>
        <v>6040.49166666667</v>
      </c>
      <c r="AG16" s="47"/>
      <c r="AH16" s="48"/>
    </row>
    <row r="17" s="3" customFormat="1" ht="20" customHeight="1" spans="1:36">
      <c r="A17" s="111">
        <v>14</v>
      </c>
      <c r="B17" s="36" t="s">
        <v>66</v>
      </c>
      <c r="C17" s="50" t="s">
        <v>27</v>
      </c>
      <c r="D17" s="37"/>
      <c r="E17" s="41"/>
      <c r="F17" s="37"/>
      <c r="G17" s="41"/>
      <c r="H17" s="37">
        <v>1290</v>
      </c>
      <c r="I17" s="38"/>
      <c r="J17" s="37">
        <v>3866.67</v>
      </c>
      <c r="K17" s="41"/>
      <c r="L17" s="87">
        <v>3870.97</v>
      </c>
      <c r="M17" s="38"/>
      <c r="N17" s="37">
        <v>3788.89</v>
      </c>
      <c r="O17" s="38"/>
      <c r="P17" s="87">
        <v>3712.73</v>
      </c>
      <c r="Q17" s="38"/>
      <c r="R17" s="87">
        <v>3885.12</v>
      </c>
      <c r="S17" s="41"/>
      <c r="T17" s="37">
        <v>3945.14</v>
      </c>
      <c r="U17" s="38"/>
      <c r="V17" s="37">
        <v>3852.45</v>
      </c>
      <c r="W17" s="38"/>
      <c r="X17" s="37">
        <v>3252.95</v>
      </c>
      <c r="Y17" s="101"/>
      <c r="Z17" s="37">
        <v>3520.7</v>
      </c>
      <c r="AA17" s="38"/>
      <c r="AB17" s="82">
        <v>7005.18</v>
      </c>
      <c r="AC17" s="65">
        <v>1200</v>
      </c>
      <c r="AD17" s="51">
        <f t="shared" si="0"/>
        <v>43190.8</v>
      </c>
      <c r="AE17" s="46">
        <v>10</v>
      </c>
      <c r="AF17" s="37">
        <f t="shared" si="1"/>
        <v>4319.08</v>
      </c>
      <c r="AG17" s="47">
        <v>13</v>
      </c>
      <c r="AH17" s="48">
        <v>648</v>
      </c>
    </row>
    <row r="18" s="3" customFormat="1" ht="20" customHeight="1" spans="1:36">
      <c r="A18" s="111">
        <v>16</v>
      </c>
      <c r="B18" s="116" t="s">
        <v>33</v>
      </c>
      <c r="C18" s="117" t="s">
        <v>34</v>
      </c>
      <c r="D18" s="37">
        <v>5310.48</v>
      </c>
      <c r="E18" s="41">
        <v>1330.45</v>
      </c>
      <c r="F18" s="87">
        <v>4010.48</v>
      </c>
      <c r="G18" s="41"/>
      <c r="H18" s="87">
        <v>4010.48</v>
      </c>
      <c r="I18" s="38"/>
      <c r="J18" s="37">
        <v>4010.48</v>
      </c>
      <c r="K18" s="118"/>
      <c r="L18" s="87">
        <v>4010.48</v>
      </c>
      <c r="M18" s="119"/>
      <c r="N18" s="58">
        <v>4010.48</v>
      </c>
      <c r="O18" s="120"/>
      <c r="P18" s="37"/>
      <c r="Q18" s="41"/>
      <c r="R18" s="37"/>
      <c r="S18" s="41"/>
      <c r="T18" s="87"/>
      <c r="U18" s="38"/>
      <c r="V18" s="87"/>
      <c r="W18" s="38"/>
      <c r="X18" s="87"/>
      <c r="Y18" s="38"/>
      <c r="Z18" s="37"/>
      <c r="AA18" s="38"/>
      <c r="AB18" s="82">
        <v>6449.64</v>
      </c>
      <c r="AC18" s="65"/>
      <c r="AD18" s="51">
        <f t="shared" si="0"/>
        <v>33142.97</v>
      </c>
      <c r="AE18" s="46">
        <v>6</v>
      </c>
      <c r="AF18" s="37">
        <f t="shared" si="1"/>
        <v>5523.82833333333</v>
      </c>
      <c r="AG18" s="47"/>
      <c r="AH18" s="48"/>
      <c r="AJ18" s="121"/>
    </row>
    <row r="19" s="3" customFormat="1" ht="20" customHeight="1" spans="1:36">
      <c r="A19" s="111">
        <v>17</v>
      </c>
      <c r="B19" s="36" t="s">
        <v>67</v>
      </c>
      <c r="C19" s="50" t="s">
        <v>38</v>
      </c>
      <c r="D19" s="37"/>
      <c r="E19" s="41"/>
      <c r="F19" s="37">
        <v>2732.14</v>
      </c>
      <c r="G19" s="41"/>
      <c r="H19" s="37">
        <v>4500</v>
      </c>
      <c r="I19" s="38">
        <v>300</v>
      </c>
      <c r="J19" s="37">
        <v>4500</v>
      </c>
      <c r="K19" s="41"/>
      <c r="L19" s="87">
        <v>3143.91</v>
      </c>
      <c r="M19" s="38">
        <v>342.15</v>
      </c>
      <c r="N19" s="37">
        <v>1814.88</v>
      </c>
      <c r="O19" s="99"/>
      <c r="P19" s="37"/>
      <c r="Q19" s="101"/>
      <c r="R19" s="37"/>
      <c r="S19" s="99"/>
      <c r="T19" s="37"/>
      <c r="U19" s="38"/>
      <c r="V19" s="37"/>
      <c r="W19" s="99"/>
      <c r="X19" s="37"/>
      <c r="Y19" s="101"/>
      <c r="Z19" s="37"/>
      <c r="AA19" s="38"/>
      <c r="AB19" s="82">
        <v>2119.48</v>
      </c>
      <c r="AC19" s="65"/>
      <c r="AD19" s="51">
        <f t="shared" si="0"/>
        <v>19452.56</v>
      </c>
      <c r="AE19" s="46">
        <v>5</v>
      </c>
      <c r="AF19" s="37">
        <f t="shared" si="1"/>
        <v>3890.512</v>
      </c>
      <c r="AG19" s="47"/>
      <c r="AH19" s="48"/>
      <c r="AJ19" s="121"/>
    </row>
    <row r="20" s="3" customFormat="1" ht="20" customHeight="1" spans="1:36">
      <c r="A20" s="111">
        <v>18</v>
      </c>
      <c r="B20" s="36" t="s">
        <v>47</v>
      </c>
      <c r="C20" s="50" t="s">
        <v>27</v>
      </c>
      <c r="D20" s="37">
        <v>4308.23</v>
      </c>
      <c r="E20" s="38"/>
      <c r="F20" s="37">
        <v>3171.88</v>
      </c>
      <c r="G20" s="41"/>
      <c r="H20" s="87">
        <v>2760.85</v>
      </c>
      <c r="I20" s="38"/>
      <c r="J20" s="37"/>
      <c r="K20" s="122"/>
      <c r="M20" s="101"/>
      <c r="N20" s="37"/>
      <c r="O20" s="99"/>
      <c r="P20" s="37"/>
      <c r="Q20" s="114"/>
      <c r="R20" s="37"/>
      <c r="S20" s="41"/>
      <c r="T20" s="87"/>
      <c r="U20" s="38"/>
      <c r="V20" s="87"/>
      <c r="W20" s="38"/>
      <c r="X20" s="87"/>
      <c r="Y20" s="38"/>
      <c r="Z20" s="37"/>
      <c r="AA20" s="38"/>
      <c r="AB20" s="82">
        <v>3150.93</v>
      </c>
      <c r="AC20" s="65"/>
      <c r="AD20" s="51">
        <f t="shared" si="0"/>
        <v>13391.89</v>
      </c>
      <c r="AE20" s="46">
        <v>3</v>
      </c>
      <c r="AF20" s="37">
        <f t="shared" si="1"/>
        <v>4463.96333333333</v>
      </c>
      <c r="AG20" s="60">
        <v>18.5</v>
      </c>
      <c r="AH20" s="48">
        <v>565</v>
      </c>
      <c r="AJ20" s="121"/>
    </row>
    <row r="21" s="3" customFormat="1" ht="20" customHeight="1" spans="1:36">
      <c r="A21" s="111">
        <v>19</v>
      </c>
      <c r="B21" s="36" t="s">
        <v>57</v>
      </c>
      <c r="C21" s="50" t="s">
        <v>38</v>
      </c>
      <c r="D21" s="37">
        <v>4272.94</v>
      </c>
      <c r="E21" s="38">
        <v>1282.03</v>
      </c>
      <c r="F21" s="37">
        <v>2500</v>
      </c>
      <c r="G21" s="41">
        <v>744.02</v>
      </c>
      <c r="H21" s="37"/>
      <c r="I21" s="99"/>
      <c r="J21" s="37"/>
      <c r="K21" s="122"/>
      <c r="L21" s="37"/>
      <c r="M21" s="101"/>
      <c r="N21" s="37"/>
      <c r="O21" s="99"/>
      <c r="P21" s="37"/>
      <c r="Q21" s="101"/>
      <c r="R21" s="37"/>
      <c r="S21" s="99"/>
      <c r="T21" s="87"/>
      <c r="U21" s="38"/>
      <c r="V21" s="87"/>
      <c r="W21" s="38"/>
      <c r="X21" s="87"/>
      <c r="Y21" s="38"/>
      <c r="Z21" s="37"/>
      <c r="AA21" s="38"/>
      <c r="AB21" s="82">
        <v>1050.31</v>
      </c>
      <c r="AC21" s="65"/>
      <c r="AD21" s="51">
        <f t="shared" si="0"/>
        <v>9849.3</v>
      </c>
      <c r="AE21" s="46">
        <v>2</v>
      </c>
      <c r="AF21" s="37">
        <f t="shared" si="1"/>
        <v>4924.65</v>
      </c>
      <c r="AG21" s="60"/>
      <c r="AH21" s="48"/>
      <c r="AJ21" s="121"/>
    </row>
    <row r="22" s="3" customFormat="1" ht="20" customHeight="1" spans="1:36">
      <c r="A22" s="111">
        <v>15</v>
      </c>
      <c r="B22" s="115" t="s">
        <v>68</v>
      </c>
      <c r="C22" s="50" t="s">
        <v>27</v>
      </c>
      <c r="D22" s="37"/>
      <c r="E22" s="41"/>
      <c r="F22" s="37"/>
      <c r="G22" s="41"/>
      <c r="H22" s="37"/>
      <c r="I22" s="38"/>
      <c r="J22" s="37"/>
      <c r="K22" s="41"/>
      <c r="L22" s="87"/>
      <c r="M22" s="38"/>
      <c r="N22" s="37"/>
      <c r="O22" s="38"/>
      <c r="P22" s="87"/>
      <c r="Q22" s="38"/>
      <c r="R22" s="87">
        <v>2962.36</v>
      </c>
      <c r="S22" s="99"/>
      <c r="T22" s="37">
        <v>3913.89</v>
      </c>
      <c r="U22" s="38"/>
      <c r="V22" s="37">
        <v>3907.52</v>
      </c>
      <c r="W22" s="38"/>
      <c r="X22" s="37">
        <v>4078.12</v>
      </c>
      <c r="Y22" s="101"/>
      <c r="Z22" s="37">
        <v>3771.16</v>
      </c>
      <c r="AA22" s="38"/>
      <c r="AB22" s="82"/>
      <c r="AC22" s="65"/>
      <c r="AD22" s="51">
        <f t="shared" si="0"/>
        <v>18633.05</v>
      </c>
      <c r="AE22" s="46">
        <v>5</v>
      </c>
      <c r="AF22" s="37">
        <f t="shared" si="1"/>
        <v>3726.61</v>
      </c>
      <c r="AG22" s="47">
        <v>7</v>
      </c>
      <c r="AH22" s="48">
        <v>1074</v>
      </c>
      <c r="AJ22" s="121"/>
    </row>
    <row r="23" s="2" customFormat="1" ht="27" customHeight="1" spans="1:36">
      <c r="A23" s="123" t="s">
        <v>51</v>
      </c>
      <c r="B23" s="18"/>
      <c r="C23" s="18"/>
      <c r="D23" s="69">
        <f t="shared" ref="D23:AC23" si="2">SUM(D4:D21)</f>
        <v>69624.25</v>
      </c>
      <c r="E23" s="70">
        <f t="shared" si="2"/>
        <v>33311.9124960368</v>
      </c>
      <c r="F23" s="69">
        <f t="shared" si="2"/>
        <v>69836.78</v>
      </c>
      <c r="G23" s="70">
        <f t="shared" si="2"/>
        <v>32478.2042167141</v>
      </c>
      <c r="H23" s="69">
        <f t="shared" si="2"/>
        <v>71309.85</v>
      </c>
      <c r="I23" s="70">
        <f t="shared" si="2"/>
        <v>29223.642010468</v>
      </c>
      <c r="J23" s="69">
        <f t="shared" si="2"/>
        <v>72084.66</v>
      </c>
      <c r="K23" s="70">
        <f t="shared" si="2"/>
        <v>38878.3779424279</v>
      </c>
      <c r="L23" s="69">
        <f t="shared" si="2"/>
        <v>71631.56</v>
      </c>
      <c r="M23" s="70">
        <f t="shared" si="2"/>
        <v>31290.5621385487</v>
      </c>
      <c r="N23" s="69">
        <f t="shared" si="2"/>
        <v>73691.07</v>
      </c>
      <c r="O23" s="70">
        <f t="shared" si="2"/>
        <v>59153.3504061985</v>
      </c>
      <c r="P23" s="69">
        <f t="shared" si="2"/>
        <v>67022.7</v>
      </c>
      <c r="Q23" s="70">
        <f t="shared" si="2"/>
        <v>28448.1540896061</v>
      </c>
      <c r="R23" s="69">
        <f t="shared" si="2"/>
        <v>68434.83</v>
      </c>
      <c r="S23" s="70">
        <f t="shared" si="2"/>
        <v>34669.5106865049</v>
      </c>
      <c r="T23" s="69">
        <f t="shared" si="2"/>
        <v>67793.55</v>
      </c>
      <c r="U23" s="70">
        <f t="shared" si="2"/>
        <v>35314.2472469162</v>
      </c>
      <c r="V23" s="69">
        <f t="shared" si="2"/>
        <v>67845.67</v>
      </c>
      <c r="W23" s="70">
        <f t="shared" si="2"/>
        <v>38323.0718864279</v>
      </c>
      <c r="X23" s="69">
        <f t="shared" si="2"/>
        <v>67324.42</v>
      </c>
      <c r="Y23" s="70">
        <f t="shared" si="2"/>
        <v>25709.9631348351</v>
      </c>
      <c r="Z23" s="69">
        <f t="shared" si="2"/>
        <v>67105.31</v>
      </c>
      <c r="AA23" s="70">
        <f>SUM(AA4:AA18)</f>
        <v>64868.2342963462</v>
      </c>
      <c r="AB23" s="102">
        <f>SUM(AB4:AB22)</f>
        <v>181955.82</v>
      </c>
      <c r="AC23" s="124">
        <f>SUM(AC4:AC21)</f>
        <v>67300</v>
      </c>
      <c r="AD23" s="103">
        <f>SUM(AD4:AD21)</f>
        <v>1534629.70055103</v>
      </c>
      <c r="AE23" s="125"/>
      <c r="AF23" s="126">
        <f>SUM(AF4:AF21)</f>
        <v>143489.844697434</v>
      </c>
      <c r="AG23" s="127">
        <f>SUM(AG4:AG21)</f>
        <v>140</v>
      </c>
      <c r="AH23" s="128">
        <f>SUM(AH4:AH21)</f>
        <v>16594</v>
      </c>
      <c r="AJ23" s="81"/>
    </row>
    <row r="24" s="2" customFormat="1" ht="18" customHeight="1" spans="1:36">
      <c r="A24" s="75" t="s">
        <v>52</v>
      </c>
      <c r="B24" s="75"/>
      <c r="C24" s="75"/>
      <c r="D24" s="70">
        <f>SUM(D23:D23)</f>
        <v>69624.25</v>
      </c>
      <c r="E24" s="70"/>
      <c r="F24" s="70">
        <f>SUM(F23:F23)</f>
        <v>69836.78</v>
      </c>
      <c r="G24" s="70"/>
      <c r="H24" s="70">
        <f>SUM(H23:H23)</f>
        <v>71309.85</v>
      </c>
      <c r="I24" s="70"/>
      <c r="J24" s="70">
        <f>SUM(J23:J23)</f>
        <v>72084.66</v>
      </c>
      <c r="K24" s="70"/>
      <c r="L24" s="70">
        <f>SUM(L23:L23)</f>
        <v>71631.56</v>
      </c>
      <c r="M24" s="70"/>
      <c r="N24" s="70">
        <f>SUM(N23:N23)</f>
        <v>73691.07</v>
      </c>
      <c r="O24" s="70"/>
      <c r="P24" s="70">
        <f>SUM(P23:P23)</f>
        <v>67022.7</v>
      </c>
      <c r="Q24" s="70"/>
      <c r="R24" s="70">
        <f>SUM(R23:R23)</f>
        <v>68434.83</v>
      </c>
      <c r="S24" s="70"/>
      <c r="T24" s="70">
        <f>SUM(T23:T23)</f>
        <v>67793.55</v>
      </c>
      <c r="U24" s="70"/>
      <c r="V24" s="70">
        <f>SUM(V23:V23)</f>
        <v>67845.67</v>
      </c>
      <c r="W24" s="70"/>
      <c r="X24" s="70">
        <f>SUM(X23:X23)</f>
        <v>67324.42</v>
      </c>
      <c r="Y24" s="70"/>
      <c r="Z24" s="70">
        <f>SUM(Z23:Z23)</f>
        <v>67105.31</v>
      </c>
      <c r="AA24" s="70"/>
      <c r="AB24" s="70">
        <f>SUM(AB23:AB23)</f>
        <v>181955.82</v>
      </c>
      <c r="AC24" s="70">
        <f>SUM(AC23:AC23)</f>
        <v>67300</v>
      </c>
      <c r="AD24" s="76">
        <f>SUM(D24:AC24)</f>
        <v>1082960.47</v>
      </c>
      <c r="AE24" s="77"/>
      <c r="AF24" s="78"/>
      <c r="AG24" s="81"/>
      <c r="AH24" s="81"/>
      <c r="AJ24" s="81"/>
    </row>
    <row r="25" spans="1:36">
      <c r="A25" s="75" t="s">
        <v>53</v>
      </c>
      <c r="B25" s="75"/>
      <c r="C25" s="75"/>
      <c r="D25" s="105"/>
      <c r="E25" s="129">
        <f>SUM(E4+E7+E5+E8)</f>
        <v>26635.5124960368</v>
      </c>
      <c r="F25" s="129"/>
      <c r="G25" s="129">
        <f>SUM(G4+G7+G5+G8)</f>
        <v>27827.9042167141</v>
      </c>
      <c r="H25" s="129"/>
      <c r="I25" s="129">
        <f>SUM(I4+I7+I5+I8)</f>
        <v>19308.642010468</v>
      </c>
      <c r="J25" s="129"/>
      <c r="K25" s="129">
        <f>SUM(K4+K7+K5+K8)</f>
        <v>32878.3779424279</v>
      </c>
      <c r="L25" s="129"/>
      <c r="M25" s="129">
        <f>SUM(M4+M7+M5+M8)</f>
        <v>26213.0621385487</v>
      </c>
      <c r="N25" s="129"/>
      <c r="O25" s="129">
        <f>SUM(O4+O7+O5+O8)</f>
        <v>51420.3104061985</v>
      </c>
      <c r="P25" s="129"/>
      <c r="Q25" s="129">
        <f>SUM(Q4+Q7+Q5+Q8)</f>
        <v>21445.1740896061</v>
      </c>
      <c r="R25" s="129"/>
      <c r="S25" s="129">
        <f>SUM(S4+S7+S5+S8)</f>
        <v>26550.0106865049</v>
      </c>
      <c r="T25" s="129"/>
      <c r="U25" s="129">
        <f>SUM(U4+U7+U5+U8)</f>
        <v>27053.2972469162</v>
      </c>
      <c r="V25" s="129"/>
      <c r="W25" s="129">
        <f>SUM(W4+W7+W5+W8)</f>
        <v>31604.8718864279</v>
      </c>
      <c r="X25" s="129"/>
      <c r="Y25" s="70">
        <f>SUM(Y4+Y7+Y5+Y8)</f>
        <v>19600.4631348352</v>
      </c>
      <c r="Z25" s="129"/>
      <c r="AA25" s="129">
        <f>SUM(AA4+AA5+AA7+AA8)</f>
        <v>56186.2342963462</v>
      </c>
      <c r="AB25" s="129"/>
      <c r="AC25" s="129"/>
      <c r="AD25" s="129">
        <f>SUM(E25:AC25)</f>
        <v>366723.86055103</v>
      </c>
    </row>
    <row r="26" spans="1:36">
      <c r="A26" s="75" t="s">
        <v>54</v>
      </c>
      <c r="B26" s="75"/>
      <c r="C26" s="75"/>
      <c r="D26" s="105"/>
      <c r="E26" s="130">
        <f>SUM(E23-E25)</f>
        <v>6676.40000000001</v>
      </c>
      <c r="F26" s="130"/>
      <c r="G26" s="130">
        <f t="shared" ref="F26:S26" si="3">SUM(G23-G25)</f>
        <v>4650.3</v>
      </c>
      <c r="H26" s="130"/>
      <c r="I26" s="130">
        <f t="shared" si="3"/>
        <v>9915.00000000003</v>
      </c>
      <c r="J26" s="130"/>
      <c r="K26" s="130">
        <f t="shared" si="3"/>
        <v>5999.99999999999</v>
      </c>
      <c r="L26" s="130"/>
      <c r="M26" s="130">
        <f t="shared" si="3"/>
        <v>5077.49999999999</v>
      </c>
      <c r="N26" s="130"/>
      <c r="O26" s="130">
        <f t="shared" si="3"/>
        <v>7733.03999999999</v>
      </c>
      <c r="P26" s="130"/>
      <c r="Q26" s="130">
        <f t="shared" si="3"/>
        <v>7002.98000000001</v>
      </c>
      <c r="R26" s="130"/>
      <c r="S26" s="130">
        <f t="shared" si="3"/>
        <v>8119.50000000001</v>
      </c>
      <c r="T26" s="130"/>
      <c r="U26" s="130">
        <f>SUM(U23-U25)</f>
        <v>8260.94999999999</v>
      </c>
      <c r="V26" s="130"/>
      <c r="W26" s="130">
        <f t="shared" ref="V26:AA26" si="4">SUM(W23-W25)</f>
        <v>6718.19999999998</v>
      </c>
      <c r="X26" s="130"/>
      <c r="Y26" s="70">
        <f t="shared" si="4"/>
        <v>6109.49999999995</v>
      </c>
      <c r="Z26" s="130"/>
      <c r="AA26" s="130">
        <f t="shared" si="4"/>
        <v>8681.99999999999</v>
      </c>
      <c r="AB26" s="130"/>
      <c r="AC26" s="130"/>
      <c r="AD26" s="129">
        <f>SUM(E26:AC26)</f>
        <v>84945.3699999999</v>
      </c>
    </row>
    <row r="29" spans="1:36">
      <c r="J29" s="131"/>
      <c r="L29" s="132"/>
      <c r="N29" s="78"/>
    </row>
    <row r="31" spans="1:36">
      <c r="N31" s="78"/>
    </row>
    <row r="33" spans="14:14">
      <c r="N33" s="78"/>
    </row>
    <row r="35" spans="14:14">
      <c r="N35" s="78"/>
    </row>
    <row r="37" spans="14:14">
      <c r="N37" s="78"/>
    </row>
    <row r="39" spans="14:14">
      <c r="N39" s="78"/>
    </row>
    <row r="41" spans="14:14">
      <c r="N41" s="78"/>
    </row>
    <row r="43" spans="14:14">
      <c r="N43" s="78"/>
    </row>
    <row r="45" spans="14:14">
      <c r="N45" s="78"/>
    </row>
  </sheetData>
  <mergeCells count="26">
    <mergeCell ref="A1:AF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G2:AH2"/>
    <mergeCell ref="A23:B23"/>
    <mergeCell ref="A24:C24"/>
    <mergeCell ref="A25:C25"/>
    <mergeCell ref="A26:C26"/>
    <mergeCell ref="A2:A3"/>
    <mergeCell ref="B2:B3"/>
    <mergeCell ref="C2:C3"/>
    <mergeCell ref="AB2:AB3"/>
    <mergeCell ref="AC2:AC3"/>
    <mergeCell ref="AD2:AD3"/>
    <mergeCell ref="AE2:AE3"/>
    <mergeCell ref="AF2:AF3"/>
  </mergeCells>
  <pageMargins left="0.75" right="0.75" top="1" bottom="1" header="0.5" footer="0.5"/>
  <pageSetup paperSize="9" orientation="portrait"/>
  <headerFooter/>
  <ignoredErrors>
    <ignoredError sqref="AA2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AO53"/>
  <sheetViews>
    <sheetView workbookViewId="0">
      <pane xSplit="3" ySplit="3" topLeftCell="T4" activePane="bottomRight" state="frozen"/>
      <selection/>
      <selection pane="topRight"/>
      <selection pane="bottomLeft"/>
      <selection pane="bottomRight" activeCell="A7" sqref="$A7:$XFD7"/>
    </sheetView>
  </sheetViews>
  <sheetFormatPr defaultColWidth="9" defaultRowHeight="14.25"/>
  <cols>
    <col min="1" max="1" width="4.625" style="1" customWidth="1"/>
    <col min="2" max="2" width="7.875" style="1" customWidth="1"/>
    <col min="3" max="3" width="5.5" style="4" customWidth="1"/>
    <col min="4" max="4" width="12" style="1" customWidth="1"/>
    <col min="5" max="5" width="12" style="5" customWidth="1"/>
    <col min="6" max="6" width="12" style="1" customWidth="1"/>
    <col min="7" max="7" width="12" style="5" customWidth="1"/>
    <col min="8" max="8" width="12" style="1" customWidth="1"/>
    <col min="9" max="9" width="11" style="5" customWidth="1"/>
    <col min="10" max="10" width="12" style="1" customWidth="1"/>
    <col min="11" max="11" width="11" style="6" customWidth="1"/>
    <col min="12" max="12" width="12" style="1" customWidth="1"/>
    <col min="13" max="13" width="11" style="10" customWidth="1"/>
    <col min="14" max="14" width="12" style="8" customWidth="1"/>
    <col min="15" max="16" width="11" style="9" customWidth="1"/>
    <col min="17" max="17" width="12" style="1" customWidth="1"/>
    <col min="18" max="19" width="11" style="10" customWidth="1"/>
    <col min="20" max="20" width="12" style="1" customWidth="1"/>
    <col min="21" max="22" width="11" style="5" customWidth="1"/>
    <col min="23" max="23" width="12" style="1" customWidth="1"/>
    <col min="24" max="25" width="12" style="5" customWidth="1"/>
    <col min="26" max="26" width="12" style="1" customWidth="1"/>
    <col min="27" max="28" width="12" style="5" customWidth="1"/>
    <col min="29" max="29" width="12" style="4" customWidth="1"/>
    <col min="30" max="31" width="12" style="11" customWidth="1"/>
    <col min="32" max="32" width="13.375" style="4" customWidth="1"/>
    <col min="33" max="36" width="12" style="12" customWidth="1"/>
    <col min="37" max="37" width="16.25" style="4" customWidth="1"/>
    <col min="38" max="38" width="10" style="8" customWidth="1"/>
    <col min="39" max="39" width="15.625" style="1" customWidth="1"/>
    <col min="40" max="41" width="9" style="8"/>
    <col min="42" max="16384" width="9" style="1"/>
  </cols>
  <sheetData>
    <row r="1" s="1" customFormat="1" ht="28" customHeight="1" spans="1:41">
      <c r="A1" s="13" t="s">
        <v>69</v>
      </c>
      <c r="B1" s="13"/>
      <c r="C1" s="13"/>
      <c r="D1" s="13"/>
      <c r="E1" s="14"/>
      <c r="F1" s="13"/>
      <c r="G1" s="14"/>
      <c r="H1" s="13"/>
      <c r="I1" s="14"/>
      <c r="J1" s="13"/>
      <c r="K1" s="14"/>
      <c r="L1" s="13"/>
      <c r="M1" s="14"/>
      <c r="N1" s="13"/>
      <c r="O1" s="16"/>
      <c r="P1" s="16"/>
      <c r="Q1" s="13"/>
      <c r="R1" s="14"/>
      <c r="S1" s="14"/>
      <c r="T1" s="13"/>
      <c r="U1" s="14"/>
      <c r="V1" s="14"/>
      <c r="W1" s="13"/>
      <c r="X1" s="14"/>
      <c r="Y1" s="14"/>
      <c r="Z1" s="13"/>
      <c r="AA1" s="14"/>
      <c r="AB1" s="14"/>
      <c r="AC1" s="13"/>
      <c r="AD1" s="14"/>
      <c r="AE1" s="14"/>
      <c r="AF1" s="13"/>
      <c r="AG1" s="14"/>
      <c r="AH1" s="14"/>
      <c r="AI1" s="14"/>
      <c r="AJ1" s="14"/>
      <c r="AK1" s="13"/>
      <c r="AL1" s="13"/>
      <c r="AM1" s="13"/>
      <c r="AN1" s="8"/>
      <c r="AO1" s="8"/>
    </row>
    <row r="2" s="1" customFormat="1" ht="28" customHeight="1" spans="1:41">
      <c r="A2" s="17" t="s">
        <v>56</v>
      </c>
      <c r="B2" s="18" t="s">
        <v>2</v>
      </c>
      <c r="C2" s="18" t="s">
        <v>3</v>
      </c>
      <c r="D2" s="21" t="s">
        <v>4</v>
      </c>
      <c r="E2" s="89"/>
      <c r="F2" s="90" t="s">
        <v>5</v>
      </c>
      <c r="G2" s="89"/>
      <c r="H2" s="90" t="s">
        <v>6</v>
      </c>
      <c r="I2" s="89"/>
      <c r="J2" s="90" t="s">
        <v>7</v>
      </c>
      <c r="K2" s="91"/>
      <c r="L2" s="90" t="s">
        <v>8</v>
      </c>
      <c r="M2" s="89"/>
      <c r="N2" s="19" t="s">
        <v>9</v>
      </c>
      <c r="O2" s="20"/>
      <c r="P2" s="21"/>
      <c r="Q2" s="19" t="s">
        <v>10</v>
      </c>
      <c r="R2" s="20"/>
      <c r="S2" s="21"/>
      <c r="T2" s="19" t="s">
        <v>11</v>
      </c>
      <c r="U2" s="20"/>
      <c r="V2" s="21"/>
      <c r="W2" s="19" t="s">
        <v>12</v>
      </c>
      <c r="X2" s="20"/>
      <c r="Y2" s="92"/>
      <c r="Z2" s="19" t="s">
        <v>13</v>
      </c>
      <c r="AA2" s="20"/>
      <c r="AB2" s="21"/>
      <c r="AC2" s="19" t="s">
        <v>14</v>
      </c>
      <c r="AD2" s="20"/>
      <c r="AE2" s="21"/>
      <c r="AF2" s="19" t="s">
        <v>15</v>
      </c>
      <c r="AG2" s="20"/>
      <c r="AH2" s="21"/>
      <c r="AI2" s="22" t="s">
        <v>16</v>
      </c>
      <c r="AJ2" s="23" t="s">
        <v>17</v>
      </c>
      <c r="AK2" s="93" t="s">
        <v>18</v>
      </c>
      <c r="AL2" s="25" t="s">
        <v>19</v>
      </c>
      <c r="AM2" s="26" t="s">
        <v>70</v>
      </c>
      <c r="AN2" s="27" t="s">
        <v>21</v>
      </c>
      <c r="AO2" s="28"/>
    </row>
    <row r="3" s="2" customFormat="1" ht="26" customHeight="1" spans="1:41">
      <c r="A3" s="29"/>
      <c r="B3" s="18"/>
      <c r="C3" s="18"/>
      <c r="D3" s="30" t="s">
        <v>22</v>
      </c>
      <c r="E3" s="70" t="s">
        <v>71</v>
      </c>
      <c r="F3" s="18" t="s">
        <v>22</v>
      </c>
      <c r="G3" s="70" t="s">
        <v>71</v>
      </c>
      <c r="H3" s="18" t="s">
        <v>22</v>
      </c>
      <c r="I3" s="70" t="s">
        <v>71</v>
      </c>
      <c r="J3" s="18" t="s">
        <v>22</v>
      </c>
      <c r="K3" s="70" t="s">
        <v>71</v>
      </c>
      <c r="L3" s="18" t="s">
        <v>22</v>
      </c>
      <c r="M3" s="70" t="s">
        <v>71</v>
      </c>
      <c r="N3" s="18" t="s">
        <v>22</v>
      </c>
      <c r="O3" s="70" t="s">
        <v>71</v>
      </c>
      <c r="P3" s="70" t="s">
        <v>72</v>
      </c>
      <c r="Q3" s="18" t="s">
        <v>22</v>
      </c>
      <c r="R3" s="70" t="s">
        <v>71</v>
      </c>
      <c r="S3" s="70" t="s">
        <v>72</v>
      </c>
      <c r="T3" s="18" t="s">
        <v>22</v>
      </c>
      <c r="U3" s="70" t="s">
        <v>71</v>
      </c>
      <c r="V3" s="70" t="s">
        <v>72</v>
      </c>
      <c r="W3" s="18" t="s">
        <v>22</v>
      </c>
      <c r="X3" s="70" t="s">
        <v>71</v>
      </c>
      <c r="Y3" s="70" t="s">
        <v>72</v>
      </c>
      <c r="Z3" s="18" t="s">
        <v>22</v>
      </c>
      <c r="AA3" s="70" t="s">
        <v>71</v>
      </c>
      <c r="AB3" s="70" t="s">
        <v>72</v>
      </c>
      <c r="AC3" s="18" t="s">
        <v>22</v>
      </c>
      <c r="AD3" s="70" t="s">
        <v>71</v>
      </c>
      <c r="AE3" s="70" t="s">
        <v>72</v>
      </c>
      <c r="AF3" s="18" t="s">
        <v>22</v>
      </c>
      <c r="AG3" s="70" t="s">
        <v>71</v>
      </c>
      <c r="AH3" s="70" t="s">
        <v>72</v>
      </c>
      <c r="AI3" s="32"/>
      <c r="AJ3" s="33"/>
      <c r="AK3" s="93"/>
      <c r="AL3" s="34"/>
      <c r="AM3" s="26"/>
      <c r="AN3" s="26" t="s">
        <v>24</v>
      </c>
      <c r="AO3" s="26" t="s">
        <v>25</v>
      </c>
    </row>
    <row r="4" s="3" customFormat="1" ht="18" customHeight="1" spans="1:41">
      <c r="A4" s="35">
        <v>1</v>
      </c>
      <c r="B4" s="50" t="s">
        <v>26</v>
      </c>
      <c r="C4" s="50" t="s">
        <v>27</v>
      </c>
      <c r="D4" s="37">
        <v>5282.23</v>
      </c>
      <c r="E4" s="38">
        <v>27885.8364654512</v>
      </c>
      <c r="F4" s="37">
        <v>5084.13</v>
      </c>
      <c r="G4" s="41">
        <v>11271.9187354859</v>
      </c>
      <c r="H4" s="37">
        <v>4329.41</v>
      </c>
      <c r="I4" s="38">
        <v>23019.0573568308</v>
      </c>
      <c r="J4" s="37">
        <v>4960.86</v>
      </c>
      <c r="K4" s="41">
        <v>13357.98</v>
      </c>
      <c r="L4" s="87">
        <v>4634.01</v>
      </c>
      <c r="M4" s="41">
        <v>18489.52</v>
      </c>
      <c r="N4" s="94">
        <v>5024.46</v>
      </c>
      <c r="O4" s="38">
        <v>6060.45</v>
      </c>
      <c r="P4" s="38">
        <v>1915.55</v>
      </c>
      <c r="Q4" s="37">
        <v>5041.18</v>
      </c>
      <c r="R4" s="38">
        <v>17536.11</v>
      </c>
      <c r="S4" s="38">
        <v>21435.76</v>
      </c>
      <c r="T4" s="87">
        <v>4892.81</v>
      </c>
      <c r="U4" s="41">
        <v>22195.6060514945</v>
      </c>
      <c r="V4" s="41">
        <v>19017.72</v>
      </c>
      <c r="W4" s="45">
        <v>4704.58</v>
      </c>
      <c r="X4" s="41">
        <v>20791.9830751643</v>
      </c>
      <c r="Y4" s="38">
        <v>8331.14</v>
      </c>
      <c r="Z4" s="45">
        <v>5216.52</v>
      </c>
      <c r="AA4" s="41">
        <v>6417.37741291687</v>
      </c>
      <c r="AB4" s="38">
        <v>10006.54</v>
      </c>
      <c r="AC4" s="45">
        <v>5079.58</v>
      </c>
      <c r="AD4" s="38">
        <v>11121.6728725212</v>
      </c>
      <c r="AE4" s="38">
        <v>9937.03191656444</v>
      </c>
      <c r="AF4" s="45">
        <v>4896</v>
      </c>
      <c r="AG4" s="38">
        <v>6208.41385808564</v>
      </c>
      <c r="AH4" s="38">
        <v>4811.62</v>
      </c>
      <c r="AI4" s="82">
        <v>14494.44</v>
      </c>
      <c r="AJ4" s="65">
        <v>6000</v>
      </c>
      <c r="AK4" s="51">
        <f t="shared" ref="AK4:AK18" si="0">SUM(D4:AJ4)</f>
        <v>339451.497744515</v>
      </c>
      <c r="AL4" s="46">
        <v>12</v>
      </c>
      <c r="AM4" s="37">
        <f t="shared" ref="AM4:AM18" si="1">SUM(AK4/AL4)</f>
        <v>28287.6248120429</v>
      </c>
      <c r="AN4" s="47">
        <v>17</v>
      </c>
      <c r="AO4" s="48">
        <v>7029</v>
      </c>
    </row>
    <row r="5" s="3" customFormat="1" ht="18" customHeight="1" spans="1:41">
      <c r="A5" s="35">
        <v>2</v>
      </c>
      <c r="B5" s="56" t="s">
        <v>29</v>
      </c>
      <c r="C5" s="50" t="s">
        <v>27</v>
      </c>
      <c r="D5" s="37">
        <v>4252.16</v>
      </c>
      <c r="E5" s="38">
        <v>29217.776720189</v>
      </c>
      <c r="F5" s="37">
        <v>4298.31</v>
      </c>
      <c r="G5" s="41">
        <v>8191.96616602744</v>
      </c>
      <c r="H5" s="37">
        <v>4145.3</v>
      </c>
      <c r="I5" s="38">
        <v>13677.21</v>
      </c>
      <c r="J5" s="58">
        <v>3933.66</v>
      </c>
      <c r="K5" s="41">
        <v>8661.52718974858</v>
      </c>
      <c r="L5" s="87">
        <v>3667.24</v>
      </c>
      <c r="M5" s="41">
        <v>17570.1283516747</v>
      </c>
      <c r="N5" s="94">
        <v>4007.42</v>
      </c>
      <c r="O5" s="38">
        <v>15210.47</v>
      </c>
      <c r="P5" s="38"/>
      <c r="Q5" s="37">
        <v>4169.07</v>
      </c>
      <c r="R5" s="38">
        <v>17379.5806147498</v>
      </c>
      <c r="S5" s="38"/>
      <c r="T5" s="87">
        <v>3720.69</v>
      </c>
      <c r="U5" s="41">
        <v>22223.9919496564</v>
      </c>
      <c r="V5" s="41">
        <v>3302.69</v>
      </c>
      <c r="W5" s="45">
        <v>3532.62</v>
      </c>
      <c r="X5" s="41">
        <v>16869.66</v>
      </c>
      <c r="Y5" s="38">
        <v>984.56</v>
      </c>
      <c r="Z5" s="45">
        <v>3684.62</v>
      </c>
      <c r="AA5" s="38">
        <v>18537.37</v>
      </c>
      <c r="AB5" s="38">
        <v>3996.57</v>
      </c>
      <c r="AC5" s="45">
        <v>3506.24</v>
      </c>
      <c r="AD5" s="38">
        <v>12818.98</v>
      </c>
      <c r="AE5" s="38">
        <v>1265.21</v>
      </c>
      <c r="AF5" s="45">
        <v>3419.59</v>
      </c>
      <c r="AG5" s="38">
        <v>13305.41</v>
      </c>
      <c r="AH5" s="38">
        <v>9486.82</v>
      </c>
      <c r="AI5" s="82">
        <v>14045.64</v>
      </c>
      <c r="AJ5" s="65">
        <v>5000</v>
      </c>
      <c r="AK5" s="51">
        <f t="shared" si="0"/>
        <v>278082.480992046</v>
      </c>
      <c r="AL5" s="46">
        <v>12</v>
      </c>
      <c r="AM5" s="37">
        <f t="shared" si="1"/>
        <v>23173.5400826705</v>
      </c>
      <c r="AN5" s="47">
        <v>29</v>
      </c>
      <c r="AO5" s="48">
        <v>6815</v>
      </c>
    </row>
    <row r="6" s="3" customFormat="1" ht="18" customHeight="1" spans="1:41">
      <c r="A6" s="35">
        <v>3</v>
      </c>
      <c r="B6" s="36" t="s">
        <v>30</v>
      </c>
      <c r="C6" s="61" t="s">
        <v>63</v>
      </c>
      <c r="D6" s="37">
        <v>9263.17</v>
      </c>
      <c r="E6" s="41"/>
      <c r="F6" s="37">
        <v>9263.17</v>
      </c>
      <c r="G6" s="41"/>
      <c r="H6" s="37">
        <v>9353.11</v>
      </c>
      <c r="I6" s="38"/>
      <c r="J6" s="37">
        <v>9300.27</v>
      </c>
      <c r="K6" s="41"/>
      <c r="L6" s="87">
        <v>9300.27</v>
      </c>
      <c r="M6" s="41"/>
      <c r="N6" s="87">
        <v>9300.27</v>
      </c>
      <c r="O6" s="38"/>
      <c r="P6" s="38"/>
      <c r="Q6" s="37">
        <v>9300.27</v>
      </c>
      <c r="R6" s="38"/>
      <c r="S6" s="38"/>
      <c r="T6" s="87">
        <v>9300.27</v>
      </c>
      <c r="U6" s="41"/>
      <c r="V6" s="41"/>
      <c r="W6" s="45">
        <v>9300.27</v>
      </c>
      <c r="X6" s="41"/>
      <c r="Y6" s="38"/>
      <c r="Z6" s="45">
        <v>9300.27</v>
      </c>
      <c r="AA6" s="41"/>
      <c r="AB6" s="38"/>
      <c r="AC6" s="45">
        <v>9300.27</v>
      </c>
      <c r="AD6" s="38"/>
      <c r="AE6" s="41"/>
      <c r="AF6" s="45">
        <v>9250.59</v>
      </c>
      <c r="AG6" s="38"/>
      <c r="AH6" s="38"/>
      <c r="AI6" s="82">
        <v>14045.64</v>
      </c>
      <c r="AJ6" s="65">
        <v>11000</v>
      </c>
      <c r="AK6" s="51">
        <f t="shared" si="0"/>
        <v>136577.84</v>
      </c>
      <c r="AL6" s="46">
        <v>12</v>
      </c>
      <c r="AM6" s="37">
        <f t="shared" si="1"/>
        <v>11381.4866666667</v>
      </c>
      <c r="AN6" s="47"/>
      <c r="AO6" s="48"/>
    </row>
    <row r="7" s="3" customFormat="1" ht="18" customHeight="1" spans="1:41">
      <c r="A7" s="35">
        <v>4</v>
      </c>
      <c r="B7" s="36" t="s">
        <v>32</v>
      </c>
      <c r="C7" s="50" t="s">
        <v>27</v>
      </c>
      <c r="D7" s="37">
        <v>3752.76</v>
      </c>
      <c r="E7" s="38">
        <v>10207.9243900746</v>
      </c>
      <c r="F7" s="37">
        <v>3678.44</v>
      </c>
      <c r="G7" s="38">
        <v>1648.96045061753</v>
      </c>
      <c r="H7" s="37">
        <v>3405.99</v>
      </c>
      <c r="I7" s="38">
        <v>5051.92757664305</v>
      </c>
      <c r="J7" s="58">
        <v>3537.76</v>
      </c>
      <c r="K7" s="41">
        <v>5916.5</v>
      </c>
      <c r="L7" s="87">
        <v>3752.76</v>
      </c>
      <c r="M7" s="41">
        <v>2643.8494806897</v>
      </c>
      <c r="N7" s="94">
        <v>3752.76</v>
      </c>
      <c r="O7" s="38">
        <v>2395.85113196052</v>
      </c>
      <c r="P7" s="38">
        <v>1016.8909079693</v>
      </c>
      <c r="Q7" s="37">
        <v>3475.34</v>
      </c>
      <c r="R7" s="38">
        <v>3798.69</v>
      </c>
      <c r="S7" s="38">
        <v>1163.93448865025</v>
      </c>
      <c r="T7" s="87">
        <v>3405.98</v>
      </c>
      <c r="U7" s="41">
        <v>5531.33572552987</v>
      </c>
      <c r="V7" s="41">
        <v>3953.44589528343</v>
      </c>
      <c r="W7" s="45">
        <v>3466.09</v>
      </c>
      <c r="X7" s="41">
        <v>5267.4</v>
      </c>
      <c r="Y7" s="38">
        <v>62.229424596</v>
      </c>
      <c r="Z7" s="45">
        <v>3544.7</v>
      </c>
      <c r="AA7" s="41">
        <v>3294.78666531168</v>
      </c>
      <c r="AB7" s="38">
        <v>4571.72</v>
      </c>
      <c r="AC7" s="45">
        <v>3394.43</v>
      </c>
      <c r="AD7" s="38">
        <v>7802.7</v>
      </c>
      <c r="AE7" s="38">
        <v>701.660592613834</v>
      </c>
      <c r="AF7" s="45">
        <v>3666.13</v>
      </c>
      <c r="AG7" s="38">
        <v>11371.6519965152</v>
      </c>
      <c r="AH7" s="38"/>
      <c r="AI7" s="82">
        <v>14045.64</v>
      </c>
      <c r="AJ7" s="65">
        <v>4300</v>
      </c>
      <c r="AK7" s="51">
        <f t="shared" si="0"/>
        <v>137580.238726455</v>
      </c>
      <c r="AL7" s="46">
        <v>12</v>
      </c>
      <c r="AM7" s="37">
        <f t="shared" si="1"/>
        <v>11465.0198938712</v>
      </c>
      <c r="AN7" s="60">
        <v>15.5</v>
      </c>
      <c r="AO7" s="48"/>
    </row>
    <row r="8" s="3" customFormat="1" ht="18" customHeight="1" spans="1:41">
      <c r="A8" s="35">
        <v>5</v>
      </c>
      <c r="B8" s="56" t="s">
        <v>28</v>
      </c>
      <c r="C8" s="50" t="s">
        <v>27</v>
      </c>
      <c r="D8" s="37">
        <v>3754.37</v>
      </c>
      <c r="E8" s="38">
        <v>6644.70513391341</v>
      </c>
      <c r="F8" s="37">
        <v>4049.31</v>
      </c>
      <c r="G8" s="41">
        <v>2153.48858663957</v>
      </c>
      <c r="H8" s="37">
        <v>3852.76</v>
      </c>
      <c r="I8" s="38">
        <v>5362.70460904133</v>
      </c>
      <c r="J8" s="37">
        <v>4202.76</v>
      </c>
      <c r="K8" s="41">
        <v>5669.36</v>
      </c>
      <c r="L8" s="87">
        <v>4252.76</v>
      </c>
      <c r="M8" s="38">
        <v>4419.07622352537</v>
      </c>
      <c r="N8" s="94">
        <v>1752.76</v>
      </c>
      <c r="O8" s="38">
        <v>3084.44</v>
      </c>
      <c r="P8" s="38">
        <v>442.199</v>
      </c>
      <c r="Q8" s="37">
        <v>1752.76</v>
      </c>
      <c r="R8" s="38">
        <v>4489.71</v>
      </c>
      <c r="S8" s="38">
        <v>292.787379163294</v>
      </c>
      <c r="T8" s="87">
        <v>1752.76</v>
      </c>
      <c r="U8" s="41">
        <v>7764.11137759438</v>
      </c>
      <c r="V8" s="41">
        <v>2070.04710129057</v>
      </c>
      <c r="W8" s="45">
        <v>1752.76</v>
      </c>
      <c r="X8" s="41">
        <v>763.38</v>
      </c>
      <c r="Y8" s="38">
        <v>4853.235</v>
      </c>
      <c r="Z8" s="45">
        <v>1752.76</v>
      </c>
      <c r="AA8" s="41">
        <v>1522.30162628418</v>
      </c>
      <c r="AB8" s="38">
        <v>165.315831505235</v>
      </c>
      <c r="AC8" s="45">
        <v>1752.76</v>
      </c>
      <c r="AD8" s="38">
        <v>2011.41</v>
      </c>
      <c r="AE8" s="38">
        <v>293.63</v>
      </c>
      <c r="AF8" s="45">
        <v>4020</v>
      </c>
      <c r="AG8" s="38">
        <v>5143.44176890271</v>
      </c>
      <c r="AH8" s="38">
        <v>8575.4676676696</v>
      </c>
      <c r="AI8" s="82">
        <v>14045.64</v>
      </c>
      <c r="AJ8" s="65">
        <v>4800</v>
      </c>
      <c r="AK8" s="51">
        <f t="shared" si="0"/>
        <v>119214.97130553</v>
      </c>
      <c r="AL8" s="46">
        <v>12</v>
      </c>
      <c r="AM8" s="37">
        <f t="shared" si="1"/>
        <v>9934.58094212747</v>
      </c>
      <c r="AN8" s="60">
        <v>6.5</v>
      </c>
      <c r="AO8" s="48">
        <v>1073</v>
      </c>
    </row>
    <row r="9" s="3" customFormat="1" ht="18" customHeight="1" spans="1:41">
      <c r="A9" s="35">
        <v>6</v>
      </c>
      <c r="B9" s="50" t="s">
        <v>35</v>
      </c>
      <c r="C9" s="50" t="s">
        <v>36</v>
      </c>
      <c r="D9" s="37">
        <v>5048.36</v>
      </c>
      <c r="E9" s="41">
        <v>2617.92</v>
      </c>
      <c r="F9" s="37">
        <v>5048.36</v>
      </c>
      <c r="G9" s="41"/>
      <c r="H9" s="37">
        <v>5048.36</v>
      </c>
      <c r="I9" s="38">
        <v>1655.58</v>
      </c>
      <c r="J9" s="37">
        <v>5048.36</v>
      </c>
      <c r="K9" s="41">
        <v>1928.55</v>
      </c>
      <c r="L9" s="87">
        <v>5048.36</v>
      </c>
      <c r="M9" s="41">
        <v>2156.52</v>
      </c>
      <c r="N9" s="94">
        <v>5048.36</v>
      </c>
      <c r="O9" s="38">
        <v>1076</v>
      </c>
      <c r="P9" s="38"/>
      <c r="Q9" s="37">
        <v>5048.36</v>
      </c>
      <c r="R9" s="38">
        <v>1851.25</v>
      </c>
      <c r="S9" s="38"/>
      <c r="T9" s="87">
        <v>5048.36</v>
      </c>
      <c r="U9" s="38">
        <v>1660.5</v>
      </c>
      <c r="V9" s="38"/>
      <c r="W9" s="45">
        <v>5048.36</v>
      </c>
      <c r="X9" s="38">
        <v>1250.6</v>
      </c>
      <c r="Y9" s="38"/>
      <c r="Z9" s="45">
        <v>5048.36</v>
      </c>
      <c r="AA9" s="38">
        <v>1284.02</v>
      </c>
      <c r="AB9" s="38"/>
      <c r="AC9" s="45">
        <v>5048.36</v>
      </c>
      <c r="AD9" s="38">
        <v>2025.76</v>
      </c>
      <c r="AE9" s="41"/>
      <c r="AF9" s="45">
        <v>5031.08</v>
      </c>
      <c r="AG9" s="38">
        <v>1477.94</v>
      </c>
      <c r="AH9" s="38"/>
      <c r="AI9" s="82">
        <v>14494.44</v>
      </c>
      <c r="AJ9" s="65">
        <v>5600</v>
      </c>
      <c r="AK9" s="51">
        <f t="shared" si="0"/>
        <v>99642.12</v>
      </c>
      <c r="AL9" s="46">
        <v>12</v>
      </c>
      <c r="AM9" s="37">
        <f t="shared" si="1"/>
        <v>8303.51</v>
      </c>
      <c r="AN9" s="60"/>
      <c r="AO9" s="48"/>
    </row>
    <row r="10" s="3" customFormat="1" ht="18" customHeight="1" spans="1:41">
      <c r="A10" s="35">
        <v>7</v>
      </c>
      <c r="B10" s="36" t="s">
        <v>41</v>
      </c>
      <c r="C10" s="50" t="s">
        <v>38</v>
      </c>
      <c r="D10" s="37">
        <v>4752.76</v>
      </c>
      <c r="E10" s="41">
        <v>2278.8</v>
      </c>
      <c r="F10" s="37">
        <v>4752.76</v>
      </c>
      <c r="G10" s="41"/>
      <c r="H10" s="37">
        <v>4752.76</v>
      </c>
      <c r="I10" s="38">
        <v>1655.58</v>
      </c>
      <c r="J10" s="37">
        <v>4752.76</v>
      </c>
      <c r="K10" s="41">
        <v>1928.55</v>
      </c>
      <c r="L10" s="87">
        <v>4752.76</v>
      </c>
      <c r="M10" s="95">
        <v>2069.76</v>
      </c>
      <c r="N10" s="96">
        <v>4752.76</v>
      </c>
      <c r="O10" s="38">
        <v>1120.9</v>
      </c>
      <c r="P10" s="38"/>
      <c r="Q10" s="37">
        <v>4752.76</v>
      </c>
      <c r="R10" s="38">
        <v>1851.25</v>
      </c>
      <c r="S10" s="38"/>
      <c r="T10" s="87">
        <v>4752.76</v>
      </c>
      <c r="U10" s="38">
        <v>1537.8</v>
      </c>
      <c r="V10" s="38"/>
      <c r="W10" s="45">
        <v>4752.76</v>
      </c>
      <c r="X10" s="38">
        <v>1302.7</v>
      </c>
      <c r="Y10" s="38"/>
      <c r="Z10" s="45">
        <v>4752.76</v>
      </c>
      <c r="AA10" s="38">
        <v>1534.55</v>
      </c>
      <c r="AB10" s="38"/>
      <c r="AC10" s="45">
        <v>4752.76</v>
      </c>
      <c r="AD10" s="38">
        <v>2025.76</v>
      </c>
      <c r="AE10" s="41"/>
      <c r="AF10" s="45">
        <v>4735.48</v>
      </c>
      <c r="AG10" s="38">
        <v>1423.2</v>
      </c>
      <c r="AH10" s="38"/>
      <c r="AI10" s="82">
        <v>14045.64</v>
      </c>
      <c r="AJ10" s="65">
        <v>5300</v>
      </c>
      <c r="AK10" s="51">
        <f t="shared" si="0"/>
        <v>95090.33</v>
      </c>
      <c r="AL10" s="46">
        <v>12</v>
      </c>
      <c r="AM10" s="37">
        <f t="shared" si="1"/>
        <v>7924.19416666667</v>
      </c>
      <c r="AN10" s="47"/>
      <c r="AO10" s="48"/>
    </row>
    <row r="11" s="3" customFormat="1" ht="18" customHeight="1" spans="1:41">
      <c r="A11" s="35">
        <v>8</v>
      </c>
      <c r="B11" s="36" t="s">
        <v>58</v>
      </c>
      <c r="C11" s="50" t="s">
        <v>38</v>
      </c>
      <c r="D11" s="37">
        <v>4452.76</v>
      </c>
      <c r="E11" s="41">
        <v>2520.96</v>
      </c>
      <c r="F11" s="37">
        <v>4452.76</v>
      </c>
      <c r="G11" s="41"/>
      <c r="H11" s="37">
        <v>4452.76</v>
      </c>
      <c r="I11" s="38">
        <v>1655.57</v>
      </c>
      <c r="J11" s="37">
        <v>4452.76</v>
      </c>
      <c r="K11" s="41">
        <v>1928.55</v>
      </c>
      <c r="L11" s="87">
        <v>4452.76</v>
      </c>
      <c r="M11" s="41">
        <v>2069.76</v>
      </c>
      <c r="N11" s="94">
        <v>4452.76</v>
      </c>
      <c r="O11" s="38">
        <v>1076</v>
      </c>
      <c r="P11" s="38"/>
      <c r="Q11" s="37">
        <v>4452.76</v>
      </c>
      <c r="R11" s="38">
        <v>1851.25</v>
      </c>
      <c r="S11" s="38"/>
      <c r="T11" s="87">
        <v>4452.76</v>
      </c>
      <c r="U11" s="38">
        <v>1660.5</v>
      </c>
      <c r="V11" s="38"/>
      <c r="W11" s="45">
        <v>4452.76</v>
      </c>
      <c r="X11" s="38">
        <v>1302.7</v>
      </c>
      <c r="Y11" s="38"/>
      <c r="Z11" s="45">
        <v>4452.76</v>
      </c>
      <c r="AA11" s="38">
        <v>1503.23</v>
      </c>
      <c r="AB11" s="38"/>
      <c r="AC11" s="45">
        <v>4452.76</v>
      </c>
      <c r="AD11" s="38">
        <v>2110.78</v>
      </c>
      <c r="AE11" s="41"/>
      <c r="AF11" s="45">
        <v>4435.48</v>
      </c>
      <c r="AG11" s="38">
        <v>1395.83</v>
      </c>
      <c r="AH11" s="38"/>
      <c r="AI11" s="82">
        <v>14045.64</v>
      </c>
      <c r="AJ11" s="65">
        <v>5000</v>
      </c>
      <c r="AK11" s="51">
        <f t="shared" si="0"/>
        <v>91536.61</v>
      </c>
      <c r="AL11" s="46">
        <v>12</v>
      </c>
      <c r="AM11" s="37">
        <f t="shared" si="1"/>
        <v>7628.05083333333</v>
      </c>
      <c r="AN11" s="60"/>
      <c r="AO11" s="48"/>
    </row>
    <row r="12" s="3" customFormat="1" ht="18" customHeight="1" spans="1:41">
      <c r="A12" s="35">
        <v>9</v>
      </c>
      <c r="B12" s="36" t="s">
        <v>43</v>
      </c>
      <c r="C12" s="36" t="s">
        <v>44</v>
      </c>
      <c r="D12" s="37">
        <v>4447.36</v>
      </c>
      <c r="E12" s="38"/>
      <c r="F12" s="37">
        <v>4447.36</v>
      </c>
      <c r="G12" s="39"/>
      <c r="H12" s="37">
        <v>4447.36</v>
      </c>
      <c r="I12" s="38"/>
      <c r="J12" s="37">
        <v>4447.36</v>
      </c>
      <c r="K12" s="41"/>
      <c r="L12" s="87">
        <v>4447.36</v>
      </c>
      <c r="M12" s="38"/>
      <c r="N12" s="97">
        <v>4447.36</v>
      </c>
      <c r="O12" s="38"/>
      <c r="P12" s="38"/>
      <c r="Q12" s="37">
        <v>4447.36</v>
      </c>
      <c r="R12" s="38"/>
      <c r="S12" s="38"/>
      <c r="T12" s="87">
        <v>4447.36</v>
      </c>
      <c r="U12" s="41"/>
      <c r="V12" s="41"/>
      <c r="W12" s="45">
        <v>4447.36</v>
      </c>
      <c r="X12" s="41"/>
      <c r="Y12" s="38"/>
      <c r="Z12" s="45">
        <v>4447.36</v>
      </c>
      <c r="AA12" s="41"/>
      <c r="AB12" s="41"/>
      <c r="AC12" s="45">
        <v>4447.36</v>
      </c>
      <c r="AD12" s="41"/>
      <c r="AE12" s="41"/>
      <c r="AF12" s="45">
        <v>4430.08</v>
      </c>
      <c r="AG12" s="38"/>
      <c r="AH12" s="38"/>
      <c r="AI12" s="82">
        <v>14596.44</v>
      </c>
      <c r="AJ12" s="65">
        <v>5000</v>
      </c>
      <c r="AK12" s="51">
        <f t="shared" si="0"/>
        <v>72947.48</v>
      </c>
      <c r="AL12" s="46">
        <v>12</v>
      </c>
      <c r="AM12" s="37">
        <f t="shared" si="1"/>
        <v>6078.95666666667</v>
      </c>
      <c r="AN12" s="47"/>
      <c r="AO12" s="48"/>
    </row>
    <row r="13" s="3" customFormat="1" ht="18" customHeight="1" spans="1:41">
      <c r="A13" s="35">
        <v>10</v>
      </c>
      <c r="B13" s="56" t="s">
        <v>33</v>
      </c>
      <c r="C13" s="50" t="s">
        <v>73</v>
      </c>
      <c r="D13" s="37"/>
      <c r="E13" s="41"/>
      <c r="F13" s="37"/>
      <c r="G13" s="41"/>
      <c r="H13" s="37">
        <v>1774.19</v>
      </c>
      <c r="I13" s="38"/>
      <c r="J13" s="37">
        <v>3496.97</v>
      </c>
      <c r="K13" s="41"/>
      <c r="L13" s="87">
        <v>4448.36</v>
      </c>
      <c r="M13" s="38"/>
      <c r="N13" s="87">
        <v>4448.36</v>
      </c>
      <c r="O13" s="38"/>
      <c r="P13" s="38"/>
      <c r="Q13" s="37">
        <v>4448.36</v>
      </c>
      <c r="R13" s="38"/>
      <c r="S13" s="38"/>
      <c r="T13" s="87">
        <v>4748.36</v>
      </c>
      <c r="U13" s="41"/>
      <c r="V13" s="41">
        <v>1706.67</v>
      </c>
      <c r="W13" s="45">
        <v>4748.36</v>
      </c>
      <c r="X13" s="41"/>
      <c r="Y13" s="41">
        <v>1000</v>
      </c>
      <c r="Z13" s="45">
        <v>4748.36</v>
      </c>
      <c r="AA13" s="41"/>
      <c r="AB13" s="38">
        <v>1733.33</v>
      </c>
      <c r="AC13" s="45">
        <v>4748.36</v>
      </c>
      <c r="AD13" s="38"/>
      <c r="AE13" s="41">
        <v>1200</v>
      </c>
      <c r="AF13" s="45">
        <v>4731.08</v>
      </c>
      <c r="AG13" s="38"/>
      <c r="AH13" s="38">
        <v>1000</v>
      </c>
      <c r="AI13" s="82">
        <v>10903.41</v>
      </c>
      <c r="AJ13" s="65">
        <v>500</v>
      </c>
      <c r="AK13" s="51">
        <f t="shared" si="0"/>
        <v>60384.17</v>
      </c>
      <c r="AL13" s="46">
        <v>10</v>
      </c>
      <c r="AM13" s="37">
        <f t="shared" si="1"/>
        <v>6038.417</v>
      </c>
      <c r="AN13" s="47"/>
      <c r="AO13" s="48"/>
    </row>
    <row r="14" s="3" customFormat="1" ht="18" customHeight="1" spans="1:41">
      <c r="A14" s="35">
        <v>11</v>
      </c>
      <c r="B14" s="65" t="s">
        <v>74</v>
      </c>
      <c r="C14" s="50" t="s">
        <v>73</v>
      </c>
      <c r="D14" s="37"/>
      <c r="E14" s="41"/>
      <c r="F14" s="37"/>
      <c r="G14" s="41"/>
      <c r="H14" s="37"/>
      <c r="I14" s="38"/>
      <c r="J14" s="37"/>
      <c r="K14" s="41"/>
      <c r="L14" s="87">
        <v>4193.55</v>
      </c>
      <c r="M14" s="38"/>
      <c r="N14" s="87">
        <v>4449.36</v>
      </c>
      <c r="O14" s="38"/>
      <c r="P14" s="38"/>
      <c r="Q14" s="37">
        <v>4449.36</v>
      </c>
      <c r="R14" s="38"/>
      <c r="S14" s="38"/>
      <c r="T14" s="87">
        <v>4749.36</v>
      </c>
      <c r="U14" s="41"/>
      <c r="V14" s="41">
        <v>1707.67</v>
      </c>
      <c r="W14" s="45">
        <v>4749.36</v>
      </c>
      <c r="X14" s="41"/>
      <c r="Y14" s="41">
        <v>1000</v>
      </c>
      <c r="Z14" s="45">
        <v>4749.36</v>
      </c>
      <c r="AA14" s="41"/>
      <c r="AB14" s="38">
        <v>1734.33</v>
      </c>
      <c r="AC14" s="45">
        <v>4749.36</v>
      </c>
      <c r="AD14" s="38"/>
      <c r="AE14" s="41">
        <v>1200</v>
      </c>
      <c r="AF14" s="45">
        <v>4732.08</v>
      </c>
      <c r="AG14" s="38"/>
      <c r="AH14" s="38">
        <v>1000</v>
      </c>
      <c r="AI14" s="82">
        <v>5924.45</v>
      </c>
      <c r="AJ14" s="65">
        <v>501</v>
      </c>
      <c r="AK14" s="51">
        <f t="shared" si="0"/>
        <v>49889.24</v>
      </c>
      <c r="AL14" s="46">
        <v>8</v>
      </c>
      <c r="AM14" s="37">
        <f t="shared" si="1"/>
        <v>6236.155</v>
      </c>
      <c r="AN14" s="47"/>
      <c r="AO14" s="48"/>
    </row>
    <row r="15" s="3" customFormat="1" ht="18" customHeight="1" spans="1:41">
      <c r="A15" s="35">
        <v>12</v>
      </c>
      <c r="B15" s="65" t="s">
        <v>75</v>
      </c>
      <c r="C15" s="50" t="s">
        <v>73</v>
      </c>
      <c r="D15" s="37"/>
      <c r="E15" s="41"/>
      <c r="F15" s="37"/>
      <c r="G15" s="41"/>
      <c r="H15" s="37"/>
      <c r="I15" s="38"/>
      <c r="J15" s="37"/>
      <c r="K15" s="41"/>
      <c r="L15" s="87">
        <v>2757.96</v>
      </c>
      <c r="M15" s="38"/>
      <c r="N15" s="87">
        <v>4450.36</v>
      </c>
      <c r="O15" s="38"/>
      <c r="P15" s="38"/>
      <c r="Q15" s="37">
        <v>4450.36</v>
      </c>
      <c r="R15" s="38"/>
      <c r="S15" s="38"/>
      <c r="T15" s="87">
        <v>4750.36</v>
      </c>
      <c r="U15" s="41"/>
      <c r="V15" s="41">
        <v>1708.67</v>
      </c>
      <c r="W15" s="45">
        <v>4750.36</v>
      </c>
      <c r="X15" s="41"/>
      <c r="Y15" s="41">
        <v>1000</v>
      </c>
      <c r="Z15" s="45">
        <v>4750.36</v>
      </c>
      <c r="AA15" s="41"/>
      <c r="AB15" s="38">
        <v>1735.33</v>
      </c>
      <c r="AC15" s="45">
        <v>4750.36</v>
      </c>
      <c r="AD15" s="38"/>
      <c r="AE15" s="41">
        <v>1200</v>
      </c>
      <c r="AF15" s="45">
        <v>4733.08</v>
      </c>
      <c r="AG15" s="38"/>
      <c r="AH15" s="38">
        <v>1000</v>
      </c>
      <c r="AI15" s="82">
        <v>5924.45</v>
      </c>
      <c r="AJ15" s="65">
        <v>502</v>
      </c>
      <c r="AK15" s="51">
        <f t="shared" si="0"/>
        <v>48463.65</v>
      </c>
      <c r="AL15" s="46">
        <v>8</v>
      </c>
      <c r="AM15" s="37">
        <f t="shared" si="1"/>
        <v>6057.95625</v>
      </c>
      <c r="AN15" s="47"/>
      <c r="AO15" s="48"/>
    </row>
    <row r="16" s="3" customFormat="1" ht="18" customHeight="1" spans="1:41">
      <c r="A16" s="35">
        <v>13</v>
      </c>
      <c r="B16" s="65" t="s">
        <v>76</v>
      </c>
      <c r="C16" s="66" t="s">
        <v>77</v>
      </c>
      <c r="D16" s="37"/>
      <c r="E16" s="41"/>
      <c r="F16" s="37"/>
      <c r="G16" s="41"/>
      <c r="H16" s="37"/>
      <c r="I16" s="38"/>
      <c r="J16" s="37"/>
      <c r="K16" s="41"/>
      <c r="L16" s="87"/>
      <c r="M16" s="38"/>
      <c r="N16" s="87">
        <v>4451.36</v>
      </c>
      <c r="O16" s="38"/>
      <c r="P16" s="38"/>
      <c r="Q16" s="37">
        <v>4451.36</v>
      </c>
      <c r="R16" s="38"/>
      <c r="S16" s="38"/>
      <c r="T16" s="87">
        <v>4751.36</v>
      </c>
      <c r="U16" s="41"/>
      <c r="V16" s="41">
        <v>1709.67</v>
      </c>
      <c r="W16" s="45">
        <v>4751.36</v>
      </c>
      <c r="X16" s="41"/>
      <c r="Y16" s="41">
        <v>1000</v>
      </c>
      <c r="Z16" s="45">
        <v>4751.36</v>
      </c>
      <c r="AA16" s="41"/>
      <c r="AB16" s="38">
        <v>1736.33</v>
      </c>
      <c r="AC16" s="45">
        <v>4751.36</v>
      </c>
      <c r="AD16" s="38"/>
      <c r="AE16" s="41">
        <v>1200</v>
      </c>
      <c r="AF16" s="45">
        <v>4734.08</v>
      </c>
      <c r="AG16" s="38"/>
      <c r="AH16" s="38">
        <v>1000</v>
      </c>
      <c r="AI16" s="82">
        <v>2369.78</v>
      </c>
      <c r="AJ16" s="65">
        <v>503</v>
      </c>
      <c r="AK16" s="51">
        <f t="shared" si="0"/>
        <v>42161.02</v>
      </c>
      <c r="AL16" s="46">
        <v>6</v>
      </c>
      <c r="AM16" s="37">
        <f t="shared" si="1"/>
        <v>7026.83666666667</v>
      </c>
      <c r="AN16" s="47">
        <v>16</v>
      </c>
      <c r="AO16" s="48">
        <v>1988</v>
      </c>
    </row>
    <row r="17" s="3" customFormat="1" ht="18" customHeight="1" spans="1:41">
      <c r="A17" s="35">
        <v>14</v>
      </c>
      <c r="B17" s="36" t="s">
        <v>39</v>
      </c>
      <c r="C17" s="50" t="s">
        <v>40</v>
      </c>
      <c r="D17" s="37">
        <v>6047.36</v>
      </c>
      <c r="E17" s="38"/>
      <c r="F17" s="37">
        <v>6047.36</v>
      </c>
      <c r="G17" s="41"/>
      <c r="H17" s="37">
        <v>6047.36</v>
      </c>
      <c r="I17" s="38"/>
      <c r="J17" s="37">
        <v>6041.11</v>
      </c>
      <c r="K17" s="41"/>
      <c r="L17" s="87">
        <v>6047.36</v>
      </c>
      <c r="M17" s="41"/>
      <c r="N17" s="97">
        <v>6047.36</v>
      </c>
      <c r="O17" s="38"/>
      <c r="P17" s="38"/>
      <c r="Q17" s="37">
        <v>6047.36</v>
      </c>
      <c r="R17" s="38"/>
      <c r="S17" s="38"/>
      <c r="T17" s="87">
        <v>6047.36</v>
      </c>
      <c r="U17" s="38"/>
      <c r="V17" s="38"/>
      <c r="W17" s="45">
        <v>6047.36</v>
      </c>
      <c r="X17" s="41"/>
      <c r="Y17" s="38"/>
      <c r="Z17" s="45">
        <v>6047.36</v>
      </c>
      <c r="AA17" s="41"/>
      <c r="AB17" s="38"/>
      <c r="AC17" s="45">
        <v>6047.36</v>
      </c>
      <c r="AD17" s="38"/>
      <c r="AE17" s="41"/>
      <c r="AF17" s="45">
        <v>6600</v>
      </c>
      <c r="AG17" s="38"/>
      <c r="AH17" s="38"/>
      <c r="AI17" s="82">
        <v>13203.65</v>
      </c>
      <c r="AJ17" s="65">
        <v>6600</v>
      </c>
      <c r="AK17" s="51">
        <f t="shared" si="0"/>
        <v>92918.36</v>
      </c>
      <c r="AL17" s="46">
        <v>12</v>
      </c>
      <c r="AM17" s="37">
        <f t="shared" si="1"/>
        <v>7743.19666666667</v>
      </c>
      <c r="AN17" s="60"/>
      <c r="AO17" s="48"/>
    </row>
    <row r="18" s="3" customFormat="1" ht="18" customHeight="1" spans="1:41">
      <c r="A18" s="35">
        <v>15</v>
      </c>
      <c r="B18" s="36" t="s">
        <v>45</v>
      </c>
      <c r="C18" s="61" t="s">
        <v>46</v>
      </c>
      <c r="D18" s="37">
        <v>5048.36</v>
      </c>
      <c r="E18" s="38"/>
      <c r="F18" s="37">
        <v>5048.36</v>
      </c>
      <c r="G18" s="41"/>
      <c r="H18" s="37">
        <v>5042.71</v>
      </c>
      <c r="I18" s="38"/>
      <c r="J18" s="58">
        <v>5048.36</v>
      </c>
      <c r="K18" s="41"/>
      <c r="L18" s="87">
        <v>5048.36</v>
      </c>
      <c r="M18" s="41"/>
      <c r="N18" s="97">
        <v>5048.36</v>
      </c>
      <c r="O18" s="38"/>
      <c r="P18" s="38"/>
      <c r="Q18" s="37">
        <v>5048.36</v>
      </c>
      <c r="R18" s="38"/>
      <c r="S18" s="38"/>
      <c r="T18" s="87">
        <v>5048.36</v>
      </c>
      <c r="U18" s="41"/>
      <c r="V18" s="41"/>
      <c r="W18" s="45">
        <v>5048.36</v>
      </c>
      <c r="X18" s="41"/>
      <c r="Y18" s="38"/>
      <c r="Z18" s="45">
        <v>5048.36</v>
      </c>
      <c r="AA18" s="41"/>
      <c r="AB18" s="38"/>
      <c r="AC18" s="45">
        <v>5048.36</v>
      </c>
      <c r="AD18" s="38"/>
      <c r="AE18" s="41"/>
      <c r="AF18" s="45">
        <v>5031.08</v>
      </c>
      <c r="AG18" s="38"/>
      <c r="AH18" s="38"/>
      <c r="AI18" s="82">
        <v>14494.44</v>
      </c>
      <c r="AJ18" s="65">
        <v>5600</v>
      </c>
      <c r="AK18" s="51">
        <f t="shared" si="0"/>
        <v>80651.83</v>
      </c>
      <c r="AL18" s="46">
        <v>12</v>
      </c>
      <c r="AM18" s="37">
        <f t="shared" si="1"/>
        <v>6720.98583333333</v>
      </c>
      <c r="AN18" s="47"/>
      <c r="AO18" s="48"/>
    </row>
    <row r="19" s="3" customFormat="1" ht="18" customHeight="1" spans="1:41">
      <c r="A19" s="35">
        <v>16</v>
      </c>
      <c r="B19" s="65" t="s">
        <v>78</v>
      </c>
      <c r="C19" s="98" t="s">
        <v>79</v>
      </c>
      <c r="D19" s="37"/>
      <c r="E19" s="38"/>
      <c r="F19" s="37"/>
      <c r="G19" s="38"/>
      <c r="H19" s="37"/>
      <c r="I19" s="38"/>
      <c r="J19" s="37"/>
      <c r="K19" s="38"/>
      <c r="L19" s="37"/>
      <c r="M19" s="38">
        <v>149.93</v>
      </c>
      <c r="N19" s="97"/>
      <c r="O19" s="38">
        <v>184.02</v>
      </c>
      <c r="P19" s="38">
        <v>904.72</v>
      </c>
      <c r="Q19" s="37"/>
      <c r="R19" s="38">
        <v>297.92</v>
      </c>
      <c r="S19" s="38">
        <v>6437.06</v>
      </c>
      <c r="T19" s="37"/>
      <c r="U19" s="38">
        <v>142.07</v>
      </c>
      <c r="V19" s="38">
        <v>9218.3049234106</v>
      </c>
      <c r="W19" s="37"/>
      <c r="X19" s="38">
        <v>1776.09</v>
      </c>
      <c r="Y19" s="38">
        <v>8757.35</v>
      </c>
      <c r="Z19" s="37"/>
      <c r="AA19" s="38">
        <v>7437.52</v>
      </c>
      <c r="AB19" s="38">
        <v>10865.2302738803</v>
      </c>
      <c r="AC19" s="37"/>
      <c r="AD19" s="38">
        <v>608.55</v>
      </c>
      <c r="AE19" s="38">
        <v>6335.41679006264</v>
      </c>
      <c r="AF19" s="37"/>
      <c r="AG19" s="38">
        <v>453.51</v>
      </c>
      <c r="AH19" s="38"/>
      <c r="AI19" s="82"/>
      <c r="AJ19" s="65"/>
      <c r="AK19" s="51">
        <f t="shared" ref="AK5:AK31" si="2">SUM(D19:AJ19)</f>
        <v>53567.6919873536</v>
      </c>
      <c r="AL19" s="46">
        <v>8</v>
      </c>
      <c r="AM19" s="37">
        <f t="shared" ref="AM5:AM31" si="3">SUM(AK19/AL19)</f>
        <v>6695.96149841919</v>
      </c>
      <c r="AN19" s="47"/>
      <c r="AO19" s="48"/>
    </row>
    <row r="20" s="3" customFormat="1" ht="18" customHeight="1" spans="1:41">
      <c r="A20" s="35">
        <v>17</v>
      </c>
      <c r="B20" s="65" t="s">
        <v>80</v>
      </c>
      <c r="C20" s="50" t="s">
        <v>27</v>
      </c>
      <c r="D20" s="37"/>
      <c r="E20" s="41"/>
      <c r="F20" s="37"/>
      <c r="G20" s="41"/>
      <c r="H20" s="37"/>
      <c r="I20" s="38"/>
      <c r="J20" s="37"/>
      <c r="K20" s="41"/>
      <c r="L20" s="87"/>
      <c r="M20" s="38"/>
      <c r="N20" s="87"/>
      <c r="O20" s="38"/>
      <c r="P20" s="38"/>
      <c r="Q20" s="37"/>
      <c r="R20" s="38"/>
      <c r="S20" s="38"/>
      <c r="T20" s="87">
        <v>3096.77</v>
      </c>
      <c r="U20" s="41"/>
      <c r="V20" s="41"/>
      <c r="W20" s="45">
        <v>3865.28</v>
      </c>
      <c r="X20" s="41"/>
      <c r="Y20" s="38"/>
      <c r="Z20" s="45">
        <v>3935.48</v>
      </c>
      <c r="AA20" s="41"/>
      <c r="AB20" s="41"/>
      <c r="AC20" s="45">
        <v>3802.76</v>
      </c>
      <c r="AD20" s="38"/>
      <c r="AE20" s="41"/>
      <c r="AF20" s="45">
        <v>3935.48</v>
      </c>
      <c r="AG20" s="38"/>
      <c r="AH20" s="38"/>
      <c r="AI20" s="82">
        <v>2369.78</v>
      </c>
      <c r="AJ20" s="65">
        <v>500</v>
      </c>
      <c r="AK20" s="51">
        <f t="shared" si="2"/>
        <v>21505.55</v>
      </c>
      <c r="AL20" s="46">
        <v>5</v>
      </c>
      <c r="AM20" s="37">
        <f t="shared" si="3"/>
        <v>4301.11</v>
      </c>
      <c r="AN20" s="60">
        <v>2.5</v>
      </c>
      <c r="AO20" s="48">
        <v>5</v>
      </c>
    </row>
    <row r="21" s="3" customFormat="1" ht="18" customHeight="1" spans="1:41">
      <c r="A21" s="35">
        <v>18</v>
      </c>
      <c r="B21" s="65" t="s">
        <v>81</v>
      </c>
      <c r="C21" s="50" t="s">
        <v>38</v>
      </c>
      <c r="D21" s="37"/>
      <c r="E21" s="41"/>
      <c r="F21" s="37"/>
      <c r="G21" s="41"/>
      <c r="H21" s="37"/>
      <c r="I21" s="38"/>
      <c r="J21" s="37"/>
      <c r="K21" s="41"/>
      <c r="L21" s="87"/>
      <c r="M21" s="38"/>
      <c r="N21" s="87"/>
      <c r="O21" s="38"/>
      <c r="P21" s="38"/>
      <c r="Q21" s="37"/>
      <c r="R21" s="38"/>
      <c r="S21" s="38"/>
      <c r="T21" s="87"/>
      <c r="U21" s="41"/>
      <c r="V21" s="41"/>
      <c r="W21" s="37">
        <v>1050</v>
      </c>
      <c r="X21" s="41"/>
      <c r="Y21" s="38"/>
      <c r="Z21" s="45">
        <v>4500</v>
      </c>
      <c r="AA21" s="41"/>
      <c r="AB21" s="41"/>
      <c r="AC21" s="45">
        <v>4500</v>
      </c>
      <c r="AD21" s="38">
        <v>150</v>
      </c>
      <c r="AE21" s="38"/>
      <c r="AF21" s="45">
        <v>4500</v>
      </c>
      <c r="AG21" s="38">
        <v>328.43</v>
      </c>
      <c r="AH21" s="38"/>
      <c r="AI21" s="82">
        <v>0</v>
      </c>
      <c r="AJ21" s="65">
        <v>500</v>
      </c>
      <c r="AK21" s="51">
        <f t="shared" si="2"/>
        <v>15528.43</v>
      </c>
      <c r="AL21" s="46">
        <v>4</v>
      </c>
      <c r="AM21" s="37">
        <f t="shared" si="3"/>
        <v>3882.1075</v>
      </c>
      <c r="AN21" s="47"/>
      <c r="AO21" s="48"/>
    </row>
    <row r="22" s="3" customFormat="1" ht="18" customHeight="1" spans="1:41">
      <c r="A22" s="35">
        <v>19</v>
      </c>
      <c r="B22" s="65" t="s">
        <v>82</v>
      </c>
      <c r="C22" s="50" t="s">
        <v>38</v>
      </c>
      <c r="D22" s="37"/>
      <c r="E22" s="41"/>
      <c r="F22" s="37"/>
      <c r="G22" s="41"/>
      <c r="H22" s="37"/>
      <c r="I22" s="38"/>
      <c r="J22" s="37"/>
      <c r="K22" s="41"/>
      <c r="L22" s="87"/>
      <c r="M22" s="38"/>
      <c r="N22" s="94"/>
      <c r="O22" s="38"/>
      <c r="P22" s="38"/>
      <c r="Q22" s="37"/>
      <c r="R22" s="38"/>
      <c r="S22" s="38"/>
      <c r="T22" s="87"/>
      <c r="U22" s="41"/>
      <c r="V22" s="41"/>
      <c r="W22" s="37"/>
      <c r="X22" s="41"/>
      <c r="Y22" s="38"/>
      <c r="Z22" s="45">
        <v>2322.58</v>
      </c>
      <c r="AA22" s="41"/>
      <c r="AB22" s="41"/>
      <c r="AC22" s="45">
        <v>4500</v>
      </c>
      <c r="AD22" s="38">
        <v>150</v>
      </c>
      <c r="AE22" s="38"/>
      <c r="AF22" s="45">
        <v>4500</v>
      </c>
      <c r="AG22" s="38"/>
      <c r="AH22" s="38"/>
      <c r="AI22" s="82">
        <v>0</v>
      </c>
      <c r="AJ22" s="65">
        <v>500</v>
      </c>
      <c r="AK22" s="51">
        <f t="shared" si="2"/>
        <v>11972.58</v>
      </c>
      <c r="AL22" s="46">
        <v>3</v>
      </c>
      <c r="AM22" s="37">
        <f t="shared" si="3"/>
        <v>3990.86</v>
      </c>
      <c r="AN22" s="47"/>
      <c r="AO22" s="48"/>
    </row>
    <row r="23" s="3" customFormat="1" ht="18" customHeight="1" spans="1:41">
      <c r="A23" s="35">
        <v>20</v>
      </c>
      <c r="B23" s="56" t="s">
        <v>65</v>
      </c>
      <c r="C23" s="50" t="s">
        <v>38</v>
      </c>
      <c r="D23" s="37">
        <v>4452.76</v>
      </c>
      <c r="E23" s="41">
        <v>2520.96</v>
      </c>
      <c r="F23" s="37">
        <v>4452.76</v>
      </c>
      <c r="G23" s="41"/>
      <c r="H23" s="37">
        <v>4452.76</v>
      </c>
      <c r="I23" s="38">
        <v>1655.57</v>
      </c>
      <c r="J23" s="37">
        <v>4452.76</v>
      </c>
      <c r="K23" s="41">
        <v>1928.55</v>
      </c>
      <c r="L23" s="87">
        <v>4452.76</v>
      </c>
      <c r="M23" s="41">
        <v>2069.76</v>
      </c>
      <c r="N23" s="97">
        <v>4452.76</v>
      </c>
      <c r="O23" s="38">
        <v>1120.9</v>
      </c>
      <c r="P23" s="38"/>
      <c r="Q23" s="37">
        <v>4452.76</v>
      </c>
      <c r="R23" s="38">
        <v>1851.25</v>
      </c>
      <c r="S23" s="38"/>
      <c r="T23" s="87">
        <v>4452.76</v>
      </c>
      <c r="U23" s="38">
        <v>1599</v>
      </c>
      <c r="V23" s="38"/>
      <c r="W23" s="45">
        <v>4000</v>
      </c>
      <c r="X23" s="38">
        <v>833.6</v>
      </c>
      <c r="Y23" s="38"/>
      <c r="Z23" s="37"/>
      <c r="AA23" s="41"/>
      <c r="AB23" s="41"/>
      <c r="AC23" s="37"/>
      <c r="AD23" s="41"/>
      <c r="AE23" s="41"/>
      <c r="AF23" s="37"/>
      <c r="AG23" s="38"/>
      <c r="AH23" s="38"/>
      <c r="AI23" s="82">
        <v>9241.28</v>
      </c>
      <c r="AJ23" s="65"/>
      <c r="AK23" s="51">
        <f t="shared" si="2"/>
        <v>62442.95</v>
      </c>
      <c r="AL23" s="46">
        <v>9</v>
      </c>
      <c r="AM23" s="37">
        <f t="shared" si="3"/>
        <v>6938.10555555556</v>
      </c>
      <c r="AN23" s="47"/>
      <c r="AO23" s="48"/>
    </row>
    <row r="24" s="3" customFormat="1" ht="18" customHeight="1" spans="1:41">
      <c r="A24" s="35">
        <v>21</v>
      </c>
      <c r="B24" s="36" t="s">
        <v>66</v>
      </c>
      <c r="C24" s="50" t="s">
        <v>27</v>
      </c>
      <c r="D24" s="37">
        <v>3535.42</v>
      </c>
      <c r="E24" s="99"/>
      <c r="F24" s="37">
        <v>3854.16</v>
      </c>
      <c r="G24" s="41"/>
      <c r="H24" s="87">
        <v>3899.84</v>
      </c>
      <c r="I24" s="38"/>
      <c r="J24" s="37">
        <v>2803.12</v>
      </c>
      <c r="K24" s="41"/>
      <c r="L24" s="87"/>
      <c r="M24" s="38"/>
      <c r="O24" s="38"/>
      <c r="P24" s="38"/>
      <c r="Q24" s="37"/>
      <c r="R24" s="38"/>
      <c r="S24" s="38"/>
      <c r="T24" s="87"/>
      <c r="U24" s="41"/>
      <c r="V24" s="41"/>
      <c r="W24" s="87"/>
      <c r="X24" s="38"/>
      <c r="Y24" s="38"/>
      <c r="Z24" s="37"/>
      <c r="AA24" s="38"/>
      <c r="AB24" s="38"/>
      <c r="AC24" s="37"/>
      <c r="AD24" s="38"/>
      <c r="AE24" s="38"/>
      <c r="AF24" s="37"/>
      <c r="AG24" s="38"/>
      <c r="AH24" s="38"/>
      <c r="AI24" s="82">
        <v>3478.83</v>
      </c>
      <c r="AJ24" s="65"/>
      <c r="AK24" s="51">
        <f t="shared" si="2"/>
        <v>17571.37</v>
      </c>
      <c r="AL24" s="46">
        <v>4</v>
      </c>
      <c r="AM24" s="37">
        <f t="shared" si="3"/>
        <v>4392.8425</v>
      </c>
      <c r="AN24" s="60">
        <v>13.5</v>
      </c>
      <c r="AO24" s="48">
        <v>810</v>
      </c>
    </row>
    <row r="25" s="3" customFormat="1" ht="18" customHeight="1" spans="1:41">
      <c r="A25" s="35">
        <v>22</v>
      </c>
      <c r="B25" s="36" t="s">
        <v>64</v>
      </c>
      <c r="C25" s="50" t="s">
        <v>38</v>
      </c>
      <c r="D25" s="37">
        <v>4452.76</v>
      </c>
      <c r="E25" s="41">
        <v>2520.96</v>
      </c>
      <c r="F25" s="37">
        <v>689.66</v>
      </c>
      <c r="G25" s="41"/>
      <c r="H25" s="37"/>
      <c r="I25" s="38"/>
      <c r="J25" s="100"/>
      <c r="K25" s="41"/>
      <c r="L25" s="87"/>
      <c r="M25" s="95"/>
      <c r="N25" s="96"/>
      <c r="O25" s="38"/>
      <c r="P25" s="38"/>
      <c r="Q25" s="37"/>
      <c r="R25" s="41"/>
      <c r="S25" s="41"/>
      <c r="T25" s="87"/>
      <c r="U25" s="41"/>
      <c r="V25" s="41"/>
      <c r="W25" s="87"/>
      <c r="X25" s="38"/>
      <c r="Y25" s="38"/>
      <c r="Z25" s="37"/>
      <c r="AA25" s="38"/>
      <c r="AB25" s="38"/>
      <c r="AC25" s="37"/>
      <c r="AD25" s="38"/>
      <c r="AE25" s="38"/>
      <c r="AF25" s="37"/>
      <c r="AG25" s="38"/>
      <c r="AH25" s="38"/>
      <c r="AI25" s="82">
        <v>1189.59</v>
      </c>
      <c r="AJ25" s="65"/>
      <c r="AK25" s="51">
        <f t="shared" si="2"/>
        <v>8852.97</v>
      </c>
      <c r="AL25" s="46">
        <v>2</v>
      </c>
      <c r="AM25" s="37">
        <f t="shared" si="3"/>
        <v>4426.485</v>
      </c>
      <c r="AN25" s="47"/>
      <c r="AO25" s="48"/>
    </row>
    <row r="26" s="3" customFormat="1" ht="18" customHeight="1" spans="1:41">
      <c r="A26" s="35">
        <v>23</v>
      </c>
      <c r="B26" s="56" t="s">
        <v>83</v>
      </c>
      <c r="C26" s="50" t="s">
        <v>38</v>
      </c>
      <c r="D26" s="37"/>
      <c r="E26" s="41"/>
      <c r="F26" s="37"/>
      <c r="G26" s="41"/>
      <c r="H26" s="37"/>
      <c r="I26" s="38"/>
      <c r="J26" s="37"/>
      <c r="K26" s="41"/>
      <c r="L26" s="87"/>
      <c r="M26" s="38"/>
      <c r="N26" s="87"/>
      <c r="O26" s="38"/>
      <c r="P26" s="38"/>
      <c r="Q26" s="37"/>
      <c r="R26" s="38"/>
      <c r="S26" s="38"/>
      <c r="T26" s="87">
        <v>3919.32</v>
      </c>
      <c r="U26" s="41"/>
      <c r="V26" s="41"/>
      <c r="W26" s="45">
        <v>4500</v>
      </c>
      <c r="X26" s="41"/>
      <c r="Y26" s="41"/>
      <c r="Z26" s="37"/>
      <c r="AA26" s="41"/>
      <c r="AB26" s="41"/>
      <c r="AC26" s="37"/>
      <c r="AD26" s="41"/>
      <c r="AE26" s="41"/>
      <c r="AF26" s="37"/>
      <c r="AG26" s="38"/>
      <c r="AH26" s="38"/>
      <c r="AI26" s="65"/>
      <c r="AJ26" s="65"/>
      <c r="AK26" s="51">
        <f t="shared" si="2"/>
        <v>8419.32</v>
      </c>
      <c r="AL26" s="46">
        <v>2</v>
      </c>
      <c r="AM26" s="37">
        <f t="shared" si="3"/>
        <v>4209.66</v>
      </c>
      <c r="AN26" s="47"/>
      <c r="AO26" s="48"/>
    </row>
    <row r="27" s="3" customFormat="1" ht="18" customHeight="1" spans="1:41">
      <c r="A27" s="35">
        <v>24</v>
      </c>
      <c r="B27" s="65" t="s">
        <v>84</v>
      </c>
      <c r="C27" s="50" t="s">
        <v>73</v>
      </c>
      <c r="D27" s="37"/>
      <c r="E27" s="41"/>
      <c r="F27" s="37"/>
      <c r="G27" s="41"/>
      <c r="H27" s="37"/>
      <c r="I27" s="38"/>
      <c r="J27" s="37"/>
      <c r="K27" s="41"/>
      <c r="L27" s="87">
        <v>3870.97</v>
      </c>
      <c r="M27" s="38"/>
      <c r="N27" s="87">
        <v>5000</v>
      </c>
      <c r="O27" s="38"/>
      <c r="P27" s="38"/>
      <c r="Q27" s="37">
        <v>5000</v>
      </c>
      <c r="R27" s="38"/>
      <c r="S27" s="38"/>
      <c r="T27" s="87">
        <v>806.46</v>
      </c>
      <c r="U27" s="41"/>
      <c r="V27" s="41"/>
      <c r="W27" s="37"/>
      <c r="X27" s="41"/>
      <c r="Y27" s="41"/>
      <c r="Z27" s="37"/>
      <c r="AA27" s="41"/>
      <c r="AB27" s="41"/>
      <c r="AC27" s="37"/>
      <c r="AD27" s="101"/>
      <c r="AE27" s="101"/>
      <c r="AF27" s="37"/>
      <c r="AG27" s="38"/>
      <c r="AH27" s="38"/>
      <c r="AI27" s="65"/>
      <c r="AJ27" s="65"/>
      <c r="AK27" s="51">
        <f t="shared" si="2"/>
        <v>14677.43</v>
      </c>
      <c r="AL27" s="46">
        <v>4</v>
      </c>
      <c r="AM27" s="37">
        <f t="shared" si="3"/>
        <v>3669.3575</v>
      </c>
      <c r="AN27" s="47"/>
      <c r="AO27" s="48"/>
    </row>
    <row r="28" s="3" customFormat="1" ht="18" customHeight="1" spans="1:41">
      <c r="A28" s="35">
        <v>25</v>
      </c>
      <c r="B28" s="65" t="s">
        <v>85</v>
      </c>
      <c r="C28" s="50" t="s">
        <v>27</v>
      </c>
      <c r="D28" s="37"/>
      <c r="E28" s="41"/>
      <c r="F28" s="37"/>
      <c r="G28" s="41"/>
      <c r="H28" s="37"/>
      <c r="I28" s="38"/>
      <c r="J28" s="37">
        <v>1200</v>
      </c>
      <c r="K28" s="41"/>
      <c r="L28" s="87">
        <v>3870.96</v>
      </c>
      <c r="M28" s="38"/>
      <c r="N28" s="87">
        <v>3922.13</v>
      </c>
      <c r="O28" s="38"/>
      <c r="P28" s="38"/>
      <c r="Q28" s="37">
        <v>1408.64</v>
      </c>
      <c r="R28" s="38"/>
      <c r="S28" s="38"/>
      <c r="T28" s="100"/>
      <c r="U28" s="41"/>
      <c r="V28" s="41"/>
      <c r="W28" s="37"/>
      <c r="X28" s="41"/>
      <c r="Y28" s="41"/>
      <c r="Z28" s="37"/>
      <c r="AA28" s="41"/>
      <c r="AB28" s="41"/>
      <c r="AC28" s="37"/>
      <c r="AD28" s="101"/>
      <c r="AE28" s="101"/>
      <c r="AF28" s="37"/>
      <c r="AG28" s="38"/>
      <c r="AH28" s="38"/>
      <c r="AI28" s="65"/>
      <c r="AJ28" s="65"/>
      <c r="AK28" s="51">
        <f t="shared" si="2"/>
        <v>10401.73</v>
      </c>
      <c r="AL28" s="46">
        <v>4</v>
      </c>
      <c r="AM28" s="37">
        <f t="shared" si="3"/>
        <v>2600.4325</v>
      </c>
      <c r="AN28" s="60">
        <v>1.5</v>
      </c>
      <c r="AO28" s="48">
        <v>80</v>
      </c>
    </row>
    <row r="29" s="3" customFormat="1" ht="18" customHeight="1" spans="1:41">
      <c r="A29" s="35">
        <v>26</v>
      </c>
      <c r="B29" s="56" t="s">
        <v>86</v>
      </c>
      <c r="C29" s="50" t="s">
        <v>38</v>
      </c>
      <c r="D29" s="37"/>
      <c r="E29" s="41"/>
      <c r="F29" s="37"/>
      <c r="G29" s="41"/>
      <c r="H29" s="37">
        <v>4064.52</v>
      </c>
      <c r="I29" s="38">
        <v>200</v>
      </c>
      <c r="J29" s="37">
        <v>5951.61</v>
      </c>
      <c r="K29" s="41"/>
      <c r="L29" s="87"/>
      <c r="M29" s="38"/>
      <c r="N29" s="97"/>
      <c r="O29" s="38"/>
      <c r="P29" s="38"/>
      <c r="Q29" s="87"/>
      <c r="R29" s="38"/>
      <c r="S29" s="38"/>
      <c r="T29" s="87"/>
      <c r="U29" s="41"/>
      <c r="V29" s="41"/>
      <c r="W29" s="37"/>
      <c r="X29" s="41"/>
      <c r="Y29" s="41"/>
      <c r="Z29" s="37"/>
      <c r="AA29" s="41"/>
      <c r="AB29" s="41"/>
      <c r="AC29" s="37"/>
      <c r="AD29" s="101"/>
      <c r="AE29" s="101"/>
      <c r="AF29" s="37"/>
      <c r="AG29" s="38"/>
      <c r="AH29" s="38"/>
      <c r="AI29" s="65"/>
      <c r="AJ29" s="65"/>
      <c r="AK29" s="51">
        <f t="shared" si="2"/>
        <v>10216.13</v>
      </c>
      <c r="AL29" s="46">
        <v>2</v>
      </c>
      <c r="AM29" s="37">
        <f t="shared" si="3"/>
        <v>5108.065</v>
      </c>
      <c r="AN29" s="47"/>
      <c r="AO29" s="48"/>
    </row>
    <row r="30" s="3" customFormat="1" ht="18" customHeight="1" spans="1:41">
      <c r="A30" s="35">
        <v>27</v>
      </c>
      <c r="B30" s="56" t="s">
        <v>87</v>
      </c>
      <c r="C30" s="50" t="s">
        <v>27</v>
      </c>
      <c r="D30" s="37"/>
      <c r="E30" s="41"/>
      <c r="F30" s="37"/>
      <c r="G30" s="41"/>
      <c r="H30" s="37">
        <v>870.97</v>
      </c>
      <c r="I30" s="38"/>
      <c r="J30" s="37">
        <v>2154.69</v>
      </c>
      <c r="K30" s="41"/>
      <c r="L30" s="87"/>
      <c r="M30" s="38"/>
      <c r="N30" s="97"/>
      <c r="O30" s="38"/>
      <c r="P30" s="38"/>
      <c r="Q30" s="87"/>
      <c r="R30" s="38"/>
      <c r="S30" s="38"/>
      <c r="T30" s="87"/>
      <c r="U30" s="41"/>
      <c r="V30" s="41"/>
      <c r="W30" s="37"/>
      <c r="X30" s="38"/>
      <c r="Y30" s="38"/>
      <c r="Z30" s="37"/>
      <c r="AA30" s="38"/>
      <c r="AB30" s="38"/>
      <c r="AC30" s="37"/>
      <c r="AD30" s="101"/>
      <c r="AE30" s="101"/>
      <c r="AF30" s="37"/>
      <c r="AG30" s="38"/>
      <c r="AH30" s="38"/>
      <c r="AI30" s="65"/>
      <c r="AJ30" s="65"/>
      <c r="AK30" s="51">
        <f t="shared" si="2"/>
        <v>3025.66</v>
      </c>
      <c r="AL30" s="46">
        <v>2</v>
      </c>
      <c r="AM30" s="37">
        <f t="shared" si="3"/>
        <v>1512.83</v>
      </c>
      <c r="AN30" s="60">
        <v>16.5</v>
      </c>
      <c r="AO30" s="48">
        <v>65</v>
      </c>
    </row>
    <row r="31" s="3" customFormat="1" ht="18" customHeight="1" spans="1:41">
      <c r="A31" s="35">
        <v>28</v>
      </c>
      <c r="B31" s="56" t="s">
        <v>68</v>
      </c>
      <c r="C31" s="50" t="s">
        <v>88</v>
      </c>
      <c r="D31" s="37">
        <v>2292.04</v>
      </c>
      <c r="E31" s="41"/>
      <c r="F31" s="37"/>
      <c r="G31" s="41"/>
      <c r="H31" s="37"/>
      <c r="I31" s="38"/>
      <c r="J31" s="37"/>
      <c r="K31" s="41"/>
      <c r="L31" s="87"/>
      <c r="M31" s="38"/>
      <c r="N31" s="37"/>
      <c r="O31" s="38"/>
      <c r="P31" s="38"/>
      <c r="Q31" s="87"/>
      <c r="R31" s="38"/>
      <c r="S31" s="38"/>
      <c r="T31" s="87"/>
      <c r="U31" s="99"/>
      <c r="V31" s="99"/>
      <c r="W31" s="37"/>
      <c r="X31" s="38"/>
      <c r="Y31" s="38"/>
      <c r="Z31" s="37"/>
      <c r="AA31" s="38"/>
      <c r="AB31" s="38"/>
      <c r="AC31" s="37"/>
      <c r="AD31" s="101"/>
      <c r="AE31" s="101"/>
      <c r="AF31" s="37"/>
      <c r="AG31" s="38"/>
      <c r="AH31" s="38"/>
      <c r="AI31" s="65"/>
      <c r="AJ31" s="65"/>
      <c r="AK31" s="51">
        <f t="shared" si="2"/>
        <v>2292.04</v>
      </c>
      <c r="AL31" s="46">
        <v>1</v>
      </c>
      <c r="AM31" s="37">
        <f t="shared" si="3"/>
        <v>2292.04</v>
      </c>
      <c r="AN31" s="47">
        <v>14.5</v>
      </c>
      <c r="AO31" s="48">
        <v>341</v>
      </c>
    </row>
    <row r="32" s="2" customFormat="1" ht="27" customHeight="1" spans="1:41">
      <c r="A32" s="67" t="s">
        <v>51</v>
      </c>
      <c r="B32" s="68"/>
      <c r="C32" s="68"/>
      <c r="D32" s="69">
        <f>SUM(D4:D31)</f>
        <v>70834.63</v>
      </c>
      <c r="E32" s="70">
        <f>SUM(E4:E31)</f>
        <v>86415.8427096282</v>
      </c>
      <c r="F32" s="69">
        <f t="shared" ref="F32:AO32" si="4">SUM(F4:F31)</f>
        <v>65166.9</v>
      </c>
      <c r="G32" s="70">
        <f t="shared" si="4"/>
        <v>23266.3339387704</v>
      </c>
      <c r="H32" s="69">
        <f t="shared" si="4"/>
        <v>69940.16</v>
      </c>
      <c r="I32" s="70">
        <f t="shared" si="4"/>
        <v>53933.1995425152</v>
      </c>
      <c r="J32" s="69">
        <f t="shared" si="4"/>
        <v>75785.17</v>
      </c>
      <c r="K32" s="70">
        <f t="shared" si="4"/>
        <v>41319.5671897486</v>
      </c>
      <c r="L32" s="69">
        <f t="shared" si="4"/>
        <v>78998.56</v>
      </c>
      <c r="M32" s="70">
        <f t="shared" si="4"/>
        <v>51638.3040558898</v>
      </c>
      <c r="N32" s="69">
        <f t="shared" si="4"/>
        <v>84808.96</v>
      </c>
      <c r="O32" s="70">
        <f t="shared" si="4"/>
        <v>31329.0311319605</v>
      </c>
      <c r="P32" s="69">
        <f t="shared" si="4"/>
        <v>4279.3599079693</v>
      </c>
      <c r="Q32" s="70">
        <f t="shared" si="4"/>
        <v>82196.42</v>
      </c>
      <c r="R32" s="69">
        <f t="shared" si="4"/>
        <v>50907.0106147498</v>
      </c>
      <c r="S32" s="70">
        <f t="shared" si="4"/>
        <v>29329.5418678135</v>
      </c>
      <c r="T32" s="69">
        <f t="shared" si="4"/>
        <v>84144.22</v>
      </c>
      <c r="U32" s="70">
        <f t="shared" si="4"/>
        <v>64314.9151042751</v>
      </c>
      <c r="V32" s="69">
        <f t="shared" si="4"/>
        <v>44394.8879199846</v>
      </c>
      <c r="W32" s="70">
        <f t="shared" si="4"/>
        <v>84968</v>
      </c>
      <c r="X32" s="69">
        <f t="shared" si="4"/>
        <v>50158.1130751643</v>
      </c>
      <c r="Y32" s="70">
        <f t="shared" si="4"/>
        <v>26988.514424596</v>
      </c>
      <c r="Z32" s="69">
        <f t="shared" si="4"/>
        <v>83053.33</v>
      </c>
      <c r="AA32" s="70">
        <f t="shared" si="4"/>
        <v>41531.1557045127</v>
      </c>
      <c r="AB32" s="69">
        <f t="shared" si="4"/>
        <v>36544.6961053855</v>
      </c>
      <c r="AC32" s="70">
        <f t="shared" si="4"/>
        <v>84632.44</v>
      </c>
      <c r="AD32" s="69">
        <f t="shared" si="4"/>
        <v>40825.6128725212</v>
      </c>
      <c r="AE32" s="70">
        <f t="shared" si="4"/>
        <v>23332.9492992409</v>
      </c>
      <c r="AF32" s="69">
        <f t="shared" si="4"/>
        <v>87381.31</v>
      </c>
      <c r="AG32" s="70">
        <f t="shared" si="4"/>
        <v>41107.8276235036</v>
      </c>
      <c r="AH32" s="69">
        <f t="shared" si="4"/>
        <v>26873.9076676696</v>
      </c>
      <c r="AI32" s="102">
        <f t="shared" si="4"/>
        <v>196958.82</v>
      </c>
      <c r="AJ32" s="88">
        <f t="shared" si="4"/>
        <v>67706</v>
      </c>
      <c r="AK32" s="103">
        <f t="shared" si="4"/>
        <v>1985065.6907559</v>
      </c>
      <c r="AL32" s="73">
        <f t="shared" si="4"/>
        <v>214</v>
      </c>
      <c r="AM32" s="74">
        <f t="shared" si="4"/>
        <v>208020.368534687</v>
      </c>
      <c r="AN32" s="47">
        <f t="shared" si="4"/>
        <v>132.5</v>
      </c>
      <c r="AO32" s="48">
        <f t="shared" si="4"/>
        <v>18206</v>
      </c>
    </row>
    <row r="33" s="2" customFormat="1" ht="18" customHeight="1" spans="1:41">
      <c r="A33" s="75" t="s">
        <v>52</v>
      </c>
      <c r="B33" s="75"/>
      <c r="C33" s="75"/>
      <c r="D33" s="76">
        <f t="shared" ref="D33:H33" si="5">SUM(D32:D32)</f>
        <v>70834.63</v>
      </c>
      <c r="E33" s="76"/>
      <c r="F33" s="76">
        <f t="shared" si="5"/>
        <v>65166.9</v>
      </c>
      <c r="G33" s="76"/>
      <c r="H33" s="76">
        <f t="shared" si="5"/>
        <v>69940.16</v>
      </c>
      <c r="I33" s="76"/>
      <c r="J33" s="76">
        <f t="shared" ref="J33:N33" si="6">SUM(J32:J32)</f>
        <v>75785.17</v>
      </c>
      <c r="K33" s="76"/>
      <c r="L33" s="76">
        <f t="shared" si="6"/>
        <v>78998.56</v>
      </c>
      <c r="M33" s="76"/>
      <c r="N33" s="76">
        <f t="shared" si="6"/>
        <v>84808.96</v>
      </c>
      <c r="O33" s="70"/>
      <c r="P33" s="70"/>
      <c r="Q33" s="76">
        <f>SUM(Q32:Q32)</f>
        <v>82196.42</v>
      </c>
      <c r="R33" s="76"/>
      <c r="S33" s="76"/>
      <c r="T33" s="76">
        <f>SUM(T32:T32)</f>
        <v>84144.22</v>
      </c>
      <c r="U33" s="76"/>
      <c r="V33" s="76"/>
      <c r="W33" s="76">
        <f>SUM(W32:W32)</f>
        <v>84968</v>
      </c>
      <c r="X33" s="76"/>
      <c r="Y33" s="76"/>
      <c r="Z33" s="76">
        <f>SUM(Z32:Z32)</f>
        <v>83053.33</v>
      </c>
      <c r="AA33" s="76"/>
      <c r="AB33" s="76"/>
      <c r="AC33" s="76">
        <f>SUM(AC32:AC32)</f>
        <v>84632.44</v>
      </c>
      <c r="AD33" s="76"/>
      <c r="AE33" s="76"/>
      <c r="AF33" s="76">
        <f>SUM(AF32:AF32)</f>
        <v>87381.31</v>
      </c>
      <c r="AG33" s="76"/>
      <c r="AH33" s="76"/>
      <c r="AI33" s="76">
        <f>SUM(AI4:AI31)</f>
        <v>196958.82</v>
      </c>
      <c r="AJ33" s="76">
        <f>SUM(AJ4:AJ31)</f>
        <v>67706</v>
      </c>
      <c r="AK33" s="104">
        <f>SUM(D33:AJ33)</f>
        <v>1216574.92</v>
      </c>
      <c r="AL33" s="77"/>
      <c r="AM33" s="78"/>
      <c r="AN33" s="78"/>
      <c r="AO33" s="78"/>
    </row>
    <row r="34" spans="1:41">
      <c r="A34" s="75" t="s">
        <v>53</v>
      </c>
      <c r="B34" s="75"/>
      <c r="C34" s="75"/>
      <c r="D34" s="79"/>
      <c r="E34" s="80">
        <f>SUM(E4+E5+E8+E7)</f>
        <v>73956.2427096282</v>
      </c>
      <c r="F34" s="79"/>
      <c r="G34" s="80">
        <f>SUM(G4+G5+G8+G7)</f>
        <v>23266.3339387704</v>
      </c>
      <c r="H34" s="79"/>
      <c r="I34" s="80">
        <f>SUM(I4+I5+I8+I7)</f>
        <v>47110.8995425152</v>
      </c>
      <c r="J34" s="79"/>
      <c r="K34" s="80">
        <f>SUM(K4+K5+K8+K7)</f>
        <v>33605.3671897486</v>
      </c>
      <c r="L34" s="79"/>
      <c r="M34" s="80">
        <f>SUM(M4+M5+M8+M7+M19)</f>
        <v>43272.5040558898</v>
      </c>
      <c r="N34" s="79"/>
      <c r="O34" s="80">
        <f>SUM(O4+O5+O8+O7+O19)</f>
        <v>26935.2311319605</v>
      </c>
      <c r="P34" s="80">
        <f>SUM(P4+P5+P8+P7+P19)</f>
        <v>4279.3599079693</v>
      </c>
      <c r="Q34" s="79"/>
      <c r="R34" s="80">
        <f>SUM(R4+R5+R8+R7+R19)</f>
        <v>43502.0106147498</v>
      </c>
      <c r="S34" s="80">
        <f>SUM(S4+S5+S8+S7+S19)</f>
        <v>29329.5418678135</v>
      </c>
      <c r="T34" s="79"/>
      <c r="U34" s="80">
        <f>SUM(U4+U5+U8+U7+U19)</f>
        <v>57857.1151042751</v>
      </c>
      <c r="V34" s="80">
        <f>SUM(V4+V5+V8+V7+V19)</f>
        <v>37562.2079199846</v>
      </c>
      <c r="W34" s="79"/>
      <c r="X34" s="80">
        <f>SUM(X4+X5+X8+X7+X19)</f>
        <v>45468.5130751643</v>
      </c>
      <c r="Y34" s="80">
        <f>SUM(Y4+Y5+Y8+Y7+Y19)</f>
        <v>22988.514424596</v>
      </c>
      <c r="Z34" s="79"/>
      <c r="AA34" s="80">
        <f>SUM(AA4+AA5+AA8+AA7+AA19)</f>
        <v>37209.3557045127</v>
      </c>
      <c r="AB34" s="80">
        <f>SUM(AB4+AB5+AB8+AB7+AB19)</f>
        <v>29605.3761053855</v>
      </c>
      <c r="AC34" s="79"/>
      <c r="AD34" s="80">
        <f>SUM(AD4+AD5+AD8+AD7+AD19)</f>
        <v>34363.3128725212</v>
      </c>
      <c r="AE34" s="80">
        <f>SUM(AE4+AE5+AE8+AE7+AE19)</f>
        <v>18532.9492992409</v>
      </c>
      <c r="AF34" s="79"/>
      <c r="AG34" s="80">
        <f>SUM(AG4+AG5+AG8+AG7+AG19)</f>
        <v>36482.4276235036</v>
      </c>
      <c r="AH34" s="80">
        <f>SUM(AH4+AH5+AH8+AH7+AH19)</f>
        <v>22873.9076676696</v>
      </c>
      <c r="AI34" s="80"/>
      <c r="AJ34" s="80"/>
      <c r="AK34" s="104">
        <f>SUM(D34:AJ34)</f>
        <v>668201.170755899</v>
      </c>
      <c r="AM34" s="78"/>
      <c r="AN34" s="1"/>
      <c r="AO34" s="1"/>
    </row>
    <row r="35" spans="1:41">
      <c r="A35" s="75" t="s">
        <v>89</v>
      </c>
      <c r="B35" s="75"/>
      <c r="C35" s="75"/>
      <c r="D35" s="79"/>
      <c r="E35" s="80">
        <f>SUM(E9+E10+E11+E23+E25)</f>
        <v>12459.6</v>
      </c>
      <c r="F35" s="79"/>
      <c r="G35" s="80">
        <f>SUM(G10+G11+G25+G23)</f>
        <v>0</v>
      </c>
      <c r="H35" s="79"/>
      <c r="I35" s="80">
        <f>SUM(I9+I10+I11+I23+I29)</f>
        <v>6822.3</v>
      </c>
      <c r="J35" s="79"/>
      <c r="K35" s="80">
        <f>SUM(K9:K23)</f>
        <v>7714.2</v>
      </c>
      <c r="L35" s="79"/>
      <c r="M35" s="80">
        <f>SUM(M9+M10+M11+M23)</f>
        <v>8365.8</v>
      </c>
      <c r="N35" s="79"/>
      <c r="O35" s="80">
        <f>SUM(O9+O10+O11+O23)</f>
        <v>4393.8</v>
      </c>
      <c r="P35" s="80"/>
      <c r="Q35" s="80"/>
      <c r="R35" s="80">
        <f>SUM(R9+R10+R11+R15+R23)</f>
        <v>7405</v>
      </c>
      <c r="S35" s="80"/>
      <c r="T35" s="80"/>
      <c r="U35" s="80">
        <f>SUM(U9+U10+U11+U23)</f>
        <v>6457.8</v>
      </c>
      <c r="V35" s="80"/>
      <c r="W35" s="80"/>
      <c r="X35" s="80">
        <f>SUM(X9+X10+X11+X23)</f>
        <v>4689.6</v>
      </c>
      <c r="Y35" s="80"/>
      <c r="Z35" s="80"/>
      <c r="AA35" s="80">
        <f>SUM(AA9:AA11)</f>
        <v>4321.8</v>
      </c>
      <c r="AB35" s="80"/>
      <c r="AC35" s="80"/>
      <c r="AD35" s="80">
        <f>SUM(AD9+AD10+AD11+AD21+AD22)</f>
        <v>6462.3</v>
      </c>
      <c r="AE35" s="80"/>
      <c r="AF35" s="80"/>
      <c r="AG35" s="80">
        <f>SUM(AG9+AG10+AG11+AG21)</f>
        <v>4625.4</v>
      </c>
      <c r="AH35" s="80"/>
      <c r="AI35" s="80"/>
      <c r="AJ35" s="80"/>
      <c r="AK35" s="104">
        <f>SUM(D35:AJ35)</f>
        <v>73717.6</v>
      </c>
      <c r="AM35" s="78"/>
      <c r="AN35" s="1"/>
      <c r="AO35" s="1"/>
    </row>
    <row r="36" spans="1:41">
      <c r="A36" s="75" t="s">
        <v>90</v>
      </c>
      <c r="B36" s="75"/>
      <c r="C36" s="75"/>
      <c r="D36" s="79"/>
      <c r="E36" s="80"/>
      <c r="F36" s="79"/>
      <c r="G36" s="80"/>
      <c r="H36" s="79"/>
      <c r="I36" s="80"/>
      <c r="J36" s="79"/>
      <c r="K36" s="80"/>
      <c r="L36" s="79"/>
      <c r="M36" s="80"/>
      <c r="N36" s="79"/>
      <c r="O36" s="80"/>
      <c r="P36" s="80"/>
      <c r="Q36" s="80"/>
      <c r="R36" s="80"/>
      <c r="S36" s="80"/>
      <c r="T36" s="80"/>
      <c r="U36" s="105"/>
      <c r="V36" s="80">
        <f>SUM(V13:V16)</f>
        <v>6832.68</v>
      </c>
      <c r="W36" s="80"/>
      <c r="X36" s="105"/>
      <c r="Y36" s="80">
        <f>SUM(Y13:Y16)</f>
        <v>4000</v>
      </c>
      <c r="Z36" s="80"/>
      <c r="AA36" s="105"/>
      <c r="AB36" s="80">
        <f>SUM(AB13:AB16)</f>
        <v>6939.32</v>
      </c>
      <c r="AC36" s="80"/>
      <c r="AD36" s="105"/>
      <c r="AE36" s="80">
        <f>SUM(AE13:AE16)</f>
        <v>4800</v>
      </c>
      <c r="AF36" s="80"/>
      <c r="AG36" s="105"/>
      <c r="AH36" s="80">
        <f>SUM(AH13:AH16)</f>
        <v>4000</v>
      </c>
      <c r="AI36" s="80"/>
      <c r="AJ36" s="80"/>
      <c r="AK36" s="104">
        <f>SUM(D36:AJ36)</f>
        <v>26572</v>
      </c>
      <c r="AM36" s="78"/>
      <c r="AN36" s="1"/>
      <c r="AO36" s="1"/>
    </row>
    <row r="37" spans="1:41">
      <c r="N37" s="78"/>
      <c r="AK37" s="106"/>
      <c r="AN37" s="81"/>
      <c r="AO37" s="81"/>
    </row>
    <row r="38" spans="1:41">
      <c r="N38" s="1"/>
      <c r="O38" s="10"/>
      <c r="P38" s="10"/>
      <c r="AK38" s="106"/>
      <c r="AM38" s="107"/>
    </row>
    <row r="39" spans="1:41">
      <c r="N39" s="78"/>
    </row>
    <row r="40" spans="1:41">
      <c r="AM40" s="107"/>
    </row>
    <row r="41" spans="1:41">
      <c r="N41" s="78"/>
    </row>
    <row r="43" spans="1:41">
      <c r="N43" s="78"/>
    </row>
    <row r="45" spans="1:41">
      <c r="N45" s="78"/>
    </row>
    <row r="47" spans="1:41">
      <c r="N47" s="78"/>
    </row>
    <row r="49" spans="14:14">
      <c r="N49" s="78"/>
    </row>
    <row r="51" spans="14:14">
      <c r="N51" s="78"/>
    </row>
    <row r="53" spans="14:14">
      <c r="N53" s="78"/>
    </row>
  </sheetData>
  <mergeCells count="27">
    <mergeCell ref="A1:AM1"/>
    <mergeCell ref="D2:E2"/>
    <mergeCell ref="F2:G2"/>
    <mergeCell ref="H2:I2"/>
    <mergeCell ref="J2:K2"/>
    <mergeCell ref="L2:M2"/>
    <mergeCell ref="N2:P2"/>
    <mergeCell ref="Q2:S2"/>
    <mergeCell ref="T2:V2"/>
    <mergeCell ref="W2:Y2"/>
    <mergeCell ref="Z2:AB2"/>
    <mergeCell ref="AC2:AE2"/>
    <mergeCell ref="AF2:AH2"/>
    <mergeCell ref="AN2:AO2"/>
    <mergeCell ref="A32:B32"/>
    <mergeCell ref="A33:C33"/>
    <mergeCell ref="A34:C34"/>
    <mergeCell ref="A35:C35"/>
    <mergeCell ref="A36:C36"/>
    <mergeCell ref="A2:A3"/>
    <mergeCell ref="B2:B3"/>
    <mergeCell ref="C2:C3"/>
    <mergeCell ref="AI2:AI3"/>
    <mergeCell ref="AJ2:AJ3"/>
    <mergeCell ref="AK2:AK3"/>
    <mergeCell ref="AL2:AL3"/>
    <mergeCell ref="AM2:AM3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AT45"/>
  <sheetViews>
    <sheetView workbookViewId="0">
      <pane xSplit="3" ySplit="3" topLeftCell="AC4" activePane="bottomRight" state="frozen"/>
      <selection/>
      <selection pane="topRight"/>
      <selection pane="bottomLeft"/>
      <selection pane="bottomRight" activeCell="AN13" sqref="AN13"/>
    </sheetView>
  </sheetViews>
  <sheetFormatPr defaultColWidth="9" defaultRowHeight="14.25"/>
  <cols>
    <col min="1" max="1" width="4.625" style="1" customWidth="1"/>
    <col min="2" max="2" width="7.875" style="1" customWidth="1"/>
    <col min="3" max="3" width="5.5" style="4" customWidth="1"/>
    <col min="4" max="4" width="12" style="1" customWidth="1"/>
    <col min="5" max="6" width="12" style="5" customWidth="1"/>
    <col min="7" max="7" width="12" style="1" customWidth="1"/>
    <col min="8" max="9" width="12" style="5" customWidth="1"/>
    <col min="10" max="10" width="12" style="1" customWidth="1"/>
    <col min="11" max="12" width="11" style="5" customWidth="1"/>
    <col min="13" max="13" width="12" style="1" customWidth="1"/>
    <col min="14" max="15" width="11" style="6" customWidth="1"/>
    <col min="16" max="16" width="12" style="1" customWidth="1"/>
    <col min="17" max="18" width="11" style="7" customWidth="1"/>
    <col min="19" max="19" width="12" style="8" customWidth="1"/>
    <col min="20" max="21" width="11" style="9" customWidth="1"/>
    <col min="22" max="22" width="12" style="1" customWidth="1"/>
    <col min="23" max="24" width="11" style="10" customWidth="1"/>
    <col min="25" max="25" width="12" style="1" customWidth="1"/>
    <col min="26" max="27" width="11" style="5" customWidth="1"/>
    <col min="28" max="28" width="12" style="1" customWidth="1"/>
    <col min="29" max="29" width="11" style="5" customWidth="1"/>
    <col min="30" max="30" width="12" style="5" customWidth="1"/>
    <col min="31" max="31" width="12" style="1" customWidth="1"/>
    <col min="32" max="33" width="12" style="5" customWidth="1"/>
    <col min="34" max="34" width="12" style="4" customWidth="1"/>
    <col min="35" max="36" width="12" style="11" customWidth="1"/>
    <col min="37" max="37" width="13.375" style="4" customWidth="1"/>
    <col min="38" max="39" width="12" style="12" customWidth="1"/>
    <col min="40" max="40" width="12.875" style="4" customWidth="1"/>
    <col min="41" max="41" width="12" style="12" customWidth="1"/>
    <col min="42" max="42" width="16.25" style="4" customWidth="1"/>
    <col min="43" max="43" width="10" style="8" customWidth="1"/>
    <col min="44" max="44" width="15.625" style="1" customWidth="1"/>
    <col min="45" max="46" width="9" style="8"/>
    <col min="47" max="16384" width="9" style="1"/>
  </cols>
  <sheetData>
    <row r="1" s="1" customFormat="1" ht="28" customHeight="1" spans="1:46">
      <c r="A1" s="13" t="s">
        <v>91</v>
      </c>
      <c r="B1" s="13"/>
      <c r="C1" s="13"/>
      <c r="D1" s="13"/>
      <c r="E1" s="14"/>
      <c r="F1" s="14"/>
      <c r="G1" s="13"/>
      <c r="H1" s="14"/>
      <c r="I1" s="14"/>
      <c r="J1" s="13"/>
      <c r="K1" s="14"/>
      <c r="L1" s="14"/>
      <c r="M1" s="13"/>
      <c r="N1" s="14"/>
      <c r="O1" s="14"/>
      <c r="P1" s="13"/>
      <c r="Q1" s="15"/>
      <c r="R1" s="15"/>
      <c r="S1" s="13"/>
      <c r="T1" s="16"/>
      <c r="U1" s="16"/>
      <c r="V1" s="13"/>
      <c r="W1" s="14"/>
      <c r="X1" s="14"/>
      <c r="Y1" s="13"/>
      <c r="Z1" s="14"/>
      <c r="AA1" s="14"/>
      <c r="AB1" s="13"/>
      <c r="AC1" s="14"/>
      <c r="AD1" s="14"/>
      <c r="AE1" s="13"/>
      <c r="AF1" s="14"/>
      <c r="AG1" s="14"/>
      <c r="AH1" s="13"/>
      <c r="AI1" s="14"/>
      <c r="AJ1" s="14"/>
      <c r="AK1" s="13"/>
      <c r="AL1" s="14"/>
      <c r="AM1" s="14"/>
      <c r="AN1" s="13"/>
      <c r="AO1" s="14"/>
      <c r="AP1" s="13"/>
      <c r="AQ1" s="13"/>
      <c r="AR1" s="13"/>
      <c r="AS1" s="8"/>
      <c r="AT1" s="8"/>
    </row>
    <row r="2" s="1" customFormat="1" ht="28" customHeight="1" spans="1:46">
      <c r="A2" s="17" t="s">
        <v>56</v>
      </c>
      <c r="B2" s="18" t="s">
        <v>2</v>
      </c>
      <c r="C2" s="18" t="s">
        <v>3</v>
      </c>
      <c r="D2" s="19" t="s">
        <v>4</v>
      </c>
      <c r="E2" s="20"/>
      <c r="F2" s="21"/>
      <c r="G2" s="19" t="s">
        <v>5</v>
      </c>
      <c r="H2" s="20"/>
      <c r="I2" s="21"/>
      <c r="J2" s="19" t="s">
        <v>6</v>
      </c>
      <c r="K2" s="20"/>
      <c r="L2" s="21"/>
      <c r="M2" s="19" t="s">
        <v>7</v>
      </c>
      <c r="N2" s="20"/>
      <c r="O2" s="21"/>
      <c r="P2" s="19" t="s">
        <v>8</v>
      </c>
      <c r="Q2" s="20"/>
      <c r="R2" s="21"/>
      <c r="S2" s="19" t="s">
        <v>9</v>
      </c>
      <c r="T2" s="20"/>
      <c r="U2" s="21"/>
      <c r="V2" s="19" t="s">
        <v>10</v>
      </c>
      <c r="W2" s="20"/>
      <c r="X2" s="21"/>
      <c r="Y2" s="19" t="s">
        <v>11</v>
      </c>
      <c r="Z2" s="20"/>
      <c r="AA2" s="21"/>
      <c r="AB2" s="19" t="s">
        <v>12</v>
      </c>
      <c r="AC2" s="20"/>
      <c r="AD2" s="21"/>
      <c r="AE2" s="19" t="s">
        <v>13</v>
      </c>
      <c r="AF2" s="20"/>
      <c r="AG2" s="21"/>
      <c r="AH2" s="19" t="s">
        <v>14</v>
      </c>
      <c r="AI2" s="20"/>
      <c r="AJ2" s="21"/>
      <c r="AK2" s="19" t="s">
        <v>15</v>
      </c>
      <c r="AL2" s="20"/>
      <c r="AM2" s="21"/>
      <c r="AN2" s="22" t="s">
        <v>16</v>
      </c>
      <c r="AO2" s="23" t="s">
        <v>17</v>
      </c>
      <c r="AP2" s="24" t="s">
        <v>18</v>
      </c>
      <c r="AQ2" s="25" t="s">
        <v>19</v>
      </c>
      <c r="AR2" s="26" t="s">
        <v>20</v>
      </c>
      <c r="AS2" s="27" t="s">
        <v>21</v>
      </c>
      <c r="AT2" s="28"/>
    </row>
    <row r="3" s="2" customFormat="1" ht="26" customHeight="1" spans="1:46">
      <c r="A3" s="29"/>
      <c r="B3" s="18"/>
      <c r="C3" s="18"/>
      <c r="D3" s="30" t="s">
        <v>22</v>
      </c>
      <c r="E3" s="31" t="s">
        <v>71</v>
      </c>
      <c r="F3" s="31" t="s">
        <v>72</v>
      </c>
      <c r="G3" s="30" t="s">
        <v>22</v>
      </c>
      <c r="H3" s="31" t="s">
        <v>71</v>
      </c>
      <c r="I3" s="31" t="s">
        <v>72</v>
      </c>
      <c r="J3" s="30" t="s">
        <v>22</v>
      </c>
      <c r="K3" s="31" t="s">
        <v>71</v>
      </c>
      <c r="L3" s="31" t="s">
        <v>72</v>
      </c>
      <c r="M3" s="30" t="s">
        <v>22</v>
      </c>
      <c r="N3" s="31" t="s">
        <v>71</v>
      </c>
      <c r="O3" s="31" t="s">
        <v>72</v>
      </c>
      <c r="P3" s="30" t="s">
        <v>22</v>
      </c>
      <c r="Q3" s="31" t="s">
        <v>71</v>
      </c>
      <c r="R3" s="31" t="s">
        <v>72</v>
      </c>
      <c r="S3" s="30" t="s">
        <v>22</v>
      </c>
      <c r="T3" s="31" t="s">
        <v>71</v>
      </c>
      <c r="U3" s="31" t="s">
        <v>72</v>
      </c>
      <c r="V3" s="30" t="s">
        <v>22</v>
      </c>
      <c r="W3" s="31" t="s">
        <v>71</v>
      </c>
      <c r="X3" s="31" t="s">
        <v>72</v>
      </c>
      <c r="Y3" s="30" t="s">
        <v>22</v>
      </c>
      <c r="Z3" s="31" t="s">
        <v>71</v>
      </c>
      <c r="AA3" s="31" t="s">
        <v>72</v>
      </c>
      <c r="AB3" s="30" t="s">
        <v>22</v>
      </c>
      <c r="AC3" s="31" t="s">
        <v>71</v>
      </c>
      <c r="AD3" s="31" t="s">
        <v>72</v>
      </c>
      <c r="AE3" s="30" t="s">
        <v>22</v>
      </c>
      <c r="AF3" s="31" t="s">
        <v>71</v>
      </c>
      <c r="AG3" s="31" t="s">
        <v>72</v>
      </c>
      <c r="AH3" s="30" t="s">
        <v>22</v>
      </c>
      <c r="AI3" s="31" t="s">
        <v>71</v>
      </c>
      <c r="AJ3" s="31" t="s">
        <v>72</v>
      </c>
      <c r="AK3" s="30" t="s">
        <v>22</v>
      </c>
      <c r="AL3" s="31" t="s">
        <v>71</v>
      </c>
      <c r="AM3" s="31" t="s">
        <v>72</v>
      </c>
      <c r="AN3" s="32"/>
      <c r="AO3" s="33"/>
      <c r="AP3" s="24"/>
      <c r="AQ3" s="34"/>
      <c r="AR3" s="26"/>
      <c r="AS3" s="26" t="s">
        <v>24</v>
      </c>
      <c r="AT3" s="26" t="s">
        <v>25</v>
      </c>
    </row>
    <row r="4" s="3" customFormat="1" ht="20" customHeight="1" spans="1:46">
      <c r="A4" s="35">
        <v>1</v>
      </c>
      <c r="B4" s="36" t="s">
        <v>43</v>
      </c>
      <c r="C4" s="36" t="s">
        <v>44</v>
      </c>
      <c r="D4" s="37">
        <v>4338.88</v>
      </c>
      <c r="E4" s="38"/>
      <c r="F4" s="38"/>
      <c r="G4" s="37">
        <v>4425.28</v>
      </c>
      <c r="H4" s="39"/>
      <c r="I4" s="39"/>
      <c r="J4" s="45">
        <v>4426.28</v>
      </c>
      <c r="K4" s="38"/>
      <c r="L4" s="38"/>
      <c r="M4" s="37">
        <v>4425.28</v>
      </c>
      <c r="N4" s="41"/>
      <c r="O4" s="41"/>
      <c r="P4" s="37">
        <v>4425.28</v>
      </c>
      <c r="Q4" s="42"/>
      <c r="R4" s="43"/>
      <c r="S4" s="44">
        <v>4425.28</v>
      </c>
      <c r="T4" s="38"/>
      <c r="U4" s="38"/>
      <c r="V4" s="45">
        <v>4425.28</v>
      </c>
      <c r="W4" s="38"/>
      <c r="X4" s="38"/>
      <c r="Y4" s="45">
        <v>4924.28</v>
      </c>
      <c r="Z4" s="41"/>
      <c r="AA4" s="41"/>
      <c r="AB4" s="45">
        <v>4924.28</v>
      </c>
      <c r="AC4" s="38"/>
      <c r="AD4" s="41"/>
      <c r="AE4" s="45">
        <v>4921.08</v>
      </c>
      <c r="AF4" s="63"/>
      <c r="AG4" s="41"/>
      <c r="AH4" s="45">
        <v>4923.48</v>
      </c>
      <c r="AI4" s="41"/>
      <c r="AJ4" s="41"/>
      <c r="AK4" s="45">
        <v>4923.48</v>
      </c>
      <c r="AL4" s="38"/>
      <c r="AM4" s="38"/>
      <c r="AN4" s="82">
        <v>15635.66</v>
      </c>
      <c r="AO4" s="65">
        <v>5500</v>
      </c>
      <c r="AP4" s="37">
        <f>SUM(D4:AO4)</f>
        <v>76643.82</v>
      </c>
      <c r="AQ4" s="46">
        <v>12</v>
      </c>
      <c r="AR4" s="37">
        <f t="shared" ref="AR4:AR10" si="0">SUM(AP4/AQ4)</f>
        <v>6386.985</v>
      </c>
      <c r="AS4" s="47"/>
      <c r="AT4" s="48"/>
    </row>
    <row r="5" s="3" customFormat="1" ht="20" customHeight="1" spans="1:46">
      <c r="A5" s="49">
        <v>2</v>
      </c>
      <c r="B5" s="50" t="s">
        <v>26</v>
      </c>
      <c r="C5" s="50" t="s">
        <v>27</v>
      </c>
      <c r="D5" s="37">
        <v>4567.7</v>
      </c>
      <c r="E5" s="38">
        <v>3572.78</v>
      </c>
      <c r="F5" s="83"/>
      <c r="G5" s="37">
        <v>4893.74</v>
      </c>
      <c r="H5" s="38">
        <v>1738.59</v>
      </c>
      <c r="I5" s="83"/>
      <c r="J5" s="45">
        <v>5048.35</v>
      </c>
      <c r="K5" s="38">
        <v>6094.84</v>
      </c>
      <c r="L5" s="83"/>
      <c r="M5" s="37">
        <v>5017.95</v>
      </c>
      <c r="N5" s="38">
        <v>13235.82</v>
      </c>
      <c r="O5" s="83"/>
      <c r="P5" s="37">
        <v>4837.57</v>
      </c>
      <c r="Q5" s="42">
        <v>7164.87510567281</v>
      </c>
      <c r="R5" s="83"/>
      <c r="S5" s="44">
        <v>5049.2</v>
      </c>
      <c r="T5" s="38">
        <v>9760</v>
      </c>
      <c r="U5" s="83"/>
      <c r="V5" s="45">
        <v>4865.8</v>
      </c>
      <c r="W5" s="38">
        <v>3477.84822017025</v>
      </c>
      <c r="X5" s="83"/>
      <c r="Y5" s="45">
        <v>4996.85</v>
      </c>
      <c r="Z5" s="38">
        <v>5962.7581165424</v>
      </c>
      <c r="AA5" s="83"/>
      <c r="AB5" s="45">
        <v>5238.78</v>
      </c>
      <c r="AC5" s="38">
        <v>5163.68051429046</v>
      </c>
      <c r="AD5" s="83"/>
      <c r="AE5" s="45">
        <v>5084.37</v>
      </c>
      <c r="AF5" s="63">
        <v>10251.9090960421</v>
      </c>
      <c r="AG5" s="83"/>
      <c r="AH5" s="45">
        <v>4692.15</v>
      </c>
      <c r="AI5" s="38">
        <v>14707.73</v>
      </c>
      <c r="AJ5" s="83"/>
      <c r="AK5" s="45">
        <v>4901.28</v>
      </c>
      <c r="AL5" s="38">
        <v>9215.75507234971</v>
      </c>
      <c r="AM5" s="83"/>
      <c r="AN5" s="82">
        <v>15491.16</v>
      </c>
      <c r="AO5" s="65">
        <v>6000</v>
      </c>
      <c r="AP5" s="37">
        <f t="shared" ref="AP5:AP23" si="1">SUM(D5:AO5)</f>
        <v>171031.486125068</v>
      </c>
      <c r="AQ5" s="46">
        <v>12</v>
      </c>
      <c r="AR5" s="37">
        <f t="shared" si="0"/>
        <v>14252.6238437556</v>
      </c>
      <c r="AS5" s="47">
        <v>19</v>
      </c>
      <c r="AT5" s="48">
        <v>6484</v>
      </c>
    </row>
    <row r="6" s="3" customFormat="1" ht="20" customHeight="1" spans="1:46">
      <c r="A6" s="35">
        <v>3</v>
      </c>
      <c r="B6" s="56" t="s">
        <v>29</v>
      </c>
      <c r="C6" s="50" t="s">
        <v>27</v>
      </c>
      <c r="D6" s="37">
        <v>3232.04</v>
      </c>
      <c r="E6" s="38">
        <v>6113.40820588233</v>
      </c>
      <c r="F6" s="83"/>
      <c r="G6" s="37">
        <v>3342.13</v>
      </c>
      <c r="H6" s="38">
        <v>2335.43507615647</v>
      </c>
      <c r="I6" s="83"/>
      <c r="J6" s="45">
        <v>3889.63</v>
      </c>
      <c r="K6" s="38">
        <v>10148.884141546</v>
      </c>
      <c r="L6" s="83"/>
      <c r="M6" s="58">
        <v>3911.18</v>
      </c>
      <c r="N6" s="38">
        <v>8099.48939209859</v>
      </c>
      <c r="O6" s="83"/>
      <c r="P6" s="37">
        <v>4055.58</v>
      </c>
      <c r="Q6" s="59">
        <v>4879.45033973705</v>
      </c>
      <c r="R6" s="83"/>
      <c r="S6" s="44">
        <v>4303.55</v>
      </c>
      <c r="T6" s="38">
        <v>10909.8327356119</v>
      </c>
      <c r="U6" s="83"/>
      <c r="V6" s="45">
        <v>3617.1</v>
      </c>
      <c r="W6" s="38">
        <v>4045.19823202829</v>
      </c>
      <c r="X6" s="83"/>
      <c r="Y6" s="45">
        <v>3348.29</v>
      </c>
      <c r="Z6" s="38">
        <v>6250.9</v>
      </c>
      <c r="AA6" s="83"/>
      <c r="AB6" s="45">
        <v>3645.56</v>
      </c>
      <c r="AC6" s="38">
        <v>8997.51177449004</v>
      </c>
      <c r="AD6" s="83"/>
      <c r="AE6" s="45">
        <v>3669.35</v>
      </c>
      <c r="AF6" s="63">
        <v>17371.5985347404</v>
      </c>
      <c r="AG6" s="83"/>
      <c r="AH6" s="45">
        <v>3554.48</v>
      </c>
      <c r="AI6" s="84">
        <v>10424.7152238518</v>
      </c>
      <c r="AJ6" s="83"/>
      <c r="AK6" s="45">
        <v>2665.37</v>
      </c>
      <c r="AL6" s="84">
        <v>11115.9556085335</v>
      </c>
      <c r="AM6" s="83"/>
      <c r="AN6" s="82">
        <v>15076.36</v>
      </c>
      <c r="AO6" s="65">
        <v>5000</v>
      </c>
      <c r="AP6" s="37">
        <f t="shared" si="1"/>
        <v>164002.999264676</v>
      </c>
      <c r="AQ6" s="46">
        <v>12</v>
      </c>
      <c r="AR6" s="37">
        <f t="shared" si="0"/>
        <v>13666.9166053897</v>
      </c>
      <c r="AS6" s="47">
        <v>46</v>
      </c>
      <c r="AT6" s="48">
        <v>6652</v>
      </c>
    </row>
    <row r="7" s="3" customFormat="1" ht="20" customHeight="1" spans="1:46">
      <c r="A7" s="49">
        <v>4</v>
      </c>
      <c r="B7" s="56" t="s">
        <v>28</v>
      </c>
      <c r="C7" s="50" t="s">
        <v>27</v>
      </c>
      <c r="D7" s="37">
        <v>3092.02</v>
      </c>
      <c r="E7" s="38">
        <v>4231.08920870893</v>
      </c>
      <c r="F7" s="83"/>
      <c r="G7" s="37">
        <v>3779.78</v>
      </c>
      <c r="H7" s="41"/>
      <c r="I7" s="83"/>
      <c r="J7" s="45">
        <v>3799.98</v>
      </c>
      <c r="K7" s="38">
        <v>3798.83202570292</v>
      </c>
      <c r="L7" s="83"/>
      <c r="M7" s="37">
        <v>3768.61</v>
      </c>
      <c r="N7" s="38">
        <v>1477.2</v>
      </c>
      <c r="O7" s="83"/>
      <c r="P7" s="37">
        <v>3956.08</v>
      </c>
      <c r="Q7" s="59">
        <v>2792.11965153967</v>
      </c>
      <c r="R7" s="83"/>
      <c r="S7" s="44">
        <v>3946.95</v>
      </c>
      <c r="T7" s="38">
        <v>2245.71</v>
      </c>
      <c r="U7" s="83"/>
      <c r="V7" s="45">
        <v>3994.79</v>
      </c>
      <c r="W7" s="38">
        <v>4944.44027095353</v>
      </c>
      <c r="X7" s="83"/>
      <c r="Y7" s="45">
        <v>3475.45</v>
      </c>
      <c r="Z7" s="38">
        <v>5961.58163364863</v>
      </c>
      <c r="AA7" s="83"/>
      <c r="AB7" s="45">
        <v>3805.28</v>
      </c>
      <c r="AC7" s="38">
        <v>7921.59351769296</v>
      </c>
      <c r="AD7" s="83"/>
      <c r="AE7" s="45">
        <v>3975.47</v>
      </c>
      <c r="AF7" s="63">
        <v>13077.9870495377</v>
      </c>
      <c r="AG7" s="83"/>
      <c r="AH7" s="45">
        <v>3694.48</v>
      </c>
      <c r="AI7" s="38">
        <v>5457.09</v>
      </c>
      <c r="AJ7" s="83"/>
      <c r="AK7" s="45">
        <v>3584.31</v>
      </c>
      <c r="AL7" s="38">
        <v>8311.64036503521</v>
      </c>
      <c r="AM7" s="83"/>
      <c r="AN7" s="82">
        <v>15076.36</v>
      </c>
      <c r="AO7" s="65">
        <v>4800</v>
      </c>
      <c r="AP7" s="37">
        <f t="shared" si="1"/>
        <v>124968.84372282</v>
      </c>
      <c r="AQ7" s="46">
        <v>12</v>
      </c>
      <c r="AR7" s="37">
        <f t="shared" si="0"/>
        <v>10414.070310235</v>
      </c>
      <c r="AS7" s="47">
        <v>32</v>
      </c>
      <c r="AT7" s="48">
        <v>2794</v>
      </c>
    </row>
    <row r="8" s="3" customFormat="1" ht="20" customHeight="1" spans="1:46">
      <c r="A8" s="35">
        <v>5</v>
      </c>
      <c r="B8" s="36" t="s">
        <v>32</v>
      </c>
      <c r="C8" s="50" t="s">
        <v>27</v>
      </c>
      <c r="D8" s="37">
        <v>3644.28</v>
      </c>
      <c r="E8" s="38">
        <v>2419.26</v>
      </c>
      <c r="F8" s="83"/>
      <c r="G8" s="37">
        <v>3153.53</v>
      </c>
      <c r="H8" s="38">
        <v>10035.77</v>
      </c>
      <c r="I8" s="83"/>
      <c r="J8" s="45">
        <v>3383.51</v>
      </c>
      <c r="K8" s="38">
        <v>8238.58</v>
      </c>
      <c r="L8" s="83"/>
      <c r="M8" s="58">
        <v>3515.28</v>
      </c>
      <c r="N8" s="38">
        <v>7432.95</v>
      </c>
      <c r="O8" s="83"/>
      <c r="P8" s="37">
        <v>3522.18</v>
      </c>
      <c r="Q8" s="42">
        <v>1655.6982547619</v>
      </c>
      <c r="R8" s="83"/>
      <c r="S8" s="44">
        <v>3443.61</v>
      </c>
      <c r="T8" s="84">
        <v>2633.34166542623</v>
      </c>
      <c r="U8" s="83"/>
      <c r="V8" s="45">
        <v>3452.86</v>
      </c>
      <c r="W8" s="84">
        <v>2018.47769211283</v>
      </c>
      <c r="X8" s="83"/>
      <c r="Y8" s="45">
        <v>3383.51</v>
      </c>
      <c r="Z8" s="38">
        <v>1541.46391630479</v>
      </c>
      <c r="AA8" s="83"/>
      <c r="AB8" s="45">
        <v>3443.61</v>
      </c>
      <c r="AC8" s="38">
        <v>5151.57897400715</v>
      </c>
      <c r="AD8" s="83"/>
      <c r="AE8" s="45">
        <v>3519.02</v>
      </c>
      <c r="AF8" s="63">
        <v>3308.81</v>
      </c>
      <c r="AG8" s="83"/>
      <c r="AH8" s="45">
        <v>3371.15</v>
      </c>
      <c r="AI8" s="38">
        <v>3756.53</v>
      </c>
      <c r="AJ8" s="83"/>
      <c r="AK8" s="45">
        <v>3729.48</v>
      </c>
      <c r="AL8" s="38">
        <v>1747.21</v>
      </c>
      <c r="AM8" s="83"/>
      <c r="AN8" s="82">
        <v>15076.36</v>
      </c>
      <c r="AO8" s="65">
        <v>4300</v>
      </c>
      <c r="AP8" s="37">
        <f t="shared" si="1"/>
        <v>110878.050502613</v>
      </c>
      <c r="AQ8" s="46">
        <v>12</v>
      </c>
      <c r="AR8" s="37">
        <f t="shared" si="0"/>
        <v>9239.83754188441</v>
      </c>
      <c r="AS8" s="47">
        <v>22</v>
      </c>
      <c r="AT8" s="48"/>
    </row>
    <row r="9" s="3" customFormat="1" ht="20" customHeight="1" spans="1:46">
      <c r="A9" s="49">
        <v>6</v>
      </c>
      <c r="B9" s="36" t="s">
        <v>92</v>
      </c>
      <c r="C9" s="61" t="s">
        <v>27</v>
      </c>
      <c r="D9" s="37"/>
      <c r="E9" s="41"/>
      <c r="F9" s="41"/>
      <c r="G9" s="37"/>
      <c r="H9" s="41"/>
      <c r="I9" s="41"/>
      <c r="J9" s="45"/>
      <c r="K9" s="38"/>
      <c r="L9" s="38"/>
      <c r="M9" s="37"/>
      <c r="N9" s="41"/>
      <c r="O9" s="41"/>
      <c r="P9" s="37"/>
      <c r="Q9" s="42"/>
      <c r="R9" s="42"/>
      <c r="S9" s="45">
        <v>3150</v>
      </c>
      <c r="T9" s="38"/>
      <c r="U9" s="38"/>
      <c r="V9" s="45">
        <v>4427.42</v>
      </c>
      <c r="W9" s="38"/>
      <c r="X9" s="38"/>
      <c r="Y9" s="45">
        <v>4500</v>
      </c>
      <c r="Z9" s="41"/>
      <c r="AA9" s="41"/>
      <c r="AB9" s="45">
        <v>4430.28</v>
      </c>
      <c r="AC9" s="41"/>
      <c r="AD9" s="41"/>
      <c r="AE9" s="45">
        <v>4427.08</v>
      </c>
      <c r="AF9" s="63">
        <v>902.7346578673</v>
      </c>
      <c r="AG9" s="41"/>
      <c r="AH9" s="45">
        <v>4429.48</v>
      </c>
      <c r="AI9" s="85">
        <v>4970.21386874806</v>
      </c>
      <c r="AJ9" s="41"/>
      <c r="AK9" s="45">
        <v>4106.9</v>
      </c>
      <c r="AL9" s="38">
        <v>1531.94</v>
      </c>
      <c r="AM9" s="38"/>
      <c r="AN9" s="82">
        <v>5030.92</v>
      </c>
      <c r="AO9" s="65">
        <v>500</v>
      </c>
      <c r="AP9" s="37">
        <f t="shared" si="1"/>
        <v>42406.9685266154</v>
      </c>
      <c r="AQ9" s="46">
        <v>7</v>
      </c>
      <c r="AR9" s="37">
        <f t="shared" si="0"/>
        <v>6058.13836094505</v>
      </c>
      <c r="AS9" s="60">
        <v>2.5</v>
      </c>
      <c r="AT9" s="48"/>
    </row>
    <row r="10" s="3" customFormat="1" ht="20" customHeight="1" spans="1:46">
      <c r="A10" s="35">
        <v>17</v>
      </c>
      <c r="B10" s="36" t="s">
        <v>93</v>
      </c>
      <c r="C10" s="61" t="s">
        <v>27</v>
      </c>
      <c r="D10" s="37"/>
      <c r="E10" s="41"/>
      <c r="F10" s="41"/>
      <c r="G10" s="37"/>
      <c r="H10" s="41"/>
      <c r="I10" s="41"/>
      <c r="J10" s="45"/>
      <c r="K10" s="38"/>
      <c r="L10" s="38"/>
      <c r="M10" s="37"/>
      <c r="N10" s="41"/>
      <c r="O10" s="41"/>
      <c r="P10" s="37"/>
      <c r="Q10" s="42"/>
      <c r="R10" s="42"/>
      <c r="S10" s="45">
        <v>3900</v>
      </c>
      <c r="T10" s="38"/>
      <c r="U10" s="38"/>
      <c r="V10" s="45">
        <v>4500</v>
      </c>
      <c r="W10" s="38"/>
      <c r="X10" s="38"/>
      <c r="Y10" s="45">
        <v>4275.3</v>
      </c>
      <c r="Z10" s="41"/>
      <c r="AA10" s="41"/>
      <c r="AB10" s="45">
        <v>4402.5</v>
      </c>
      <c r="AC10" s="41"/>
      <c r="AD10" s="41"/>
      <c r="AE10" s="45">
        <v>4215.39</v>
      </c>
      <c r="AF10" s="41"/>
      <c r="AG10" s="41"/>
      <c r="AH10" s="45">
        <v>4346.15</v>
      </c>
      <c r="AI10" s="41"/>
      <c r="AJ10" s="41"/>
      <c r="AK10" s="45">
        <v>4404.28</v>
      </c>
      <c r="AL10" s="38">
        <v>3662.49</v>
      </c>
      <c r="AM10" s="38"/>
      <c r="AN10" s="82">
        <v>5030.92</v>
      </c>
      <c r="AO10" s="65">
        <v>500</v>
      </c>
      <c r="AP10" s="37">
        <f t="shared" si="1"/>
        <v>39237.03</v>
      </c>
      <c r="AQ10" s="46">
        <v>7</v>
      </c>
      <c r="AR10" s="37">
        <f t="shared" si="0"/>
        <v>5605.29</v>
      </c>
      <c r="AS10" s="47">
        <v>3</v>
      </c>
      <c r="AT10" s="48">
        <v>328</v>
      </c>
    </row>
    <row r="11" s="3" customFormat="1" ht="20" customHeight="1" spans="1:46">
      <c r="A11" s="35">
        <v>7</v>
      </c>
      <c r="B11" s="36" t="s">
        <v>35</v>
      </c>
      <c r="C11" s="50" t="s">
        <v>36</v>
      </c>
      <c r="D11" s="37">
        <v>4939.88</v>
      </c>
      <c r="E11" s="38">
        <v>295.62</v>
      </c>
      <c r="F11" s="38"/>
      <c r="G11" s="37">
        <v>5025.28</v>
      </c>
      <c r="H11" s="38">
        <v>271.1</v>
      </c>
      <c r="I11" s="39"/>
      <c r="J11" s="45">
        <v>5026.28</v>
      </c>
      <c r="K11" s="38">
        <v>1122.98</v>
      </c>
      <c r="L11" s="38"/>
      <c r="M11" s="37">
        <v>5026.28</v>
      </c>
      <c r="N11" s="38">
        <v>1685.54</v>
      </c>
      <c r="O11" s="41"/>
      <c r="P11" s="37">
        <v>5026.28</v>
      </c>
      <c r="Q11" s="42">
        <v>791.78</v>
      </c>
      <c r="R11" s="43"/>
      <c r="S11" s="64">
        <v>5026.28</v>
      </c>
      <c r="T11" s="38">
        <v>928.83</v>
      </c>
      <c r="U11" s="38"/>
      <c r="V11" s="45">
        <v>5026.28</v>
      </c>
      <c r="W11" s="63">
        <v>1078.2</v>
      </c>
      <c r="X11" s="38"/>
      <c r="Y11" s="45">
        <v>5026.28</v>
      </c>
      <c r="Z11" s="63">
        <v>816.44</v>
      </c>
      <c r="AA11" s="38"/>
      <c r="AB11" s="45">
        <v>5026.28</v>
      </c>
      <c r="AC11" s="38">
        <v>1223.58</v>
      </c>
      <c r="AD11" s="41"/>
      <c r="AE11" s="45">
        <v>5023.08</v>
      </c>
      <c r="AF11" s="63">
        <v>1666.47</v>
      </c>
      <c r="AG11" s="38"/>
      <c r="AH11" s="45">
        <v>5025.48</v>
      </c>
      <c r="AI11" s="63">
        <v>1065.34</v>
      </c>
      <c r="AJ11" s="41"/>
      <c r="AK11" s="45">
        <v>5025.48</v>
      </c>
      <c r="AL11" s="63">
        <v>1517.7</v>
      </c>
      <c r="AM11" s="38"/>
      <c r="AN11" s="82">
        <v>15491.16</v>
      </c>
      <c r="AO11" s="65">
        <v>5600</v>
      </c>
      <c r="AP11" s="37">
        <f t="shared" si="1"/>
        <v>93777.9</v>
      </c>
      <c r="AQ11" s="46">
        <v>12</v>
      </c>
      <c r="AR11" s="37">
        <f t="shared" ref="AR11:AR23" si="2">SUM(AP11/AQ11)</f>
        <v>7814.825</v>
      </c>
      <c r="AS11" s="47"/>
      <c r="AT11" s="48"/>
    </row>
    <row r="12" s="3" customFormat="1" ht="20" customHeight="1" spans="1:46">
      <c r="A12" s="49">
        <v>8</v>
      </c>
      <c r="B12" s="36" t="s">
        <v>41</v>
      </c>
      <c r="C12" s="50" t="s">
        <v>38</v>
      </c>
      <c r="D12" s="37">
        <v>4644.28</v>
      </c>
      <c r="E12" s="38">
        <v>279.46</v>
      </c>
      <c r="F12" s="38"/>
      <c r="G12" s="37">
        <v>4730.68</v>
      </c>
      <c r="H12" s="38">
        <v>259.9</v>
      </c>
      <c r="I12" s="41"/>
      <c r="J12" s="45">
        <v>5030.28</v>
      </c>
      <c r="K12" s="38">
        <v>1122.98</v>
      </c>
      <c r="L12" s="38"/>
      <c r="M12" s="37">
        <v>5030.28</v>
      </c>
      <c r="N12" s="38">
        <v>1560.64</v>
      </c>
      <c r="O12" s="41"/>
      <c r="P12" s="37">
        <v>5030.28</v>
      </c>
      <c r="Q12" s="42">
        <v>791.78</v>
      </c>
      <c r="R12" s="43"/>
      <c r="S12" s="44">
        <v>5030.28</v>
      </c>
      <c r="T12" s="38">
        <v>969.36</v>
      </c>
      <c r="U12" s="38"/>
      <c r="V12" s="45">
        <v>5030.28</v>
      </c>
      <c r="W12" s="63">
        <v>1078.2</v>
      </c>
      <c r="X12" s="38"/>
      <c r="Y12" s="45">
        <v>5030.28</v>
      </c>
      <c r="Z12" s="63">
        <v>786.24</v>
      </c>
      <c r="AA12" s="38"/>
      <c r="AB12" s="45">
        <v>5030.28</v>
      </c>
      <c r="AC12" s="38">
        <v>1154.28</v>
      </c>
      <c r="AD12" s="38"/>
      <c r="AE12" s="45">
        <v>5027.08</v>
      </c>
      <c r="AF12" s="63">
        <v>1666.47</v>
      </c>
      <c r="AG12" s="38"/>
      <c r="AH12" s="37">
        <v>5029.48</v>
      </c>
      <c r="AI12" s="63">
        <v>1090.04</v>
      </c>
      <c r="AJ12" s="41"/>
      <c r="AK12" s="45">
        <v>5029.48</v>
      </c>
      <c r="AL12" s="63">
        <v>1463.5</v>
      </c>
      <c r="AM12" s="38"/>
      <c r="AN12" s="82">
        <v>15076.36</v>
      </c>
      <c r="AO12" s="65">
        <v>5600</v>
      </c>
      <c r="AP12" s="37">
        <f t="shared" si="1"/>
        <v>92572.17</v>
      </c>
      <c r="AQ12" s="46">
        <v>12</v>
      </c>
      <c r="AR12" s="37">
        <f t="shared" si="2"/>
        <v>7714.3475</v>
      </c>
      <c r="AS12" s="60"/>
      <c r="AT12" s="48"/>
    </row>
    <row r="13" s="3" customFormat="1" ht="20" customHeight="1" spans="1:46">
      <c r="A13" s="35">
        <v>9</v>
      </c>
      <c r="B13" s="56" t="s">
        <v>58</v>
      </c>
      <c r="C13" s="50" t="s">
        <v>38</v>
      </c>
      <c r="D13" s="37">
        <v>4344.28</v>
      </c>
      <c r="E13" s="38">
        <v>279.46</v>
      </c>
      <c r="F13" s="41"/>
      <c r="G13" s="37">
        <v>4430.68</v>
      </c>
      <c r="H13" s="38">
        <v>271.1</v>
      </c>
      <c r="I13" s="41"/>
      <c r="J13" s="45">
        <v>4730.28</v>
      </c>
      <c r="K13" s="38">
        <v>1081.38</v>
      </c>
      <c r="L13" s="38"/>
      <c r="M13" s="37">
        <v>4730.28</v>
      </c>
      <c r="N13" s="38">
        <v>1560.64</v>
      </c>
      <c r="O13" s="38"/>
      <c r="P13" s="37">
        <v>4730.28</v>
      </c>
      <c r="Q13" s="42">
        <v>760.11</v>
      </c>
      <c r="R13" s="42"/>
      <c r="S13" s="45">
        <v>4730.28</v>
      </c>
      <c r="T13" s="38">
        <v>969.36</v>
      </c>
      <c r="U13" s="38"/>
      <c r="V13" s="45">
        <v>4730.28</v>
      </c>
      <c r="W13" s="63">
        <v>1078.2</v>
      </c>
      <c r="X13" s="38"/>
      <c r="Y13" s="45">
        <v>4730.28</v>
      </c>
      <c r="Z13" s="63">
        <v>816.44</v>
      </c>
      <c r="AA13" s="41"/>
      <c r="AB13" s="45">
        <v>4730.28</v>
      </c>
      <c r="AC13" s="38">
        <v>1154.28</v>
      </c>
      <c r="AD13" s="41"/>
      <c r="AE13" s="45">
        <v>4727.08</v>
      </c>
      <c r="AF13" s="63">
        <v>1742.22</v>
      </c>
      <c r="AG13" s="41"/>
      <c r="AH13" s="45">
        <v>4729.48</v>
      </c>
      <c r="AI13" s="63">
        <v>1090.04</v>
      </c>
      <c r="AJ13" s="41"/>
      <c r="AK13" s="45">
        <v>4729.48</v>
      </c>
      <c r="AL13" s="63">
        <v>1355.1</v>
      </c>
      <c r="AM13" s="38"/>
      <c r="AN13" s="82">
        <v>15076.36</v>
      </c>
      <c r="AO13" s="65">
        <v>5300</v>
      </c>
      <c r="AP13" s="37">
        <f t="shared" si="1"/>
        <v>88607.65</v>
      </c>
      <c r="AQ13" s="46">
        <v>12</v>
      </c>
      <c r="AR13" s="37">
        <f t="shared" si="2"/>
        <v>7383.97083333333</v>
      </c>
      <c r="AS13" s="47"/>
      <c r="AT13" s="48"/>
    </row>
    <row r="14" s="3" customFormat="1" ht="20" customHeight="1" spans="1:46">
      <c r="A14" s="49">
        <v>10</v>
      </c>
      <c r="B14" s="65" t="s">
        <v>81</v>
      </c>
      <c r="C14" s="50" t="s">
        <v>38</v>
      </c>
      <c r="D14" s="37">
        <v>4430.68</v>
      </c>
      <c r="E14" s="38">
        <v>279.46</v>
      </c>
      <c r="F14" s="41"/>
      <c r="G14" s="37">
        <v>4430.68</v>
      </c>
      <c r="H14" s="38">
        <v>271.1</v>
      </c>
      <c r="I14" s="41"/>
      <c r="J14" s="45">
        <v>4268.99</v>
      </c>
      <c r="K14" s="38">
        <v>1081.38</v>
      </c>
      <c r="L14" s="38"/>
      <c r="M14" s="37">
        <v>4430.28</v>
      </c>
      <c r="N14" s="38">
        <v>1560.64</v>
      </c>
      <c r="O14" s="38"/>
      <c r="P14" s="37">
        <v>4430.28</v>
      </c>
      <c r="Q14" s="59">
        <v>791.78</v>
      </c>
      <c r="R14" s="59"/>
      <c r="S14" s="45">
        <v>4263.61</v>
      </c>
      <c r="T14" s="38">
        <v>969.36</v>
      </c>
      <c r="U14" s="38"/>
      <c r="V14" s="45">
        <v>4430.28</v>
      </c>
      <c r="W14" s="63">
        <v>1078.2</v>
      </c>
      <c r="X14" s="38"/>
      <c r="Y14" s="45">
        <v>4268.99</v>
      </c>
      <c r="Z14" s="63">
        <v>786.24</v>
      </c>
      <c r="AA14" s="41"/>
      <c r="AB14" s="45">
        <v>4430.28</v>
      </c>
      <c r="AC14" s="38">
        <v>1154.28</v>
      </c>
      <c r="AD14" s="41"/>
      <c r="AE14" s="45">
        <v>4427.08</v>
      </c>
      <c r="AF14" s="63">
        <v>1666.47</v>
      </c>
      <c r="AG14" s="41"/>
      <c r="AH14" s="45">
        <v>4429.48</v>
      </c>
      <c r="AI14" s="63">
        <v>1090.04</v>
      </c>
      <c r="AJ14" s="41"/>
      <c r="AK14" s="45">
        <v>4429.48</v>
      </c>
      <c r="AL14" s="63">
        <v>1463.5</v>
      </c>
      <c r="AM14" s="38"/>
      <c r="AN14" s="82">
        <v>15076.36</v>
      </c>
      <c r="AO14" s="65">
        <v>5000</v>
      </c>
      <c r="AP14" s="37">
        <f t="shared" si="1"/>
        <v>84938.92</v>
      </c>
      <c r="AQ14" s="46">
        <v>12</v>
      </c>
      <c r="AR14" s="37">
        <f t="shared" si="2"/>
        <v>7078.24333333333</v>
      </c>
      <c r="AS14" s="47">
        <v>3</v>
      </c>
      <c r="AT14" s="48"/>
    </row>
    <row r="15" s="3" customFormat="1" ht="20" customHeight="1" spans="1:46">
      <c r="A15" s="35">
        <v>11</v>
      </c>
      <c r="B15" s="65" t="s">
        <v>82</v>
      </c>
      <c r="C15" s="50" t="s">
        <v>38</v>
      </c>
      <c r="D15" s="37">
        <v>4500</v>
      </c>
      <c r="E15" s="38">
        <v>124.2</v>
      </c>
      <c r="F15" s="41"/>
      <c r="G15" s="37">
        <v>4430.68</v>
      </c>
      <c r="H15" s="38">
        <v>271.1</v>
      </c>
      <c r="I15" s="41"/>
      <c r="J15" s="45">
        <v>4430.28</v>
      </c>
      <c r="K15" s="38">
        <v>1122.98</v>
      </c>
      <c r="L15" s="38"/>
      <c r="M15" s="37">
        <v>4430.28</v>
      </c>
      <c r="N15" s="38">
        <v>1560.64</v>
      </c>
      <c r="O15" s="38"/>
      <c r="P15" s="37">
        <v>3785.12</v>
      </c>
      <c r="Q15" s="59">
        <v>633.45</v>
      </c>
      <c r="R15" s="59"/>
      <c r="S15" s="45">
        <v>4430.28</v>
      </c>
      <c r="T15" s="38">
        <v>1009.59</v>
      </c>
      <c r="U15" s="38"/>
      <c r="V15" s="45">
        <v>4268.99</v>
      </c>
      <c r="W15" s="63">
        <v>1038.3</v>
      </c>
      <c r="X15" s="38"/>
      <c r="Y15" s="45">
        <v>4430.28</v>
      </c>
      <c r="Z15" s="63">
        <v>816.44</v>
      </c>
      <c r="AA15" s="41"/>
      <c r="AB15" s="45">
        <v>4430.28</v>
      </c>
      <c r="AC15" s="38">
        <v>1154.28</v>
      </c>
      <c r="AD15" s="41"/>
      <c r="AE15" s="45">
        <v>4427.08</v>
      </c>
      <c r="AF15" s="63">
        <v>1666.47</v>
      </c>
      <c r="AG15" s="41"/>
      <c r="AH15" s="45">
        <v>4429.48</v>
      </c>
      <c r="AI15" s="63">
        <v>1090.04</v>
      </c>
      <c r="AJ15" s="41"/>
      <c r="AK15" s="45">
        <v>4429.48</v>
      </c>
      <c r="AL15" s="63">
        <v>1463.5</v>
      </c>
      <c r="AM15" s="38"/>
      <c r="AN15" s="82">
        <v>15076.36</v>
      </c>
      <c r="AO15" s="65">
        <v>5000</v>
      </c>
      <c r="AP15" s="37">
        <f t="shared" si="1"/>
        <v>84449.58</v>
      </c>
      <c r="AQ15" s="46">
        <v>12</v>
      </c>
      <c r="AR15" s="37">
        <f t="shared" si="2"/>
        <v>7037.465</v>
      </c>
      <c r="AS15" s="47">
        <v>5</v>
      </c>
      <c r="AT15" s="48"/>
    </row>
    <row r="16" s="3" customFormat="1" ht="20" customHeight="1" spans="1:46">
      <c r="A16" s="49">
        <v>12</v>
      </c>
      <c r="B16" s="65" t="s">
        <v>33</v>
      </c>
      <c r="C16" s="50" t="s">
        <v>73</v>
      </c>
      <c r="D16" s="37">
        <v>4639.88</v>
      </c>
      <c r="E16" s="38"/>
      <c r="F16" s="38">
        <v>1950</v>
      </c>
      <c r="G16" s="37">
        <v>4725.28</v>
      </c>
      <c r="H16" s="41"/>
      <c r="I16" s="41"/>
      <c r="J16" s="45">
        <v>4726.28</v>
      </c>
      <c r="K16" s="38"/>
      <c r="L16" s="38">
        <v>1600</v>
      </c>
      <c r="M16" s="37">
        <v>4726.28</v>
      </c>
      <c r="N16" s="41"/>
      <c r="O16" s="38">
        <v>2300</v>
      </c>
      <c r="P16" s="37">
        <v>4726.28</v>
      </c>
      <c r="Q16" s="42"/>
      <c r="R16" s="59">
        <v>950</v>
      </c>
      <c r="S16" s="45">
        <v>4726.28</v>
      </c>
      <c r="T16" s="38"/>
      <c r="U16" s="59">
        <v>1550</v>
      </c>
      <c r="V16" s="45">
        <v>4726.28</v>
      </c>
      <c r="W16" s="63"/>
      <c r="X16" s="59">
        <v>1050</v>
      </c>
      <c r="Y16" s="45">
        <v>4726.28</v>
      </c>
      <c r="Z16" s="41"/>
      <c r="AA16" s="63">
        <v>1120</v>
      </c>
      <c r="AB16" s="45">
        <v>4726.28</v>
      </c>
      <c r="AC16" s="41"/>
      <c r="AD16" s="63">
        <v>2225</v>
      </c>
      <c r="AE16" s="45">
        <v>4723.08</v>
      </c>
      <c r="AF16" s="41"/>
      <c r="AG16" s="63">
        <v>1850</v>
      </c>
      <c r="AH16" s="45">
        <v>4725.48</v>
      </c>
      <c r="AI16" s="41"/>
      <c r="AJ16" s="63">
        <v>1250</v>
      </c>
      <c r="AK16" s="45">
        <v>4725.48</v>
      </c>
      <c r="AL16" s="38"/>
      <c r="AM16" s="86">
        <v>3800</v>
      </c>
      <c r="AN16" s="82">
        <v>15491.16</v>
      </c>
      <c r="AO16" s="65">
        <v>5300</v>
      </c>
      <c r="AP16" s="37">
        <f t="shared" si="1"/>
        <v>97059.32</v>
      </c>
      <c r="AQ16" s="46">
        <v>12</v>
      </c>
      <c r="AR16" s="37">
        <f t="shared" si="2"/>
        <v>8088.27666666667</v>
      </c>
      <c r="AS16" s="47"/>
      <c r="AT16" s="48"/>
    </row>
    <row r="17" s="3" customFormat="1" ht="20" customHeight="1" spans="1:46">
      <c r="A17" s="35">
        <v>13</v>
      </c>
      <c r="B17" s="65" t="s">
        <v>74</v>
      </c>
      <c r="C17" s="66" t="s">
        <v>73</v>
      </c>
      <c r="D17" s="37">
        <v>4961.56</v>
      </c>
      <c r="E17" s="41"/>
      <c r="F17" s="38">
        <v>1950</v>
      </c>
      <c r="G17" s="37">
        <v>5030.68</v>
      </c>
      <c r="H17" s="41"/>
      <c r="I17" s="41"/>
      <c r="J17" s="45">
        <v>5030.28</v>
      </c>
      <c r="K17" s="38"/>
      <c r="L17" s="38">
        <v>1600</v>
      </c>
      <c r="M17" s="37">
        <v>5030.28</v>
      </c>
      <c r="N17" s="41"/>
      <c r="O17" s="38">
        <v>2300</v>
      </c>
      <c r="P17" s="37">
        <v>5030.28</v>
      </c>
      <c r="Q17" s="42"/>
      <c r="R17" s="59">
        <v>950</v>
      </c>
      <c r="S17" s="45">
        <v>5030.28</v>
      </c>
      <c r="T17" s="38"/>
      <c r="U17" s="59">
        <v>1550</v>
      </c>
      <c r="V17" s="45">
        <v>5030.28</v>
      </c>
      <c r="W17" s="38"/>
      <c r="X17" s="59">
        <v>1050</v>
      </c>
      <c r="Y17" s="45">
        <v>5030.28</v>
      </c>
      <c r="Z17" s="41"/>
      <c r="AA17" s="63">
        <v>1120</v>
      </c>
      <c r="AB17" s="45">
        <v>5030.28</v>
      </c>
      <c r="AC17" s="41"/>
      <c r="AD17" s="63">
        <v>2225</v>
      </c>
      <c r="AE17" s="45">
        <v>5027.08</v>
      </c>
      <c r="AF17" s="41"/>
      <c r="AG17" s="63">
        <v>1850</v>
      </c>
      <c r="AH17" s="45">
        <v>5029.48</v>
      </c>
      <c r="AI17" s="41"/>
      <c r="AJ17" s="63">
        <v>1250</v>
      </c>
      <c r="AK17" s="45">
        <v>5029.48</v>
      </c>
      <c r="AL17" s="38"/>
      <c r="AM17" s="86">
        <v>3800</v>
      </c>
      <c r="AN17" s="82">
        <v>15076.36</v>
      </c>
      <c r="AO17" s="65">
        <v>5600</v>
      </c>
      <c r="AP17" s="37">
        <f t="shared" si="1"/>
        <v>100611.6</v>
      </c>
      <c r="AQ17" s="46">
        <v>12</v>
      </c>
      <c r="AR17" s="37">
        <f t="shared" si="2"/>
        <v>8384.3</v>
      </c>
      <c r="AS17" s="47"/>
      <c r="AT17" s="48"/>
    </row>
    <row r="18" s="3" customFormat="1" ht="20" customHeight="1" spans="1:46">
      <c r="A18" s="49">
        <v>14</v>
      </c>
      <c r="B18" s="36" t="s">
        <v>75</v>
      </c>
      <c r="C18" s="66" t="s">
        <v>73</v>
      </c>
      <c r="D18" s="37">
        <v>4361.56</v>
      </c>
      <c r="E18" s="41"/>
      <c r="F18" s="38">
        <v>1950</v>
      </c>
      <c r="G18" s="37">
        <v>4430.68</v>
      </c>
      <c r="H18" s="41"/>
      <c r="I18" s="41"/>
      <c r="J18" s="45">
        <v>4430.28</v>
      </c>
      <c r="K18" s="38"/>
      <c r="L18" s="38">
        <v>1600</v>
      </c>
      <c r="M18" s="37">
        <v>4430.28</v>
      </c>
      <c r="N18" s="41"/>
      <c r="O18" s="38">
        <v>2300</v>
      </c>
      <c r="P18" s="37">
        <v>4430.28</v>
      </c>
      <c r="Q18" s="42"/>
      <c r="R18" s="59">
        <v>950</v>
      </c>
      <c r="S18" s="44">
        <v>4430.28</v>
      </c>
      <c r="T18" s="38"/>
      <c r="U18" s="59">
        <v>1550</v>
      </c>
      <c r="V18" s="45">
        <v>4430.28</v>
      </c>
      <c r="W18" s="38"/>
      <c r="X18" s="59">
        <v>1050</v>
      </c>
      <c r="Y18" s="45">
        <v>4430.28</v>
      </c>
      <c r="Z18" s="38"/>
      <c r="AA18" s="63">
        <v>1120</v>
      </c>
      <c r="AB18" s="45">
        <v>4430.28</v>
      </c>
      <c r="AC18" s="41"/>
      <c r="AD18" s="63">
        <v>2225</v>
      </c>
      <c r="AE18" s="45">
        <v>4427.08</v>
      </c>
      <c r="AF18" s="41"/>
      <c r="AG18" s="63">
        <v>1850</v>
      </c>
      <c r="AH18" s="45">
        <v>4429.48</v>
      </c>
      <c r="AI18" s="41"/>
      <c r="AJ18" s="63">
        <v>1250</v>
      </c>
      <c r="AK18" s="45">
        <v>4429.48</v>
      </c>
      <c r="AL18" s="38"/>
      <c r="AM18" s="86">
        <v>3800</v>
      </c>
      <c r="AN18" s="82">
        <v>15076.36</v>
      </c>
      <c r="AO18" s="65">
        <v>5000</v>
      </c>
      <c r="AP18" s="37">
        <f t="shared" si="1"/>
        <v>92811.6</v>
      </c>
      <c r="AQ18" s="46">
        <v>12</v>
      </c>
      <c r="AR18" s="37">
        <f t="shared" si="2"/>
        <v>7734.3</v>
      </c>
      <c r="AS18" s="60"/>
      <c r="AT18" s="48"/>
    </row>
    <row r="19" s="3" customFormat="1" ht="27" spans="1:46">
      <c r="A19" s="35">
        <v>15</v>
      </c>
      <c r="B19" s="36" t="s">
        <v>76</v>
      </c>
      <c r="C19" s="61" t="s">
        <v>77</v>
      </c>
      <c r="D19" s="37">
        <v>4826.71</v>
      </c>
      <c r="E19" s="41"/>
      <c r="F19" s="38">
        <v>1950</v>
      </c>
      <c r="G19" s="37">
        <v>4726.21</v>
      </c>
      <c r="H19" s="41"/>
      <c r="I19" s="41"/>
      <c r="J19" s="45">
        <v>4404.08</v>
      </c>
      <c r="K19" s="38"/>
      <c r="L19" s="38">
        <v>1600</v>
      </c>
      <c r="M19" s="58">
        <v>4899.03</v>
      </c>
      <c r="N19" s="41"/>
      <c r="O19" s="38">
        <v>2300</v>
      </c>
      <c r="P19" s="37">
        <v>5115.76</v>
      </c>
      <c r="Q19" s="42"/>
      <c r="R19" s="59">
        <v>950</v>
      </c>
      <c r="S19" s="44">
        <v>4663.61</v>
      </c>
      <c r="T19" s="38"/>
      <c r="U19" s="59">
        <v>1550</v>
      </c>
      <c r="V19" s="45">
        <v>4740.76</v>
      </c>
      <c r="W19" s="38"/>
      <c r="X19" s="59">
        <v>1050</v>
      </c>
      <c r="Y19" s="45">
        <v>4900.03</v>
      </c>
      <c r="Z19" s="41"/>
      <c r="AA19" s="63">
        <v>1120</v>
      </c>
      <c r="AB19" s="45">
        <v>4721.95</v>
      </c>
      <c r="AC19" s="41"/>
      <c r="AD19" s="63">
        <v>2225</v>
      </c>
      <c r="AE19" s="45">
        <v>4945.22</v>
      </c>
      <c r="AF19" s="41"/>
      <c r="AG19" s="63">
        <v>1850</v>
      </c>
      <c r="AH19" s="45">
        <v>4764.9</v>
      </c>
      <c r="AI19" s="41"/>
      <c r="AJ19" s="63">
        <v>1250</v>
      </c>
      <c r="AK19" s="45">
        <v>3866.98</v>
      </c>
      <c r="AL19" s="38"/>
      <c r="AM19" s="86">
        <v>3800</v>
      </c>
      <c r="AN19" s="82">
        <v>15076.36</v>
      </c>
      <c r="AO19" s="65">
        <v>6000</v>
      </c>
      <c r="AP19" s="37">
        <f t="shared" si="1"/>
        <v>97296.6</v>
      </c>
      <c r="AQ19" s="46">
        <v>12</v>
      </c>
      <c r="AR19" s="37">
        <f t="shared" si="2"/>
        <v>8108.05</v>
      </c>
      <c r="AS19" s="47">
        <v>31</v>
      </c>
      <c r="AT19" s="48">
        <v>5985</v>
      </c>
    </row>
    <row r="20" s="3" customFormat="1" ht="20" customHeight="1" spans="1:46">
      <c r="A20" s="49">
        <v>16</v>
      </c>
      <c r="B20" s="36" t="s">
        <v>45</v>
      </c>
      <c r="C20" s="61" t="s">
        <v>46</v>
      </c>
      <c r="D20" s="37">
        <v>5639.88</v>
      </c>
      <c r="E20" s="41"/>
      <c r="F20" s="41"/>
      <c r="G20" s="37">
        <v>5726.28</v>
      </c>
      <c r="H20" s="41"/>
      <c r="I20" s="41"/>
      <c r="J20" s="45">
        <v>5726.28</v>
      </c>
      <c r="K20" s="38"/>
      <c r="L20" s="38"/>
      <c r="M20" s="37">
        <v>5726.28</v>
      </c>
      <c r="N20" s="41"/>
      <c r="O20" s="41"/>
      <c r="P20" s="37">
        <v>5726.28</v>
      </c>
      <c r="Q20" s="42"/>
      <c r="R20" s="42"/>
      <c r="S20" s="45">
        <v>5726.28</v>
      </c>
      <c r="T20" s="38"/>
      <c r="U20" s="38"/>
      <c r="V20" s="45">
        <v>5726.28</v>
      </c>
      <c r="W20" s="38"/>
      <c r="X20" s="38"/>
      <c r="Y20" s="45">
        <v>5675.47</v>
      </c>
      <c r="Z20" s="41"/>
      <c r="AA20" s="41"/>
      <c r="AB20" s="45">
        <v>5726.28</v>
      </c>
      <c r="AC20" s="41"/>
      <c r="AD20" s="41"/>
      <c r="AE20" s="45">
        <v>5723.08</v>
      </c>
      <c r="AF20" s="41"/>
      <c r="AG20" s="41"/>
      <c r="AH20" s="45">
        <v>5725.48</v>
      </c>
      <c r="AI20" s="41"/>
      <c r="AJ20" s="41"/>
      <c r="AK20" s="45">
        <v>5725.48</v>
      </c>
      <c r="AL20" s="38"/>
      <c r="AM20" s="38"/>
      <c r="AN20" s="82">
        <v>15491.16</v>
      </c>
      <c r="AO20" s="65">
        <v>6300</v>
      </c>
      <c r="AP20" s="37">
        <f t="shared" si="1"/>
        <v>90364.51</v>
      </c>
      <c r="AQ20" s="46">
        <v>12</v>
      </c>
      <c r="AR20" s="37">
        <f t="shared" si="2"/>
        <v>7530.37583333333</v>
      </c>
      <c r="AS20" s="47"/>
      <c r="AT20" s="48"/>
    </row>
    <row r="21" s="3" customFormat="1" ht="20" customHeight="1" spans="1:46">
      <c r="A21" s="49">
        <v>18</v>
      </c>
      <c r="B21" s="65" t="s">
        <v>30</v>
      </c>
      <c r="C21" s="66" t="s">
        <v>63</v>
      </c>
      <c r="D21" s="37">
        <v>9091.55</v>
      </c>
      <c r="E21" s="41"/>
      <c r="F21" s="41"/>
      <c r="G21" s="37">
        <v>9015.95</v>
      </c>
      <c r="H21" s="41"/>
      <c r="I21" s="41"/>
      <c r="J21" s="45">
        <v>9174.15</v>
      </c>
      <c r="K21" s="38"/>
      <c r="L21" s="38"/>
      <c r="M21" s="37">
        <v>9174.15</v>
      </c>
      <c r="N21" s="41"/>
      <c r="O21" s="41"/>
      <c r="P21" s="37">
        <v>9174.15</v>
      </c>
      <c r="Q21" s="42"/>
      <c r="R21" s="43"/>
      <c r="S21" s="44">
        <v>9174.15</v>
      </c>
      <c r="T21" s="38"/>
      <c r="U21" s="38"/>
      <c r="V21" s="45">
        <v>9174.15</v>
      </c>
      <c r="W21" s="38"/>
      <c r="X21" s="38"/>
      <c r="Y21" s="45">
        <v>9174.15</v>
      </c>
      <c r="Z21" s="41"/>
      <c r="AA21" s="41"/>
      <c r="AB21" s="37">
        <v>9174.15</v>
      </c>
      <c r="AC21" s="41"/>
      <c r="AD21" s="41"/>
      <c r="AE21" s="45">
        <v>9164.55</v>
      </c>
      <c r="AF21" s="41"/>
      <c r="AG21" s="41"/>
      <c r="AH21" s="45">
        <v>9171.75</v>
      </c>
      <c r="AI21" s="38"/>
      <c r="AJ21" s="38"/>
      <c r="AK21" s="45">
        <v>9171.75</v>
      </c>
      <c r="AL21" s="38"/>
      <c r="AM21" s="38"/>
      <c r="AN21" s="82">
        <v>15076.36</v>
      </c>
      <c r="AO21" s="65">
        <v>11000</v>
      </c>
      <c r="AP21" s="37">
        <f t="shared" si="1"/>
        <v>135910.96</v>
      </c>
      <c r="AQ21" s="46">
        <v>12</v>
      </c>
      <c r="AR21" s="37">
        <f t="shared" si="2"/>
        <v>11325.9133333333</v>
      </c>
      <c r="AS21" s="47"/>
      <c r="AT21" s="48"/>
    </row>
    <row r="22" s="3" customFormat="1" ht="20" customHeight="1" spans="1:46">
      <c r="A22" s="35">
        <v>19</v>
      </c>
      <c r="B22" s="65" t="s">
        <v>39</v>
      </c>
      <c r="C22" s="50" t="s">
        <v>40</v>
      </c>
      <c r="D22" s="37">
        <v>7300</v>
      </c>
      <c r="E22" s="41"/>
      <c r="F22" s="41"/>
      <c r="G22" s="37">
        <v>7300</v>
      </c>
      <c r="H22" s="41"/>
      <c r="I22" s="41"/>
      <c r="J22" s="45">
        <v>7300</v>
      </c>
      <c r="K22" s="38"/>
      <c r="L22" s="38"/>
      <c r="M22" s="37">
        <v>7300</v>
      </c>
      <c r="N22" s="41"/>
      <c r="O22" s="41"/>
      <c r="P22" s="37">
        <v>7300</v>
      </c>
      <c r="Q22" s="42"/>
      <c r="R22" s="42"/>
      <c r="S22" s="45">
        <v>7300</v>
      </c>
      <c r="T22" s="38"/>
      <c r="U22" s="38"/>
      <c r="V22" s="45">
        <v>7300</v>
      </c>
      <c r="W22" s="38"/>
      <c r="X22" s="38"/>
      <c r="Y22" s="45">
        <v>7300</v>
      </c>
      <c r="Z22" s="41"/>
      <c r="AA22" s="41"/>
      <c r="AB22" s="37">
        <v>7300</v>
      </c>
      <c r="AC22" s="41"/>
      <c r="AD22" s="41"/>
      <c r="AE22" s="45">
        <v>7300</v>
      </c>
      <c r="AF22" s="41"/>
      <c r="AG22" s="41"/>
      <c r="AH22" s="45">
        <v>7300</v>
      </c>
      <c r="AI22" s="38"/>
      <c r="AJ22" s="38"/>
      <c r="AK22" s="45">
        <v>7300</v>
      </c>
      <c r="AL22" s="38"/>
      <c r="AM22" s="38"/>
      <c r="AN22" s="82"/>
      <c r="AO22" s="65">
        <v>7300</v>
      </c>
      <c r="AP22" s="37">
        <f t="shared" si="1"/>
        <v>94900</v>
      </c>
      <c r="AQ22" s="46">
        <v>12</v>
      </c>
      <c r="AR22" s="37">
        <f t="shared" si="2"/>
        <v>7908.33333333333</v>
      </c>
      <c r="AS22" s="47"/>
      <c r="AT22" s="48"/>
    </row>
    <row r="23" s="3" customFormat="1" ht="20" customHeight="1" spans="1:46">
      <c r="A23" s="49">
        <v>20</v>
      </c>
      <c r="B23" s="50" t="s">
        <v>80</v>
      </c>
      <c r="C23" s="50" t="s">
        <v>27</v>
      </c>
      <c r="D23" s="37">
        <v>3913.4</v>
      </c>
      <c r="E23" s="41"/>
      <c r="F23" s="41"/>
      <c r="G23" s="37">
        <v>3850.32</v>
      </c>
      <c r="H23" s="41"/>
      <c r="I23" s="41"/>
      <c r="J23" s="45">
        <v>3930.28</v>
      </c>
      <c r="K23" s="38"/>
      <c r="L23" s="38"/>
      <c r="M23" s="37">
        <v>3705.28</v>
      </c>
      <c r="N23" s="41"/>
      <c r="O23" s="41"/>
      <c r="P23" s="37">
        <v>3766.97</v>
      </c>
      <c r="Q23" s="42"/>
      <c r="R23" s="43"/>
      <c r="S23" s="44">
        <v>3667.78</v>
      </c>
      <c r="T23" s="38"/>
      <c r="U23" s="38"/>
      <c r="V23" s="87"/>
      <c r="W23" s="38"/>
      <c r="X23" s="38"/>
      <c r="Y23" s="87"/>
      <c r="Z23" s="38"/>
      <c r="AA23" s="38"/>
      <c r="AB23" s="45"/>
      <c r="AC23" s="41"/>
      <c r="AD23" s="41"/>
      <c r="AE23" s="45"/>
      <c r="AF23" s="38"/>
      <c r="AG23" s="38"/>
      <c r="AH23" s="45"/>
      <c r="AI23" s="41"/>
      <c r="AJ23" s="41"/>
      <c r="AK23" s="45"/>
      <c r="AL23" s="38"/>
      <c r="AM23" s="38"/>
      <c r="AN23" s="82">
        <v>7529.98</v>
      </c>
      <c r="AO23" s="65"/>
      <c r="AP23" s="37">
        <f t="shared" si="1"/>
        <v>30364.01</v>
      </c>
      <c r="AQ23" s="46">
        <v>6</v>
      </c>
      <c r="AR23" s="37">
        <f t="shared" si="2"/>
        <v>5060.66833333333</v>
      </c>
      <c r="AS23" s="60">
        <v>4.5</v>
      </c>
      <c r="AT23" s="48">
        <v>180</v>
      </c>
    </row>
    <row r="24" s="2" customFormat="1" ht="27" customHeight="1" spans="1:46">
      <c r="A24" s="67" t="s">
        <v>51</v>
      </c>
      <c r="B24" s="68"/>
      <c r="C24" s="68"/>
      <c r="D24" s="69">
        <f>SUM(D4:D23)</f>
        <v>86468.58</v>
      </c>
      <c r="E24" s="70">
        <f>SUM(E4:E23)</f>
        <v>17594.7374145913</v>
      </c>
      <c r="F24" s="70">
        <f>SUM(F16:F23)</f>
        <v>7800</v>
      </c>
      <c r="G24" s="69">
        <f>SUM(G4:G23)</f>
        <v>87447.86</v>
      </c>
      <c r="H24" s="70">
        <f>SUM(H4:H23)</f>
        <v>15454.0950761565</v>
      </c>
      <c r="I24" s="70">
        <f>SUM(I16:I23)</f>
        <v>0</v>
      </c>
      <c r="J24" s="69">
        <f>SUM(J4:J23)</f>
        <v>88755.49</v>
      </c>
      <c r="K24" s="70">
        <f>SUM(K4:K23)</f>
        <v>33812.8361672489</v>
      </c>
      <c r="L24" s="70">
        <f>SUM(L16:L23)</f>
        <v>6400</v>
      </c>
      <c r="M24" s="69">
        <f>SUM(M4:M23)</f>
        <v>89277.28</v>
      </c>
      <c r="N24" s="70">
        <f>SUM(N4:N23)</f>
        <v>38173.5593920986</v>
      </c>
      <c r="O24" s="70">
        <f>SUM(O16:O23)</f>
        <v>9200</v>
      </c>
      <c r="P24" s="69">
        <f>SUM(P4:P23)</f>
        <v>89068.93</v>
      </c>
      <c r="Q24" s="70">
        <f>SUM(Q4:Q23)</f>
        <v>20261.0433517114</v>
      </c>
      <c r="R24" s="70">
        <f>SUM(R16:R23)</f>
        <v>3800</v>
      </c>
      <c r="S24" s="69">
        <f>SUM(S4:S23)</f>
        <v>96417.98</v>
      </c>
      <c r="T24" s="70">
        <f>SUM(T4:T23)</f>
        <v>30395.3844010381</v>
      </c>
      <c r="U24" s="70">
        <f>SUM(U16:U23)</f>
        <v>6200</v>
      </c>
      <c r="V24" s="69">
        <f>SUM(V4:V23)</f>
        <v>93897.39</v>
      </c>
      <c r="W24" s="70">
        <f>SUM(W4:W23)</f>
        <v>19837.0644152649</v>
      </c>
      <c r="X24" s="70">
        <f>SUM(X16:X23)</f>
        <v>4200</v>
      </c>
      <c r="Y24" s="69">
        <f>SUM(Y4:Y23)</f>
        <v>93626.28</v>
      </c>
      <c r="Z24" s="70">
        <f>SUM(Z4:Z23)</f>
        <v>23738.5036664958</v>
      </c>
      <c r="AA24" s="70">
        <f>SUM(AA16:AA23)</f>
        <v>4480</v>
      </c>
      <c r="AB24" s="69">
        <f>SUM(AB4:AB23)</f>
        <v>94646.91</v>
      </c>
      <c r="AC24" s="70">
        <f>SUM(AC4:AC23)</f>
        <v>33075.0647804806</v>
      </c>
      <c r="AD24" s="70">
        <f>SUM(AD16:AD23)</f>
        <v>8900</v>
      </c>
      <c r="AE24" s="69">
        <f>SUM(AE4:AE23)</f>
        <v>94753.25</v>
      </c>
      <c r="AF24" s="70">
        <f>SUM(AF4:AF23)</f>
        <v>53321.1393381875</v>
      </c>
      <c r="AG24" s="70">
        <f>SUM(AG16:AG23)</f>
        <v>7400</v>
      </c>
      <c r="AH24" s="69">
        <f>SUM(AH4:AH23)</f>
        <v>93801.34</v>
      </c>
      <c r="AI24" s="70">
        <f>SUM(AI4:AI23)</f>
        <v>44741.7790925999</v>
      </c>
      <c r="AJ24" s="70">
        <f>SUM(AJ16:AJ23)</f>
        <v>5000</v>
      </c>
      <c r="AK24" s="69">
        <f>SUM(AK4:AK23)</f>
        <v>92207.15</v>
      </c>
      <c r="AL24" s="70">
        <f>SUM(AL4:AL23)</f>
        <v>42848.2910459184</v>
      </c>
      <c r="AM24" s="70">
        <f>SUM(AM16:AM19)</f>
        <v>15200</v>
      </c>
      <c r="AN24" s="88">
        <f>SUM(AN4:AN23)</f>
        <v>261032.08</v>
      </c>
      <c r="AO24" s="88">
        <f>SUM(AO4:AO23)</f>
        <v>99600</v>
      </c>
      <c r="AP24" s="72">
        <f>SUM(AP4:AP23)</f>
        <v>1912834.01814179</v>
      </c>
      <c r="AQ24" s="73"/>
      <c r="AR24" s="74">
        <f>SUM(AR4:AR21)</f>
        <v>153823.92916221</v>
      </c>
      <c r="AS24" s="47">
        <f>SUM(AS4:AS23)</f>
        <v>168</v>
      </c>
      <c r="AT24" s="48">
        <f>SUM(AT5:AT23)</f>
        <v>22423</v>
      </c>
    </row>
    <row r="25" s="2" customFormat="1" ht="18" customHeight="1" spans="1:46">
      <c r="A25" s="75" t="s">
        <v>52</v>
      </c>
      <c r="B25" s="75"/>
      <c r="C25" s="75"/>
      <c r="D25" s="76">
        <f>SUM(D24:D24)</f>
        <v>86468.58</v>
      </c>
      <c r="E25" s="76"/>
      <c r="F25" s="76"/>
      <c r="G25" s="76">
        <f>SUM(G24:G24)</f>
        <v>87447.86</v>
      </c>
      <c r="H25" s="76"/>
      <c r="I25" s="76"/>
      <c r="J25" s="76">
        <f>SUM(J24:J24)</f>
        <v>88755.49</v>
      </c>
      <c r="K25" s="76"/>
      <c r="L25" s="76"/>
      <c r="M25" s="76">
        <f>SUM(M24:M24)</f>
        <v>89277.28</v>
      </c>
      <c r="N25" s="76"/>
      <c r="O25" s="76"/>
      <c r="P25" s="76">
        <f>SUM(P24:P24)</f>
        <v>89068.93</v>
      </c>
      <c r="Q25" s="76"/>
      <c r="R25" s="76"/>
      <c r="S25" s="76">
        <f>SUM(S24:S24)</f>
        <v>96417.98</v>
      </c>
      <c r="T25" s="76"/>
      <c r="U25" s="76"/>
      <c r="V25" s="76">
        <f>SUM(V24:V24)</f>
        <v>93897.39</v>
      </c>
      <c r="W25" s="76"/>
      <c r="X25" s="76"/>
      <c r="Y25" s="76">
        <f>SUM(Y24:Y24)</f>
        <v>93626.28</v>
      </c>
      <c r="Z25" s="76"/>
      <c r="AA25" s="76"/>
      <c r="AB25" s="76">
        <f>SUM(AB24:AB24)</f>
        <v>94646.91</v>
      </c>
      <c r="AC25" s="76"/>
      <c r="AD25" s="76"/>
      <c r="AE25" s="76">
        <f>SUM(AE24:AE24)</f>
        <v>94753.25</v>
      </c>
      <c r="AF25" s="76"/>
      <c r="AG25" s="76"/>
      <c r="AH25" s="76">
        <f>SUM(AH24:AH24)</f>
        <v>93801.34</v>
      </c>
      <c r="AI25" s="76"/>
      <c r="AJ25" s="76"/>
      <c r="AK25" s="76">
        <f>SUM(AK24:AK24)</f>
        <v>92207.15</v>
      </c>
      <c r="AL25" s="76"/>
      <c r="AM25" s="76"/>
      <c r="AN25" s="76">
        <f>SUM(AN24:AN24)</f>
        <v>261032.08</v>
      </c>
      <c r="AO25" s="76">
        <f>SUM(AO4:AO21)</f>
        <v>92300</v>
      </c>
      <c r="AP25" s="76">
        <f>SUM(D25:AO25)</f>
        <v>1453700.52</v>
      </c>
      <c r="AQ25" s="77"/>
      <c r="AR25" s="78"/>
      <c r="AS25" s="78"/>
      <c r="AT25" s="78"/>
    </row>
    <row r="26" spans="1:46">
      <c r="A26" s="75" t="s">
        <v>53</v>
      </c>
      <c r="B26" s="75"/>
      <c r="C26" s="75"/>
      <c r="D26" s="79"/>
      <c r="E26" s="80">
        <f>SUM(E5:E8)</f>
        <v>16336.5374145913</v>
      </c>
      <c r="F26" s="80">
        <f>SUM(F5:F8)</f>
        <v>0</v>
      </c>
      <c r="G26" s="79"/>
      <c r="H26" s="80">
        <f>SUM(H5:H8)</f>
        <v>14109.7950761565</v>
      </c>
      <c r="I26" s="80">
        <f>SUM(I5:I8)</f>
        <v>0</v>
      </c>
      <c r="J26" s="79"/>
      <c r="K26" s="80">
        <f>SUM(K5:K8)</f>
        <v>28281.1361672489</v>
      </c>
      <c r="L26" s="80">
        <f>SUM(L5:L8)</f>
        <v>0</v>
      </c>
      <c r="M26" s="79"/>
      <c r="N26" s="80">
        <f>SUM(N5:N8)</f>
        <v>30245.4593920986</v>
      </c>
      <c r="O26" s="80">
        <f>SUM(O5:O8)</f>
        <v>0</v>
      </c>
      <c r="P26" s="79"/>
      <c r="Q26" s="80">
        <f>SUM(Q5:Q8)</f>
        <v>16492.1433517114</v>
      </c>
      <c r="R26" s="80">
        <f>SUM(R5:R8)</f>
        <v>0</v>
      </c>
      <c r="S26" s="79"/>
      <c r="T26" s="80">
        <f>SUM(T5:T8)</f>
        <v>25548.8844010381</v>
      </c>
      <c r="U26" s="80">
        <f>SUM(U5:U8)</f>
        <v>0</v>
      </c>
      <c r="V26" s="79"/>
      <c r="W26" s="80">
        <f>SUM(W5:W8)</f>
        <v>14485.9644152649</v>
      </c>
      <c r="X26" s="80">
        <f>SUM(X5:X8)</f>
        <v>0</v>
      </c>
      <c r="Y26" s="79"/>
      <c r="Z26" s="80">
        <f>SUM(Z5:Z8)</f>
        <v>19716.7036664958</v>
      </c>
      <c r="AA26" s="80">
        <f>SUM(AA5:AA8)</f>
        <v>0</v>
      </c>
      <c r="AB26" s="79"/>
      <c r="AC26" s="80">
        <f>SUM(AC5:AC8)</f>
        <v>27234.3647804806</v>
      </c>
      <c r="AD26" s="80">
        <f>SUM(AD5:AD8)</f>
        <v>0</v>
      </c>
      <c r="AE26" s="79"/>
      <c r="AF26" s="80">
        <f>SUM(AF5:AF9)</f>
        <v>44913.0393381875</v>
      </c>
      <c r="AG26" s="80">
        <f>SUM(AG5:AG8)</f>
        <v>0</v>
      </c>
      <c r="AH26" s="79"/>
      <c r="AI26" s="80">
        <f>SUM(AI5:AI9)</f>
        <v>39316.2790925999</v>
      </c>
      <c r="AJ26" s="80">
        <f>SUM(AJ5:AJ8)</f>
        <v>0</v>
      </c>
      <c r="AK26" s="79"/>
      <c r="AL26" s="80">
        <f>SUM(AL5:AL10)</f>
        <v>35584.9910459184</v>
      </c>
      <c r="AM26" s="80">
        <f>SUM(AM5:AM8)</f>
        <v>0</v>
      </c>
      <c r="AN26" s="80"/>
      <c r="AO26" s="80"/>
      <c r="AP26" s="76">
        <f>SUM(D26:AO26)</f>
        <v>312265.298141792</v>
      </c>
      <c r="AS26" s="1"/>
      <c r="AT26" s="1"/>
    </row>
    <row r="27" spans="1:46">
      <c r="A27" s="75" t="s">
        <v>89</v>
      </c>
      <c r="B27" s="75"/>
      <c r="C27" s="75"/>
      <c r="D27" s="79"/>
      <c r="E27" s="80">
        <f>SUM(E11:E15)</f>
        <v>1258.2</v>
      </c>
      <c r="F27" s="80"/>
      <c r="G27" s="79"/>
      <c r="H27" s="80">
        <f>SUM(H11:H15)</f>
        <v>1344.3</v>
      </c>
      <c r="I27" s="80"/>
      <c r="J27" s="79"/>
      <c r="K27" s="80">
        <f>SUM(K11:K15)</f>
        <v>5531.7</v>
      </c>
      <c r="L27" s="80"/>
      <c r="M27" s="79"/>
      <c r="N27" s="80">
        <f>SUM(N11:N15)</f>
        <v>7928.1</v>
      </c>
      <c r="O27" s="80"/>
      <c r="P27" s="79"/>
      <c r="Q27" s="80">
        <f>SUM(Q11:Q15)</f>
        <v>3768.9</v>
      </c>
      <c r="R27" s="80"/>
      <c r="S27" s="79"/>
      <c r="T27" s="80">
        <f>SUM(T11:T15)</f>
        <v>4846.5</v>
      </c>
      <c r="U27" s="80"/>
      <c r="V27" s="79"/>
      <c r="W27" s="80">
        <f>SUM(W11:W15)</f>
        <v>5351.1</v>
      </c>
      <c r="X27" s="80"/>
      <c r="Y27" s="79"/>
      <c r="Z27" s="80">
        <f>SUM(Z11:Z15)</f>
        <v>4021.8</v>
      </c>
      <c r="AA27" s="80"/>
      <c r="AB27" s="79"/>
      <c r="AC27" s="80">
        <f>SUM(AC11:AC15)</f>
        <v>5840.7</v>
      </c>
      <c r="AD27" s="80"/>
      <c r="AE27" s="79"/>
      <c r="AF27" s="80">
        <f>SUM(AF11:AF15)</f>
        <v>8408.1</v>
      </c>
      <c r="AG27" s="80"/>
      <c r="AH27" s="79"/>
      <c r="AI27" s="80">
        <f>SUM(AI11:AI15)</f>
        <v>5425.5</v>
      </c>
      <c r="AJ27" s="80"/>
      <c r="AK27" s="79"/>
      <c r="AL27" s="80">
        <f>SUM(AL11:AL15)</f>
        <v>7263.3</v>
      </c>
      <c r="AM27" s="80"/>
      <c r="AN27" s="80"/>
      <c r="AO27" s="80"/>
      <c r="AP27" s="76">
        <f>SUM(D27:AO27)</f>
        <v>60988.2</v>
      </c>
      <c r="AS27" s="1"/>
      <c r="AT27" s="1"/>
    </row>
    <row r="28" spans="1:46">
      <c r="A28" s="75" t="s">
        <v>90</v>
      </c>
      <c r="B28" s="75"/>
      <c r="C28" s="75"/>
      <c r="D28" s="79"/>
      <c r="E28" s="80"/>
      <c r="F28" s="80">
        <f>SUM(F16:F19)</f>
        <v>7800</v>
      </c>
      <c r="G28" s="79"/>
      <c r="H28" s="80"/>
      <c r="I28" s="80">
        <f>SUM(I16:I19)</f>
        <v>0</v>
      </c>
      <c r="J28" s="79"/>
      <c r="K28" s="80"/>
      <c r="L28" s="80">
        <f>SUM(L16:L19)</f>
        <v>6400</v>
      </c>
      <c r="M28" s="79"/>
      <c r="N28" s="80"/>
      <c r="O28" s="80">
        <f>SUM(O16:O19)</f>
        <v>9200</v>
      </c>
      <c r="P28" s="79"/>
      <c r="Q28" s="80"/>
      <c r="R28" s="80">
        <f>SUM(R16:R19)</f>
        <v>3800</v>
      </c>
      <c r="S28" s="79"/>
      <c r="T28" s="80"/>
      <c r="U28" s="80">
        <f>SUM(U16:U19)</f>
        <v>6200</v>
      </c>
      <c r="V28" s="79"/>
      <c r="W28" s="80"/>
      <c r="X28" s="80">
        <f>SUM(X16:X19)</f>
        <v>4200</v>
      </c>
      <c r="Y28" s="79"/>
      <c r="Z28" s="80"/>
      <c r="AA28" s="80">
        <f>SUM(AA16:AA19)</f>
        <v>4480</v>
      </c>
      <c r="AB28" s="79"/>
      <c r="AC28" s="80"/>
      <c r="AD28" s="80">
        <f>SUM(AD16:AD19)</f>
        <v>8900</v>
      </c>
      <c r="AE28" s="79"/>
      <c r="AF28" s="80"/>
      <c r="AG28" s="80">
        <f>SUM(AG16:AG19)</f>
        <v>7400</v>
      </c>
      <c r="AH28" s="79"/>
      <c r="AI28" s="80"/>
      <c r="AJ28" s="80">
        <f>SUM(AJ16:AJ19)</f>
        <v>5000</v>
      </c>
      <c r="AK28" s="79"/>
      <c r="AL28" s="80"/>
      <c r="AM28" s="80">
        <f>SUM(AM16:AM19)</f>
        <v>15200</v>
      </c>
      <c r="AN28" s="80"/>
      <c r="AO28" s="80"/>
      <c r="AP28" s="76">
        <f>SUM(D28:AO28)</f>
        <v>78580</v>
      </c>
      <c r="AS28" s="1"/>
      <c r="AT28" s="1"/>
    </row>
    <row r="29" spans="1:46">
      <c r="S29" s="78"/>
      <c r="AS29" s="81"/>
      <c r="AT29" s="81"/>
    </row>
    <row r="30" spans="1:46">
      <c r="S30" s="1"/>
      <c r="T30" s="10"/>
      <c r="U30" s="10"/>
    </row>
    <row r="31" spans="1:46">
      <c r="S31" s="78"/>
    </row>
    <row r="33" spans="19:19">
      <c r="S33" s="78"/>
    </row>
    <row r="35" spans="19:19">
      <c r="S35" s="78"/>
    </row>
    <row r="37" spans="19:19">
      <c r="S37" s="78"/>
    </row>
    <row r="39" spans="19:19">
      <c r="S39" s="78"/>
    </row>
    <row r="41" spans="19:19">
      <c r="S41" s="78"/>
    </row>
    <row r="43" spans="19:19">
      <c r="S43" s="78"/>
    </row>
    <row r="45" spans="19:19">
      <c r="S45" s="78"/>
    </row>
  </sheetData>
  <mergeCells count="27">
    <mergeCell ref="A1:AR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S2:AT2"/>
    <mergeCell ref="A24:B24"/>
    <mergeCell ref="A25:C25"/>
    <mergeCell ref="A26:C26"/>
    <mergeCell ref="A27:C27"/>
    <mergeCell ref="A28:C28"/>
    <mergeCell ref="A2:A3"/>
    <mergeCell ref="B2:B3"/>
    <mergeCell ref="C2:C3"/>
    <mergeCell ref="AN2:AN3"/>
    <mergeCell ref="AO2:AO3"/>
    <mergeCell ref="AP2:AP3"/>
    <mergeCell ref="AQ2:AQ3"/>
    <mergeCell ref="AR2:AR3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AT44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K14" sqref="K14"/>
    </sheetView>
  </sheetViews>
  <sheetFormatPr defaultColWidth="9" defaultRowHeight="14.25"/>
  <cols>
    <col min="1" max="1" width="4.625" style="1" customWidth="1"/>
    <col min="2" max="2" width="7.875" style="1" customWidth="1"/>
    <col min="3" max="3" width="5.5" style="4" customWidth="1"/>
    <col min="4" max="4" width="12" style="1" customWidth="1"/>
    <col min="5" max="6" width="12" style="5" customWidth="1"/>
    <col min="7" max="7" width="12" style="1" customWidth="1"/>
    <col min="8" max="9" width="12" style="5" customWidth="1"/>
    <col min="10" max="10" width="12" style="1" customWidth="1"/>
    <col min="11" max="12" width="11" style="5" customWidth="1"/>
    <col min="13" max="13" width="12" style="1" customWidth="1"/>
    <col min="14" max="15" width="11" style="6" customWidth="1"/>
    <col min="16" max="16" width="12" style="1" customWidth="1"/>
    <col min="17" max="18" width="11" style="7" customWidth="1"/>
    <col min="19" max="19" width="12" style="8" customWidth="1"/>
    <col min="20" max="21" width="11" style="9" customWidth="1"/>
    <col min="22" max="22" width="12" style="1" customWidth="1"/>
    <col min="23" max="24" width="11" style="10" customWidth="1"/>
    <col min="25" max="25" width="12" style="1" customWidth="1"/>
    <col min="26" max="27" width="11" style="5" customWidth="1"/>
    <col min="28" max="28" width="12" style="1" customWidth="1"/>
    <col min="29" max="29" width="11" style="5" customWidth="1"/>
    <col min="30" max="30" width="12" style="5" customWidth="1"/>
    <col min="31" max="31" width="12" style="1" customWidth="1"/>
    <col min="32" max="33" width="12" style="5" customWidth="1"/>
    <col min="34" max="34" width="12" style="4" customWidth="1"/>
    <col min="35" max="36" width="12" style="11" customWidth="1"/>
    <col min="37" max="37" width="13.375" style="4" customWidth="1"/>
    <col min="38" max="39" width="10.375" style="12" customWidth="1"/>
    <col min="40" max="40" width="12.875" style="4" customWidth="1"/>
    <col min="41" max="41" width="12" style="12" customWidth="1"/>
    <col min="42" max="42" width="16.25" style="4" customWidth="1"/>
    <col min="43" max="43" width="10" style="8" customWidth="1"/>
    <col min="44" max="44" width="15.625" style="1" customWidth="1"/>
    <col min="45" max="46" width="9" style="8"/>
    <col min="47" max="16384" width="9" style="1"/>
  </cols>
  <sheetData>
    <row r="1" s="1" customFormat="1" ht="28" customHeight="1" spans="1:46">
      <c r="A1" s="13" t="s">
        <v>94</v>
      </c>
      <c r="B1" s="13"/>
      <c r="C1" s="13"/>
      <c r="D1" s="13"/>
      <c r="E1" s="14"/>
      <c r="F1" s="14"/>
      <c r="G1" s="13"/>
      <c r="H1" s="14"/>
      <c r="I1" s="14"/>
      <c r="J1" s="13"/>
      <c r="K1" s="14"/>
      <c r="L1" s="14"/>
      <c r="M1" s="13"/>
      <c r="N1" s="14"/>
      <c r="O1" s="14"/>
      <c r="P1" s="13"/>
      <c r="Q1" s="15"/>
      <c r="R1" s="15"/>
      <c r="S1" s="13"/>
      <c r="T1" s="16"/>
      <c r="U1" s="16"/>
      <c r="V1" s="13"/>
      <c r="W1" s="14"/>
      <c r="X1" s="14"/>
      <c r="Y1" s="13"/>
      <c r="Z1" s="14"/>
      <c r="AA1" s="14"/>
      <c r="AB1" s="13"/>
      <c r="AC1" s="14"/>
      <c r="AD1" s="14"/>
      <c r="AE1" s="13"/>
      <c r="AF1" s="14"/>
      <c r="AG1" s="14"/>
      <c r="AH1" s="13"/>
      <c r="AI1" s="14"/>
      <c r="AJ1" s="14"/>
      <c r="AK1" s="13"/>
      <c r="AL1" s="14"/>
      <c r="AM1" s="14"/>
      <c r="AN1" s="13"/>
      <c r="AO1" s="14"/>
      <c r="AP1" s="13"/>
      <c r="AQ1" s="13"/>
      <c r="AR1" s="13"/>
      <c r="AS1" s="8"/>
      <c r="AT1" s="8"/>
    </row>
    <row r="2" s="1" customFormat="1" ht="28" customHeight="1" spans="1:46">
      <c r="A2" s="17" t="s">
        <v>56</v>
      </c>
      <c r="B2" s="18" t="s">
        <v>2</v>
      </c>
      <c r="C2" s="18" t="s">
        <v>3</v>
      </c>
      <c r="D2" s="19" t="s">
        <v>4</v>
      </c>
      <c r="E2" s="20"/>
      <c r="F2" s="21"/>
      <c r="G2" s="19" t="s">
        <v>5</v>
      </c>
      <c r="H2" s="20"/>
      <c r="I2" s="21"/>
      <c r="J2" s="19" t="s">
        <v>6</v>
      </c>
      <c r="K2" s="20"/>
      <c r="L2" s="21"/>
      <c r="M2" s="19" t="s">
        <v>7</v>
      </c>
      <c r="N2" s="20"/>
      <c r="O2" s="21"/>
      <c r="P2" s="19" t="s">
        <v>8</v>
      </c>
      <c r="Q2" s="20"/>
      <c r="R2" s="21"/>
      <c r="S2" s="19" t="s">
        <v>9</v>
      </c>
      <c r="T2" s="20"/>
      <c r="U2" s="21"/>
      <c r="V2" s="19" t="s">
        <v>10</v>
      </c>
      <c r="W2" s="20"/>
      <c r="X2" s="21"/>
      <c r="Y2" s="19" t="s">
        <v>11</v>
      </c>
      <c r="Z2" s="20"/>
      <c r="AA2" s="21"/>
      <c r="AB2" s="19" t="s">
        <v>12</v>
      </c>
      <c r="AC2" s="20"/>
      <c r="AD2" s="21"/>
      <c r="AE2" s="19" t="s">
        <v>13</v>
      </c>
      <c r="AF2" s="20"/>
      <c r="AG2" s="21"/>
      <c r="AH2" s="19" t="s">
        <v>14</v>
      </c>
      <c r="AI2" s="20"/>
      <c r="AJ2" s="21"/>
      <c r="AK2" s="19" t="s">
        <v>15</v>
      </c>
      <c r="AL2" s="20"/>
      <c r="AM2" s="21"/>
      <c r="AN2" s="22" t="s">
        <v>16</v>
      </c>
      <c r="AO2" s="23" t="s">
        <v>17</v>
      </c>
      <c r="AP2" s="24" t="s">
        <v>18</v>
      </c>
      <c r="AQ2" s="25" t="s">
        <v>19</v>
      </c>
      <c r="AR2" s="26" t="s">
        <v>20</v>
      </c>
      <c r="AS2" s="27" t="s">
        <v>21</v>
      </c>
      <c r="AT2" s="28"/>
    </row>
    <row r="3" s="2" customFormat="1" ht="26" customHeight="1" spans="1:46">
      <c r="A3" s="29"/>
      <c r="B3" s="18"/>
      <c r="C3" s="18"/>
      <c r="D3" s="30" t="s">
        <v>22</v>
      </c>
      <c r="E3" s="31" t="s">
        <v>71</v>
      </c>
      <c r="F3" s="31" t="s">
        <v>72</v>
      </c>
      <c r="G3" s="30" t="s">
        <v>22</v>
      </c>
      <c r="H3" s="31" t="s">
        <v>71</v>
      </c>
      <c r="I3" s="31" t="s">
        <v>72</v>
      </c>
      <c r="J3" s="30" t="s">
        <v>22</v>
      </c>
      <c r="K3" s="31" t="s">
        <v>71</v>
      </c>
      <c r="L3" s="31" t="s">
        <v>72</v>
      </c>
      <c r="M3" s="30" t="s">
        <v>22</v>
      </c>
      <c r="N3" s="31" t="s">
        <v>71</v>
      </c>
      <c r="O3" s="31" t="s">
        <v>72</v>
      </c>
      <c r="P3" s="30" t="s">
        <v>22</v>
      </c>
      <c r="Q3" s="31" t="s">
        <v>71</v>
      </c>
      <c r="R3" s="31" t="s">
        <v>72</v>
      </c>
      <c r="S3" s="30" t="s">
        <v>22</v>
      </c>
      <c r="T3" s="31" t="s">
        <v>71</v>
      </c>
      <c r="U3" s="31" t="s">
        <v>72</v>
      </c>
      <c r="V3" s="30" t="s">
        <v>22</v>
      </c>
      <c r="W3" s="31" t="s">
        <v>71</v>
      </c>
      <c r="X3" s="31" t="s">
        <v>72</v>
      </c>
      <c r="Y3" s="30" t="s">
        <v>22</v>
      </c>
      <c r="Z3" s="31" t="s">
        <v>71</v>
      </c>
      <c r="AA3" s="31" t="s">
        <v>72</v>
      </c>
      <c r="AB3" s="30" t="s">
        <v>22</v>
      </c>
      <c r="AC3" s="31" t="s">
        <v>71</v>
      </c>
      <c r="AD3" s="31" t="s">
        <v>72</v>
      </c>
      <c r="AE3" s="30" t="s">
        <v>22</v>
      </c>
      <c r="AF3" s="31" t="s">
        <v>71</v>
      </c>
      <c r="AG3" s="31" t="s">
        <v>72</v>
      </c>
      <c r="AH3" s="30" t="s">
        <v>22</v>
      </c>
      <c r="AI3" s="31" t="s">
        <v>71</v>
      </c>
      <c r="AJ3" s="31" t="s">
        <v>72</v>
      </c>
      <c r="AK3" s="30" t="s">
        <v>22</v>
      </c>
      <c r="AL3" s="31" t="s">
        <v>71</v>
      </c>
      <c r="AM3" s="31" t="s">
        <v>72</v>
      </c>
      <c r="AN3" s="32"/>
      <c r="AO3" s="33"/>
      <c r="AP3" s="24"/>
      <c r="AQ3" s="34"/>
      <c r="AR3" s="26"/>
      <c r="AS3" s="26" t="s">
        <v>24</v>
      </c>
      <c r="AT3" s="26" t="s">
        <v>25</v>
      </c>
    </row>
    <row r="4" s="3" customFormat="1" ht="20" customHeight="1" spans="1:46">
      <c r="A4" s="35">
        <v>1</v>
      </c>
      <c r="B4" s="36" t="s">
        <v>43</v>
      </c>
      <c r="C4" s="36" t="s">
        <v>44</v>
      </c>
      <c r="D4" s="37">
        <v>4923.52</v>
      </c>
      <c r="E4" s="38"/>
      <c r="F4" s="38"/>
      <c r="G4" s="37">
        <v>4923.52</v>
      </c>
      <c r="H4" s="39"/>
      <c r="I4" s="39"/>
      <c r="J4" s="40"/>
      <c r="K4" s="38"/>
      <c r="L4" s="38"/>
      <c r="M4" s="37"/>
      <c r="N4" s="41"/>
      <c r="O4" s="41"/>
      <c r="P4" s="37"/>
      <c r="Q4" s="42"/>
      <c r="R4" s="43"/>
      <c r="S4" s="44"/>
      <c r="T4" s="38"/>
      <c r="U4" s="38"/>
      <c r="V4" s="45"/>
      <c r="W4" s="38"/>
      <c r="X4" s="38"/>
      <c r="Y4" s="45"/>
      <c r="Z4" s="41"/>
      <c r="AA4" s="41"/>
      <c r="AB4" s="45"/>
      <c r="AC4" s="38"/>
      <c r="AD4" s="41"/>
      <c r="AE4" s="45"/>
      <c r="AF4" s="41"/>
      <c r="AG4" s="41"/>
      <c r="AH4" s="45"/>
      <c r="AI4" s="41"/>
      <c r="AJ4" s="41"/>
      <c r="AK4" s="45"/>
      <c r="AL4" s="38"/>
      <c r="AM4" s="38"/>
      <c r="AN4" s="37"/>
      <c r="AO4" s="38"/>
      <c r="AP4" s="37">
        <f t="shared" ref="AP4:AP10" si="0">SUM(D4:AO4)</f>
        <v>9847.04</v>
      </c>
      <c r="AQ4" s="46">
        <v>12</v>
      </c>
      <c r="AR4" s="37">
        <f t="shared" ref="AR4:AR10" si="1">SUM(AP4/AQ4)</f>
        <v>820.586666666667</v>
      </c>
      <c r="AS4" s="47"/>
      <c r="AT4" s="48"/>
    </row>
    <row r="5" s="3" customFormat="1" ht="20" customHeight="1" spans="1:46">
      <c r="A5" s="49">
        <v>2</v>
      </c>
      <c r="B5" s="50" t="s">
        <v>26</v>
      </c>
      <c r="C5" s="50" t="s">
        <v>27</v>
      </c>
      <c r="D5" s="37">
        <v>5211.81</v>
      </c>
      <c r="E5" s="38"/>
      <c r="F5" s="51"/>
      <c r="G5" s="37">
        <v>4563.92</v>
      </c>
      <c r="H5" s="38"/>
      <c r="I5" s="52"/>
      <c r="J5" s="53"/>
      <c r="K5" s="38"/>
      <c r="L5" s="51"/>
      <c r="M5" s="37"/>
      <c r="N5" s="38"/>
      <c r="O5" s="54"/>
      <c r="P5" s="37"/>
      <c r="Q5" s="42"/>
      <c r="R5" s="55"/>
      <c r="S5" s="44"/>
      <c r="T5" s="38"/>
      <c r="U5" s="51"/>
      <c r="V5" s="45"/>
      <c r="W5" s="38"/>
      <c r="X5" s="51"/>
      <c r="Y5" s="45"/>
      <c r="Z5" s="38"/>
      <c r="AA5" s="51"/>
      <c r="AB5" s="45"/>
      <c r="AC5" s="38"/>
      <c r="AD5" s="51"/>
      <c r="AE5" s="45"/>
      <c r="AF5" s="41"/>
      <c r="AG5" s="51"/>
      <c r="AH5" s="45"/>
      <c r="AI5" s="41"/>
      <c r="AJ5" s="51"/>
      <c r="AK5" s="45"/>
      <c r="AL5" s="38"/>
      <c r="AM5" s="51"/>
      <c r="AN5" s="37"/>
      <c r="AO5" s="38"/>
      <c r="AP5" s="37">
        <f t="shared" si="0"/>
        <v>9775.73</v>
      </c>
      <c r="AQ5" s="46">
        <v>12</v>
      </c>
      <c r="AR5" s="37">
        <f t="shared" si="1"/>
        <v>814.644166666667</v>
      </c>
      <c r="AS5" s="47"/>
      <c r="AT5" s="48"/>
    </row>
    <row r="6" s="3" customFormat="1" ht="20" customHeight="1" spans="1:46">
      <c r="A6" s="35">
        <v>3</v>
      </c>
      <c r="B6" s="56" t="s">
        <v>29</v>
      </c>
      <c r="C6" s="50" t="s">
        <v>27</v>
      </c>
      <c r="D6" s="37">
        <v>3455.05</v>
      </c>
      <c r="E6" s="38"/>
      <c r="F6" s="51"/>
      <c r="G6" s="37">
        <v>4224.91</v>
      </c>
      <c r="H6" s="38"/>
      <c r="I6" s="52"/>
      <c r="J6" s="57"/>
      <c r="K6" s="38"/>
      <c r="L6" s="51"/>
      <c r="M6" s="58"/>
      <c r="N6" s="38"/>
      <c r="O6" s="54"/>
      <c r="P6" s="37"/>
      <c r="Q6" s="59"/>
      <c r="R6" s="55"/>
      <c r="S6" s="44"/>
      <c r="T6" s="38"/>
      <c r="U6" s="51"/>
      <c r="V6" s="45"/>
      <c r="W6" s="38"/>
      <c r="X6" s="51"/>
      <c r="Y6" s="45"/>
      <c r="Z6" s="38"/>
      <c r="AA6" s="51"/>
      <c r="AB6" s="45"/>
      <c r="AC6" s="38"/>
      <c r="AD6" s="51"/>
      <c r="AE6" s="45"/>
      <c r="AF6" s="41"/>
      <c r="AG6" s="51"/>
      <c r="AH6" s="45"/>
      <c r="AI6" s="41"/>
      <c r="AJ6" s="51"/>
      <c r="AK6" s="45"/>
      <c r="AL6" s="38"/>
      <c r="AM6" s="51"/>
      <c r="AN6" s="37"/>
      <c r="AO6" s="38"/>
      <c r="AP6" s="37">
        <f t="shared" si="0"/>
        <v>7679.96</v>
      </c>
      <c r="AQ6" s="46">
        <v>12</v>
      </c>
      <c r="AR6" s="37">
        <f t="shared" si="1"/>
        <v>639.996666666667</v>
      </c>
      <c r="AS6" s="60"/>
      <c r="AT6" s="48"/>
    </row>
    <row r="7" s="3" customFormat="1" ht="20" customHeight="1" spans="1:46">
      <c r="A7" s="49">
        <v>4</v>
      </c>
      <c r="B7" s="56" t="s">
        <v>28</v>
      </c>
      <c r="C7" s="50" t="s">
        <v>27</v>
      </c>
      <c r="D7" s="37">
        <v>3794.03</v>
      </c>
      <c r="E7" s="38"/>
      <c r="F7" s="51"/>
      <c r="G7" s="37">
        <v>3622.38</v>
      </c>
      <c r="H7" s="41"/>
      <c r="I7" s="52"/>
      <c r="J7" s="57"/>
      <c r="K7" s="38"/>
      <c r="L7" s="51"/>
      <c r="M7" s="37"/>
      <c r="N7" s="38"/>
      <c r="O7" s="54"/>
      <c r="P7" s="37"/>
      <c r="Q7" s="59"/>
      <c r="R7" s="55"/>
      <c r="S7" s="44"/>
      <c r="T7" s="38"/>
      <c r="U7" s="51"/>
      <c r="V7" s="45"/>
      <c r="W7" s="38"/>
      <c r="X7" s="51"/>
      <c r="Y7" s="45"/>
      <c r="Z7" s="38"/>
      <c r="AA7" s="51"/>
      <c r="AB7" s="45"/>
      <c r="AC7" s="38"/>
      <c r="AD7" s="51"/>
      <c r="AE7" s="45"/>
      <c r="AF7" s="41"/>
      <c r="AG7" s="51"/>
      <c r="AH7" s="45"/>
      <c r="AI7" s="41"/>
      <c r="AJ7" s="51"/>
      <c r="AK7" s="45"/>
      <c r="AL7" s="38"/>
      <c r="AM7" s="51"/>
      <c r="AN7" s="37"/>
      <c r="AO7" s="38"/>
      <c r="AP7" s="37">
        <f t="shared" si="0"/>
        <v>7416.41</v>
      </c>
      <c r="AQ7" s="46">
        <v>12</v>
      </c>
      <c r="AR7" s="37">
        <f t="shared" si="1"/>
        <v>618.034166666667</v>
      </c>
      <c r="AS7" s="47"/>
      <c r="AT7" s="48"/>
    </row>
    <row r="8" s="3" customFormat="1" ht="20" customHeight="1" spans="1:46">
      <c r="A8" s="35">
        <v>5</v>
      </c>
      <c r="B8" s="36" t="s">
        <v>32</v>
      </c>
      <c r="C8" s="50" t="s">
        <v>27</v>
      </c>
      <c r="D8" s="37">
        <v>3729.52</v>
      </c>
      <c r="E8" s="38"/>
      <c r="F8" s="51"/>
      <c r="G8" s="37">
        <v>3652.73</v>
      </c>
      <c r="H8" s="38"/>
      <c r="I8" s="52"/>
      <c r="J8" s="40"/>
      <c r="K8" s="38"/>
      <c r="L8" s="51"/>
      <c r="M8" s="58"/>
      <c r="N8" s="38"/>
      <c r="O8" s="54"/>
      <c r="P8" s="37"/>
      <c r="Q8" s="42"/>
      <c r="R8" s="55"/>
      <c r="S8" s="44"/>
      <c r="T8" s="38"/>
      <c r="U8" s="51"/>
      <c r="V8" s="45"/>
      <c r="W8" s="38"/>
      <c r="X8" s="51"/>
      <c r="Y8" s="45"/>
      <c r="Z8" s="38"/>
      <c r="AA8" s="51"/>
      <c r="AB8" s="45"/>
      <c r="AC8" s="38"/>
      <c r="AD8" s="51"/>
      <c r="AE8" s="45"/>
      <c r="AF8" s="41"/>
      <c r="AG8" s="51"/>
      <c r="AH8" s="45"/>
      <c r="AI8" s="41"/>
      <c r="AJ8" s="51"/>
      <c r="AK8" s="45"/>
      <c r="AL8" s="38"/>
      <c r="AM8" s="51"/>
      <c r="AN8" s="37"/>
      <c r="AO8" s="38"/>
      <c r="AP8" s="37">
        <f t="shared" si="0"/>
        <v>7382.25</v>
      </c>
      <c r="AQ8" s="46">
        <v>12</v>
      </c>
      <c r="AR8" s="37">
        <f t="shared" si="1"/>
        <v>615.1875</v>
      </c>
      <c r="AS8" s="47"/>
      <c r="AT8" s="48"/>
    </row>
    <row r="9" s="3" customFormat="1" ht="20" customHeight="1" spans="1:46">
      <c r="A9" s="49">
        <v>6</v>
      </c>
      <c r="B9" s="36" t="s">
        <v>92</v>
      </c>
      <c r="C9" s="61" t="s">
        <v>27</v>
      </c>
      <c r="D9" s="37">
        <v>4348.87</v>
      </c>
      <c r="E9" s="41"/>
      <c r="F9" s="41"/>
      <c r="G9" s="37">
        <v>4429.52</v>
      </c>
      <c r="H9" s="41"/>
      <c r="I9" s="41"/>
      <c r="J9" s="40"/>
      <c r="K9" s="38"/>
      <c r="L9" s="38"/>
      <c r="M9" s="37"/>
      <c r="N9" s="41"/>
      <c r="O9" s="41"/>
      <c r="P9" s="37"/>
      <c r="Q9" s="42"/>
      <c r="R9" s="42"/>
      <c r="S9" s="45"/>
      <c r="T9" s="38"/>
      <c r="U9" s="38"/>
      <c r="V9" s="45"/>
      <c r="W9" s="38"/>
      <c r="X9" s="38"/>
      <c r="Y9" s="45"/>
      <c r="Z9" s="41"/>
      <c r="AA9" s="41"/>
      <c r="AB9" s="45"/>
      <c r="AC9" s="41"/>
      <c r="AD9" s="41"/>
      <c r="AE9" s="45"/>
      <c r="AF9" s="41"/>
      <c r="AG9" s="41"/>
      <c r="AH9" s="45"/>
      <c r="AI9" s="41"/>
      <c r="AJ9" s="41"/>
      <c r="AK9" s="45"/>
      <c r="AL9" s="38"/>
      <c r="AM9" s="38"/>
      <c r="AN9" s="37"/>
      <c r="AO9" s="38"/>
      <c r="AP9" s="37">
        <f t="shared" si="0"/>
        <v>8778.39</v>
      </c>
      <c r="AQ9" s="46">
        <v>12</v>
      </c>
      <c r="AR9" s="37">
        <f t="shared" si="1"/>
        <v>731.5325</v>
      </c>
      <c r="AS9" s="62"/>
      <c r="AT9" s="48"/>
    </row>
    <row r="10" s="3" customFormat="1" ht="20" customHeight="1" spans="1:46">
      <c r="A10" s="35">
        <v>7</v>
      </c>
      <c r="B10" s="36" t="s">
        <v>93</v>
      </c>
      <c r="C10" s="61" t="s">
        <v>27</v>
      </c>
      <c r="D10" s="37">
        <v>4429.52</v>
      </c>
      <c r="E10" s="41"/>
      <c r="F10" s="41"/>
      <c r="G10" s="37">
        <v>4429.52</v>
      </c>
      <c r="H10" s="41"/>
      <c r="I10" s="41"/>
      <c r="J10" s="40"/>
      <c r="K10" s="38"/>
      <c r="L10" s="38"/>
      <c r="M10" s="37"/>
      <c r="N10" s="41"/>
      <c r="O10" s="41"/>
      <c r="P10" s="37"/>
      <c r="Q10" s="42"/>
      <c r="R10" s="42"/>
      <c r="S10" s="45"/>
      <c r="T10" s="38"/>
      <c r="U10" s="38"/>
      <c r="V10" s="45"/>
      <c r="W10" s="38"/>
      <c r="X10" s="38"/>
      <c r="Y10" s="45"/>
      <c r="Z10" s="41"/>
      <c r="AA10" s="41"/>
      <c r="AB10" s="45"/>
      <c r="AC10" s="41"/>
      <c r="AD10" s="41"/>
      <c r="AE10" s="45"/>
      <c r="AF10" s="41"/>
      <c r="AG10" s="41"/>
      <c r="AH10" s="45"/>
      <c r="AI10" s="41"/>
      <c r="AJ10" s="41"/>
      <c r="AK10" s="45"/>
      <c r="AL10" s="38"/>
      <c r="AM10" s="38"/>
      <c r="AN10" s="37"/>
      <c r="AO10" s="38"/>
      <c r="AP10" s="37">
        <f t="shared" si="0"/>
        <v>8859.04</v>
      </c>
      <c r="AQ10" s="46">
        <v>12</v>
      </c>
      <c r="AR10" s="37">
        <f t="shared" si="1"/>
        <v>738.253333333333</v>
      </c>
      <c r="AS10" s="47"/>
      <c r="AT10" s="48"/>
    </row>
    <row r="11" s="3" customFormat="1" ht="20" customHeight="1" spans="1:46">
      <c r="A11" s="49">
        <v>8</v>
      </c>
      <c r="B11" s="36" t="s">
        <v>35</v>
      </c>
      <c r="C11" s="50" t="s">
        <v>36</v>
      </c>
      <c r="D11" s="37">
        <v>5025.52</v>
      </c>
      <c r="E11" s="38">
        <v>1458.24</v>
      </c>
      <c r="F11" s="38"/>
      <c r="G11" s="37">
        <v>5025.52</v>
      </c>
      <c r="H11" s="63">
        <v>379.56</v>
      </c>
      <c r="I11" s="39"/>
      <c r="J11" s="53"/>
      <c r="K11" s="38"/>
      <c r="L11" s="38"/>
      <c r="M11" s="37"/>
      <c r="N11" s="38"/>
      <c r="O11" s="41"/>
      <c r="P11" s="37"/>
      <c r="Q11" s="42"/>
      <c r="R11" s="43"/>
      <c r="S11" s="64"/>
      <c r="T11" s="38"/>
      <c r="U11" s="38"/>
      <c r="V11" s="45"/>
      <c r="W11" s="38"/>
      <c r="X11" s="38"/>
      <c r="Y11" s="45"/>
      <c r="Z11" s="63"/>
      <c r="AA11" s="38"/>
      <c r="AB11" s="45"/>
      <c r="AC11" s="38"/>
      <c r="AD11" s="41"/>
      <c r="AE11" s="45"/>
      <c r="AF11" s="63"/>
      <c r="AG11" s="38"/>
      <c r="AH11" s="45"/>
      <c r="AI11" s="63"/>
      <c r="AJ11" s="41"/>
      <c r="AK11" s="45"/>
      <c r="AL11" s="38"/>
      <c r="AM11" s="38"/>
      <c r="AN11" s="37"/>
      <c r="AO11" s="38"/>
      <c r="AP11" s="37">
        <f t="shared" ref="AP11:AP22" si="2">SUM(D11:AO11)</f>
        <v>11888.84</v>
      </c>
      <c r="AQ11" s="46">
        <v>12</v>
      </c>
      <c r="AR11" s="37">
        <f t="shared" ref="AR11:AR22" si="3">SUM(AP11/AQ11)</f>
        <v>990.736666666667</v>
      </c>
      <c r="AS11" s="47"/>
      <c r="AT11" s="48"/>
    </row>
    <row r="12" s="3" customFormat="1" ht="20" customHeight="1" spans="1:46">
      <c r="A12" s="35">
        <v>9</v>
      </c>
      <c r="B12" s="36" t="s">
        <v>41</v>
      </c>
      <c r="C12" s="50" t="s">
        <v>38</v>
      </c>
      <c r="D12" s="37">
        <v>5029.52</v>
      </c>
      <c r="E12" s="38">
        <v>1579.67</v>
      </c>
      <c r="F12" s="38"/>
      <c r="G12" s="37">
        <v>4829.52</v>
      </c>
      <c r="H12" s="63">
        <v>350.36</v>
      </c>
      <c r="I12" s="41"/>
      <c r="J12" s="40"/>
      <c r="K12" s="38"/>
      <c r="L12" s="38"/>
      <c r="M12" s="37"/>
      <c r="N12" s="38"/>
      <c r="O12" s="41"/>
      <c r="P12" s="37"/>
      <c r="Q12" s="42"/>
      <c r="R12" s="43"/>
      <c r="S12" s="44"/>
      <c r="T12" s="38"/>
      <c r="U12" s="38"/>
      <c r="V12" s="45"/>
      <c r="W12" s="38"/>
      <c r="X12" s="38"/>
      <c r="Y12" s="45"/>
      <c r="Z12" s="63"/>
      <c r="AA12" s="38"/>
      <c r="AB12" s="45"/>
      <c r="AC12" s="38"/>
      <c r="AD12" s="38"/>
      <c r="AE12" s="45"/>
      <c r="AF12" s="63"/>
      <c r="AG12" s="38"/>
      <c r="AH12" s="37"/>
      <c r="AI12" s="63"/>
      <c r="AJ12" s="41"/>
      <c r="AK12" s="45"/>
      <c r="AL12" s="38"/>
      <c r="AM12" s="38"/>
      <c r="AN12" s="37"/>
      <c r="AO12" s="38"/>
      <c r="AP12" s="37">
        <f t="shared" si="2"/>
        <v>11789.07</v>
      </c>
      <c r="AQ12" s="46">
        <v>12</v>
      </c>
      <c r="AR12" s="37">
        <f t="shared" si="3"/>
        <v>982.4225</v>
      </c>
      <c r="AS12" s="60"/>
      <c r="AT12" s="48"/>
    </row>
    <row r="13" s="3" customFormat="1" ht="20" customHeight="1" spans="1:46">
      <c r="A13" s="49">
        <v>10</v>
      </c>
      <c r="B13" s="56" t="s">
        <v>58</v>
      </c>
      <c r="C13" s="50" t="s">
        <v>38</v>
      </c>
      <c r="D13" s="37">
        <v>4729.52</v>
      </c>
      <c r="E13" s="38">
        <v>1579.67</v>
      </c>
      <c r="F13" s="41"/>
      <c r="G13" s="37">
        <v>4729.52</v>
      </c>
      <c r="H13" s="63">
        <v>379.56</v>
      </c>
      <c r="I13" s="41"/>
      <c r="J13" s="40"/>
      <c r="K13" s="38"/>
      <c r="L13" s="38"/>
      <c r="M13" s="37"/>
      <c r="N13" s="38"/>
      <c r="O13" s="38"/>
      <c r="P13" s="37"/>
      <c r="Q13" s="42"/>
      <c r="R13" s="42"/>
      <c r="S13" s="45"/>
      <c r="T13" s="38"/>
      <c r="U13" s="38"/>
      <c r="V13" s="45"/>
      <c r="W13" s="63"/>
      <c r="X13" s="38"/>
      <c r="Y13" s="45"/>
      <c r="Z13" s="63"/>
      <c r="AA13" s="41"/>
      <c r="AB13" s="45"/>
      <c r="AC13" s="38"/>
      <c r="AD13" s="41"/>
      <c r="AE13" s="45"/>
      <c r="AF13" s="63"/>
      <c r="AG13" s="41"/>
      <c r="AH13" s="45"/>
      <c r="AI13" s="63"/>
      <c r="AJ13" s="41"/>
      <c r="AK13" s="45"/>
      <c r="AL13" s="38"/>
      <c r="AM13" s="38"/>
      <c r="AN13" s="37"/>
      <c r="AO13" s="38"/>
      <c r="AP13" s="37">
        <f t="shared" si="2"/>
        <v>11418.27</v>
      </c>
      <c r="AQ13" s="46">
        <v>12</v>
      </c>
      <c r="AR13" s="37">
        <f t="shared" si="3"/>
        <v>951.5225</v>
      </c>
      <c r="AS13" s="47"/>
      <c r="AT13" s="48"/>
    </row>
    <row r="14" s="3" customFormat="1" ht="20" customHeight="1" spans="1:46">
      <c r="A14" s="35">
        <v>11</v>
      </c>
      <c r="B14" s="65" t="s">
        <v>81</v>
      </c>
      <c r="C14" s="50" t="s">
        <v>38</v>
      </c>
      <c r="D14" s="37">
        <v>4429.52</v>
      </c>
      <c r="E14" s="38">
        <v>1458.24</v>
      </c>
      <c r="F14" s="41"/>
      <c r="G14" s="37">
        <v>4429.52</v>
      </c>
      <c r="H14" s="63">
        <v>350.36</v>
      </c>
      <c r="I14" s="41"/>
      <c r="J14" s="57"/>
      <c r="K14" s="38"/>
      <c r="L14" s="38"/>
      <c r="M14" s="37"/>
      <c r="N14" s="38"/>
      <c r="O14" s="38"/>
      <c r="P14" s="37"/>
      <c r="Q14" s="59"/>
      <c r="R14" s="59"/>
      <c r="S14" s="45"/>
      <c r="T14" s="38"/>
      <c r="U14" s="38"/>
      <c r="V14" s="45"/>
      <c r="W14" s="63"/>
      <c r="X14" s="38"/>
      <c r="Y14" s="45"/>
      <c r="Z14" s="63"/>
      <c r="AA14" s="41"/>
      <c r="AB14" s="45"/>
      <c r="AC14" s="38"/>
      <c r="AD14" s="41"/>
      <c r="AE14" s="45"/>
      <c r="AF14" s="63"/>
      <c r="AG14" s="41"/>
      <c r="AH14" s="45"/>
      <c r="AI14" s="63"/>
      <c r="AJ14" s="41"/>
      <c r="AK14" s="45"/>
      <c r="AL14" s="38"/>
      <c r="AM14" s="38"/>
      <c r="AN14" s="37"/>
      <c r="AO14" s="38"/>
      <c r="AP14" s="37">
        <f t="shared" si="2"/>
        <v>10667.64</v>
      </c>
      <c r="AQ14" s="46">
        <v>12</v>
      </c>
      <c r="AR14" s="37">
        <f t="shared" si="3"/>
        <v>888.97</v>
      </c>
      <c r="AS14" s="47"/>
      <c r="AT14" s="48"/>
    </row>
    <row r="15" s="3" customFormat="1" ht="20" customHeight="1" spans="1:46">
      <c r="A15" s="49">
        <v>12</v>
      </c>
      <c r="B15" s="65" t="s">
        <v>82</v>
      </c>
      <c r="C15" s="50" t="s">
        <v>38</v>
      </c>
      <c r="D15" s="37">
        <v>4429.52</v>
      </c>
      <c r="E15" s="38">
        <v>1397.48</v>
      </c>
      <c r="F15" s="41"/>
      <c r="G15" s="37">
        <v>4250.95</v>
      </c>
      <c r="H15" s="63">
        <v>350.36</v>
      </c>
      <c r="I15" s="41"/>
      <c r="J15" s="57"/>
      <c r="K15" s="38"/>
      <c r="L15" s="38"/>
      <c r="M15" s="37"/>
      <c r="N15" s="38"/>
      <c r="O15" s="38"/>
      <c r="P15" s="37"/>
      <c r="Q15" s="59"/>
      <c r="R15" s="59"/>
      <c r="S15" s="45"/>
      <c r="T15" s="38"/>
      <c r="U15" s="38"/>
      <c r="V15" s="45"/>
      <c r="W15" s="63"/>
      <c r="X15" s="38"/>
      <c r="Y15" s="45"/>
      <c r="Z15" s="63"/>
      <c r="AA15" s="41"/>
      <c r="AB15" s="45"/>
      <c r="AC15" s="38"/>
      <c r="AD15" s="41"/>
      <c r="AE15" s="45"/>
      <c r="AF15" s="63"/>
      <c r="AG15" s="41"/>
      <c r="AH15" s="45"/>
      <c r="AI15" s="63"/>
      <c r="AJ15" s="41"/>
      <c r="AK15" s="45"/>
      <c r="AL15" s="38"/>
      <c r="AM15" s="38"/>
      <c r="AN15" s="37"/>
      <c r="AO15" s="38"/>
      <c r="AP15" s="37">
        <f t="shared" si="2"/>
        <v>10428.31</v>
      </c>
      <c r="AQ15" s="46">
        <v>12</v>
      </c>
      <c r="AR15" s="37">
        <f t="shared" si="3"/>
        <v>869.025833333333</v>
      </c>
      <c r="AS15" s="47"/>
      <c r="AT15" s="48"/>
    </row>
    <row r="16" s="3" customFormat="1" ht="20" customHeight="1" spans="1:46">
      <c r="A16" s="35">
        <v>13</v>
      </c>
      <c r="B16" s="65" t="s">
        <v>33</v>
      </c>
      <c r="C16" s="50" t="s">
        <v>73</v>
      </c>
      <c r="D16" s="37">
        <v>4725.52</v>
      </c>
      <c r="E16" s="38"/>
      <c r="F16" s="38">
        <v>1000</v>
      </c>
      <c r="G16" s="37">
        <v>4725.52</v>
      </c>
      <c r="H16" s="41"/>
      <c r="I16" s="38">
        <v>1050</v>
      </c>
      <c r="J16" s="57"/>
      <c r="K16" s="38"/>
      <c r="L16" s="38"/>
      <c r="M16" s="37"/>
      <c r="N16" s="41"/>
      <c r="O16" s="38"/>
      <c r="P16" s="37"/>
      <c r="Q16" s="42"/>
      <c r="R16" s="59"/>
      <c r="S16" s="45"/>
      <c r="T16" s="38"/>
      <c r="U16" s="59"/>
      <c r="V16" s="45"/>
      <c r="W16" s="63"/>
      <c r="X16" s="59"/>
      <c r="Y16" s="45"/>
      <c r="Z16" s="41"/>
      <c r="AA16" s="63"/>
      <c r="AB16" s="45"/>
      <c r="AC16" s="41"/>
      <c r="AD16" s="63"/>
      <c r="AE16" s="45"/>
      <c r="AF16" s="41"/>
      <c r="AG16" s="63"/>
      <c r="AH16" s="45"/>
      <c r="AI16" s="41"/>
      <c r="AJ16" s="63"/>
      <c r="AK16" s="45"/>
      <c r="AL16" s="38"/>
      <c r="AM16" s="38"/>
      <c r="AN16" s="37"/>
      <c r="AO16" s="38"/>
      <c r="AP16" s="37">
        <f t="shared" si="2"/>
        <v>11501.04</v>
      </c>
      <c r="AQ16" s="46">
        <v>12</v>
      </c>
      <c r="AR16" s="37">
        <f t="shared" si="3"/>
        <v>958.42</v>
      </c>
      <c r="AS16" s="47"/>
      <c r="AT16" s="48"/>
    </row>
    <row r="17" s="3" customFormat="1" ht="20" customHeight="1" spans="1:46">
      <c r="A17" s="49">
        <v>14</v>
      </c>
      <c r="B17" s="65" t="s">
        <v>74</v>
      </c>
      <c r="C17" s="66" t="s">
        <v>73</v>
      </c>
      <c r="D17" s="37">
        <v>5029.52</v>
      </c>
      <c r="E17" s="41"/>
      <c r="F17" s="38">
        <v>1000</v>
      </c>
      <c r="G17" s="37">
        <v>5029.52</v>
      </c>
      <c r="H17" s="41"/>
      <c r="I17" s="38">
        <v>1050</v>
      </c>
      <c r="J17" s="57"/>
      <c r="K17" s="38"/>
      <c r="L17" s="38"/>
      <c r="M17" s="37"/>
      <c r="N17" s="41"/>
      <c r="O17" s="38"/>
      <c r="P17" s="37"/>
      <c r="Q17" s="42"/>
      <c r="R17" s="59"/>
      <c r="S17" s="45"/>
      <c r="T17" s="38"/>
      <c r="U17" s="59"/>
      <c r="V17" s="45"/>
      <c r="W17" s="38"/>
      <c r="X17" s="59"/>
      <c r="Y17" s="45"/>
      <c r="Z17" s="41"/>
      <c r="AA17" s="63"/>
      <c r="AB17" s="45"/>
      <c r="AC17" s="41"/>
      <c r="AD17" s="63"/>
      <c r="AE17" s="45"/>
      <c r="AF17" s="41"/>
      <c r="AG17" s="63"/>
      <c r="AH17" s="45"/>
      <c r="AI17" s="41"/>
      <c r="AJ17" s="63"/>
      <c r="AK17" s="45"/>
      <c r="AL17" s="38"/>
      <c r="AM17" s="38"/>
      <c r="AN17" s="37"/>
      <c r="AO17" s="38"/>
      <c r="AP17" s="37">
        <f t="shared" si="2"/>
        <v>12109.04</v>
      </c>
      <c r="AQ17" s="46">
        <v>12</v>
      </c>
      <c r="AR17" s="37">
        <f t="shared" si="3"/>
        <v>1009.08666666667</v>
      </c>
      <c r="AS17" s="47"/>
      <c r="AT17" s="48"/>
    </row>
    <row r="18" s="3" customFormat="1" ht="20" customHeight="1" spans="1:46">
      <c r="A18" s="35">
        <v>15</v>
      </c>
      <c r="B18" s="36" t="s">
        <v>75</v>
      </c>
      <c r="C18" s="66" t="s">
        <v>73</v>
      </c>
      <c r="D18" s="37">
        <v>4429.52</v>
      </c>
      <c r="E18" s="41"/>
      <c r="F18" s="38">
        <v>1000</v>
      </c>
      <c r="G18" s="37">
        <v>4429.52</v>
      </c>
      <c r="H18" s="41"/>
      <c r="I18" s="38">
        <v>1050</v>
      </c>
      <c r="J18" s="57"/>
      <c r="K18" s="38"/>
      <c r="L18" s="38"/>
      <c r="M18" s="37"/>
      <c r="N18" s="41"/>
      <c r="O18" s="38"/>
      <c r="P18" s="37"/>
      <c r="Q18" s="42"/>
      <c r="R18" s="59"/>
      <c r="S18" s="44"/>
      <c r="T18" s="38"/>
      <c r="U18" s="59"/>
      <c r="V18" s="45"/>
      <c r="W18" s="38"/>
      <c r="X18" s="59"/>
      <c r="Y18" s="45"/>
      <c r="Z18" s="38"/>
      <c r="AA18" s="63"/>
      <c r="AB18" s="45"/>
      <c r="AC18" s="41"/>
      <c r="AD18" s="63"/>
      <c r="AE18" s="45"/>
      <c r="AF18" s="41"/>
      <c r="AG18" s="63"/>
      <c r="AH18" s="45"/>
      <c r="AI18" s="41"/>
      <c r="AJ18" s="63"/>
      <c r="AK18" s="45"/>
      <c r="AL18" s="38"/>
      <c r="AM18" s="38"/>
      <c r="AN18" s="37"/>
      <c r="AO18" s="38"/>
      <c r="AP18" s="37">
        <f t="shared" si="2"/>
        <v>10909.04</v>
      </c>
      <c r="AQ18" s="46">
        <v>12</v>
      </c>
      <c r="AR18" s="37">
        <f t="shared" si="3"/>
        <v>909.086666666667</v>
      </c>
      <c r="AS18" s="60"/>
      <c r="AT18" s="48"/>
    </row>
    <row r="19" s="3" customFormat="1" ht="20" customHeight="1" spans="1:46">
      <c r="A19" s="49">
        <v>16</v>
      </c>
      <c r="B19" s="36" t="s">
        <v>76</v>
      </c>
      <c r="C19" s="61" t="s">
        <v>77</v>
      </c>
      <c r="D19" s="37">
        <v>4915.41</v>
      </c>
      <c r="E19" s="41"/>
      <c r="F19" s="38">
        <v>1000</v>
      </c>
      <c r="G19" s="37">
        <v>5108.09</v>
      </c>
      <c r="H19" s="41"/>
      <c r="I19" s="38">
        <v>1050</v>
      </c>
      <c r="J19" s="45"/>
      <c r="K19" s="38"/>
      <c r="L19" s="38"/>
      <c r="M19" s="58"/>
      <c r="N19" s="41"/>
      <c r="O19" s="38"/>
      <c r="P19" s="37"/>
      <c r="Q19" s="42"/>
      <c r="R19" s="59"/>
      <c r="S19" s="44"/>
      <c r="T19" s="38"/>
      <c r="U19" s="59"/>
      <c r="V19" s="45"/>
      <c r="W19" s="38"/>
      <c r="X19" s="59"/>
      <c r="Y19" s="45"/>
      <c r="Z19" s="41"/>
      <c r="AA19" s="63"/>
      <c r="AB19" s="45"/>
      <c r="AC19" s="41"/>
      <c r="AD19" s="63"/>
      <c r="AE19" s="45"/>
      <c r="AF19" s="41"/>
      <c r="AG19" s="63"/>
      <c r="AH19" s="45"/>
      <c r="AI19" s="41"/>
      <c r="AJ19" s="63"/>
      <c r="AK19" s="45"/>
      <c r="AL19" s="38"/>
      <c r="AM19" s="38"/>
      <c r="AN19" s="37"/>
      <c r="AO19" s="38"/>
      <c r="AP19" s="37">
        <f t="shared" si="2"/>
        <v>12073.5</v>
      </c>
      <c r="AQ19" s="46">
        <v>12</v>
      </c>
      <c r="AR19" s="37">
        <f t="shared" si="3"/>
        <v>1006.125</v>
      </c>
      <c r="AS19" s="60"/>
      <c r="AT19" s="48"/>
    </row>
    <row r="20" s="3" customFormat="1" ht="20" customHeight="1" spans="1:46">
      <c r="A20" s="35">
        <v>17</v>
      </c>
      <c r="B20" s="36" t="s">
        <v>45</v>
      </c>
      <c r="C20" s="61" t="s">
        <v>46</v>
      </c>
      <c r="D20" s="37">
        <v>5725.52</v>
      </c>
      <c r="E20" s="41"/>
      <c r="F20" s="41"/>
      <c r="G20" s="37">
        <v>5725.52</v>
      </c>
      <c r="H20" s="41"/>
      <c r="I20" s="41"/>
      <c r="J20" s="40"/>
      <c r="K20" s="38"/>
      <c r="L20" s="38"/>
      <c r="M20" s="37"/>
      <c r="N20" s="41"/>
      <c r="O20" s="41"/>
      <c r="P20" s="37"/>
      <c r="Q20" s="42"/>
      <c r="R20" s="42"/>
      <c r="S20" s="45"/>
      <c r="T20" s="38"/>
      <c r="U20" s="38"/>
      <c r="V20" s="45"/>
      <c r="W20" s="38"/>
      <c r="X20" s="38"/>
      <c r="Y20" s="45"/>
      <c r="Z20" s="41"/>
      <c r="AA20" s="41"/>
      <c r="AB20" s="45"/>
      <c r="AC20" s="41"/>
      <c r="AD20" s="41"/>
      <c r="AE20" s="45"/>
      <c r="AF20" s="41"/>
      <c r="AG20" s="41"/>
      <c r="AH20" s="45"/>
      <c r="AI20" s="41"/>
      <c r="AJ20" s="41"/>
      <c r="AK20" s="45"/>
      <c r="AL20" s="38"/>
      <c r="AM20" s="38"/>
      <c r="AN20" s="37"/>
      <c r="AO20" s="38"/>
      <c r="AP20" s="37">
        <f t="shared" si="2"/>
        <v>11451.04</v>
      </c>
      <c r="AQ20" s="46">
        <v>12</v>
      </c>
      <c r="AR20" s="37">
        <f t="shared" si="3"/>
        <v>954.253333333333</v>
      </c>
      <c r="AS20" s="47"/>
      <c r="AT20" s="48"/>
    </row>
    <row r="21" s="3" customFormat="1" ht="29" customHeight="1" spans="1:46">
      <c r="A21" s="49">
        <v>18</v>
      </c>
      <c r="B21" s="65" t="s">
        <v>30</v>
      </c>
      <c r="C21" s="66" t="s">
        <v>63</v>
      </c>
      <c r="D21" s="37">
        <v>9078.39</v>
      </c>
      <c r="E21" s="41"/>
      <c r="F21" s="41"/>
      <c r="G21" s="37">
        <v>9078.39</v>
      </c>
      <c r="H21" s="41"/>
      <c r="I21" s="41"/>
      <c r="J21" s="40"/>
      <c r="K21" s="38"/>
      <c r="L21" s="38"/>
      <c r="M21" s="37"/>
      <c r="N21" s="41"/>
      <c r="O21" s="41"/>
      <c r="P21" s="37"/>
      <c r="Q21" s="42"/>
      <c r="R21" s="43"/>
      <c r="S21" s="44"/>
      <c r="T21" s="38"/>
      <c r="U21" s="38"/>
      <c r="V21" s="45"/>
      <c r="W21" s="38"/>
      <c r="X21" s="38"/>
      <c r="Y21" s="45"/>
      <c r="Z21" s="41"/>
      <c r="AA21" s="41"/>
      <c r="AB21" s="37"/>
      <c r="AC21" s="41"/>
      <c r="AD21" s="41"/>
      <c r="AE21" s="45"/>
      <c r="AF21" s="41"/>
      <c r="AG21" s="41"/>
      <c r="AH21" s="45"/>
      <c r="AI21" s="38"/>
      <c r="AJ21" s="38"/>
      <c r="AK21" s="45"/>
      <c r="AL21" s="38"/>
      <c r="AM21" s="38"/>
      <c r="AN21" s="37"/>
      <c r="AO21" s="38"/>
      <c r="AP21" s="37">
        <f t="shared" si="2"/>
        <v>18156.78</v>
      </c>
      <c r="AQ21" s="46">
        <v>12</v>
      </c>
      <c r="AR21" s="37">
        <f t="shared" si="3"/>
        <v>1513.065</v>
      </c>
      <c r="AS21" s="47"/>
      <c r="AT21" s="48"/>
    </row>
    <row r="22" s="3" customFormat="1" ht="20" customHeight="1" spans="1:46">
      <c r="A22" s="35">
        <v>19</v>
      </c>
      <c r="B22" s="65" t="s">
        <v>39</v>
      </c>
      <c r="C22" s="50" t="s">
        <v>40</v>
      </c>
      <c r="D22" s="37">
        <v>7300</v>
      </c>
      <c r="E22" s="41"/>
      <c r="F22" s="41"/>
      <c r="G22" s="37">
        <v>7300</v>
      </c>
      <c r="H22" s="41"/>
      <c r="I22" s="41"/>
      <c r="J22" s="40"/>
      <c r="K22" s="38"/>
      <c r="L22" s="38"/>
      <c r="M22" s="37"/>
      <c r="N22" s="41"/>
      <c r="O22" s="41"/>
      <c r="P22" s="37"/>
      <c r="Q22" s="42"/>
      <c r="R22" s="42"/>
      <c r="S22" s="45"/>
      <c r="T22" s="38"/>
      <c r="U22" s="38"/>
      <c r="V22" s="45"/>
      <c r="W22" s="38"/>
      <c r="X22" s="38"/>
      <c r="Y22" s="45"/>
      <c r="Z22" s="41"/>
      <c r="AA22" s="41"/>
      <c r="AB22" s="37"/>
      <c r="AC22" s="41"/>
      <c r="AD22" s="41"/>
      <c r="AE22" s="45"/>
      <c r="AF22" s="41"/>
      <c r="AG22" s="41"/>
      <c r="AH22" s="45"/>
      <c r="AI22" s="38"/>
      <c r="AJ22" s="38"/>
      <c r="AK22" s="45"/>
      <c r="AL22" s="38"/>
      <c r="AM22" s="38"/>
      <c r="AN22" s="37"/>
      <c r="AO22" s="38"/>
      <c r="AP22" s="37">
        <f t="shared" si="2"/>
        <v>14600</v>
      </c>
      <c r="AQ22" s="46">
        <v>12</v>
      </c>
      <c r="AR22" s="37">
        <f t="shared" si="3"/>
        <v>1216.66666666667</v>
      </c>
      <c r="AS22" s="47"/>
      <c r="AT22" s="48"/>
    </row>
    <row r="23" s="2" customFormat="1" ht="27" customHeight="1" spans="1:46">
      <c r="A23" s="67" t="s">
        <v>51</v>
      </c>
      <c r="B23" s="68"/>
      <c r="C23" s="68"/>
      <c r="D23" s="69">
        <f>SUM(D4:D21)</f>
        <v>87439.8</v>
      </c>
      <c r="E23" s="70">
        <f>SUM(E4:E21)</f>
        <v>7473.3</v>
      </c>
      <c r="F23" s="70">
        <f>SUM(F16:F21)</f>
        <v>4000</v>
      </c>
      <c r="G23" s="69">
        <f>SUM(G4:G21)</f>
        <v>87208.09</v>
      </c>
      <c r="H23" s="70">
        <f>SUM(H4:H21)</f>
        <v>1810.2</v>
      </c>
      <c r="I23" s="70">
        <f>SUM(I16:I21)</f>
        <v>4200</v>
      </c>
      <c r="J23" s="69">
        <f>SUM(J4:J21)</f>
        <v>0</v>
      </c>
      <c r="K23" s="70">
        <f>SUM(K4:K21)</f>
        <v>0</v>
      </c>
      <c r="L23" s="70">
        <f>SUM(L16:L21)</f>
        <v>0</v>
      </c>
      <c r="M23" s="69">
        <f>SUM(M4:M21)</f>
        <v>0</v>
      </c>
      <c r="N23" s="70">
        <f>SUM(N4:N21)</f>
        <v>0</v>
      </c>
      <c r="O23" s="70">
        <f>SUM(O16:O21)</f>
        <v>0</v>
      </c>
      <c r="P23" s="69">
        <f>SUM(P4:P21)</f>
        <v>0</v>
      </c>
      <c r="Q23" s="70">
        <f>SUM(Q4:Q21)</f>
        <v>0</v>
      </c>
      <c r="R23" s="70">
        <f>SUM(R16:R21)</f>
        <v>0</v>
      </c>
      <c r="S23" s="69">
        <f>SUM(S4:S21)</f>
        <v>0</v>
      </c>
      <c r="T23" s="70">
        <f>SUM(T4:T21)</f>
        <v>0</v>
      </c>
      <c r="U23" s="70">
        <f>SUM(U16:U21)</f>
        <v>0</v>
      </c>
      <c r="V23" s="69">
        <f>SUM(V4:V21)</f>
        <v>0</v>
      </c>
      <c r="W23" s="70">
        <f>SUM(W4:W21)</f>
        <v>0</v>
      </c>
      <c r="X23" s="70">
        <f>SUM(X16:X21)</f>
        <v>0</v>
      </c>
      <c r="Y23" s="69">
        <f>SUM(Y4:Y21)</f>
        <v>0</v>
      </c>
      <c r="Z23" s="70">
        <f>SUM(Z4:Z21)</f>
        <v>0</v>
      </c>
      <c r="AA23" s="70">
        <f>SUM(AA16:AA21)</f>
        <v>0</v>
      </c>
      <c r="AB23" s="69">
        <f>SUM(AB4:AB21)</f>
        <v>0</v>
      </c>
      <c r="AC23" s="70">
        <f>SUM(AC4:AC21)</f>
        <v>0</v>
      </c>
      <c r="AD23" s="70">
        <f>SUM(AD16:AD21)</f>
        <v>0</v>
      </c>
      <c r="AE23" s="69">
        <f>SUM(AE4:AE21)</f>
        <v>0</v>
      </c>
      <c r="AF23" s="70">
        <f>SUM(AF4:AF21)</f>
        <v>0</v>
      </c>
      <c r="AG23" s="70">
        <f>SUM(AG16:AG21)</f>
        <v>0</v>
      </c>
      <c r="AH23" s="69">
        <f>SUM(AH4:AH21)</f>
        <v>0</v>
      </c>
      <c r="AI23" s="70">
        <f>SUM(AI4:AI21)</f>
        <v>0</v>
      </c>
      <c r="AJ23" s="70">
        <f>SUM(AJ16:AJ21)</f>
        <v>0</v>
      </c>
      <c r="AK23" s="69">
        <f>SUM(AK4:AK21)</f>
        <v>0</v>
      </c>
      <c r="AL23" s="70">
        <f>SUM(AL4:AL21)</f>
        <v>0</v>
      </c>
      <c r="AM23" s="70">
        <f>SUM(AM16:AM21)</f>
        <v>0</v>
      </c>
      <c r="AN23" s="71">
        <f>SUM(AN4:AN21)</f>
        <v>0</v>
      </c>
      <c r="AO23" s="71">
        <f>SUM(AO4:AO21)</f>
        <v>0</v>
      </c>
      <c r="AP23" s="72">
        <f>SUM(AP4:AP21)</f>
        <v>192131.39</v>
      </c>
      <c r="AQ23" s="73"/>
      <c r="AR23" s="74">
        <f>SUM(AR4:AR21)</f>
        <v>16010.9491666667</v>
      </c>
      <c r="AS23" s="47">
        <f>SUM(AS4:AS21)</f>
        <v>0</v>
      </c>
      <c r="AT23" s="48">
        <f>SUM(AT5:AT21)</f>
        <v>0</v>
      </c>
    </row>
    <row r="24" s="2" customFormat="1" ht="18" customHeight="1" spans="1:46">
      <c r="A24" s="75" t="s">
        <v>52</v>
      </c>
      <c r="B24" s="75"/>
      <c r="C24" s="75"/>
      <c r="D24" s="76">
        <f>SUM(D23:D23)</f>
        <v>87439.8</v>
      </c>
      <c r="E24" s="76"/>
      <c r="F24" s="76"/>
      <c r="G24" s="76">
        <f>SUM(G23:G23)</f>
        <v>87208.09</v>
      </c>
      <c r="H24" s="76"/>
      <c r="I24" s="76"/>
      <c r="J24" s="76">
        <f>SUM(J23:J23)</f>
        <v>0</v>
      </c>
      <c r="K24" s="76"/>
      <c r="L24" s="76"/>
      <c r="M24" s="76">
        <f>SUM(M23:M23)</f>
        <v>0</v>
      </c>
      <c r="N24" s="76"/>
      <c r="O24" s="76"/>
      <c r="P24" s="76">
        <f>SUM(P23:P23)</f>
        <v>0</v>
      </c>
      <c r="Q24" s="76"/>
      <c r="R24" s="76"/>
      <c r="S24" s="76">
        <f>SUM(S23:S23)</f>
        <v>0</v>
      </c>
      <c r="T24" s="76"/>
      <c r="U24" s="76"/>
      <c r="V24" s="76">
        <f>SUM(V23:V23)</f>
        <v>0</v>
      </c>
      <c r="W24" s="76"/>
      <c r="X24" s="76"/>
      <c r="Y24" s="76">
        <f>SUM(Y23:Y23)</f>
        <v>0</v>
      </c>
      <c r="Z24" s="76"/>
      <c r="AA24" s="76"/>
      <c r="AB24" s="76">
        <f>SUM(AB23:AB23)</f>
        <v>0</v>
      </c>
      <c r="AC24" s="76"/>
      <c r="AD24" s="76"/>
      <c r="AE24" s="76">
        <f>SUM(AE23:AE23)</f>
        <v>0</v>
      </c>
      <c r="AF24" s="76"/>
      <c r="AG24" s="76"/>
      <c r="AH24" s="76">
        <f>SUM(AH23:AH23)</f>
        <v>0</v>
      </c>
      <c r="AI24" s="76"/>
      <c r="AJ24" s="76"/>
      <c r="AK24" s="76">
        <f>SUM(AK23:AK23)</f>
        <v>0</v>
      </c>
      <c r="AL24" s="76"/>
      <c r="AM24" s="76"/>
      <c r="AN24" s="76">
        <f>SUM(AN23:AN23)</f>
        <v>0</v>
      </c>
      <c r="AO24" s="76">
        <f>SUM(AO4:AO21)</f>
        <v>0</v>
      </c>
      <c r="AP24" s="76">
        <f t="shared" ref="AP24:AP27" si="4">SUM(D24:AO24)</f>
        <v>174647.89</v>
      </c>
      <c r="AQ24" s="77"/>
      <c r="AR24" s="78"/>
      <c r="AS24" s="78"/>
      <c r="AT24" s="78"/>
    </row>
    <row r="25" spans="1:46">
      <c r="A25" s="75" t="s">
        <v>53</v>
      </c>
      <c r="B25" s="75"/>
      <c r="C25" s="75"/>
      <c r="D25" s="79"/>
      <c r="E25" s="80">
        <f t="shared" ref="E25:I25" si="5">SUM(E5:E8)</f>
        <v>0</v>
      </c>
      <c r="F25" s="80">
        <f t="shared" si="5"/>
        <v>0</v>
      </c>
      <c r="G25" s="79"/>
      <c r="H25" s="80">
        <f t="shared" si="5"/>
        <v>0</v>
      </c>
      <c r="I25" s="80">
        <f t="shared" si="5"/>
        <v>0</v>
      </c>
      <c r="J25" s="79"/>
      <c r="K25" s="80">
        <f t="shared" ref="K25:O25" si="6">SUM(K5:K8)</f>
        <v>0</v>
      </c>
      <c r="L25" s="80">
        <f t="shared" si="6"/>
        <v>0</v>
      </c>
      <c r="M25" s="79"/>
      <c r="N25" s="80">
        <f t="shared" si="6"/>
        <v>0</v>
      </c>
      <c r="O25" s="80">
        <f t="shared" si="6"/>
        <v>0</v>
      </c>
      <c r="P25" s="79"/>
      <c r="Q25" s="80">
        <f t="shared" ref="Q25:U25" si="7">SUM(Q5:Q8)</f>
        <v>0</v>
      </c>
      <c r="R25" s="80">
        <f t="shared" si="7"/>
        <v>0</v>
      </c>
      <c r="S25" s="79"/>
      <c r="T25" s="80">
        <f t="shared" si="7"/>
        <v>0</v>
      </c>
      <c r="U25" s="80">
        <f t="shared" si="7"/>
        <v>0</v>
      </c>
      <c r="V25" s="79"/>
      <c r="W25" s="80">
        <f t="shared" ref="W25:AA25" si="8">SUM(W5:W8)</f>
        <v>0</v>
      </c>
      <c r="X25" s="80">
        <f t="shared" si="8"/>
        <v>0</v>
      </c>
      <c r="Y25" s="79"/>
      <c r="Z25" s="80">
        <f t="shared" si="8"/>
        <v>0</v>
      </c>
      <c r="AA25" s="80">
        <f t="shared" si="8"/>
        <v>0</v>
      </c>
      <c r="AB25" s="79"/>
      <c r="AC25" s="80">
        <f t="shared" ref="AC25:AG25" si="9">SUM(AC5:AC8)</f>
        <v>0</v>
      </c>
      <c r="AD25" s="80">
        <f t="shared" si="9"/>
        <v>0</v>
      </c>
      <c r="AE25" s="79"/>
      <c r="AF25" s="80">
        <f t="shared" si="9"/>
        <v>0</v>
      </c>
      <c r="AG25" s="80">
        <f t="shared" si="9"/>
        <v>0</v>
      </c>
      <c r="AH25" s="79"/>
      <c r="AI25" s="80">
        <f t="shared" ref="AI25:AM25" si="10">SUM(AI5:AI8)</f>
        <v>0</v>
      </c>
      <c r="AJ25" s="80">
        <f t="shared" si="10"/>
        <v>0</v>
      </c>
      <c r="AK25" s="79"/>
      <c r="AL25" s="80">
        <f t="shared" si="10"/>
        <v>0</v>
      </c>
      <c r="AM25" s="80">
        <f t="shared" si="10"/>
        <v>0</v>
      </c>
      <c r="AN25" s="80"/>
      <c r="AO25" s="80"/>
      <c r="AP25" s="76">
        <f t="shared" si="4"/>
        <v>0</v>
      </c>
      <c r="AS25" s="1"/>
      <c r="AT25" s="1"/>
    </row>
    <row r="26" spans="1:46">
      <c r="A26" s="75" t="s">
        <v>89</v>
      </c>
      <c r="B26" s="75"/>
      <c r="C26" s="75"/>
      <c r="D26" s="79"/>
      <c r="E26" s="80">
        <f>SUM(E11:E15)</f>
        <v>7473.3</v>
      </c>
      <c r="F26" s="80"/>
      <c r="G26" s="79"/>
      <c r="H26" s="80">
        <f>SUM(H11:H15)</f>
        <v>1810.2</v>
      </c>
      <c r="I26" s="80"/>
      <c r="J26" s="79"/>
      <c r="K26" s="80">
        <f>SUM(K11:K15)</f>
        <v>0</v>
      </c>
      <c r="L26" s="80"/>
      <c r="M26" s="79"/>
      <c r="N26" s="80">
        <f>SUM(N11:N15)</f>
        <v>0</v>
      </c>
      <c r="O26" s="80"/>
      <c r="P26" s="79"/>
      <c r="Q26" s="80">
        <f>SUM(Q11:Q15)</f>
        <v>0</v>
      </c>
      <c r="R26" s="80"/>
      <c r="S26" s="79"/>
      <c r="T26" s="80">
        <f>SUM(T11:T15)</f>
        <v>0</v>
      </c>
      <c r="U26" s="80"/>
      <c r="V26" s="79"/>
      <c r="W26" s="80">
        <f>SUM(W11:W15)</f>
        <v>0</v>
      </c>
      <c r="X26" s="80"/>
      <c r="Y26" s="79"/>
      <c r="Z26" s="80">
        <f>SUM(Z11:Z15)</f>
        <v>0</v>
      </c>
      <c r="AA26" s="80"/>
      <c r="AB26" s="79"/>
      <c r="AC26" s="80">
        <f>SUM(AC11:AC15)</f>
        <v>0</v>
      </c>
      <c r="AD26" s="80"/>
      <c r="AE26" s="79"/>
      <c r="AF26" s="80">
        <f>SUM(AF11:AF15)</f>
        <v>0</v>
      </c>
      <c r="AG26" s="80"/>
      <c r="AH26" s="79"/>
      <c r="AI26" s="80">
        <f>SUM(AI11:AI15)</f>
        <v>0</v>
      </c>
      <c r="AJ26" s="80"/>
      <c r="AK26" s="79"/>
      <c r="AL26" s="80">
        <f>SUM(AL11:AL15)</f>
        <v>0</v>
      </c>
      <c r="AM26" s="80"/>
      <c r="AN26" s="80"/>
      <c r="AO26" s="80"/>
      <c r="AP26" s="76">
        <f t="shared" si="4"/>
        <v>9283.5</v>
      </c>
      <c r="AS26" s="1"/>
      <c r="AT26" s="1"/>
    </row>
    <row r="27" spans="1:46">
      <c r="A27" s="75" t="s">
        <v>90</v>
      </c>
      <c r="B27" s="75"/>
      <c r="C27" s="75"/>
      <c r="D27" s="79"/>
      <c r="E27" s="80"/>
      <c r="F27" s="80">
        <f>SUM(F16:F19)</f>
        <v>4000</v>
      </c>
      <c r="G27" s="79"/>
      <c r="H27" s="80"/>
      <c r="I27" s="80">
        <f>SUM(I16:I19)</f>
        <v>4200</v>
      </c>
      <c r="J27" s="79"/>
      <c r="K27" s="80"/>
      <c r="L27" s="80">
        <f>SUM(L16:L19)</f>
        <v>0</v>
      </c>
      <c r="M27" s="79"/>
      <c r="N27" s="80"/>
      <c r="O27" s="80">
        <f>SUM(O16:O19)</f>
        <v>0</v>
      </c>
      <c r="P27" s="79"/>
      <c r="Q27" s="80"/>
      <c r="R27" s="80">
        <f>SUM(R16:R19)</f>
        <v>0</v>
      </c>
      <c r="S27" s="79"/>
      <c r="T27" s="80"/>
      <c r="U27" s="80">
        <f>SUM(U16:U19)</f>
        <v>0</v>
      </c>
      <c r="V27" s="79"/>
      <c r="W27" s="80"/>
      <c r="X27" s="80">
        <f>SUM(X16:X19)</f>
        <v>0</v>
      </c>
      <c r="Y27" s="79"/>
      <c r="Z27" s="80"/>
      <c r="AA27" s="80">
        <f>SUM(AA16:AA19)</f>
        <v>0</v>
      </c>
      <c r="AB27" s="79"/>
      <c r="AC27" s="80"/>
      <c r="AD27" s="80">
        <f>SUM(AD16:AD19)</f>
        <v>0</v>
      </c>
      <c r="AE27" s="79"/>
      <c r="AF27" s="80"/>
      <c r="AG27" s="80">
        <f>SUM(AG16:AG19)</f>
        <v>0</v>
      </c>
      <c r="AH27" s="79"/>
      <c r="AI27" s="80"/>
      <c r="AJ27" s="80">
        <f>SUM(AJ16:AJ19)</f>
        <v>0</v>
      </c>
      <c r="AK27" s="79"/>
      <c r="AL27" s="80"/>
      <c r="AM27" s="80">
        <f>SUM(AM16:AM19)</f>
        <v>0</v>
      </c>
      <c r="AN27" s="80"/>
      <c r="AO27" s="80"/>
      <c r="AP27" s="76">
        <f t="shared" si="4"/>
        <v>8200</v>
      </c>
      <c r="AS27" s="1"/>
      <c r="AT27" s="1"/>
    </row>
    <row r="28" spans="1:46">
      <c r="S28" s="78"/>
      <c r="AS28" s="81"/>
      <c r="AT28" s="81"/>
    </row>
    <row r="29" spans="1:46">
      <c r="S29" s="1"/>
      <c r="T29" s="10"/>
      <c r="U29" s="10"/>
    </row>
    <row r="30" spans="1:46">
      <c r="S30" s="78"/>
    </row>
    <row r="32" spans="1:46">
      <c r="S32" s="78"/>
    </row>
    <row r="34" spans="19:19">
      <c r="S34" s="78"/>
    </row>
    <row r="36" spans="19:19">
      <c r="S36" s="78"/>
    </row>
    <row r="38" spans="19:19">
      <c r="S38" s="78"/>
    </row>
    <row r="40" spans="19:19">
      <c r="S40" s="78"/>
    </row>
    <row r="42" spans="19:19">
      <c r="S42" s="78"/>
    </row>
    <row r="44" spans="19:19">
      <c r="S44" s="78"/>
    </row>
  </sheetData>
  <mergeCells count="27">
    <mergeCell ref="A1:AR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AS2:AT2"/>
    <mergeCell ref="A23:B23"/>
    <mergeCell ref="A24:C24"/>
    <mergeCell ref="A25:C25"/>
    <mergeCell ref="A26:C26"/>
    <mergeCell ref="A27:C27"/>
    <mergeCell ref="A2:A3"/>
    <mergeCell ref="B2:B3"/>
    <mergeCell ref="C2:C3"/>
    <mergeCell ref="AN2:AN3"/>
    <mergeCell ref="AO2:AO3"/>
    <mergeCell ref="AP2:AP3"/>
    <mergeCell ref="AQ2:AQ3"/>
    <mergeCell ref="AR2:AR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/mg</cp:lastModifiedBy>
  <dcterms:created xsi:type="dcterms:W3CDTF">2022-07-21T07:25:00Z</dcterms:created>
  <dcterms:modified xsi:type="dcterms:W3CDTF">2026-03-26T07:39:27Z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94B7DF40C5A149EDAF404FDBA9470BEC_13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