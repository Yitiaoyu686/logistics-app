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"/>
  </bookViews>
  <sheets>
    <sheet name="总表" sheetId="2" r:id="rId1"/>
    <sheet name="总表 (2)" sheetId="3" r:id="rId2"/>
    <sheet name="JOB080389" sheetId="15" r:id="rId3"/>
    <sheet name="JOB080353" sheetId="16" r:id="rId4"/>
    <sheet name="JOB080361" sheetId="17" r:id="rId5"/>
    <sheet name="JOB080362" sheetId="18" r:id="rId6"/>
    <sheet name="JOB080363" sheetId="19" r:id="rId7"/>
    <sheet name="JOB080364" sheetId="20" r:id="rId8"/>
    <sheet name="JOB080373" sheetId="21" r:id="rId9"/>
    <sheet name="JOB080374" sheetId="22" r:id="rId10"/>
    <sheet name="JOB080371" sheetId="23" r:id="rId11"/>
    <sheet name="JOB080387" sheetId="24" r:id="rId12"/>
    <sheet name="JOB100326" sheetId="25" r:id="rId13"/>
  </sheets>
  <definedNames>
    <definedName name="_xlnm._FilterDatabase" localSheetId="0" hidden="1">总表!$A$2:$C$139</definedName>
    <definedName name="_xlnm._FilterDatabase" localSheetId="1" hidden="1">'总表 (2)'!$A$2:$AF$138</definedName>
    <definedName name="_xlnm._FilterDatabase" localSheetId="2" hidden="1">'JOB080389'!$A$3:$AF$10</definedName>
    <definedName name="_xlnm._FilterDatabase" localSheetId="3" hidden="1">'JOB080353'!$A$3:$AF$17</definedName>
    <definedName name="_xlnm._FilterDatabase" localSheetId="4" hidden="1">'JOB080361'!$A$3:$AF$25</definedName>
    <definedName name="_xlnm._FilterDatabase" localSheetId="5" hidden="1">'JOB080362'!$A$3:$AF$9</definedName>
    <definedName name="_xlnm._FilterDatabase" localSheetId="6" hidden="1">'JOB080363'!$A$3:$AF$15</definedName>
    <definedName name="_xlnm._FilterDatabase" localSheetId="7" hidden="1">'JOB080364'!$A$3:$AF$17</definedName>
    <definedName name="_xlnm._FilterDatabase" localSheetId="8" hidden="1">'JOB080373'!$A$3:$AF$21</definedName>
    <definedName name="_xlnm._FilterDatabase" localSheetId="9" hidden="1">'JOB080374'!$A$3:$AF$15</definedName>
    <definedName name="_xlnm._FilterDatabase" localSheetId="10" hidden="1">'JOB080371'!$A$3:$AF$6</definedName>
    <definedName name="_xlnm._FilterDatabase" localSheetId="11" hidden="1">'JOB080387'!$A$3:$AF$24</definedName>
    <definedName name="_xlnm._FilterDatabase" localSheetId="12" hidden="1">'JOB100326'!$A$3:$AF$30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A114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原JOB080397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到付USD127.35转预付923.29
</t>
        </r>
      </text>
    </comment>
    <comment ref="J6" authorId="0">
      <text>
        <r>
          <rPr>
            <sz val="9"/>
            <rFont val="宋体"/>
            <charset val="134"/>
          </rPr>
          <t xml:space="preserve">到付USD75.56转预付556.
</t>
        </r>
      </text>
    </comment>
    <comment ref="J7" authorId="0">
      <text>
        <r>
          <rPr>
            <sz val="9"/>
            <rFont val="宋体"/>
            <charset val="134"/>
          </rPr>
          <t xml:space="preserve">到付USD768.453转预付5462. 
</t>
        </r>
      </text>
    </comment>
    <comment ref="J9" authorId="0">
      <text>
        <r>
          <rPr>
            <sz val="9"/>
            <rFont val="宋体"/>
            <charset val="134"/>
          </rPr>
          <t xml:space="preserve">到付USD26.73转预付356.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到付USD46.61转预付337.92
</t>
        </r>
      </text>
    </comment>
    <comment ref="J12" authorId="0">
      <text>
        <r>
          <rPr>
            <sz val="9"/>
            <rFont val="宋体"/>
            <charset val="134"/>
          </rPr>
          <t xml:space="preserve">到付USD8747.48转预付64294
</t>
        </r>
      </text>
    </comment>
    <comment ref="J13" authorId="0">
      <text>
        <r>
          <rPr>
            <sz val="9"/>
            <rFont val="宋体"/>
            <charset val="134"/>
          </rPr>
          <t xml:space="preserve">到付USD611.38转预付611.38.
</t>
        </r>
      </text>
    </comment>
    <comment ref="J16" authorId="0">
      <text>
        <r>
          <rPr>
            <sz val="9"/>
            <rFont val="宋体"/>
            <charset val="134"/>
          </rPr>
          <t xml:space="preserve">14/10国内收美金.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到付USD179.2转预付1290.24.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到付USD619.5转预付4491.38
</t>
        </r>
      </text>
    </comment>
    <comment ref="J19" authorId="0">
      <text>
        <r>
          <rPr>
            <sz val="9"/>
            <rFont val="宋体"/>
            <charset val="134"/>
          </rPr>
          <t xml:space="preserve">到付USD6762.53转预付48216.84.
</t>
        </r>
      </text>
    </comment>
    <comment ref="J21" authorId="0">
      <text>
        <r>
          <rPr>
            <sz val="9"/>
            <rFont val="宋体"/>
            <charset val="134"/>
          </rPr>
          <t xml:space="preserve">预付3924.77转到付USD28642.1
</t>
        </r>
      </text>
    </comment>
    <comment ref="J22" authorId="0">
      <text>
        <r>
          <rPr>
            <sz val="9"/>
            <rFont val="宋体"/>
            <charset val="134"/>
          </rPr>
          <t xml:space="preserve">到付USD408.47转预付2922.21.
</t>
        </r>
      </text>
    </comment>
    <comment ref="N23" authorId="0">
      <text>
        <r>
          <rPr>
            <sz val="9"/>
            <rFont val="宋体"/>
            <charset val="134"/>
          </rPr>
          <t xml:space="preserve">预付2366.5转到付USD330.97.
</t>
        </r>
      </text>
    </comment>
    <comment ref="J27" authorId="0">
      <text>
        <r>
          <rPr>
            <sz val="9"/>
            <rFont val="宋体"/>
            <charset val="134"/>
          </rPr>
          <t xml:space="preserve">合计70500.83.
</t>
        </r>
      </text>
    </comment>
    <comment ref="J29" authorId="0">
      <text>
        <r>
          <rPr>
            <sz val="9"/>
            <rFont val="宋体"/>
            <charset val="134"/>
          </rPr>
          <t xml:space="preserve">到付USD108.49转预付801.54.
</t>
        </r>
      </text>
    </comment>
    <comment ref="J32" authorId="0">
      <text>
        <r>
          <rPr>
            <sz val="9"/>
            <rFont val="宋体"/>
            <charset val="134"/>
          </rPr>
          <t xml:space="preserve">到付USD32转预付235.2.
</t>
        </r>
      </text>
    </comment>
    <comment ref="J33" authorId="0">
      <text>
        <r>
          <rPr>
            <sz val="9"/>
            <rFont val="宋体"/>
            <charset val="134"/>
          </rPr>
          <t xml:space="preserve">到付USD915.43转预付6679.5.
</t>
        </r>
      </text>
    </comment>
    <comment ref="J34" authorId="0">
      <text>
        <r>
          <rPr>
            <sz val="9"/>
            <rFont val="宋体"/>
            <charset val="134"/>
          </rPr>
          <t xml:space="preserve">到付USD1116.47转预付8038.58
</t>
        </r>
      </text>
    </comment>
    <comment ref="J35" authorId="0">
      <text>
        <r>
          <rPr>
            <sz val="9"/>
            <rFont val="宋体"/>
            <charset val="134"/>
          </rPr>
          <t xml:space="preserve">到付USD7234.92转预付51584.98
</t>
        </r>
      </text>
    </comment>
    <comment ref="J36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38" authorId="0">
      <text>
        <r>
          <rPr>
            <sz val="9"/>
            <rFont val="宋体"/>
            <charset val="134"/>
          </rPr>
          <t xml:space="preserve">到付USD8.6转预付61.48.
</t>
        </r>
      </text>
    </comment>
    <comment ref="J39" authorId="0">
      <text>
        <r>
          <rPr>
            <sz val="9"/>
            <rFont val="宋体"/>
            <charset val="134"/>
          </rPr>
          <t xml:space="preserve">到付USD13.69转预付98.57
</t>
        </r>
      </text>
    </comment>
    <comment ref="J41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41" authorId="0">
      <text>
        <r>
          <rPr>
            <sz val="9"/>
            <rFont val="宋体"/>
            <charset val="134"/>
          </rPr>
          <t xml:space="preserve">合计20845.9
</t>
        </r>
      </text>
    </comment>
    <comment ref="Y41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43" authorId="0">
      <text>
        <r>
          <rPr>
            <sz val="9"/>
            <rFont val="宋体"/>
            <charset val="134"/>
          </rPr>
          <t xml:space="preserve">到付USD8319.96转预付59321.31
</t>
        </r>
      </text>
    </comment>
    <comment ref="J44" authorId="0">
      <text>
        <r>
          <rPr>
            <sz val="9"/>
            <rFont val="宋体"/>
            <charset val="134"/>
          </rPr>
          <t>到付USD182.4转预付1994.39.</t>
        </r>
      </text>
    </comment>
    <comment ref="Y4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46" authorId="0">
      <text>
        <r>
          <rPr>
            <sz val="9"/>
            <rFont val="宋体"/>
            <charset val="134"/>
          </rPr>
          <t xml:space="preserve">到付USD2081.4转预付14778.
</t>
        </r>
      </text>
    </comment>
    <comment ref="J47" authorId="0">
      <text>
        <r>
          <rPr>
            <sz val="9"/>
            <rFont val="宋体"/>
            <charset val="134"/>
          </rPr>
          <t xml:space="preserve">到付USD51.2转预付376.32.
</t>
        </r>
      </text>
    </comment>
    <comment ref="J48" authorId="0">
      <text>
        <r>
          <rPr>
            <sz val="9"/>
            <rFont val="宋体"/>
            <charset val="134"/>
          </rPr>
          <t xml:space="preserve">到付USD3669.6转预付26604.
</t>
        </r>
      </text>
    </comment>
    <comment ref="J50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51" authorId="0">
      <text>
        <r>
          <rPr>
            <sz val="9"/>
            <rFont val="宋体"/>
            <charset val="134"/>
          </rPr>
          <t xml:space="preserve">到付USD494.5转预付3645.46.
</t>
        </r>
      </text>
    </comment>
    <comment ref="J52" authorId="0">
      <text>
        <r>
          <rPr>
            <sz val="9"/>
            <rFont val="宋体"/>
            <charset val="134"/>
          </rPr>
          <t xml:space="preserve">到付USD44.9转到付USD327.6.
</t>
        </r>
      </text>
    </comment>
    <comment ref="J54" authorId="0">
      <text>
        <r>
          <rPr>
            <sz val="9"/>
            <rFont val="宋体"/>
            <charset val="134"/>
          </rPr>
          <t xml:space="preserve">到付USD9336.06转预付66566.11
</t>
        </r>
      </text>
    </comment>
    <comment ref="Y55" authorId="0">
      <text>
        <r>
          <rPr>
            <sz val="9"/>
            <rFont val="宋体"/>
            <charset val="134"/>
          </rPr>
          <t>赛捷代付</t>
        </r>
      </text>
    </comment>
    <comment ref="J56" authorId="0">
      <text>
        <r>
          <rPr>
            <sz val="9"/>
            <rFont val="宋体"/>
            <charset val="134"/>
          </rPr>
          <t xml:space="preserve">到付USD609.84转预付4482.5.
</t>
        </r>
      </text>
    </comment>
    <comment ref="J57" authorId="0">
      <text>
        <r>
          <rPr>
            <sz val="9"/>
            <rFont val="宋体"/>
            <charset val="134"/>
          </rPr>
          <t xml:space="preserve">到付USD839.91转预付6236.5.
</t>
        </r>
      </text>
    </comment>
    <comment ref="J58" authorId="0">
      <text>
        <r>
          <rPr>
            <b/>
            <sz val="9"/>
            <rFont val="宋体"/>
            <charset val="134"/>
          </rPr>
          <t>15/10国内收美金.</t>
        </r>
        <r>
          <rPr>
            <sz val="9"/>
            <rFont val="宋体"/>
            <charset val="134"/>
          </rPr>
          <t xml:space="preserve">
</t>
        </r>
      </text>
    </comment>
    <comment ref="J60" authorId="0">
      <text>
        <r>
          <rPr>
            <sz val="9"/>
            <rFont val="宋体"/>
            <charset val="134"/>
          </rPr>
          <t xml:space="preserve">到付USD2194.36转预付15645.79
</t>
        </r>
      </text>
    </comment>
    <comment ref="J61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62" authorId="0">
      <text>
        <r>
          <rPr>
            <sz val="9"/>
            <rFont val="宋体"/>
            <charset val="134"/>
          </rPr>
          <t>到付USD8618.84转预付52338.</t>
        </r>
      </text>
    </comment>
    <comment ref="J66" authorId="0">
      <text>
        <r>
          <rPr>
            <sz val="9"/>
            <rFont val="宋体"/>
            <charset val="134"/>
          </rPr>
          <t xml:space="preserve">到付USD2136.79转预付16565.05
</t>
        </r>
      </text>
    </comment>
    <comment ref="Y67" authorId="0">
      <text>
        <r>
          <rPr>
            <sz val="9"/>
            <rFont val="宋体"/>
            <charset val="134"/>
          </rPr>
          <t xml:space="preserve">赛捷代付
</t>
        </r>
      </text>
    </comment>
    <comment ref="N68" authorId="0">
      <text>
        <r>
          <rPr>
            <sz val="9"/>
            <rFont val="宋体"/>
            <charset val="134"/>
          </rPr>
          <t>预付351转到付USD49.09.</t>
        </r>
      </text>
    </comment>
    <comment ref="N72" authorId="0">
      <text>
        <r>
          <rPr>
            <sz val="9"/>
            <rFont val="宋体"/>
            <charset val="134"/>
          </rPr>
          <t xml:space="preserve">预付5126.18转到付USD716.94.
</t>
        </r>
      </text>
    </comment>
    <comment ref="J74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78" authorId="0">
      <text>
        <r>
          <rPr>
            <sz val="9"/>
            <rFont val="宋体"/>
            <charset val="134"/>
          </rPr>
          <t xml:space="preserve">到付USD7524转预付53646.12
</t>
        </r>
      </text>
    </comment>
    <comment ref="J79" authorId="0">
      <text>
        <r>
          <rPr>
            <sz val="9"/>
            <rFont val="宋体"/>
            <charset val="134"/>
          </rPr>
          <t xml:space="preserve">到付USD649.6转预付4667.
</t>
        </r>
      </text>
    </comment>
    <comment ref="J81" authorId="0">
      <text>
        <r>
          <rPr>
            <sz val="9"/>
            <rFont val="宋体"/>
            <charset val="134"/>
          </rPr>
          <t xml:space="preserve">到付USD259.92转预付1853.23.
</t>
        </r>
      </text>
    </comment>
    <comment ref="J82" authorId="0">
      <text>
        <r>
          <rPr>
            <b/>
            <sz val="9"/>
            <rFont val="宋体"/>
            <charset val="134"/>
          </rPr>
          <t>14/10国内收美金.</t>
        </r>
        <r>
          <rPr>
            <sz val="9"/>
            <rFont val="宋体"/>
            <charset val="134"/>
          </rPr>
          <t xml:space="preserve">
</t>
        </r>
      </text>
    </comment>
    <comment ref="Y83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84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86" authorId="0">
      <text>
        <r>
          <rPr>
            <sz val="9"/>
            <rFont val="宋体"/>
            <charset val="134"/>
          </rPr>
          <t xml:space="preserve">预付1217转到付USD170.2.
</t>
        </r>
      </text>
    </comment>
    <comment ref="J90" authorId="0">
      <text>
        <r>
          <rPr>
            <sz val="9"/>
            <rFont val="宋体"/>
            <charset val="134"/>
          </rPr>
          <t xml:space="preserve">到付USD475.2转预付3388.18
</t>
        </r>
      </text>
    </comment>
    <comment ref="J92" authorId="0">
      <text>
        <r>
          <rPr>
            <sz val="9"/>
            <rFont val="宋体"/>
            <charset val="134"/>
          </rPr>
          <t xml:space="preserve">USD7912.888转预付56418.26
</t>
        </r>
      </text>
    </comment>
    <comment ref="J95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N97" authorId="0">
      <text>
        <r>
          <rPr>
            <sz val="9"/>
            <rFont val="宋体"/>
            <charset val="134"/>
          </rPr>
          <t xml:space="preserve">预付转到付
</t>
        </r>
      </text>
    </comment>
    <comment ref="J98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99" authorId="0">
      <text>
        <r>
          <rPr>
            <sz val="9"/>
            <rFont val="宋体"/>
            <charset val="134"/>
          </rPr>
          <t xml:space="preserve">到付USD522.84转预付3842.88.
</t>
        </r>
      </text>
    </comment>
    <comment ref="J100" authorId="0">
      <text>
        <r>
          <rPr>
            <sz val="9"/>
            <rFont val="宋体"/>
            <charset val="134"/>
          </rPr>
          <t xml:space="preserve">到付USD24转预付565.2.
</t>
        </r>
      </text>
    </comment>
    <comment ref="J102" authorId="0">
      <text>
        <r>
          <rPr>
            <sz val="9"/>
            <rFont val="宋体"/>
            <charset val="134"/>
          </rPr>
          <t xml:space="preserve">到付USD216.05转预付1588.
</t>
        </r>
      </text>
    </comment>
    <comment ref="J103" authorId="0">
      <text>
        <r>
          <rPr>
            <sz val="9"/>
            <rFont val="宋体"/>
            <charset val="134"/>
          </rPr>
          <t xml:space="preserve">到付USD325.11转预付2389.6.
</t>
        </r>
      </text>
    </comment>
    <comment ref="J104" authorId="0">
      <text>
        <r>
          <rPr>
            <sz val="9"/>
            <rFont val="宋体"/>
            <charset val="134"/>
          </rPr>
          <t xml:space="preserve">到付USD94.65转预付835.2.
</t>
        </r>
      </text>
    </comment>
    <comment ref="J105" authorId="0">
      <text>
        <r>
          <rPr>
            <sz val="9"/>
            <rFont val="宋体"/>
            <charset val="134"/>
          </rPr>
          <t xml:space="preserve">到付USD150.34转 预付1105.
</t>
        </r>
      </text>
    </comment>
    <comment ref="J106" authorId="0">
      <text>
        <r>
          <rPr>
            <sz val="9"/>
            <rFont val="宋体"/>
            <charset val="134"/>
          </rPr>
          <t xml:space="preserve">到付USD2776.03转预付20266.26.
</t>
        </r>
      </text>
    </comment>
    <comment ref="J107" authorId="0">
      <text>
        <r>
          <rPr>
            <sz val="9"/>
            <rFont val="宋体"/>
            <charset val="134"/>
          </rPr>
          <t xml:space="preserve">到付USD637.62转预付4277.5.
</t>
        </r>
      </text>
    </comment>
    <comment ref="J108" authorId="0">
      <text>
        <r>
          <rPr>
            <sz val="9"/>
            <rFont val="宋体"/>
            <charset val="134"/>
          </rPr>
          <t xml:space="preserve">到付USD58.65转预付468.
</t>
        </r>
      </text>
    </comment>
    <comment ref="J110" authorId="0">
      <text>
        <r>
          <rPr>
            <sz val="9"/>
            <rFont val="宋体"/>
            <charset val="134"/>
          </rPr>
          <t xml:space="preserve">到付USD1410转预付10152.
</t>
        </r>
      </text>
    </comment>
    <comment ref="J111" authorId="0">
      <text>
        <r>
          <rPr>
            <sz val="9"/>
            <rFont val="宋体"/>
            <charset val="134"/>
          </rPr>
          <t xml:space="preserve">到付USD8366.23转预付60665.17.
</t>
        </r>
      </text>
    </comment>
    <comment ref="J112" authorId="0">
      <text>
        <r>
          <rPr>
            <sz val="9"/>
            <rFont val="宋体"/>
            <charset val="134"/>
          </rPr>
          <t xml:space="preserve">到付USD4042.44转预付28822.6
</t>
        </r>
      </text>
    </comment>
    <comment ref="A113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原JOB080397</t>
        </r>
      </text>
    </comment>
    <comment ref="J118" authorId="0">
      <text>
        <r>
          <rPr>
            <sz val="9"/>
            <rFont val="宋体"/>
            <charset val="134"/>
          </rPr>
          <t xml:space="preserve">到付USD2379.39转预付17258.7
</t>
        </r>
      </text>
    </comment>
    <comment ref="J128" authorId="0">
      <text>
        <r>
          <rPr>
            <sz val="9"/>
            <rFont val="宋体"/>
            <charset val="134"/>
          </rPr>
          <t xml:space="preserve">到付USAD12.58转预付904.
</t>
        </r>
      </text>
    </comment>
    <comment ref="J129" authorId="0">
      <text>
        <r>
          <rPr>
            <sz val="9"/>
            <rFont val="宋体"/>
            <charset val="134"/>
          </rPr>
          <t xml:space="preserve">到付USD3312转预付24057.26
</t>
        </r>
      </text>
    </comment>
    <comment ref="J131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32" authorId="0">
      <text>
        <r>
          <rPr>
            <sz val="9"/>
            <rFont val="宋体"/>
            <charset val="134"/>
          </rPr>
          <t xml:space="preserve">到付USD3631.78转预付25894.59
</t>
        </r>
      </text>
    </comment>
    <comment ref="J136" authorId="0">
      <text>
        <r>
          <rPr>
            <b/>
            <sz val="9"/>
            <rFont val="宋体"/>
            <charset val="134"/>
          </rPr>
          <t>3到付USD57.22转预付421.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到付USD127.35转预付923.29
</t>
        </r>
      </text>
    </comment>
    <comment ref="J7" authorId="0">
      <text>
        <r>
          <rPr>
            <sz val="9"/>
            <rFont val="宋体"/>
            <charset val="134"/>
          </rPr>
          <t xml:space="preserve">到付USD75.56转预付556.
</t>
        </r>
      </text>
    </comment>
    <comment ref="J8" authorId="0">
      <text>
        <r>
          <rPr>
            <sz val="9"/>
            <rFont val="宋体"/>
            <charset val="134"/>
          </rPr>
          <t xml:space="preserve">到付USD768.453转预付5462. 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到付USD26.73转预付356.
</t>
        </r>
      </text>
    </comment>
    <comment ref="J7" authorId="0">
      <text>
        <r>
          <rPr>
            <sz val="9"/>
            <rFont val="宋体"/>
            <charset val="134"/>
          </rPr>
          <t xml:space="preserve">到付USD46.61转预付337.92
</t>
        </r>
      </text>
    </comment>
    <comment ref="J8" authorId="0">
      <text>
        <r>
          <rPr>
            <sz val="9"/>
            <rFont val="宋体"/>
            <charset val="134"/>
          </rPr>
          <t xml:space="preserve">到付USD8747.48转预付64294
</t>
        </r>
      </text>
    </comment>
    <comment ref="J9" authorId="0">
      <text>
        <r>
          <rPr>
            <sz val="9"/>
            <rFont val="宋体"/>
            <charset val="134"/>
          </rPr>
          <t xml:space="preserve">到付USD611.38转预付611.38.
</t>
        </r>
      </text>
    </comment>
    <comment ref="J12" authorId="0">
      <text>
        <r>
          <rPr>
            <sz val="9"/>
            <rFont val="宋体"/>
            <charset val="134"/>
          </rPr>
          <t xml:space="preserve">14/10国内收美金.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到付USD179.2转预付1290.24.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到付USD619.5转预付4491.38
</t>
        </r>
      </text>
    </comment>
    <comment ref="J15" authorId="0">
      <text>
        <r>
          <rPr>
            <sz val="9"/>
            <rFont val="宋体"/>
            <charset val="134"/>
          </rPr>
          <t xml:space="preserve">到付USD6762.53转预付48216.84.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C2" authorId="0">
      <text>
        <r>
          <rPr>
            <sz val="9"/>
            <rFont val="宋体"/>
            <charset val="134"/>
          </rPr>
          <t xml:space="preserve">公司叉车7.4378不计入.(原PSL表体积79.928
</t>
        </r>
      </text>
    </comment>
    <comment ref="J5" authorId="0">
      <text>
        <r>
          <rPr>
            <sz val="9"/>
            <rFont val="宋体"/>
            <charset val="134"/>
          </rPr>
          <t xml:space="preserve">预付3924.77转到付USD28642.1
</t>
        </r>
      </text>
    </comment>
    <comment ref="J6" authorId="0">
      <text>
        <r>
          <rPr>
            <sz val="9"/>
            <rFont val="宋体"/>
            <charset val="134"/>
          </rPr>
          <t xml:space="preserve">到付USD408.47转预付2922.21.
</t>
        </r>
      </text>
    </comment>
    <comment ref="N7" authorId="0">
      <text>
        <r>
          <rPr>
            <sz val="9"/>
            <rFont val="宋体"/>
            <charset val="134"/>
          </rPr>
          <t xml:space="preserve">预付2366.5转到付USD330.97.
</t>
        </r>
      </text>
    </comment>
    <comment ref="J11" authorId="0">
      <text>
        <r>
          <rPr>
            <sz val="9"/>
            <rFont val="宋体"/>
            <charset val="134"/>
          </rPr>
          <t xml:space="preserve">合计70500.83.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到付USD108.49转预付801.54.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到付USD32转预付235.2.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到付USD915.43转预付6679.5.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到付USD1116.47转预付8038.58
</t>
        </r>
      </text>
    </comment>
    <comment ref="J19" authorId="0">
      <text>
        <r>
          <rPr>
            <sz val="9"/>
            <rFont val="宋体"/>
            <charset val="134"/>
          </rPr>
          <t xml:space="preserve">到付USD7234.92转预付51584.98
</t>
        </r>
      </text>
    </comment>
    <comment ref="J20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到付USD8.6转预付61.48.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到付USD13.69转预付98.57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5" authorId="0">
      <text>
        <r>
          <rPr>
            <sz val="9"/>
            <rFont val="宋体"/>
            <charset val="134"/>
          </rPr>
          <t xml:space="preserve">合计20845.9
</t>
        </r>
      </text>
    </comment>
    <comment ref="Y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7" authorId="0">
      <text>
        <r>
          <rPr>
            <sz val="9"/>
            <rFont val="宋体"/>
            <charset val="134"/>
          </rPr>
          <t xml:space="preserve">到付USD8319.96转预付59321.31
</t>
        </r>
      </text>
    </comment>
    <comment ref="J8" authorId="0">
      <text>
        <r>
          <rPr>
            <sz val="9"/>
            <rFont val="宋体"/>
            <charset val="134"/>
          </rPr>
          <t>到付USD182.4转预付1994.39.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Y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6" authorId="0">
      <text>
        <r>
          <rPr>
            <sz val="9"/>
            <rFont val="宋体"/>
            <charset val="134"/>
          </rPr>
          <t xml:space="preserve">到付USD2081.4转预付14778.
</t>
        </r>
      </text>
    </comment>
    <comment ref="J7" authorId="0">
      <text>
        <r>
          <rPr>
            <sz val="9"/>
            <rFont val="宋体"/>
            <charset val="134"/>
          </rPr>
          <t xml:space="preserve">到付USD51.2转预付376.32.
</t>
        </r>
      </text>
    </comment>
    <comment ref="J8" authorId="0">
      <text>
        <r>
          <rPr>
            <sz val="9"/>
            <rFont val="宋体"/>
            <charset val="134"/>
          </rPr>
          <t xml:space="preserve">到付USD3669.6转预付26604.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到付USD494.5转预付3645.46.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到付USD44.9转到付USD327.6.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到付USD9336.06转预付66566.11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Y5" authorId="0">
      <text>
        <r>
          <rPr>
            <sz val="9"/>
            <rFont val="宋体"/>
            <charset val="134"/>
          </rPr>
          <t>赛捷代付</t>
        </r>
      </text>
    </comment>
    <comment ref="J6" authorId="0">
      <text>
        <r>
          <rPr>
            <sz val="9"/>
            <rFont val="宋体"/>
            <charset val="134"/>
          </rPr>
          <t xml:space="preserve">到付USD609.84转预付4482.5.
</t>
        </r>
      </text>
    </comment>
    <comment ref="J7" authorId="0">
      <text>
        <r>
          <rPr>
            <sz val="9"/>
            <rFont val="宋体"/>
            <charset val="134"/>
          </rPr>
          <t xml:space="preserve">到付USD839.91转预付6236.5.
</t>
        </r>
      </text>
    </comment>
    <comment ref="J8" authorId="0">
      <text>
        <r>
          <rPr>
            <b/>
            <sz val="9"/>
            <rFont val="宋体"/>
            <charset val="134"/>
          </rPr>
          <t>15/10国内收美金.</t>
        </r>
        <r>
          <rPr>
            <sz val="9"/>
            <rFont val="宋体"/>
            <charset val="134"/>
          </rPr>
          <t xml:space="preserve">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到付USD2194.36转预付15645.79
</t>
        </r>
      </text>
    </comment>
    <comment ref="J11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2" authorId="0">
      <text>
        <r>
          <rPr>
            <sz val="9"/>
            <rFont val="宋体"/>
            <charset val="134"/>
          </rPr>
          <t>到付USD8618.84转预付52338.</t>
        </r>
      </text>
    </comment>
    <comment ref="J16" authorId="0">
      <text>
        <r>
          <rPr>
            <sz val="9"/>
            <rFont val="宋体"/>
            <charset val="134"/>
          </rPr>
          <t xml:space="preserve">到付USD2136.79转预付16565.05
</t>
        </r>
      </text>
    </comment>
  </commentList>
</comments>
</file>

<file path=xl/comments9.xml><?xml version="1.0" encoding="utf-8"?>
<comments xmlns="http://schemas.openxmlformats.org/spreadsheetml/2006/main">
  <authors>
    <author>30993</author>
  </authors>
  <commentList>
    <comment ref="Y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N6" authorId="0">
      <text>
        <r>
          <rPr>
            <sz val="9"/>
            <rFont val="宋体"/>
            <charset val="134"/>
          </rPr>
          <t>预付351转到付USD49.09.</t>
        </r>
      </text>
    </comment>
    <comment ref="N10" authorId="0">
      <text>
        <r>
          <rPr>
            <sz val="9"/>
            <rFont val="宋体"/>
            <charset val="134"/>
          </rPr>
          <t xml:space="preserve">预付5126.18转到付USD716.94.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到付USD7524转预付53646.12
</t>
        </r>
      </text>
    </comment>
    <comment ref="J17" authorId="0">
      <text>
        <r>
          <rPr>
            <sz val="9"/>
            <rFont val="宋体"/>
            <charset val="134"/>
          </rPr>
          <t xml:space="preserve">到付USD649.6转预付4667.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到付USD259.92转预付1853.23.
</t>
        </r>
      </text>
    </comment>
    <comment ref="J20" authorId="0">
      <text>
        <r>
          <rPr>
            <b/>
            <sz val="9"/>
            <rFont val="宋体"/>
            <charset val="134"/>
          </rPr>
          <t>14/10国内收美金.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30993</author>
  </authors>
  <commentList>
    <comment ref="Y5" authorId="0">
      <text>
        <r>
          <rPr>
            <sz val="9"/>
            <rFont val="宋体"/>
            <charset val="134"/>
          </rPr>
          <t xml:space="preserve">赛捷代付
</t>
        </r>
      </text>
    </comment>
    <comment ref="J6" authorId="0">
      <text>
        <r>
          <rPr>
            <b/>
            <sz val="9"/>
            <rFont val="宋体"/>
            <charset val="134"/>
          </rPr>
          <t>15/10国内收美金</t>
        </r>
        <r>
          <rPr>
            <sz val="9"/>
            <rFont val="宋体"/>
            <charset val="134"/>
          </rPr>
          <t xml:space="preserve">
</t>
        </r>
      </text>
    </comment>
    <comment ref="N8" authorId="0">
      <text>
        <r>
          <rPr>
            <sz val="9"/>
            <rFont val="宋体"/>
            <charset val="134"/>
          </rPr>
          <t xml:space="preserve">预付1217转到付USD170.2.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到付USD475.2转预付3388.18
</t>
        </r>
      </text>
    </comment>
    <comment ref="J14" authorId="0">
      <text>
        <r>
          <rPr>
            <sz val="9"/>
            <rFont val="宋体"/>
            <charset val="134"/>
          </rPr>
          <t xml:space="preserve">USD7912.888转预付56418.26
</t>
        </r>
      </text>
    </comment>
  </commentList>
</comments>
</file>

<file path=xl/comments11.xml><?xml version="1.0" encoding="utf-8"?>
<comments xmlns="http://schemas.openxmlformats.org/spreadsheetml/2006/main">
  <authors>
    <author>30993</author>
  </authors>
  <commentList>
    <comment ref="J6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N8" authorId="0">
      <text>
        <r>
          <rPr>
            <sz val="9"/>
            <rFont val="宋体"/>
            <charset val="134"/>
          </rPr>
          <t xml:space="preserve">预付转到付
</t>
        </r>
      </text>
    </comment>
    <comment ref="J9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到付USD522.84转预付3842.88.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到付USD24转预付565.2.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到付USD216.05转预付1588.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到付USD325.11转预付2389.6.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到付USD94.65转预付835.2.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到付USD150.34转 预付1105.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到付USD2776.03转预付20266.26.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到付USD637.62转预付4277.5.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到付USD58.65转预付468.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到付USD1410转预付10152.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到付USD8366.23转预付60665.17.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到付USD4042.44转预付28822.6
</t>
        </r>
      </text>
    </comment>
  </commentList>
</comments>
</file>

<file path=xl/comments12.xml><?xml version="1.0" encoding="utf-8"?>
<comments xmlns="http://schemas.openxmlformats.org/spreadsheetml/2006/main">
  <authors>
    <author>30993</author>
  </authors>
  <commentList>
    <comment ref="A5" authorId="0">
      <text>
        <r>
          <rPr>
            <b/>
            <sz val="9"/>
            <rFont val="宋体"/>
            <charset val="134"/>
          </rPr>
          <t>30993:</t>
        </r>
        <r>
          <rPr>
            <sz val="9"/>
            <rFont val="宋体"/>
            <charset val="134"/>
          </rPr>
          <t xml:space="preserve">
原JOB080397</t>
        </r>
      </text>
    </comment>
    <comment ref="J10" authorId="0">
      <text>
        <r>
          <rPr>
            <sz val="9"/>
            <rFont val="宋体"/>
            <charset val="134"/>
          </rPr>
          <t xml:space="preserve">到付USD2379.39转预付17258.7
</t>
        </r>
      </text>
    </comment>
    <comment ref="J20" authorId="0">
      <text>
        <r>
          <rPr>
            <sz val="9"/>
            <rFont val="宋体"/>
            <charset val="134"/>
          </rPr>
          <t xml:space="preserve">到付USAD12.58转预付904.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到付USD3312转预付24057.26
</t>
        </r>
      </text>
    </comment>
    <comment ref="J23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到付USD3631.78转预付25894.59
</t>
        </r>
      </text>
    </comment>
    <comment ref="J28" authorId="0">
      <text>
        <r>
          <rPr>
            <b/>
            <sz val="9"/>
            <rFont val="宋体"/>
            <charset val="134"/>
          </rPr>
          <t>3到付USD57.22转预付421.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<sst xmlns="http://schemas.openxmlformats.org/spreadsheetml/2006/main" count="1375" uniqueCount="143">
  <si>
    <t>2024年08月份LOS毛利表（海运）-68</t>
  </si>
  <si>
    <t>JOB</t>
  </si>
  <si>
    <t>集装编号 </t>
  </si>
  <si>
    <t>利润</t>
  </si>
  <si>
    <t>JOB080389</t>
  </si>
  <si>
    <t>COLL004124</t>
  </si>
  <si>
    <t>JOB080353</t>
  </si>
  <si>
    <t>COLL004085</t>
  </si>
  <si>
    <t>JOB080361</t>
  </si>
  <si>
    <t>COLL004096</t>
  </si>
  <si>
    <t>JOB080362</t>
  </si>
  <si>
    <t>COLL004097</t>
  </si>
  <si>
    <t>JOB080363</t>
  </si>
  <si>
    <t>COLL004098</t>
  </si>
  <si>
    <t>JOB080364</t>
  </si>
  <si>
    <t>COLL004100</t>
  </si>
  <si>
    <t>JOB080373</t>
  </si>
  <si>
    <t>COLL004107</t>
  </si>
  <si>
    <t>JOB080374</t>
  </si>
  <si>
    <t>COLL004108</t>
  </si>
  <si>
    <t>JOB080371</t>
  </si>
  <si>
    <t>COLL004105整柜</t>
  </si>
  <si>
    <t>JOB080387</t>
  </si>
  <si>
    <t>COLL004121</t>
  </si>
  <si>
    <t>JOB100326</t>
  </si>
  <si>
    <t>COLL004189</t>
  </si>
  <si>
    <t>合计</t>
  </si>
  <si>
    <t>2024年08月份LOS毛利表（海运）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</si>
  <si>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</si>
  <si>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</si>
  <si>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</si>
  <si>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</si>
  <si>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</si>
  <si>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</si>
  <si>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</si>
  <si>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</si>
  <si>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</si>
  <si>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</si>
  <si>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</si>
  <si>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</si>
  <si>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</si>
  <si>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</si>
  <si>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</si>
  <si>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</si>
  <si>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</si>
  <si>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</si>
  <si>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</si>
  <si>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</si>
  <si>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</si>
  <si>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</si>
  <si>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</si>
  <si>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</si>
  <si>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</si>
  <si>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</si>
  <si>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</si>
  <si>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</si>
  <si>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</si>
  <si>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</si>
  <si>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</si>
  <si>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</si>
  <si>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罗伟健</t>
  </si>
  <si>
    <t>MailMail速运-演员</t>
  </si>
  <si>
    <t>zeng hai</t>
  </si>
  <si>
    <t>赛捷</t>
  </si>
  <si>
    <t>Sam.Pao</t>
  </si>
  <si>
    <t>Yusky</t>
  </si>
  <si>
    <t>黄颖</t>
  </si>
  <si>
    <t>ying</t>
  </si>
  <si>
    <t>Huangpu</t>
  </si>
  <si>
    <t>朱小飞</t>
  </si>
  <si>
    <t>Isabel Zhu</t>
  </si>
  <si>
    <t>Anthonia</t>
  </si>
  <si>
    <t>吕沛霖</t>
  </si>
  <si>
    <t>Paul</t>
  </si>
  <si>
    <t>华茂青松=56567
赛捷=1280</t>
  </si>
  <si>
    <t>Mr Michael</t>
  </si>
  <si>
    <t>Idris</t>
  </si>
  <si>
    <t>Halifa Success</t>
  </si>
  <si>
    <t>Nick Wang</t>
  </si>
  <si>
    <t>Joy</t>
  </si>
  <si>
    <t>陆总</t>
  </si>
  <si>
    <t>喵喵速运-江</t>
  </si>
  <si>
    <t>LUZHILONG</t>
  </si>
  <si>
    <t>MaiKaiNian</t>
  </si>
  <si>
    <t>SKY JET</t>
  </si>
  <si>
    <t>ShanShan</t>
  </si>
  <si>
    <t>华茂青松=56567
赛捷=2300</t>
  </si>
  <si>
    <t>Wendy</t>
  </si>
  <si>
    <t>喵喵速运-Layne</t>
  </si>
  <si>
    <t>Hu Hai Liang</t>
  </si>
  <si>
    <t>Musa Garuba</t>
  </si>
  <si>
    <t>WEI PING</t>
  </si>
  <si>
    <t>Bella</t>
  </si>
  <si>
    <t>Bella Chan</t>
  </si>
  <si>
    <t>zhong zi xin</t>
  </si>
  <si>
    <t>zhang jian fei</t>
  </si>
  <si>
    <t>zhounengquan</t>
  </si>
  <si>
    <t>new hope 边鹏飞</t>
  </si>
  <si>
    <t>Sunday Adelena</t>
  </si>
  <si>
    <t>赛捷=56732.25
赛捷=800</t>
  </si>
  <si>
    <t>Abdul Aziz</t>
  </si>
  <si>
    <t>赛捷=56837.25
赛捷=2300</t>
  </si>
  <si>
    <t>zhang yong chong</t>
  </si>
  <si>
    <t>MR MANBO</t>
  </si>
  <si>
    <t>zhang long ting</t>
  </si>
  <si>
    <t>赛捷=57732.25
赛捷=800</t>
  </si>
  <si>
    <t>huangzhaoyong</t>
  </si>
  <si>
    <t>Cherry</t>
  </si>
  <si>
    <t>ChenGaoHong</t>
  </si>
  <si>
    <t>YA</t>
  </si>
  <si>
    <t>LuZhiLong</t>
  </si>
  <si>
    <t>赛捷=56265.25
赛捷=1280</t>
  </si>
  <si>
    <t>FRANK</t>
  </si>
  <si>
    <t>Inemesit udoh</t>
  </si>
  <si>
    <t>Emma</t>
  </si>
  <si>
    <t>Oladunni Eludire</t>
  </si>
  <si>
    <t>Victor Nnamdi</t>
  </si>
  <si>
    <t>FENG</t>
  </si>
  <si>
    <t>Mr.Joseph Ezekiel</t>
  </si>
  <si>
    <t>leoyang</t>
  </si>
  <si>
    <t>赛捷=56265.25
赛捷=1000</t>
  </si>
  <si>
    <t>yanjiafu</t>
  </si>
  <si>
    <t>JunYue hotel</t>
  </si>
  <si>
    <t>华茂青松</t>
  </si>
  <si>
    <t>Candice Ding</t>
  </si>
  <si>
    <t>登凯=50475
赛捷=1000
拖车费=1670
杂费=61 
过磅费=53</t>
  </si>
  <si>
    <t>Maxim</t>
  </si>
  <si>
    <t>baikaibo</t>
  </si>
  <si>
    <t>Nura</t>
  </si>
  <si>
    <t>liangyu</t>
  </si>
  <si>
    <t>Shuaibu musa</t>
  </si>
  <si>
    <t>libiao</t>
  </si>
  <si>
    <t>Wu Jiao Xing</t>
  </si>
  <si>
    <t>Lin Bao Zhen</t>
  </si>
  <si>
    <t>登凯=48262.5
赛捷=2800
 拖车费=1670
杂费=61 
过磅费=63</t>
  </si>
  <si>
    <t>Nicolas</t>
  </si>
  <si>
    <t>罗珮文</t>
  </si>
  <si>
    <t>Shirley</t>
  </si>
  <si>
    <t>陆梓龙</t>
  </si>
  <si>
    <t>jizong</t>
  </si>
  <si>
    <t>Sule Adekunle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</si>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</sst>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  <numFmt numFmtId="184" formatCode="0.0000_ "/>
  </numFmts>
  <fonts count="4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sz val="10"/>
      <color rgb="FF000000"/>
      <name val="Microsoft JhengHei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9" fontId="6" fillId="2" borderId="1" xfId="1" applyNumberFormat="1" applyFont="1" applyFill="1" applyBorder="1" applyAlignment="1">
      <alignment horizontal="center"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1" fillId="0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182" fontId="5" fillId="3" borderId="1" xfId="0" applyNumberFormat="1" applyFont="1" applyFill="1" applyBorder="1" applyAlignment="1">
      <alignment horizontal="right" vertical="center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/>
    </xf>
    <xf numFmtId="182" fontId="14" fillId="0" borderId="1" xfId="0" applyNumberFormat="1" applyFont="1" applyFill="1" applyBorder="1" applyAlignment="1">
      <alignment horizontal="right" vertical="center"/>
    </xf>
    <xf numFmtId="182" fontId="9" fillId="2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176" fontId="9" fillId="3" borderId="1" xfId="0" applyNumberFormat="1" applyFont="1" applyFill="1" applyBorder="1" applyAlignment="1">
      <alignment horizontal="center" vertical="center"/>
    </xf>
    <xf numFmtId="182" fontId="8" fillId="2" borderId="1" xfId="0" applyNumberFormat="1" applyFont="1" applyFill="1" applyBorder="1" applyAlignment="1">
      <alignment vertical="center"/>
    </xf>
    <xf numFmtId="182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177" fontId="8" fillId="3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5" fillId="0" borderId="0" xfId="0" applyNumberFormat="1" applyFont="1" applyFill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2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2" fontId="13" fillId="0" borderId="8" xfId="0" applyNumberFormat="1" applyFont="1" applyFill="1" applyBorder="1" applyAlignment="1">
      <alignment horizontal="center" vertical="center" wrapText="1"/>
    </xf>
    <xf numFmtId="7" fontId="15" fillId="3" borderId="2" xfId="0" applyNumberFormat="1" applyFont="1" applyFill="1" applyBorder="1" applyAlignment="1">
      <alignment horizontal="center" vertical="center" wrapText="1"/>
    </xf>
    <xf numFmtId="182" fontId="1" fillId="4" borderId="3" xfId="0" applyNumberFormat="1" applyFont="1" applyFill="1" applyBorder="1" applyAlignment="1">
      <alignment horizontal="center" vertical="center"/>
    </xf>
    <xf numFmtId="183" fontId="16" fillId="5" borderId="1" xfId="4" applyNumberFormat="1" applyFont="1" applyFill="1" applyBorder="1" applyAlignment="1">
      <alignment horizontal="center" vertical="center"/>
    </xf>
    <xf numFmtId="182" fontId="14" fillId="5" borderId="1" xfId="4" applyNumberFormat="1" applyFont="1" applyFill="1" applyBorder="1" applyAlignment="1">
      <alignment horizontal="center" vertical="center"/>
    </xf>
    <xf numFmtId="183" fontId="14" fillId="0" borderId="1" xfId="4" applyNumberFormat="1" applyFont="1" applyFill="1" applyBorder="1" applyAlignment="1">
      <alignment horizontal="center" vertical="center"/>
    </xf>
    <xf numFmtId="182" fontId="14" fillId="0" borderId="1" xfId="4" applyNumberFormat="1" applyFont="1" applyFill="1" applyBorder="1" applyAlignment="1">
      <alignment horizontal="center" vertical="center"/>
    </xf>
    <xf numFmtId="182" fontId="13" fillId="0" borderId="9" xfId="0" applyNumberFormat="1" applyFont="1" applyFill="1" applyBorder="1" applyAlignment="1">
      <alignment horizontal="center" vertical="center" wrapText="1"/>
    </xf>
    <xf numFmtId="7" fontId="15" fillId="3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vertical="center"/>
    </xf>
    <xf numFmtId="182" fontId="2" fillId="3" borderId="1" xfId="0" applyNumberFormat="1" applyFont="1" applyFill="1" applyBorder="1" applyAlignment="1">
      <alignment vertical="center"/>
    </xf>
    <xf numFmtId="7" fontId="2" fillId="0" borderId="1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center" vertical="center"/>
    </xf>
    <xf numFmtId="182" fontId="2" fillId="0" borderId="7" xfId="0" applyNumberFormat="1" applyFont="1" applyFill="1" applyBorder="1" applyAlignment="1">
      <alignment horizontal="center" vertical="center"/>
    </xf>
    <xf numFmtId="7" fontId="2" fillId="0" borderId="1" xfId="0" applyNumberFormat="1" applyFont="1" applyBorder="1" applyAlignment="1">
      <alignment vertical="center"/>
    </xf>
    <xf numFmtId="177" fontId="13" fillId="3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2" fontId="1" fillId="6" borderId="2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vertical="center" wrapText="1"/>
    </xf>
    <xf numFmtId="177" fontId="13" fillId="3" borderId="1" xfId="0" applyNumberFormat="1" applyFont="1" applyFill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center" vertical="center"/>
    </xf>
    <xf numFmtId="182" fontId="13" fillId="3" borderId="1" xfId="0" applyNumberFormat="1" applyFont="1" applyFill="1" applyBorder="1" applyAlignment="1">
      <alignment horizontal="center" vertical="center"/>
    </xf>
    <xf numFmtId="182" fontId="13" fillId="4" borderId="1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182" fontId="18" fillId="3" borderId="1" xfId="0" applyNumberFormat="1" applyFont="1" applyFill="1" applyBorder="1">
      <alignment vertical="center"/>
    </xf>
    <xf numFmtId="7" fontId="8" fillId="2" borderId="1" xfId="0" applyNumberFormat="1" applyFont="1" applyFill="1" applyBorder="1" applyAlignment="1">
      <alignment vertical="center"/>
    </xf>
    <xf numFmtId="182" fontId="2" fillId="0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82" fontId="8" fillId="3" borderId="1" xfId="0" applyNumberFormat="1" applyFont="1" applyFill="1" applyBorder="1" applyAlignment="1">
      <alignment vertical="center"/>
    </xf>
    <xf numFmtId="182" fontId="9" fillId="3" borderId="1" xfId="0" applyNumberFormat="1" applyFont="1" applyFill="1" applyBorder="1" applyAlignment="1">
      <alignment vertical="center"/>
    </xf>
    <xf numFmtId="182" fontId="0" fillId="0" borderId="3" xfId="0" applyNumberFormat="1" applyFill="1" applyBorder="1" applyAlignment="1">
      <alignment horizontal="center" vertical="center"/>
    </xf>
    <xf numFmtId="182" fontId="0" fillId="0" borderId="2" xfId="0" applyNumberForma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182" fontId="9" fillId="2" borderId="2" xfId="0" applyNumberFormat="1" applyFont="1" applyFill="1" applyBorder="1" applyAlignment="1">
      <alignment vertical="center"/>
    </xf>
    <xf numFmtId="177" fontId="8" fillId="2" borderId="2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center" vertical="center" wrapText="1"/>
    </xf>
    <xf numFmtId="184" fontId="8" fillId="3" borderId="1" xfId="0" applyNumberFormat="1" applyFont="1" applyFill="1" applyBorder="1" applyAlignment="1">
      <alignment vertical="center"/>
    </xf>
    <xf numFmtId="182" fontId="19" fillId="0" borderId="1" xfId="0" applyNumberFormat="1" applyFont="1" applyFill="1" applyBorder="1" applyAlignment="1">
      <alignment vertical="center"/>
    </xf>
    <xf numFmtId="7" fontId="0" fillId="0" borderId="0" xfId="0" applyNumberFormat="1">
      <alignment vertical="center"/>
    </xf>
    <xf numFmtId="7" fontId="3" fillId="0" borderId="0" xfId="0" applyNumberFormat="1" applyFont="1" applyAlignment="1">
      <alignment horizontal="center" vertical="center"/>
    </xf>
    <xf numFmtId="7" fontId="1" fillId="6" borderId="2" xfId="0" applyNumberFormat="1" applyFont="1" applyFill="1" applyBorder="1" applyAlignment="1">
      <alignment horizontal="center" vertical="center"/>
    </xf>
    <xf numFmtId="7" fontId="1" fillId="6" borderId="7" xfId="0" applyNumberFormat="1" applyFont="1" applyFill="1" applyBorder="1" applyAlignment="1">
      <alignment horizontal="center" vertical="center"/>
    </xf>
    <xf numFmtId="182" fontId="20" fillId="0" borderId="1" xfId="0" applyNumberFormat="1" applyFont="1" applyBorder="1" applyAlignment="1">
      <alignment vertical="center"/>
    </xf>
    <xf numFmtId="182" fontId="0" fillId="0" borderId="1" xfId="0" applyNumberFormat="1" applyBorder="1" applyAlignment="1">
      <alignment vertical="center"/>
    </xf>
    <xf numFmtId="7" fontId="18" fillId="3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"/>
  <sheetViews>
    <sheetView zoomScale="110" zoomScaleNormal="110" workbookViewId="0">
      <pane ySplit="3" topLeftCell="A82" activePane="bottomLeft" state="frozen"/>
      <selection/>
      <selection pane="bottomLeft" activeCell="C114" sqref="C114:C138"/>
    </sheetView>
  </sheetViews>
  <sheetFormatPr defaultColWidth="9" defaultRowHeight="13.5" outlineLevelCol="2"/>
  <cols>
    <col min="1" max="1" width="9.875" customWidth="1"/>
    <col min="2" max="2" width="11.625" customWidth="1"/>
    <col min="3" max="3" width="17.875"/>
  </cols>
  <sheetData>
    <row r="1" ht="31" customHeight="1" spans="1:3">
      <c r="A1" s="8" t="s">
        <v>0</v>
      </c>
      <c r="B1" s="8"/>
      <c r="C1" s="8"/>
    </row>
    <row r="2" s="1" customFormat="1" ht="23" customHeight="1" spans="1:3">
      <c r="A2" s="10" t="s">
        <v>1</v>
      </c>
      <c r="B2" s="11" t="s">
        <v>2</v>
      </c>
      <c r="C2" s="84" t="s">
        <v>3</v>
      </c>
    </row>
    <row r="3" s="1" customFormat="1" ht="27" customHeight="1" spans="1:3">
      <c r="A3" s="16"/>
      <c r="B3" s="17"/>
      <c r="C3" s="90"/>
    </row>
    <row r="4" s="2" customFormat="1" ht="6" customHeight="1" spans="1:3">
      <c r="A4" s="20" t="s">
        <v>4</v>
      </c>
      <c r="B4" s="21" t="s">
        <v>5</v>
      </c>
      <c r="C4" s="95">
        <f>SUM('JOB080389'!AF10)</f>
        <v>36938.519364</v>
      </c>
    </row>
    <row r="5" s="2" customFormat="1" ht="6" customHeight="1" spans="1:3">
      <c r="A5" s="20"/>
      <c r="B5" s="21"/>
      <c r="C5" s="95"/>
    </row>
    <row r="6" s="2" customFormat="1" ht="6" customHeight="1" spans="1:3">
      <c r="A6" s="20"/>
      <c r="B6" s="21"/>
      <c r="C6" s="95"/>
    </row>
    <row r="7" s="2" customFormat="1" ht="6" customHeight="1" spans="1:3">
      <c r="A7" s="20"/>
      <c r="B7" s="21"/>
      <c r="C7" s="95"/>
    </row>
    <row r="8" s="2" customFormat="1" ht="6" customHeight="1" spans="1:3">
      <c r="A8" s="20"/>
      <c r="B8" s="21"/>
      <c r="C8" s="95"/>
    </row>
    <row r="9" s="2" customFormat="1" ht="6" customHeight="1" spans="1:3">
      <c r="A9" s="20" t="s">
        <v>6</v>
      </c>
      <c r="B9" s="21" t="s">
        <v>7</v>
      </c>
      <c r="C9" s="73">
        <f>SUM('JOB080353'!AF17)</f>
        <v>19429.605688</v>
      </c>
    </row>
    <row r="10" s="2" customFormat="1" ht="6" customHeight="1" spans="1:3">
      <c r="A10" s="20"/>
      <c r="B10" s="21"/>
      <c r="C10" s="78"/>
    </row>
    <row r="11" s="2" customFormat="1" ht="6" customHeight="1" spans="1:3">
      <c r="A11" s="20"/>
      <c r="B11" s="21"/>
      <c r="C11" s="78"/>
    </row>
    <row r="12" s="2" customFormat="1" ht="6" customHeight="1" spans="1:3">
      <c r="A12" s="20"/>
      <c r="B12" s="21"/>
      <c r="C12" s="73"/>
    </row>
    <row r="13" s="2" customFormat="1" ht="6" customHeight="1" spans="1:3">
      <c r="A13" s="20"/>
      <c r="B13" s="21"/>
      <c r="C13" s="78"/>
    </row>
    <row r="14" s="2" customFormat="1" ht="6" customHeight="1" spans="1:3">
      <c r="A14" s="20"/>
      <c r="B14" s="21"/>
      <c r="C14" s="78"/>
    </row>
    <row r="15" s="2" customFormat="1" ht="6" customHeight="1" spans="1:3">
      <c r="A15" s="20"/>
      <c r="B15" s="21"/>
      <c r="C15" s="78"/>
    </row>
    <row r="16" s="2" customFormat="1" ht="6" customHeight="1" spans="1:3">
      <c r="A16" s="20"/>
      <c r="B16" s="21"/>
      <c r="C16" s="78"/>
    </row>
    <row r="17" s="2" customFormat="1" ht="6" customHeight="1" spans="1:3">
      <c r="A17" s="20"/>
      <c r="B17" s="21"/>
      <c r="C17" s="78"/>
    </row>
    <row r="18" s="2" customFormat="1" ht="6" customHeight="1" spans="1:3">
      <c r="A18" s="20"/>
      <c r="B18" s="21"/>
      <c r="C18" s="78"/>
    </row>
    <row r="19" s="2" customFormat="1" ht="6" customHeight="1" spans="1:3">
      <c r="A19" s="20"/>
      <c r="B19" s="21"/>
      <c r="C19" s="78"/>
    </row>
    <row r="20" s="2" customFormat="1" ht="6" customHeight="1" spans="1:3">
      <c r="A20" s="20"/>
      <c r="B20" s="21"/>
      <c r="C20" s="79"/>
    </row>
    <row r="21" s="2" customFormat="1" ht="6" customHeight="1" spans="1:3">
      <c r="A21" s="20" t="s">
        <v>8</v>
      </c>
      <c r="B21" s="21" t="s">
        <v>9</v>
      </c>
      <c r="C21" s="73">
        <f>SUM('JOB080361'!AF25)</f>
        <v>19357.9609156235</v>
      </c>
    </row>
    <row r="22" s="2" customFormat="1" ht="6" customHeight="1" spans="1:3">
      <c r="A22" s="20"/>
      <c r="B22" s="21"/>
      <c r="C22" s="78"/>
    </row>
    <row r="23" s="2" customFormat="1" ht="6" customHeight="1" spans="1:3">
      <c r="A23" s="20"/>
      <c r="B23" s="21"/>
      <c r="C23" s="78"/>
    </row>
    <row r="24" s="2" customFormat="1" ht="6" customHeight="1" spans="1:3">
      <c r="A24" s="20"/>
      <c r="B24" s="21"/>
      <c r="C24" s="78"/>
    </row>
    <row r="25" s="2" customFormat="1" ht="6" customHeight="1" spans="1:3">
      <c r="A25" s="20"/>
      <c r="B25" s="21"/>
      <c r="C25" s="78"/>
    </row>
    <row r="26" s="2" customFormat="1" ht="6" customHeight="1" spans="1:3">
      <c r="A26" s="20"/>
      <c r="B26" s="21"/>
      <c r="C26" s="73"/>
    </row>
    <row r="27" s="2" customFormat="1" ht="6" customHeight="1" spans="1:3">
      <c r="A27" s="20"/>
      <c r="B27" s="21"/>
      <c r="C27" s="102"/>
    </row>
    <row r="28" s="2" customFormat="1" ht="6" customHeight="1" spans="1:3">
      <c r="A28" s="20"/>
      <c r="B28" s="21"/>
      <c r="C28" s="78"/>
    </row>
    <row r="29" s="2" customFormat="1" ht="6" customHeight="1" spans="1:3">
      <c r="A29" s="20"/>
      <c r="B29" s="21"/>
      <c r="C29" s="78"/>
    </row>
    <row r="30" s="2" customFormat="1" ht="6" customHeight="1" spans="1:3">
      <c r="A30" s="20"/>
      <c r="B30" s="21"/>
      <c r="C30" s="78"/>
    </row>
    <row r="31" s="2" customFormat="1" ht="6" customHeight="1" spans="1:3">
      <c r="A31" s="20"/>
      <c r="B31" s="21"/>
      <c r="C31" s="78"/>
    </row>
    <row r="32" s="2" customFormat="1" ht="6" customHeight="1" spans="1:3">
      <c r="A32" s="20"/>
      <c r="B32" s="21"/>
      <c r="C32" s="78"/>
    </row>
    <row r="33" s="2" customFormat="1" ht="6" customHeight="1" spans="1:3">
      <c r="A33" s="20"/>
      <c r="B33" s="21"/>
      <c r="C33" s="78"/>
    </row>
    <row r="34" s="2" customFormat="1" ht="6" customHeight="1" spans="1:3">
      <c r="A34" s="20"/>
      <c r="B34" s="21"/>
      <c r="C34" s="78"/>
    </row>
    <row r="35" s="2" customFormat="1" ht="6" customHeight="1" spans="1:3">
      <c r="A35" s="20"/>
      <c r="B35" s="21"/>
      <c r="C35" s="78"/>
    </row>
    <row r="36" s="2" customFormat="1" ht="6" customHeight="1" spans="1:3">
      <c r="A36" s="20"/>
      <c r="B36" s="21"/>
      <c r="C36" s="78"/>
    </row>
    <row r="37" s="2" customFormat="1" ht="6" customHeight="1" spans="1:3">
      <c r="A37" s="20"/>
      <c r="B37" s="21"/>
      <c r="C37" s="78"/>
    </row>
    <row r="38" s="2" customFormat="1" ht="6" customHeight="1" spans="1:3">
      <c r="A38" s="20"/>
      <c r="B38" s="21"/>
      <c r="C38" s="78"/>
    </row>
    <row r="39" s="2" customFormat="1" ht="6" customHeight="1" spans="1:3">
      <c r="A39" s="20"/>
      <c r="B39" s="21"/>
      <c r="C39" s="78"/>
    </row>
    <row r="40" s="2" customFormat="1" ht="6" customHeight="1" spans="1:3">
      <c r="A40" s="20"/>
      <c r="B40" s="21"/>
      <c r="C40" s="78"/>
    </row>
    <row r="41" s="2" customFormat="1" ht="6" customHeight="1" spans="1:3">
      <c r="A41" s="20"/>
      <c r="B41" s="21"/>
      <c r="C41" s="79"/>
    </row>
    <row r="42" s="2" customFormat="1" ht="6" customHeight="1" spans="1:3">
      <c r="A42" s="103" t="s">
        <v>10</v>
      </c>
      <c r="B42" s="103" t="s">
        <v>11</v>
      </c>
      <c r="C42" s="78">
        <f>SUM('JOB080362'!AF9)</f>
        <v>228.988452856459</v>
      </c>
    </row>
    <row r="43" s="2" customFormat="1" ht="6" customHeight="1" spans="1:3">
      <c r="A43" s="20"/>
      <c r="B43" s="21"/>
      <c r="C43" s="102"/>
    </row>
    <row r="44" s="2" customFormat="1" ht="6" customHeight="1" spans="1:3">
      <c r="A44" s="20"/>
      <c r="B44" s="21"/>
      <c r="C44" s="79"/>
    </row>
    <row r="45" s="2" customFormat="1" ht="6" customHeight="1" spans="1:3">
      <c r="A45" s="104"/>
      <c r="B45" s="105"/>
      <c r="C45" s="79"/>
    </row>
    <row r="46" s="2" customFormat="1" ht="6" customHeight="1" spans="1:3">
      <c r="A46" s="20" t="s">
        <v>12</v>
      </c>
      <c r="B46" s="21" t="s">
        <v>13</v>
      </c>
      <c r="C46" s="73">
        <f>SUM('JOB080363'!AF15)</f>
        <v>12540.7694369091</v>
      </c>
    </row>
    <row r="47" s="2" customFormat="1" ht="6" customHeight="1" spans="1:3">
      <c r="A47" s="20"/>
      <c r="B47" s="21"/>
      <c r="C47" s="78"/>
    </row>
    <row r="48" s="2" customFormat="1" ht="6" customHeight="1" spans="1:3">
      <c r="A48" s="20"/>
      <c r="B48" s="21"/>
      <c r="C48" s="78"/>
    </row>
    <row r="49" s="2" customFormat="1" ht="6" customHeight="1" spans="1:3">
      <c r="A49" s="20"/>
      <c r="B49" s="21"/>
      <c r="C49" s="73"/>
    </row>
    <row r="50" s="2" customFormat="1" ht="6" customHeight="1" spans="1:3">
      <c r="A50" s="20"/>
      <c r="B50" s="21"/>
      <c r="C50" s="102"/>
    </row>
    <row r="51" s="2" customFormat="1" ht="6" customHeight="1" spans="1:3">
      <c r="A51" s="20"/>
      <c r="B51" s="21"/>
      <c r="C51" s="78"/>
    </row>
    <row r="52" s="2" customFormat="1" ht="6" customHeight="1" spans="1:3">
      <c r="A52" s="20"/>
      <c r="B52" s="21"/>
      <c r="C52" s="78"/>
    </row>
    <row r="53" s="2" customFormat="1" ht="6" customHeight="1" spans="1:3">
      <c r="A53" s="20"/>
      <c r="B53" s="21"/>
      <c r="C53" s="78"/>
    </row>
    <row r="54" s="2" customFormat="1" ht="6" customHeight="1" spans="1:3">
      <c r="A54" s="20"/>
      <c r="B54" s="21"/>
      <c r="C54" s="78"/>
    </row>
    <row r="55" s="2" customFormat="1" ht="6" customHeight="1" spans="1:3">
      <c r="A55" s="20"/>
      <c r="B55" s="21"/>
      <c r="C55" s="79"/>
    </row>
    <row r="56" s="2" customFormat="1" ht="6" customHeight="1" spans="1:3">
      <c r="A56" s="20" t="s">
        <v>14</v>
      </c>
      <c r="B56" s="21" t="s">
        <v>15</v>
      </c>
      <c r="C56" s="73">
        <f>SUM('JOB080364'!AF17)</f>
        <v>11502.0735780588</v>
      </c>
    </row>
    <row r="57" s="2" customFormat="1" ht="6" customHeight="1" spans="1:3">
      <c r="A57" s="20"/>
      <c r="B57" s="21"/>
      <c r="C57" s="78"/>
    </row>
    <row r="58" s="2" customFormat="1" ht="6" customHeight="1" spans="1:3">
      <c r="A58" s="20"/>
      <c r="B58" s="21"/>
      <c r="C58" s="78"/>
    </row>
    <row r="59" s="2" customFormat="1" ht="6" customHeight="1" spans="1:3">
      <c r="A59" s="20"/>
      <c r="B59" s="21"/>
      <c r="C59" s="78"/>
    </row>
    <row r="60" s="2" customFormat="1" ht="6" customHeight="1" spans="1:3">
      <c r="A60" s="20"/>
      <c r="B60" s="21"/>
      <c r="C60" s="78"/>
    </row>
    <row r="61" s="2" customFormat="1" ht="6" customHeight="1" spans="1:3">
      <c r="A61" s="20"/>
      <c r="B61" s="21"/>
      <c r="C61" s="78"/>
    </row>
    <row r="62" s="2" customFormat="1" ht="6" customHeight="1" spans="1:3">
      <c r="A62" s="20"/>
      <c r="B62" s="21"/>
      <c r="C62" s="78"/>
    </row>
    <row r="63" s="2" customFormat="1" ht="6" customHeight="1" spans="1:3">
      <c r="A63" s="20"/>
      <c r="B63" s="21"/>
      <c r="C63" s="78"/>
    </row>
    <row r="64" s="2" customFormat="1" ht="6" customHeight="1" spans="1:3">
      <c r="A64" s="20"/>
      <c r="B64" s="21"/>
      <c r="C64" s="101"/>
    </row>
    <row r="65" s="2" customFormat="1" ht="6" customHeight="1" spans="1:3">
      <c r="A65" s="20"/>
      <c r="B65" s="21"/>
      <c r="C65" s="78"/>
    </row>
    <row r="66" s="2" customFormat="1" ht="6" customHeight="1" spans="1:3">
      <c r="A66" s="20"/>
      <c r="B66" s="21"/>
      <c r="C66" s="102"/>
    </row>
    <row r="67" s="2" customFormat="1" ht="6" customHeight="1" spans="1:3">
      <c r="A67" s="20"/>
      <c r="B67" s="21"/>
      <c r="C67" s="79"/>
    </row>
    <row r="68" s="2" customFormat="1" ht="6" customHeight="1" spans="1:3">
      <c r="A68" s="20" t="s">
        <v>16</v>
      </c>
      <c r="B68" s="21" t="s">
        <v>17</v>
      </c>
      <c r="C68" s="73">
        <f>SUM('JOB080373'!AF21)</f>
        <v>8082.21627647059</v>
      </c>
    </row>
    <row r="69" s="2" customFormat="1" ht="6" customHeight="1" spans="1:3">
      <c r="A69" s="20"/>
      <c r="B69" s="21"/>
      <c r="C69" s="78"/>
    </row>
    <row r="70" s="2" customFormat="1" ht="6" customHeight="1" spans="1:3">
      <c r="A70" s="20"/>
      <c r="B70" s="21"/>
      <c r="C70" s="78"/>
    </row>
    <row r="71" s="2" customFormat="1" ht="6" customHeight="1" spans="1:3">
      <c r="A71" s="20"/>
      <c r="B71" s="21"/>
      <c r="C71" s="78"/>
    </row>
    <row r="72" s="2" customFormat="1" ht="6" customHeight="1" spans="1:3">
      <c r="A72" s="20"/>
      <c r="B72" s="21"/>
      <c r="C72" s="78"/>
    </row>
    <row r="73" s="2" customFormat="1" ht="6" customHeight="1" spans="1:3">
      <c r="A73" s="20"/>
      <c r="B73" s="21"/>
      <c r="C73" s="78"/>
    </row>
    <row r="74" s="2" customFormat="1" ht="6" customHeight="1" spans="1:3">
      <c r="A74" s="20"/>
      <c r="B74" s="21"/>
      <c r="C74" s="78"/>
    </row>
    <row r="75" s="2" customFormat="1" ht="6" customHeight="1" spans="1:3">
      <c r="A75" s="20"/>
      <c r="B75" s="21"/>
      <c r="C75" s="78"/>
    </row>
    <row r="76" s="2" customFormat="1" ht="6" customHeight="1" spans="1:3">
      <c r="A76" s="20"/>
      <c r="B76" s="21"/>
      <c r="C76" s="78"/>
    </row>
    <row r="77" s="2" customFormat="1" ht="6" customHeight="1" spans="1:3">
      <c r="A77" s="20"/>
      <c r="B77" s="21"/>
      <c r="C77" s="78"/>
    </row>
    <row r="78" s="2" customFormat="1" ht="6" customHeight="1" spans="1:3">
      <c r="A78" s="20"/>
      <c r="B78" s="21"/>
      <c r="C78" s="78"/>
    </row>
    <row r="79" s="2" customFormat="1" ht="6" customHeight="1" spans="1:3">
      <c r="A79" s="20"/>
      <c r="B79" s="21"/>
      <c r="C79" s="78"/>
    </row>
    <row r="80" s="2" customFormat="1" ht="6" customHeight="1" spans="1:3">
      <c r="A80" s="20"/>
      <c r="B80" s="21"/>
      <c r="C80" s="78"/>
    </row>
    <row r="81" s="2" customFormat="1" ht="6" customHeight="1" spans="1:3">
      <c r="A81" s="20"/>
      <c r="B81" s="21"/>
      <c r="C81" s="78"/>
    </row>
    <row r="82" s="2" customFormat="1" ht="6" customHeight="1" spans="1:3">
      <c r="A82" s="20"/>
      <c r="B82" s="21"/>
      <c r="C82" s="79"/>
    </row>
    <row r="83" s="2" customFormat="1" ht="6" customHeight="1" spans="1:3">
      <c r="A83" s="20"/>
      <c r="B83" s="21"/>
      <c r="C83" s="79"/>
    </row>
    <row r="84" s="2" customFormat="1" ht="6" customHeight="1" spans="1:3">
      <c r="A84" s="20" t="s">
        <v>18</v>
      </c>
      <c r="B84" s="21" t="s">
        <v>19</v>
      </c>
      <c r="C84" s="73">
        <f>SUM('JOB080374'!AF15)</f>
        <v>-11.1723482799953</v>
      </c>
    </row>
    <row r="85" s="2" customFormat="1" ht="6" customHeight="1" spans="1:3">
      <c r="A85" s="20"/>
      <c r="B85" s="21"/>
      <c r="C85" s="78"/>
    </row>
    <row r="86" s="2" customFormat="1" ht="6" customHeight="1" spans="1:3">
      <c r="A86" s="20"/>
      <c r="B86" s="21"/>
      <c r="C86" s="78"/>
    </row>
    <row r="87" s="2" customFormat="1" ht="6" customHeight="1" spans="1:3">
      <c r="A87" s="20"/>
      <c r="B87" s="21"/>
      <c r="C87" s="78"/>
    </row>
    <row r="88" s="2" customFormat="1" ht="6" customHeight="1" spans="1:3">
      <c r="A88" s="20"/>
      <c r="B88" s="21"/>
      <c r="C88" s="78"/>
    </row>
    <row r="89" s="2" customFormat="1" ht="6" customHeight="1" spans="1:3">
      <c r="A89" s="20"/>
      <c r="B89" s="21"/>
      <c r="C89" s="78"/>
    </row>
    <row r="90" s="2" customFormat="1" ht="6" customHeight="1" spans="1:3">
      <c r="A90" s="20"/>
      <c r="B90" s="21"/>
      <c r="C90" s="78"/>
    </row>
    <row r="91" s="2" customFormat="1" ht="6" customHeight="1" spans="1:3">
      <c r="A91" s="20"/>
      <c r="B91" s="21"/>
      <c r="C91" s="78"/>
    </row>
    <row r="92" s="2" customFormat="1" ht="6" customHeight="1" spans="1:3">
      <c r="A92" s="20"/>
      <c r="B92" s="21"/>
      <c r="C92" s="78"/>
    </row>
    <row r="93" s="2" customFormat="1" ht="6" customHeight="1" spans="1:3">
      <c r="A93" s="20"/>
      <c r="B93" s="21"/>
      <c r="C93" s="79"/>
    </row>
    <row r="94" s="2" customFormat="1" ht="15" customHeight="1" spans="1:3">
      <c r="A94" s="20" t="s">
        <v>20</v>
      </c>
      <c r="B94" s="21" t="s">
        <v>21</v>
      </c>
      <c r="C94" s="95">
        <f>SUM('JOB080371'!AF6)</f>
        <v>96367.9975</v>
      </c>
    </row>
    <row r="95" s="2" customFormat="1" ht="6" customHeight="1" spans="1:3">
      <c r="A95" s="20" t="s">
        <v>22</v>
      </c>
      <c r="B95" s="21" t="s">
        <v>23</v>
      </c>
      <c r="C95" s="73">
        <f>SUM('JOB080387'!AF24)</f>
        <v>15283.5899972953</v>
      </c>
    </row>
    <row r="96" s="2" customFormat="1" ht="6" customHeight="1" spans="1:3">
      <c r="A96" s="20"/>
      <c r="B96" s="21"/>
      <c r="C96" s="78"/>
    </row>
    <row r="97" s="2" customFormat="1" ht="6" customHeight="1" spans="1:3">
      <c r="A97" s="20"/>
      <c r="B97" s="21"/>
      <c r="C97" s="78"/>
    </row>
    <row r="98" s="2" customFormat="1" ht="6" customHeight="1" spans="1:3">
      <c r="A98" s="20"/>
      <c r="B98" s="21"/>
      <c r="C98" s="78"/>
    </row>
    <row r="99" s="2" customFormat="1" ht="6" customHeight="1" spans="1:3">
      <c r="A99" s="20"/>
      <c r="B99" s="21"/>
      <c r="C99" s="78"/>
    </row>
    <row r="100" s="2" customFormat="1" ht="6" customHeight="1" spans="1:3">
      <c r="A100" s="20"/>
      <c r="B100" s="21"/>
      <c r="C100" s="78"/>
    </row>
    <row r="101" s="2" customFormat="1" ht="6" customHeight="1" spans="1:3">
      <c r="A101" s="20"/>
      <c r="B101" s="21"/>
      <c r="C101" s="78"/>
    </row>
    <row r="102" s="2" customFormat="1" ht="6" customHeight="1" spans="1:3">
      <c r="A102" s="20"/>
      <c r="B102" s="21"/>
      <c r="C102" s="78"/>
    </row>
    <row r="103" s="2" customFormat="1" ht="6" customHeight="1" spans="1:3">
      <c r="A103" s="20"/>
      <c r="B103" s="21"/>
      <c r="C103" s="78"/>
    </row>
    <row r="104" s="2" customFormat="1" ht="6" customHeight="1" spans="1:3">
      <c r="A104" s="20"/>
      <c r="B104" s="21"/>
      <c r="C104" s="78"/>
    </row>
    <row r="105" s="2" customFormat="1" ht="6" customHeight="1" spans="1:3">
      <c r="A105" s="20"/>
      <c r="B105" s="21"/>
      <c r="C105" s="78"/>
    </row>
    <row r="106" s="2" customFormat="1" ht="6" customHeight="1" spans="1:3">
      <c r="A106" s="20"/>
      <c r="B106" s="21"/>
      <c r="C106" s="78"/>
    </row>
    <row r="107" s="2" customFormat="1" ht="6" customHeight="1" spans="1:3">
      <c r="A107" s="20"/>
      <c r="B107" s="21"/>
      <c r="C107" s="78"/>
    </row>
    <row r="108" s="2" customFormat="1" ht="6" customHeight="1" spans="1:3">
      <c r="A108" s="20"/>
      <c r="B108" s="21"/>
      <c r="C108" s="78"/>
    </row>
    <row r="109" s="2" customFormat="1" ht="6" customHeight="1" spans="1:3">
      <c r="A109" s="20"/>
      <c r="B109" s="21"/>
      <c r="C109" s="78"/>
    </row>
    <row r="110" s="2" customFormat="1" ht="6" customHeight="1" spans="1:3">
      <c r="A110" s="20"/>
      <c r="B110" s="21"/>
      <c r="C110" s="78"/>
    </row>
    <row r="111" s="2" customFormat="1" ht="6" customHeight="1" spans="1:3">
      <c r="A111" s="20"/>
      <c r="B111" s="21"/>
      <c r="C111" s="78"/>
    </row>
    <row r="112" s="2" customFormat="1" ht="6" customHeight="1" spans="1:3">
      <c r="A112" s="20"/>
      <c r="B112" s="21"/>
      <c r="C112" s="78"/>
    </row>
    <row r="113" s="2" customFormat="1" ht="6" customHeight="1" spans="1:3">
      <c r="A113" s="20"/>
      <c r="B113" s="21"/>
      <c r="C113" s="79"/>
    </row>
    <row r="114" s="2" customFormat="1" ht="6" customHeight="1" spans="1:3">
      <c r="A114" s="20" t="s">
        <v>24</v>
      </c>
      <c r="B114" s="21" t="s">
        <v>25</v>
      </c>
      <c r="C114" s="73">
        <f>SUM('JOB100326'!AF30)</f>
        <v>8491.90243002355</v>
      </c>
    </row>
    <row r="115" s="2" customFormat="1" ht="6" customHeight="1" spans="1:3">
      <c r="A115" s="20"/>
      <c r="B115" s="21"/>
      <c r="C115" s="78"/>
    </row>
    <row r="116" s="2" customFormat="1" ht="6" customHeight="1" spans="1:3">
      <c r="A116" s="20"/>
      <c r="B116" s="21"/>
      <c r="C116" s="78"/>
    </row>
    <row r="117" s="2" customFormat="1" ht="6" customHeight="1" spans="1:3">
      <c r="A117" s="20"/>
      <c r="B117" s="21"/>
      <c r="C117" s="78"/>
    </row>
    <row r="118" s="2" customFormat="1" ht="6" customHeight="1" spans="1:3">
      <c r="A118" s="20"/>
      <c r="B118" s="21"/>
      <c r="C118" s="78"/>
    </row>
    <row r="119" s="2" customFormat="1" ht="6" customHeight="1" spans="1:3">
      <c r="A119" s="20"/>
      <c r="B119" s="21"/>
      <c r="C119" s="78"/>
    </row>
    <row r="120" s="2" customFormat="1" ht="6" customHeight="1" spans="1:3">
      <c r="A120" s="20"/>
      <c r="B120" s="21"/>
      <c r="C120" s="78"/>
    </row>
    <row r="121" s="2" customFormat="1" ht="6" customHeight="1" spans="1:3">
      <c r="A121" s="20"/>
      <c r="B121" s="21"/>
      <c r="C121" s="78"/>
    </row>
    <row r="122" s="2" customFormat="1" ht="6" customHeight="1" spans="1:3">
      <c r="A122" s="20"/>
      <c r="B122" s="21"/>
      <c r="C122" s="78"/>
    </row>
    <row r="123" s="2" customFormat="1" ht="6" customHeight="1" spans="1:3">
      <c r="A123" s="20"/>
      <c r="B123" s="21"/>
      <c r="C123" s="78"/>
    </row>
    <row r="124" s="2" customFormat="1" ht="6" customHeight="1" spans="1:3">
      <c r="A124" s="20"/>
      <c r="B124" s="21"/>
      <c r="C124" s="78"/>
    </row>
    <row r="125" s="2" customFormat="1" ht="6" customHeight="1" spans="1:3">
      <c r="A125" s="20"/>
      <c r="B125" s="21"/>
      <c r="C125" s="78"/>
    </row>
    <row r="126" s="2" customFormat="1" ht="6" customHeight="1" spans="1:3">
      <c r="A126" s="20"/>
      <c r="B126" s="21"/>
      <c r="C126" s="78"/>
    </row>
    <row r="127" s="2" customFormat="1" ht="6" customHeight="1" spans="1:3">
      <c r="A127" s="20"/>
      <c r="B127" s="21"/>
      <c r="C127" s="78"/>
    </row>
    <row r="128" s="2" customFormat="1" ht="6" customHeight="1" spans="1:3">
      <c r="A128" s="20"/>
      <c r="B128" s="21"/>
      <c r="C128" s="78"/>
    </row>
    <row r="129" s="2" customFormat="1" ht="6" customHeight="1" spans="1:3">
      <c r="A129" s="20"/>
      <c r="B129" s="21"/>
      <c r="C129" s="78"/>
    </row>
    <row r="130" s="2" customFormat="1" ht="6" customHeight="1" spans="1:3">
      <c r="A130" s="20"/>
      <c r="B130" s="21"/>
      <c r="C130" s="78"/>
    </row>
    <row r="131" s="2" customFormat="1" ht="6" customHeight="1" spans="1:3">
      <c r="A131" s="20"/>
      <c r="B131" s="21"/>
      <c r="C131" s="78"/>
    </row>
    <row r="132" s="2" customFormat="1" ht="6" customHeight="1" spans="1:3">
      <c r="A132" s="20"/>
      <c r="B132" s="21"/>
      <c r="C132" s="78"/>
    </row>
    <row r="133" s="2" customFormat="1" ht="6" customHeight="1" spans="1:3">
      <c r="A133" s="20"/>
      <c r="B133" s="21"/>
      <c r="C133" s="78"/>
    </row>
    <row r="134" s="2" customFormat="1" ht="6" customHeight="1" spans="1:3">
      <c r="A134" s="20"/>
      <c r="B134" s="21"/>
      <c r="C134" s="78"/>
    </row>
    <row r="135" s="2" customFormat="1" ht="6" customHeight="1" spans="1:3">
      <c r="A135" s="20"/>
      <c r="B135" s="21"/>
      <c r="C135" s="78"/>
    </row>
    <row r="136" s="2" customFormat="1" ht="6" customHeight="1" spans="1:3">
      <c r="A136" s="20"/>
      <c r="B136" s="21"/>
      <c r="C136" s="78"/>
    </row>
    <row r="137" s="2" customFormat="1" ht="6" customHeight="1" spans="1:3">
      <c r="A137" s="20"/>
      <c r="B137" s="21"/>
      <c r="C137" s="78"/>
    </row>
    <row r="138" s="2" customFormat="1" ht="6" customHeight="1" spans="1:3">
      <c r="A138" s="20"/>
      <c r="B138" s="21"/>
      <c r="C138" s="79"/>
    </row>
    <row r="139" ht="15.75" spans="1:3">
      <c r="A139" s="26" t="s">
        <v>26</v>
      </c>
      <c r="B139" s="27"/>
      <c r="C139" s="93">
        <f>SUM(C3:C138)</f>
        <v>228212.451290957</v>
      </c>
    </row>
  </sheetData>
  <autoFilter xmlns:etc="http://www.wps.cn/officeDocument/2017/etCustomData" ref="A2:C139" etc:filterBottomFollowUsedRange="0">
    <extLst/>
  </autoFilter>
  <mergeCells count="34">
    <mergeCell ref="A1:C1"/>
    <mergeCell ref="A2:A3"/>
    <mergeCell ref="A4:A8"/>
    <mergeCell ref="A9:A20"/>
    <mergeCell ref="A21:A41"/>
    <mergeCell ref="A42:A45"/>
    <mergeCell ref="A46:A55"/>
    <mergeCell ref="A56:A67"/>
    <mergeCell ref="A68:A83"/>
    <mergeCell ref="A84:A93"/>
    <mergeCell ref="A95:A113"/>
    <mergeCell ref="A114:A138"/>
    <mergeCell ref="B2:B3"/>
    <mergeCell ref="B4:B8"/>
    <mergeCell ref="B9:B20"/>
    <mergeCell ref="B21:B41"/>
    <mergeCell ref="B42:B45"/>
    <mergeCell ref="B46:B55"/>
    <mergeCell ref="B56:B67"/>
    <mergeCell ref="B68:B83"/>
    <mergeCell ref="B84:B93"/>
    <mergeCell ref="B95:B113"/>
    <mergeCell ref="B114:B138"/>
    <mergeCell ref="C2:C3"/>
    <mergeCell ref="C4:C8"/>
    <mergeCell ref="C9:C20"/>
    <mergeCell ref="C21:C41"/>
    <mergeCell ref="C42:C45"/>
    <mergeCell ref="C46:C55"/>
    <mergeCell ref="C56:C67"/>
    <mergeCell ref="C68:C83"/>
    <mergeCell ref="C84:C93"/>
    <mergeCell ref="C95:C113"/>
    <mergeCell ref="C114:C138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4"/>
  <sheetViews>
    <sheetView tabSelected="1" zoomScale="110" zoomScaleNormal="110" topLeftCell="F1" workbookViewId="0">
      <pane xSplit="10" ySplit="3" topLeftCell="AE108" activePane="bottomRight" state="frozen"/>
      <selection/>
      <selection pane="topRight"/>
      <selection pane="bottomLeft"/>
      <selection pane="bottomRight" activeCell="AF138" sqref="AF13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7"/>
    <col min="32" max="32" width="14.875" style="113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114"/>
    </row>
    <row r="2" s="1" customFormat="1" ht="23" customHeight="1" spans="1:32">
      <c r="A2" s="10" t="s">
        <v>1</v>
      </c>
      <c r="B2" s="11" t="s">
        <v>2</v>
      </c>
      <c r="C2" s="12" t="s">
        <v>28</v>
      </c>
      <c r="D2" s="13" t="s">
        <v>29</v>
      </c>
      <c r="E2" s="14" t="s">
        <v>30</v>
      </c>
      <c r="F2" s="15" t="s">
        <v>31</v>
      </c>
      <c r="G2" s="15" t="s">
        <v>32</v>
      </c>
      <c r="H2" s="15" t="s">
        <v>33</v>
      </c>
      <c r="I2" s="15" t="s">
        <v>34</v>
      </c>
      <c r="J2" s="31" t="s">
        <v>35</v>
      </c>
      <c r="K2" s="32"/>
      <c r="L2" s="33"/>
      <c r="M2" s="32"/>
      <c r="N2" s="33"/>
      <c r="O2" s="34"/>
      <c r="P2" s="35"/>
      <c r="Q2" s="58" t="s">
        <v>36</v>
      </c>
      <c r="R2" s="59" t="s">
        <v>37</v>
      </c>
      <c r="S2" s="60"/>
      <c r="T2" s="61"/>
      <c r="U2" s="62"/>
      <c r="V2" s="63"/>
      <c r="W2" s="64" t="s">
        <v>38</v>
      </c>
      <c r="X2" s="65" t="s">
        <v>39</v>
      </c>
      <c r="Y2" s="81" t="s">
        <v>40</v>
      </c>
      <c r="Z2" s="81"/>
      <c r="AA2" s="81"/>
      <c r="AB2" s="81"/>
      <c r="AC2" s="82"/>
      <c r="AD2" s="81"/>
      <c r="AE2" s="83" t="s">
        <v>41</v>
      </c>
      <c r="AF2" s="115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6"/>
      <c r="J3" s="37" t="s">
        <v>42</v>
      </c>
      <c r="K3" s="38" t="s">
        <v>43</v>
      </c>
      <c r="L3" s="39" t="s">
        <v>44</v>
      </c>
      <c r="M3" s="38" t="s">
        <v>45</v>
      </c>
      <c r="N3" s="40" t="s">
        <v>46</v>
      </c>
      <c r="O3" s="41" t="s">
        <v>47</v>
      </c>
      <c r="P3" s="42" t="s">
        <v>48</v>
      </c>
      <c r="Q3" s="66"/>
      <c r="R3" s="67" t="s">
        <v>49</v>
      </c>
      <c r="S3" s="68" t="s">
        <v>50</v>
      </c>
      <c r="T3" s="69" t="s">
        <v>51</v>
      </c>
      <c r="U3" s="70" t="s">
        <v>52</v>
      </c>
      <c r="V3" s="69" t="s">
        <v>53</v>
      </c>
      <c r="W3" s="71"/>
      <c r="X3" s="72"/>
      <c r="Y3" s="85" t="s">
        <v>54</v>
      </c>
      <c r="Z3" s="85" t="s">
        <v>55</v>
      </c>
      <c r="AA3" s="85" t="s">
        <v>56</v>
      </c>
      <c r="AB3" s="86" t="s">
        <v>57</v>
      </c>
      <c r="AC3" s="87" t="s">
        <v>58</v>
      </c>
      <c r="AD3" s="88" t="s">
        <v>48</v>
      </c>
      <c r="AE3" s="89" t="s">
        <v>59</v>
      </c>
      <c r="AF3" s="116"/>
    </row>
    <row r="4" s="2" customFormat="1" spans="1:32">
      <c r="A4" s="20" t="s">
        <v>4</v>
      </c>
      <c r="B4" s="21" t="s">
        <v>5</v>
      </c>
      <c r="C4" s="22">
        <v>240708000003</v>
      </c>
      <c r="D4" s="23">
        <v>45491</v>
      </c>
      <c r="E4" s="23" t="s">
        <v>60</v>
      </c>
      <c r="F4" s="21" t="s">
        <v>61</v>
      </c>
      <c r="G4" s="21" t="s">
        <v>62</v>
      </c>
      <c r="H4" s="24">
        <v>2.2272</v>
      </c>
      <c r="I4" s="24">
        <v>11222</v>
      </c>
      <c r="J4" s="47"/>
      <c r="K4" s="49">
        <v>8906452</v>
      </c>
      <c r="L4" s="45"/>
      <c r="M4" s="46">
        <f>SUM(K4/N4)</f>
        <v>1620.0015253361</v>
      </c>
      <c r="N4" s="50">
        <v>5497.8047</v>
      </c>
      <c r="O4" s="21">
        <v>7.12</v>
      </c>
      <c r="P4" s="47">
        <f>SUM(N4*O4)</f>
        <v>39144.369464</v>
      </c>
      <c r="Q4" s="73">
        <f>SUM(P4:P8)</f>
        <v>58091.471864</v>
      </c>
      <c r="R4" s="73" t="s">
        <v>63</v>
      </c>
      <c r="S4" s="112">
        <f>SUM(19204/9.8671)*H4</f>
        <v>4334.72335336624</v>
      </c>
      <c r="T4" s="75">
        <f>SUM(40.68/9.8671)*H4</f>
        <v>9.18228212950107</v>
      </c>
      <c r="U4" s="75"/>
      <c r="V4" s="76">
        <v>350</v>
      </c>
      <c r="W4" s="75"/>
      <c r="X4" s="77">
        <f>SUM(S4:W4)</f>
        <v>4693.90563549574</v>
      </c>
      <c r="Y4" s="91"/>
      <c r="Z4" s="91"/>
      <c r="AA4" s="92">
        <v>100.29</v>
      </c>
      <c r="AB4" s="91">
        <f>SUM(Y4:AA4)</f>
        <v>100.29</v>
      </c>
      <c r="AC4" s="44">
        <v>7.15</v>
      </c>
      <c r="AD4" s="75">
        <f>SUM(AB4*AC4)</f>
        <v>717.0735</v>
      </c>
      <c r="AE4" s="75">
        <f>SUM(X4+AD4)</f>
        <v>5410.97913549574</v>
      </c>
      <c r="AF4" s="77">
        <f>SUM(P4-AE4)</f>
        <v>33733.3903285043</v>
      </c>
    </row>
    <row r="5" s="2" customFormat="1" spans="1:32">
      <c r="A5" s="20"/>
      <c r="B5" s="21"/>
      <c r="C5" s="22">
        <v>240715000049</v>
      </c>
      <c r="D5" s="23">
        <v>45490</v>
      </c>
      <c r="E5" s="23" t="s">
        <v>64</v>
      </c>
      <c r="F5" s="21" t="s">
        <v>64</v>
      </c>
      <c r="G5" s="21" t="s">
        <v>65</v>
      </c>
      <c r="H5" s="24">
        <v>0.4043</v>
      </c>
      <c r="I5" s="24">
        <v>55</v>
      </c>
      <c r="J5" s="43">
        <v>923.29</v>
      </c>
      <c r="K5" s="44"/>
      <c r="L5" s="45"/>
      <c r="M5" s="46"/>
      <c r="N5" s="51"/>
      <c r="O5" s="21"/>
      <c r="P5" s="47">
        <f t="shared" ref="P5:P14" si="0">SUBTOTAL(9,J5)</f>
        <v>923.29</v>
      </c>
      <c r="Q5" s="78"/>
      <c r="R5" s="78"/>
      <c r="S5" s="112">
        <f>SUM(19204/9.8671)*H5</f>
        <v>786.875292639175</v>
      </c>
      <c r="T5" s="75">
        <f>SUM(40.68/9.8671)*H5</f>
        <v>1.6668447669528</v>
      </c>
      <c r="U5" s="75"/>
      <c r="V5" s="75"/>
      <c r="W5" s="75"/>
      <c r="X5" s="77">
        <f>SUM(S5:W5)</f>
        <v>788.542137406127</v>
      </c>
      <c r="Y5" s="91"/>
      <c r="Z5" s="91"/>
      <c r="AA5" s="92"/>
      <c r="AB5" s="91">
        <f>SUM(Y5:AA5)</f>
        <v>0</v>
      </c>
      <c r="AC5" s="44">
        <v>7.15</v>
      </c>
      <c r="AD5" s="75">
        <f>SUM(AB5*AC5)</f>
        <v>0</v>
      </c>
      <c r="AE5" s="75">
        <f>SUM(X5+AD5)</f>
        <v>788.542137406127</v>
      </c>
      <c r="AF5" s="77">
        <f>SUM(P5-AE5)</f>
        <v>134.747862593873</v>
      </c>
    </row>
    <row r="6" s="2" customFormat="1" spans="1:32">
      <c r="A6" s="20"/>
      <c r="B6" s="21"/>
      <c r="C6" s="22">
        <v>240709000025</v>
      </c>
      <c r="D6" s="23">
        <v>45491</v>
      </c>
      <c r="E6" s="23" t="s">
        <v>66</v>
      </c>
      <c r="F6" s="21" t="s">
        <v>67</v>
      </c>
      <c r="G6" s="21" t="s">
        <v>68</v>
      </c>
      <c r="H6" s="24">
        <v>0.1112</v>
      </c>
      <c r="I6" s="24">
        <v>57</v>
      </c>
      <c r="J6" s="48">
        <v>556</v>
      </c>
      <c r="K6" s="44"/>
      <c r="L6" s="45"/>
      <c r="M6" s="46"/>
      <c r="N6" s="45"/>
      <c r="O6" s="21"/>
      <c r="P6" s="47">
        <f t="shared" si="0"/>
        <v>556</v>
      </c>
      <c r="Q6" s="78"/>
      <c r="R6" s="78"/>
      <c r="S6" s="112">
        <f>SUM(19204/9.8671)*H6</f>
        <v>216.424765128559</v>
      </c>
      <c r="T6" s="75">
        <f>SUM(40.68/9.8671)*H6</f>
        <v>0.458454459770348</v>
      </c>
      <c r="U6" s="75"/>
      <c r="V6" s="75"/>
      <c r="W6" s="75"/>
      <c r="X6" s="77">
        <f>SUM(S6:W6)</f>
        <v>216.883219588329</v>
      </c>
      <c r="Y6" s="91"/>
      <c r="Z6" s="92">
        <v>37.06</v>
      </c>
      <c r="AA6" s="92"/>
      <c r="AB6" s="91">
        <f>SUM(Y6:AA6)</f>
        <v>37.06</v>
      </c>
      <c r="AC6" s="44">
        <v>7.15</v>
      </c>
      <c r="AD6" s="75">
        <f>SUM(AB6*AC6)</f>
        <v>264.979</v>
      </c>
      <c r="AE6" s="75">
        <f>SUM(X6+AD6)</f>
        <v>481.862219588329</v>
      </c>
      <c r="AF6" s="77">
        <f>SUM(P6-AE6)</f>
        <v>74.137780411671</v>
      </c>
    </row>
    <row r="7" s="2" customFormat="1" spans="1:32">
      <c r="A7" s="20"/>
      <c r="B7" s="21"/>
      <c r="C7" s="22">
        <v>240713000006</v>
      </c>
      <c r="D7" s="23">
        <v>45491</v>
      </c>
      <c r="E7" s="23" t="s">
        <v>69</v>
      </c>
      <c r="F7" s="21" t="s">
        <v>70</v>
      </c>
      <c r="G7" s="21" t="s">
        <v>71</v>
      </c>
      <c r="H7" s="24">
        <v>1.7306</v>
      </c>
      <c r="I7" s="24">
        <v>346</v>
      </c>
      <c r="J7" s="43">
        <v>5462</v>
      </c>
      <c r="K7" s="44"/>
      <c r="L7" s="45"/>
      <c r="M7" s="46"/>
      <c r="N7" s="45"/>
      <c r="O7" s="21"/>
      <c r="P7" s="47">
        <f>SUM(J7)</f>
        <v>5462</v>
      </c>
      <c r="Q7" s="78"/>
      <c r="R7" s="78"/>
      <c r="S7" s="112">
        <f>SUM(19204/9.8671)*H7</f>
        <v>3368.20772060686</v>
      </c>
      <c r="T7" s="75">
        <f>SUM(40.68/9.8671)*H7</f>
        <v>7.13490366977126</v>
      </c>
      <c r="U7" s="75"/>
      <c r="V7" s="75"/>
      <c r="W7" s="75"/>
      <c r="X7" s="77">
        <f>SUM(S7:W7)</f>
        <v>3375.34262427664</v>
      </c>
      <c r="Y7" s="91"/>
      <c r="Z7" s="92">
        <v>70.8</v>
      </c>
      <c r="AA7" s="92"/>
      <c r="AB7" s="91">
        <f>SUM(Y7:AA7)</f>
        <v>70.8</v>
      </c>
      <c r="AC7" s="44">
        <v>7.15</v>
      </c>
      <c r="AD7" s="75">
        <f>SUM(AB7*AC7)</f>
        <v>506.22</v>
      </c>
      <c r="AE7" s="75">
        <f>SUM(X7+AD7)</f>
        <v>3881.56262427664</v>
      </c>
      <c r="AF7" s="77">
        <f>SUM(P7-AE7)</f>
        <v>1580.43737572336</v>
      </c>
    </row>
    <row r="8" s="2" customFormat="1" spans="1:32">
      <c r="A8" s="20"/>
      <c r="B8" s="21"/>
      <c r="C8" s="22">
        <v>240718000002</v>
      </c>
      <c r="D8" s="23">
        <v>45491</v>
      </c>
      <c r="E8" s="23" t="s">
        <v>60</v>
      </c>
      <c r="F8" s="21" t="s">
        <v>61</v>
      </c>
      <c r="G8" s="21" t="s">
        <v>62</v>
      </c>
      <c r="H8" s="24">
        <v>5.3938</v>
      </c>
      <c r="I8" s="24">
        <v>1414</v>
      </c>
      <c r="J8" s="47"/>
      <c r="K8" s="49">
        <v>2909624</v>
      </c>
      <c r="L8" s="45"/>
      <c r="M8" s="46">
        <f>SUM(K8/N8)</f>
        <v>1711.00003528291</v>
      </c>
      <c r="N8" s="50">
        <v>1700.54</v>
      </c>
      <c r="O8" s="21">
        <v>7.06</v>
      </c>
      <c r="P8" s="47">
        <f>SUM(N8*O8)</f>
        <v>12005.8124</v>
      </c>
      <c r="Q8" s="79"/>
      <c r="R8" s="79"/>
      <c r="S8" s="112">
        <f>SUM(19204/9.8671)*H8</f>
        <v>10497.7688682592</v>
      </c>
      <c r="T8" s="75">
        <f>SUM(40.68/9.8671)*H8</f>
        <v>22.2375149740045</v>
      </c>
      <c r="U8" s="75"/>
      <c r="V8" s="76">
        <v>70</v>
      </c>
      <c r="W8" s="75"/>
      <c r="X8" s="77">
        <f t="shared" ref="X8:X20" si="1">SUM(S8:W8)</f>
        <v>10590.0063832332</v>
      </c>
      <c r="Y8" s="91"/>
      <c r="Z8" s="91"/>
      <c r="AA8" s="92"/>
      <c r="AB8" s="91">
        <f t="shared" ref="AB8:AB20" si="2">SUM(Y8:AA8)</f>
        <v>0</v>
      </c>
      <c r="AC8" s="44">
        <v>7.15</v>
      </c>
      <c r="AD8" s="75">
        <f t="shared" ref="AD8:AD20" si="3">SUM(AB8*AC8)</f>
        <v>0</v>
      </c>
      <c r="AE8" s="75">
        <f t="shared" ref="AE8:AE20" si="4">SUM(X8+AD8)</f>
        <v>10590.0063832332</v>
      </c>
      <c r="AF8" s="77">
        <f t="shared" ref="AF8:AF20" si="5">SUM(P8-AE8)</f>
        <v>1415.80601676683</v>
      </c>
    </row>
    <row r="9" s="2" customFormat="1" spans="1:32">
      <c r="A9" s="20" t="s">
        <v>6</v>
      </c>
      <c r="B9" s="21" t="s">
        <v>7</v>
      </c>
      <c r="C9" s="22">
        <v>240719000024</v>
      </c>
      <c r="D9" s="23">
        <v>45505</v>
      </c>
      <c r="E9" s="23" t="s">
        <v>72</v>
      </c>
      <c r="F9" s="21" t="s">
        <v>73</v>
      </c>
      <c r="G9" s="21" t="s">
        <v>73</v>
      </c>
      <c r="H9" s="24">
        <v>0.0423</v>
      </c>
      <c r="I9" s="24">
        <v>12.5</v>
      </c>
      <c r="J9" s="43">
        <v>356</v>
      </c>
      <c r="K9" s="44"/>
      <c r="L9" s="45"/>
      <c r="M9" s="46"/>
      <c r="N9" s="45"/>
      <c r="O9" s="21"/>
      <c r="P9" s="47">
        <f t="shared" si="0"/>
        <v>356</v>
      </c>
      <c r="Q9" s="73">
        <f>SUM(P9:P20)</f>
        <v>156015.339688</v>
      </c>
      <c r="R9" s="74" t="s">
        <v>74</v>
      </c>
      <c r="S9" s="75">
        <f>SUM(57847/67.0927)*H9</f>
        <v>36.4708545042903</v>
      </c>
      <c r="T9" s="75"/>
      <c r="U9" s="75">
        <f>SUM(1400/67.0927)*H9</f>
        <v>0.882659365325885</v>
      </c>
      <c r="V9" s="75"/>
      <c r="W9" s="75"/>
      <c r="X9" s="77">
        <f t="shared" si="1"/>
        <v>37.3535138696162</v>
      </c>
      <c r="Y9" s="91">
        <f>SUM(10235.99/67.0927)*H9</f>
        <v>6.45349459777293</v>
      </c>
      <c r="Z9" s="92">
        <v>9.09</v>
      </c>
      <c r="AA9" s="91"/>
      <c r="AB9" s="91">
        <f t="shared" si="2"/>
        <v>15.5434945977729</v>
      </c>
      <c r="AC9" s="44">
        <v>7.08</v>
      </c>
      <c r="AD9" s="75">
        <f t="shared" si="3"/>
        <v>110.047941752232</v>
      </c>
      <c r="AE9" s="75">
        <f t="shared" si="4"/>
        <v>147.401455621849</v>
      </c>
      <c r="AF9" s="77">
        <f t="shared" si="5"/>
        <v>208.598544378151</v>
      </c>
    </row>
    <row r="10" s="2" customFormat="1" spans="1:32">
      <c r="A10" s="20"/>
      <c r="B10" s="21"/>
      <c r="C10" s="22">
        <v>240717000037</v>
      </c>
      <c r="D10" s="23">
        <v>45498</v>
      </c>
      <c r="E10" s="23" t="s">
        <v>69</v>
      </c>
      <c r="F10" s="21" t="s">
        <v>70</v>
      </c>
      <c r="G10" s="21" t="s">
        <v>75</v>
      </c>
      <c r="H10" s="24">
        <v>6.1861</v>
      </c>
      <c r="I10" s="24">
        <v>1004.71</v>
      </c>
      <c r="J10" s="43">
        <v>14822</v>
      </c>
      <c r="K10" s="44"/>
      <c r="L10" s="45"/>
      <c r="M10" s="46"/>
      <c r="N10" s="45"/>
      <c r="O10" s="21"/>
      <c r="P10" s="47">
        <f t="shared" si="0"/>
        <v>14822</v>
      </c>
      <c r="Q10" s="78"/>
      <c r="R10" s="78"/>
      <c r="S10" s="75">
        <f t="shared" ref="S10:S20" si="6">SUM(57847/67.0927)*H10</f>
        <v>5333.62536758843</v>
      </c>
      <c r="T10" s="75"/>
      <c r="U10" s="75">
        <f t="shared" ref="U10:U20" si="7">SUM(1400/67.0927)*H10</f>
        <v>129.083193849703</v>
      </c>
      <c r="V10" s="75"/>
      <c r="W10" s="75"/>
      <c r="X10" s="77">
        <f t="shared" si="1"/>
        <v>5462.70856143813</v>
      </c>
      <c r="Y10" s="91">
        <f t="shared" ref="Y10:Y20" si="8">SUM(10235.99/67.0927)*H10</f>
        <v>943.781629581162</v>
      </c>
      <c r="Z10" s="91"/>
      <c r="AA10" s="91"/>
      <c r="AB10" s="91">
        <f t="shared" si="2"/>
        <v>943.781629581162</v>
      </c>
      <c r="AC10" s="44">
        <v>7.08</v>
      </c>
      <c r="AD10" s="75">
        <f t="shared" si="3"/>
        <v>6681.97393743462</v>
      </c>
      <c r="AE10" s="75">
        <f t="shared" si="4"/>
        <v>12144.6824988728</v>
      </c>
      <c r="AF10" s="77">
        <f t="shared" si="5"/>
        <v>2677.3175011272</v>
      </c>
    </row>
    <row r="11" s="2" customFormat="1" spans="1:32">
      <c r="A11" s="20"/>
      <c r="B11" s="21"/>
      <c r="C11" s="22">
        <v>240724000023</v>
      </c>
      <c r="D11" s="23">
        <v>45505</v>
      </c>
      <c r="E11" s="23" t="s">
        <v>64</v>
      </c>
      <c r="F11" s="21" t="s">
        <v>64</v>
      </c>
      <c r="G11" s="21" t="s">
        <v>65</v>
      </c>
      <c r="H11" s="24">
        <v>0.158</v>
      </c>
      <c r="I11" s="24">
        <v>156</v>
      </c>
      <c r="J11" s="43">
        <v>337.92</v>
      </c>
      <c r="K11" s="44"/>
      <c r="L11" s="45"/>
      <c r="M11" s="46"/>
      <c r="N11" s="51"/>
      <c r="O11" s="21"/>
      <c r="P11" s="47">
        <f t="shared" si="0"/>
        <v>337.92</v>
      </c>
      <c r="Q11" s="78"/>
      <c r="R11" s="78"/>
      <c r="S11" s="75">
        <f t="shared" si="6"/>
        <v>136.226832427373</v>
      </c>
      <c r="T11" s="75"/>
      <c r="U11" s="75">
        <f t="shared" si="7"/>
        <v>3.29693096268297</v>
      </c>
      <c r="V11" s="75"/>
      <c r="W11" s="75"/>
      <c r="X11" s="77">
        <f t="shared" si="1"/>
        <v>139.523763390056</v>
      </c>
      <c r="Y11" s="91">
        <f t="shared" si="8"/>
        <v>24.1052516890809</v>
      </c>
      <c r="Z11" s="91"/>
      <c r="AA11" s="91"/>
      <c r="AB11" s="91">
        <f t="shared" si="2"/>
        <v>24.1052516890809</v>
      </c>
      <c r="AC11" s="44">
        <v>7.08</v>
      </c>
      <c r="AD11" s="75">
        <f t="shared" si="3"/>
        <v>170.665181958693</v>
      </c>
      <c r="AE11" s="75">
        <f t="shared" si="4"/>
        <v>310.188945348749</v>
      </c>
      <c r="AF11" s="77">
        <f t="shared" si="5"/>
        <v>27.731054651251</v>
      </c>
    </row>
    <row r="12" s="2" customFormat="1" spans="1:32">
      <c r="A12" s="20"/>
      <c r="B12" s="21"/>
      <c r="C12" s="22">
        <v>240718000039</v>
      </c>
      <c r="D12" s="23">
        <v>45511</v>
      </c>
      <c r="E12" s="23" t="s">
        <v>66</v>
      </c>
      <c r="F12" s="21" t="s">
        <v>67</v>
      </c>
      <c r="G12" s="21" t="s">
        <v>76</v>
      </c>
      <c r="H12" s="24">
        <v>0.5054</v>
      </c>
      <c r="I12" s="24">
        <v>412</v>
      </c>
      <c r="J12" s="43">
        <v>2582</v>
      </c>
      <c r="K12" s="44"/>
      <c r="L12" s="45"/>
      <c r="M12" s="46"/>
      <c r="N12" s="45"/>
      <c r="O12" s="21"/>
      <c r="P12" s="75">
        <f t="shared" si="0"/>
        <v>2582</v>
      </c>
      <c r="Q12" s="73"/>
      <c r="R12" s="73"/>
      <c r="S12" s="75">
        <f t="shared" si="6"/>
        <v>435.753424739204</v>
      </c>
      <c r="T12" s="75"/>
      <c r="U12" s="75">
        <f t="shared" si="7"/>
        <v>10.546005750253</v>
      </c>
      <c r="V12" s="75"/>
      <c r="W12" s="75"/>
      <c r="X12" s="77">
        <f t="shared" si="1"/>
        <v>446.299430489457</v>
      </c>
      <c r="Y12" s="91">
        <f t="shared" si="8"/>
        <v>77.1062924282374</v>
      </c>
      <c r="Z12" s="91"/>
      <c r="AA12" s="91"/>
      <c r="AB12" s="91">
        <f t="shared" si="2"/>
        <v>77.1062924282374</v>
      </c>
      <c r="AC12" s="44">
        <v>7.08</v>
      </c>
      <c r="AD12" s="75">
        <f t="shared" si="3"/>
        <v>545.91255039192</v>
      </c>
      <c r="AE12" s="75">
        <f t="shared" si="4"/>
        <v>992.211980881378</v>
      </c>
      <c r="AF12" s="77">
        <f t="shared" si="5"/>
        <v>1589.78801911862</v>
      </c>
    </row>
    <row r="13" s="2" customFormat="1" spans="1:32">
      <c r="A13" s="20"/>
      <c r="B13" s="21"/>
      <c r="C13" s="22">
        <v>240726000053</v>
      </c>
      <c r="D13" s="23">
        <v>45505</v>
      </c>
      <c r="E13" s="23" t="s">
        <v>69</v>
      </c>
      <c r="F13" s="21" t="s">
        <v>70</v>
      </c>
      <c r="G13" s="21" t="s">
        <v>77</v>
      </c>
      <c r="H13" s="24">
        <v>0.2452</v>
      </c>
      <c r="I13" s="24">
        <v>41</v>
      </c>
      <c r="J13" s="43">
        <v>611.38</v>
      </c>
      <c r="K13" s="44"/>
      <c r="L13" s="45"/>
      <c r="M13" s="46"/>
      <c r="N13" s="45"/>
      <c r="O13" s="21"/>
      <c r="P13" s="47">
        <f t="shared" si="0"/>
        <v>611.38</v>
      </c>
      <c r="Q13" s="78"/>
      <c r="R13" s="78"/>
      <c r="S13" s="75">
        <f t="shared" si="6"/>
        <v>211.410248805012</v>
      </c>
      <c r="T13" s="75"/>
      <c r="U13" s="75">
        <f t="shared" si="7"/>
        <v>5.11650298765738</v>
      </c>
      <c r="V13" s="75"/>
      <c r="W13" s="75"/>
      <c r="X13" s="77">
        <f t="shared" si="1"/>
        <v>216.526751792669</v>
      </c>
      <c r="Y13" s="91">
        <f t="shared" si="8"/>
        <v>37.4089095833079</v>
      </c>
      <c r="Z13" s="91"/>
      <c r="AA13" s="91"/>
      <c r="AB13" s="91">
        <f t="shared" si="2"/>
        <v>37.4089095833079</v>
      </c>
      <c r="AC13" s="44">
        <v>7.08</v>
      </c>
      <c r="AD13" s="75">
        <f t="shared" si="3"/>
        <v>264.85507984982</v>
      </c>
      <c r="AE13" s="75">
        <f t="shared" si="4"/>
        <v>481.381831642489</v>
      </c>
      <c r="AF13" s="77">
        <f t="shared" si="5"/>
        <v>129.998168357511</v>
      </c>
    </row>
    <row r="14" s="2" customFormat="1" spans="1:32">
      <c r="A14" s="20"/>
      <c r="B14" s="21"/>
      <c r="C14" s="22">
        <v>240727000003</v>
      </c>
      <c r="D14" s="23">
        <v>45505</v>
      </c>
      <c r="E14" s="23" t="s">
        <v>64</v>
      </c>
      <c r="F14" s="21" t="s">
        <v>64</v>
      </c>
      <c r="G14" s="21" t="s">
        <v>78</v>
      </c>
      <c r="H14" s="24">
        <v>4.7589</v>
      </c>
      <c r="I14" s="24">
        <v>760</v>
      </c>
      <c r="J14" s="43">
        <v>17244.43</v>
      </c>
      <c r="K14" s="44"/>
      <c r="L14" s="45"/>
      <c r="M14" s="46"/>
      <c r="N14" s="45"/>
      <c r="O14" s="21"/>
      <c r="P14" s="47">
        <f t="shared" si="0"/>
        <v>17244.43</v>
      </c>
      <c r="Q14" s="78"/>
      <c r="R14" s="78"/>
      <c r="S14" s="75">
        <f t="shared" si="6"/>
        <v>4103.10046100395</v>
      </c>
      <c r="T14" s="75"/>
      <c r="U14" s="75">
        <f t="shared" si="7"/>
        <v>99.3023085969114</v>
      </c>
      <c r="V14" s="75"/>
      <c r="W14" s="75"/>
      <c r="X14" s="77">
        <f t="shared" si="1"/>
        <v>4202.40276960087</v>
      </c>
      <c r="Y14" s="91">
        <f t="shared" si="8"/>
        <v>726.041026982071</v>
      </c>
      <c r="Z14" s="92">
        <v>678.47</v>
      </c>
      <c r="AA14" s="91"/>
      <c r="AB14" s="91">
        <f t="shared" si="2"/>
        <v>1404.51102698207</v>
      </c>
      <c r="AC14" s="44">
        <v>7.08</v>
      </c>
      <c r="AD14" s="75">
        <f t="shared" si="3"/>
        <v>9943.93807103306</v>
      </c>
      <c r="AE14" s="75">
        <f t="shared" si="4"/>
        <v>14146.3408406339</v>
      </c>
      <c r="AF14" s="77">
        <f t="shared" si="5"/>
        <v>3098.0891593661</v>
      </c>
    </row>
    <row r="15" s="2" customFormat="1" spans="1:32">
      <c r="A15" s="20"/>
      <c r="B15" s="21"/>
      <c r="C15" s="22">
        <v>240729000009</v>
      </c>
      <c r="D15" s="23">
        <v>45505</v>
      </c>
      <c r="E15" s="23" t="s">
        <v>69</v>
      </c>
      <c r="F15" s="21" t="s">
        <v>70</v>
      </c>
      <c r="G15" s="21" t="s">
        <v>79</v>
      </c>
      <c r="H15" s="24">
        <v>2.2224</v>
      </c>
      <c r="I15" s="24">
        <v>3202</v>
      </c>
      <c r="J15" s="47"/>
      <c r="K15" s="49">
        <v>2787617</v>
      </c>
      <c r="L15" s="45"/>
      <c r="M15" s="46">
        <f>SUM(K15/N15)</f>
        <v>1741.25950961069</v>
      </c>
      <c r="N15" s="50">
        <v>1600.9199</v>
      </c>
      <c r="O15" s="21">
        <v>7.12</v>
      </c>
      <c r="P15" s="47">
        <f>SUM(N15*O15)</f>
        <v>11398.549688</v>
      </c>
      <c r="Q15" s="78"/>
      <c r="R15" s="78"/>
      <c r="S15" s="75">
        <f t="shared" si="6"/>
        <v>1916.14248345945</v>
      </c>
      <c r="T15" s="75"/>
      <c r="U15" s="75">
        <f t="shared" si="7"/>
        <v>46.3740466548522</v>
      </c>
      <c r="V15" s="75"/>
      <c r="W15" s="75"/>
      <c r="X15" s="77">
        <f t="shared" si="1"/>
        <v>1962.5165301143</v>
      </c>
      <c r="Y15" s="91">
        <f t="shared" si="8"/>
        <v>339.060198441857</v>
      </c>
      <c r="Z15" s="91"/>
      <c r="AA15" s="91"/>
      <c r="AB15" s="91">
        <f t="shared" si="2"/>
        <v>339.060198441857</v>
      </c>
      <c r="AC15" s="44">
        <v>7.08</v>
      </c>
      <c r="AD15" s="75">
        <f t="shared" si="3"/>
        <v>2400.54620496835</v>
      </c>
      <c r="AE15" s="75">
        <f t="shared" si="4"/>
        <v>4363.06273508265</v>
      </c>
      <c r="AF15" s="77">
        <f t="shared" si="5"/>
        <v>7035.48695291735</v>
      </c>
    </row>
    <row r="16" s="2" customFormat="1" spans="1:32">
      <c r="A16" s="20"/>
      <c r="B16" s="21"/>
      <c r="C16" s="22">
        <v>240729000055</v>
      </c>
      <c r="D16" s="23">
        <v>45505</v>
      </c>
      <c r="E16" s="23" t="s">
        <v>80</v>
      </c>
      <c r="F16" s="21" t="s">
        <v>81</v>
      </c>
      <c r="G16" s="21" t="s">
        <v>82</v>
      </c>
      <c r="H16" s="24">
        <v>22.022</v>
      </c>
      <c r="I16" s="24">
        <v>12675</v>
      </c>
      <c r="J16" s="43">
        <v>54288.61</v>
      </c>
      <c r="K16" s="44"/>
      <c r="L16" s="50"/>
      <c r="M16" s="46"/>
      <c r="N16" s="50"/>
      <c r="O16" s="21"/>
      <c r="P16" s="47">
        <f t="shared" ref="P16:P22" si="9">SUBTOTAL(9,J16)</f>
        <v>54288.61</v>
      </c>
      <c r="Q16" s="78"/>
      <c r="R16" s="78"/>
      <c r="S16" s="75">
        <f t="shared" si="6"/>
        <v>18987.2614159216</v>
      </c>
      <c r="T16" s="75"/>
      <c r="U16" s="75">
        <f t="shared" si="7"/>
        <v>459.525402912687</v>
      </c>
      <c r="V16" s="75"/>
      <c r="W16" s="75"/>
      <c r="X16" s="77">
        <f t="shared" si="1"/>
        <v>19446.7868188342</v>
      </c>
      <c r="Y16" s="91">
        <f t="shared" si="8"/>
        <v>3359.78387782874</v>
      </c>
      <c r="Z16" s="91"/>
      <c r="AA16" s="91"/>
      <c r="AB16" s="91">
        <f t="shared" si="2"/>
        <v>3359.78387782874</v>
      </c>
      <c r="AC16" s="44">
        <v>7.08</v>
      </c>
      <c r="AD16" s="75">
        <f t="shared" si="3"/>
        <v>23787.2698550274</v>
      </c>
      <c r="AE16" s="75">
        <f t="shared" si="4"/>
        <v>43234.0566738617</v>
      </c>
      <c r="AF16" s="77">
        <f t="shared" si="5"/>
        <v>11054.5533261383</v>
      </c>
    </row>
    <row r="17" s="2" customFormat="1" spans="1:32">
      <c r="A17" s="20"/>
      <c r="B17" s="21"/>
      <c r="C17" s="22">
        <v>240730000017</v>
      </c>
      <c r="D17" s="23">
        <v>45505</v>
      </c>
      <c r="E17" s="23" t="s">
        <v>64</v>
      </c>
      <c r="F17" s="21" t="s">
        <v>64</v>
      </c>
      <c r="G17" s="21" t="s">
        <v>83</v>
      </c>
      <c r="H17" s="24">
        <v>0.2622</v>
      </c>
      <c r="I17" s="24">
        <v>392</v>
      </c>
      <c r="J17" s="43">
        <v>1290.24</v>
      </c>
      <c r="K17" s="44"/>
      <c r="L17" s="45"/>
      <c r="M17" s="46"/>
      <c r="N17" s="45"/>
      <c r="O17" s="21"/>
      <c r="P17" s="47">
        <f t="shared" si="9"/>
        <v>1290.24</v>
      </c>
      <c r="Q17" s="78"/>
      <c r="R17" s="78"/>
      <c r="S17" s="75">
        <f t="shared" si="6"/>
        <v>226.067566218083</v>
      </c>
      <c r="T17" s="75"/>
      <c r="U17" s="75">
        <f t="shared" si="7"/>
        <v>5.47123606592073</v>
      </c>
      <c r="V17" s="75"/>
      <c r="W17" s="75"/>
      <c r="X17" s="77">
        <f t="shared" si="1"/>
        <v>231.538802284004</v>
      </c>
      <c r="Y17" s="91">
        <f t="shared" si="8"/>
        <v>40.0025126131457</v>
      </c>
      <c r="Z17" s="91"/>
      <c r="AA17" s="91"/>
      <c r="AB17" s="91">
        <f t="shared" si="2"/>
        <v>40.0025126131457</v>
      </c>
      <c r="AC17" s="44">
        <v>7.08</v>
      </c>
      <c r="AD17" s="75">
        <f t="shared" si="3"/>
        <v>283.217789301071</v>
      </c>
      <c r="AE17" s="75">
        <f t="shared" si="4"/>
        <v>514.756591585076</v>
      </c>
      <c r="AF17" s="77">
        <f t="shared" si="5"/>
        <v>775.483408414924</v>
      </c>
    </row>
    <row r="18" s="2" customFormat="1" spans="1:32">
      <c r="A18" s="20"/>
      <c r="B18" s="21"/>
      <c r="C18" s="22">
        <v>240801000003</v>
      </c>
      <c r="D18" s="23">
        <v>45505</v>
      </c>
      <c r="E18" s="23" t="s">
        <v>64</v>
      </c>
      <c r="F18" s="21" t="s">
        <v>64</v>
      </c>
      <c r="G18" s="21" t="s">
        <v>65</v>
      </c>
      <c r="H18" s="24">
        <v>2.1</v>
      </c>
      <c r="I18" s="24">
        <v>352</v>
      </c>
      <c r="J18" s="43">
        <v>4491.38</v>
      </c>
      <c r="K18" s="44"/>
      <c r="L18" s="45"/>
      <c r="M18" s="46"/>
      <c r="N18" s="51"/>
      <c r="O18" s="21"/>
      <c r="P18" s="47">
        <f t="shared" si="9"/>
        <v>4491.38</v>
      </c>
      <c r="Q18" s="78"/>
      <c r="R18" s="78"/>
      <c r="S18" s="75">
        <f t="shared" si="6"/>
        <v>1810.60979808534</v>
      </c>
      <c r="T18" s="75"/>
      <c r="U18" s="75">
        <f t="shared" si="7"/>
        <v>43.819968491356</v>
      </c>
      <c r="V18" s="75"/>
      <c r="W18" s="75"/>
      <c r="X18" s="77">
        <f t="shared" si="1"/>
        <v>1854.42976657669</v>
      </c>
      <c r="Y18" s="91">
        <f t="shared" si="8"/>
        <v>320.386256627025</v>
      </c>
      <c r="Z18" s="91"/>
      <c r="AA18" s="91"/>
      <c r="AB18" s="91">
        <f t="shared" si="2"/>
        <v>320.386256627025</v>
      </c>
      <c r="AC18" s="44">
        <v>7.08</v>
      </c>
      <c r="AD18" s="75">
        <f t="shared" si="3"/>
        <v>2268.33469691934</v>
      </c>
      <c r="AE18" s="75">
        <f t="shared" si="4"/>
        <v>4122.76446349603</v>
      </c>
      <c r="AF18" s="77">
        <f t="shared" si="5"/>
        <v>368.61553650397</v>
      </c>
    </row>
    <row r="19" s="2" customFormat="1" spans="1:32">
      <c r="A19" s="20"/>
      <c r="B19" s="21"/>
      <c r="C19" s="22">
        <v>240801000001</v>
      </c>
      <c r="D19" s="23">
        <v>45506</v>
      </c>
      <c r="E19" s="23" t="s">
        <v>64</v>
      </c>
      <c r="F19" s="21" t="s">
        <v>64</v>
      </c>
      <c r="G19" s="21" t="s">
        <v>84</v>
      </c>
      <c r="H19" s="24">
        <v>28.4144</v>
      </c>
      <c r="I19" s="24">
        <v>2700</v>
      </c>
      <c r="J19" s="43">
        <v>48216.84</v>
      </c>
      <c r="K19" s="44"/>
      <c r="L19" s="45"/>
      <c r="M19" s="46"/>
      <c r="N19" s="50"/>
      <c r="O19" s="21"/>
      <c r="P19" s="47">
        <f t="shared" si="9"/>
        <v>48216.84</v>
      </c>
      <c r="Q19" s="78"/>
      <c r="R19" s="78"/>
      <c r="S19" s="75">
        <f t="shared" si="6"/>
        <v>24498.7576412933</v>
      </c>
      <c r="T19" s="75"/>
      <c r="U19" s="75">
        <f t="shared" si="7"/>
        <v>592.913387000374</v>
      </c>
      <c r="V19" s="75"/>
      <c r="W19" s="75"/>
      <c r="X19" s="77">
        <f t="shared" si="1"/>
        <v>25091.6710282937</v>
      </c>
      <c r="Y19" s="91">
        <f t="shared" si="8"/>
        <v>4335.0396430014</v>
      </c>
      <c r="Z19" s="91"/>
      <c r="AA19" s="91"/>
      <c r="AB19" s="91">
        <f t="shared" si="2"/>
        <v>4335.0396430014</v>
      </c>
      <c r="AC19" s="44">
        <v>7.08</v>
      </c>
      <c r="AD19" s="75">
        <f t="shared" si="3"/>
        <v>30692.0806724499</v>
      </c>
      <c r="AE19" s="75">
        <f t="shared" si="4"/>
        <v>55783.7517007436</v>
      </c>
      <c r="AF19" s="75">
        <f t="shared" si="5"/>
        <v>-7566.91170074361</v>
      </c>
    </row>
    <row r="20" s="2" customFormat="1" spans="1:32">
      <c r="A20" s="20"/>
      <c r="B20" s="21"/>
      <c r="C20" s="22">
        <v>240801000004</v>
      </c>
      <c r="D20" s="23">
        <v>45505</v>
      </c>
      <c r="E20" s="23" t="s">
        <v>64</v>
      </c>
      <c r="F20" s="21" t="s">
        <v>64</v>
      </c>
      <c r="G20" s="21" t="s">
        <v>65</v>
      </c>
      <c r="H20" s="24">
        <v>0.1758</v>
      </c>
      <c r="I20" s="24">
        <v>34</v>
      </c>
      <c r="J20" s="43">
        <v>375.99</v>
      </c>
      <c r="K20" s="44"/>
      <c r="L20" s="45"/>
      <c r="M20" s="46"/>
      <c r="N20" s="51"/>
      <c r="O20" s="21"/>
      <c r="P20" s="47">
        <f t="shared" si="9"/>
        <v>375.99</v>
      </c>
      <c r="Q20" s="79"/>
      <c r="R20" s="79"/>
      <c r="S20" s="75">
        <f t="shared" si="6"/>
        <v>151.573905954001</v>
      </c>
      <c r="T20" s="75"/>
      <c r="U20" s="75">
        <f t="shared" si="7"/>
        <v>3.66835736227637</v>
      </c>
      <c r="V20" s="75"/>
      <c r="W20" s="75"/>
      <c r="X20" s="77">
        <f t="shared" ref="X20:X43" si="10">SUM(S20:W20)</f>
        <v>155.242263316277</v>
      </c>
      <c r="Y20" s="91">
        <f t="shared" si="8"/>
        <v>26.8209066262052</v>
      </c>
      <c r="Z20" s="91"/>
      <c r="AA20" s="91"/>
      <c r="AB20" s="91">
        <f t="shared" ref="AB20:AB44" si="11">SUM(Y20:AA20)</f>
        <v>26.8209066262052</v>
      </c>
      <c r="AC20" s="44">
        <v>7.08</v>
      </c>
      <c r="AD20" s="75">
        <f t="shared" ref="AD20:AD41" si="12">SUM(AB20*AC20)</f>
        <v>189.892018913533</v>
      </c>
      <c r="AE20" s="75">
        <f t="shared" ref="AE20:AE41" si="13">SUM(X20+AD20)</f>
        <v>345.13428222981</v>
      </c>
      <c r="AF20" s="77">
        <f t="shared" si="5"/>
        <v>30.8557177701898</v>
      </c>
    </row>
    <row r="21" s="2" customFormat="1" spans="1:32">
      <c r="A21" s="20" t="s">
        <v>8</v>
      </c>
      <c r="B21" s="21" t="s">
        <v>9</v>
      </c>
      <c r="C21" s="22">
        <v>240707000004</v>
      </c>
      <c r="D21" s="23">
        <v>45506</v>
      </c>
      <c r="E21" s="23" t="s">
        <v>64</v>
      </c>
      <c r="F21" s="21" t="s">
        <v>64</v>
      </c>
      <c r="G21" s="21" t="s">
        <v>85</v>
      </c>
      <c r="H21" s="24">
        <v>9.3447</v>
      </c>
      <c r="I21" s="24">
        <v>5042.5</v>
      </c>
      <c r="J21" s="43">
        <v>28642.1</v>
      </c>
      <c r="K21" s="44"/>
      <c r="L21" s="45"/>
      <c r="M21" s="46"/>
      <c r="N21" s="45"/>
      <c r="O21" s="21"/>
      <c r="P21" s="47">
        <f t="shared" si="9"/>
        <v>28642.1</v>
      </c>
      <c r="Q21" s="73">
        <f>SUM(P21:P40)</f>
        <v>165882.734</v>
      </c>
      <c r="R21" s="74" t="s">
        <v>86</v>
      </c>
      <c r="S21" s="75">
        <f>SUM(58867/68)*H21</f>
        <v>8089.62433676471</v>
      </c>
      <c r="T21" s="75"/>
      <c r="U21" s="75">
        <f>SUM(2000/68)*H21</f>
        <v>274.844117647059</v>
      </c>
      <c r="V21" s="75"/>
      <c r="W21" s="75"/>
      <c r="X21" s="77">
        <f t="shared" si="10"/>
        <v>8364.46845441177</v>
      </c>
      <c r="Y21" s="91">
        <f>SUM(10117.99/68)*H21</f>
        <v>1390.43501695588</v>
      </c>
      <c r="Z21" s="92">
        <v>88.5</v>
      </c>
      <c r="AA21" s="91">
        <f>SUM(91.45/68)*H21</f>
        <v>12.5672472794118</v>
      </c>
      <c r="AB21" s="91">
        <f t="shared" si="11"/>
        <v>1491.50226423529</v>
      </c>
      <c r="AC21" s="44">
        <v>7.15</v>
      </c>
      <c r="AD21" s="75">
        <f t="shared" si="12"/>
        <v>10664.2411892823</v>
      </c>
      <c r="AE21" s="75">
        <f t="shared" si="13"/>
        <v>19028.7096436941</v>
      </c>
      <c r="AF21" s="77">
        <f t="shared" ref="AF21:AF41" si="14">SUM(P21-AE21)</f>
        <v>9613.39035630589</v>
      </c>
    </row>
    <row r="22" s="2" customFormat="1" spans="1:32">
      <c r="A22" s="20"/>
      <c r="B22" s="21"/>
      <c r="C22" s="22">
        <v>240719000020</v>
      </c>
      <c r="D22" s="23">
        <v>45506</v>
      </c>
      <c r="E22" s="23" t="s">
        <v>64</v>
      </c>
      <c r="F22" s="21" t="s">
        <v>64</v>
      </c>
      <c r="G22" s="21" t="s">
        <v>87</v>
      </c>
      <c r="H22" s="24">
        <v>0.645</v>
      </c>
      <c r="I22" s="24">
        <v>148</v>
      </c>
      <c r="J22" s="43">
        <v>2922.21</v>
      </c>
      <c r="K22" s="44"/>
      <c r="L22" s="45"/>
      <c r="M22" s="46"/>
      <c r="N22" s="45"/>
      <c r="O22" s="21"/>
      <c r="P22" s="47">
        <f t="shared" si="9"/>
        <v>2922.21</v>
      </c>
      <c r="Q22" s="78"/>
      <c r="R22" s="78"/>
      <c r="S22" s="75">
        <f t="shared" ref="S22:S41" si="15">SUM(58867/68)*H22</f>
        <v>558.37080882353</v>
      </c>
      <c r="T22" s="75"/>
      <c r="U22" s="75">
        <f t="shared" ref="U22:U41" si="16">SUM(2000/68)*H22</f>
        <v>18.9705882352941</v>
      </c>
      <c r="V22" s="75"/>
      <c r="W22" s="75"/>
      <c r="X22" s="77">
        <f t="shared" si="10"/>
        <v>577.341397058824</v>
      </c>
      <c r="Y22" s="91">
        <f t="shared" ref="Y22:Y41" si="17">SUM(10117.99/68)*H22</f>
        <v>95.9721110294118</v>
      </c>
      <c r="Z22" s="92">
        <v>160.91</v>
      </c>
      <c r="AA22" s="91">
        <f t="shared" ref="AA22:AA41" si="18">SUM(91.45/68)*H22</f>
        <v>0.867430147058824</v>
      </c>
      <c r="AB22" s="91">
        <f t="shared" si="11"/>
        <v>257.749541176471</v>
      </c>
      <c r="AC22" s="44">
        <v>7.15</v>
      </c>
      <c r="AD22" s="75">
        <f t="shared" si="12"/>
        <v>1842.90921941176</v>
      </c>
      <c r="AE22" s="75">
        <f t="shared" si="13"/>
        <v>2420.25061647059</v>
      </c>
      <c r="AF22" s="77">
        <f t="shared" si="14"/>
        <v>501.959383529412</v>
      </c>
    </row>
    <row r="23" s="2" customFormat="1" spans="1:32">
      <c r="A23" s="20"/>
      <c r="B23" s="21"/>
      <c r="C23" s="22">
        <v>240719000037</v>
      </c>
      <c r="D23" s="23">
        <v>45506</v>
      </c>
      <c r="E23" s="23" t="s">
        <v>72</v>
      </c>
      <c r="F23" s="21" t="s">
        <v>88</v>
      </c>
      <c r="G23" s="21" t="s">
        <v>89</v>
      </c>
      <c r="H23" s="24">
        <v>0.9193</v>
      </c>
      <c r="I23" s="24">
        <v>430</v>
      </c>
      <c r="J23" s="99"/>
      <c r="K23" s="49">
        <v>579841.5</v>
      </c>
      <c r="L23" s="45"/>
      <c r="M23" s="46">
        <f t="shared" ref="M23:M28" si="19">SUM(K23/N23)</f>
        <v>1744.56629659717</v>
      </c>
      <c r="N23" s="50">
        <v>332.37</v>
      </c>
      <c r="O23" s="21">
        <v>7.12</v>
      </c>
      <c r="P23" s="47">
        <f t="shared" ref="P23:P28" si="20">SUM(N23*O23)</f>
        <v>2366.4744</v>
      </c>
      <c r="Q23" s="78"/>
      <c r="R23" s="78"/>
      <c r="S23" s="75">
        <f t="shared" si="15"/>
        <v>795.829898529412</v>
      </c>
      <c r="T23" s="75"/>
      <c r="U23" s="75">
        <f t="shared" si="16"/>
        <v>27.0382352941176</v>
      </c>
      <c r="V23" s="75"/>
      <c r="W23" s="75"/>
      <c r="X23" s="77">
        <f t="shared" si="10"/>
        <v>822.868133823529</v>
      </c>
      <c r="Y23" s="91">
        <f t="shared" si="17"/>
        <v>136.786297161765</v>
      </c>
      <c r="Z23" s="91"/>
      <c r="AA23" s="91">
        <f t="shared" si="18"/>
        <v>1.23632330882353</v>
      </c>
      <c r="AB23" s="91">
        <f t="shared" si="11"/>
        <v>138.022620470588</v>
      </c>
      <c r="AC23" s="44">
        <v>7.15</v>
      </c>
      <c r="AD23" s="75">
        <f t="shared" si="12"/>
        <v>986.861736364706</v>
      </c>
      <c r="AE23" s="75">
        <f t="shared" si="13"/>
        <v>1809.72987018824</v>
      </c>
      <c r="AF23" s="77">
        <f t="shared" si="14"/>
        <v>556.744529811765</v>
      </c>
    </row>
    <row r="24" s="2" customFormat="1" spans="1:32">
      <c r="A24" s="20"/>
      <c r="B24" s="21"/>
      <c r="C24" s="22">
        <v>240723000028</v>
      </c>
      <c r="D24" s="23">
        <v>45506</v>
      </c>
      <c r="E24" s="23" t="s">
        <v>69</v>
      </c>
      <c r="F24" s="21" t="s">
        <v>70</v>
      </c>
      <c r="G24" s="21" t="s">
        <v>90</v>
      </c>
      <c r="H24" s="24">
        <v>0.4159</v>
      </c>
      <c r="I24" s="24">
        <v>53.8</v>
      </c>
      <c r="J24" s="47"/>
      <c r="K24" s="49">
        <v>286650</v>
      </c>
      <c r="L24" s="45"/>
      <c r="M24" s="46">
        <f t="shared" si="19"/>
        <v>1750</v>
      </c>
      <c r="N24" s="50">
        <v>163.8</v>
      </c>
      <c r="O24" s="21">
        <v>7.12</v>
      </c>
      <c r="P24" s="47">
        <f t="shared" si="20"/>
        <v>1166.256</v>
      </c>
      <c r="Q24" s="78"/>
      <c r="R24" s="78"/>
      <c r="S24" s="75">
        <f t="shared" si="15"/>
        <v>360.040960294118</v>
      </c>
      <c r="T24" s="75"/>
      <c r="U24" s="75">
        <f t="shared" si="16"/>
        <v>12.2323529411765</v>
      </c>
      <c r="V24" s="75"/>
      <c r="W24" s="75"/>
      <c r="X24" s="77">
        <f t="shared" si="10"/>
        <v>372.273313235294</v>
      </c>
      <c r="Y24" s="91">
        <f t="shared" si="17"/>
        <v>61.8834123676471</v>
      </c>
      <c r="Z24" s="91"/>
      <c r="AA24" s="91">
        <f t="shared" si="18"/>
        <v>0.559324338235294</v>
      </c>
      <c r="AB24" s="91">
        <f t="shared" si="11"/>
        <v>62.4427367058823</v>
      </c>
      <c r="AC24" s="44">
        <v>7.15</v>
      </c>
      <c r="AD24" s="75">
        <f t="shared" si="12"/>
        <v>446.465567447059</v>
      </c>
      <c r="AE24" s="75">
        <f t="shared" si="13"/>
        <v>818.738880682353</v>
      </c>
      <c r="AF24" s="77">
        <f t="shared" si="14"/>
        <v>347.517119317647</v>
      </c>
    </row>
    <row r="25" s="2" customFormat="1" spans="1:32">
      <c r="A25" s="20"/>
      <c r="B25" s="21"/>
      <c r="C25" s="22">
        <v>240717000037</v>
      </c>
      <c r="D25" s="23">
        <v>45498</v>
      </c>
      <c r="E25" s="23" t="s">
        <v>69</v>
      </c>
      <c r="F25" s="21" t="s">
        <v>70</v>
      </c>
      <c r="G25" s="21" t="s">
        <v>75</v>
      </c>
      <c r="H25" s="24">
        <v>8.2</v>
      </c>
      <c r="I25" s="24">
        <v>882</v>
      </c>
      <c r="J25" s="43">
        <v>19661.07</v>
      </c>
      <c r="K25" s="44"/>
      <c r="L25" s="45"/>
      <c r="M25" s="46"/>
      <c r="N25" s="45"/>
      <c r="O25" s="21"/>
      <c r="P25" s="47">
        <f t="shared" ref="P25:P29" si="21">SUBTOTAL(9,J25)</f>
        <v>19661.07</v>
      </c>
      <c r="Q25" s="78"/>
      <c r="R25" s="78"/>
      <c r="S25" s="75">
        <f t="shared" si="15"/>
        <v>7098.66764705882</v>
      </c>
      <c r="T25" s="75"/>
      <c r="U25" s="75">
        <f t="shared" si="16"/>
        <v>241.176470588235</v>
      </c>
      <c r="V25" s="75"/>
      <c r="W25" s="75"/>
      <c r="X25" s="77">
        <f t="shared" si="10"/>
        <v>7339.84411764706</v>
      </c>
      <c r="Y25" s="91">
        <f t="shared" si="17"/>
        <v>1220.11055882353</v>
      </c>
      <c r="Z25" s="91"/>
      <c r="AA25" s="91">
        <f t="shared" si="18"/>
        <v>11.0277941176471</v>
      </c>
      <c r="AB25" s="91">
        <f t="shared" si="11"/>
        <v>1231.13835294118</v>
      </c>
      <c r="AC25" s="44">
        <v>7.15</v>
      </c>
      <c r="AD25" s="75">
        <f t="shared" si="12"/>
        <v>8802.63922352941</v>
      </c>
      <c r="AE25" s="75">
        <f t="shared" si="13"/>
        <v>16142.4833411765</v>
      </c>
      <c r="AF25" s="77">
        <f t="shared" si="14"/>
        <v>3518.58665882353</v>
      </c>
    </row>
    <row r="26" s="2" customFormat="1" spans="1:32">
      <c r="A26" s="20"/>
      <c r="B26" s="21"/>
      <c r="C26" s="22">
        <v>240718000039</v>
      </c>
      <c r="D26" s="23">
        <v>45511</v>
      </c>
      <c r="E26" s="23" t="s">
        <v>66</v>
      </c>
      <c r="F26" s="21" t="s">
        <v>67</v>
      </c>
      <c r="G26" s="21" t="s">
        <v>76</v>
      </c>
      <c r="H26" s="24">
        <v>2.7869</v>
      </c>
      <c r="I26" s="24">
        <v>2167</v>
      </c>
      <c r="J26" s="43">
        <v>14238</v>
      </c>
      <c r="K26" s="44"/>
      <c r="L26" s="45"/>
      <c r="M26" s="46"/>
      <c r="N26" s="45"/>
      <c r="O26" s="21"/>
      <c r="P26" s="75">
        <f t="shared" si="21"/>
        <v>14238</v>
      </c>
      <c r="Q26" s="73"/>
      <c r="R26" s="73"/>
      <c r="S26" s="75">
        <f t="shared" si="15"/>
        <v>2412.59473970588</v>
      </c>
      <c r="T26" s="75"/>
      <c r="U26" s="75">
        <f t="shared" si="16"/>
        <v>81.9676470588235</v>
      </c>
      <c r="V26" s="75"/>
      <c r="W26" s="75"/>
      <c r="X26" s="77">
        <f t="shared" si="10"/>
        <v>2494.56238676471</v>
      </c>
      <c r="Y26" s="91">
        <f t="shared" si="17"/>
        <v>414.673916632353</v>
      </c>
      <c r="Z26" s="91"/>
      <c r="AA26" s="91">
        <f t="shared" si="18"/>
        <v>3.74797066176471</v>
      </c>
      <c r="AB26" s="91">
        <f t="shared" si="11"/>
        <v>418.421887294118</v>
      </c>
      <c r="AC26" s="44">
        <v>7.15</v>
      </c>
      <c r="AD26" s="75">
        <f t="shared" si="12"/>
        <v>2991.71649415294</v>
      </c>
      <c r="AE26" s="75">
        <f t="shared" si="13"/>
        <v>5486.27888091765</v>
      </c>
      <c r="AF26" s="77">
        <f t="shared" si="14"/>
        <v>8751.72111908235</v>
      </c>
    </row>
    <row r="27" s="2" customFormat="1" spans="1:32">
      <c r="A27" s="20"/>
      <c r="B27" s="21"/>
      <c r="C27" s="22">
        <v>240630000010</v>
      </c>
      <c r="D27" s="23">
        <v>45511</v>
      </c>
      <c r="E27" s="23" t="s">
        <v>72</v>
      </c>
      <c r="F27" s="21" t="s">
        <v>88</v>
      </c>
      <c r="G27" s="21" t="s">
        <v>91</v>
      </c>
      <c r="H27" s="25">
        <v>1.6128</v>
      </c>
      <c r="I27" s="24">
        <v>637</v>
      </c>
      <c r="J27" s="100">
        <v>3432</v>
      </c>
      <c r="K27" s="44"/>
      <c r="L27" s="45"/>
      <c r="M27" s="46"/>
      <c r="N27" s="45"/>
      <c r="O27" s="21"/>
      <c r="P27" s="47">
        <f>SUM(J27)</f>
        <v>3432</v>
      </c>
      <c r="Q27" s="102"/>
      <c r="R27" s="102"/>
      <c r="S27" s="75">
        <f t="shared" si="15"/>
        <v>1396.18672941176</v>
      </c>
      <c r="T27" s="75"/>
      <c r="U27" s="75">
        <f t="shared" si="16"/>
        <v>47.4352941176471</v>
      </c>
      <c r="V27" s="75"/>
      <c r="W27" s="75"/>
      <c r="X27" s="77">
        <f t="shared" si="10"/>
        <v>1443.62202352941</v>
      </c>
      <c r="Y27" s="91">
        <f t="shared" si="17"/>
        <v>239.974915764706</v>
      </c>
      <c r="Z27" s="91"/>
      <c r="AA27" s="91">
        <f t="shared" si="18"/>
        <v>2.16897882352941</v>
      </c>
      <c r="AB27" s="91">
        <f t="shared" si="11"/>
        <v>242.143894588235</v>
      </c>
      <c r="AC27" s="44">
        <v>7.15</v>
      </c>
      <c r="AD27" s="75">
        <f t="shared" si="12"/>
        <v>1731.32884630588</v>
      </c>
      <c r="AE27" s="75">
        <f t="shared" si="13"/>
        <v>3174.95086983529</v>
      </c>
      <c r="AF27" s="77">
        <f t="shared" si="14"/>
        <v>257.049130164706</v>
      </c>
    </row>
    <row r="28" s="2" customFormat="1" spans="1:32">
      <c r="A28" s="20"/>
      <c r="B28" s="21"/>
      <c r="C28" s="22">
        <v>240726000008</v>
      </c>
      <c r="D28" s="23">
        <v>45506</v>
      </c>
      <c r="E28" s="23" t="s">
        <v>92</v>
      </c>
      <c r="F28" s="21" t="s">
        <v>93</v>
      </c>
      <c r="G28" s="21" t="s">
        <v>94</v>
      </c>
      <c r="H28" s="24">
        <v>0.835</v>
      </c>
      <c r="I28" s="24">
        <v>1254</v>
      </c>
      <c r="J28" s="47"/>
      <c r="K28" s="49">
        <v>1830068.49</v>
      </c>
      <c r="L28" s="45"/>
      <c r="M28" s="46">
        <f t="shared" si="19"/>
        <v>1711</v>
      </c>
      <c r="N28" s="50">
        <v>1069.59</v>
      </c>
      <c r="O28" s="21">
        <v>7.12</v>
      </c>
      <c r="P28" s="47">
        <f t="shared" si="20"/>
        <v>7615.4808</v>
      </c>
      <c r="Q28" s="78"/>
      <c r="R28" s="78"/>
      <c r="S28" s="75">
        <f t="shared" si="15"/>
        <v>722.852132352941</v>
      </c>
      <c r="T28" s="75"/>
      <c r="U28" s="75">
        <f t="shared" si="16"/>
        <v>24.5588235294118</v>
      </c>
      <c r="V28" s="75"/>
      <c r="W28" s="75"/>
      <c r="X28" s="77">
        <f t="shared" si="10"/>
        <v>747.410955882353</v>
      </c>
      <c r="Y28" s="91">
        <f t="shared" si="17"/>
        <v>124.242965441176</v>
      </c>
      <c r="Z28" s="91">
        <v>284.87</v>
      </c>
      <c r="AA28" s="91">
        <f t="shared" si="18"/>
        <v>1.12295220588235</v>
      </c>
      <c r="AB28" s="91">
        <f t="shared" si="11"/>
        <v>410.235917647059</v>
      </c>
      <c r="AC28" s="44">
        <v>7.15</v>
      </c>
      <c r="AD28" s="75">
        <f t="shared" si="12"/>
        <v>2933.18681117647</v>
      </c>
      <c r="AE28" s="75">
        <f t="shared" si="13"/>
        <v>3680.59776705882</v>
      </c>
      <c r="AF28" s="77">
        <f t="shared" si="14"/>
        <v>3934.88303294118</v>
      </c>
    </row>
    <row r="29" s="2" customFormat="1" spans="1:32">
      <c r="A29" s="20"/>
      <c r="B29" s="21"/>
      <c r="C29" s="22">
        <v>240729000013</v>
      </c>
      <c r="D29" s="23">
        <v>45506</v>
      </c>
      <c r="E29" s="23" t="s">
        <v>69</v>
      </c>
      <c r="F29" s="21" t="s">
        <v>70</v>
      </c>
      <c r="G29" s="21" t="s">
        <v>77</v>
      </c>
      <c r="H29" s="24">
        <v>0.3557</v>
      </c>
      <c r="I29" s="24">
        <v>50</v>
      </c>
      <c r="J29" s="43">
        <v>801.54</v>
      </c>
      <c r="K29" s="44"/>
      <c r="L29" s="45"/>
      <c r="M29" s="46"/>
      <c r="N29" s="45"/>
      <c r="O29" s="21"/>
      <c r="P29" s="47">
        <f t="shared" si="21"/>
        <v>801.54</v>
      </c>
      <c r="Q29" s="78"/>
      <c r="R29" s="78"/>
      <c r="S29" s="75">
        <f t="shared" si="15"/>
        <v>307.926351470588</v>
      </c>
      <c r="T29" s="75"/>
      <c r="U29" s="75">
        <f t="shared" si="16"/>
        <v>10.4617647058824</v>
      </c>
      <c r="V29" s="75"/>
      <c r="W29" s="75"/>
      <c r="X29" s="77">
        <f t="shared" si="10"/>
        <v>318.388116176471</v>
      </c>
      <c r="Y29" s="91">
        <f t="shared" si="17"/>
        <v>52.9260153382353</v>
      </c>
      <c r="Z29" s="91"/>
      <c r="AA29" s="91">
        <f t="shared" si="18"/>
        <v>0.478364191176471</v>
      </c>
      <c r="AB29" s="91">
        <f t="shared" si="11"/>
        <v>53.4043795294118</v>
      </c>
      <c r="AC29" s="44">
        <v>7.15</v>
      </c>
      <c r="AD29" s="75">
        <f t="shared" si="12"/>
        <v>381.841313635294</v>
      </c>
      <c r="AE29" s="75">
        <f t="shared" si="13"/>
        <v>700.229429811765</v>
      </c>
      <c r="AF29" s="77">
        <f t="shared" si="14"/>
        <v>101.310570188235</v>
      </c>
    </row>
    <row r="30" s="2" customFormat="1" spans="1:32">
      <c r="A30" s="20"/>
      <c r="B30" s="21"/>
      <c r="C30" s="22">
        <v>240724000026</v>
      </c>
      <c r="D30" s="23">
        <v>45506</v>
      </c>
      <c r="E30" s="23" t="s">
        <v>92</v>
      </c>
      <c r="F30" s="21" t="s">
        <v>93</v>
      </c>
      <c r="G30" s="21" t="s">
        <v>94</v>
      </c>
      <c r="H30" s="24">
        <v>3.0722</v>
      </c>
      <c r="I30" s="24">
        <v>4949</v>
      </c>
      <c r="J30" s="47"/>
      <c r="K30" s="49">
        <v>1723658</v>
      </c>
      <c r="L30" s="45"/>
      <c r="M30" s="46">
        <f>SUM(K30/N30)</f>
        <v>1711.01360942634</v>
      </c>
      <c r="N30" s="50">
        <v>1007.39</v>
      </c>
      <c r="O30" s="21">
        <v>7.12</v>
      </c>
      <c r="P30" s="47">
        <f>SUM(N30*O30)</f>
        <v>7172.6168</v>
      </c>
      <c r="Q30" s="78"/>
      <c r="R30" s="78"/>
      <c r="S30" s="75">
        <f t="shared" si="15"/>
        <v>2659.57643235294</v>
      </c>
      <c r="T30" s="75"/>
      <c r="U30" s="75">
        <f t="shared" si="16"/>
        <v>90.3588235294118</v>
      </c>
      <c r="V30" s="75"/>
      <c r="W30" s="75"/>
      <c r="X30" s="77">
        <f t="shared" si="10"/>
        <v>2749.93525588235</v>
      </c>
      <c r="Y30" s="91">
        <f t="shared" si="17"/>
        <v>457.124836441176</v>
      </c>
      <c r="Z30" s="91"/>
      <c r="AA30" s="91">
        <f t="shared" si="18"/>
        <v>4.13165720588235</v>
      </c>
      <c r="AB30" s="91">
        <f t="shared" si="11"/>
        <v>461.256493647059</v>
      </c>
      <c r="AC30" s="44">
        <v>7.15</v>
      </c>
      <c r="AD30" s="75">
        <f t="shared" si="12"/>
        <v>3297.98392957647</v>
      </c>
      <c r="AE30" s="75">
        <f t="shared" si="13"/>
        <v>6047.91918545882</v>
      </c>
      <c r="AF30" s="77">
        <f t="shared" si="14"/>
        <v>1124.69761454118</v>
      </c>
    </row>
    <row r="31" s="2" customFormat="1" spans="1:32">
      <c r="A31" s="20"/>
      <c r="B31" s="21"/>
      <c r="C31" s="22">
        <v>240729000017</v>
      </c>
      <c r="D31" s="23">
        <v>45506</v>
      </c>
      <c r="E31" s="23" t="s">
        <v>92</v>
      </c>
      <c r="F31" s="21" t="s">
        <v>93</v>
      </c>
      <c r="G31" s="21" t="s">
        <v>95</v>
      </c>
      <c r="H31" s="24">
        <v>1.1178</v>
      </c>
      <c r="I31" s="24">
        <v>1055</v>
      </c>
      <c r="J31" s="47"/>
      <c r="K31" s="49">
        <v>776250</v>
      </c>
      <c r="L31" s="45"/>
      <c r="M31" s="46">
        <f>SUM(K31/N31)</f>
        <v>1725</v>
      </c>
      <c r="N31" s="50">
        <v>450</v>
      </c>
      <c r="O31" s="21">
        <v>7.12</v>
      </c>
      <c r="P31" s="47">
        <f>SUM(N31*O31)</f>
        <v>3204</v>
      </c>
      <c r="Q31" s="78"/>
      <c r="R31" s="78"/>
      <c r="S31" s="75">
        <f t="shared" si="15"/>
        <v>967.669597058823</v>
      </c>
      <c r="T31" s="75"/>
      <c r="U31" s="75">
        <f t="shared" si="16"/>
        <v>32.8764705882353</v>
      </c>
      <c r="V31" s="75"/>
      <c r="W31" s="75"/>
      <c r="X31" s="77">
        <f t="shared" si="10"/>
        <v>1000.54606764706</v>
      </c>
      <c r="Y31" s="91">
        <f t="shared" si="17"/>
        <v>166.321900323529</v>
      </c>
      <c r="Z31" s="91"/>
      <c r="AA31" s="91">
        <f t="shared" si="18"/>
        <v>1.50327661764706</v>
      </c>
      <c r="AB31" s="91">
        <f t="shared" si="11"/>
        <v>167.825176941176</v>
      </c>
      <c r="AC31" s="44">
        <v>7.15</v>
      </c>
      <c r="AD31" s="75">
        <f t="shared" si="12"/>
        <v>1199.95001512941</v>
      </c>
      <c r="AE31" s="75">
        <f t="shared" si="13"/>
        <v>2200.49608277647</v>
      </c>
      <c r="AF31" s="77">
        <f t="shared" si="14"/>
        <v>1003.50391722353</v>
      </c>
    </row>
    <row r="32" s="2" customFormat="1" spans="1:32">
      <c r="A32" s="20"/>
      <c r="B32" s="21"/>
      <c r="C32" s="22">
        <v>240729000020</v>
      </c>
      <c r="D32" s="23">
        <v>45506</v>
      </c>
      <c r="E32" s="23" t="s">
        <v>66</v>
      </c>
      <c r="F32" s="21" t="s">
        <v>67</v>
      </c>
      <c r="G32" s="21" t="s">
        <v>96</v>
      </c>
      <c r="H32" s="24">
        <v>0.0032</v>
      </c>
      <c r="I32" s="24">
        <v>2.7</v>
      </c>
      <c r="J32" s="43">
        <v>235.2</v>
      </c>
      <c r="K32" s="44"/>
      <c r="L32" s="45"/>
      <c r="M32" s="46"/>
      <c r="N32" s="45"/>
      <c r="O32" s="21"/>
      <c r="P32" s="47">
        <f>SUBTOTAL(9,J32)</f>
        <v>235.2</v>
      </c>
      <c r="Q32" s="78"/>
      <c r="R32" s="78"/>
      <c r="S32" s="75">
        <f t="shared" si="15"/>
        <v>2.77021176470588</v>
      </c>
      <c r="T32" s="75"/>
      <c r="U32" s="75">
        <f t="shared" si="16"/>
        <v>0.0941176470588235</v>
      </c>
      <c r="V32" s="75"/>
      <c r="W32" s="75"/>
      <c r="X32" s="77">
        <f t="shared" si="10"/>
        <v>2.86432941176471</v>
      </c>
      <c r="Y32" s="91">
        <f t="shared" si="17"/>
        <v>0.476140705882353</v>
      </c>
      <c r="Z32" s="91"/>
      <c r="AA32" s="91">
        <f t="shared" si="18"/>
        <v>0.00430352941176471</v>
      </c>
      <c r="AB32" s="91">
        <f t="shared" si="11"/>
        <v>0.480444235294118</v>
      </c>
      <c r="AC32" s="44">
        <v>7.15</v>
      </c>
      <c r="AD32" s="75">
        <f t="shared" si="12"/>
        <v>3.43517628235294</v>
      </c>
      <c r="AE32" s="75">
        <f t="shared" si="13"/>
        <v>6.29950569411765</v>
      </c>
      <c r="AF32" s="77">
        <f t="shared" si="14"/>
        <v>228.900494305882</v>
      </c>
    </row>
    <row r="33" s="2" customFormat="1" spans="1:32">
      <c r="A33" s="20"/>
      <c r="B33" s="21"/>
      <c r="C33" s="22">
        <v>240730000010</v>
      </c>
      <c r="D33" s="23">
        <v>45506</v>
      </c>
      <c r="E33" s="23" t="s">
        <v>69</v>
      </c>
      <c r="F33" s="21" t="s">
        <v>70</v>
      </c>
      <c r="G33" s="21" t="s">
        <v>77</v>
      </c>
      <c r="H33" s="24">
        <v>3.0014</v>
      </c>
      <c r="I33" s="24">
        <v>502</v>
      </c>
      <c r="J33" s="43">
        <v>6679.5</v>
      </c>
      <c r="K33" s="44"/>
      <c r="L33" s="45"/>
      <c r="M33" s="46"/>
      <c r="N33" s="45"/>
      <c r="O33" s="21"/>
      <c r="P33" s="47">
        <f>SUBTOTAL(9,J33)</f>
        <v>6679.5</v>
      </c>
      <c r="Q33" s="78"/>
      <c r="R33" s="78"/>
      <c r="S33" s="75">
        <f t="shared" si="15"/>
        <v>2598.28549705882</v>
      </c>
      <c r="T33" s="75"/>
      <c r="U33" s="75">
        <f t="shared" si="16"/>
        <v>88.2764705882353</v>
      </c>
      <c r="V33" s="75"/>
      <c r="W33" s="75"/>
      <c r="X33" s="77">
        <f t="shared" si="10"/>
        <v>2686.56196764706</v>
      </c>
      <c r="Y33" s="91">
        <f t="shared" si="17"/>
        <v>446.590223323529</v>
      </c>
      <c r="Z33" s="91"/>
      <c r="AA33" s="91">
        <f t="shared" si="18"/>
        <v>4.03644161764706</v>
      </c>
      <c r="AB33" s="91">
        <f t="shared" si="11"/>
        <v>450.626664941176</v>
      </c>
      <c r="AC33" s="44">
        <v>7.15</v>
      </c>
      <c r="AD33" s="75">
        <f t="shared" si="12"/>
        <v>3221.98065432941</v>
      </c>
      <c r="AE33" s="75">
        <f t="shared" si="13"/>
        <v>5908.54262197647</v>
      </c>
      <c r="AF33" s="77">
        <f t="shared" si="14"/>
        <v>770.95737802353</v>
      </c>
    </row>
    <row r="34" s="2" customFormat="1" spans="1:32">
      <c r="A34" s="20"/>
      <c r="B34" s="21"/>
      <c r="C34" s="22">
        <v>240731000038</v>
      </c>
      <c r="D34" s="23">
        <v>45506</v>
      </c>
      <c r="E34" s="23" t="s">
        <v>80</v>
      </c>
      <c r="F34" s="21" t="s">
        <v>81</v>
      </c>
      <c r="G34" s="21" t="s">
        <v>82</v>
      </c>
      <c r="H34" s="24">
        <v>3.6015</v>
      </c>
      <c r="I34" s="24">
        <v>1074</v>
      </c>
      <c r="J34" s="43">
        <v>8038.58</v>
      </c>
      <c r="K34" s="44"/>
      <c r="L34" s="45"/>
      <c r="M34" s="46"/>
      <c r="N34" s="45"/>
      <c r="O34" s="21"/>
      <c r="P34" s="47">
        <f>SUBTOTAL(9,J34)</f>
        <v>8038.58</v>
      </c>
      <c r="Q34" s="78"/>
      <c r="R34" s="78"/>
      <c r="S34" s="75">
        <f t="shared" si="15"/>
        <v>3117.78677205882</v>
      </c>
      <c r="T34" s="75"/>
      <c r="U34" s="75">
        <f t="shared" si="16"/>
        <v>105.926470588235</v>
      </c>
      <c r="V34" s="75"/>
      <c r="W34" s="75"/>
      <c r="X34" s="77">
        <f t="shared" si="10"/>
        <v>3223.71324264706</v>
      </c>
      <c r="Y34" s="91">
        <f t="shared" si="17"/>
        <v>535.881485073529</v>
      </c>
      <c r="Z34" s="91"/>
      <c r="AA34" s="91">
        <f t="shared" si="18"/>
        <v>4.84348786764706</v>
      </c>
      <c r="AB34" s="91">
        <f t="shared" si="11"/>
        <v>540.724972941176</v>
      </c>
      <c r="AC34" s="44">
        <v>7.15</v>
      </c>
      <c r="AD34" s="75">
        <f t="shared" si="12"/>
        <v>3866.18355652941</v>
      </c>
      <c r="AE34" s="75">
        <f t="shared" si="13"/>
        <v>7089.89679917647</v>
      </c>
      <c r="AF34" s="77">
        <f t="shared" si="14"/>
        <v>948.68320082353</v>
      </c>
    </row>
    <row r="35" s="2" customFormat="1" spans="1:32">
      <c r="A35" s="20"/>
      <c r="B35" s="21"/>
      <c r="C35" s="22">
        <v>240801000001</v>
      </c>
      <c r="D35" s="23">
        <v>45506</v>
      </c>
      <c r="E35" s="23" t="s">
        <v>64</v>
      </c>
      <c r="F35" s="21" t="s">
        <v>64</v>
      </c>
      <c r="G35" s="21" t="s">
        <v>84</v>
      </c>
      <c r="H35" s="24">
        <v>32.88</v>
      </c>
      <c r="I35" s="24">
        <v>4188</v>
      </c>
      <c r="J35" s="43">
        <v>51584.98</v>
      </c>
      <c r="K35" s="44"/>
      <c r="L35" s="45"/>
      <c r="M35" s="46"/>
      <c r="N35" s="50"/>
      <c r="O35" s="21"/>
      <c r="P35" s="47">
        <f>SUBTOTAL(9,J35)</f>
        <v>51584.98</v>
      </c>
      <c r="Q35" s="78"/>
      <c r="R35" s="78"/>
      <c r="S35" s="75">
        <f t="shared" si="15"/>
        <v>28463.9258823529</v>
      </c>
      <c r="T35" s="75"/>
      <c r="U35" s="75">
        <f t="shared" si="16"/>
        <v>967.058823529412</v>
      </c>
      <c r="V35" s="75"/>
      <c r="W35" s="75"/>
      <c r="X35" s="77">
        <f t="shared" si="10"/>
        <v>29430.9847058824</v>
      </c>
      <c r="Y35" s="91">
        <f t="shared" si="17"/>
        <v>4892.34575294118</v>
      </c>
      <c r="Z35" s="91"/>
      <c r="AA35" s="91">
        <f t="shared" si="18"/>
        <v>44.2187647058824</v>
      </c>
      <c r="AB35" s="91">
        <f t="shared" si="11"/>
        <v>4936.56451764706</v>
      </c>
      <c r="AC35" s="44">
        <v>7.15</v>
      </c>
      <c r="AD35" s="75">
        <f t="shared" si="12"/>
        <v>35296.4363011765</v>
      </c>
      <c r="AE35" s="75">
        <f t="shared" si="13"/>
        <v>64727.4210070588</v>
      </c>
      <c r="AF35" s="75">
        <f t="shared" si="14"/>
        <v>-13142.4410070588</v>
      </c>
    </row>
    <row r="36" s="2" customFormat="1" spans="1:32">
      <c r="A36" s="20"/>
      <c r="B36" s="21"/>
      <c r="C36" s="22">
        <v>240728000003</v>
      </c>
      <c r="D36" s="23">
        <v>45506</v>
      </c>
      <c r="E36" s="23" t="s">
        <v>64</v>
      </c>
      <c r="F36" s="21" t="s">
        <v>64</v>
      </c>
      <c r="G36" s="21" t="s">
        <v>78</v>
      </c>
      <c r="H36" s="24">
        <v>0.2595</v>
      </c>
      <c r="I36" s="24">
        <v>100</v>
      </c>
      <c r="J36" s="43">
        <v>699</v>
      </c>
      <c r="K36" s="44"/>
      <c r="L36" s="45"/>
      <c r="M36" s="46"/>
      <c r="N36" s="45"/>
      <c r="O36" s="21"/>
      <c r="P36" s="47">
        <f>SUBTOTAL(9,J36)</f>
        <v>699</v>
      </c>
      <c r="Q36" s="78"/>
      <c r="R36" s="78"/>
      <c r="S36" s="75">
        <f t="shared" si="15"/>
        <v>224.646860294118</v>
      </c>
      <c r="T36" s="75"/>
      <c r="U36" s="75">
        <f t="shared" si="16"/>
        <v>7.63235294117647</v>
      </c>
      <c r="V36" s="75"/>
      <c r="W36" s="75"/>
      <c r="X36" s="77">
        <f t="shared" si="10"/>
        <v>232.279213235294</v>
      </c>
      <c r="Y36" s="91">
        <f t="shared" si="17"/>
        <v>38.6120353676471</v>
      </c>
      <c r="Z36" s="91"/>
      <c r="AA36" s="91">
        <f t="shared" si="18"/>
        <v>0.348989338235294</v>
      </c>
      <c r="AB36" s="91">
        <f t="shared" si="11"/>
        <v>38.9610247058824</v>
      </c>
      <c r="AC36" s="44">
        <v>7.15</v>
      </c>
      <c r="AD36" s="75">
        <f t="shared" si="12"/>
        <v>278.571326647059</v>
      </c>
      <c r="AE36" s="75">
        <f t="shared" si="13"/>
        <v>510.850539882353</v>
      </c>
      <c r="AF36" s="77">
        <f t="shared" si="14"/>
        <v>188.149460117647</v>
      </c>
    </row>
    <row r="37" s="2" customFormat="1" spans="1:32">
      <c r="A37" s="20"/>
      <c r="B37" s="21"/>
      <c r="C37" s="22">
        <v>240801000022</v>
      </c>
      <c r="D37" s="23">
        <v>45506</v>
      </c>
      <c r="E37" s="23" t="s">
        <v>92</v>
      </c>
      <c r="F37" s="21" t="s">
        <v>93</v>
      </c>
      <c r="G37" s="21" t="s">
        <v>97</v>
      </c>
      <c r="H37" s="24">
        <v>1.8732</v>
      </c>
      <c r="I37" s="24">
        <v>1420</v>
      </c>
      <c r="J37" s="47"/>
      <c r="K37" s="49">
        <v>1129654.4</v>
      </c>
      <c r="L37" s="45"/>
      <c r="M37" s="46">
        <f>SUM(K37/N37)</f>
        <v>1739</v>
      </c>
      <c r="N37" s="50">
        <v>649.6</v>
      </c>
      <c r="O37" s="21">
        <v>7.06</v>
      </c>
      <c r="P37" s="47">
        <f>SUM(N37*O37)</f>
        <v>4586.176</v>
      </c>
      <c r="Q37" s="78"/>
      <c r="R37" s="78"/>
      <c r="S37" s="75">
        <f t="shared" si="15"/>
        <v>1621.61271176471</v>
      </c>
      <c r="T37" s="75"/>
      <c r="U37" s="75">
        <f t="shared" si="16"/>
        <v>55.0941176470588</v>
      </c>
      <c r="V37" s="75"/>
      <c r="W37" s="75"/>
      <c r="X37" s="77">
        <f t="shared" si="10"/>
        <v>1676.70682941176</v>
      </c>
      <c r="Y37" s="91">
        <f t="shared" si="17"/>
        <v>278.720865705882</v>
      </c>
      <c r="Z37" s="91"/>
      <c r="AA37" s="91">
        <f t="shared" si="18"/>
        <v>2.51917852941176</v>
      </c>
      <c r="AB37" s="91">
        <f t="shared" si="11"/>
        <v>281.240044235294</v>
      </c>
      <c r="AC37" s="44">
        <v>7.15</v>
      </c>
      <c r="AD37" s="75">
        <f t="shared" si="12"/>
        <v>2010.86631628235</v>
      </c>
      <c r="AE37" s="75">
        <f t="shared" si="13"/>
        <v>3687.57314569412</v>
      </c>
      <c r="AF37" s="77">
        <f t="shared" si="14"/>
        <v>898.602854305883</v>
      </c>
    </row>
    <row r="38" s="2" customFormat="1" spans="1:32">
      <c r="A38" s="20"/>
      <c r="B38" s="21"/>
      <c r="C38" s="22">
        <v>240802000022</v>
      </c>
      <c r="D38" s="23">
        <v>45506</v>
      </c>
      <c r="E38" s="23" t="s">
        <v>64</v>
      </c>
      <c r="F38" s="21" t="s">
        <v>64</v>
      </c>
      <c r="G38" s="21" t="s">
        <v>85</v>
      </c>
      <c r="H38" s="111">
        <v>0.02</v>
      </c>
      <c r="I38" s="111">
        <v>5.5</v>
      </c>
      <c r="J38" s="43">
        <v>61.48</v>
      </c>
      <c r="K38" s="44"/>
      <c r="L38" s="45"/>
      <c r="M38" s="46"/>
      <c r="N38" s="45"/>
      <c r="O38" s="21"/>
      <c r="P38" s="47">
        <f t="shared" ref="P38:P41" si="22">SUBTOTAL(9,J38)</f>
        <v>61.48</v>
      </c>
      <c r="Q38" s="78"/>
      <c r="R38" s="78"/>
      <c r="S38" s="75">
        <f t="shared" si="15"/>
        <v>17.3138235294118</v>
      </c>
      <c r="T38" s="75"/>
      <c r="U38" s="75">
        <f t="shared" si="16"/>
        <v>0.588235294117647</v>
      </c>
      <c r="V38" s="75"/>
      <c r="W38" s="75"/>
      <c r="X38" s="77">
        <f t="shared" si="10"/>
        <v>17.9020588235294</v>
      </c>
      <c r="Y38" s="91">
        <f t="shared" si="17"/>
        <v>2.97587941176471</v>
      </c>
      <c r="Z38" s="91"/>
      <c r="AA38" s="91">
        <f t="shared" si="18"/>
        <v>0.0268970588235294</v>
      </c>
      <c r="AB38" s="91">
        <f t="shared" si="11"/>
        <v>3.00277647058824</v>
      </c>
      <c r="AC38" s="44">
        <v>7.15</v>
      </c>
      <c r="AD38" s="75">
        <f t="shared" si="12"/>
        <v>21.4698517647059</v>
      </c>
      <c r="AE38" s="75">
        <f t="shared" si="13"/>
        <v>39.3719105882353</v>
      </c>
      <c r="AF38" s="77">
        <f t="shared" si="14"/>
        <v>22.1080894117647</v>
      </c>
    </row>
    <row r="39" s="2" customFormat="1" spans="1:32">
      <c r="A39" s="20"/>
      <c r="B39" s="21"/>
      <c r="C39" s="22">
        <v>240802000026</v>
      </c>
      <c r="D39" s="23">
        <v>45506</v>
      </c>
      <c r="E39" s="23" t="s">
        <v>80</v>
      </c>
      <c r="F39" s="21" t="s">
        <v>81</v>
      </c>
      <c r="G39" s="21" t="s">
        <v>82</v>
      </c>
      <c r="H39" s="24">
        <v>0.0391</v>
      </c>
      <c r="I39" s="24">
        <v>42.5</v>
      </c>
      <c r="J39" s="43">
        <v>98.57</v>
      </c>
      <c r="K39" s="44"/>
      <c r="L39" s="45"/>
      <c r="M39" s="46"/>
      <c r="N39" s="45"/>
      <c r="O39" s="21"/>
      <c r="P39" s="47">
        <f t="shared" si="22"/>
        <v>98.57</v>
      </c>
      <c r="Q39" s="78"/>
      <c r="R39" s="78"/>
      <c r="S39" s="75">
        <f t="shared" si="15"/>
        <v>33.848525</v>
      </c>
      <c r="T39" s="75"/>
      <c r="U39" s="75">
        <f t="shared" si="16"/>
        <v>1.15</v>
      </c>
      <c r="V39" s="75"/>
      <c r="W39" s="75"/>
      <c r="X39" s="77">
        <f t="shared" si="10"/>
        <v>34.998525</v>
      </c>
      <c r="Y39" s="91">
        <f t="shared" si="17"/>
        <v>5.81784425</v>
      </c>
      <c r="Z39" s="91"/>
      <c r="AA39" s="91">
        <f t="shared" si="18"/>
        <v>0.05258375</v>
      </c>
      <c r="AB39" s="91">
        <f t="shared" si="11"/>
        <v>5.870428</v>
      </c>
      <c r="AC39" s="44">
        <v>7.15</v>
      </c>
      <c r="AD39" s="75">
        <f t="shared" ref="AD39:AD44" si="23">SUM(AB39*AC39)</f>
        <v>41.9735602</v>
      </c>
      <c r="AE39" s="75">
        <f t="shared" ref="AE39:AE44" si="24">SUM(X39+AD39)</f>
        <v>76.9720852</v>
      </c>
      <c r="AF39" s="77">
        <f t="shared" ref="AF39:AF44" si="25">SUM(P39-AE39)</f>
        <v>21.5979148</v>
      </c>
    </row>
    <row r="40" s="2" customFormat="1" spans="1:32">
      <c r="A40" s="20"/>
      <c r="B40" s="21"/>
      <c r="C40" s="22">
        <v>240802000029</v>
      </c>
      <c r="D40" s="23">
        <v>45506</v>
      </c>
      <c r="E40" s="23" t="s">
        <v>64</v>
      </c>
      <c r="F40" s="21" t="s">
        <v>64</v>
      </c>
      <c r="G40" s="21" t="s">
        <v>65</v>
      </c>
      <c r="H40" s="24">
        <v>1.5074</v>
      </c>
      <c r="I40" s="24">
        <v>207</v>
      </c>
      <c r="J40" s="43">
        <v>2677.5</v>
      </c>
      <c r="K40" s="44"/>
      <c r="L40" s="45"/>
      <c r="M40" s="46"/>
      <c r="N40" s="51"/>
      <c r="O40" s="21"/>
      <c r="P40" s="47">
        <f t="shared" si="22"/>
        <v>2677.5</v>
      </c>
      <c r="Q40" s="79"/>
      <c r="R40" s="79"/>
      <c r="S40" s="75">
        <f t="shared" si="15"/>
        <v>1304.94287941176</v>
      </c>
      <c r="T40" s="75"/>
      <c r="U40" s="75">
        <f t="shared" si="16"/>
        <v>44.3352941176471</v>
      </c>
      <c r="V40" s="75"/>
      <c r="W40" s="75"/>
      <c r="X40" s="77">
        <f t="shared" si="10"/>
        <v>1349.27817352941</v>
      </c>
      <c r="Y40" s="91">
        <f t="shared" si="17"/>
        <v>224.292031264706</v>
      </c>
      <c r="Z40" s="91"/>
      <c r="AA40" s="91">
        <f t="shared" si="18"/>
        <v>2.02723132352941</v>
      </c>
      <c r="AB40" s="91">
        <f t="shared" si="11"/>
        <v>226.319262588235</v>
      </c>
      <c r="AC40" s="44">
        <v>7.15</v>
      </c>
      <c r="AD40" s="75">
        <f t="shared" si="23"/>
        <v>1618.18272750588</v>
      </c>
      <c r="AE40" s="75">
        <f t="shared" si="24"/>
        <v>2967.46090103529</v>
      </c>
      <c r="AF40" s="75">
        <f t="shared" si="25"/>
        <v>-289.960901035294</v>
      </c>
    </row>
    <row r="41" s="2" customFormat="1" spans="1:32">
      <c r="A41" s="103" t="s">
        <v>10</v>
      </c>
      <c r="B41" s="103" t="s">
        <v>11</v>
      </c>
      <c r="C41" s="22">
        <v>240804000005</v>
      </c>
      <c r="D41" s="23">
        <v>45511</v>
      </c>
      <c r="E41" s="23" t="s">
        <v>66</v>
      </c>
      <c r="F41" s="21" t="s">
        <v>67</v>
      </c>
      <c r="G41" s="21" t="s">
        <v>98</v>
      </c>
      <c r="H41" s="24">
        <v>34.5199</v>
      </c>
      <c r="I41" s="24">
        <v>9224</v>
      </c>
      <c r="J41" s="43">
        <v>77059.62</v>
      </c>
      <c r="K41" s="44"/>
      <c r="L41" s="50"/>
      <c r="M41" s="46"/>
      <c r="N41" s="50"/>
      <c r="O41" s="21"/>
      <c r="P41" s="75">
        <f t="shared" si="22"/>
        <v>77059.62</v>
      </c>
      <c r="Q41" s="78">
        <f>SUM(P41:P44)</f>
        <v>141684.32</v>
      </c>
      <c r="R41" s="110" t="s">
        <v>99</v>
      </c>
      <c r="S41" s="75">
        <f>SUM(57532.25/68)*H41</f>
        <v>29205.99289375</v>
      </c>
      <c r="T41" s="75"/>
      <c r="U41" s="75">
        <f>SUM(1450/68)*H41</f>
        <v>736.086102941176</v>
      </c>
      <c r="V41" s="75"/>
      <c r="W41" s="75"/>
      <c r="X41" s="77">
        <f t="shared" si="10"/>
        <v>29942.0789966912</v>
      </c>
      <c r="Y41" s="96">
        <f>SUM(10529/68)*H41</f>
        <v>5345.00039852941</v>
      </c>
      <c r="Z41" s="91"/>
      <c r="AA41" s="91">
        <f>SUM(206.48/68)*H41</f>
        <v>104.818661058824</v>
      </c>
      <c r="AB41" s="91">
        <f t="shared" si="11"/>
        <v>5449.81905958823</v>
      </c>
      <c r="AC41" s="44">
        <v>7.09</v>
      </c>
      <c r="AD41" s="75">
        <f t="shared" si="23"/>
        <v>38639.2171324806</v>
      </c>
      <c r="AE41" s="75">
        <f t="shared" si="24"/>
        <v>68581.2961291718</v>
      </c>
      <c r="AF41" s="77">
        <f t="shared" si="25"/>
        <v>8478.32387082824</v>
      </c>
    </row>
    <row r="42" s="2" customFormat="1" spans="1:32">
      <c r="A42" s="20"/>
      <c r="B42" s="21"/>
      <c r="C42" s="22">
        <v>240630000010</v>
      </c>
      <c r="D42" s="23">
        <v>45511</v>
      </c>
      <c r="E42" s="23" t="s">
        <v>72</v>
      </c>
      <c r="F42" s="21" t="s">
        <v>88</v>
      </c>
      <c r="G42" s="21" t="s">
        <v>91</v>
      </c>
      <c r="H42" s="24">
        <v>1.5552</v>
      </c>
      <c r="I42" s="24">
        <v>912</v>
      </c>
      <c r="J42" s="100">
        <v>3309</v>
      </c>
      <c r="K42" s="44"/>
      <c r="L42" s="45"/>
      <c r="M42" s="46"/>
      <c r="N42" s="45"/>
      <c r="O42" s="21"/>
      <c r="P42" s="47">
        <f>SUM(J42)</f>
        <v>3309</v>
      </c>
      <c r="Q42" s="102"/>
      <c r="R42" s="102"/>
      <c r="S42" s="75">
        <f>SUM(57532.25/68)*H42</f>
        <v>1315.7964</v>
      </c>
      <c r="T42" s="75"/>
      <c r="U42" s="75">
        <f>SUM(1450/68)*H42</f>
        <v>33.1623529411765</v>
      </c>
      <c r="V42" s="75"/>
      <c r="W42" s="75"/>
      <c r="X42" s="77">
        <f t="shared" si="10"/>
        <v>1348.95875294118</v>
      </c>
      <c r="Y42" s="96">
        <f>SUM(10529/68)*H42</f>
        <v>240.804423529412</v>
      </c>
      <c r="Z42" s="91"/>
      <c r="AA42" s="91">
        <f>SUM(206.48/68)*H42</f>
        <v>4.72231905882353</v>
      </c>
      <c r="AB42" s="91">
        <f t="shared" si="11"/>
        <v>245.526742588236</v>
      </c>
      <c r="AC42" s="44">
        <v>7.09</v>
      </c>
      <c r="AD42" s="75">
        <f t="shared" si="23"/>
        <v>1740.78460495059</v>
      </c>
      <c r="AE42" s="75">
        <f t="shared" si="24"/>
        <v>3089.74335789177</v>
      </c>
      <c r="AF42" s="77">
        <f t="shared" si="25"/>
        <v>219.256642108234</v>
      </c>
    </row>
    <row r="43" s="2" customFormat="1" spans="1:32">
      <c r="A43" s="20"/>
      <c r="B43" s="21"/>
      <c r="C43" s="22">
        <v>240806000035</v>
      </c>
      <c r="D43" s="23">
        <v>45511</v>
      </c>
      <c r="E43" s="23" t="s">
        <v>64</v>
      </c>
      <c r="F43" s="21" t="s">
        <v>64</v>
      </c>
      <c r="G43" s="21" t="s">
        <v>84</v>
      </c>
      <c r="H43" s="24">
        <v>34.38</v>
      </c>
      <c r="I43" s="24">
        <v>4304</v>
      </c>
      <c r="J43" s="43">
        <v>59321.31</v>
      </c>
      <c r="K43" s="44"/>
      <c r="L43" s="45"/>
      <c r="M43" s="46"/>
      <c r="N43" s="50"/>
      <c r="O43" s="21"/>
      <c r="P43" s="75">
        <f t="shared" ref="P43:P48" si="26">SUBTOTAL(9,J43)</f>
        <v>59321.31</v>
      </c>
      <c r="Q43" s="79"/>
      <c r="R43" s="79"/>
      <c r="S43" s="75">
        <f>SUM(57532.25/68)*H43</f>
        <v>29087.62875</v>
      </c>
      <c r="T43" s="75"/>
      <c r="U43" s="75">
        <f>SUM(1450/68)*H43</f>
        <v>733.102941176471</v>
      </c>
      <c r="V43" s="75"/>
      <c r="W43" s="75"/>
      <c r="X43" s="77">
        <f t="shared" ref="X43:X54" si="27">SUM(S43:W43)</f>
        <v>29820.7316911765</v>
      </c>
      <c r="Y43" s="96">
        <f>SUM(10529/68)*H43</f>
        <v>5323.33852941177</v>
      </c>
      <c r="Z43" s="91"/>
      <c r="AA43" s="91">
        <f>SUM(206.48/68)*H43</f>
        <v>104.393858823529</v>
      </c>
      <c r="AB43" s="91">
        <f t="shared" si="11"/>
        <v>5427.7323882353</v>
      </c>
      <c r="AC43" s="44">
        <v>7.09</v>
      </c>
      <c r="AD43" s="75">
        <f t="shared" si="23"/>
        <v>38482.6226325883</v>
      </c>
      <c r="AE43" s="75">
        <f t="shared" si="24"/>
        <v>68303.3543237648</v>
      </c>
      <c r="AF43" s="75">
        <f t="shared" si="25"/>
        <v>-8982.04432376477</v>
      </c>
    </row>
    <row r="44" s="2" customFormat="1" spans="1:32">
      <c r="A44" s="104"/>
      <c r="B44" s="105"/>
      <c r="C44" s="22">
        <v>240805000030</v>
      </c>
      <c r="D44" s="23">
        <v>45511</v>
      </c>
      <c r="E44" s="23" t="s">
        <v>69</v>
      </c>
      <c r="F44" s="106" t="s">
        <v>70</v>
      </c>
      <c r="G44" s="106" t="s">
        <v>100</v>
      </c>
      <c r="H44" s="107">
        <v>0.4717</v>
      </c>
      <c r="I44" s="107">
        <v>63</v>
      </c>
      <c r="J44" s="108">
        <v>1994.39</v>
      </c>
      <c r="K44" s="44"/>
      <c r="L44" s="109"/>
      <c r="M44" s="46"/>
      <c r="N44" s="109"/>
      <c r="O44" s="21"/>
      <c r="P44" s="75">
        <f t="shared" si="26"/>
        <v>1994.39</v>
      </c>
      <c r="Q44" s="79"/>
      <c r="R44" s="79"/>
      <c r="S44" s="75">
        <f>SUM(57532.25/68)*H44</f>
        <v>399.08768125</v>
      </c>
      <c r="T44" s="75"/>
      <c r="U44" s="75">
        <f>SUM(1450/68)*H44</f>
        <v>10.0583088235294</v>
      </c>
      <c r="V44" s="75"/>
      <c r="W44" s="75"/>
      <c r="X44" s="77">
        <f t="shared" si="27"/>
        <v>409.145990073529</v>
      </c>
      <c r="Y44" s="96">
        <f>SUM(10529/68)*H44</f>
        <v>73.0371955882353</v>
      </c>
      <c r="Z44" s="92">
        <v>76.7</v>
      </c>
      <c r="AA44" s="91">
        <f>SUM(206.48/68)*H44</f>
        <v>1.43230317647059</v>
      </c>
      <c r="AB44" s="91">
        <f t="shared" ref="AB44:AB54" si="28">SUM(Y44:AA44)</f>
        <v>151.169498764706</v>
      </c>
      <c r="AC44" s="44">
        <v>7.09</v>
      </c>
      <c r="AD44" s="75">
        <f t="shared" si="23"/>
        <v>1071.79174624176</v>
      </c>
      <c r="AE44" s="75">
        <f t="shared" ref="AE44:AE54" si="29">SUM(X44+AD44)</f>
        <v>1480.93773631529</v>
      </c>
      <c r="AF44" s="77">
        <f t="shared" si="25"/>
        <v>513.452263684706</v>
      </c>
    </row>
    <row r="45" s="2" customFormat="1" spans="1:32">
      <c r="A45" s="20" t="s">
        <v>12</v>
      </c>
      <c r="B45" s="21" t="s">
        <v>13</v>
      </c>
      <c r="C45" s="22">
        <v>240718000039</v>
      </c>
      <c r="D45" s="23">
        <v>45511</v>
      </c>
      <c r="E45" s="23" t="s">
        <v>66</v>
      </c>
      <c r="F45" s="21" t="s">
        <v>67</v>
      </c>
      <c r="G45" s="21" t="s">
        <v>76</v>
      </c>
      <c r="H45" s="24">
        <v>9.29</v>
      </c>
      <c r="I45" s="24">
        <v>13260</v>
      </c>
      <c r="J45" s="43">
        <v>47474</v>
      </c>
      <c r="K45" s="44"/>
      <c r="L45" s="45"/>
      <c r="M45" s="46"/>
      <c r="N45" s="45"/>
      <c r="O45" s="21"/>
      <c r="P45" s="75">
        <f t="shared" si="26"/>
        <v>47474</v>
      </c>
      <c r="Q45" s="73">
        <f>SUM(P45:P54)</f>
        <v>179665.6958</v>
      </c>
      <c r="R45" s="74" t="s">
        <v>101</v>
      </c>
      <c r="S45" s="75">
        <f>SUM(59137.25/68)*H45</f>
        <v>8079.19194852941</v>
      </c>
      <c r="T45" s="75"/>
      <c r="U45" s="75">
        <f>SUM(1450/68)*H45</f>
        <v>198.095588235294</v>
      </c>
      <c r="V45" s="76">
        <v>960</v>
      </c>
      <c r="W45" s="75"/>
      <c r="X45" s="77">
        <f t="shared" si="27"/>
        <v>9237.2875367647</v>
      </c>
      <c r="Y45" s="96">
        <f>SUM(10529/68)*H45</f>
        <v>1438.44720588235</v>
      </c>
      <c r="Z45" s="92">
        <v>1823.01</v>
      </c>
      <c r="AA45" s="91">
        <f>SUM(259.58/68)*H45</f>
        <v>35.4632088235294</v>
      </c>
      <c r="AB45" s="91">
        <f t="shared" si="28"/>
        <v>3296.92041470588</v>
      </c>
      <c r="AC45" s="44">
        <v>7.09</v>
      </c>
      <c r="AD45" s="75">
        <f t="shared" ref="AD45:AD54" si="30">SUM(AB45*AC45)</f>
        <v>23375.1657402647</v>
      </c>
      <c r="AE45" s="75">
        <f t="shared" si="29"/>
        <v>32612.4532770294</v>
      </c>
      <c r="AF45" s="77">
        <f t="shared" ref="AF45:AF54" si="31">SUM(P45-AE45)</f>
        <v>14861.5467229706</v>
      </c>
    </row>
    <row r="46" s="2" customFormat="1" spans="1:32">
      <c r="A46" s="20"/>
      <c r="B46" s="21"/>
      <c r="C46" s="22">
        <v>240724000012</v>
      </c>
      <c r="D46" s="23">
        <v>45511</v>
      </c>
      <c r="E46" s="23" t="s">
        <v>92</v>
      </c>
      <c r="F46" s="21" t="s">
        <v>93</v>
      </c>
      <c r="G46" s="21" t="s">
        <v>102</v>
      </c>
      <c r="H46" s="24">
        <v>5.7046</v>
      </c>
      <c r="I46" s="24">
        <v>942</v>
      </c>
      <c r="J46" s="43">
        <v>14778</v>
      </c>
      <c r="K46" s="44"/>
      <c r="L46" s="45"/>
      <c r="M46" s="46"/>
      <c r="N46" s="45"/>
      <c r="O46" s="21"/>
      <c r="P46" s="75">
        <f t="shared" si="26"/>
        <v>14778</v>
      </c>
      <c r="Q46" s="78"/>
      <c r="R46" s="78"/>
      <c r="S46" s="75">
        <f t="shared" ref="S46:S54" si="32">SUM(59137.25/68)*H46</f>
        <v>4961.09347573529</v>
      </c>
      <c r="T46" s="75"/>
      <c r="U46" s="75">
        <f t="shared" ref="U46:U54" si="33">SUM(1450/68)*H46</f>
        <v>121.642205882353</v>
      </c>
      <c r="V46" s="76">
        <v>1400</v>
      </c>
      <c r="W46" s="75"/>
      <c r="X46" s="77">
        <f t="shared" si="27"/>
        <v>6482.73568161765</v>
      </c>
      <c r="Y46" s="96">
        <f t="shared" ref="Y46:Y54" si="34">SUM(10529/68)*H46</f>
        <v>883.290197058824</v>
      </c>
      <c r="Z46" s="91"/>
      <c r="AA46" s="91">
        <f t="shared" ref="AA46:AA54" si="35">SUM(259.58/68)*H46</f>
        <v>21.7764715882353</v>
      </c>
      <c r="AB46" s="91">
        <f t="shared" si="28"/>
        <v>905.066668647059</v>
      </c>
      <c r="AC46" s="44">
        <v>7.09</v>
      </c>
      <c r="AD46" s="75">
        <f t="shared" si="30"/>
        <v>6416.92268070765</v>
      </c>
      <c r="AE46" s="75">
        <f t="shared" si="29"/>
        <v>12899.6583623253</v>
      </c>
      <c r="AF46" s="77">
        <f t="shared" si="31"/>
        <v>1878.34163767471</v>
      </c>
    </row>
    <row r="47" s="2" customFormat="1" spans="1:32">
      <c r="A47" s="20"/>
      <c r="B47" s="21"/>
      <c r="C47" s="22">
        <v>240730000015</v>
      </c>
      <c r="D47" s="23">
        <v>45511</v>
      </c>
      <c r="E47" s="23" t="s">
        <v>66</v>
      </c>
      <c r="F47" s="21" t="s">
        <v>67</v>
      </c>
      <c r="G47" s="21" t="s">
        <v>68</v>
      </c>
      <c r="H47" s="24">
        <v>0.159</v>
      </c>
      <c r="I47" s="24">
        <v>26.5</v>
      </c>
      <c r="J47" s="43">
        <v>376.32</v>
      </c>
      <c r="K47" s="44"/>
      <c r="L47" s="45"/>
      <c r="M47" s="46"/>
      <c r="N47" s="45"/>
      <c r="O47" s="21"/>
      <c r="P47" s="75">
        <f t="shared" si="26"/>
        <v>376.32</v>
      </c>
      <c r="Q47" s="78"/>
      <c r="R47" s="78"/>
      <c r="S47" s="75">
        <f t="shared" si="32"/>
        <v>138.276805147059</v>
      </c>
      <c r="T47" s="75"/>
      <c r="U47" s="75">
        <f t="shared" si="33"/>
        <v>3.39044117647059</v>
      </c>
      <c r="V47" s="75"/>
      <c r="W47" s="75"/>
      <c r="X47" s="77">
        <f t="shared" si="27"/>
        <v>141.667246323529</v>
      </c>
      <c r="Y47" s="96">
        <f t="shared" si="34"/>
        <v>24.6192794117647</v>
      </c>
      <c r="Z47" s="92"/>
      <c r="AA47" s="91">
        <f t="shared" si="35"/>
        <v>0.606959117647059</v>
      </c>
      <c r="AB47" s="91">
        <f t="shared" si="28"/>
        <v>25.2262385294118</v>
      </c>
      <c r="AC47" s="44">
        <v>7.09</v>
      </c>
      <c r="AD47" s="75">
        <f t="shared" si="30"/>
        <v>178.854031173529</v>
      </c>
      <c r="AE47" s="75">
        <f t="shared" si="29"/>
        <v>320.521277497059</v>
      </c>
      <c r="AF47" s="77">
        <f t="shared" si="31"/>
        <v>55.7987225029412</v>
      </c>
    </row>
    <row r="48" s="2" customFormat="1" spans="1:32">
      <c r="A48" s="20"/>
      <c r="B48" s="21"/>
      <c r="C48" s="22">
        <v>240801000020</v>
      </c>
      <c r="D48" s="23">
        <v>45512</v>
      </c>
      <c r="E48" s="23" t="s">
        <v>69</v>
      </c>
      <c r="F48" s="21" t="s">
        <v>70</v>
      </c>
      <c r="G48" s="21" t="s">
        <v>75</v>
      </c>
      <c r="H48" s="24">
        <v>5.1796</v>
      </c>
      <c r="I48" s="24">
        <v>572</v>
      </c>
      <c r="J48" s="43">
        <v>12648</v>
      </c>
      <c r="K48" s="44"/>
      <c r="L48" s="45"/>
      <c r="M48" s="46"/>
      <c r="N48" s="45"/>
      <c r="O48" s="21"/>
      <c r="P48" s="75">
        <f t="shared" si="26"/>
        <v>12648</v>
      </c>
      <c r="Q48" s="73"/>
      <c r="R48" s="73"/>
      <c r="S48" s="75">
        <f t="shared" si="32"/>
        <v>4504.51911911765</v>
      </c>
      <c r="T48" s="75"/>
      <c r="U48" s="75">
        <f t="shared" si="33"/>
        <v>110.447352941176</v>
      </c>
      <c r="V48" s="75"/>
      <c r="W48" s="75"/>
      <c r="X48" s="77">
        <f t="shared" si="27"/>
        <v>4614.96647205882</v>
      </c>
      <c r="Y48" s="96">
        <f t="shared" si="34"/>
        <v>802.000123529412</v>
      </c>
      <c r="Z48" s="91"/>
      <c r="AA48" s="91">
        <f t="shared" si="35"/>
        <v>19.7723612941176</v>
      </c>
      <c r="AB48" s="91">
        <f t="shared" si="28"/>
        <v>821.772484823529</v>
      </c>
      <c r="AC48" s="44">
        <v>7.09</v>
      </c>
      <c r="AD48" s="75">
        <f t="shared" si="30"/>
        <v>5826.36691739882</v>
      </c>
      <c r="AE48" s="75">
        <f t="shared" si="29"/>
        <v>10441.3333894576</v>
      </c>
      <c r="AF48" s="77">
        <f t="shared" si="31"/>
        <v>2206.66661054235</v>
      </c>
    </row>
    <row r="49" s="2" customFormat="1" spans="1:32">
      <c r="A49" s="20"/>
      <c r="B49" s="21"/>
      <c r="C49" s="22">
        <v>240630000010</v>
      </c>
      <c r="D49" s="23">
        <v>45534</v>
      </c>
      <c r="E49" s="23" t="s">
        <v>72</v>
      </c>
      <c r="F49" s="21" t="s">
        <v>88</v>
      </c>
      <c r="G49" s="21" t="s">
        <v>91</v>
      </c>
      <c r="H49" s="25">
        <v>4.6083</v>
      </c>
      <c r="I49" s="24">
        <v>761.3</v>
      </c>
      <c r="J49" s="100">
        <v>9806</v>
      </c>
      <c r="K49" s="44"/>
      <c r="L49" s="45"/>
      <c r="M49" s="46"/>
      <c r="N49" s="45"/>
      <c r="O49" s="21"/>
      <c r="P49" s="47">
        <f>SUM(J49)</f>
        <v>9806</v>
      </c>
      <c r="Q49" s="102"/>
      <c r="R49" s="102"/>
      <c r="S49" s="75">
        <f t="shared" si="32"/>
        <v>4007.67925257353</v>
      </c>
      <c r="T49" s="75"/>
      <c r="U49" s="75">
        <f t="shared" si="33"/>
        <v>98.2652205882353</v>
      </c>
      <c r="V49" s="75"/>
      <c r="W49" s="75"/>
      <c r="X49" s="77">
        <f t="shared" si="27"/>
        <v>4105.94447316177</v>
      </c>
      <c r="Y49" s="96">
        <f t="shared" si="34"/>
        <v>713.541039705882</v>
      </c>
      <c r="Z49" s="91"/>
      <c r="AA49" s="91">
        <f t="shared" si="35"/>
        <v>17.5915075588235</v>
      </c>
      <c r="AB49" s="91">
        <f t="shared" si="28"/>
        <v>731.132547264706</v>
      </c>
      <c r="AC49" s="44">
        <v>7.09</v>
      </c>
      <c r="AD49" s="75">
        <f t="shared" si="30"/>
        <v>5183.72976010676</v>
      </c>
      <c r="AE49" s="75">
        <f t="shared" si="29"/>
        <v>9289.67423326853</v>
      </c>
      <c r="AF49" s="77">
        <f t="shared" si="31"/>
        <v>516.32576673147</v>
      </c>
    </row>
    <row r="50" s="2" customFormat="1" spans="1:32">
      <c r="A50" s="20"/>
      <c r="B50" s="21"/>
      <c r="C50" s="22">
        <v>240728000003</v>
      </c>
      <c r="D50" s="23">
        <v>45506</v>
      </c>
      <c r="E50" s="23" t="s">
        <v>64</v>
      </c>
      <c r="F50" s="21" t="s">
        <v>64</v>
      </c>
      <c r="G50" s="21" t="s">
        <v>78</v>
      </c>
      <c r="H50" s="24">
        <v>0.29</v>
      </c>
      <c r="I50" s="24">
        <v>135</v>
      </c>
      <c r="J50" s="43">
        <v>782</v>
      </c>
      <c r="K50" s="44"/>
      <c r="L50" s="45"/>
      <c r="M50" s="46"/>
      <c r="N50" s="45"/>
      <c r="O50" s="21"/>
      <c r="P50" s="47">
        <f t="shared" ref="P50:P52" si="36">SUBTOTAL(9,J50)</f>
        <v>782</v>
      </c>
      <c r="Q50" s="78"/>
      <c r="R50" s="78"/>
      <c r="S50" s="75">
        <f t="shared" si="32"/>
        <v>252.202977941176</v>
      </c>
      <c r="T50" s="75"/>
      <c r="U50" s="75">
        <f t="shared" si="33"/>
        <v>6.18382352941176</v>
      </c>
      <c r="V50" s="75"/>
      <c r="W50" s="75"/>
      <c r="X50" s="77">
        <f t="shared" si="27"/>
        <v>258.386801470588</v>
      </c>
      <c r="Y50" s="96">
        <f t="shared" si="34"/>
        <v>44.9030882352941</v>
      </c>
      <c r="Z50" s="91"/>
      <c r="AA50" s="91">
        <f t="shared" si="35"/>
        <v>1.10703235294118</v>
      </c>
      <c r="AB50" s="91">
        <f t="shared" si="28"/>
        <v>46.0101205882353</v>
      </c>
      <c r="AC50" s="44">
        <v>7.09</v>
      </c>
      <c r="AD50" s="75">
        <f t="shared" si="30"/>
        <v>326.211754970588</v>
      </c>
      <c r="AE50" s="75">
        <f t="shared" si="29"/>
        <v>584.598556441176</v>
      </c>
      <c r="AF50" s="77">
        <f t="shared" si="31"/>
        <v>197.401443558824</v>
      </c>
    </row>
    <row r="51" s="2" customFormat="1" spans="1:32">
      <c r="A51" s="20"/>
      <c r="B51" s="21"/>
      <c r="C51" s="22">
        <v>240730000035</v>
      </c>
      <c r="D51" s="23">
        <v>45511</v>
      </c>
      <c r="E51" s="23" t="s">
        <v>72</v>
      </c>
      <c r="F51" s="21" t="s">
        <v>88</v>
      </c>
      <c r="G51" s="21" t="s">
        <v>103</v>
      </c>
      <c r="H51" s="24">
        <v>1.0597</v>
      </c>
      <c r="I51" s="24">
        <v>336</v>
      </c>
      <c r="J51" s="43">
        <v>3645.46</v>
      </c>
      <c r="K51" s="44"/>
      <c r="L51" s="45"/>
      <c r="M51" s="46"/>
      <c r="N51" s="45"/>
      <c r="O51" s="21"/>
      <c r="P51" s="75">
        <f t="shared" si="36"/>
        <v>3645.46</v>
      </c>
      <c r="Q51" s="78"/>
      <c r="R51" s="78"/>
      <c r="S51" s="75">
        <f t="shared" si="32"/>
        <v>921.584468014706</v>
      </c>
      <c r="T51" s="75"/>
      <c r="U51" s="75">
        <f t="shared" si="33"/>
        <v>22.5965441176471</v>
      </c>
      <c r="V51" s="75"/>
      <c r="W51" s="75"/>
      <c r="X51" s="77">
        <f t="shared" si="27"/>
        <v>944.181012132353</v>
      </c>
      <c r="Y51" s="96">
        <f t="shared" si="34"/>
        <v>164.082077941176</v>
      </c>
      <c r="Z51" s="92">
        <v>50.15</v>
      </c>
      <c r="AA51" s="91">
        <f t="shared" si="35"/>
        <v>4.04524891176471</v>
      </c>
      <c r="AB51" s="91">
        <f t="shared" si="28"/>
        <v>218.277326852941</v>
      </c>
      <c r="AC51" s="44">
        <v>7.09</v>
      </c>
      <c r="AD51" s="75">
        <f t="shared" si="30"/>
        <v>1547.58624738735</v>
      </c>
      <c r="AE51" s="75">
        <f t="shared" si="29"/>
        <v>2491.76725951971</v>
      </c>
      <c r="AF51" s="77">
        <f t="shared" si="31"/>
        <v>1153.69274048029</v>
      </c>
    </row>
    <row r="52" s="2" customFormat="1" spans="1:32">
      <c r="A52" s="20"/>
      <c r="B52" s="21"/>
      <c r="C52" s="22">
        <v>240802000009</v>
      </c>
      <c r="D52" s="23">
        <v>45511</v>
      </c>
      <c r="E52" s="23" t="s">
        <v>92</v>
      </c>
      <c r="F52" s="21" t="s">
        <v>93</v>
      </c>
      <c r="G52" s="21" t="s">
        <v>104</v>
      </c>
      <c r="H52" s="24">
        <v>0.1283</v>
      </c>
      <c r="I52" s="24">
        <v>12.76</v>
      </c>
      <c r="J52" s="43">
        <v>327.6</v>
      </c>
      <c r="K52" s="44"/>
      <c r="L52" s="45"/>
      <c r="M52" s="46"/>
      <c r="N52" s="45"/>
      <c r="O52" s="21"/>
      <c r="P52" s="75">
        <f t="shared" si="36"/>
        <v>327.6</v>
      </c>
      <c r="Q52" s="78"/>
      <c r="R52" s="78"/>
      <c r="S52" s="75">
        <f t="shared" si="32"/>
        <v>111.578076102941</v>
      </c>
      <c r="T52" s="75"/>
      <c r="U52" s="75">
        <f t="shared" si="33"/>
        <v>2.73580882352941</v>
      </c>
      <c r="V52" s="75"/>
      <c r="W52" s="75"/>
      <c r="X52" s="77">
        <f t="shared" si="27"/>
        <v>114.313884926471</v>
      </c>
      <c r="Y52" s="96">
        <f t="shared" si="34"/>
        <v>19.8657455882353</v>
      </c>
      <c r="Z52" s="91"/>
      <c r="AA52" s="91">
        <f t="shared" si="35"/>
        <v>0.489766382352941</v>
      </c>
      <c r="AB52" s="91">
        <f t="shared" si="28"/>
        <v>20.3555119705882</v>
      </c>
      <c r="AC52" s="44">
        <v>7.09</v>
      </c>
      <c r="AD52" s="75">
        <f t="shared" si="30"/>
        <v>144.320579871471</v>
      </c>
      <c r="AE52" s="75">
        <f t="shared" si="29"/>
        <v>258.634464797941</v>
      </c>
      <c r="AF52" s="77">
        <f t="shared" si="31"/>
        <v>68.9655352020588</v>
      </c>
    </row>
    <row r="53" s="2" customFormat="1" spans="1:32">
      <c r="A53" s="20"/>
      <c r="B53" s="21"/>
      <c r="C53" s="22">
        <v>240804000004</v>
      </c>
      <c r="D53" s="23">
        <v>45511</v>
      </c>
      <c r="E53" s="23" t="s">
        <v>60</v>
      </c>
      <c r="F53" s="21" t="s">
        <v>61</v>
      </c>
      <c r="G53" s="21" t="s">
        <v>62</v>
      </c>
      <c r="H53" s="24">
        <v>10.2324</v>
      </c>
      <c r="I53" s="24">
        <v>1319</v>
      </c>
      <c r="J53" s="47"/>
      <c r="K53" s="49">
        <v>5637625</v>
      </c>
      <c r="L53" s="45"/>
      <c r="M53" s="46">
        <f>SUM(K53/N53)</f>
        <v>1710.99993019579</v>
      </c>
      <c r="N53" s="50">
        <v>3294.93</v>
      </c>
      <c r="O53" s="21">
        <v>7.06</v>
      </c>
      <c r="P53" s="75">
        <f>SUM(N53*O53)</f>
        <v>23262.2058</v>
      </c>
      <c r="Q53" s="78"/>
      <c r="R53" s="78"/>
      <c r="S53" s="75">
        <f t="shared" si="32"/>
        <v>8898.76466029412</v>
      </c>
      <c r="T53" s="75"/>
      <c r="U53" s="75">
        <f t="shared" si="33"/>
        <v>218.190882352941</v>
      </c>
      <c r="V53" s="76">
        <v>150</v>
      </c>
      <c r="W53" s="75"/>
      <c r="X53" s="77">
        <f t="shared" si="27"/>
        <v>9266.95554264706</v>
      </c>
      <c r="Y53" s="96">
        <f t="shared" si="34"/>
        <v>1584.36675882353</v>
      </c>
      <c r="Z53" s="91"/>
      <c r="AA53" s="91">
        <f t="shared" si="35"/>
        <v>39.0606822352941</v>
      </c>
      <c r="AB53" s="91">
        <f t="shared" ref="AB53:AB66" si="37">SUM(Y53:AA53)</f>
        <v>1623.42744105882</v>
      </c>
      <c r="AC53" s="44">
        <v>7.09</v>
      </c>
      <c r="AD53" s="75">
        <f t="shared" ref="AD53:AD66" si="38">SUM(AB53*AC53)</f>
        <v>11510.1005571071</v>
      </c>
      <c r="AE53" s="75">
        <f t="shared" ref="AE53:AE66" si="39">SUM(X53+AD53)</f>
        <v>20777.0560997541</v>
      </c>
      <c r="AF53" s="77">
        <f t="shared" ref="AF53:AF66" si="40">SUM(P53-AE53)</f>
        <v>2485.14970024588</v>
      </c>
    </row>
    <row r="54" s="2" customFormat="1" spans="1:32">
      <c r="A54" s="20"/>
      <c r="B54" s="21"/>
      <c r="C54" s="22">
        <v>240806000035</v>
      </c>
      <c r="D54" s="23">
        <v>45511</v>
      </c>
      <c r="E54" s="23" t="s">
        <v>64</v>
      </c>
      <c r="F54" s="21" t="s">
        <v>64</v>
      </c>
      <c r="G54" s="21" t="s">
        <v>84</v>
      </c>
      <c r="H54" s="24">
        <v>38.42</v>
      </c>
      <c r="I54" s="24">
        <v>4700</v>
      </c>
      <c r="J54" s="43">
        <v>66566.11</v>
      </c>
      <c r="K54" s="44"/>
      <c r="L54" s="45"/>
      <c r="M54" s="46"/>
      <c r="N54" s="50"/>
      <c r="O54" s="21"/>
      <c r="P54" s="75">
        <f t="shared" ref="P54:P63" si="41">SUBTOTAL(9,J54)</f>
        <v>66566.11</v>
      </c>
      <c r="Q54" s="79"/>
      <c r="R54" s="79"/>
      <c r="S54" s="75">
        <f t="shared" si="32"/>
        <v>33412.54625</v>
      </c>
      <c r="T54" s="75"/>
      <c r="U54" s="75">
        <f t="shared" si="33"/>
        <v>819.25</v>
      </c>
      <c r="V54" s="75"/>
      <c r="W54" s="75"/>
      <c r="X54" s="77">
        <f t="shared" ref="X54:X66" si="42">SUM(S54:W54)</f>
        <v>34231.79625</v>
      </c>
      <c r="Y54" s="96">
        <f t="shared" si="34"/>
        <v>5948.885</v>
      </c>
      <c r="Z54" s="92"/>
      <c r="AA54" s="91">
        <f t="shared" si="35"/>
        <v>146.6627</v>
      </c>
      <c r="AB54" s="91">
        <f t="shared" si="37"/>
        <v>6095.5477</v>
      </c>
      <c r="AC54" s="44">
        <v>7.09</v>
      </c>
      <c r="AD54" s="75">
        <f t="shared" si="38"/>
        <v>43217.433193</v>
      </c>
      <c r="AE54" s="75">
        <f t="shared" si="39"/>
        <v>77449.229443</v>
      </c>
      <c r="AF54" s="75">
        <f t="shared" si="40"/>
        <v>-10883.119443</v>
      </c>
    </row>
    <row r="55" s="2" customFormat="1" spans="1:32">
      <c r="A55" s="20" t="s">
        <v>14</v>
      </c>
      <c r="B55" s="21" t="s">
        <v>15</v>
      </c>
      <c r="C55" s="22">
        <v>240801000020</v>
      </c>
      <c r="D55" s="23">
        <v>45512</v>
      </c>
      <c r="E55" s="23" t="s">
        <v>69</v>
      </c>
      <c r="F55" s="21" t="s">
        <v>70</v>
      </c>
      <c r="G55" s="21" t="s">
        <v>75</v>
      </c>
      <c r="H55" s="24">
        <v>5.7204</v>
      </c>
      <c r="I55" s="24">
        <v>603</v>
      </c>
      <c r="J55" s="43">
        <v>13956</v>
      </c>
      <c r="K55" s="44"/>
      <c r="L55" s="45"/>
      <c r="M55" s="46"/>
      <c r="N55" s="45"/>
      <c r="O55" s="21"/>
      <c r="P55" s="75">
        <f t="shared" si="41"/>
        <v>13956</v>
      </c>
      <c r="Q55" s="73">
        <f>SUM(P55:P66)</f>
        <v>154255.39</v>
      </c>
      <c r="R55" s="74" t="s">
        <v>105</v>
      </c>
      <c r="S55" s="75">
        <f>SUM(58532.25/68)*H55</f>
        <v>4923.93945441176</v>
      </c>
      <c r="T55" s="75">
        <f>SUM(54.99/68)*H55</f>
        <v>4.62595288235294</v>
      </c>
      <c r="U55" s="75">
        <f>SUM(1000/68)*H55</f>
        <v>84.1235294117647</v>
      </c>
      <c r="V55" s="75"/>
      <c r="W55" s="75"/>
      <c r="X55" s="77">
        <f t="shared" si="42"/>
        <v>5012.68893670588</v>
      </c>
      <c r="Y55" s="96">
        <f>SUM(10435/68)*H55</f>
        <v>877.829029411765</v>
      </c>
      <c r="Z55" s="91"/>
      <c r="AA55" s="91"/>
      <c r="AB55" s="91">
        <f t="shared" si="37"/>
        <v>877.829029411765</v>
      </c>
      <c r="AC55" s="44">
        <v>7.12</v>
      </c>
      <c r="AD55" s="75">
        <f t="shared" si="38"/>
        <v>6250.14268941176</v>
      </c>
      <c r="AE55" s="75">
        <f t="shared" si="39"/>
        <v>11262.8316261176</v>
      </c>
      <c r="AF55" s="77">
        <f t="shared" si="40"/>
        <v>2693.16837388235</v>
      </c>
    </row>
    <row r="56" s="2" customFormat="1" spans="1:32">
      <c r="A56" s="20"/>
      <c r="B56" s="21"/>
      <c r="C56" s="22">
        <v>240802000002</v>
      </c>
      <c r="D56" s="23">
        <v>45512</v>
      </c>
      <c r="E56" s="23" t="s">
        <v>66</v>
      </c>
      <c r="F56" s="21" t="s">
        <v>67</v>
      </c>
      <c r="G56" s="21" t="s">
        <v>106</v>
      </c>
      <c r="H56" s="24">
        <v>1.848</v>
      </c>
      <c r="I56" s="24">
        <v>1035</v>
      </c>
      <c r="J56" s="43">
        <v>4482.5</v>
      </c>
      <c r="K56" s="44"/>
      <c r="L56" s="45"/>
      <c r="M56" s="46"/>
      <c r="N56" s="45"/>
      <c r="O56" s="21"/>
      <c r="P56" s="75">
        <f t="shared" si="41"/>
        <v>4482.5</v>
      </c>
      <c r="Q56" s="78"/>
      <c r="R56" s="78"/>
      <c r="S56" s="75">
        <f t="shared" ref="S56:S66" si="43">SUM(58532.25/68)*H56</f>
        <v>1590.69997058824</v>
      </c>
      <c r="T56" s="75">
        <f t="shared" ref="T56:T66" si="44">SUM(54.99/68)*H56</f>
        <v>1.49443411764706</v>
      </c>
      <c r="U56" s="75">
        <f t="shared" ref="U56:U66" si="45">SUM(1000/68)*H56</f>
        <v>27.1764705882353</v>
      </c>
      <c r="V56" s="75"/>
      <c r="W56" s="75"/>
      <c r="X56" s="77">
        <f t="shared" si="42"/>
        <v>1619.37087529412</v>
      </c>
      <c r="Y56" s="96">
        <f t="shared" ref="Y56:Y66" si="46">SUM(10435/68)*H56</f>
        <v>283.586470588235</v>
      </c>
      <c r="Z56" s="91"/>
      <c r="AA56" s="91"/>
      <c r="AB56" s="91">
        <f t="shared" si="37"/>
        <v>283.586470588235</v>
      </c>
      <c r="AC56" s="44">
        <v>7.12</v>
      </c>
      <c r="AD56" s="75">
        <f t="shared" si="38"/>
        <v>2019.13567058824</v>
      </c>
      <c r="AE56" s="75">
        <f t="shared" si="39"/>
        <v>3638.50654588235</v>
      </c>
      <c r="AF56" s="77">
        <f t="shared" si="40"/>
        <v>843.993454117647</v>
      </c>
    </row>
    <row r="57" s="2" customFormat="1" spans="1:32">
      <c r="A57" s="20"/>
      <c r="B57" s="21"/>
      <c r="C57" s="22">
        <v>240803000005</v>
      </c>
      <c r="D57" s="23">
        <v>45512</v>
      </c>
      <c r="E57" s="23" t="s">
        <v>64</v>
      </c>
      <c r="F57" s="21" t="s">
        <v>64</v>
      </c>
      <c r="G57" s="21" t="s">
        <v>107</v>
      </c>
      <c r="H57" s="24">
        <v>2.6248</v>
      </c>
      <c r="I57" s="24">
        <v>630</v>
      </c>
      <c r="J57" s="43">
        <v>6236.5</v>
      </c>
      <c r="K57" s="44"/>
      <c r="L57" s="45"/>
      <c r="M57" s="46"/>
      <c r="N57" s="45"/>
      <c r="O57" s="21"/>
      <c r="P57" s="75">
        <f t="shared" si="41"/>
        <v>6236.5</v>
      </c>
      <c r="Q57" s="78"/>
      <c r="R57" s="78"/>
      <c r="S57" s="75">
        <f t="shared" si="43"/>
        <v>2259.34485</v>
      </c>
      <c r="T57" s="75">
        <f t="shared" si="44"/>
        <v>2.122614</v>
      </c>
      <c r="U57" s="75">
        <f t="shared" si="45"/>
        <v>38.6</v>
      </c>
      <c r="V57" s="75"/>
      <c r="W57" s="75"/>
      <c r="X57" s="77">
        <f t="shared" si="42"/>
        <v>2300.067464</v>
      </c>
      <c r="Y57" s="96">
        <f t="shared" si="46"/>
        <v>402.791</v>
      </c>
      <c r="Z57" s="91"/>
      <c r="AA57" s="91"/>
      <c r="AB57" s="91">
        <f t="shared" si="37"/>
        <v>402.791</v>
      </c>
      <c r="AC57" s="44">
        <v>7.12</v>
      </c>
      <c r="AD57" s="75">
        <f t="shared" si="38"/>
        <v>2867.87192</v>
      </c>
      <c r="AE57" s="75">
        <f t="shared" si="39"/>
        <v>5167.939384</v>
      </c>
      <c r="AF57" s="77">
        <f t="shared" si="40"/>
        <v>1068.560616</v>
      </c>
    </row>
    <row r="58" s="2" customFormat="1" spans="1:32">
      <c r="A58" s="20"/>
      <c r="B58" s="21"/>
      <c r="C58" s="22">
        <v>240803000017</v>
      </c>
      <c r="D58" s="23">
        <v>45512</v>
      </c>
      <c r="E58" s="23" t="s">
        <v>66</v>
      </c>
      <c r="F58" s="21" t="s">
        <v>67</v>
      </c>
      <c r="G58" s="21" t="s">
        <v>98</v>
      </c>
      <c r="H58" s="24">
        <v>17.17</v>
      </c>
      <c r="I58" s="24">
        <v>12298</v>
      </c>
      <c r="J58" s="43">
        <v>38477.75</v>
      </c>
      <c r="K58" s="44"/>
      <c r="L58" s="50"/>
      <c r="M58" s="46"/>
      <c r="N58" s="50"/>
      <c r="O58" s="21"/>
      <c r="P58" s="75">
        <f t="shared" si="41"/>
        <v>38477.75</v>
      </c>
      <c r="Q58" s="78"/>
      <c r="R58" s="78"/>
      <c r="S58" s="75">
        <f t="shared" si="43"/>
        <v>14779.393125</v>
      </c>
      <c r="T58" s="75">
        <f t="shared" si="44"/>
        <v>13.884975</v>
      </c>
      <c r="U58" s="75">
        <f t="shared" si="45"/>
        <v>252.5</v>
      </c>
      <c r="V58" s="75"/>
      <c r="W58" s="75"/>
      <c r="X58" s="77">
        <f t="shared" si="42"/>
        <v>15045.7781</v>
      </c>
      <c r="Y58" s="96">
        <f t="shared" si="46"/>
        <v>2634.8375</v>
      </c>
      <c r="Z58" s="91"/>
      <c r="AA58" s="91"/>
      <c r="AB58" s="91">
        <f t="shared" si="37"/>
        <v>2634.8375</v>
      </c>
      <c r="AC58" s="44">
        <v>7.12</v>
      </c>
      <c r="AD58" s="75">
        <f t="shared" si="38"/>
        <v>18760.043</v>
      </c>
      <c r="AE58" s="75">
        <f t="shared" si="39"/>
        <v>33805.8211</v>
      </c>
      <c r="AF58" s="77">
        <f t="shared" si="40"/>
        <v>4671.92889999999</v>
      </c>
    </row>
    <row r="59" s="2" customFormat="1" spans="1:32">
      <c r="A59" s="20"/>
      <c r="B59" s="21"/>
      <c r="C59" s="22">
        <v>240807000012</v>
      </c>
      <c r="D59" s="23">
        <v>45512</v>
      </c>
      <c r="E59" s="23" t="s">
        <v>64</v>
      </c>
      <c r="F59" s="21" t="s">
        <v>64</v>
      </c>
      <c r="G59" s="21" t="s">
        <v>65</v>
      </c>
      <c r="H59" s="24">
        <v>3.79</v>
      </c>
      <c r="I59" s="24">
        <v>780</v>
      </c>
      <c r="J59" s="43">
        <v>7638.75</v>
      </c>
      <c r="K59" s="44"/>
      <c r="L59" s="45"/>
      <c r="M59" s="46"/>
      <c r="N59" s="51"/>
      <c r="O59" s="21"/>
      <c r="P59" s="47">
        <f t="shared" si="41"/>
        <v>7638.75</v>
      </c>
      <c r="Q59" s="78"/>
      <c r="R59" s="78"/>
      <c r="S59" s="75">
        <f t="shared" si="43"/>
        <v>3262.31216911765</v>
      </c>
      <c r="T59" s="75">
        <f t="shared" si="44"/>
        <v>3.06488382352941</v>
      </c>
      <c r="U59" s="75">
        <f t="shared" si="45"/>
        <v>55.7352941176471</v>
      </c>
      <c r="V59" s="75"/>
      <c r="W59" s="75"/>
      <c r="X59" s="77">
        <f t="shared" si="42"/>
        <v>3321.11234705882</v>
      </c>
      <c r="Y59" s="96">
        <f t="shared" si="46"/>
        <v>581.597794117647</v>
      </c>
      <c r="Z59" s="91"/>
      <c r="AA59" s="91"/>
      <c r="AB59" s="91">
        <f t="shared" si="37"/>
        <v>581.597794117647</v>
      </c>
      <c r="AC59" s="44">
        <v>7.12</v>
      </c>
      <c r="AD59" s="75">
        <f t="shared" si="38"/>
        <v>4140.97629411765</v>
      </c>
      <c r="AE59" s="75">
        <f t="shared" si="39"/>
        <v>7462.08864117647</v>
      </c>
      <c r="AF59" s="77">
        <f t="shared" si="40"/>
        <v>176.661358823529</v>
      </c>
    </row>
    <row r="60" s="2" customFormat="1" spans="1:32">
      <c r="A60" s="20"/>
      <c r="B60" s="21"/>
      <c r="C60" s="22">
        <v>240808000010</v>
      </c>
      <c r="D60" s="23">
        <v>45512</v>
      </c>
      <c r="E60" s="23" t="s">
        <v>64</v>
      </c>
      <c r="F60" s="21" t="s">
        <v>64</v>
      </c>
      <c r="G60" s="21" t="s">
        <v>84</v>
      </c>
      <c r="H60" s="24">
        <v>9.8</v>
      </c>
      <c r="I60" s="24">
        <v>1059</v>
      </c>
      <c r="J60" s="43">
        <v>15645.79</v>
      </c>
      <c r="K60" s="44"/>
      <c r="L60" s="45"/>
      <c r="M60" s="46"/>
      <c r="N60" s="50"/>
      <c r="O60" s="21"/>
      <c r="P60" s="75">
        <f t="shared" si="41"/>
        <v>15645.79</v>
      </c>
      <c r="Q60" s="78"/>
      <c r="R60" s="78"/>
      <c r="S60" s="75">
        <f t="shared" si="43"/>
        <v>8435.53014705882</v>
      </c>
      <c r="T60" s="75">
        <f t="shared" si="44"/>
        <v>7.92502941176471</v>
      </c>
      <c r="U60" s="75">
        <f t="shared" si="45"/>
        <v>144.117647058824</v>
      </c>
      <c r="V60" s="75"/>
      <c r="W60" s="75"/>
      <c r="X60" s="77">
        <f t="shared" si="42"/>
        <v>8587.57282352941</v>
      </c>
      <c r="Y60" s="96">
        <f t="shared" si="46"/>
        <v>1503.86764705882</v>
      </c>
      <c r="Z60" s="91"/>
      <c r="AA60" s="91"/>
      <c r="AB60" s="91">
        <f t="shared" si="37"/>
        <v>1503.86764705882</v>
      </c>
      <c r="AC60" s="44">
        <v>7.12</v>
      </c>
      <c r="AD60" s="75">
        <f t="shared" si="38"/>
        <v>10707.5376470588</v>
      </c>
      <c r="AE60" s="75">
        <f t="shared" si="39"/>
        <v>19295.1104705882</v>
      </c>
      <c r="AF60" s="75">
        <f t="shared" si="40"/>
        <v>-3649.32047058824</v>
      </c>
    </row>
    <row r="61" s="2" customFormat="1" spans="1:32">
      <c r="A61" s="20"/>
      <c r="B61" s="21"/>
      <c r="C61" s="22">
        <v>240728000003</v>
      </c>
      <c r="D61" s="23">
        <v>45506</v>
      </c>
      <c r="E61" s="23" t="s">
        <v>64</v>
      </c>
      <c r="F61" s="21" t="s">
        <v>64</v>
      </c>
      <c r="G61" s="21" t="s">
        <v>78</v>
      </c>
      <c r="H61" s="24">
        <v>0.632</v>
      </c>
      <c r="I61" s="24">
        <v>166</v>
      </c>
      <c r="J61" s="43">
        <v>1705</v>
      </c>
      <c r="K61" s="44"/>
      <c r="L61" s="45"/>
      <c r="M61" s="46"/>
      <c r="N61" s="45"/>
      <c r="O61" s="21"/>
      <c r="P61" s="47">
        <f t="shared" si="41"/>
        <v>1705</v>
      </c>
      <c r="Q61" s="78"/>
      <c r="R61" s="78"/>
      <c r="S61" s="75">
        <f t="shared" si="43"/>
        <v>544.005617647059</v>
      </c>
      <c r="T61" s="75">
        <f t="shared" si="44"/>
        <v>0.511083529411765</v>
      </c>
      <c r="U61" s="75">
        <f t="shared" si="45"/>
        <v>9.29411764705882</v>
      </c>
      <c r="V61" s="75"/>
      <c r="W61" s="75"/>
      <c r="X61" s="77">
        <f t="shared" si="42"/>
        <v>553.810818823529</v>
      </c>
      <c r="Y61" s="96">
        <f t="shared" si="46"/>
        <v>96.9841176470588</v>
      </c>
      <c r="Z61" s="91"/>
      <c r="AA61" s="91"/>
      <c r="AB61" s="91">
        <f t="shared" si="37"/>
        <v>96.9841176470588</v>
      </c>
      <c r="AC61" s="44">
        <v>7.12</v>
      </c>
      <c r="AD61" s="75">
        <f t="shared" si="38"/>
        <v>690.526917647059</v>
      </c>
      <c r="AE61" s="75">
        <f t="shared" si="39"/>
        <v>1244.33773647059</v>
      </c>
      <c r="AF61" s="77">
        <f t="shared" si="40"/>
        <v>460.662263529412</v>
      </c>
    </row>
    <row r="62" s="2" customFormat="1" spans="1:32">
      <c r="A62" s="20"/>
      <c r="B62" s="21"/>
      <c r="C62" s="22">
        <v>240613000018</v>
      </c>
      <c r="D62" s="23">
        <v>45506</v>
      </c>
      <c r="E62" s="23" t="s">
        <v>64</v>
      </c>
      <c r="F62" s="21" t="s">
        <v>64</v>
      </c>
      <c r="G62" s="21" t="s">
        <v>108</v>
      </c>
      <c r="H62" s="24">
        <v>1.6564</v>
      </c>
      <c r="I62" s="24">
        <v>313</v>
      </c>
      <c r="J62" s="43">
        <v>3117</v>
      </c>
      <c r="K62" s="44"/>
      <c r="L62" s="45"/>
      <c r="M62" s="46"/>
      <c r="N62" s="45"/>
      <c r="O62" s="21"/>
      <c r="P62" s="47">
        <f t="shared" si="41"/>
        <v>3117</v>
      </c>
      <c r="Q62" s="78"/>
      <c r="R62" s="78"/>
      <c r="S62" s="75">
        <f t="shared" si="43"/>
        <v>1425.77674852941</v>
      </c>
      <c r="T62" s="75">
        <f t="shared" si="44"/>
        <v>1.33949170588235</v>
      </c>
      <c r="U62" s="75">
        <f t="shared" si="45"/>
        <v>24.3588235294118</v>
      </c>
      <c r="V62" s="75"/>
      <c r="W62" s="75"/>
      <c r="X62" s="77">
        <f t="shared" si="42"/>
        <v>1451.47506376471</v>
      </c>
      <c r="Y62" s="96">
        <f t="shared" si="46"/>
        <v>254.184323529412</v>
      </c>
      <c r="Z62" s="91"/>
      <c r="AA62" s="91"/>
      <c r="AB62" s="91">
        <f t="shared" si="37"/>
        <v>254.184323529412</v>
      </c>
      <c r="AC62" s="44">
        <v>7.12</v>
      </c>
      <c r="AD62" s="75">
        <f t="shared" si="38"/>
        <v>1809.79238352941</v>
      </c>
      <c r="AE62" s="75">
        <f t="shared" si="39"/>
        <v>3261.26744729412</v>
      </c>
      <c r="AF62" s="75">
        <f t="shared" si="40"/>
        <v>-144.267447294118</v>
      </c>
    </row>
    <row r="63" s="2" customFormat="1" spans="1:32">
      <c r="A63" s="20"/>
      <c r="B63" s="21"/>
      <c r="C63" s="22">
        <v>240808000011</v>
      </c>
      <c r="D63" s="23">
        <v>45534</v>
      </c>
      <c r="E63" s="23" t="s">
        <v>64</v>
      </c>
      <c r="F63" s="21" t="s">
        <v>64</v>
      </c>
      <c r="G63" s="21" t="s">
        <v>65</v>
      </c>
      <c r="H63" s="24">
        <v>0.6332</v>
      </c>
      <c r="I63" s="24">
        <v>114</v>
      </c>
      <c r="J63" s="43">
        <v>1276.22</v>
      </c>
      <c r="K63" s="44"/>
      <c r="L63" s="45"/>
      <c r="M63" s="46"/>
      <c r="N63" s="51"/>
      <c r="O63" s="21"/>
      <c r="P63" s="47">
        <f t="shared" si="41"/>
        <v>1276.22</v>
      </c>
      <c r="Q63" s="101"/>
      <c r="R63" s="101"/>
      <c r="S63" s="75">
        <f t="shared" si="43"/>
        <v>545.038539705882</v>
      </c>
      <c r="T63" s="75">
        <f t="shared" si="44"/>
        <v>0.512053941176471</v>
      </c>
      <c r="U63" s="75">
        <f t="shared" si="45"/>
        <v>9.31176470588235</v>
      </c>
      <c r="V63" s="75"/>
      <c r="W63" s="75"/>
      <c r="X63" s="77">
        <f t="shared" si="42"/>
        <v>554.862358352941</v>
      </c>
      <c r="Y63" s="96">
        <f t="shared" si="46"/>
        <v>97.1682647058824</v>
      </c>
      <c r="Z63" s="91"/>
      <c r="AA63" s="91"/>
      <c r="AB63" s="91">
        <f t="shared" si="37"/>
        <v>97.1682647058824</v>
      </c>
      <c r="AC63" s="44">
        <v>7.12</v>
      </c>
      <c r="AD63" s="75">
        <f t="shared" si="38"/>
        <v>691.838044705882</v>
      </c>
      <c r="AE63" s="75">
        <f t="shared" si="39"/>
        <v>1246.70040305882</v>
      </c>
      <c r="AF63" s="77">
        <f t="shared" si="40"/>
        <v>29.5195969411764</v>
      </c>
    </row>
    <row r="64" s="2" customFormat="1" spans="1:32">
      <c r="A64" s="20"/>
      <c r="B64" s="21"/>
      <c r="C64" s="22">
        <v>240808000012</v>
      </c>
      <c r="D64" s="23">
        <v>45512</v>
      </c>
      <c r="E64" s="23" t="s">
        <v>72</v>
      </c>
      <c r="F64" s="21" t="s">
        <v>88</v>
      </c>
      <c r="G64" s="21" t="s">
        <v>109</v>
      </c>
      <c r="H64" s="24">
        <v>0.2465</v>
      </c>
      <c r="I64" s="24">
        <v>35.5</v>
      </c>
      <c r="J64" s="100">
        <v>821</v>
      </c>
      <c r="K64" s="44"/>
      <c r="L64" s="45"/>
      <c r="M64" s="46"/>
      <c r="N64" s="45"/>
      <c r="O64" s="21"/>
      <c r="P64" s="75">
        <f t="shared" ref="P64:P67" si="47">SUM(J64)</f>
        <v>821</v>
      </c>
      <c r="Q64" s="78"/>
      <c r="R64" s="78"/>
      <c r="S64" s="75">
        <f t="shared" si="43"/>
        <v>212.17940625</v>
      </c>
      <c r="T64" s="75">
        <f t="shared" si="44"/>
        <v>0.19933875</v>
      </c>
      <c r="U64" s="75">
        <f t="shared" si="45"/>
        <v>3.625</v>
      </c>
      <c r="V64" s="75"/>
      <c r="W64" s="75"/>
      <c r="X64" s="77">
        <f t="shared" si="42"/>
        <v>216.003745</v>
      </c>
      <c r="Y64" s="96">
        <f t="shared" si="46"/>
        <v>37.826875</v>
      </c>
      <c r="Z64" s="91"/>
      <c r="AA64" s="92">
        <v>22.18</v>
      </c>
      <c r="AB64" s="91">
        <f t="shared" si="37"/>
        <v>60.006875</v>
      </c>
      <c r="AC64" s="44">
        <v>7.12</v>
      </c>
      <c r="AD64" s="75">
        <f t="shared" si="38"/>
        <v>427.24895</v>
      </c>
      <c r="AE64" s="75">
        <f t="shared" si="39"/>
        <v>643.252695</v>
      </c>
      <c r="AF64" s="77">
        <f t="shared" si="40"/>
        <v>177.747305</v>
      </c>
    </row>
    <row r="65" s="2" customFormat="1" spans="1:32">
      <c r="A65" s="20"/>
      <c r="B65" s="21"/>
      <c r="C65" s="22">
        <v>240630000010</v>
      </c>
      <c r="D65" s="23">
        <v>45534</v>
      </c>
      <c r="E65" s="23" t="s">
        <v>72</v>
      </c>
      <c r="F65" s="21" t="s">
        <v>88</v>
      </c>
      <c r="G65" s="21" t="s">
        <v>91</v>
      </c>
      <c r="H65" s="24">
        <v>20.8295</v>
      </c>
      <c r="I65" s="24">
        <v>1472</v>
      </c>
      <c r="J65" s="100">
        <v>44333.83</v>
      </c>
      <c r="K65" s="44"/>
      <c r="L65" s="45"/>
      <c r="M65" s="46"/>
      <c r="N65" s="45"/>
      <c r="O65" s="21"/>
      <c r="P65" s="47">
        <f t="shared" si="47"/>
        <v>44333.83</v>
      </c>
      <c r="Q65" s="102"/>
      <c r="R65" s="102"/>
      <c r="S65" s="75">
        <f t="shared" si="43"/>
        <v>17929.3750202206</v>
      </c>
      <c r="T65" s="75">
        <f t="shared" si="44"/>
        <v>16.8443265441176</v>
      </c>
      <c r="U65" s="75">
        <f t="shared" si="45"/>
        <v>306.316176470588</v>
      </c>
      <c r="V65" s="75"/>
      <c r="W65" s="75"/>
      <c r="X65" s="77">
        <f t="shared" ref="X65:X82" si="48">SUM(S65:W65)</f>
        <v>18252.5355232353</v>
      </c>
      <c r="Y65" s="96">
        <f t="shared" si="46"/>
        <v>3196.40930147059</v>
      </c>
      <c r="Z65" s="91"/>
      <c r="AA65" s="91"/>
      <c r="AB65" s="91">
        <f t="shared" si="37"/>
        <v>3196.40930147059</v>
      </c>
      <c r="AC65" s="44">
        <v>7.12</v>
      </c>
      <c r="AD65" s="75">
        <f t="shared" si="38"/>
        <v>22758.4342264706</v>
      </c>
      <c r="AE65" s="75">
        <f t="shared" si="39"/>
        <v>41010.9697497059</v>
      </c>
      <c r="AF65" s="77">
        <f t="shared" ref="AF65:AF82" si="49">SUM(P65-AE65)</f>
        <v>3322.86025029412</v>
      </c>
    </row>
    <row r="66" s="2" customFormat="1" spans="1:32">
      <c r="A66" s="20"/>
      <c r="B66" s="21"/>
      <c r="C66" s="22">
        <v>240808000019</v>
      </c>
      <c r="D66" s="23">
        <v>45512</v>
      </c>
      <c r="E66" s="23" t="s">
        <v>80</v>
      </c>
      <c r="F66" s="21" t="s">
        <v>64</v>
      </c>
      <c r="G66" s="21" t="s">
        <v>110</v>
      </c>
      <c r="H66" s="24">
        <v>7.4735</v>
      </c>
      <c r="I66" s="24">
        <v>1000</v>
      </c>
      <c r="J66" s="43">
        <v>16565.05</v>
      </c>
      <c r="K66" s="44"/>
      <c r="L66" s="45"/>
      <c r="M66" s="46"/>
      <c r="N66" s="45"/>
      <c r="O66" s="21"/>
      <c r="P66" s="75">
        <f>SUBTOTAL(9,J66)</f>
        <v>16565.05</v>
      </c>
      <c r="Q66" s="79"/>
      <c r="R66" s="79"/>
      <c r="S66" s="75">
        <f t="shared" si="43"/>
        <v>6432.95250551471</v>
      </c>
      <c r="T66" s="75">
        <f t="shared" si="44"/>
        <v>6.04364360294118</v>
      </c>
      <c r="U66" s="75">
        <f t="shared" si="45"/>
        <v>109.904411764706</v>
      </c>
      <c r="V66" s="75"/>
      <c r="W66" s="75"/>
      <c r="X66" s="77">
        <f t="shared" si="48"/>
        <v>6548.90056088235</v>
      </c>
      <c r="Y66" s="96">
        <f t="shared" si="46"/>
        <v>1146.85253676471</v>
      </c>
      <c r="Z66" s="91"/>
      <c r="AA66" s="91"/>
      <c r="AB66" s="91">
        <f t="shared" ref="AB66:AB82" si="50">SUM(Y66:AA66)</f>
        <v>1146.85253676471</v>
      </c>
      <c r="AC66" s="44">
        <v>7.12</v>
      </c>
      <c r="AD66" s="75">
        <f t="shared" si="38"/>
        <v>8165.59006176471</v>
      </c>
      <c r="AE66" s="75">
        <f t="shared" ref="AE66:AE83" si="51">SUM(X66+AD66)</f>
        <v>14714.4906226471</v>
      </c>
      <c r="AF66" s="77">
        <f t="shared" si="49"/>
        <v>1850.55937735294</v>
      </c>
    </row>
    <row r="67" s="2" customFormat="1" spans="1:32">
      <c r="A67" s="20" t="s">
        <v>16</v>
      </c>
      <c r="B67" s="21" t="s">
        <v>17</v>
      </c>
      <c r="C67" s="22">
        <v>240630000010</v>
      </c>
      <c r="D67" s="23">
        <v>45534</v>
      </c>
      <c r="E67" s="23" t="s">
        <v>72</v>
      </c>
      <c r="F67" s="21" t="s">
        <v>88</v>
      </c>
      <c r="G67" s="21" t="s">
        <v>91</v>
      </c>
      <c r="H67" s="24">
        <v>4.5207</v>
      </c>
      <c r="I67" s="24">
        <v>744</v>
      </c>
      <c r="J67" s="100">
        <v>9620</v>
      </c>
      <c r="K67" s="44"/>
      <c r="L67" s="45"/>
      <c r="M67" s="46"/>
      <c r="N67" s="45"/>
      <c r="O67" s="21"/>
      <c r="P67" s="47">
        <f t="shared" si="47"/>
        <v>9620</v>
      </c>
      <c r="Q67" s="73">
        <f>SUM(P67:P82)</f>
        <v>160773.2036</v>
      </c>
      <c r="R67" s="74" t="s">
        <v>111</v>
      </c>
      <c r="S67" s="75">
        <f>SUM(57545.25/68)*H67</f>
        <v>3825.65899522059</v>
      </c>
      <c r="T67" s="75"/>
      <c r="U67" s="75">
        <f>SUM(2100/68)*H67</f>
        <v>139.609852941176</v>
      </c>
      <c r="V67" s="75">
        <v>900</v>
      </c>
      <c r="W67" s="75"/>
      <c r="X67" s="77">
        <f t="shared" si="48"/>
        <v>4865.26884816176</v>
      </c>
      <c r="Y67" s="96">
        <f>SUM(10417/68)*H67</f>
        <v>692.531351470588</v>
      </c>
      <c r="Z67" s="91">
        <v>70.8</v>
      </c>
      <c r="AA67" s="91"/>
      <c r="AB67" s="91">
        <f t="shared" si="50"/>
        <v>763.331351470588</v>
      </c>
      <c r="AC67" s="44">
        <v>7.07</v>
      </c>
      <c r="AD67" s="75">
        <f t="shared" ref="AD67:AD83" si="52">SUM(AB67*AC67)</f>
        <v>5396.75265489706</v>
      </c>
      <c r="AE67" s="75">
        <f t="shared" si="51"/>
        <v>10262.0215030588</v>
      </c>
      <c r="AF67" s="75">
        <f t="shared" si="49"/>
        <v>-642.021503058822</v>
      </c>
    </row>
    <row r="68" s="2" customFormat="1" spans="1:32">
      <c r="A68" s="20"/>
      <c r="B68" s="21"/>
      <c r="C68" s="22">
        <v>240725000027</v>
      </c>
      <c r="D68" s="23">
        <v>45534</v>
      </c>
      <c r="E68" s="23" t="s">
        <v>66</v>
      </c>
      <c r="F68" s="21" t="s">
        <v>67</v>
      </c>
      <c r="G68" s="21" t="s">
        <v>68</v>
      </c>
      <c r="H68" s="25">
        <v>0.0213</v>
      </c>
      <c r="I68" s="24">
        <v>3.7</v>
      </c>
      <c r="J68" s="100"/>
      <c r="K68" s="49">
        <v>85293</v>
      </c>
      <c r="L68" s="45"/>
      <c r="M68" s="46">
        <f t="shared" ref="M68:M72" si="53">SUM(K68/N68)</f>
        <v>1730.43213633597</v>
      </c>
      <c r="N68" s="50">
        <v>49.29</v>
      </c>
      <c r="O68" s="21">
        <v>7.12</v>
      </c>
      <c r="P68" s="75">
        <f t="shared" ref="P68:P72" si="54">SUM(N68*O68)</f>
        <v>350.9448</v>
      </c>
      <c r="Q68" s="78"/>
      <c r="R68" s="78"/>
      <c r="S68" s="75">
        <f t="shared" ref="S68:S82" si="55">SUM(57545.25/68)*H68</f>
        <v>18.0252033088235</v>
      </c>
      <c r="T68" s="75"/>
      <c r="U68" s="75">
        <f t="shared" ref="U68:U82" si="56">SUM(2100/68)*H68</f>
        <v>0.657794117647059</v>
      </c>
      <c r="V68" s="75"/>
      <c r="W68" s="75"/>
      <c r="X68" s="77">
        <f t="shared" si="48"/>
        <v>18.6829974264706</v>
      </c>
      <c r="Y68" s="96">
        <f t="shared" ref="Y68:Y82" si="57">SUM(10417/68)*H68</f>
        <v>3.26297205882353</v>
      </c>
      <c r="Z68" s="91">
        <v>7.25</v>
      </c>
      <c r="AA68" s="91"/>
      <c r="AB68" s="91">
        <f t="shared" si="50"/>
        <v>10.5129720588235</v>
      </c>
      <c r="AC68" s="44">
        <v>7.07</v>
      </c>
      <c r="AD68" s="75">
        <f t="shared" si="52"/>
        <v>74.3267124558823</v>
      </c>
      <c r="AE68" s="75">
        <f t="shared" si="51"/>
        <v>93.0097098823529</v>
      </c>
      <c r="AF68" s="77">
        <f t="shared" si="49"/>
        <v>257.935090117647</v>
      </c>
    </row>
    <row r="69" s="2" customFormat="1" spans="1:32">
      <c r="A69" s="20"/>
      <c r="B69" s="21"/>
      <c r="C69" s="22">
        <v>240806000025</v>
      </c>
      <c r="D69" s="23">
        <v>45534</v>
      </c>
      <c r="E69" s="23" t="s">
        <v>72</v>
      </c>
      <c r="F69" s="21" t="s">
        <v>88</v>
      </c>
      <c r="G69" s="21" t="s">
        <v>112</v>
      </c>
      <c r="H69" s="24">
        <v>4.665</v>
      </c>
      <c r="I69" s="24">
        <v>886</v>
      </c>
      <c r="J69" s="48">
        <v>10755.219</v>
      </c>
      <c r="K69" s="44"/>
      <c r="L69" s="45"/>
      <c r="M69" s="46"/>
      <c r="N69" s="45"/>
      <c r="O69" s="21"/>
      <c r="P69" s="47">
        <f>SUM(J69)</f>
        <v>10755.219</v>
      </c>
      <c r="Q69" s="78"/>
      <c r="R69" s="78"/>
      <c r="S69" s="75">
        <f t="shared" si="55"/>
        <v>3947.77340073529</v>
      </c>
      <c r="T69" s="75"/>
      <c r="U69" s="75">
        <f t="shared" si="56"/>
        <v>144.066176470588</v>
      </c>
      <c r="V69" s="75"/>
      <c r="W69" s="75"/>
      <c r="X69" s="77">
        <f t="shared" si="48"/>
        <v>4091.83957720588</v>
      </c>
      <c r="Y69" s="96">
        <f t="shared" si="57"/>
        <v>714.636838235294</v>
      </c>
      <c r="Z69" s="91"/>
      <c r="AA69" s="91"/>
      <c r="AB69" s="91">
        <f t="shared" si="50"/>
        <v>714.636838235294</v>
      </c>
      <c r="AC69" s="44">
        <v>7.07</v>
      </c>
      <c r="AD69" s="75">
        <f t="shared" si="52"/>
        <v>5052.48244632353</v>
      </c>
      <c r="AE69" s="75">
        <f t="shared" si="51"/>
        <v>9144.32202352941</v>
      </c>
      <c r="AF69" s="77">
        <f t="shared" si="49"/>
        <v>1610.89697647059</v>
      </c>
    </row>
    <row r="70" s="2" customFormat="1" spans="1:32">
      <c r="A70" s="20"/>
      <c r="B70" s="21"/>
      <c r="C70" s="22">
        <v>240807000004</v>
      </c>
      <c r="D70" s="23">
        <v>45534</v>
      </c>
      <c r="E70" s="23" t="s">
        <v>69</v>
      </c>
      <c r="F70" s="21" t="s">
        <v>70</v>
      </c>
      <c r="G70" s="21" t="s">
        <v>113</v>
      </c>
      <c r="H70" s="24">
        <v>2.4662</v>
      </c>
      <c r="I70" s="24">
        <v>160</v>
      </c>
      <c r="J70" s="47"/>
      <c r="K70" s="49">
        <v>1842570</v>
      </c>
      <c r="L70" s="45"/>
      <c r="M70" s="46">
        <f t="shared" si="53"/>
        <v>1735</v>
      </c>
      <c r="N70" s="50">
        <v>1062</v>
      </c>
      <c r="O70" s="21">
        <v>7.12</v>
      </c>
      <c r="P70" s="47">
        <f t="shared" si="54"/>
        <v>7561.44</v>
      </c>
      <c r="Q70" s="78"/>
      <c r="R70" s="78"/>
      <c r="S70" s="75">
        <f t="shared" si="55"/>
        <v>2087.03081691176</v>
      </c>
      <c r="T70" s="75"/>
      <c r="U70" s="75">
        <f t="shared" si="56"/>
        <v>76.1620588235294</v>
      </c>
      <c r="V70" s="75"/>
      <c r="W70" s="75"/>
      <c r="X70" s="77">
        <f t="shared" si="48"/>
        <v>2163.19287573529</v>
      </c>
      <c r="Y70" s="96">
        <f t="shared" si="57"/>
        <v>377.800079411765</v>
      </c>
      <c r="Z70" s="91"/>
      <c r="AA70" s="91"/>
      <c r="AB70" s="91">
        <f t="shared" si="50"/>
        <v>377.800079411765</v>
      </c>
      <c r="AC70" s="44">
        <v>7.07</v>
      </c>
      <c r="AD70" s="75">
        <f t="shared" si="52"/>
        <v>2671.04656144118</v>
      </c>
      <c r="AE70" s="75">
        <f t="shared" si="51"/>
        <v>4834.23943717647</v>
      </c>
      <c r="AF70" s="77">
        <f t="shared" si="49"/>
        <v>2727.20056282353</v>
      </c>
    </row>
    <row r="71" s="2" customFormat="1" spans="1:32">
      <c r="A71" s="20"/>
      <c r="B71" s="21"/>
      <c r="C71" s="22">
        <v>240807000010</v>
      </c>
      <c r="D71" s="23">
        <v>45534</v>
      </c>
      <c r="E71" s="23" t="s">
        <v>66</v>
      </c>
      <c r="F71" s="21" t="s">
        <v>67</v>
      </c>
      <c r="G71" s="21" t="s">
        <v>68</v>
      </c>
      <c r="H71" s="24">
        <v>0.0207</v>
      </c>
      <c r="I71" s="24">
        <v>4.2</v>
      </c>
      <c r="J71" s="47"/>
      <c r="K71" s="49">
        <v>59049</v>
      </c>
      <c r="L71" s="45"/>
      <c r="M71" s="46">
        <f t="shared" si="53"/>
        <v>1786.11615245009</v>
      </c>
      <c r="N71" s="50">
        <v>33.06</v>
      </c>
      <c r="O71" s="21">
        <v>7.12</v>
      </c>
      <c r="P71" s="47">
        <f t="shared" si="54"/>
        <v>235.3872</v>
      </c>
      <c r="Q71" s="78"/>
      <c r="R71" s="78"/>
      <c r="S71" s="75">
        <f t="shared" si="55"/>
        <v>17.5174511029412</v>
      </c>
      <c r="T71" s="75"/>
      <c r="U71" s="75">
        <f t="shared" si="56"/>
        <v>0.639264705882353</v>
      </c>
      <c r="V71" s="75"/>
      <c r="W71" s="75"/>
      <c r="X71" s="77">
        <f t="shared" si="48"/>
        <v>18.1567158088235</v>
      </c>
      <c r="Y71" s="96">
        <f t="shared" si="57"/>
        <v>3.17105735294118</v>
      </c>
      <c r="Z71" s="91">
        <v>7.5</v>
      </c>
      <c r="AA71" s="91"/>
      <c r="AB71" s="91">
        <f t="shared" si="50"/>
        <v>10.6710573529412</v>
      </c>
      <c r="AC71" s="44">
        <v>7.07</v>
      </c>
      <c r="AD71" s="75">
        <f t="shared" si="52"/>
        <v>75.4443754852941</v>
      </c>
      <c r="AE71" s="75">
        <f t="shared" si="51"/>
        <v>93.6010912941177</v>
      </c>
      <c r="AF71" s="77">
        <f t="shared" si="49"/>
        <v>141.786108705882</v>
      </c>
    </row>
    <row r="72" s="2" customFormat="1" spans="1:32">
      <c r="A72" s="20"/>
      <c r="B72" s="21"/>
      <c r="C72" s="22">
        <v>240808000002</v>
      </c>
      <c r="D72" s="23">
        <v>45534</v>
      </c>
      <c r="E72" s="23" t="s">
        <v>72</v>
      </c>
      <c r="F72" s="21" t="s">
        <v>88</v>
      </c>
      <c r="G72" s="21" t="s">
        <v>112</v>
      </c>
      <c r="H72" s="24">
        <v>2.1795</v>
      </c>
      <c r="I72" s="24">
        <v>785</v>
      </c>
      <c r="J72" s="99"/>
      <c r="K72" s="49">
        <v>1256000</v>
      </c>
      <c r="L72" s="45"/>
      <c r="M72" s="46">
        <f t="shared" si="53"/>
        <v>1751.88997684604</v>
      </c>
      <c r="N72" s="50">
        <v>716.94</v>
      </c>
      <c r="O72" s="21">
        <v>7.15</v>
      </c>
      <c r="P72" s="47">
        <f t="shared" si="54"/>
        <v>5126.121</v>
      </c>
      <c r="Q72" s="78"/>
      <c r="R72" s="78"/>
      <c r="S72" s="75">
        <f t="shared" si="55"/>
        <v>1844.40988786765</v>
      </c>
      <c r="T72" s="75"/>
      <c r="U72" s="75">
        <f t="shared" si="56"/>
        <v>67.3080882352941</v>
      </c>
      <c r="V72" s="75"/>
      <c r="W72" s="75"/>
      <c r="X72" s="77">
        <f t="shared" si="48"/>
        <v>1911.71797610294</v>
      </c>
      <c r="Y72" s="96">
        <f t="shared" si="57"/>
        <v>333.880169117647</v>
      </c>
      <c r="Z72" s="91"/>
      <c r="AA72" s="91"/>
      <c r="AB72" s="91">
        <f t="shared" si="50"/>
        <v>333.880169117647</v>
      </c>
      <c r="AC72" s="44">
        <v>7.07</v>
      </c>
      <c r="AD72" s="75">
        <f t="shared" si="52"/>
        <v>2360.53279566176</v>
      </c>
      <c r="AE72" s="75">
        <f t="shared" si="51"/>
        <v>4272.25077176471</v>
      </c>
      <c r="AF72" s="77">
        <f t="shared" si="49"/>
        <v>853.870228235294</v>
      </c>
    </row>
    <row r="73" s="2" customFormat="1" spans="1:32">
      <c r="A73" s="20"/>
      <c r="B73" s="21"/>
      <c r="C73" s="22">
        <v>240808000011</v>
      </c>
      <c r="D73" s="23">
        <v>45534</v>
      </c>
      <c r="E73" s="23" t="s">
        <v>64</v>
      </c>
      <c r="F73" s="21" t="s">
        <v>64</v>
      </c>
      <c r="G73" s="21" t="s">
        <v>65</v>
      </c>
      <c r="H73" s="24">
        <v>1.8652</v>
      </c>
      <c r="I73" s="24">
        <v>420</v>
      </c>
      <c r="J73" s="43">
        <v>3624.06</v>
      </c>
      <c r="K73" s="44"/>
      <c r="L73" s="45"/>
      <c r="M73" s="46"/>
      <c r="N73" s="51"/>
      <c r="O73" s="21"/>
      <c r="P73" s="47">
        <f t="shared" ref="P73:P76" si="58">SUBTOTAL(9,J73)</f>
        <v>3624.06</v>
      </c>
      <c r="Q73" s="78"/>
      <c r="R73" s="78"/>
      <c r="S73" s="75">
        <f t="shared" si="55"/>
        <v>1578.43235735294</v>
      </c>
      <c r="T73" s="75"/>
      <c r="U73" s="75">
        <f t="shared" si="56"/>
        <v>57.6017647058824</v>
      </c>
      <c r="V73" s="75"/>
      <c r="W73" s="75"/>
      <c r="X73" s="77">
        <f t="shared" si="48"/>
        <v>1636.03412205882</v>
      </c>
      <c r="Y73" s="96">
        <f t="shared" si="57"/>
        <v>285.732182352941</v>
      </c>
      <c r="Z73" s="91"/>
      <c r="AA73" s="91"/>
      <c r="AB73" s="91">
        <f t="shared" si="50"/>
        <v>285.732182352941</v>
      </c>
      <c r="AC73" s="44">
        <v>7.07</v>
      </c>
      <c r="AD73" s="75">
        <f t="shared" si="52"/>
        <v>2020.12652923529</v>
      </c>
      <c r="AE73" s="75">
        <f t="shared" si="51"/>
        <v>3656.16065129412</v>
      </c>
      <c r="AF73" s="75">
        <f t="shared" si="49"/>
        <v>-32.1006512941176</v>
      </c>
    </row>
    <row r="74" s="2" customFormat="1" spans="1:32">
      <c r="A74" s="20"/>
      <c r="B74" s="21"/>
      <c r="C74" s="22">
        <v>240728000003</v>
      </c>
      <c r="D74" s="23">
        <v>45506</v>
      </c>
      <c r="E74" s="23" t="s">
        <v>64</v>
      </c>
      <c r="F74" s="21" t="s">
        <v>64</v>
      </c>
      <c r="G74" s="21" t="s">
        <v>78</v>
      </c>
      <c r="H74" s="24">
        <v>0.354</v>
      </c>
      <c r="I74" s="24">
        <v>131</v>
      </c>
      <c r="J74" s="43">
        <v>954</v>
      </c>
      <c r="K74" s="44"/>
      <c r="L74" s="45"/>
      <c r="M74" s="46"/>
      <c r="N74" s="45"/>
      <c r="O74" s="21"/>
      <c r="P74" s="47">
        <f t="shared" si="58"/>
        <v>954</v>
      </c>
      <c r="Q74" s="78"/>
      <c r="R74" s="78"/>
      <c r="S74" s="75">
        <f t="shared" si="55"/>
        <v>299.573801470588</v>
      </c>
      <c r="T74" s="75"/>
      <c r="U74" s="75">
        <f t="shared" si="56"/>
        <v>10.9323529411765</v>
      </c>
      <c r="V74" s="75"/>
      <c r="W74" s="75"/>
      <c r="X74" s="77">
        <f t="shared" si="48"/>
        <v>310.506154411765</v>
      </c>
      <c r="Y74" s="96">
        <f t="shared" si="57"/>
        <v>54.2296764705882</v>
      </c>
      <c r="Z74" s="91"/>
      <c r="AA74" s="91"/>
      <c r="AB74" s="91">
        <f t="shared" si="50"/>
        <v>54.2296764705882</v>
      </c>
      <c r="AC74" s="44">
        <v>7.07</v>
      </c>
      <c r="AD74" s="75">
        <f t="shared" si="52"/>
        <v>383.403812647059</v>
      </c>
      <c r="AE74" s="75">
        <f t="shared" si="51"/>
        <v>693.909967058824</v>
      </c>
      <c r="AF74" s="77">
        <f t="shared" si="49"/>
        <v>260.090032941176</v>
      </c>
    </row>
    <row r="75" s="2" customFormat="1" spans="1:32">
      <c r="A75" s="20"/>
      <c r="B75" s="21"/>
      <c r="C75" s="22">
        <v>240808000024</v>
      </c>
      <c r="D75" s="23">
        <v>45534</v>
      </c>
      <c r="E75" s="23" t="s">
        <v>66</v>
      </c>
      <c r="F75" s="21" t="s">
        <v>67</v>
      </c>
      <c r="G75" s="21" t="s">
        <v>114</v>
      </c>
      <c r="H75" s="24">
        <v>2.295</v>
      </c>
      <c r="I75" s="24">
        <v>107</v>
      </c>
      <c r="J75" s="47"/>
      <c r="K75" s="44"/>
      <c r="L75" s="50">
        <v>827</v>
      </c>
      <c r="M75" s="46">
        <f t="shared" ref="M75:M80" si="59">SUM(K75/N75)</f>
        <v>0</v>
      </c>
      <c r="N75" s="50">
        <v>827</v>
      </c>
      <c r="O75" s="21">
        <v>7.12</v>
      </c>
      <c r="P75" s="47">
        <f t="shared" ref="P75:P80" si="60">SUM(N75*O75)</f>
        <v>5888.24</v>
      </c>
      <c r="Q75" s="78"/>
      <c r="R75" s="78"/>
      <c r="S75" s="75">
        <f t="shared" si="55"/>
        <v>1942.1521875</v>
      </c>
      <c r="T75" s="75"/>
      <c r="U75" s="75">
        <f t="shared" si="56"/>
        <v>70.875</v>
      </c>
      <c r="V75" s="75"/>
      <c r="W75" s="75"/>
      <c r="X75" s="77">
        <f t="shared" si="48"/>
        <v>2013.0271875</v>
      </c>
      <c r="Y75" s="96">
        <f t="shared" si="57"/>
        <v>351.57375</v>
      </c>
      <c r="Z75" s="91">
        <v>70.8</v>
      </c>
      <c r="AA75" s="91"/>
      <c r="AB75" s="91">
        <f t="shared" si="50"/>
        <v>422.37375</v>
      </c>
      <c r="AC75" s="44">
        <v>7.07</v>
      </c>
      <c r="AD75" s="75">
        <f t="shared" si="52"/>
        <v>2986.1824125</v>
      </c>
      <c r="AE75" s="75">
        <f t="shared" si="51"/>
        <v>4999.2096</v>
      </c>
      <c r="AF75" s="77">
        <f t="shared" si="49"/>
        <v>889.0304</v>
      </c>
    </row>
    <row r="76" s="2" customFormat="1" spans="1:32">
      <c r="A76" s="20"/>
      <c r="B76" s="21"/>
      <c r="C76" s="22">
        <v>240809000022</v>
      </c>
      <c r="D76" s="23">
        <v>45534</v>
      </c>
      <c r="E76" s="23" t="s">
        <v>64</v>
      </c>
      <c r="F76" s="21" t="s">
        <v>64</v>
      </c>
      <c r="G76" s="21" t="s">
        <v>115</v>
      </c>
      <c r="H76" s="24">
        <v>8.119</v>
      </c>
      <c r="I76" s="24">
        <v>5120</v>
      </c>
      <c r="J76" s="43">
        <v>22858.98</v>
      </c>
      <c r="K76" s="44"/>
      <c r="L76" s="45"/>
      <c r="M76" s="46"/>
      <c r="N76" s="45"/>
      <c r="O76" s="21"/>
      <c r="P76" s="47">
        <f t="shared" si="58"/>
        <v>22858.98</v>
      </c>
      <c r="Q76" s="78"/>
      <c r="R76" s="78"/>
      <c r="S76" s="75">
        <f t="shared" si="55"/>
        <v>6870.73359926471</v>
      </c>
      <c r="T76" s="75"/>
      <c r="U76" s="75">
        <f t="shared" si="56"/>
        <v>250.733823529412</v>
      </c>
      <c r="V76" s="75"/>
      <c r="W76" s="75">
        <f>SUM(700+300)</f>
        <v>1000</v>
      </c>
      <c r="X76" s="77">
        <f t="shared" si="48"/>
        <v>8121.46742279412</v>
      </c>
      <c r="Y76" s="96">
        <f t="shared" si="57"/>
        <v>1243.75916176471</v>
      </c>
      <c r="Z76" s="91"/>
      <c r="AA76" s="91"/>
      <c r="AB76" s="91">
        <f t="shared" si="50"/>
        <v>1243.75916176471</v>
      </c>
      <c r="AC76" s="44">
        <v>7.07</v>
      </c>
      <c r="AD76" s="75">
        <f t="shared" si="52"/>
        <v>8793.37727367647</v>
      </c>
      <c r="AE76" s="75">
        <f t="shared" si="51"/>
        <v>16914.8446964706</v>
      </c>
      <c r="AF76" s="77">
        <f t="shared" si="49"/>
        <v>5944.13530352941</v>
      </c>
    </row>
    <row r="77" s="2" customFormat="1" spans="1:32">
      <c r="A77" s="20"/>
      <c r="B77" s="21"/>
      <c r="C77" s="22">
        <v>240809000034</v>
      </c>
      <c r="D77" s="23">
        <v>45534</v>
      </c>
      <c r="E77" s="23" t="s">
        <v>69</v>
      </c>
      <c r="F77" s="21" t="s">
        <v>70</v>
      </c>
      <c r="G77" s="21" t="s">
        <v>116</v>
      </c>
      <c r="H77" s="24">
        <v>0.9292</v>
      </c>
      <c r="I77" s="24">
        <v>144</v>
      </c>
      <c r="J77" s="47"/>
      <c r="K77" s="49">
        <v>548260</v>
      </c>
      <c r="L77" s="45"/>
      <c r="M77" s="46">
        <f t="shared" si="59"/>
        <v>1735</v>
      </c>
      <c r="N77" s="50">
        <v>316</v>
      </c>
      <c r="O77" s="21">
        <v>7.12</v>
      </c>
      <c r="P77" s="47">
        <f t="shared" si="60"/>
        <v>2249.92</v>
      </c>
      <c r="Q77" s="78"/>
      <c r="R77" s="78"/>
      <c r="S77" s="75">
        <f t="shared" si="55"/>
        <v>786.338916176471</v>
      </c>
      <c r="T77" s="75"/>
      <c r="U77" s="75">
        <f t="shared" si="56"/>
        <v>28.6958823529412</v>
      </c>
      <c r="V77" s="75"/>
      <c r="W77" s="75"/>
      <c r="X77" s="77">
        <f t="shared" si="48"/>
        <v>815.034798529412</v>
      </c>
      <c r="Y77" s="96">
        <f t="shared" si="57"/>
        <v>142.345241176471</v>
      </c>
      <c r="Z77" s="91"/>
      <c r="AA77" s="91"/>
      <c r="AB77" s="91">
        <f t="shared" si="50"/>
        <v>142.345241176471</v>
      </c>
      <c r="AC77" s="44">
        <v>7.07</v>
      </c>
      <c r="AD77" s="75">
        <f t="shared" si="52"/>
        <v>1006.38085511765</v>
      </c>
      <c r="AE77" s="75">
        <f t="shared" si="51"/>
        <v>1821.41565364706</v>
      </c>
      <c r="AF77" s="77">
        <f t="shared" si="49"/>
        <v>428.504346352941</v>
      </c>
    </row>
    <row r="78" s="2" customFormat="1" spans="1:32">
      <c r="A78" s="20"/>
      <c r="B78" s="21"/>
      <c r="C78" s="22">
        <v>240813000001</v>
      </c>
      <c r="D78" s="23">
        <v>45534</v>
      </c>
      <c r="E78" s="23" t="s">
        <v>64</v>
      </c>
      <c r="F78" s="21" t="s">
        <v>64</v>
      </c>
      <c r="G78" s="21" t="s">
        <v>84</v>
      </c>
      <c r="H78" s="24">
        <v>33.04</v>
      </c>
      <c r="I78" s="24">
        <v>4133</v>
      </c>
      <c r="J78" s="43">
        <v>53646.12</v>
      </c>
      <c r="K78" s="44"/>
      <c r="L78" s="45"/>
      <c r="M78" s="46"/>
      <c r="N78" s="50"/>
      <c r="O78" s="21"/>
      <c r="P78" s="47">
        <f t="shared" ref="P78:P82" si="61">SUBTOTAL(9,J78)</f>
        <v>53646.12</v>
      </c>
      <c r="Q78" s="78"/>
      <c r="R78" s="78"/>
      <c r="S78" s="75">
        <f t="shared" si="55"/>
        <v>27960.2214705882</v>
      </c>
      <c r="T78" s="75"/>
      <c r="U78" s="75">
        <f t="shared" si="56"/>
        <v>1020.35294117647</v>
      </c>
      <c r="V78" s="75"/>
      <c r="W78" s="75"/>
      <c r="X78" s="77">
        <f t="shared" si="48"/>
        <v>28980.5744117647</v>
      </c>
      <c r="Y78" s="96">
        <f t="shared" si="57"/>
        <v>5061.43647058824</v>
      </c>
      <c r="Z78" s="91"/>
      <c r="AA78" s="91"/>
      <c r="AB78" s="91">
        <f t="shared" si="50"/>
        <v>5061.43647058824</v>
      </c>
      <c r="AC78" s="44">
        <v>7.07</v>
      </c>
      <c r="AD78" s="75">
        <f t="shared" si="52"/>
        <v>35784.3558470588</v>
      </c>
      <c r="AE78" s="75">
        <f t="shared" si="51"/>
        <v>64764.9302588235</v>
      </c>
      <c r="AF78" s="75">
        <f t="shared" si="49"/>
        <v>-11118.8102588235</v>
      </c>
    </row>
    <row r="79" s="2" customFormat="1" spans="1:32">
      <c r="A79" s="20"/>
      <c r="B79" s="21"/>
      <c r="C79" s="22">
        <v>240809000038</v>
      </c>
      <c r="D79" s="23">
        <v>45534</v>
      </c>
      <c r="E79" s="23" t="s">
        <v>92</v>
      </c>
      <c r="F79" s="21" t="s">
        <v>93</v>
      </c>
      <c r="G79" s="21" t="s">
        <v>117</v>
      </c>
      <c r="H79" s="24">
        <v>2.0316</v>
      </c>
      <c r="I79" s="24">
        <v>173</v>
      </c>
      <c r="J79" s="43">
        <v>4667</v>
      </c>
      <c r="K79" s="44"/>
      <c r="L79" s="45"/>
      <c r="M79" s="46"/>
      <c r="N79" s="45"/>
      <c r="O79" s="21"/>
      <c r="P79" s="47">
        <f t="shared" si="61"/>
        <v>4667</v>
      </c>
      <c r="Q79" s="78"/>
      <c r="R79" s="78"/>
      <c r="S79" s="75">
        <f t="shared" si="55"/>
        <v>1719.24896911765</v>
      </c>
      <c r="T79" s="75"/>
      <c r="U79" s="75">
        <f t="shared" si="56"/>
        <v>62.7405882352941</v>
      </c>
      <c r="V79" s="75"/>
      <c r="W79" s="75"/>
      <c r="X79" s="77">
        <f t="shared" si="48"/>
        <v>1781.98955735294</v>
      </c>
      <c r="Y79" s="96">
        <f t="shared" si="57"/>
        <v>311.223194117647</v>
      </c>
      <c r="Z79" s="91"/>
      <c r="AA79" s="91"/>
      <c r="AB79" s="91">
        <f t="shared" si="50"/>
        <v>311.223194117647</v>
      </c>
      <c r="AC79" s="44">
        <v>7.07</v>
      </c>
      <c r="AD79" s="75">
        <f t="shared" si="52"/>
        <v>2200.34798241176</v>
      </c>
      <c r="AE79" s="75">
        <f t="shared" si="51"/>
        <v>3982.33753976471</v>
      </c>
      <c r="AF79" s="77">
        <f t="shared" si="49"/>
        <v>684.662460235294</v>
      </c>
    </row>
    <row r="80" s="2" customFormat="1" spans="1:32">
      <c r="A80" s="20"/>
      <c r="B80" s="21"/>
      <c r="C80" s="22">
        <v>240810000008</v>
      </c>
      <c r="D80" s="23">
        <v>45534</v>
      </c>
      <c r="E80" s="23" t="s">
        <v>60</v>
      </c>
      <c r="F80" s="21" t="s">
        <v>61</v>
      </c>
      <c r="G80" s="21" t="s">
        <v>118</v>
      </c>
      <c r="H80" s="24">
        <v>7.4021</v>
      </c>
      <c r="I80" s="24">
        <v>2808</v>
      </c>
      <c r="J80" s="47"/>
      <c r="K80" s="49">
        <v>4341273</v>
      </c>
      <c r="L80" s="45"/>
      <c r="M80" s="46">
        <f t="shared" si="59"/>
        <v>1725</v>
      </c>
      <c r="N80" s="50">
        <v>2516.68</v>
      </c>
      <c r="O80" s="21">
        <v>7.12</v>
      </c>
      <c r="P80" s="47">
        <f t="shared" si="60"/>
        <v>17918.7616</v>
      </c>
      <c r="Q80" s="78"/>
      <c r="R80" s="78"/>
      <c r="S80" s="75">
        <f t="shared" si="55"/>
        <v>6264.05433860294</v>
      </c>
      <c r="T80" s="75"/>
      <c r="U80" s="75">
        <f t="shared" si="56"/>
        <v>228.594264705882</v>
      </c>
      <c r="V80" s="75"/>
      <c r="W80" s="75"/>
      <c r="X80" s="77">
        <f t="shared" si="48"/>
        <v>6492.64860330882</v>
      </c>
      <c r="Y80" s="96">
        <f t="shared" si="57"/>
        <v>1133.93640735294</v>
      </c>
      <c r="Z80" s="91"/>
      <c r="AA80" s="91"/>
      <c r="AB80" s="91">
        <f t="shared" si="50"/>
        <v>1133.93640735294</v>
      </c>
      <c r="AC80" s="44">
        <v>7.07</v>
      </c>
      <c r="AD80" s="75">
        <f t="shared" si="52"/>
        <v>8016.93039998529</v>
      </c>
      <c r="AE80" s="75">
        <f t="shared" si="51"/>
        <v>14509.5790032941</v>
      </c>
      <c r="AF80" s="77">
        <f t="shared" si="49"/>
        <v>3409.18259670588</v>
      </c>
    </row>
    <row r="81" s="2" customFormat="1" spans="1:32">
      <c r="A81" s="20"/>
      <c r="B81" s="21"/>
      <c r="C81" s="22">
        <v>240813000002</v>
      </c>
      <c r="D81" s="23">
        <v>45534</v>
      </c>
      <c r="E81" s="23" t="s">
        <v>64</v>
      </c>
      <c r="F81" s="21" t="s">
        <v>64</v>
      </c>
      <c r="G81" s="21" t="s">
        <v>84</v>
      </c>
      <c r="H81" s="24">
        <v>1.14</v>
      </c>
      <c r="I81" s="24">
        <v>155</v>
      </c>
      <c r="J81" s="43">
        <v>1853.23</v>
      </c>
      <c r="K81" s="44"/>
      <c r="L81" s="45"/>
      <c r="M81" s="46"/>
      <c r="N81" s="50"/>
      <c r="O81" s="21"/>
      <c r="P81" s="47">
        <f t="shared" si="61"/>
        <v>1853.23</v>
      </c>
      <c r="Q81" s="79"/>
      <c r="R81" s="79"/>
      <c r="S81" s="75">
        <f t="shared" si="55"/>
        <v>964.729191176471</v>
      </c>
      <c r="T81" s="75"/>
      <c r="U81" s="75">
        <f t="shared" si="56"/>
        <v>35.2058823529412</v>
      </c>
      <c r="V81" s="75"/>
      <c r="W81" s="75"/>
      <c r="X81" s="77">
        <f t="shared" si="48"/>
        <v>999.935073529412</v>
      </c>
      <c r="Y81" s="96">
        <f t="shared" si="57"/>
        <v>174.637941176471</v>
      </c>
      <c r="Z81" s="91"/>
      <c r="AA81" s="91"/>
      <c r="AB81" s="91">
        <f t="shared" si="50"/>
        <v>174.637941176471</v>
      </c>
      <c r="AC81" s="44">
        <v>7.07</v>
      </c>
      <c r="AD81" s="75">
        <f t="shared" si="52"/>
        <v>1234.69024411765</v>
      </c>
      <c r="AE81" s="75">
        <f t="shared" si="51"/>
        <v>2234.62531764706</v>
      </c>
      <c r="AF81" s="75">
        <f t="shared" si="49"/>
        <v>-381.395317647059</v>
      </c>
    </row>
    <row r="82" s="2" customFormat="1" spans="1:32">
      <c r="A82" s="20"/>
      <c r="B82" s="21"/>
      <c r="C82" s="22">
        <v>240812000043</v>
      </c>
      <c r="D82" s="23">
        <v>45534</v>
      </c>
      <c r="E82" s="23" t="s">
        <v>80</v>
      </c>
      <c r="F82" s="21" t="s">
        <v>64</v>
      </c>
      <c r="G82" s="21" t="s">
        <v>110</v>
      </c>
      <c r="H82" s="24">
        <v>5.313</v>
      </c>
      <c r="I82" s="24">
        <v>2925</v>
      </c>
      <c r="J82" s="43">
        <v>13463.78</v>
      </c>
      <c r="K82" s="49"/>
      <c r="L82" s="50"/>
      <c r="M82" s="46"/>
      <c r="N82" s="50"/>
      <c r="O82" s="21"/>
      <c r="P82" s="47">
        <f t="shared" si="61"/>
        <v>13463.78</v>
      </c>
      <c r="Q82" s="79"/>
      <c r="R82" s="79"/>
      <c r="S82" s="75">
        <f t="shared" si="55"/>
        <v>4496.14578308824</v>
      </c>
      <c r="T82" s="75"/>
      <c r="U82" s="75">
        <f t="shared" si="56"/>
        <v>164.077941176471</v>
      </c>
      <c r="V82" s="75"/>
      <c r="W82" s="75"/>
      <c r="X82" s="77">
        <f t="shared" si="48"/>
        <v>4660.22372426471</v>
      </c>
      <c r="Y82" s="96">
        <f t="shared" si="57"/>
        <v>813.904720588235</v>
      </c>
      <c r="Z82" s="91"/>
      <c r="AA82" s="91"/>
      <c r="AB82" s="91">
        <f t="shared" ref="AB82:AB93" si="62">SUM(Y82:AA82)</f>
        <v>813.904720588235</v>
      </c>
      <c r="AC82" s="44">
        <v>7.07</v>
      </c>
      <c r="AD82" s="75">
        <f t="shared" si="52"/>
        <v>5754.30637455882</v>
      </c>
      <c r="AE82" s="75">
        <f t="shared" ref="AE82:AE93" si="63">SUM(X82+AD82)</f>
        <v>10414.5300988235</v>
      </c>
      <c r="AF82" s="77">
        <f t="shared" si="49"/>
        <v>3049.24990117647</v>
      </c>
    </row>
    <row r="83" s="2" customFormat="1" spans="1:32">
      <c r="A83" s="20" t="s">
        <v>18</v>
      </c>
      <c r="B83" s="21" t="s">
        <v>19</v>
      </c>
      <c r="C83" s="22">
        <v>240729000025</v>
      </c>
      <c r="D83" s="23">
        <v>45534</v>
      </c>
      <c r="E83" s="23" t="s">
        <v>66</v>
      </c>
      <c r="F83" s="21" t="s">
        <v>67</v>
      </c>
      <c r="G83" s="21" t="s">
        <v>119</v>
      </c>
      <c r="H83" s="24">
        <v>0.3136</v>
      </c>
      <c r="I83" s="24">
        <v>10</v>
      </c>
      <c r="J83" s="48">
        <v>753</v>
      </c>
      <c r="K83" s="44"/>
      <c r="L83" s="45"/>
      <c r="M83" s="46"/>
      <c r="N83" s="45"/>
      <c r="O83" s="21"/>
      <c r="P83" s="47">
        <f>SUM(J83)</f>
        <v>753</v>
      </c>
      <c r="Q83" s="73">
        <f>SUM(P83:P92)</f>
        <v>139455.48</v>
      </c>
      <c r="R83" s="74" t="s">
        <v>120</v>
      </c>
      <c r="S83" s="75">
        <f>SUM(57265.25/68)*H83</f>
        <v>264.093858823529</v>
      </c>
      <c r="T83" s="75"/>
      <c r="U83" s="75">
        <f>SUM(1400/68)*H83</f>
        <v>6.45647058823529</v>
      </c>
      <c r="V83" s="75"/>
      <c r="W83" s="75"/>
      <c r="X83" s="77">
        <f t="shared" ref="X83:X93" si="64">SUM(S83:W83)</f>
        <v>270.550329411765</v>
      </c>
      <c r="Y83" s="96">
        <f>SUM(10328/68)*H83</f>
        <v>47.6303058823529</v>
      </c>
      <c r="Z83" s="91"/>
      <c r="AA83" s="91">
        <f>SUM(277.12/68)*H83</f>
        <v>1.27801223529412</v>
      </c>
      <c r="AB83" s="91">
        <f t="shared" si="62"/>
        <v>48.9083181176471</v>
      </c>
      <c r="AC83" s="44">
        <v>7.06</v>
      </c>
      <c r="AD83" s="75">
        <f t="shared" ref="AD83:AD93" si="65">SUM(AB83*AC83)</f>
        <v>345.292725910588</v>
      </c>
      <c r="AE83" s="75">
        <f t="shared" si="63"/>
        <v>615.843055322353</v>
      </c>
      <c r="AF83" s="77">
        <f t="shared" ref="AF83:AF93" si="66">SUM(P83-AE83)</f>
        <v>137.156944677647</v>
      </c>
    </row>
    <row r="84" s="2" customFormat="1" spans="1:32">
      <c r="A84" s="20"/>
      <c r="B84" s="21"/>
      <c r="C84" s="22">
        <v>240804000005</v>
      </c>
      <c r="D84" s="23">
        <v>45534</v>
      </c>
      <c r="E84" s="23" t="s">
        <v>66</v>
      </c>
      <c r="F84" s="21" t="s">
        <v>67</v>
      </c>
      <c r="G84" s="21" t="s">
        <v>98</v>
      </c>
      <c r="H84" s="24">
        <v>31.7366</v>
      </c>
      <c r="I84" s="24">
        <v>8596</v>
      </c>
      <c r="J84" s="43">
        <v>70573.12</v>
      </c>
      <c r="K84" s="44"/>
      <c r="L84" s="50"/>
      <c r="M84" s="46"/>
      <c r="N84" s="50"/>
      <c r="O84" s="21"/>
      <c r="P84" s="47">
        <f t="shared" ref="P84:P92" si="67">SUBTOTAL(9,J84)</f>
        <v>70573.12</v>
      </c>
      <c r="Q84" s="78"/>
      <c r="R84" s="78"/>
      <c r="S84" s="75">
        <f t="shared" ref="S84:S92" si="68">SUM(57265.25/68)*H84</f>
        <v>26726.5343110294</v>
      </c>
      <c r="T84" s="75"/>
      <c r="U84" s="75">
        <f t="shared" ref="U84:U92" si="69">SUM(1400/68)*H84</f>
        <v>653.400588235294</v>
      </c>
      <c r="V84" s="75"/>
      <c r="W84" s="75"/>
      <c r="X84" s="77">
        <f t="shared" si="64"/>
        <v>27379.9348992647</v>
      </c>
      <c r="Y84" s="96">
        <f t="shared" ref="Y84:Y92" si="70">SUM(10328/68)*H84</f>
        <v>4820.22948235294</v>
      </c>
      <c r="Z84" s="91"/>
      <c r="AA84" s="91">
        <f t="shared" ref="AA84:AA92" si="71">SUM(277.12/68)*H84</f>
        <v>129.335979294118</v>
      </c>
      <c r="AB84" s="91">
        <f t="shared" si="62"/>
        <v>4949.56546164706</v>
      </c>
      <c r="AC84" s="44">
        <v>7.06</v>
      </c>
      <c r="AD84" s="75">
        <f t="shared" si="65"/>
        <v>34943.9321592282</v>
      </c>
      <c r="AE84" s="75">
        <f t="shared" si="63"/>
        <v>62323.8670584929</v>
      </c>
      <c r="AF84" s="77">
        <f t="shared" si="66"/>
        <v>8249.25294150706</v>
      </c>
    </row>
    <row r="85" s="2" customFormat="1" spans="1:32">
      <c r="A85" s="20"/>
      <c r="B85" s="21"/>
      <c r="C85" s="22">
        <v>240812000053</v>
      </c>
      <c r="D85" s="23">
        <v>45534</v>
      </c>
      <c r="E85" s="23" t="s">
        <v>64</v>
      </c>
      <c r="F85" s="21" t="s">
        <v>64</v>
      </c>
      <c r="G85" s="21" t="s">
        <v>65</v>
      </c>
      <c r="H85" s="24">
        <v>1.748</v>
      </c>
      <c r="I85" s="24">
        <v>203</v>
      </c>
      <c r="J85" s="43">
        <v>3548.44</v>
      </c>
      <c r="K85" s="44"/>
      <c r="L85" s="45"/>
      <c r="M85" s="46"/>
      <c r="N85" s="51"/>
      <c r="O85" s="21"/>
      <c r="P85" s="47">
        <f t="shared" si="67"/>
        <v>3548.44</v>
      </c>
      <c r="Q85" s="78"/>
      <c r="R85" s="78"/>
      <c r="S85" s="75">
        <f t="shared" si="68"/>
        <v>1472.05377941176</v>
      </c>
      <c r="T85" s="75"/>
      <c r="U85" s="75">
        <f t="shared" si="69"/>
        <v>35.9882352941177</v>
      </c>
      <c r="V85" s="75"/>
      <c r="W85" s="75"/>
      <c r="X85" s="77">
        <f t="shared" si="64"/>
        <v>1508.04201470588</v>
      </c>
      <c r="Y85" s="96">
        <f t="shared" si="70"/>
        <v>265.490352941176</v>
      </c>
      <c r="Z85" s="91"/>
      <c r="AA85" s="91">
        <f t="shared" si="71"/>
        <v>7.12361411764706</v>
      </c>
      <c r="AB85" s="91">
        <f t="shared" si="62"/>
        <v>272.613967058824</v>
      </c>
      <c r="AC85" s="44">
        <v>7.06</v>
      </c>
      <c r="AD85" s="75">
        <f t="shared" si="65"/>
        <v>1924.65460743529</v>
      </c>
      <c r="AE85" s="75">
        <f t="shared" si="63"/>
        <v>3432.69662214118</v>
      </c>
      <c r="AF85" s="77">
        <f t="shared" si="66"/>
        <v>115.743377858824</v>
      </c>
    </row>
    <row r="86" s="2" customFormat="1" spans="1:32">
      <c r="A86" s="20"/>
      <c r="B86" s="21"/>
      <c r="C86" s="22">
        <v>240811000002</v>
      </c>
      <c r="D86" s="23">
        <v>45534</v>
      </c>
      <c r="E86" s="23" t="s">
        <v>66</v>
      </c>
      <c r="F86" s="21" t="s">
        <v>67</v>
      </c>
      <c r="G86" s="21" t="s">
        <v>121</v>
      </c>
      <c r="H86" s="24">
        <v>0.293</v>
      </c>
      <c r="I86" s="24">
        <v>65.5</v>
      </c>
      <c r="J86" s="99"/>
      <c r="K86" s="49">
        <v>295731</v>
      </c>
      <c r="L86" s="45"/>
      <c r="M86" s="46">
        <f>SUM(K86/N86)</f>
        <v>1737.54994124559</v>
      </c>
      <c r="N86" s="50">
        <v>170.2</v>
      </c>
      <c r="O86" s="21">
        <v>7.15</v>
      </c>
      <c r="P86" s="47">
        <f>SUM(N86*O86)</f>
        <v>1216.93</v>
      </c>
      <c r="Q86" s="78"/>
      <c r="R86" s="78"/>
      <c r="S86" s="75">
        <f t="shared" si="68"/>
        <v>246.745856617647</v>
      </c>
      <c r="T86" s="75">
        <v>355.58</v>
      </c>
      <c r="U86" s="75">
        <f t="shared" si="69"/>
        <v>6.03235294117647</v>
      </c>
      <c r="V86" s="75"/>
      <c r="W86" s="75">
        <v>54.56</v>
      </c>
      <c r="X86" s="77">
        <f t="shared" si="64"/>
        <v>662.918209558823</v>
      </c>
      <c r="Y86" s="96">
        <f t="shared" si="70"/>
        <v>44.5015294117647</v>
      </c>
      <c r="Z86" s="92">
        <v>27.05</v>
      </c>
      <c r="AA86" s="91">
        <f t="shared" si="71"/>
        <v>1.19406117647059</v>
      </c>
      <c r="AB86" s="91">
        <f t="shared" si="62"/>
        <v>72.7455905882353</v>
      </c>
      <c r="AC86" s="44">
        <v>7.06</v>
      </c>
      <c r="AD86" s="75">
        <f t="shared" si="65"/>
        <v>513.583869552941</v>
      </c>
      <c r="AE86" s="75">
        <f t="shared" si="63"/>
        <v>1176.50207911176</v>
      </c>
      <c r="AF86" s="77">
        <f t="shared" si="66"/>
        <v>40.4279208882356</v>
      </c>
    </row>
    <row r="87" s="2" customFormat="1" spans="1:32">
      <c r="A87" s="20"/>
      <c r="B87" s="21"/>
      <c r="C87" s="22">
        <v>240812000054</v>
      </c>
      <c r="D87" s="23">
        <v>45534</v>
      </c>
      <c r="E87" s="23" t="s">
        <v>64</v>
      </c>
      <c r="F87" s="21" t="s">
        <v>64</v>
      </c>
      <c r="G87" s="21" t="s">
        <v>65</v>
      </c>
      <c r="H87" s="24">
        <v>0.2239</v>
      </c>
      <c r="I87" s="24">
        <v>43</v>
      </c>
      <c r="J87" s="43">
        <v>454.5</v>
      </c>
      <c r="K87" s="44"/>
      <c r="L87" s="45"/>
      <c r="M87" s="46"/>
      <c r="N87" s="51"/>
      <c r="O87" s="21"/>
      <c r="P87" s="47">
        <f t="shared" si="67"/>
        <v>454.5</v>
      </c>
      <c r="Q87" s="78"/>
      <c r="R87" s="78"/>
      <c r="S87" s="75">
        <f t="shared" si="68"/>
        <v>188.554256985294</v>
      </c>
      <c r="T87" s="75"/>
      <c r="U87" s="75">
        <f t="shared" si="69"/>
        <v>4.60970588235294</v>
      </c>
      <c r="V87" s="75"/>
      <c r="W87" s="75"/>
      <c r="X87" s="77">
        <f t="shared" si="64"/>
        <v>193.163962867647</v>
      </c>
      <c r="Y87" s="96">
        <f t="shared" si="70"/>
        <v>34.0064588235294</v>
      </c>
      <c r="Z87" s="91"/>
      <c r="AA87" s="91">
        <f t="shared" si="71"/>
        <v>0.912458352941176</v>
      </c>
      <c r="AB87" s="91">
        <f t="shared" si="62"/>
        <v>34.9189171764706</v>
      </c>
      <c r="AC87" s="44">
        <v>7.06</v>
      </c>
      <c r="AD87" s="75">
        <f t="shared" si="65"/>
        <v>246.527555265882</v>
      </c>
      <c r="AE87" s="75">
        <f t="shared" si="63"/>
        <v>439.691518133529</v>
      </c>
      <c r="AF87" s="77">
        <f t="shared" si="66"/>
        <v>14.8084818664706</v>
      </c>
    </row>
    <row r="88" s="2" customFormat="1" spans="1:32">
      <c r="A88" s="20"/>
      <c r="B88" s="21"/>
      <c r="C88" s="22">
        <v>240812000055</v>
      </c>
      <c r="D88" s="23">
        <v>45534</v>
      </c>
      <c r="E88" s="23" t="s">
        <v>64</v>
      </c>
      <c r="F88" s="21" t="s">
        <v>64</v>
      </c>
      <c r="G88" s="21" t="s">
        <v>65</v>
      </c>
      <c r="H88" s="24">
        <v>0.1922</v>
      </c>
      <c r="I88" s="24">
        <v>29</v>
      </c>
      <c r="J88" s="43">
        <v>390.2</v>
      </c>
      <c r="K88" s="44"/>
      <c r="L88" s="45"/>
      <c r="M88" s="46"/>
      <c r="N88" s="51"/>
      <c r="O88" s="21"/>
      <c r="P88" s="47">
        <f t="shared" si="67"/>
        <v>390.2</v>
      </c>
      <c r="Q88" s="78"/>
      <c r="R88" s="78"/>
      <c r="S88" s="75">
        <f t="shared" si="68"/>
        <v>161.858544852941</v>
      </c>
      <c r="T88" s="75"/>
      <c r="U88" s="75">
        <f t="shared" si="69"/>
        <v>3.95705882352941</v>
      </c>
      <c r="V88" s="75"/>
      <c r="W88" s="75"/>
      <c r="X88" s="77">
        <f t="shared" si="64"/>
        <v>165.815603676471</v>
      </c>
      <c r="Y88" s="96">
        <f t="shared" si="70"/>
        <v>29.1917882352941</v>
      </c>
      <c r="Z88" s="91"/>
      <c r="AA88" s="91">
        <f t="shared" si="71"/>
        <v>0.783271529411765</v>
      </c>
      <c r="AB88" s="91">
        <f t="shared" si="62"/>
        <v>29.9750597647059</v>
      </c>
      <c r="AC88" s="44">
        <v>7.06</v>
      </c>
      <c r="AD88" s="75">
        <f t="shared" si="65"/>
        <v>211.623921938824</v>
      </c>
      <c r="AE88" s="75">
        <f t="shared" si="63"/>
        <v>377.439525615294</v>
      </c>
      <c r="AF88" s="77">
        <f t="shared" si="66"/>
        <v>12.7604743847058</v>
      </c>
    </row>
    <row r="89" s="2" customFormat="1" spans="1:32">
      <c r="A89" s="20"/>
      <c r="B89" s="21"/>
      <c r="C89" s="22">
        <v>240812000056</v>
      </c>
      <c r="D89" s="23">
        <v>45534</v>
      </c>
      <c r="E89" s="23" t="s">
        <v>64</v>
      </c>
      <c r="F89" s="21" t="s">
        <v>64</v>
      </c>
      <c r="G89" s="21" t="s">
        <v>65</v>
      </c>
      <c r="H89" s="24">
        <v>0.1689</v>
      </c>
      <c r="I89" s="24">
        <v>34</v>
      </c>
      <c r="J89" s="43">
        <v>342.85</v>
      </c>
      <c r="K89" s="44"/>
      <c r="L89" s="45"/>
      <c r="M89" s="46"/>
      <c r="N89" s="51"/>
      <c r="O89" s="21"/>
      <c r="P89" s="47">
        <f t="shared" si="67"/>
        <v>342.85</v>
      </c>
      <c r="Q89" s="78"/>
      <c r="R89" s="78"/>
      <c r="S89" s="75">
        <f t="shared" si="68"/>
        <v>142.236775367647</v>
      </c>
      <c r="T89" s="75"/>
      <c r="U89" s="75">
        <f t="shared" si="69"/>
        <v>3.47735294117647</v>
      </c>
      <c r="V89" s="75"/>
      <c r="W89" s="75"/>
      <c r="X89" s="77">
        <f t="shared" si="64"/>
        <v>145.714128308824</v>
      </c>
      <c r="Y89" s="96">
        <f t="shared" si="70"/>
        <v>25.6529294117647</v>
      </c>
      <c r="Z89" s="91"/>
      <c r="AA89" s="91">
        <f t="shared" si="71"/>
        <v>0.688317176470588</v>
      </c>
      <c r="AB89" s="91">
        <f t="shared" si="62"/>
        <v>26.3412465882353</v>
      </c>
      <c r="AC89" s="44">
        <v>7.06</v>
      </c>
      <c r="AD89" s="75">
        <f t="shared" si="65"/>
        <v>185.969200912941</v>
      </c>
      <c r="AE89" s="75">
        <f t="shared" si="63"/>
        <v>331.683329221765</v>
      </c>
      <c r="AF89" s="77">
        <f t="shared" si="66"/>
        <v>11.1666707782354</v>
      </c>
    </row>
    <row r="90" s="2" customFormat="1" spans="1:32">
      <c r="A90" s="20"/>
      <c r="B90" s="21"/>
      <c r="C90" s="22">
        <v>240813000001</v>
      </c>
      <c r="D90" s="23">
        <v>45534</v>
      </c>
      <c r="E90" s="23" t="s">
        <v>64</v>
      </c>
      <c r="F90" s="21" t="s">
        <v>64</v>
      </c>
      <c r="G90" s="21" t="s">
        <v>84</v>
      </c>
      <c r="H90" s="24">
        <v>1.98</v>
      </c>
      <c r="I90" s="24">
        <v>736</v>
      </c>
      <c r="J90" s="43">
        <v>3388.18</v>
      </c>
      <c r="K90" s="44"/>
      <c r="L90" s="45"/>
      <c r="M90" s="46"/>
      <c r="N90" s="50"/>
      <c r="O90" s="21"/>
      <c r="P90" s="47">
        <f t="shared" si="67"/>
        <v>3388.18</v>
      </c>
      <c r="Q90" s="78"/>
      <c r="R90" s="78"/>
      <c r="S90" s="75">
        <f t="shared" si="68"/>
        <v>1667.42933823529</v>
      </c>
      <c r="T90" s="75"/>
      <c r="U90" s="75">
        <f t="shared" si="69"/>
        <v>40.7647058823529</v>
      </c>
      <c r="V90" s="75"/>
      <c r="W90" s="75"/>
      <c r="X90" s="77">
        <f t="shared" si="64"/>
        <v>1708.19404411765</v>
      </c>
      <c r="Y90" s="96">
        <f t="shared" si="70"/>
        <v>300.727058823529</v>
      </c>
      <c r="Z90" s="91"/>
      <c r="AA90" s="91">
        <f t="shared" si="71"/>
        <v>8.06908235294118</v>
      </c>
      <c r="AB90" s="91">
        <f t="shared" si="62"/>
        <v>308.796141176471</v>
      </c>
      <c r="AC90" s="44">
        <v>7.06</v>
      </c>
      <c r="AD90" s="75">
        <f t="shared" si="65"/>
        <v>2180.10075670588</v>
      </c>
      <c r="AE90" s="75">
        <f t="shared" si="63"/>
        <v>3888.29480082353</v>
      </c>
      <c r="AF90" s="75">
        <f t="shared" si="66"/>
        <v>-500.114800823529</v>
      </c>
    </row>
    <row r="91" s="2" customFormat="1" spans="1:32">
      <c r="A91" s="20"/>
      <c r="B91" s="21"/>
      <c r="C91" s="22">
        <v>240613000018</v>
      </c>
      <c r="D91" s="23">
        <v>45506</v>
      </c>
      <c r="E91" s="23" t="s">
        <v>64</v>
      </c>
      <c r="F91" s="21" t="s">
        <v>64</v>
      </c>
      <c r="G91" s="21" t="s">
        <v>108</v>
      </c>
      <c r="H91" s="24">
        <v>1.087</v>
      </c>
      <c r="I91" s="24">
        <v>234</v>
      </c>
      <c r="J91" s="43">
        <v>2370</v>
      </c>
      <c r="K91" s="44"/>
      <c r="L91" s="45"/>
      <c r="M91" s="46"/>
      <c r="N91" s="45"/>
      <c r="O91" s="21"/>
      <c r="P91" s="47">
        <f t="shared" si="67"/>
        <v>2370</v>
      </c>
      <c r="Q91" s="78"/>
      <c r="R91" s="78"/>
      <c r="S91" s="75">
        <f t="shared" si="68"/>
        <v>915.401863970588</v>
      </c>
      <c r="T91" s="75"/>
      <c r="U91" s="75">
        <f t="shared" si="69"/>
        <v>22.3794117647059</v>
      </c>
      <c r="V91" s="75"/>
      <c r="W91" s="75"/>
      <c r="X91" s="77">
        <f t="shared" si="64"/>
        <v>937.781275735294</v>
      </c>
      <c r="Y91" s="96">
        <f t="shared" si="70"/>
        <v>165.096117647059</v>
      </c>
      <c r="Z91" s="91"/>
      <c r="AA91" s="91">
        <f t="shared" si="71"/>
        <v>4.42984470588235</v>
      </c>
      <c r="AB91" s="91">
        <f t="shared" si="62"/>
        <v>169.525962352941</v>
      </c>
      <c r="AC91" s="44">
        <v>7.06</v>
      </c>
      <c r="AD91" s="75">
        <f t="shared" si="65"/>
        <v>1196.85329421176</v>
      </c>
      <c r="AE91" s="75">
        <f t="shared" si="63"/>
        <v>2134.63456994706</v>
      </c>
      <c r="AF91" s="77">
        <f t="shared" si="66"/>
        <v>235.365430052942</v>
      </c>
    </row>
    <row r="92" s="2" customFormat="1" spans="1:32">
      <c r="A92" s="20"/>
      <c r="B92" s="21"/>
      <c r="C92" s="22">
        <v>240813000002</v>
      </c>
      <c r="D92" s="23">
        <v>45534</v>
      </c>
      <c r="E92" s="23" t="s">
        <v>64</v>
      </c>
      <c r="F92" s="21" t="s">
        <v>64</v>
      </c>
      <c r="G92" s="21" t="s">
        <v>84</v>
      </c>
      <c r="H92" s="24">
        <v>32.97</v>
      </c>
      <c r="I92" s="24">
        <v>3574</v>
      </c>
      <c r="J92" s="43">
        <v>56418.26</v>
      </c>
      <c r="K92" s="44"/>
      <c r="L92" s="45"/>
      <c r="M92" s="46"/>
      <c r="N92" s="50"/>
      <c r="O92" s="21"/>
      <c r="P92" s="47">
        <f t="shared" si="67"/>
        <v>56418.26</v>
      </c>
      <c r="Q92" s="79"/>
      <c r="R92" s="79"/>
      <c r="S92" s="75">
        <f t="shared" si="68"/>
        <v>27765.2248897059</v>
      </c>
      <c r="T92" s="75"/>
      <c r="U92" s="75">
        <f t="shared" si="69"/>
        <v>678.794117647059</v>
      </c>
      <c r="V92" s="75"/>
      <c r="W92" s="75"/>
      <c r="X92" s="77">
        <f t="shared" si="64"/>
        <v>28444.0190073529</v>
      </c>
      <c r="Y92" s="96">
        <f t="shared" si="70"/>
        <v>5007.56117647059</v>
      </c>
      <c r="Z92" s="92"/>
      <c r="AA92" s="91">
        <f t="shared" si="71"/>
        <v>134.362447058824</v>
      </c>
      <c r="AB92" s="91">
        <f t="shared" si="62"/>
        <v>5141.92362352941</v>
      </c>
      <c r="AC92" s="44">
        <v>7.06</v>
      </c>
      <c r="AD92" s="75">
        <f t="shared" si="65"/>
        <v>36301.9807821176</v>
      </c>
      <c r="AE92" s="75">
        <f t="shared" ref="AE92:AE112" si="72">SUM(X92+AD92)</f>
        <v>64745.9997894706</v>
      </c>
      <c r="AF92" s="75">
        <f t="shared" ref="AF92:AF112" si="73">SUM(P92-AE92)</f>
        <v>-8327.73978947059</v>
      </c>
    </row>
    <row r="93" s="2" customFormat="1" spans="1:32">
      <c r="A93" s="20" t="s">
        <v>20</v>
      </c>
      <c r="B93" s="21" t="s">
        <v>21</v>
      </c>
      <c r="C93" s="22">
        <v>240812000027</v>
      </c>
      <c r="D93" s="23">
        <v>45498</v>
      </c>
      <c r="E93" s="23" t="s">
        <v>64</v>
      </c>
      <c r="F93" s="21" t="s">
        <v>64</v>
      </c>
      <c r="G93" s="21" t="s">
        <v>122</v>
      </c>
      <c r="H93" s="24">
        <v>68</v>
      </c>
      <c r="I93" s="24">
        <v>21890</v>
      </c>
      <c r="J93" s="43">
        <v>68172</v>
      </c>
      <c r="K93" s="49">
        <v>21300000</v>
      </c>
      <c r="L93" s="45"/>
      <c r="M93" s="46">
        <f>SUM(K93/N93)</f>
        <v>1694.55792325164</v>
      </c>
      <c r="N93" s="50">
        <v>12569.65</v>
      </c>
      <c r="O93" s="21">
        <v>7.15</v>
      </c>
      <c r="P93" s="94">
        <f>SUM(N93*O93+J93)</f>
        <v>158044.9975</v>
      </c>
      <c r="Q93" s="95">
        <f>SUM(P93)</f>
        <v>158044.9975</v>
      </c>
      <c r="R93" s="95" t="s">
        <v>123</v>
      </c>
      <c r="S93" s="95">
        <v>61677</v>
      </c>
      <c r="T93" s="95"/>
      <c r="U93" s="75"/>
      <c r="V93" s="95"/>
      <c r="W93" s="95"/>
      <c r="X93" s="77">
        <f t="shared" ref="X93:X112" si="74">SUM(S93:W93)</f>
        <v>61677</v>
      </c>
      <c r="Y93" s="96">
        <v>0</v>
      </c>
      <c r="Z93" s="97"/>
      <c r="AA93" s="97"/>
      <c r="AB93" s="91">
        <f t="shared" ref="AB93:AB112" si="75">SUM(Y93:AA93)</f>
        <v>0</v>
      </c>
      <c r="AC93" s="98">
        <v>7.15</v>
      </c>
      <c r="AD93" s="75">
        <f t="shared" ref="AD93:AD112" si="76">SUM(AB93*AC93)</f>
        <v>0</v>
      </c>
      <c r="AE93" s="75">
        <f t="shared" si="72"/>
        <v>61677</v>
      </c>
      <c r="AF93" s="77">
        <f t="shared" si="73"/>
        <v>96367.9975</v>
      </c>
    </row>
    <row r="94" s="2" customFormat="1" spans="1:32">
      <c r="A94" s="20" t="s">
        <v>22</v>
      </c>
      <c r="B94" s="21" t="s">
        <v>23</v>
      </c>
      <c r="C94" s="22">
        <v>240807000029</v>
      </c>
      <c r="D94" s="23">
        <v>45516</v>
      </c>
      <c r="E94" s="23" t="s">
        <v>72</v>
      </c>
      <c r="F94" s="21" t="s">
        <v>88</v>
      </c>
      <c r="G94" s="21" t="s">
        <v>124</v>
      </c>
      <c r="H94" s="24">
        <v>0.55</v>
      </c>
      <c r="I94" s="24">
        <v>148</v>
      </c>
      <c r="J94" s="48">
        <v>1768.88</v>
      </c>
      <c r="K94" s="44"/>
      <c r="L94" s="45"/>
      <c r="M94" s="46"/>
      <c r="N94" s="45"/>
      <c r="O94" s="21"/>
      <c r="P94" s="47">
        <f>SUM(J94)</f>
        <v>1768.88</v>
      </c>
      <c r="Q94" s="73">
        <f>SUM(P94:P112)</f>
        <v>161460.146844</v>
      </c>
      <c r="R94" s="74" t="s">
        <v>125</v>
      </c>
      <c r="S94" s="75">
        <f>SUM(53259/68)*H94</f>
        <v>430.771323529412</v>
      </c>
      <c r="T94" s="75"/>
      <c r="U94" s="75">
        <f>SUM(1300/68)*H94</f>
        <v>10.5147058823529</v>
      </c>
      <c r="V94" s="75"/>
      <c r="W94" s="75"/>
      <c r="X94" s="77">
        <f t="shared" si="74"/>
        <v>441.286029411765</v>
      </c>
      <c r="Y94" s="91">
        <f>SUM(10737.46/68)*H94</f>
        <v>86.8471029411765</v>
      </c>
      <c r="Z94" s="92">
        <v>47.2</v>
      </c>
      <c r="AA94" s="91"/>
      <c r="AB94" s="91">
        <f t="shared" si="75"/>
        <v>134.047102941176</v>
      </c>
      <c r="AC94" s="44">
        <v>7.06</v>
      </c>
      <c r="AD94" s="75">
        <f t="shared" si="76"/>
        <v>946.372546764706</v>
      </c>
      <c r="AE94" s="75">
        <f t="shared" si="72"/>
        <v>1387.65857617647</v>
      </c>
      <c r="AF94" s="77">
        <f t="shared" si="73"/>
        <v>381.22142382353</v>
      </c>
    </row>
    <row r="95" s="2" customFormat="1" spans="1:32">
      <c r="A95" s="20"/>
      <c r="B95" s="21"/>
      <c r="C95" s="22">
        <v>240810000003</v>
      </c>
      <c r="D95" s="23">
        <v>45516</v>
      </c>
      <c r="E95" s="23" t="s">
        <v>66</v>
      </c>
      <c r="F95" s="21" t="s">
        <v>67</v>
      </c>
      <c r="G95" s="21" t="s">
        <v>98</v>
      </c>
      <c r="H95" s="24">
        <v>0.693</v>
      </c>
      <c r="I95" s="24">
        <v>463</v>
      </c>
      <c r="J95" s="43">
        <v>1600</v>
      </c>
      <c r="K95" s="44"/>
      <c r="L95" s="50"/>
      <c r="M95" s="46"/>
      <c r="N95" s="50"/>
      <c r="O95" s="21"/>
      <c r="P95" s="47">
        <f t="shared" ref="P95:P100" si="77">SUBTOTAL(9,J95)</f>
        <v>1600</v>
      </c>
      <c r="Q95" s="78"/>
      <c r="R95" s="78"/>
      <c r="S95" s="75">
        <f t="shared" ref="S95:S112" si="78">SUM(53259/68)*H95</f>
        <v>542.771867647059</v>
      </c>
      <c r="T95" s="75"/>
      <c r="U95" s="75">
        <f t="shared" ref="U95:U112" si="79">SUM(1300/68)*H95</f>
        <v>13.2485294117647</v>
      </c>
      <c r="V95" s="75"/>
      <c r="W95" s="75"/>
      <c r="X95" s="77">
        <f t="shared" si="74"/>
        <v>556.020397058824</v>
      </c>
      <c r="Y95" s="91">
        <f t="shared" ref="Y95:Y113" si="80">SUM(10737.46/68)*H95</f>
        <v>109.427349705882</v>
      </c>
      <c r="Z95" s="91"/>
      <c r="AA95" s="91"/>
      <c r="AB95" s="91">
        <f t="shared" si="75"/>
        <v>109.427349705882</v>
      </c>
      <c r="AC95" s="44">
        <v>7.06</v>
      </c>
      <c r="AD95" s="75">
        <f t="shared" si="76"/>
        <v>772.557088923529</v>
      </c>
      <c r="AE95" s="75">
        <f t="shared" si="72"/>
        <v>1328.57748598235</v>
      </c>
      <c r="AF95" s="77">
        <f t="shared" si="73"/>
        <v>271.422514017647</v>
      </c>
    </row>
    <row r="96" s="2" customFormat="1" spans="1:32">
      <c r="A96" s="20"/>
      <c r="B96" s="21"/>
      <c r="C96" s="22">
        <v>240613000018</v>
      </c>
      <c r="D96" s="23">
        <v>45506</v>
      </c>
      <c r="E96" s="23" t="s">
        <v>64</v>
      </c>
      <c r="F96" s="21" t="s">
        <v>64</v>
      </c>
      <c r="G96" s="21" t="s">
        <v>108</v>
      </c>
      <c r="H96" s="24">
        <v>0.044</v>
      </c>
      <c r="I96" s="24">
        <v>28</v>
      </c>
      <c r="J96" s="43">
        <v>96</v>
      </c>
      <c r="K96" s="44"/>
      <c r="L96" s="45"/>
      <c r="M96" s="46"/>
      <c r="N96" s="45"/>
      <c r="O96" s="21"/>
      <c r="P96" s="47">
        <f t="shared" si="77"/>
        <v>96</v>
      </c>
      <c r="Q96" s="78"/>
      <c r="R96" s="78"/>
      <c r="S96" s="75">
        <f t="shared" si="78"/>
        <v>34.4617058823529</v>
      </c>
      <c r="T96" s="75"/>
      <c r="U96" s="75">
        <f t="shared" si="79"/>
        <v>0.841176470588235</v>
      </c>
      <c r="V96" s="75"/>
      <c r="W96" s="75"/>
      <c r="X96" s="77">
        <f t="shared" si="74"/>
        <v>35.3028823529412</v>
      </c>
      <c r="Y96" s="91">
        <f t="shared" si="80"/>
        <v>6.94776823529412</v>
      </c>
      <c r="Z96" s="91"/>
      <c r="AA96" s="91"/>
      <c r="AB96" s="91">
        <f t="shared" si="75"/>
        <v>6.94776823529412</v>
      </c>
      <c r="AC96" s="44">
        <v>7.06</v>
      </c>
      <c r="AD96" s="75">
        <f t="shared" si="76"/>
        <v>49.0512437411765</v>
      </c>
      <c r="AE96" s="75">
        <f t="shared" si="72"/>
        <v>84.3541260941176</v>
      </c>
      <c r="AF96" s="77">
        <f t="shared" si="73"/>
        <v>11.6458739058824</v>
      </c>
    </row>
    <row r="97" s="2" customFormat="1" spans="1:32">
      <c r="A97" s="20"/>
      <c r="B97" s="21"/>
      <c r="C97" s="22">
        <v>240811000001</v>
      </c>
      <c r="D97" s="23">
        <v>45516</v>
      </c>
      <c r="E97" s="23" t="s">
        <v>72</v>
      </c>
      <c r="F97" s="21" t="s">
        <v>88</v>
      </c>
      <c r="G97" s="21" t="s">
        <v>112</v>
      </c>
      <c r="H97" s="24">
        <v>8.3155</v>
      </c>
      <c r="I97" s="24">
        <v>4780</v>
      </c>
      <c r="J97" s="47"/>
      <c r="K97" s="49">
        <v>4494672</v>
      </c>
      <c r="L97" s="45"/>
      <c r="M97" s="46">
        <f>SUM(K97/N97)</f>
        <v>1773.86486070494</v>
      </c>
      <c r="N97" s="50">
        <v>2533.83</v>
      </c>
      <c r="O97" s="21">
        <v>7.24</v>
      </c>
      <c r="P97" s="47">
        <f>SUM(N97*O97)</f>
        <v>18344.9292</v>
      </c>
      <c r="Q97" s="78"/>
      <c r="R97" s="78"/>
      <c r="S97" s="75">
        <f t="shared" si="78"/>
        <v>6512.87080147059</v>
      </c>
      <c r="T97" s="75"/>
      <c r="U97" s="75">
        <f t="shared" si="79"/>
        <v>158.972794117647</v>
      </c>
      <c r="V97" s="75"/>
      <c r="W97" s="75"/>
      <c r="X97" s="77">
        <f t="shared" si="74"/>
        <v>6671.84359558824</v>
      </c>
      <c r="Y97" s="91">
        <f t="shared" si="80"/>
        <v>1313.04924455882</v>
      </c>
      <c r="Z97" s="91"/>
      <c r="AA97" s="91"/>
      <c r="AB97" s="91">
        <f t="shared" si="75"/>
        <v>1313.04924455882</v>
      </c>
      <c r="AC97" s="44">
        <v>7.06</v>
      </c>
      <c r="AD97" s="75">
        <f t="shared" si="76"/>
        <v>9270.12766658529</v>
      </c>
      <c r="AE97" s="75">
        <f t="shared" si="72"/>
        <v>15941.9712621735</v>
      </c>
      <c r="AF97" s="77">
        <f t="shared" si="73"/>
        <v>2402.95793782647</v>
      </c>
    </row>
    <row r="98" s="2" customFormat="1" spans="1:32">
      <c r="A98" s="20"/>
      <c r="B98" s="21"/>
      <c r="C98" s="22">
        <v>240728000003</v>
      </c>
      <c r="D98" s="23">
        <v>45506</v>
      </c>
      <c r="E98" s="23" t="s">
        <v>64</v>
      </c>
      <c r="F98" s="21" t="s">
        <v>64</v>
      </c>
      <c r="G98" s="21" t="s">
        <v>78</v>
      </c>
      <c r="H98" s="24">
        <v>0.236</v>
      </c>
      <c r="I98" s="24">
        <v>94</v>
      </c>
      <c r="J98" s="43">
        <v>636</v>
      </c>
      <c r="K98" s="44"/>
      <c r="L98" s="45"/>
      <c r="M98" s="46"/>
      <c r="N98" s="45"/>
      <c r="O98" s="21"/>
      <c r="P98" s="47">
        <f t="shared" si="77"/>
        <v>636</v>
      </c>
      <c r="Q98" s="78"/>
      <c r="R98" s="78"/>
      <c r="S98" s="75">
        <f t="shared" si="78"/>
        <v>184.840058823529</v>
      </c>
      <c r="T98" s="75"/>
      <c r="U98" s="75">
        <f t="shared" si="79"/>
        <v>4.51176470588235</v>
      </c>
      <c r="V98" s="75"/>
      <c r="W98" s="75"/>
      <c r="X98" s="77">
        <f t="shared" si="74"/>
        <v>189.351823529412</v>
      </c>
      <c r="Y98" s="91">
        <f t="shared" si="80"/>
        <v>37.2653023529412</v>
      </c>
      <c r="Z98" s="91"/>
      <c r="AA98" s="91"/>
      <c r="AB98" s="91">
        <f t="shared" si="75"/>
        <v>37.2653023529412</v>
      </c>
      <c r="AC98" s="44">
        <v>7.06</v>
      </c>
      <c r="AD98" s="75">
        <f t="shared" si="76"/>
        <v>263.093034611765</v>
      </c>
      <c r="AE98" s="75">
        <f t="shared" si="72"/>
        <v>452.444858141176</v>
      </c>
      <c r="AF98" s="77">
        <f t="shared" si="73"/>
        <v>183.555141858824</v>
      </c>
    </row>
    <row r="99" s="2" customFormat="1" spans="1:32">
      <c r="A99" s="20"/>
      <c r="B99" s="21"/>
      <c r="C99" s="22">
        <v>240811000012</v>
      </c>
      <c r="D99" s="23">
        <v>45516</v>
      </c>
      <c r="E99" s="23" t="s">
        <v>64</v>
      </c>
      <c r="F99" s="21" t="s">
        <v>64</v>
      </c>
      <c r="G99" s="21" t="s">
        <v>126</v>
      </c>
      <c r="H99" s="24">
        <v>1.4797</v>
      </c>
      <c r="I99" s="24">
        <v>153.4</v>
      </c>
      <c r="J99" s="43">
        <v>3842.88</v>
      </c>
      <c r="K99" s="44"/>
      <c r="L99" s="45"/>
      <c r="M99" s="46"/>
      <c r="N99" s="45"/>
      <c r="O99" s="21"/>
      <c r="P99" s="47">
        <f t="shared" si="77"/>
        <v>3842.88</v>
      </c>
      <c r="Q99" s="78"/>
      <c r="R99" s="78"/>
      <c r="S99" s="75">
        <f t="shared" si="78"/>
        <v>1158.93150441176</v>
      </c>
      <c r="T99" s="75"/>
      <c r="U99" s="75">
        <f t="shared" si="79"/>
        <v>28.2883823529412</v>
      </c>
      <c r="V99" s="75"/>
      <c r="W99" s="75"/>
      <c r="X99" s="77">
        <f t="shared" si="74"/>
        <v>1187.21988676471</v>
      </c>
      <c r="Y99" s="91">
        <f t="shared" si="80"/>
        <v>233.650287676471</v>
      </c>
      <c r="Z99" s="92">
        <v>8.85</v>
      </c>
      <c r="AA99" s="91"/>
      <c r="AB99" s="91">
        <f t="shared" si="75"/>
        <v>242.500287676471</v>
      </c>
      <c r="AC99" s="44">
        <v>7.06</v>
      </c>
      <c r="AD99" s="75">
        <f t="shared" si="76"/>
        <v>1712.05203099588</v>
      </c>
      <c r="AE99" s="75">
        <f t="shared" si="72"/>
        <v>2899.27191776059</v>
      </c>
      <c r="AF99" s="77">
        <f t="shared" si="73"/>
        <v>943.608082239412</v>
      </c>
    </row>
    <row r="100" s="2" customFormat="1" spans="1:32">
      <c r="A100" s="20"/>
      <c r="B100" s="21"/>
      <c r="C100" s="22">
        <v>240812000069</v>
      </c>
      <c r="D100" s="23">
        <v>45516</v>
      </c>
      <c r="E100" s="23" t="s">
        <v>66</v>
      </c>
      <c r="F100" s="21" t="s">
        <v>67</v>
      </c>
      <c r="G100" s="21" t="s">
        <v>96</v>
      </c>
      <c r="H100" s="24">
        <v>0.045</v>
      </c>
      <c r="I100" s="24">
        <v>52.5</v>
      </c>
      <c r="J100" s="43">
        <v>565.2</v>
      </c>
      <c r="K100" s="44"/>
      <c r="L100" s="45"/>
      <c r="M100" s="46"/>
      <c r="N100" s="45"/>
      <c r="O100" s="21"/>
      <c r="P100" s="47">
        <f t="shared" si="77"/>
        <v>565.2</v>
      </c>
      <c r="Q100" s="78"/>
      <c r="R100" s="78"/>
      <c r="S100" s="75">
        <f t="shared" si="78"/>
        <v>35.2449264705882</v>
      </c>
      <c r="T100" s="75"/>
      <c r="U100" s="75">
        <f t="shared" si="79"/>
        <v>0.860294117647059</v>
      </c>
      <c r="V100" s="75"/>
      <c r="W100" s="75"/>
      <c r="X100" s="77">
        <f t="shared" si="74"/>
        <v>36.1052205882353</v>
      </c>
      <c r="Y100" s="91">
        <f t="shared" si="80"/>
        <v>7.10567205882353</v>
      </c>
      <c r="Z100" s="92">
        <v>50.15</v>
      </c>
      <c r="AA100" s="91"/>
      <c r="AB100" s="91">
        <f t="shared" si="75"/>
        <v>57.2556720588235</v>
      </c>
      <c r="AC100" s="44">
        <v>7.06</v>
      </c>
      <c r="AD100" s="75">
        <f t="shared" si="76"/>
        <v>404.225044735294</v>
      </c>
      <c r="AE100" s="75">
        <f t="shared" si="72"/>
        <v>440.330265323529</v>
      </c>
      <c r="AF100" s="77">
        <f t="shared" si="73"/>
        <v>124.869734676471</v>
      </c>
    </row>
    <row r="101" s="2" customFormat="1" spans="1:32">
      <c r="A101" s="20"/>
      <c r="B101" s="21"/>
      <c r="C101" s="22">
        <v>240813000034</v>
      </c>
      <c r="D101" s="23">
        <v>45516</v>
      </c>
      <c r="E101" s="23" t="s">
        <v>72</v>
      </c>
      <c r="F101" s="21" t="s">
        <v>88</v>
      </c>
      <c r="G101" s="21" t="s">
        <v>89</v>
      </c>
      <c r="H101" s="24">
        <v>4.253</v>
      </c>
      <c r="I101" s="24">
        <v>1141</v>
      </c>
      <c r="J101" s="47"/>
      <c r="K101" s="49">
        <v>2383535</v>
      </c>
      <c r="L101" s="45"/>
      <c r="M101" s="46">
        <f>SUM(K101/N101)</f>
        <v>1751.27138892922</v>
      </c>
      <c r="N101" s="50">
        <v>1361.0312</v>
      </c>
      <c r="O101" s="21">
        <v>7.12</v>
      </c>
      <c r="P101" s="47">
        <f>SUM(N101*O101)</f>
        <v>9690.542144</v>
      </c>
      <c r="Q101" s="78"/>
      <c r="R101" s="78"/>
      <c r="S101" s="75">
        <f t="shared" si="78"/>
        <v>3331.03716176471</v>
      </c>
      <c r="T101" s="75"/>
      <c r="U101" s="75">
        <f t="shared" si="79"/>
        <v>81.3073529411765</v>
      </c>
      <c r="V101" s="75"/>
      <c r="W101" s="75"/>
      <c r="X101" s="77">
        <f t="shared" si="74"/>
        <v>3412.34451470588</v>
      </c>
      <c r="Y101" s="91">
        <f t="shared" si="80"/>
        <v>671.564961470588</v>
      </c>
      <c r="Z101" s="91"/>
      <c r="AA101" s="91"/>
      <c r="AB101" s="91">
        <f t="shared" si="75"/>
        <v>671.564961470588</v>
      </c>
      <c r="AC101" s="44">
        <v>7.06</v>
      </c>
      <c r="AD101" s="75">
        <f t="shared" si="76"/>
        <v>4741.24862798235</v>
      </c>
      <c r="AE101" s="75">
        <f t="shared" si="72"/>
        <v>8153.59314268823</v>
      </c>
      <c r="AF101" s="77">
        <f t="shared" si="73"/>
        <v>1536.94900131176</v>
      </c>
    </row>
    <row r="102" s="2" customFormat="1" spans="1:32">
      <c r="A102" s="20"/>
      <c r="B102" s="21"/>
      <c r="C102" s="22">
        <v>240814000018</v>
      </c>
      <c r="D102" s="23">
        <v>45516</v>
      </c>
      <c r="E102" s="23" t="s">
        <v>66</v>
      </c>
      <c r="F102" s="21" t="s">
        <v>67</v>
      </c>
      <c r="G102" s="21" t="s">
        <v>127</v>
      </c>
      <c r="H102" s="24">
        <v>0.414</v>
      </c>
      <c r="I102" s="24">
        <v>225</v>
      </c>
      <c r="J102" s="43">
        <v>1588</v>
      </c>
      <c r="K102" s="44"/>
      <c r="L102" s="45"/>
      <c r="M102" s="46"/>
      <c r="N102" s="45"/>
      <c r="O102" s="21"/>
      <c r="P102" s="47">
        <f t="shared" ref="P102:P108" si="81">SUBTOTAL(9,J102)</f>
        <v>1588</v>
      </c>
      <c r="Q102" s="78"/>
      <c r="R102" s="78"/>
      <c r="S102" s="75">
        <f t="shared" si="78"/>
        <v>324.253323529412</v>
      </c>
      <c r="T102" s="75"/>
      <c r="U102" s="75">
        <f t="shared" si="79"/>
        <v>7.91470588235294</v>
      </c>
      <c r="V102" s="75"/>
      <c r="W102" s="75"/>
      <c r="X102" s="77">
        <f t="shared" si="74"/>
        <v>332.168029411765</v>
      </c>
      <c r="Y102" s="91">
        <f t="shared" si="80"/>
        <v>65.3721829411765</v>
      </c>
      <c r="Z102" s="92">
        <v>81.63</v>
      </c>
      <c r="AA102" s="91"/>
      <c r="AB102" s="91">
        <f t="shared" si="75"/>
        <v>147.002182941176</v>
      </c>
      <c r="AC102" s="44">
        <v>7.06</v>
      </c>
      <c r="AD102" s="75">
        <f t="shared" si="76"/>
        <v>1037.83541156471</v>
      </c>
      <c r="AE102" s="75">
        <f t="shared" si="72"/>
        <v>1370.00344097647</v>
      </c>
      <c r="AF102" s="77">
        <f t="shared" si="73"/>
        <v>217.996559023529</v>
      </c>
    </row>
    <row r="103" s="2" customFormat="1" spans="1:32">
      <c r="A103" s="20"/>
      <c r="B103" s="21"/>
      <c r="C103" s="22">
        <v>240814000019</v>
      </c>
      <c r="D103" s="23">
        <v>45516</v>
      </c>
      <c r="E103" s="23" t="s">
        <v>66</v>
      </c>
      <c r="F103" s="21" t="s">
        <v>67</v>
      </c>
      <c r="G103" s="21" t="s">
        <v>128</v>
      </c>
      <c r="H103" s="24">
        <v>1.0206</v>
      </c>
      <c r="I103" s="24">
        <v>428</v>
      </c>
      <c r="J103" s="43">
        <v>2389.6</v>
      </c>
      <c r="K103" s="44"/>
      <c r="L103" s="45"/>
      <c r="M103" s="46"/>
      <c r="N103" s="45"/>
      <c r="O103" s="21"/>
      <c r="P103" s="47">
        <f t="shared" si="81"/>
        <v>2389.6</v>
      </c>
      <c r="Q103" s="78"/>
      <c r="R103" s="78"/>
      <c r="S103" s="75">
        <f t="shared" si="78"/>
        <v>799.354932352941</v>
      </c>
      <c r="T103" s="75"/>
      <c r="U103" s="75">
        <f t="shared" si="79"/>
        <v>19.5114705882353</v>
      </c>
      <c r="V103" s="75"/>
      <c r="W103" s="75"/>
      <c r="X103" s="77">
        <f t="shared" si="74"/>
        <v>818.866402941176</v>
      </c>
      <c r="Y103" s="91">
        <f t="shared" si="80"/>
        <v>161.156642294118</v>
      </c>
      <c r="Z103" s="91"/>
      <c r="AA103" s="91"/>
      <c r="AB103" s="91">
        <f t="shared" si="75"/>
        <v>161.156642294118</v>
      </c>
      <c r="AC103" s="44">
        <v>7.06</v>
      </c>
      <c r="AD103" s="75">
        <f t="shared" si="76"/>
        <v>1137.76589459647</v>
      </c>
      <c r="AE103" s="75">
        <f t="shared" si="72"/>
        <v>1956.63229753765</v>
      </c>
      <c r="AF103" s="77">
        <f t="shared" si="73"/>
        <v>432.967702462353</v>
      </c>
    </row>
    <row r="104" s="2" customFormat="1" spans="1:32">
      <c r="A104" s="20"/>
      <c r="B104" s="21"/>
      <c r="C104" s="22">
        <v>240814000024</v>
      </c>
      <c r="D104" s="23">
        <v>45516</v>
      </c>
      <c r="E104" s="23" t="s">
        <v>66</v>
      </c>
      <c r="F104" s="21" t="s">
        <v>67</v>
      </c>
      <c r="G104" s="21" t="s">
        <v>127</v>
      </c>
      <c r="H104" s="24">
        <v>0.0407</v>
      </c>
      <c r="I104" s="24">
        <v>2</v>
      </c>
      <c r="J104" s="43">
        <v>835.2</v>
      </c>
      <c r="K104" s="44"/>
      <c r="L104" s="45"/>
      <c r="M104" s="46"/>
      <c r="N104" s="45"/>
      <c r="O104" s="21"/>
      <c r="P104" s="47">
        <f t="shared" si="81"/>
        <v>835.2</v>
      </c>
      <c r="Q104" s="78"/>
      <c r="R104" s="78"/>
      <c r="S104" s="75">
        <f t="shared" si="78"/>
        <v>31.8770779411765</v>
      </c>
      <c r="T104" s="75"/>
      <c r="U104" s="75">
        <f t="shared" si="79"/>
        <v>0.778088235294118</v>
      </c>
      <c r="V104" s="75"/>
      <c r="W104" s="75"/>
      <c r="X104" s="77">
        <f t="shared" si="74"/>
        <v>32.6551661764706</v>
      </c>
      <c r="Y104" s="91">
        <f t="shared" si="80"/>
        <v>6.42668561764706</v>
      </c>
      <c r="Z104" s="92">
        <v>81.63</v>
      </c>
      <c r="AA104" s="91"/>
      <c r="AB104" s="91">
        <f t="shared" si="75"/>
        <v>88.056685617647</v>
      </c>
      <c r="AC104" s="44">
        <v>7.06</v>
      </c>
      <c r="AD104" s="75">
        <f t="shared" si="76"/>
        <v>621.680200460588</v>
      </c>
      <c r="AE104" s="75">
        <f t="shared" si="72"/>
        <v>654.335366637059</v>
      </c>
      <c r="AF104" s="77">
        <f t="shared" si="73"/>
        <v>180.864633362941</v>
      </c>
    </row>
    <row r="105" s="2" customFormat="1" spans="1:32">
      <c r="A105" s="20"/>
      <c r="B105" s="21"/>
      <c r="C105" s="22">
        <v>240815000013</v>
      </c>
      <c r="D105" s="23">
        <v>45516</v>
      </c>
      <c r="E105" s="23" t="s">
        <v>66</v>
      </c>
      <c r="F105" s="21" t="s">
        <v>67</v>
      </c>
      <c r="G105" s="21" t="s">
        <v>129</v>
      </c>
      <c r="H105" s="24">
        <v>0.2945</v>
      </c>
      <c r="I105" s="24">
        <v>235</v>
      </c>
      <c r="J105" s="43">
        <v>1105</v>
      </c>
      <c r="K105" s="44"/>
      <c r="L105" s="45"/>
      <c r="M105" s="46"/>
      <c r="N105" s="45"/>
      <c r="O105" s="21"/>
      <c r="P105" s="47">
        <f t="shared" si="81"/>
        <v>1105</v>
      </c>
      <c r="Q105" s="78"/>
      <c r="R105" s="78"/>
      <c r="S105" s="75">
        <f t="shared" si="78"/>
        <v>230.658463235294</v>
      </c>
      <c r="T105" s="75"/>
      <c r="U105" s="75">
        <f t="shared" si="79"/>
        <v>5.63014705882353</v>
      </c>
      <c r="V105" s="75"/>
      <c r="W105" s="76">
        <v>316</v>
      </c>
      <c r="X105" s="77">
        <f t="shared" si="74"/>
        <v>552.288610294118</v>
      </c>
      <c r="Y105" s="91">
        <f t="shared" si="80"/>
        <v>46.5026760294118</v>
      </c>
      <c r="Z105" s="91"/>
      <c r="AA105" s="91"/>
      <c r="AB105" s="91">
        <f t="shared" si="75"/>
        <v>46.5026760294118</v>
      </c>
      <c r="AC105" s="44">
        <v>7.06</v>
      </c>
      <c r="AD105" s="75">
        <f t="shared" si="76"/>
        <v>328.308892767647</v>
      </c>
      <c r="AE105" s="75">
        <f t="shared" si="72"/>
        <v>880.597503061765</v>
      </c>
      <c r="AF105" s="77">
        <f t="shared" si="73"/>
        <v>224.402496938235</v>
      </c>
    </row>
    <row r="106" s="2" customFormat="1" spans="1:32">
      <c r="A106" s="20"/>
      <c r="B106" s="21"/>
      <c r="C106" s="22">
        <v>240815000041</v>
      </c>
      <c r="D106" s="23">
        <v>45516</v>
      </c>
      <c r="E106" s="23" t="s">
        <v>92</v>
      </c>
      <c r="F106" s="21" t="s">
        <v>93</v>
      </c>
      <c r="G106" s="21" t="s">
        <v>130</v>
      </c>
      <c r="H106" s="24">
        <v>6.6096</v>
      </c>
      <c r="I106" s="24">
        <v>2430</v>
      </c>
      <c r="J106" s="43">
        <v>20266.26</v>
      </c>
      <c r="K106" s="44"/>
      <c r="L106" s="45"/>
      <c r="M106" s="46"/>
      <c r="N106" s="45"/>
      <c r="O106" s="21"/>
      <c r="P106" s="47">
        <f t="shared" si="81"/>
        <v>20266.26</v>
      </c>
      <c r="Q106" s="78"/>
      <c r="R106" s="78"/>
      <c r="S106" s="75">
        <f t="shared" si="78"/>
        <v>5176.7748</v>
      </c>
      <c r="T106" s="75"/>
      <c r="U106" s="75">
        <f t="shared" si="79"/>
        <v>126.36</v>
      </c>
      <c r="V106" s="75"/>
      <c r="W106" s="75"/>
      <c r="X106" s="77">
        <f t="shared" si="74"/>
        <v>5303.1348</v>
      </c>
      <c r="Y106" s="91">
        <f t="shared" si="80"/>
        <v>1043.681112</v>
      </c>
      <c r="Z106" s="91"/>
      <c r="AA106" s="91"/>
      <c r="AB106" s="91">
        <f t="shared" si="75"/>
        <v>1043.681112</v>
      </c>
      <c r="AC106" s="44">
        <v>7.06</v>
      </c>
      <c r="AD106" s="75">
        <f t="shared" si="76"/>
        <v>7368.38865072</v>
      </c>
      <c r="AE106" s="75">
        <f t="shared" si="72"/>
        <v>12671.52345072</v>
      </c>
      <c r="AF106" s="77">
        <f t="shared" si="73"/>
        <v>7594.73654928</v>
      </c>
    </row>
    <row r="107" s="2" customFormat="1" spans="1:32">
      <c r="A107" s="20"/>
      <c r="B107" s="21"/>
      <c r="C107" s="22">
        <v>240816000023</v>
      </c>
      <c r="D107" s="23">
        <v>45516</v>
      </c>
      <c r="E107" s="23" t="s">
        <v>66</v>
      </c>
      <c r="F107" s="21" t="s">
        <v>67</v>
      </c>
      <c r="G107" s="21" t="s">
        <v>131</v>
      </c>
      <c r="H107" s="24">
        <v>1.9876</v>
      </c>
      <c r="I107" s="24">
        <v>92</v>
      </c>
      <c r="J107" s="43">
        <v>4277.5</v>
      </c>
      <c r="K107" s="44"/>
      <c r="L107" s="45"/>
      <c r="M107" s="46"/>
      <c r="N107" s="45"/>
      <c r="O107" s="21"/>
      <c r="P107" s="47">
        <f t="shared" si="81"/>
        <v>4277.5</v>
      </c>
      <c r="Q107" s="78"/>
      <c r="R107" s="78"/>
      <c r="S107" s="75">
        <f t="shared" si="78"/>
        <v>1556.72924117647</v>
      </c>
      <c r="T107" s="75"/>
      <c r="U107" s="75">
        <f t="shared" si="79"/>
        <v>37.9982352941176</v>
      </c>
      <c r="V107" s="75"/>
      <c r="W107" s="75">
        <v>99</v>
      </c>
      <c r="X107" s="77">
        <f t="shared" si="74"/>
        <v>1693.72747647059</v>
      </c>
      <c r="Y107" s="91">
        <f t="shared" si="80"/>
        <v>313.849639647059</v>
      </c>
      <c r="Z107" s="92">
        <v>47.2</v>
      </c>
      <c r="AA107" s="91"/>
      <c r="AB107" s="91">
        <f t="shared" si="75"/>
        <v>361.049639647059</v>
      </c>
      <c r="AC107" s="44">
        <v>7.06</v>
      </c>
      <c r="AD107" s="75">
        <f t="shared" si="76"/>
        <v>2549.01045590823</v>
      </c>
      <c r="AE107" s="75">
        <f t="shared" si="72"/>
        <v>4242.73793237882</v>
      </c>
      <c r="AF107" s="77">
        <f t="shared" si="73"/>
        <v>34.7620676211773</v>
      </c>
    </row>
    <row r="108" s="2" customFormat="1" spans="1:32">
      <c r="A108" s="20"/>
      <c r="B108" s="21"/>
      <c r="C108" s="22">
        <v>240818000009</v>
      </c>
      <c r="D108" s="23">
        <v>45516</v>
      </c>
      <c r="E108" s="23" t="s">
        <v>69</v>
      </c>
      <c r="F108" s="21" t="s">
        <v>70</v>
      </c>
      <c r="G108" s="21" t="s">
        <v>132</v>
      </c>
      <c r="H108" s="24">
        <v>0.1955</v>
      </c>
      <c r="I108" s="24">
        <v>39</v>
      </c>
      <c r="J108" s="43">
        <v>468</v>
      </c>
      <c r="K108" s="44"/>
      <c r="L108" s="45"/>
      <c r="M108" s="46"/>
      <c r="N108" s="45"/>
      <c r="O108" s="21"/>
      <c r="P108" s="47">
        <f t="shared" si="81"/>
        <v>468</v>
      </c>
      <c r="Q108" s="78"/>
      <c r="R108" s="78"/>
      <c r="S108" s="75">
        <f t="shared" si="78"/>
        <v>153.119625</v>
      </c>
      <c r="T108" s="75"/>
      <c r="U108" s="75">
        <f t="shared" si="79"/>
        <v>3.7375</v>
      </c>
      <c r="V108" s="75"/>
      <c r="W108" s="75"/>
      <c r="X108" s="77">
        <f t="shared" si="74"/>
        <v>156.857125</v>
      </c>
      <c r="Y108" s="91">
        <f t="shared" si="80"/>
        <v>30.8701975</v>
      </c>
      <c r="Z108" s="91"/>
      <c r="AA108" s="91"/>
      <c r="AB108" s="91">
        <f t="shared" si="75"/>
        <v>30.8701975</v>
      </c>
      <c r="AC108" s="44">
        <v>7.06</v>
      </c>
      <c r="AD108" s="75">
        <f t="shared" si="76"/>
        <v>217.94359435</v>
      </c>
      <c r="AE108" s="75">
        <f t="shared" si="72"/>
        <v>374.80071935</v>
      </c>
      <c r="AF108" s="77">
        <f t="shared" si="73"/>
        <v>93.19928065</v>
      </c>
    </row>
    <row r="109" s="2" customFormat="1" spans="1:32">
      <c r="A109" s="20"/>
      <c r="B109" s="21"/>
      <c r="C109" s="22">
        <v>240818000013</v>
      </c>
      <c r="D109" s="23">
        <v>45516</v>
      </c>
      <c r="E109" s="23" t="s">
        <v>69</v>
      </c>
      <c r="F109" s="21" t="s">
        <v>70</v>
      </c>
      <c r="G109" s="21" t="s">
        <v>133</v>
      </c>
      <c r="H109" s="24">
        <v>1.5335</v>
      </c>
      <c r="I109" s="24">
        <v>305</v>
      </c>
      <c r="J109" s="47"/>
      <c r="K109" s="49">
        <v>1228413.6</v>
      </c>
      <c r="L109" s="45"/>
      <c r="M109" s="46">
        <f>SUM(K109/N109)</f>
        <v>1744.98004176314</v>
      </c>
      <c r="N109" s="50">
        <v>703.97</v>
      </c>
      <c r="O109" s="21">
        <v>7.15</v>
      </c>
      <c r="P109" s="47">
        <f>SUM(N109*O109)</f>
        <v>5033.3855</v>
      </c>
      <c r="Q109" s="78"/>
      <c r="R109" s="78"/>
      <c r="S109" s="75">
        <f t="shared" si="78"/>
        <v>1201.06877205882</v>
      </c>
      <c r="T109" s="75"/>
      <c r="U109" s="75">
        <f t="shared" si="79"/>
        <v>29.3169117647059</v>
      </c>
      <c r="V109" s="75"/>
      <c r="W109" s="75"/>
      <c r="X109" s="77">
        <f t="shared" si="74"/>
        <v>1230.38568382353</v>
      </c>
      <c r="Y109" s="91">
        <f t="shared" si="80"/>
        <v>242.145513382353</v>
      </c>
      <c r="Z109" s="92">
        <v>248</v>
      </c>
      <c r="AA109" s="91"/>
      <c r="AB109" s="91">
        <f t="shared" si="75"/>
        <v>490.145513382353</v>
      </c>
      <c r="AC109" s="44">
        <v>7.06</v>
      </c>
      <c r="AD109" s="75">
        <f t="shared" si="76"/>
        <v>3460.42732447941</v>
      </c>
      <c r="AE109" s="75">
        <f t="shared" si="72"/>
        <v>4690.81300830294</v>
      </c>
      <c r="AF109" s="77">
        <f t="shared" si="73"/>
        <v>342.572491697059</v>
      </c>
    </row>
    <row r="110" s="2" customFormat="1" spans="1:32">
      <c r="A110" s="20"/>
      <c r="B110" s="21"/>
      <c r="C110" s="22">
        <v>240819000004</v>
      </c>
      <c r="D110" s="23">
        <v>45532</v>
      </c>
      <c r="E110" s="23" t="s">
        <v>92</v>
      </c>
      <c r="F110" s="21" t="s">
        <v>93</v>
      </c>
      <c r="G110" s="21" t="s">
        <v>117</v>
      </c>
      <c r="H110" s="24">
        <v>4.6</v>
      </c>
      <c r="I110" s="24">
        <v>2063</v>
      </c>
      <c r="J110" s="43">
        <v>9940</v>
      </c>
      <c r="K110" s="44"/>
      <c r="L110" s="45"/>
      <c r="M110" s="46"/>
      <c r="N110" s="45"/>
      <c r="O110" s="21"/>
      <c r="P110" s="47">
        <f t="shared" ref="P110:P113" si="82">SUBTOTAL(9,J110)</f>
        <v>9940</v>
      </c>
      <c r="Q110" s="78"/>
      <c r="R110" s="78"/>
      <c r="S110" s="75">
        <f t="shared" si="78"/>
        <v>3602.81470588235</v>
      </c>
      <c r="T110" s="75"/>
      <c r="U110" s="75">
        <f t="shared" si="79"/>
        <v>87.9411764705882</v>
      </c>
      <c r="V110" s="75"/>
      <c r="W110" s="75"/>
      <c r="X110" s="77">
        <f t="shared" si="74"/>
        <v>3690.75588235294</v>
      </c>
      <c r="Y110" s="91">
        <f t="shared" si="80"/>
        <v>726.357588235294</v>
      </c>
      <c r="Z110" s="91"/>
      <c r="AA110" s="91"/>
      <c r="AB110" s="91">
        <f t="shared" si="75"/>
        <v>726.357588235294</v>
      </c>
      <c r="AC110" s="44">
        <v>7.06</v>
      </c>
      <c r="AD110" s="75">
        <f t="shared" si="76"/>
        <v>5128.08457294117</v>
      </c>
      <c r="AE110" s="75">
        <f t="shared" si="72"/>
        <v>8818.84045529412</v>
      </c>
      <c r="AF110" s="77">
        <f t="shared" si="73"/>
        <v>1121.15954470588</v>
      </c>
    </row>
    <row r="111" s="2" customFormat="1" spans="1:32">
      <c r="A111" s="20"/>
      <c r="B111" s="21"/>
      <c r="C111" s="22">
        <v>240819000017</v>
      </c>
      <c r="D111" s="23">
        <v>45516</v>
      </c>
      <c r="E111" s="23" t="s">
        <v>72</v>
      </c>
      <c r="F111" s="21" t="s">
        <v>88</v>
      </c>
      <c r="G111" s="21" t="s">
        <v>91</v>
      </c>
      <c r="H111" s="24">
        <v>23.494</v>
      </c>
      <c r="I111" s="24">
        <v>2608</v>
      </c>
      <c r="J111" s="43">
        <v>50190.17</v>
      </c>
      <c r="K111" s="44"/>
      <c r="L111" s="45"/>
      <c r="M111" s="46"/>
      <c r="N111" s="45"/>
      <c r="O111" s="21"/>
      <c r="P111" s="47">
        <f t="shared" si="82"/>
        <v>50190.17</v>
      </c>
      <c r="Q111" s="78"/>
      <c r="R111" s="78"/>
      <c r="S111" s="75">
        <f t="shared" si="78"/>
        <v>18400.9845</v>
      </c>
      <c r="T111" s="75"/>
      <c r="U111" s="75">
        <f t="shared" si="79"/>
        <v>449.15</v>
      </c>
      <c r="V111" s="76">
        <v>960</v>
      </c>
      <c r="W111" s="76">
        <v>146.5</v>
      </c>
      <c r="X111" s="77">
        <f t="shared" si="74"/>
        <v>19956.6345</v>
      </c>
      <c r="Y111" s="91">
        <f t="shared" si="80"/>
        <v>3709.79243</v>
      </c>
      <c r="Z111" s="91"/>
      <c r="AA111" s="91"/>
      <c r="AB111" s="91">
        <f t="shared" si="75"/>
        <v>3709.79243</v>
      </c>
      <c r="AC111" s="44">
        <v>7.06</v>
      </c>
      <c r="AD111" s="75">
        <f t="shared" si="76"/>
        <v>26191.1345558</v>
      </c>
      <c r="AE111" s="75">
        <f t="shared" ref="AE111:AE137" si="83">SUM(X111+AD111)</f>
        <v>46147.7690558</v>
      </c>
      <c r="AF111" s="77">
        <f t="shared" si="73"/>
        <v>4042.4009442</v>
      </c>
    </row>
    <row r="112" s="2" customFormat="1" spans="1:32">
      <c r="A112" s="20"/>
      <c r="B112" s="21"/>
      <c r="C112" s="22">
        <v>240821000040</v>
      </c>
      <c r="D112" s="23">
        <v>45516</v>
      </c>
      <c r="E112" s="23" t="s">
        <v>64</v>
      </c>
      <c r="F112" s="21" t="s">
        <v>64</v>
      </c>
      <c r="G112" s="21" t="s">
        <v>84</v>
      </c>
      <c r="H112" s="24">
        <v>17.568</v>
      </c>
      <c r="I112" s="24">
        <v>2034</v>
      </c>
      <c r="J112" s="43">
        <v>28822.6</v>
      </c>
      <c r="K112" s="44"/>
      <c r="L112" s="45"/>
      <c r="M112" s="46"/>
      <c r="N112" s="50"/>
      <c r="O112" s="21"/>
      <c r="P112" s="47">
        <f t="shared" si="82"/>
        <v>28822.6</v>
      </c>
      <c r="Q112" s="79"/>
      <c r="R112" s="79"/>
      <c r="S112" s="75">
        <f t="shared" si="78"/>
        <v>13759.6192941176</v>
      </c>
      <c r="T112" s="75"/>
      <c r="U112" s="75">
        <f t="shared" si="79"/>
        <v>335.858823529412</v>
      </c>
      <c r="V112" s="75"/>
      <c r="W112" s="75"/>
      <c r="X112" s="77">
        <f t="shared" ref="X112:X137" si="84">SUM(S112:W112)</f>
        <v>14095.4781176471</v>
      </c>
      <c r="Y112" s="91">
        <f t="shared" si="80"/>
        <v>2774.05437176471</v>
      </c>
      <c r="Z112" s="91"/>
      <c r="AA112" s="91"/>
      <c r="AB112" s="91">
        <f t="shared" ref="AB112:AB137" si="85">SUM(Y112:AA112)</f>
        <v>2774.05437176471</v>
      </c>
      <c r="AC112" s="44">
        <v>7.06</v>
      </c>
      <c r="AD112" s="75">
        <f t="shared" ref="AD112:AD137" si="86">SUM(AB112*AC112)</f>
        <v>19584.8238646588</v>
      </c>
      <c r="AE112" s="75">
        <f t="shared" si="83"/>
        <v>33680.3019823059</v>
      </c>
      <c r="AF112" s="75">
        <f t="shared" ref="AF112:AF137" si="87">SUM(P112-AE112)</f>
        <v>-4857.70198230589</v>
      </c>
    </row>
    <row r="113" s="2" customFormat="1" spans="1:32">
      <c r="A113" s="20" t="s">
        <v>24</v>
      </c>
      <c r="B113" s="21" t="s">
        <v>25</v>
      </c>
      <c r="C113" s="22">
        <v>240613000018</v>
      </c>
      <c r="D113" s="23">
        <v>45532</v>
      </c>
      <c r="E113" s="23" t="s">
        <v>64</v>
      </c>
      <c r="F113" s="21" t="s">
        <v>64</v>
      </c>
      <c r="G113" s="21" t="s">
        <v>108</v>
      </c>
      <c r="H113" s="24">
        <v>21.6755</v>
      </c>
      <c r="I113" s="24">
        <v>6691</v>
      </c>
      <c r="J113" s="43">
        <v>46755</v>
      </c>
      <c r="K113" s="44"/>
      <c r="L113" s="45"/>
      <c r="M113" s="46"/>
      <c r="N113" s="45"/>
      <c r="O113" s="21"/>
      <c r="P113" s="47">
        <f t="shared" si="82"/>
        <v>46755</v>
      </c>
      <c r="Q113" s="73">
        <f>SUM(P113:P137)</f>
        <v>179091.8261212</v>
      </c>
      <c r="R113" s="74" t="s">
        <v>134</v>
      </c>
      <c r="S113" s="75">
        <f>SUM(52856.5/68)*H113</f>
        <v>16848.3980257353</v>
      </c>
      <c r="T113" s="75"/>
      <c r="U113" s="75">
        <f>SUM(1500/68)*H113</f>
        <v>478.136029411765</v>
      </c>
      <c r="V113" s="76">
        <v>420</v>
      </c>
      <c r="W113" s="75"/>
      <c r="X113" s="77">
        <f t="shared" si="84"/>
        <v>17746.5340551471</v>
      </c>
      <c r="Y113" s="91">
        <f t="shared" si="80"/>
        <v>3422.64432691176</v>
      </c>
      <c r="Z113" s="91"/>
      <c r="AA113" s="91">
        <f>SUM(247.79/68)*H113</f>
        <v>78.9848844852941</v>
      </c>
      <c r="AB113" s="91">
        <f t="shared" si="85"/>
        <v>3501.62921139706</v>
      </c>
      <c r="AC113" s="44">
        <v>7.12</v>
      </c>
      <c r="AD113" s="75">
        <f t="shared" si="86"/>
        <v>24931.5999851471</v>
      </c>
      <c r="AE113" s="75">
        <f t="shared" si="83"/>
        <v>42678.1340402941</v>
      </c>
      <c r="AF113" s="77">
        <f t="shared" si="87"/>
        <v>4076.86595970589</v>
      </c>
    </row>
    <row r="114" s="2" customFormat="1" spans="1:32">
      <c r="A114" s="20"/>
      <c r="B114" s="21"/>
      <c r="C114" s="22">
        <v>240816000038</v>
      </c>
      <c r="D114" s="23">
        <v>45532</v>
      </c>
      <c r="E114" s="23" t="s">
        <v>69</v>
      </c>
      <c r="F114" s="21" t="s">
        <v>70</v>
      </c>
      <c r="G114" s="21" t="s">
        <v>135</v>
      </c>
      <c r="H114" s="24">
        <v>0.1557</v>
      </c>
      <c r="I114" s="24">
        <v>40.2</v>
      </c>
      <c r="J114" s="48">
        <v>602</v>
      </c>
      <c r="K114" s="44"/>
      <c r="L114" s="45"/>
      <c r="M114" s="46"/>
      <c r="N114" s="45"/>
      <c r="O114" s="21"/>
      <c r="P114" s="47">
        <f>SUM(J114)</f>
        <v>602</v>
      </c>
      <c r="Q114" s="78"/>
      <c r="R114" s="78"/>
      <c r="S114" s="75">
        <f t="shared" ref="S114:S137" si="88">SUM(52856.5/68)*H114</f>
        <v>121.025838970588</v>
      </c>
      <c r="T114" s="75"/>
      <c r="U114" s="75">
        <f t="shared" ref="U114:U137" si="89">SUM(1500/68)*H114</f>
        <v>3.43455882352941</v>
      </c>
      <c r="V114" s="75"/>
      <c r="W114" s="75"/>
      <c r="X114" s="77">
        <f t="shared" si="84"/>
        <v>124.460397794118</v>
      </c>
      <c r="Y114" s="91">
        <f t="shared" ref="Y114:Y137" si="90">SUM(10737.46/68)*H114</f>
        <v>24.5856253235294</v>
      </c>
      <c r="Z114" s="92">
        <v>21.12</v>
      </c>
      <c r="AA114" s="91">
        <f t="shared" ref="AA114:AA137" si="91">SUM(247.79/68)*H114</f>
        <v>0.567366220588235</v>
      </c>
      <c r="AB114" s="91">
        <f t="shared" si="85"/>
        <v>46.2729915441176</v>
      </c>
      <c r="AC114" s="44">
        <v>7.12</v>
      </c>
      <c r="AD114" s="75">
        <f t="shared" si="86"/>
        <v>329.463699794118</v>
      </c>
      <c r="AE114" s="75">
        <f t="shared" si="83"/>
        <v>453.924097588235</v>
      </c>
      <c r="AF114" s="77">
        <f t="shared" si="87"/>
        <v>148.075902411765</v>
      </c>
    </row>
    <row r="115" s="2" customFormat="1" spans="1:32">
      <c r="A115" s="20"/>
      <c r="B115" s="21"/>
      <c r="C115" s="22">
        <v>240818000042</v>
      </c>
      <c r="D115" s="23">
        <v>45532</v>
      </c>
      <c r="E115" s="23" t="s">
        <v>66</v>
      </c>
      <c r="F115" s="21" t="s">
        <v>67</v>
      </c>
      <c r="G115" s="21" t="s">
        <v>96</v>
      </c>
      <c r="H115" s="24">
        <v>0.0276</v>
      </c>
      <c r="I115" s="24">
        <v>60</v>
      </c>
      <c r="J115" s="47"/>
      <c r="K115" s="49">
        <v>120050</v>
      </c>
      <c r="L115" s="45"/>
      <c r="M115" s="46">
        <f t="shared" ref="M115:M119" si="92">SUM(K115/N115)</f>
        <v>1800.65996700165</v>
      </c>
      <c r="N115" s="50">
        <v>66.67</v>
      </c>
      <c r="O115" s="21">
        <v>7.12</v>
      </c>
      <c r="P115" s="47">
        <f t="shared" ref="P115:P119" si="93">SUM(N115*O115)</f>
        <v>474.6904</v>
      </c>
      <c r="Q115" s="78"/>
      <c r="R115" s="78"/>
      <c r="S115" s="75">
        <f t="shared" si="88"/>
        <v>21.4535205882353</v>
      </c>
      <c r="T115" s="75"/>
      <c r="U115" s="75">
        <f t="shared" si="89"/>
        <v>0.608823529411765</v>
      </c>
      <c r="V115" s="75"/>
      <c r="W115" s="75"/>
      <c r="X115" s="77">
        <f t="shared" si="84"/>
        <v>22.0623441176471</v>
      </c>
      <c r="Y115" s="91">
        <f t="shared" si="90"/>
        <v>4.35814552941176</v>
      </c>
      <c r="Z115" s="92">
        <v>35.4</v>
      </c>
      <c r="AA115" s="91">
        <f t="shared" si="91"/>
        <v>0.100573588235294</v>
      </c>
      <c r="AB115" s="91">
        <f t="shared" si="85"/>
        <v>39.8587191176471</v>
      </c>
      <c r="AC115" s="44">
        <v>7.12</v>
      </c>
      <c r="AD115" s="75">
        <f t="shared" si="86"/>
        <v>283.794080117647</v>
      </c>
      <c r="AE115" s="75">
        <f t="shared" si="83"/>
        <v>305.856424235294</v>
      </c>
      <c r="AF115" s="77">
        <f t="shared" si="87"/>
        <v>168.833975764706</v>
      </c>
    </row>
    <row r="116" s="2" customFormat="1" spans="1:32">
      <c r="A116" s="20"/>
      <c r="B116" s="21"/>
      <c r="C116" s="22">
        <v>240819000004</v>
      </c>
      <c r="D116" s="23">
        <v>45532</v>
      </c>
      <c r="E116" s="23" t="s">
        <v>92</v>
      </c>
      <c r="F116" s="21" t="s">
        <v>93</v>
      </c>
      <c r="G116" s="21" t="s">
        <v>117</v>
      </c>
      <c r="H116" s="24">
        <v>0.0982</v>
      </c>
      <c r="I116" s="24">
        <v>59</v>
      </c>
      <c r="J116" s="43">
        <v>212</v>
      </c>
      <c r="K116" s="44"/>
      <c r="L116" s="45"/>
      <c r="M116" s="46"/>
      <c r="N116" s="45"/>
      <c r="O116" s="21"/>
      <c r="P116" s="47">
        <f t="shared" ref="P116:P126" si="94">SUBTOTAL(9,J116)</f>
        <v>212</v>
      </c>
      <c r="Q116" s="78"/>
      <c r="R116" s="78"/>
      <c r="S116" s="75">
        <f t="shared" si="88"/>
        <v>76.3310044117647</v>
      </c>
      <c r="T116" s="75"/>
      <c r="U116" s="75">
        <f t="shared" si="89"/>
        <v>2.16617647058824</v>
      </c>
      <c r="V116" s="75"/>
      <c r="W116" s="75"/>
      <c r="X116" s="77">
        <f t="shared" si="84"/>
        <v>78.4971808823529</v>
      </c>
      <c r="Y116" s="91">
        <f t="shared" si="90"/>
        <v>15.5061554705882</v>
      </c>
      <c r="Z116" s="91"/>
      <c r="AA116" s="91">
        <f t="shared" si="91"/>
        <v>0.357837911764706</v>
      </c>
      <c r="AB116" s="91">
        <f t="shared" si="85"/>
        <v>15.8639933823529</v>
      </c>
      <c r="AC116" s="44">
        <v>7.12</v>
      </c>
      <c r="AD116" s="75">
        <f t="shared" si="86"/>
        <v>112.951632882353</v>
      </c>
      <c r="AE116" s="75">
        <f t="shared" si="83"/>
        <v>191.448813764706</v>
      </c>
      <c r="AF116" s="77">
        <f t="shared" si="87"/>
        <v>20.5511862352942</v>
      </c>
    </row>
    <row r="117" s="2" customFormat="1" spans="1:32">
      <c r="A117" s="20"/>
      <c r="B117" s="21"/>
      <c r="C117" s="22">
        <v>240819000033</v>
      </c>
      <c r="D117" s="23">
        <v>45532</v>
      </c>
      <c r="E117" s="23" t="s">
        <v>72</v>
      </c>
      <c r="F117" s="21" t="s">
        <v>88</v>
      </c>
      <c r="G117" s="21" t="s">
        <v>124</v>
      </c>
      <c r="H117" s="24">
        <v>0.2086</v>
      </c>
      <c r="I117" s="24">
        <v>344</v>
      </c>
      <c r="J117" s="47"/>
      <c r="K117" s="49">
        <v>383195</v>
      </c>
      <c r="L117" s="45"/>
      <c r="M117" s="46">
        <f t="shared" si="92"/>
        <v>1811.79669030733</v>
      </c>
      <c r="N117" s="50">
        <v>211.5</v>
      </c>
      <c r="O117" s="21">
        <v>7.3</v>
      </c>
      <c r="P117" s="47">
        <f t="shared" si="93"/>
        <v>1543.95</v>
      </c>
      <c r="Q117" s="78"/>
      <c r="R117" s="78"/>
      <c r="S117" s="75">
        <f t="shared" si="88"/>
        <v>162.145086764706</v>
      </c>
      <c r="T117" s="75"/>
      <c r="U117" s="75">
        <f t="shared" si="89"/>
        <v>4.60147058823529</v>
      </c>
      <c r="V117" s="75"/>
      <c r="W117" s="75"/>
      <c r="X117" s="77">
        <f t="shared" si="84"/>
        <v>166.746557352941</v>
      </c>
      <c r="Y117" s="91">
        <f t="shared" si="90"/>
        <v>32.9387375882353</v>
      </c>
      <c r="Z117" s="92">
        <v>46.5</v>
      </c>
      <c r="AA117" s="91">
        <f t="shared" si="91"/>
        <v>0.760132264705882</v>
      </c>
      <c r="AB117" s="91">
        <f t="shared" si="85"/>
        <v>80.1988698529412</v>
      </c>
      <c r="AC117" s="44">
        <v>7.12</v>
      </c>
      <c r="AD117" s="75">
        <f t="shared" si="86"/>
        <v>571.015953352941</v>
      </c>
      <c r="AE117" s="75">
        <f t="shared" si="83"/>
        <v>737.762510705882</v>
      </c>
      <c r="AF117" s="77">
        <f t="shared" si="87"/>
        <v>806.187489294118</v>
      </c>
    </row>
    <row r="118" s="2" customFormat="1" spans="1:32">
      <c r="A118" s="20"/>
      <c r="B118" s="21"/>
      <c r="C118" s="22">
        <v>240820000001</v>
      </c>
      <c r="D118" s="23">
        <v>45532</v>
      </c>
      <c r="E118" s="23" t="s">
        <v>69</v>
      </c>
      <c r="F118" s="21" t="s">
        <v>70</v>
      </c>
      <c r="G118" s="21" t="s">
        <v>75</v>
      </c>
      <c r="H118" s="24">
        <v>7.0865</v>
      </c>
      <c r="I118" s="24">
        <v>599</v>
      </c>
      <c r="J118" s="43">
        <v>17258.7</v>
      </c>
      <c r="K118" s="44"/>
      <c r="L118" s="45"/>
      <c r="M118" s="46"/>
      <c r="N118" s="45"/>
      <c r="O118" s="21"/>
      <c r="P118" s="47">
        <f t="shared" si="94"/>
        <v>17258.7</v>
      </c>
      <c r="Q118" s="78"/>
      <c r="R118" s="78"/>
      <c r="S118" s="75">
        <f t="shared" si="88"/>
        <v>5508.34687132353</v>
      </c>
      <c r="T118" s="75"/>
      <c r="U118" s="75">
        <f t="shared" si="89"/>
        <v>156.319852941176</v>
      </c>
      <c r="V118" s="76">
        <v>300</v>
      </c>
      <c r="W118" s="75"/>
      <c r="X118" s="77">
        <f t="shared" si="84"/>
        <v>5964.66672426471</v>
      </c>
      <c r="Y118" s="91">
        <f t="shared" si="90"/>
        <v>1118.98544544118</v>
      </c>
      <c r="Z118" s="91"/>
      <c r="AA118" s="91">
        <f t="shared" si="91"/>
        <v>25.8229975735294</v>
      </c>
      <c r="AB118" s="91">
        <f t="shared" si="85"/>
        <v>1144.80844301471</v>
      </c>
      <c r="AC118" s="44">
        <v>7.12</v>
      </c>
      <c r="AD118" s="75">
        <f t="shared" si="86"/>
        <v>8151.03611426471</v>
      </c>
      <c r="AE118" s="75">
        <f t="shared" si="83"/>
        <v>14115.7028385294</v>
      </c>
      <c r="AF118" s="77">
        <f t="shared" si="87"/>
        <v>3142.99716147059</v>
      </c>
    </row>
    <row r="119" s="2" customFormat="1" spans="1:32">
      <c r="A119" s="20"/>
      <c r="B119" s="21"/>
      <c r="C119" s="22">
        <v>240823000021</v>
      </c>
      <c r="D119" s="23">
        <v>45532</v>
      </c>
      <c r="E119" s="23" t="s">
        <v>72</v>
      </c>
      <c r="F119" s="21" t="s">
        <v>88</v>
      </c>
      <c r="G119" s="21" t="s">
        <v>112</v>
      </c>
      <c r="H119" s="24">
        <v>7.4589</v>
      </c>
      <c r="I119" s="24">
        <v>3300</v>
      </c>
      <c r="J119" s="47"/>
      <c r="K119" s="49">
        <v>3229875</v>
      </c>
      <c r="L119" s="45"/>
      <c r="M119" s="46">
        <f t="shared" si="92"/>
        <v>1650</v>
      </c>
      <c r="N119" s="50">
        <v>1957.5</v>
      </c>
      <c r="O119" s="21">
        <v>7.12</v>
      </c>
      <c r="P119" s="47">
        <f t="shared" si="93"/>
        <v>13937.4</v>
      </c>
      <c r="Q119" s="78"/>
      <c r="R119" s="78"/>
      <c r="S119" s="75">
        <f t="shared" si="88"/>
        <v>5797.81393897059</v>
      </c>
      <c r="T119" s="75"/>
      <c r="U119" s="75">
        <f t="shared" si="89"/>
        <v>164.534558823529</v>
      </c>
      <c r="V119" s="75"/>
      <c r="W119" s="75"/>
      <c r="X119" s="77">
        <f t="shared" si="84"/>
        <v>5962.34849779412</v>
      </c>
      <c r="Y119" s="91">
        <f t="shared" si="90"/>
        <v>1177.78882932353</v>
      </c>
      <c r="Z119" s="91"/>
      <c r="AA119" s="91">
        <f t="shared" si="91"/>
        <v>27.1800122205882</v>
      </c>
      <c r="AB119" s="91">
        <f t="shared" si="85"/>
        <v>1204.96884154412</v>
      </c>
      <c r="AC119" s="44">
        <v>7.12</v>
      </c>
      <c r="AD119" s="75">
        <f t="shared" si="86"/>
        <v>8579.37815179412</v>
      </c>
      <c r="AE119" s="75">
        <f t="shared" si="83"/>
        <v>14541.7266495882</v>
      </c>
      <c r="AF119" s="75">
        <f t="shared" si="87"/>
        <v>-604.326649588233</v>
      </c>
    </row>
    <row r="120" s="2" customFormat="1" spans="1:32">
      <c r="A120" s="20"/>
      <c r="B120" s="21"/>
      <c r="C120" s="22">
        <v>240826000011</v>
      </c>
      <c r="D120" s="23">
        <v>45532</v>
      </c>
      <c r="E120" s="23" t="s">
        <v>136</v>
      </c>
      <c r="F120" s="21" t="s">
        <v>137</v>
      </c>
      <c r="G120" s="21" t="s">
        <v>65</v>
      </c>
      <c r="H120" s="24">
        <v>6.3305</v>
      </c>
      <c r="I120" s="24">
        <v>880</v>
      </c>
      <c r="J120" s="43">
        <v>10555.28</v>
      </c>
      <c r="K120" s="44"/>
      <c r="L120" s="45"/>
      <c r="M120" s="46"/>
      <c r="N120" s="51"/>
      <c r="O120" s="21"/>
      <c r="P120" s="47">
        <f t="shared" si="94"/>
        <v>10555.28</v>
      </c>
      <c r="Q120" s="78"/>
      <c r="R120" s="78"/>
      <c r="S120" s="75">
        <f t="shared" si="88"/>
        <v>4920.70695955882</v>
      </c>
      <c r="T120" s="75"/>
      <c r="U120" s="75">
        <f t="shared" si="89"/>
        <v>139.643382352941</v>
      </c>
      <c r="V120" s="75"/>
      <c r="W120" s="75"/>
      <c r="X120" s="77">
        <f t="shared" si="84"/>
        <v>5060.35034191176</v>
      </c>
      <c r="Y120" s="91">
        <f t="shared" si="90"/>
        <v>999.610154852941</v>
      </c>
      <c r="Z120" s="91"/>
      <c r="AA120" s="91">
        <f t="shared" si="91"/>
        <v>23.0681558088235</v>
      </c>
      <c r="AB120" s="91">
        <f t="shared" si="85"/>
        <v>1022.67831066176</v>
      </c>
      <c r="AC120" s="44">
        <v>7.12</v>
      </c>
      <c r="AD120" s="75">
        <f t="shared" si="86"/>
        <v>7281.46957191176</v>
      </c>
      <c r="AE120" s="75">
        <f t="shared" si="83"/>
        <v>12341.8199138235</v>
      </c>
      <c r="AF120" s="75">
        <f t="shared" si="87"/>
        <v>-1786.53991382353</v>
      </c>
    </row>
    <row r="121" s="2" customFormat="1" spans="1:32">
      <c r="A121" s="20"/>
      <c r="B121" s="21"/>
      <c r="C121" s="22">
        <v>240826000013</v>
      </c>
      <c r="D121" s="23">
        <v>45532</v>
      </c>
      <c r="E121" s="23" t="s">
        <v>136</v>
      </c>
      <c r="F121" s="21" t="s">
        <v>137</v>
      </c>
      <c r="G121" s="21" t="s">
        <v>65</v>
      </c>
      <c r="H121" s="24">
        <v>0.699</v>
      </c>
      <c r="I121" s="24">
        <v>105</v>
      </c>
      <c r="J121" s="43">
        <v>1165.58</v>
      </c>
      <c r="K121" s="44"/>
      <c r="L121" s="45"/>
      <c r="M121" s="46"/>
      <c r="N121" s="51"/>
      <c r="O121" s="21"/>
      <c r="P121" s="47">
        <f t="shared" si="94"/>
        <v>1165.58</v>
      </c>
      <c r="Q121" s="78"/>
      <c r="R121" s="78"/>
      <c r="S121" s="75">
        <f t="shared" si="88"/>
        <v>543.333727941176</v>
      </c>
      <c r="T121" s="75"/>
      <c r="U121" s="75">
        <f t="shared" si="89"/>
        <v>15.4191176470588</v>
      </c>
      <c r="V121" s="75"/>
      <c r="W121" s="75"/>
      <c r="X121" s="77">
        <f t="shared" si="84"/>
        <v>558.752845588235</v>
      </c>
      <c r="Y121" s="91">
        <f t="shared" si="90"/>
        <v>110.374772647059</v>
      </c>
      <c r="Z121" s="91"/>
      <c r="AA121" s="91">
        <f t="shared" si="91"/>
        <v>2.54713544117647</v>
      </c>
      <c r="AB121" s="91">
        <f t="shared" si="85"/>
        <v>112.921908088235</v>
      </c>
      <c r="AC121" s="44">
        <v>7.12</v>
      </c>
      <c r="AD121" s="75">
        <f t="shared" si="86"/>
        <v>804.003985588235</v>
      </c>
      <c r="AE121" s="75">
        <f t="shared" si="83"/>
        <v>1362.75683117647</v>
      </c>
      <c r="AF121" s="75">
        <f t="shared" si="87"/>
        <v>-197.17683117647</v>
      </c>
    </row>
    <row r="122" s="2" customFormat="1" spans="1:32">
      <c r="A122" s="20"/>
      <c r="B122" s="21"/>
      <c r="C122" s="22">
        <v>240826000015</v>
      </c>
      <c r="D122" s="23">
        <v>45532</v>
      </c>
      <c r="E122" s="23" t="s">
        <v>136</v>
      </c>
      <c r="F122" s="21" t="s">
        <v>137</v>
      </c>
      <c r="G122" s="21" t="s">
        <v>65</v>
      </c>
      <c r="H122" s="24">
        <v>0.2907</v>
      </c>
      <c r="I122" s="24">
        <v>36</v>
      </c>
      <c r="J122" s="43">
        <v>483.58</v>
      </c>
      <c r="K122" s="44"/>
      <c r="L122" s="45"/>
      <c r="M122" s="46"/>
      <c r="N122" s="51"/>
      <c r="O122" s="21"/>
      <c r="P122" s="47">
        <f t="shared" si="94"/>
        <v>483.58</v>
      </c>
      <c r="Q122" s="78"/>
      <c r="R122" s="78"/>
      <c r="S122" s="75">
        <f t="shared" si="88"/>
        <v>225.9615375</v>
      </c>
      <c r="T122" s="75"/>
      <c r="U122" s="75">
        <f t="shared" si="89"/>
        <v>6.4125</v>
      </c>
      <c r="V122" s="75"/>
      <c r="W122" s="75"/>
      <c r="X122" s="77">
        <f t="shared" si="84"/>
        <v>232.3740375</v>
      </c>
      <c r="Y122" s="91">
        <f t="shared" si="90"/>
        <v>45.9026415</v>
      </c>
      <c r="Z122" s="91"/>
      <c r="AA122" s="91">
        <f t="shared" si="91"/>
        <v>1.05930225</v>
      </c>
      <c r="AB122" s="91">
        <f t="shared" si="85"/>
        <v>46.96194375</v>
      </c>
      <c r="AC122" s="44">
        <v>7.12</v>
      </c>
      <c r="AD122" s="75">
        <f t="shared" si="86"/>
        <v>334.3690395</v>
      </c>
      <c r="AE122" s="75">
        <f t="shared" si="83"/>
        <v>566.743077</v>
      </c>
      <c r="AF122" s="75">
        <f t="shared" si="87"/>
        <v>-83.163077</v>
      </c>
    </row>
    <row r="123" s="2" customFormat="1" spans="1:32">
      <c r="A123" s="20"/>
      <c r="B123" s="21"/>
      <c r="C123" s="22">
        <v>240826000016</v>
      </c>
      <c r="D123" s="23">
        <v>45532</v>
      </c>
      <c r="E123" s="23" t="s">
        <v>136</v>
      </c>
      <c r="F123" s="21" t="s">
        <v>137</v>
      </c>
      <c r="G123" s="21" t="s">
        <v>65</v>
      </c>
      <c r="H123" s="24">
        <v>0.5572</v>
      </c>
      <c r="I123" s="24">
        <v>42</v>
      </c>
      <c r="J123" s="43">
        <v>928.8</v>
      </c>
      <c r="K123" s="44"/>
      <c r="L123" s="45"/>
      <c r="M123" s="46"/>
      <c r="N123" s="51"/>
      <c r="O123" s="21"/>
      <c r="P123" s="47">
        <f t="shared" si="94"/>
        <v>928.8</v>
      </c>
      <c r="Q123" s="78"/>
      <c r="R123" s="78"/>
      <c r="S123" s="75">
        <f t="shared" si="88"/>
        <v>433.112379411765</v>
      </c>
      <c r="T123" s="75"/>
      <c r="U123" s="75">
        <f t="shared" si="89"/>
        <v>12.2911764705882</v>
      </c>
      <c r="V123" s="75"/>
      <c r="W123" s="75"/>
      <c r="X123" s="77">
        <f t="shared" si="84"/>
        <v>445.403555882353</v>
      </c>
      <c r="Y123" s="91">
        <f t="shared" si="90"/>
        <v>87.9840104705882</v>
      </c>
      <c r="Z123" s="91"/>
      <c r="AA123" s="91">
        <f t="shared" si="91"/>
        <v>2.03042041176471</v>
      </c>
      <c r="AB123" s="91">
        <f t="shared" si="85"/>
        <v>90.0144308823529</v>
      </c>
      <c r="AC123" s="44">
        <v>7.12</v>
      </c>
      <c r="AD123" s="75">
        <f t="shared" si="86"/>
        <v>640.902747882353</v>
      </c>
      <c r="AE123" s="75">
        <f t="shared" si="83"/>
        <v>1086.30630376471</v>
      </c>
      <c r="AF123" s="75">
        <f t="shared" si="87"/>
        <v>-157.506303764706</v>
      </c>
    </row>
    <row r="124" s="2" customFormat="1" spans="1:32">
      <c r="A124" s="20"/>
      <c r="B124" s="21"/>
      <c r="C124" s="22">
        <v>240826000017</v>
      </c>
      <c r="D124" s="23">
        <v>45532</v>
      </c>
      <c r="E124" s="23" t="s">
        <v>136</v>
      </c>
      <c r="F124" s="21" t="s">
        <v>137</v>
      </c>
      <c r="G124" s="21" t="s">
        <v>65</v>
      </c>
      <c r="H124" s="24">
        <v>0.1598</v>
      </c>
      <c r="I124" s="24">
        <v>78</v>
      </c>
      <c r="J124" s="43">
        <v>266.44</v>
      </c>
      <c r="K124" s="44"/>
      <c r="L124" s="45"/>
      <c r="M124" s="46"/>
      <c r="N124" s="51"/>
      <c r="O124" s="21"/>
      <c r="P124" s="47">
        <f t="shared" si="94"/>
        <v>266.44</v>
      </c>
      <c r="Q124" s="78"/>
      <c r="R124" s="78"/>
      <c r="S124" s="75">
        <f t="shared" si="88"/>
        <v>124.212775</v>
      </c>
      <c r="T124" s="75"/>
      <c r="U124" s="75">
        <f t="shared" si="89"/>
        <v>3.525</v>
      </c>
      <c r="V124" s="75"/>
      <c r="W124" s="75"/>
      <c r="X124" s="77">
        <f t="shared" si="84"/>
        <v>127.737775</v>
      </c>
      <c r="Y124" s="91">
        <f t="shared" si="90"/>
        <v>25.233031</v>
      </c>
      <c r="Z124" s="91"/>
      <c r="AA124" s="91">
        <f t="shared" si="91"/>
        <v>0.5823065</v>
      </c>
      <c r="AB124" s="91">
        <f t="shared" si="85"/>
        <v>25.8153375</v>
      </c>
      <c r="AC124" s="44">
        <v>7.12</v>
      </c>
      <c r="AD124" s="75">
        <f t="shared" si="86"/>
        <v>183.805203</v>
      </c>
      <c r="AE124" s="75">
        <f t="shared" si="83"/>
        <v>311.542978</v>
      </c>
      <c r="AF124" s="75">
        <f t="shared" si="87"/>
        <v>-45.102978</v>
      </c>
    </row>
    <row r="125" s="2" customFormat="1" spans="1:32">
      <c r="A125" s="20"/>
      <c r="B125" s="21"/>
      <c r="C125" s="22">
        <v>240826000018</v>
      </c>
      <c r="D125" s="23">
        <v>45532</v>
      </c>
      <c r="E125" s="23" t="s">
        <v>136</v>
      </c>
      <c r="F125" s="21" t="s">
        <v>137</v>
      </c>
      <c r="G125" s="21" t="s">
        <v>65</v>
      </c>
      <c r="H125" s="24">
        <v>0.141</v>
      </c>
      <c r="I125" s="24">
        <v>37</v>
      </c>
      <c r="J125" s="43">
        <v>235.26</v>
      </c>
      <c r="K125" s="44"/>
      <c r="L125" s="45"/>
      <c r="M125" s="46"/>
      <c r="N125" s="51"/>
      <c r="O125" s="21"/>
      <c r="P125" s="47">
        <f t="shared" si="94"/>
        <v>235.26</v>
      </c>
      <c r="Q125" s="78"/>
      <c r="R125" s="78"/>
      <c r="S125" s="75">
        <f t="shared" si="88"/>
        <v>109.599507352941</v>
      </c>
      <c r="T125" s="75"/>
      <c r="U125" s="75">
        <f t="shared" si="89"/>
        <v>3.11029411764706</v>
      </c>
      <c r="V125" s="75"/>
      <c r="W125" s="75"/>
      <c r="X125" s="77">
        <f t="shared" si="84"/>
        <v>112.709801470588</v>
      </c>
      <c r="Y125" s="91">
        <f t="shared" si="90"/>
        <v>22.2644391176471</v>
      </c>
      <c r="Z125" s="91"/>
      <c r="AA125" s="91">
        <f t="shared" si="91"/>
        <v>0.513799852941176</v>
      </c>
      <c r="AB125" s="91">
        <f t="shared" si="85"/>
        <v>22.7782389705882</v>
      </c>
      <c r="AC125" s="44">
        <v>7.12</v>
      </c>
      <c r="AD125" s="75">
        <f t="shared" si="86"/>
        <v>162.181061470588</v>
      </c>
      <c r="AE125" s="75">
        <f t="shared" si="83"/>
        <v>274.890862941176</v>
      </c>
      <c r="AF125" s="75">
        <f t="shared" si="87"/>
        <v>-39.6308629411764</v>
      </c>
    </row>
    <row r="126" s="2" customFormat="1" spans="1:32">
      <c r="A126" s="20"/>
      <c r="B126" s="21"/>
      <c r="C126" s="22">
        <v>240826000019</v>
      </c>
      <c r="D126" s="23">
        <v>45532</v>
      </c>
      <c r="E126" s="23" t="s">
        <v>136</v>
      </c>
      <c r="F126" s="21" t="s">
        <v>137</v>
      </c>
      <c r="G126" s="21" t="s">
        <v>65</v>
      </c>
      <c r="H126" s="24">
        <v>1.4354</v>
      </c>
      <c r="I126" s="24">
        <v>186</v>
      </c>
      <c r="J126" s="43">
        <v>2392.86</v>
      </c>
      <c r="K126" s="44"/>
      <c r="L126" s="45"/>
      <c r="M126" s="46"/>
      <c r="N126" s="51"/>
      <c r="O126" s="21"/>
      <c r="P126" s="47">
        <f t="shared" si="94"/>
        <v>2392.86</v>
      </c>
      <c r="Q126" s="78"/>
      <c r="R126" s="78"/>
      <c r="S126" s="75">
        <f t="shared" si="88"/>
        <v>1115.73853088235</v>
      </c>
      <c r="T126" s="75"/>
      <c r="U126" s="75">
        <f t="shared" si="89"/>
        <v>31.6632352941176</v>
      </c>
      <c r="V126" s="75"/>
      <c r="W126" s="75"/>
      <c r="X126" s="77">
        <f t="shared" si="84"/>
        <v>1147.40176617647</v>
      </c>
      <c r="Y126" s="91">
        <f t="shared" si="90"/>
        <v>226.655148294118</v>
      </c>
      <c r="Z126" s="91"/>
      <c r="AA126" s="91">
        <f t="shared" si="91"/>
        <v>5.23055538235294</v>
      </c>
      <c r="AB126" s="91">
        <f t="shared" si="85"/>
        <v>231.885703676471</v>
      </c>
      <c r="AC126" s="44">
        <v>7.12</v>
      </c>
      <c r="AD126" s="75">
        <f t="shared" si="86"/>
        <v>1651.02621017647</v>
      </c>
      <c r="AE126" s="75">
        <f t="shared" si="83"/>
        <v>2798.42797635294</v>
      </c>
      <c r="AF126" s="75">
        <f t="shared" si="87"/>
        <v>-405.567976352941</v>
      </c>
    </row>
    <row r="127" s="2" customFormat="1" spans="1:32">
      <c r="A127" s="20"/>
      <c r="B127" s="21"/>
      <c r="C127" s="22">
        <v>240826000039</v>
      </c>
      <c r="D127" s="23">
        <v>45532</v>
      </c>
      <c r="E127" s="23" t="s">
        <v>69</v>
      </c>
      <c r="F127" s="21" t="s">
        <v>70</v>
      </c>
      <c r="G127" s="21" t="s">
        <v>133</v>
      </c>
      <c r="H127" s="24">
        <v>1.823</v>
      </c>
      <c r="I127" s="24">
        <v>321</v>
      </c>
      <c r="J127" s="47"/>
      <c r="K127" s="49">
        <v>964731.6</v>
      </c>
      <c r="L127" s="45"/>
      <c r="M127" s="46">
        <f>SUM(K127/N127)</f>
        <v>1764.00503172033</v>
      </c>
      <c r="N127" s="50">
        <v>546.89844</v>
      </c>
      <c r="O127" s="21">
        <v>7.23</v>
      </c>
      <c r="P127" s="47">
        <f>SUM(N127*O127)</f>
        <v>3954.0757212</v>
      </c>
      <c r="Q127" s="78"/>
      <c r="R127" s="78"/>
      <c r="S127" s="75">
        <f t="shared" si="88"/>
        <v>1417.02058088235</v>
      </c>
      <c r="T127" s="75"/>
      <c r="U127" s="75">
        <f t="shared" si="89"/>
        <v>40.2132352941176</v>
      </c>
      <c r="V127" s="75"/>
      <c r="W127" s="75"/>
      <c r="X127" s="77">
        <f t="shared" si="84"/>
        <v>1457.23381617647</v>
      </c>
      <c r="Y127" s="91">
        <f t="shared" si="90"/>
        <v>287.858670294118</v>
      </c>
      <c r="Z127" s="91"/>
      <c r="AA127" s="91">
        <f t="shared" si="91"/>
        <v>6.64295838235294</v>
      </c>
      <c r="AB127" s="91">
        <f t="shared" si="85"/>
        <v>294.501628676471</v>
      </c>
      <c r="AC127" s="44">
        <v>7.12</v>
      </c>
      <c r="AD127" s="75">
        <f t="shared" si="86"/>
        <v>2096.85159617647</v>
      </c>
      <c r="AE127" s="75">
        <f t="shared" si="83"/>
        <v>3554.08541235294</v>
      </c>
      <c r="AF127" s="77">
        <f t="shared" si="87"/>
        <v>399.990308847059</v>
      </c>
    </row>
    <row r="128" s="2" customFormat="1" spans="1:32">
      <c r="A128" s="20"/>
      <c r="B128" s="21"/>
      <c r="C128" s="22">
        <v>240826000045</v>
      </c>
      <c r="D128" s="23">
        <v>45532</v>
      </c>
      <c r="E128" s="23" t="s">
        <v>66</v>
      </c>
      <c r="F128" s="21" t="s">
        <v>67</v>
      </c>
      <c r="G128" s="21" t="s">
        <v>128</v>
      </c>
      <c r="H128" s="24">
        <v>0.4085</v>
      </c>
      <c r="I128" s="24">
        <v>179</v>
      </c>
      <c r="J128" s="43">
        <v>904</v>
      </c>
      <c r="K128" s="44"/>
      <c r="L128" s="45"/>
      <c r="M128" s="46"/>
      <c r="N128" s="45"/>
      <c r="O128" s="21"/>
      <c r="P128" s="47">
        <f t="shared" ref="P128:P135" si="95">SUBTOTAL(9,J128)</f>
        <v>904</v>
      </c>
      <c r="Q128" s="78"/>
      <c r="R128" s="78"/>
      <c r="S128" s="75">
        <f t="shared" si="88"/>
        <v>317.527650735294</v>
      </c>
      <c r="T128" s="75"/>
      <c r="U128" s="75">
        <f t="shared" si="89"/>
        <v>9.0110294117647</v>
      </c>
      <c r="V128" s="75"/>
      <c r="W128" s="75"/>
      <c r="X128" s="77">
        <f t="shared" si="84"/>
        <v>326.538680147059</v>
      </c>
      <c r="Y128" s="91">
        <f t="shared" si="90"/>
        <v>64.5037119117647</v>
      </c>
      <c r="Z128" s="91"/>
      <c r="AA128" s="91">
        <f t="shared" si="91"/>
        <v>1.48856198529412</v>
      </c>
      <c r="AB128" s="91">
        <f t="shared" si="85"/>
        <v>65.9922738970588</v>
      </c>
      <c r="AC128" s="44">
        <v>7.12</v>
      </c>
      <c r="AD128" s="75">
        <f t="shared" si="86"/>
        <v>469.864990147059</v>
      </c>
      <c r="AE128" s="75">
        <f t="shared" si="83"/>
        <v>796.403670294118</v>
      </c>
      <c r="AF128" s="77">
        <f t="shared" si="87"/>
        <v>107.596329705882</v>
      </c>
    </row>
    <row r="129" s="2" customFormat="1" spans="1:32">
      <c r="A129" s="20"/>
      <c r="B129" s="21"/>
      <c r="C129" s="22">
        <v>240827000034</v>
      </c>
      <c r="D129" s="23">
        <v>45532</v>
      </c>
      <c r="E129" s="23" t="s">
        <v>80</v>
      </c>
      <c r="F129" s="21" t="s">
        <v>138</v>
      </c>
      <c r="G129" s="21" t="s">
        <v>139</v>
      </c>
      <c r="H129" s="25">
        <v>9.2</v>
      </c>
      <c r="I129" s="25">
        <v>7350</v>
      </c>
      <c r="J129" s="43">
        <v>24057.26</v>
      </c>
      <c r="K129" s="44"/>
      <c r="L129" s="45"/>
      <c r="M129" s="46"/>
      <c r="N129" s="51"/>
      <c r="O129" s="21"/>
      <c r="P129" s="47">
        <f t="shared" si="95"/>
        <v>24057.26</v>
      </c>
      <c r="Q129" s="78"/>
      <c r="R129" s="78"/>
      <c r="S129" s="75">
        <f t="shared" si="88"/>
        <v>7151.17352941176</v>
      </c>
      <c r="T129" s="75"/>
      <c r="U129" s="75">
        <f t="shared" si="89"/>
        <v>202.941176470588</v>
      </c>
      <c r="V129" s="75"/>
      <c r="W129" s="75"/>
      <c r="X129" s="77">
        <f t="shared" si="84"/>
        <v>7354.11470588235</v>
      </c>
      <c r="Y129" s="91">
        <f t="shared" si="90"/>
        <v>1452.71517647059</v>
      </c>
      <c r="Z129" s="91"/>
      <c r="AA129" s="91">
        <f t="shared" si="91"/>
        <v>33.5245294117647</v>
      </c>
      <c r="AB129" s="91">
        <f t="shared" si="85"/>
        <v>1486.23970588235</v>
      </c>
      <c r="AC129" s="44">
        <v>7.12</v>
      </c>
      <c r="AD129" s="75">
        <f t="shared" si="86"/>
        <v>10582.0267058824</v>
      </c>
      <c r="AE129" s="75">
        <f t="shared" si="83"/>
        <v>17936.1414117647</v>
      </c>
      <c r="AF129" s="77">
        <f t="shared" si="87"/>
        <v>6121.1185882353</v>
      </c>
    </row>
    <row r="130" s="2" customFormat="1" spans="1:32">
      <c r="A130" s="20"/>
      <c r="B130" s="21"/>
      <c r="C130" s="22">
        <v>240807000019</v>
      </c>
      <c r="D130" s="23">
        <v>45506</v>
      </c>
      <c r="E130" s="23" t="s">
        <v>64</v>
      </c>
      <c r="F130" s="21" t="s">
        <v>64</v>
      </c>
      <c r="G130" s="21" t="s">
        <v>78</v>
      </c>
      <c r="H130" s="24">
        <v>7.5437</v>
      </c>
      <c r="I130" s="24">
        <v>1504</v>
      </c>
      <c r="J130" s="43">
        <v>17283</v>
      </c>
      <c r="K130" s="44"/>
      <c r="L130" s="45"/>
      <c r="M130" s="46"/>
      <c r="N130" s="45"/>
      <c r="O130" s="21"/>
      <c r="P130" s="47">
        <f t="shared" si="95"/>
        <v>17283</v>
      </c>
      <c r="Q130" s="78"/>
      <c r="R130" s="78"/>
      <c r="S130" s="75">
        <f t="shared" si="88"/>
        <v>5863.72910367647</v>
      </c>
      <c r="T130" s="75"/>
      <c r="U130" s="75">
        <f t="shared" si="89"/>
        <v>166.405147058824</v>
      </c>
      <c r="V130" s="75"/>
      <c r="W130" s="75"/>
      <c r="X130" s="77">
        <f t="shared" si="84"/>
        <v>6030.13425073529</v>
      </c>
      <c r="Y130" s="91">
        <f t="shared" si="90"/>
        <v>1191.17907355882</v>
      </c>
      <c r="Z130" s="91"/>
      <c r="AA130" s="91">
        <f t="shared" si="91"/>
        <v>27.4890209264706</v>
      </c>
      <c r="AB130" s="91">
        <f t="shared" si="85"/>
        <v>1218.66809448529</v>
      </c>
      <c r="AC130" s="44">
        <v>7.12</v>
      </c>
      <c r="AD130" s="75">
        <f t="shared" si="86"/>
        <v>8676.91683273529</v>
      </c>
      <c r="AE130" s="75">
        <f t="shared" si="83"/>
        <v>14707.0510834706</v>
      </c>
      <c r="AF130" s="77">
        <f t="shared" si="87"/>
        <v>2575.94891652941</v>
      </c>
    </row>
    <row r="131" s="2" customFormat="1" spans="1:32">
      <c r="A131" s="20"/>
      <c r="B131" s="21"/>
      <c r="C131" s="22">
        <v>240728000003</v>
      </c>
      <c r="D131" s="23">
        <v>45506</v>
      </c>
      <c r="E131" s="23" t="s">
        <v>64</v>
      </c>
      <c r="F131" s="21" t="s">
        <v>64</v>
      </c>
      <c r="G131" s="21" t="s">
        <v>78</v>
      </c>
      <c r="H131" s="24">
        <v>0.193</v>
      </c>
      <c r="I131" s="24">
        <v>47</v>
      </c>
      <c r="J131" s="43">
        <v>520</v>
      </c>
      <c r="K131" s="44"/>
      <c r="L131" s="45"/>
      <c r="M131" s="46"/>
      <c r="N131" s="45"/>
      <c r="O131" s="21"/>
      <c r="P131" s="47">
        <f t="shared" si="95"/>
        <v>520</v>
      </c>
      <c r="Q131" s="78"/>
      <c r="R131" s="78"/>
      <c r="S131" s="75">
        <f t="shared" si="88"/>
        <v>150.019183823529</v>
      </c>
      <c r="T131" s="75"/>
      <c r="U131" s="75">
        <f t="shared" si="89"/>
        <v>4.25735294117647</v>
      </c>
      <c r="V131" s="75"/>
      <c r="W131" s="75"/>
      <c r="X131" s="77">
        <f t="shared" si="84"/>
        <v>154.276536764706</v>
      </c>
      <c r="Y131" s="91">
        <f t="shared" si="90"/>
        <v>30.4754379411765</v>
      </c>
      <c r="Z131" s="91"/>
      <c r="AA131" s="91">
        <f t="shared" si="91"/>
        <v>0.703286323529412</v>
      </c>
      <c r="AB131" s="91">
        <f t="shared" si="85"/>
        <v>31.1787242647059</v>
      </c>
      <c r="AC131" s="44">
        <v>7.12</v>
      </c>
      <c r="AD131" s="75">
        <f t="shared" si="86"/>
        <v>221.992516764706</v>
      </c>
      <c r="AE131" s="75">
        <f t="shared" si="83"/>
        <v>376.269053529412</v>
      </c>
      <c r="AF131" s="77">
        <f t="shared" si="87"/>
        <v>143.730946470588</v>
      </c>
    </row>
    <row r="132" s="2" customFormat="1" spans="1:32">
      <c r="A132" s="20"/>
      <c r="B132" s="21"/>
      <c r="C132" s="22">
        <v>240828000002</v>
      </c>
      <c r="D132" s="23">
        <v>45532</v>
      </c>
      <c r="E132" s="23" t="s">
        <v>64</v>
      </c>
      <c r="F132" s="21" t="s">
        <v>64</v>
      </c>
      <c r="G132" s="21" t="s">
        <v>84</v>
      </c>
      <c r="H132" s="24">
        <v>17.63</v>
      </c>
      <c r="I132" s="24">
        <v>2193</v>
      </c>
      <c r="J132" s="43">
        <v>25894.59</v>
      </c>
      <c r="K132" s="44"/>
      <c r="L132" s="45"/>
      <c r="M132" s="46"/>
      <c r="N132" s="50"/>
      <c r="O132" s="21"/>
      <c r="P132" s="47">
        <f t="shared" si="95"/>
        <v>25894.59</v>
      </c>
      <c r="Q132" s="78"/>
      <c r="R132" s="78"/>
      <c r="S132" s="75">
        <f t="shared" si="88"/>
        <v>13703.8249264706</v>
      </c>
      <c r="T132" s="75"/>
      <c r="U132" s="75">
        <f t="shared" si="89"/>
        <v>388.897058823529</v>
      </c>
      <c r="V132" s="75"/>
      <c r="W132" s="75"/>
      <c r="X132" s="77">
        <f t="shared" si="84"/>
        <v>14092.7219852941</v>
      </c>
      <c r="Y132" s="91">
        <f t="shared" si="90"/>
        <v>2783.84440882353</v>
      </c>
      <c r="Z132" s="92"/>
      <c r="AA132" s="91">
        <f t="shared" si="91"/>
        <v>64.2432014705882</v>
      </c>
      <c r="AB132" s="91">
        <f t="shared" si="85"/>
        <v>2848.08761029412</v>
      </c>
      <c r="AC132" s="44">
        <v>7.12</v>
      </c>
      <c r="AD132" s="75">
        <f t="shared" si="86"/>
        <v>20278.3837852941</v>
      </c>
      <c r="AE132" s="75">
        <f t="shared" si="83"/>
        <v>34371.1057705882</v>
      </c>
      <c r="AF132" s="75">
        <f t="shared" si="87"/>
        <v>-8476.51577058823</v>
      </c>
    </row>
    <row r="133" s="2" customFormat="1" spans="1:32">
      <c r="A133" s="20"/>
      <c r="B133" s="21"/>
      <c r="C133" s="22">
        <v>240828000003</v>
      </c>
      <c r="D133" s="23">
        <v>45532</v>
      </c>
      <c r="E133" s="23" t="s">
        <v>136</v>
      </c>
      <c r="F133" s="21" t="s">
        <v>137</v>
      </c>
      <c r="G133" s="21" t="s">
        <v>65</v>
      </c>
      <c r="H133" s="24">
        <v>0.807</v>
      </c>
      <c r="I133" s="24">
        <v>46</v>
      </c>
      <c r="J133" s="43">
        <v>1345.67</v>
      </c>
      <c r="K133" s="44"/>
      <c r="L133" s="45"/>
      <c r="M133" s="46"/>
      <c r="N133" s="51"/>
      <c r="O133" s="21"/>
      <c r="P133" s="47">
        <f t="shared" si="95"/>
        <v>1345.67</v>
      </c>
      <c r="Q133" s="78"/>
      <c r="R133" s="78"/>
      <c r="S133" s="75">
        <f t="shared" si="88"/>
        <v>627.282286764706</v>
      </c>
      <c r="T133" s="75"/>
      <c r="U133" s="75">
        <f t="shared" si="89"/>
        <v>17.8014705882353</v>
      </c>
      <c r="V133" s="75"/>
      <c r="W133" s="75"/>
      <c r="X133" s="77">
        <f t="shared" si="84"/>
        <v>645.083757352941</v>
      </c>
      <c r="Y133" s="91">
        <f t="shared" si="90"/>
        <v>127.428385588235</v>
      </c>
      <c r="Z133" s="91"/>
      <c r="AA133" s="91">
        <f t="shared" si="91"/>
        <v>2.94068426470588</v>
      </c>
      <c r="AB133" s="91">
        <f t="shared" si="85"/>
        <v>130.369069852941</v>
      </c>
      <c r="AC133" s="44">
        <v>7.12</v>
      </c>
      <c r="AD133" s="75">
        <f t="shared" si="86"/>
        <v>928.227777352941</v>
      </c>
      <c r="AE133" s="75">
        <f t="shared" si="83"/>
        <v>1573.31153470588</v>
      </c>
      <c r="AF133" s="75">
        <f t="shared" si="87"/>
        <v>-227.641534705882</v>
      </c>
    </row>
    <row r="134" s="2" customFormat="1" spans="1:32">
      <c r="A134" s="20"/>
      <c r="B134" s="21"/>
      <c r="C134" s="22">
        <v>240828000005</v>
      </c>
      <c r="D134" s="23">
        <v>45532</v>
      </c>
      <c r="E134" s="23" t="s">
        <v>136</v>
      </c>
      <c r="F134" s="21" t="s">
        <v>137</v>
      </c>
      <c r="G134" s="21" t="s">
        <v>65</v>
      </c>
      <c r="H134" s="24">
        <v>0.6964</v>
      </c>
      <c r="I134" s="24">
        <v>42</v>
      </c>
      <c r="J134" s="43">
        <v>1161.45</v>
      </c>
      <c r="K134" s="44"/>
      <c r="L134" s="45"/>
      <c r="M134" s="46"/>
      <c r="N134" s="51"/>
      <c r="O134" s="21"/>
      <c r="P134" s="47">
        <f t="shared" si="95"/>
        <v>1161.45</v>
      </c>
      <c r="Q134" s="78"/>
      <c r="R134" s="78"/>
      <c r="S134" s="75">
        <f t="shared" si="88"/>
        <v>541.312744117647</v>
      </c>
      <c r="T134" s="75"/>
      <c r="U134" s="75">
        <f t="shared" si="89"/>
        <v>15.3617647058824</v>
      </c>
      <c r="V134" s="75"/>
      <c r="W134" s="75"/>
      <c r="X134" s="77">
        <f t="shared" si="84"/>
        <v>556.674508823529</v>
      </c>
      <c r="Y134" s="91">
        <f t="shared" si="90"/>
        <v>109.964222705882</v>
      </c>
      <c r="Z134" s="91"/>
      <c r="AA134" s="91">
        <f t="shared" si="91"/>
        <v>2.53766111764706</v>
      </c>
      <c r="AB134" s="91">
        <f t="shared" si="85"/>
        <v>112.501883823529</v>
      </c>
      <c r="AC134" s="44">
        <v>7.12</v>
      </c>
      <c r="AD134" s="75">
        <f t="shared" si="86"/>
        <v>801.013412823529</v>
      </c>
      <c r="AE134" s="75">
        <f t="shared" si="83"/>
        <v>1357.68792164706</v>
      </c>
      <c r="AF134" s="75">
        <f t="shared" si="87"/>
        <v>-196.237921647059</v>
      </c>
    </row>
    <row r="135" s="2" customFormat="1" spans="1:32">
      <c r="A135" s="20"/>
      <c r="B135" s="21"/>
      <c r="C135" s="22">
        <v>240828000008</v>
      </c>
      <c r="D135" s="23">
        <v>45532</v>
      </c>
      <c r="E135" s="23" t="s">
        <v>136</v>
      </c>
      <c r="F135" s="21" t="s">
        <v>137</v>
      </c>
      <c r="G135" s="21" t="s">
        <v>65</v>
      </c>
      <c r="H135" s="24">
        <v>0.0844</v>
      </c>
      <c r="I135" s="24">
        <v>25</v>
      </c>
      <c r="J135" s="43">
        <v>140.94</v>
      </c>
      <c r="K135" s="44"/>
      <c r="L135" s="45"/>
      <c r="M135" s="46"/>
      <c r="N135" s="51"/>
      <c r="O135" s="21"/>
      <c r="P135" s="47">
        <f t="shared" si="95"/>
        <v>140.94</v>
      </c>
      <c r="Q135" s="78"/>
      <c r="R135" s="78"/>
      <c r="S135" s="75">
        <f t="shared" si="88"/>
        <v>65.6042441176471</v>
      </c>
      <c r="T135" s="75"/>
      <c r="U135" s="75">
        <f t="shared" si="89"/>
        <v>1.86176470588235</v>
      </c>
      <c r="V135" s="75"/>
      <c r="W135" s="75"/>
      <c r="X135" s="77">
        <f t="shared" si="84"/>
        <v>67.4660088235294</v>
      </c>
      <c r="Y135" s="91">
        <f t="shared" si="90"/>
        <v>13.3270827058824</v>
      </c>
      <c r="Z135" s="91"/>
      <c r="AA135" s="91">
        <f t="shared" si="91"/>
        <v>0.307551117647059</v>
      </c>
      <c r="AB135" s="91">
        <f t="shared" si="85"/>
        <v>13.6346338235294</v>
      </c>
      <c r="AC135" s="44">
        <v>7.12</v>
      </c>
      <c r="AD135" s="75">
        <f t="shared" si="86"/>
        <v>97.0785928235294</v>
      </c>
      <c r="AE135" s="75">
        <f t="shared" si="83"/>
        <v>164.544601647059</v>
      </c>
      <c r="AF135" s="75">
        <f t="shared" si="87"/>
        <v>-23.6046016470588</v>
      </c>
    </row>
    <row r="136" s="2" customFormat="1" spans="1:32">
      <c r="A136" s="20"/>
      <c r="B136" s="21"/>
      <c r="C136" s="22">
        <v>240828000017</v>
      </c>
      <c r="D136" s="23">
        <v>45532</v>
      </c>
      <c r="E136" s="23" t="s">
        <v>72</v>
      </c>
      <c r="F136" s="21" t="s">
        <v>88</v>
      </c>
      <c r="G136" s="21" t="s">
        <v>140</v>
      </c>
      <c r="H136" s="24">
        <v>0.1138</v>
      </c>
      <c r="I136" s="24">
        <v>45</v>
      </c>
      <c r="J136" s="43">
        <v>421</v>
      </c>
      <c r="K136" s="44"/>
      <c r="L136" s="45"/>
      <c r="M136" s="46"/>
      <c r="N136" s="50"/>
      <c r="O136" s="21"/>
      <c r="P136" s="47">
        <f>SUM(J136)</f>
        <v>421</v>
      </c>
      <c r="Q136" s="78"/>
      <c r="R136" s="78"/>
      <c r="S136" s="75">
        <f t="shared" si="88"/>
        <v>88.4569073529412</v>
      </c>
      <c r="T136" s="75"/>
      <c r="U136" s="75">
        <f t="shared" si="89"/>
        <v>2.51029411764706</v>
      </c>
      <c r="V136" s="75"/>
      <c r="W136" s="75"/>
      <c r="X136" s="77">
        <f t="shared" si="84"/>
        <v>90.9672014705882</v>
      </c>
      <c r="Y136" s="91">
        <f t="shared" si="90"/>
        <v>17.9694551176471</v>
      </c>
      <c r="Z136" s="92">
        <v>20.65</v>
      </c>
      <c r="AA136" s="91">
        <f t="shared" si="91"/>
        <v>0.414683852941176</v>
      </c>
      <c r="AB136" s="91">
        <f t="shared" si="85"/>
        <v>39.0341389705882</v>
      </c>
      <c r="AC136" s="44">
        <v>7.12</v>
      </c>
      <c r="AD136" s="75">
        <f t="shared" si="86"/>
        <v>277.923069470588</v>
      </c>
      <c r="AE136" s="75">
        <f t="shared" si="83"/>
        <v>368.890270941176</v>
      </c>
      <c r="AF136" s="77">
        <f t="shared" si="87"/>
        <v>52.1097290588236</v>
      </c>
    </row>
    <row r="137" s="2" customFormat="1" spans="1:32">
      <c r="A137" s="20"/>
      <c r="B137" s="21"/>
      <c r="C137" s="22">
        <v>240828000062</v>
      </c>
      <c r="D137" s="23">
        <v>45532</v>
      </c>
      <c r="E137" s="23" t="s">
        <v>136</v>
      </c>
      <c r="F137" s="21" t="s">
        <v>137</v>
      </c>
      <c r="G137" s="21" t="s">
        <v>65</v>
      </c>
      <c r="H137" s="24">
        <v>1.8606</v>
      </c>
      <c r="I137" s="24">
        <v>279</v>
      </c>
      <c r="J137" s="43">
        <v>6598.3</v>
      </c>
      <c r="K137" s="44"/>
      <c r="L137" s="45"/>
      <c r="M137" s="46"/>
      <c r="N137" s="51"/>
      <c r="O137" s="21"/>
      <c r="P137" s="47">
        <f>SUBTOTAL(9,J137)</f>
        <v>6598.3</v>
      </c>
      <c r="Q137" s="79"/>
      <c r="R137" s="79"/>
      <c r="S137" s="75">
        <f t="shared" si="88"/>
        <v>1446.24711617647</v>
      </c>
      <c r="T137" s="75"/>
      <c r="U137" s="75">
        <f t="shared" si="89"/>
        <v>41.0426470588235</v>
      </c>
      <c r="V137" s="75"/>
      <c r="W137" s="75"/>
      <c r="X137" s="77">
        <f t="shared" si="84"/>
        <v>1487.28976323529</v>
      </c>
      <c r="Y137" s="91">
        <f t="shared" si="90"/>
        <v>293.795854058823</v>
      </c>
      <c r="Z137" s="91"/>
      <c r="AA137" s="91">
        <f t="shared" si="91"/>
        <v>6.77997167647059</v>
      </c>
      <c r="AB137" s="91">
        <f t="shared" si="85"/>
        <v>300.575825735294</v>
      </c>
      <c r="AC137" s="44">
        <v>7.12</v>
      </c>
      <c r="AD137" s="75">
        <f t="shared" si="86"/>
        <v>2140.09987923529</v>
      </c>
      <c r="AE137" s="75">
        <f t="shared" si="83"/>
        <v>3627.38964247059</v>
      </c>
      <c r="AF137" s="77">
        <f t="shared" si="87"/>
        <v>2970.91035752941</v>
      </c>
    </row>
    <row r="138" ht="15.75" spans="1:32">
      <c r="A138" s="26" t="s">
        <v>26</v>
      </c>
      <c r="B138" s="27"/>
      <c r="C138" s="27"/>
      <c r="D138" s="27"/>
      <c r="E138" s="27"/>
      <c r="F138" s="27"/>
      <c r="G138" s="27"/>
      <c r="H138" s="27"/>
      <c r="I138" s="52"/>
      <c r="J138" s="27">
        <f>SUM(J3:J3)</f>
        <v>0</v>
      </c>
      <c r="K138" s="53"/>
      <c r="L138" s="54"/>
      <c r="M138" s="53"/>
      <c r="N138" s="53">
        <f t="shared" ref="N138:Q138" si="96">SUM(N3:N3)</f>
        <v>0</v>
      </c>
      <c r="O138" s="27"/>
      <c r="P138" s="27">
        <f t="shared" si="96"/>
        <v>0</v>
      </c>
      <c r="Q138" s="117">
        <f>SUM(Q4:Q137)</f>
        <v>1654420.6054172</v>
      </c>
      <c r="R138" s="27"/>
      <c r="S138" s="27"/>
      <c r="T138" s="27"/>
      <c r="U138" s="27"/>
      <c r="V138" s="27"/>
      <c r="W138" s="27"/>
      <c r="X138" s="80">
        <f>SUM(X3:X3)</f>
        <v>0</v>
      </c>
      <c r="Y138" s="54"/>
      <c r="Z138" s="54"/>
      <c r="AA138" s="54"/>
      <c r="AB138" s="54"/>
      <c r="AC138" s="53"/>
      <c r="AD138" s="27">
        <f>SUM(AD3:AD3)</f>
        <v>0</v>
      </c>
      <c r="AE138" s="118">
        <f>SUM(AE4:AE137)</f>
        <v>1426208.15412624</v>
      </c>
      <c r="AF138" s="119">
        <f>SUM(AF3:AF137)</f>
        <v>228212.451290957</v>
      </c>
    </row>
    <row r="139" customFormat="1" spans="4:32">
      <c r="D139" s="3"/>
      <c r="E139" s="3"/>
      <c r="K139" s="4"/>
      <c r="L139" s="5"/>
      <c r="M139" s="4"/>
      <c r="X139" s="7"/>
      <c r="Y139" s="5"/>
      <c r="Z139" s="5"/>
      <c r="AA139" s="5"/>
      <c r="AB139" s="5"/>
      <c r="AC139" s="4"/>
      <c r="AF139" s="113"/>
    </row>
    <row r="140" customFormat="1" spans="4:32">
      <c r="D140" s="3"/>
      <c r="E140" s="3"/>
      <c r="K140" s="4"/>
      <c r="L140" s="5"/>
      <c r="M140" s="4"/>
      <c r="X140" s="7"/>
      <c r="Y140" s="5"/>
      <c r="Z140" s="5"/>
      <c r="AA140" s="5"/>
      <c r="AB140" s="5"/>
      <c r="AC140" s="4"/>
      <c r="AF140" s="113"/>
    </row>
    <row r="141" customFormat="1" spans="4:32">
      <c r="D141" s="3"/>
      <c r="E141" s="3"/>
      <c r="K141" s="4"/>
      <c r="L141" s="5"/>
      <c r="M141" s="4"/>
      <c r="X141" s="7"/>
      <c r="Y141" s="5"/>
      <c r="Z141" s="5"/>
      <c r="AA141" s="5"/>
      <c r="AB141" s="5"/>
      <c r="AC141" s="4"/>
      <c r="AF141" s="113"/>
    </row>
    <row r="142" customFormat="1" spans="4:32">
      <c r="D142" s="3"/>
      <c r="E142" s="3"/>
      <c r="K142" s="4"/>
      <c r="L142" s="5"/>
      <c r="M142" s="4"/>
      <c r="X142" s="7"/>
      <c r="Y142" s="5"/>
      <c r="Z142" s="5"/>
      <c r="AA142" s="5"/>
      <c r="AB142" s="5"/>
      <c r="AC142" s="4"/>
      <c r="AF142" s="113"/>
    </row>
    <row r="143" customFormat="1" spans="4:32">
      <c r="D143" s="3"/>
      <c r="E143" s="3"/>
      <c r="K143" s="4"/>
      <c r="L143" s="5"/>
      <c r="M143" s="4"/>
      <c r="X143" s="7"/>
      <c r="Y143" s="5"/>
      <c r="Z143" s="5"/>
      <c r="AA143" s="5"/>
      <c r="AB143" s="5"/>
      <c r="AC143" s="4"/>
      <c r="AF143" s="113"/>
    </row>
    <row r="144" customFormat="1" spans="4:32">
      <c r="D144" s="3"/>
      <c r="E144" s="3"/>
      <c r="K144" s="4"/>
      <c r="L144" s="5"/>
      <c r="M144" s="4"/>
      <c r="X144" s="7"/>
      <c r="Y144" s="5"/>
      <c r="Z144" s="5"/>
      <c r="AA144" s="5"/>
      <c r="AB144" s="5"/>
      <c r="AC144" s="4"/>
      <c r="AF144" s="113"/>
    </row>
    <row r="145" customFormat="1" spans="4:32">
      <c r="D145" s="3"/>
      <c r="E145" s="3"/>
      <c r="K145" s="4"/>
      <c r="L145" s="5"/>
      <c r="M145" s="4"/>
      <c r="X145" s="7"/>
      <c r="Y145" s="5"/>
      <c r="Z145" s="5"/>
      <c r="AA145" s="5"/>
      <c r="AB145" s="5"/>
      <c r="AC145" s="4"/>
      <c r="AF145" s="113"/>
    </row>
    <row r="146" customFormat="1" spans="4:32">
      <c r="D146" s="3"/>
      <c r="E146" s="3"/>
      <c r="K146" s="4"/>
      <c r="L146" s="5"/>
      <c r="M146" s="4"/>
      <c r="X146" s="7"/>
      <c r="Y146" s="5"/>
      <c r="Z146" s="5"/>
      <c r="AA146" s="5"/>
      <c r="AB146" s="5"/>
      <c r="AC146" s="4"/>
      <c r="AF146" s="113"/>
    </row>
    <row r="147" customFormat="1" spans="4:32">
      <c r="D147" s="3"/>
      <c r="E147" s="3"/>
      <c r="K147" s="4"/>
      <c r="L147" s="5"/>
      <c r="M147" s="4"/>
      <c r="X147" s="7"/>
      <c r="Y147" s="5"/>
      <c r="Z147" s="5"/>
      <c r="AA147" s="5"/>
      <c r="AB147" s="5"/>
      <c r="AC147" s="4"/>
      <c r="AF147" s="113"/>
    </row>
    <row r="148" customFormat="1" spans="4:32">
      <c r="D148" s="3"/>
      <c r="E148" s="3"/>
      <c r="K148" s="4"/>
      <c r="L148" s="5"/>
      <c r="M148" s="4"/>
      <c r="X148" s="7"/>
      <c r="Y148" s="5"/>
      <c r="Z148" s="5"/>
      <c r="AA148" s="5"/>
      <c r="AB148" s="5"/>
      <c r="AC148" s="4"/>
      <c r="AF148" s="113"/>
    </row>
    <row r="149" customFormat="1" spans="4:32">
      <c r="D149" s="3"/>
      <c r="E149" s="3"/>
      <c r="K149" s="4"/>
      <c r="L149" s="5"/>
      <c r="M149" s="4"/>
      <c r="X149" s="7"/>
      <c r="Y149" s="5"/>
      <c r="Z149" s="5"/>
      <c r="AA149" s="5"/>
      <c r="AB149" s="5"/>
      <c r="AC149" s="4"/>
      <c r="AF149" s="113"/>
    </row>
    <row r="150" customFormat="1" spans="4:32">
      <c r="D150" s="3"/>
      <c r="E150" s="3"/>
      <c r="K150" s="4"/>
      <c r="L150" s="5"/>
      <c r="M150" s="4"/>
      <c r="X150" s="7"/>
      <c r="Y150" s="5"/>
      <c r="Z150" s="5"/>
      <c r="AA150" s="5"/>
      <c r="AB150" s="5"/>
      <c r="AC150" s="4"/>
      <c r="AF150" s="113"/>
    </row>
    <row r="151" customFormat="1" spans="4:32">
      <c r="D151" s="3"/>
      <c r="E151" s="3"/>
      <c r="K151" s="4"/>
      <c r="L151" s="5"/>
      <c r="M151" s="4"/>
      <c r="X151" s="7"/>
      <c r="Y151" s="5"/>
      <c r="Z151" s="5"/>
      <c r="AA151" s="5"/>
      <c r="AB151" s="5"/>
      <c r="AC151" s="4"/>
      <c r="AF151" s="113"/>
    </row>
    <row r="152" customFormat="1" spans="4:32">
      <c r="D152" s="3"/>
      <c r="E152" s="3"/>
      <c r="K152" s="4"/>
      <c r="L152" s="5"/>
      <c r="M152" s="4"/>
      <c r="X152" s="7"/>
      <c r="Y152" s="5"/>
      <c r="Z152" s="5"/>
      <c r="AA152" s="5"/>
      <c r="AB152" s="5"/>
      <c r="AC152" s="4"/>
      <c r="AF152" s="113"/>
    </row>
    <row r="153" customFormat="1" spans="4:32">
      <c r="D153" s="3"/>
      <c r="E153" s="3"/>
      <c r="K153" s="4"/>
      <c r="L153" s="5"/>
      <c r="M153" s="4"/>
      <c r="X153" s="7"/>
      <c r="Y153" s="5"/>
      <c r="Z153" s="5"/>
      <c r="AA153" s="5"/>
      <c r="AB153" s="5"/>
      <c r="AC153" s="4"/>
      <c r="AF153" s="113"/>
    </row>
    <row r="154" customFormat="1" spans="4:32">
      <c r="D154" s="3"/>
      <c r="E154" s="3"/>
      <c r="K154" s="4"/>
      <c r="L154" s="5"/>
      <c r="M154" s="4"/>
      <c r="X154" s="7"/>
      <c r="Y154" s="5"/>
      <c r="Z154" s="5"/>
      <c r="AA154" s="5"/>
      <c r="AB154" s="5"/>
      <c r="AC154" s="4"/>
      <c r="AF154" s="113"/>
    </row>
  </sheetData>
  <autoFilter xmlns:etc="http://www.wps.cn/officeDocument/2017/etCustomData" ref="A2:AF138" etc:filterBottomFollowUsedRange="0">
    <extLst/>
  </autoFilter>
  <mergeCells count="57">
    <mergeCell ref="A1:AF1"/>
    <mergeCell ref="J2:P2"/>
    <mergeCell ref="R2:V2"/>
    <mergeCell ref="Y2:AD2"/>
    <mergeCell ref="A2:A3"/>
    <mergeCell ref="A4:A8"/>
    <mergeCell ref="A9:A20"/>
    <mergeCell ref="A21:A40"/>
    <mergeCell ref="A41:A44"/>
    <mergeCell ref="A45:A54"/>
    <mergeCell ref="A55:A66"/>
    <mergeCell ref="A67:A82"/>
    <mergeCell ref="A83:A92"/>
    <mergeCell ref="A94:A112"/>
    <mergeCell ref="A113:A137"/>
    <mergeCell ref="B2:B3"/>
    <mergeCell ref="B4:B8"/>
    <mergeCell ref="B9:B20"/>
    <mergeCell ref="B21:B40"/>
    <mergeCell ref="B41:B44"/>
    <mergeCell ref="B45:B54"/>
    <mergeCell ref="B55:B66"/>
    <mergeCell ref="B67:B82"/>
    <mergeCell ref="B83:B92"/>
    <mergeCell ref="B94:B112"/>
    <mergeCell ref="B113:B137"/>
    <mergeCell ref="C2:C3"/>
    <mergeCell ref="D2:D3"/>
    <mergeCell ref="E2:E3"/>
    <mergeCell ref="F2:F3"/>
    <mergeCell ref="G2:G3"/>
    <mergeCell ref="H2:H3"/>
    <mergeCell ref="I2:I3"/>
    <mergeCell ref="Q2:Q3"/>
    <mergeCell ref="Q4:Q8"/>
    <mergeCell ref="Q9:Q20"/>
    <mergeCell ref="Q21:Q40"/>
    <mergeCell ref="Q41:Q44"/>
    <mergeCell ref="Q45:Q54"/>
    <mergeCell ref="Q55:Q66"/>
    <mergeCell ref="Q67:Q82"/>
    <mergeCell ref="Q83:Q92"/>
    <mergeCell ref="Q94:Q112"/>
    <mergeCell ref="Q113:Q137"/>
    <mergeCell ref="R4:R8"/>
    <mergeCell ref="R9:R20"/>
    <mergeCell ref="R21:R40"/>
    <mergeCell ref="R41:R44"/>
    <mergeCell ref="R45:R54"/>
    <mergeCell ref="R55:R66"/>
    <mergeCell ref="R67:R82"/>
    <mergeCell ref="R83:R92"/>
    <mergeCell ref="R94:R112"/>
    <mergeCell ref="R113:R137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6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9.8671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4</v>
      </c>
      <c r="B5" s="21" t="s">
        <v>5</v>
      </c>
      <c r="C5" s="22">
        <v>240708000003</v>
      </c>
      <c r="D5" s="23">
        <v>45491</v>
      </c>
      <c r="E5" s="23" t="s">
        <v>60</v>
      </c>
      <c r="F5" s="21" t="s">
        <v>61</v>
      </c>
      <c r="G5" s="21" t="s">
        <v>62</v>
      </c>
      <c r="H5" s="24">
        <v>2.2272</v>
      </c>
      <c r="I5" s="24">
        <v>11222</v>
      </c>
      <c r="J5" s="47"/>
      <c r="K5" s="49">
        <v>8906452</v>
      </c>
      <c r="L5" s="45"/>
      <c r="M5" s="46">
        <f>SUM(K5/N5)</f>
        <v>1620.0015253361</v>
      </c>
      <c r="N5" s="50">
        <v>5497.8047</v>
      </c>
      <c r="O5" s="21">
        <v>7.12</v>
      </c>
      <c r="P5" s="47">
        <f>SUM(N5*O5)</f>
        <v>39144.369464</v>
      </c>
      <c r="Q5" s="73">
        <f>SUM(P5:P9)</f>
        <v>58091.471864</v>
      </c>
      <c r="R5" s="73" t="s">
        <v>63</v>
      </c>
      <c r="S5" s="112">
        <f t="shared" ref="S5:S9" si="0">SUM(19204/9.8671)*H5</f>
        <v>4334.72335336624</v>
      </c>
      <c r="T5" s="75">
        <f t="shared" ref="T5:T9" si="1">SUM(40.68/9.8671)*H5</f>
        <v>9.18228212950107</v>
      </c>
      <c r="U5" s="75"/>
      <c r="V5" s="76">
        <v>350</v>
      </c>
      <c r="W5" s="75"/>
      <c r="X5" s="77">
        <f>SUM(S5:W5)</f>
        <v>4693.90563549574</v>
      </c>
      <c r="Y5" s="91"/>
      <c r="Z5" s="91"/>
      <c r="AA5" s="92">
        <v>100.29</v>
      </c>
      <c r="AB5" s="91">
        <f>SUM(Y5:AA5)</f>
        <v>100.29</v>
      </c>
      <c r="AC5" s="44">
        <v>7.15</v>
      </c>
      <c r="AD5" s="75">
        <f>SUM(AB5*AC5)</f>
        <v>717.0735</v>
      </c>
      <c r="AE5" s="75">
        <f>SUM(X5+AD5)</f>
        <v>5410.97913549574</v>
      </c>
      <c r="AF5" s="75">
        <f>SUM(P5-AE5)</f>
        <v>33733.3903285043</v>
      </c>
    </row>
    <row r="6" s="2" customFormat="1" spans="1:32">
      <c r="A6" s="20"/>
      <c r="B6" s="21"/>
      <c r="C6" s="22">
        <v>240715000049</v>
      </c>
      <c r="D6" s="23">
        <v>45490</v>
      </c>
      <c r="E6" s="23" t="s">
        <v>64</v>
      </c>
      <c r="F6" s="21" t="s">
        <v>64</v>
      </c>
      <c r="G6" s="21" t="s">
        <v>65</v>
      </c>
      <c r="H6" s="24">
        <v>0.4043</v>
      </c>
      <c r="I6" s="24">
        <v>55</v>
      </c>
      <c r="J6" s="43">
        <v>923.29</v>
      </c>
      <c r="K6" s="44"/>
      <c r="L6" s="45"/>
      <c r="M6" s="46"/>
      <c r="N6" s="51"/>
      <c r="O6" s="21"/>
      <c r="P6" s="47">
        <f>SUBTOTAL(9,J6)</f>
        <v>923.29</v>
      </c>
      <c r="Q6" s="78"/>
      <c r="R6" s="78"/>
      <c r="S6" s="112">
        <f t="shared" si="0"/>
        <v>786.875292639175</v>
      </c>
      <c r="T6" s="75">
        <f t="shared" si="1"/>
        <v>1.6668447669528</v>
      </c>
      <c r="U6" s="75"/>
      <c r="V6" s="75"/>
      <c r="W6" s="75"/>
      <c r="X6" s="77">
        <f>SUM(S6:W6)</f>
        <v>788.542137406127</v>
      </c>
      <c r="Y6" s="91"/>
      <c r="Z6" s="91"/>
      <c r="AA6" s="92"/>
      <c r="AB6" s="91">
        <f>SUM(Y6:AA6)</f>
        <v>0</v>
      </c>
      <c r="AC6" s="44">
        <v>7.15</v>
      </c>
      <c r="AD6" s="75">
        <f>SUM(AB6*AC6)</f>
        <v>0</v>
      </c>
      <c r="AE6" s="75">
        <f>SUM(X6+AD6)</f>
        <v>788.542137406127</v>
      </c>
      <c r="AF6" s="75">
        <f>SUM(P6-AE6)</f>
        <v>134.747862593873</v>
      </c>
    </row>
    <row r="7" s="2" customFormat="1" spans="1:32">
      <c r="A7" s="20"/>
      <c r="B7" s="21"/>
      <c r="C7" s="22">
        <v>240709000025</v>
      </c>
      <c r="D7" s="23">
        <v>45491</v>
      </c>
      <c r="E7" s="23" t="s">
        <v>66</v>
      </c>
      <c r="F7" s="21" t="s">
        <v>67</v>
      </c>
      <c r="G7" s="21" t="s">
        <v>68</v>
      </c>
      <c r="H7" s="24">
        <v>0.1112</v>
      </c>
      <c r="I7" s="24">
        <v>57</v>
      </c>
      <c r="J7" s="48">
        <v>556</v>
      </c>
      <c r="K7" s="44"/>
      <c r="L7" s="45"/>
      <c r="M7" s="46"/>
      <c r="N7" s="45"/>
      <c r="O7" s="21"/>
      <c r="P7" s="47">
        <f>SUBTOTAL(9,J7)</f>
        <v>556</v>
      </c>
      <c r="Q7" s="78"/>
      <c r="R7" s="78"/>
      <c r="S7" s="112">
        <f t="shared" si="0"/>
        <v>216.424765128559</v>
      </c>
      <c r="T7" s="75">
        <f t="shared" si="1"/>
        <v>0.458454459770348</v>
      </c>
      <c r="U7" s="75"/>
      <c r="V7" s="75"/>
      <c r="W7" s="75"/>
      <c r="X7" s="77">
        <f>SUM(S7:W7)</f>
        <v>216.883219588329</v>
      </c>
      <c r="Y7" s="91"/>
      <c r="Z7" s="92">
        <v>37.06</v>
      </c>
      <c r="AA7" s="92"/>
      <c r="AB7" s="91">
        <f>SUM(Y7:AA7)</f>
        <v>37.06</v>
      </c>
      <c r="AC7" s="44">
        <v>7.15</v>
      </c>
      <c r="AD7" s="75">
        <f>SUM(AB7*AC7)</f>
        <v>264.979</v>
      </c>
      <c r="AE7" s="75">
        <f>SUM(X7+AD7)</f>
        <v>481.862219588329</v>
      </c>
      <c r="AF7" s="75">
        <f>SUM(P7-AE7)</f>
        <v>74.1377804116711</v>
      </c>
    </row>
    <row r="8" s="2" customFormat="1" spans="1:32">
      <c r="A8" s="20"/>
      <c r="B8" s="21"/>
      <c r="C8" s="22">
        <v>240713000006</v>
      </c>
      <c r="D8" s="23">
        <v>45491</v>
      </c>
      <c r="E8" s="23" t="s">
        <v>69</v>
      </c>
      <c r="F8" s="21" t="s">
        <v>70</v>
      </c>
      <c r="G8" s="21" t="s">
        <v>71</v>
      </c>
      <c r="H8" s="24">
        <v>1.7306</v>
      </c>
      <c r="I8" s="24">
        <v>346</v>
      </c>
      <c r="J8" s="43">
        <v>5462</v>
      </c>
      <c r="K8" s="44"/>
      <c r="L8" s="45"/>
      <c r="M8" s="46"/>
      <c r="N8" s="45"/>
      <c r="O8" s="21"/>
      <c r="P8" s="47">
        <f>SUM(J8)</f>
        <v>5462</v>
      </c>
      <c r="Q8" s="78"/>
      <c r="R8" s="78"/>
      <c r="S8" s="112">
        <f t="shared" si="0"/>
        <v>3368.20772060686</v>
      </c>
      <c r="T8" s="75">
        <f t="shared" si="1"/>
        <v>7.13490366977126</v>
      </c>
      <c r="U8" s="75"/>
      <c r="V8" s="75"/>
      <c r="W8" s="75"/>
      <c r="X8" s="77">
        <f>SUM(S8:W8)</f>
        <v>3375.34262427664</v>
      </c>
      <c r="Y8" s="91"/>
      <c r="Z8" s="92">
        <v>70.8</v>
      </c>
      <c r="AA8" s="92"/>
      <c r="AB8" s="91">
        <f>SUM(Y8:AA8)</f>
        <v>70.8</v>
      </c>
      <c r="AC8" s="44">
        <v>7.15</v>
      </c>
      <c r="AD8" s="75">
        <f>SUM(AB8*AC8)</f>
        <v>506.22</v>
      </c>
      <c r="AE8" s="75">
        <f>SUM(X8+AD8)</f>
        <v>3881.56262427664</v>
      </c>
      <c r="AF8" s="75">
        <f>SUM(P8-AE8)</f>
        <v>1580.43737572336</v>
      </c>
    </row>
    <row r="9" s="2" customFormat="1" spans="1:32">
      <c r="A9" s="20"/>
      <c r="B9" s="21"/>
      <c r="C9" s="22">
        <v>240718000002</v>
      </c>
      <c r="D9" s="23">
        <v>45491</v>
      </c>
      <c r="E9" s="23" t="s">
        <v>60</v>
      </c>
      <c r="F9" s="21" t="s">
        <v>61</v>
      </c>
      <c r="G9" s="21" t="s">
        <v>62</v>
      </c>
      <c r="H9" s="24">
        <v>5.3938</v>
      </c>
      <c r="I9" s="24">
        <v>1414</v>
      </c>
      <c r="J9" s="47"/>
      <c r="K9" s="49">
        <v>2909624</v>
      </c>
      <c r="L9" s="45"/>
      <c r="M9" s="46">
        <f>SUM(K9/N9)</f>
        <v>1711.00003528291</v>
      </c>
      <c r="N9" s="50">
        <v>1700.54</v>
      </c>
      <c r="O9" s="21">
        <v>7.06</v>
      </c>
      <c r="P9" s="47">
        <f>SUM(N9*O9)</f>
        <v>12005.8124</v>
      </c>
      <c r="Q9" s="79"/>
      <c r="R9" s="79"/>
      <c r="S9" s="112">
        <f t="shared" si="0"/>
        <v>10497.7688682592</v>
      </c>
      <c r="T9" s="75">
        <f t="shared" si="1"/>
        <v>22.2375149740045</v>
      </c>
      <c r="U9" s="75"/>
      <c r="V9" s="76">
        <v>70</v>
      </c>
      <c r="W9" s="75"/>
      <c r="X9" s="77">
        <f>SUM(S9:W9)</f>
        <v>10590.0063832332</v>
      </c>
      <c r="Y9" s="91"/>
      <c r="Z9" s="91"/>
      <c r="AA9" s="92"/>
      <c r="AB9" s="91">
        <f>SUM(Y9:AA9)</f>
        <v>0</v>
      </c>
      <c r="AC9" s="44">
        <v>7.15</v>
      </c>
      <c r="AD9" s="75">
        <f>SUM(AB9*AC9)</f>
        <v>0</v>
      </c>
      <c r="AE9" s="75">
        <f>SUM(X9+AD9)</f>
        <v>10590.0063832332</v>
      </c>
      <c r="AF9" s="75">
        <f>SUM(P9-AE9)</f>
        <v>1415.80601676683</v>
      </c>
    </row>
    <row r="10" ht="15.75" spans="1:32">
      <c r="A10" s="26" t="s">
        <v>26</v>
      </c>
      <c r="B10" s="27"/>
      <c r="C10" s="27"/>
      <c r="D10" s="27"/>
      <c r="E10" s="27"/>
      <c r="F10" s="27"/>
      <c r="G10" s="27"/>
      <c r="H10" s="27"/>
      <c r="I10" s="52"/>
      <c r="J10" s="27">
        <f>SUM(J4:J4)</f>
        <v>0</v>
      </c>
      <c r="K10" s="53"/>
      <c r="L10" s="54"/>
      <c r="M10" s="53"/>
      <c r="N10" s="53">
        <f t="shared" ref="N10:Q10" si="2">SUM(N4:N4)</f>
        <v>0</v>
      </c>
      <c r="O10" s="27"/>
      <c r="P10" s="27">
        <f t="shared" si="2"/>
        <v>0</v>
      </c>
      <c r="Q10" s="27">
        <f t="shared" si="2"/>
        <v>0</v>
      </c>
      <c r="R10" s="27"/>
      <c r="S10" s="27"/>
      <c r="T10" s="27"/>
      <c r="U10" s="27"/>
      <c r="V10" s="27"/>
      <c r="W10" s="27"/>
      <c r="X10" s="80">
        <f>SUM(X4:X4)</f>
        <v>0</v>
      </c>
      <c r="Y10" s="54"/>
      <c r="Z10" s="54"/>
      <c r="AA10" s="54"/>
      <c r="AB10" s="54"/>
      <c r="AC10" s="53"/>
      <c r="AD10" s="27">
        <f>SUM(AD4:AD4)</f>
        <v>0</v>
      </c>
      <c r="AE10" s="27"/>
      <c r="AF10" s="93">
        <f>SUM(AF4:AF9)</f>
        <v>36938.519364</v>
      </c>
    </row>
    <row r="11" customFormat="1" spans="4:29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</row>
    <row r="12" customFormat="1" spans="4:29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  <row r="14" customFormat="1" spans="4:29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</row>
    <row r="15" customFormat="1" spans="4:29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</sheetData>
  <autoFilter xmlns:etc="http://www.wps.cn/officeDocument/2017/etCustomData" ref="A3:AF10" etc:filterBottomFollowUsedRange="0">
    <extLst/>
  </autoFilter>
  <mergeCells count="21">
    <mergeCell ref="A1:AF1"/>
    <mergeCell ref="J3:P3"/>
    <mergeCell ref="R3:V3"/>
    <mergeCell ref="Y3:AD3"/>
    <mergeCell ref="A3:A4"/>
    <mergeCell ref="A5:A9"/>
    <mergeCell ref="B3:B4"/>
    <mergeCell ref="B5:B9"/>
    <mergeCell ref="C3:C4"/>
    <mergeCell ref="D3:D4"/>
    <mergeCell ref="E3:E4"/>
    <mergeCell ref="F3:F4"/>
    <mergeCell ref="G3:G4"/>
    <mergeCell ref="H3:H4"/>
    <mergeCell ref="I3:I4"/>
    <mergeCell ref="Q3:Q4"/>
    <mergeCell ref="Q5:Q9"/>
    <mergeCell ref="R5:R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zoomScale="110" zoomScaleNormal="110" workbookViewId="0">
      <pane xSplit="9" ySplit="3" topLeftCell="Z3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67.0927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6</v>
      </c>
      <c r="B5" s="21" t="s">
        <v>7</v>
      </c>
      <c r="C5" s="22">
        <v>240719000024</v>
      </c>
      <c r="D5" s="23">
        <v>45505</v>
      </c>
      <c r="E5" s="23" t="s">
        <v>72</v>
      </c>
      <c r="F5" s="21" t="s">
        <v>73</v>
      </c>
      <c r="G5" s="21" t="s">
        <v>73</v>
      </c>
      <c r="H5" s="24">
        <v>0.0423</v>
      </c>
      <c r="I5" s="24">
        <v>12.5</v>
      </c>
      <c r="J5" s="43">
        <v>356</v>
      </c>
      <c r="K5" s="44"/>
      <c r="L5" s="45"/>
      <c r="M5" s="46"/>
      <c r="N5" s="45"/>
      <c r="O5" s="21"/>
      <c r="P5" s="47">
        <f t="shared" ref="P5:P10" si="0">SUBTOTAL(9,J5)</f>
        <v>356</v>
      </c>
      <c r="Q5" s="73">
        <f>SUM(P5:P16)</f>
        <v>156015.339688</v>
      </c>
      <c r="R5" s="74" t="s">
        <v>74</v>
      </c>
      <c r="S5" s="75">
        <f t="shared" ref="S5:S16" si="1">SUM(57847/67.0927)*H5</f>
        <v>36.4708545042903</v>
      </c>
      <c r="T5" s="75"/>
      <c r="U5" s="75">
        <f t="shared" ref="U5:U16" si="2">SUM(1400/67.0927)*H5</f>
        <v>0.882659365325885</v>
      </c>
      <c r="V5" s="75"/>
      <c r="W5" s="75"/>
      <c r="X5" s="77">
        <f t="shared" ref="X5:X63" si="3">SUM(S5:W5)</f>
        <v>37.3535138696162</v>
      </c>
      <c r="Y5" s="91">
        <f t="shared" ref="Y5:Y16" si="4">SUM(10235.99/67.0927)*H5</f>
        <v>6.45349459777293</v>
      </c>
      <c r="Z5" s="92">
        <v>9.09</v>
      </c>
      <c r="AA5" s="91"/>
      <c r="AB5" s="91">
        <f t="shared" ref="AB5:AB63" si="5">SUM(Y5:AA5)</f>
        <v>15.5434945977729</v>
      </c>
      <c r="AC5" s="44">
        <v>7.08</v>
      </c>
      <c r="AD5" s="75">
        <f t="shared" ref="AD5:AD63" si="6">SUM(AB5*AC5)</f>
        <v>110.047941752232</v>
      </c>
      <c r="AE5" s="75">
        <f t="shared" ref="AE5:AE63" si="7">SUM(X5+AD5)</f>
        <v>147.401455621849</v>
      </c>
      <c r="AF5" s="75">
        <f t="shared" ref="AF5:AF63" si="8">SUM(P5-AE5)</f>
        <v>208.598544378151</v>
      </c>
    </row>
    <row r="6" s="2" customFormat="1" spans="1:32">
      <c r="A6" s="20"/>
      <c r="B6" s="21"/>
      <c r="C6" s="22">
        <v>240717000037</v>
      </c>
      <c r="D6" s="23">
        <v>45498</v>
      </c>
      <c r="E6" s="23" t="s">
        <v>69</v>
      </c>
      <c r="F6" s="21" t="s">
        <v>70</v>
      </c>
      <c r="G6" s="21" t="s">
        <v>75</v>
      </c>
      <c r="H6" s="24">
        <v>6.1861</v>
      </c>
      <c r="I6" s="24">
        <v>1004.71</v>
      </c>
      <c r="J6" s="43">
        <v>14822</v>
      </c>
      <c r="K6" s="44"/>
      <c r="L6" s="45"/>
      <c r="M6" s="46"/>
      <c r="N6" s="45"/>
      <c r="O6" s="21"/>
      <c r="P6" s="47">
        <f t="shared" si="0"/>
        <v>14822</v>
      </c>
      <c r="Q6" s="78"/>
      <c r="R6" s="78"/>
      <c r="S6" s="75">
        <f t="shared" si="1"/>
        <v>5333.62536758843</v>
      </c>
      <c r="T6" s="75"/>
      <c r="U6" s="75">
        <f t="shared" si="2"/>
        <v>129.083193849703</v>
      </c>
      <c r="V6" s="75"/>
      <c r="W6" s="75"/>
      <c r="X6" s="77">
        <f t="shared" si="3"/>
        <v>5462.70856143813</v>
      </c>
      <c r="Y6" s="91">
        <f t="shared" si="4"/>
        <v>943.781629581162</v>
      </c>
      <c r="Z6" s="91"/>
      <c r="AA6" s="91"/>
      <c r="AB6" s="91">
        <f t="shared" si="5"/>
        <v>943.781629581162</v>
      </c>
      <c r="AC6" s="44">
        <v>7.08</v>
      </c>
      <c r="AD6" s="75">
        <f t="shared" si="6"/>
        <v>6681.97393743462</v>
      </c>
      <c r="AE6" s="75">
        <f t="shared" si="7"/>
        <v>12144.6824988728</v>
      </c>
      <c r="AF6" s="75">
        <f t="shared" si="8"/>
        <v>2677.31750112725</v>
      </c>
    </row>
    <row r="7" s="2" customFormat="1" spans="1:32">
      <c r="A7" s="20"/>
      <c r="B7" s="21"/>
      <c r="C7" s="22">
        <v>240724000023</v>
      </c>
      <c r="D7" s="23">
        <v>45505</v>
      </c>
      <c r="E7" s="23" t="s">
        <v>64</v>
      </c>
      <c r="F7" s="21" t="s">
        <v>64</v>
      </c>
      <c r="G7" s="21" t="s">
        <v>65</v>
      </c>
      <c r="H7" s="24">
        <v>0.158</v>
      </c>
      <c r="I7" s="24">
        <v>156</v>
      </c>
      <c r="J7" s="43">
        <v>337.92</v>
      </c>
      <c r="K7" s="44"/>
      <c r="L7" s="45"/>
      <c r="M7" s="46"/>
      <c r="N7" s="51"/>
      <c r="O7" s="21"/>
      <c r="P7" s="47">
        <f t="shared" si="0"/>
        <v>337.92</v>
      </c>
      <c r="Q7" s="78"/>
      <c r="R7" s="78"/>
      <c r="S7" s="75">
        <f t="shared" si="1"/>
        <v>136.226832427373</v>
      </c>
      <c r="T7" s="75"/>
      <c r="U7" s="75">
        <f t="shared" si="2"/>
        <v>3.29693096268297</v>
      </c>
      <c r="V7" s="75"/>
      <c r="W7" s="75"/>
      <c r="X7" s="77">
        <f t="shared" si="3"/>
        <v>139.523763390056</v>
      </c>
      <c r="Y7" s="91">
        <f t="shared" si="4"/>
        <v>24.1052516890809</v>
      </c>
      <c r="Z7" s="91"/>
      <c r="AA7" s="91"/>
      <c r="AB7" s="91">
        <f t="shared" si="5"/>
        <v>24.1052516890809</v>
      </c>
      <c r="AC7" s="44">
        <v>7.08</v>
      </c>
      <c r="AD7" s="75">
        <f t="shared" si="6"/>
        <v>170.665181958693</v>
      </c>
      <c r="AE7" s="75">
        <f t="shared" si="7"/>
        <v>310.188945348749</v>
      </c>
      <c r="AF7" s="75">
        <f t="shared" si="8"/>
        <v>27.7310546512512</v>
      </c>
    </row>
    <row r="8" s="2" customFormat="1" spans="1:32">
      <c r="A8" s="20"/>
      <c r="B8" s="21"/>
      <c r="C8" s="22">
        <v>240718000039</v>
      </c>
      <c r="D8" s="23">
        <v>45511</v>
      </c>
      <c r="E8" s="23" t="s">
        <v>66</v>
      </c>
      <c r="F8" s="21" t="s">
        <v>67</v>
      </c>
      <c r="G8" s="21" t="s">
        <v>76</v>
      </c>
      <c r="H8" s="24">
        <v>0.5054</v>
      </c>
      <c r="I8" s="24">
        <v>412</v>
      </c>
      <c r="J8" s="43">
        <v>2582</v>
      </c>
      <c r="K8" s="44"/>
      <c r="L8" s="45"/>
      <c r="M8" s="46"/>
      <c r="N8" s="45"/>
      <c r="O8" s="21"/>
      <c r="P8" s="75">
        <f t="shared" si="0"/>
        <v>2582</v>
      </c>
      <c r="Q8" s="73"/>
      <c r="R8" s="73"/>
      <c r="S8" s="75">
        <f t="shared" si="1"/>
        <v>435.753424739204</v>
      </c>
      <c r="T8" s="75"/>
      <c r="U8" s="75">
        <f t="shared" si="2"/>
        <v>10.546005750253</v>
      </c>
      <c r="V8" s="75"/>
      <c r="W8" s="75"/>
      <c r="X8" s="77">
        <f t="shared" si="3"/>
        <v>446.299430489457</v>
      </c>
      <c r="Y8" s="91">
        <f t="shared" si="4"/>
        <v>77.1062924282374</v>
      </c>
      <c r="Z8" s="91"/>
      <c r="AA8" s="91"/>
      <c r="AB8" s="91">
        <f t="shared" si="5"/>
        <v>77.1062924282374</v>
      </c>
      <c r="AC8" s="44">
        <v>7.08</v>
      </c>
      <c r="AD8" s="75">
        <f t="shared" si="6"/>
        <v>545.91255039192</v>
      </c>
      <c r="AE8" s="75">
        <f t="shared" si="7"/>
        <v>992.211980881378</v>
      </c>
      <c r="AF8" s="75">
        <f t="shared" si="8"/>
        <v>1589.78801911862</v>
      </c>
    </row>
    <row r="9" s="2" customFormat="1" spans="1:32">
      <c r="A9" s="20"/>
      <c r="B9" s="21"/>
      <c r="C9" s="22">
        <v>240726000053</v>
      </c>
      <c r="D9" s="23">
        <v>45505</v>
      </c>
      <c r="E9" s="23" t="s">
        <v>69</v>
      </c>
      <c r="F9" s="21" t="s">
        <v>70</v>
      </c>
      <c r="G9" s="21" t="s">
        <v>77</v>
      </c>
      <c r="H9" s="24">
        <v>0.2452</v>
      </c>
      <c r="I9" s="24">
        <v>41</v>
      </c>
      <c r="J9" s="43">
        <v>611.38</v>
      </c>
      <c r="K9" s="44"/>
      <c r="L9" s="45"/>
      <c r="M9" s="46"/>
      <c r="N9" s="45"/>
      <c r="O9" s="21"/>
      <c r="P9" s="47">
        <f t="shared" si="0"/>
        <v>611.38</v>
      </c>
      <c r="Q9" s="78"/>
      <c r="R9" s="78"/>
      <c r="S9" s="75">
        <f t="shared" si="1"/>
        <v>211.410248805012</v>
      </c>
      <c r="T9" s="75"/>
      <c r="U9" s="75">
        <f t="shared" si="2"/>
        <v>5.11650298765738</v>
      </c>
      <c r="V9" s="75"/>
      <c r="W9" s="75"/>
      <c r="X9" s="77">
        <f t="shared" si="3"/>
        <v>216.526751792669</v>
      </c>
      <c r="Y9" s="91">
        <f t="shared" si="4"/>
        <v>37.4089095833079</v>
      </c>
      <c r="Z9" s="91"/>
      <c r="AA9" s="91"/>
      <c r="AB9" s="91">
        <f t="shared" si="5"/>
        <v>37.4089095833079</v>
      </c>
      <c r="AC9" s="44">
        <v>7.08</v>
      </c>
      <c r="AD9" s="75">
        <f t="shared" si="6"/>
        <v>264.85507984982</v>
      </c>
      <c r="AE9" s="75">
        <f t="shared" si="7"/>
        <v>481.381831642489</v>
      </c>
      <c r="AF9" s="75">
        <f t="shared" si="8"/>
        <v>129.998168357511</v>
      </c>
    </row>
    <row r="10" s="2" customFormat="1" spans="1:32">
      <c r="A10" s="20"/>
      <c r="B10" s="21"/>
      <c r="C10" s="22">
        <v>240727000003</v>
      </c>
      <c r="D10" s="23">
        <v>45505</v>
      </c>
      <c r="E10" s="23" t="s">
        <v>64</v>
      </c>
      <c r="F10" s="21" t="s">
        <v>64</v>
      </c>
      <c r="G10" s="21" t="s">
        <v>78</v>
      </c>
      <c r="H10" s="24">
        <v>4.7589</v>
      </c>
      <c r="I10" s="24">
        <v>760</v>
      </c>
      <c r="J10" s="43">
        <v>17244.43</v>
      </c>
      <c r="K10" s="44"/>
      <c r="L10" s="45"/>
      <c r="M10" s="46"/>
      <c r="N10" s="45"/>
      <c r="O10" s="21"/>
      <c r="P10" s="47">
        <f t="shared" si="0"/>
        <v>17244.43</v>
      </c>
      <c r="Q10" s="78"/>
      <c r="R10" s="78"/>
      <c r="S10" s="75">
        <f t="shared" si="1"/>
        <v>4103.10046100395</v>
      </c>
      <c r="T10" s="75"/>
      <c r="U10" s="75">
        <f t="shared" si="2"/>
        <v>99.3023085969114</v>
      </c>
      <c r="V10" s="75"/>
      <c r="W10" s="75"/>
      <c r="X10" s="77">
        <f t="shared" si="3"/>
        <v>4202.40276960087</v>
      </c>
      <c r="Y10" s="91">
        <f t="shared" si="4"/>
        <v>726.041026982071</v>
      </c>
      <c r="Z10" s="92">
        <v>678.47</v>
      </c>
      <c r="AA10" s="91"/>
      <c r="AB10" s="91">
        <f t="shared" si="5"/>
        <v>1404.51102698207</v>
      </c>
      <c r="AC10" s="44">
        <v>7.08</v>
      </c>
      <c r="AD10" s="75">
        <f t="shared" si="6"/>
        <v>9943.93807103306</v>
      </c>
      <c r="AE10" s="75">
        <f t="shared" si="7"/>
        <v>14146.3408406339</v>
      </c>
      <c r="AF10" s="75">
        <f t="shared" si="8"/>
        <v>3098.08915936607</v>
      </c>
    </row>
    <row r="11" s="2" customFormat="1" spans="1:32">
      <c r="A11" s="20"/>
      <c r="B11" s="21"/>
      <c r="C11" s="22">
        <v>240729000009</v>
      </c>
      <c r="D11" s="23">
        <v>45505</v>
      </c>
      <c r="E11" s="23" t="s">
        <v>69</v>
      </c>
      <c r="F11" s="21" t="s">
        <v>70</v>
      </c>
      <c r="G11" s="21" t="s">
        <v>79</v>
      </c>
      <c r="H11" s="24">
        <v>2.2224</v>
      </c>
      <c r="I11" s="24">
        <v>3202</v>
      </c>
      <c r="J11" s="47"/>
      <c r="K11" s="49">
        <v>2787617</v>
      </c>
      <c r="L11" s="45"/>
      <c r="M11" s="46">
        <f>SUM(K11/N11)</f>
        <v>1741.25950961069</v>
      </c>
      <c r="N11" s="50">
        <v>1600.9199</v>
      </c>
      <c r="O11" s="21">
        <v>7.12</v>
      </c>
      <c r="P11" s="47">
        <f>SUM(N11*O11)</f>
        <v>11398.549688</v>
      </c>
      <c r="Q11" s="78"/>
      <c r="R11" s="78"/>
      <c r="S11" s="75">
        <f t="shared" si="1"/>
        <v>1916.14248345945</v>
      </c>
      <c r="T11" s="75"/>
      <c r="U11" s="75">
        <f t="shared" si="2"/>
        <v>46.3740466548522</v>
      </c>
      <c r="V11" s="75"/>
      <c r="W11" s="75"/>
      <c r="X11" s="77">
        <f t="shared" si="3"/>
        <v>1962.5165301143</v>
      </c>
      <c r="Y11" s="91">
        <f t="shared" si="4"/>
        <v>339.060198441857</v>
      </c>
      <c r="Z11" s="91"/>
      <c r="AA11" s="91"/>
      <c r="AB11" s="91">
        <f t="shared" si="5"/>
        <v>339.060198441857</v>
      </c>
      <c r="AC11" s="44">
        <v>7.08</v>
      </c>
      <c r="AD11" s="75">
        <f t="shared" si="6"/>
        <v>2400.54620496835</v>
      </c>
      <c r="AE11" s="75">
        <f t="shared" si="7"/>
        <v>4363.06273508265</v>
      </c>
      <c r="AF11" s="75">
        <f t="shared" si="8"/>
        <v>7035.48695291735</v>
      </c>
    </row>
    <row r="12" s="2" customFormat="1" spans="1:32">
      <c r="A12" s="20"/>
      <c r="B12" s="21"/>
      <c r="C12" s="22">
        <v>240729000055</v>
      </c>
      <c r="D12" s="23">
        <v>45505</v>
      </c>
      <c r="E12" s="23" t="s">
        <v>80</v>
      </c>
      <c r="F12" s="21" t="s">
        <v>81</v>
      </c>
      <c r="G12" s="21" t="s">
        <v>82</v>
      </c>
      <c r="H12" s="24">
        <v>22.022</v>
      </c>
      <c r="I12" s="24">
        <v>12675</v>
      </c>
      <c r="J12" s="43">
        <v>54288.61</v>
      </c>
      <c r="K12" s="44"/>
      <c r="L12" s="50"/>
      <c r="M12" s="46"/>
      <c r="N12" s="50"/>
      <c r="O12" s="21"/>
      <c r="P12" s="47">
        <f>SUBTOTAL(9,J12)</f>
        <v>54288.61</v>
      </c>
      <c r="Q12" s="78"/>
      <c r="R12" s="78"/>
      <c r="S12" s="75">
        <f t="shared" si="1"/>
        <v>18987.2614159216</v>
      </c>
      <c r="T12" s="75"/>
      <c r="U12" s="75">
        <f t="shared" si="2"/>
        <v>459.525402912687</v>
      </c>
      <c r="V12" s="75"/>
      <c r="W12" s="75"/>
      <c r="X12" s="77">
        <f t="shared" si="3"/>
        <v>19446.7868188342</v>
      </c>
      <c r="Y12" s="91">
        <f t="shared" si="4"/>
        <v>3359.78387782874</v>
      </c>
      <c r="Z12" s="91"/>
      <c r="AA12" s="91"/>
      <c r="AB12" s="91">
        <f t="shared" si="5"/>
        <v>3359.78387782874</v>
      </c>
      <c r="AC12" s="44">
        <v>7.08</v>
      </c>
      <c r="AD12" s="75">
        <f t="shared" si="6"/>
        <v>23787.2698550274</v>
      </c>
      <c r="AE12" s="75">
        <f t="shared" si="7"/>
        <v>43234.0566738617</v>
      </c>
      <c r="AF12" s="75">
        <f t="shared" si="8"/>
        <v>11054.5533261383</v>
      </c>
    </row>
    <row r="13" s="2" customFormat="1" spans="1:32">
      <c r="A13" s="20"/>
      <c r="B13" s="21"/>
      <c r="C13" s="22">
        <v>240730000017</v>
      </c>
      <c r="D13" s="23">
        <v>45505</v>
      </c>
      <c r="E13" s="23" t="s">
        <v>64</v>
      </c>
      <c r="F13" s="21" t="s">
        <v>64</v>
      </c>
      <c r="G13" s="21" t="s">
        <v>83</v>
      </c>
      <c r="H13" s="24">
        <v>0.2622</v>
      </c>
      <c r="I13" s="24">
        <v>392</v>
      </c>
      <c r="J13" s="43">
        <v>1290.24</v>
      </c>
      <c r="K13" s="44"/>
      <c r="L13" s="45"/>
      <c r="M13" s="46"/>
      <c r="N13" s="45"/>
      <c r="O13" s="21"/>
      <c r="P13" s="47">
        <f>SUBTOTAL(9,J13)</f>
        <v>1290.24</v>
      </c>
      <c r="Q13" s="78"/>
      <c r="R13" s="78"/>
      <c r="S13" s="75">
        <f t="shared" si="1"/>
        <v>226.067566218083</v>
      </c>
      <c r="T13" s="75"/>
      <c r="U13" s="75">
        <f t="shared" si="2"/>
        <v>5.47123606592073</v>
      </c>
      <c r="V13" s="75"/>
      <c r="W13" s="75"/>
      <c r="X13" s="77">
        <f t="shared" si="3"/>
        <v>231.538802284004</v>
      </c>
      <c r="Y13" s="91">
        <f t="shared" si="4"/>
        <v>40.0025126131457</v>
      </c>
      <c r="Z13" s="91"/>
      <c r="AA13" s="91"/>
      <c r="AB13" s="91">
        <f t="shared" si="5"/>
        <v>40.0025126131457</v>
      </c>
      <c r="AC13" s="44">
        <v>7.08</v>
      </c>
      <c r="AD13" s="75">
        <f t="shared" si="6"/>
        <v>283.217789301071</v>
      </c>
      <c r="AE13" s="75">
        <f t="shared" si="7"/>
        <v>514.756591585076</v>
      </c>
      <c r="AF13" s="75">
        <f t="shared" si="8"/>
        <v>775.483408414924</v>
      </c>
    </row>
    <row r="14" s="2" customFormat="1" spans="1:32">
      <c r="A14" s="20"/>
      <c r="B14" s="21"/>
      <c r="C14" s="22">
        <v>240801000003</v>
      </c>
      <c r="D14" s="23">
        <v>45505</v>
      </c>
      <c r="E14" s="23" t="s">
        <v>64</v>
      </c>
      <c r="F14" s="21" t="s">
        <v>64</v>
      </c>
      <c r="G14" s="21" t="s">
        <v>65</v>
      </c>
      <c r="H14" s="24">
        <v>2.1</v>
      </c>
      <c r="I14" s="24">
        <v>352</v>
      </c>
      <c r="J14" s="43">
        <v>4491.38</v>
      </c>
      <c r="K14" s="44"/>
      <c r="L14" s="45"/>
      <c r="M14" s="46"/>
      <c r="N14" s="51"/>
      <c r="O14" s="21"/>
      <c r="P14" s="47">
        <f>SUBTOTAL(9,J14)</f>
        <v>4491.38</v>
      </c>
      <c r="Q14" s="78"/>
      <c r="R14" s="78"/>
      <c r="S14" s="75">
        <f t="shared" si="1"/>
        <v>1810.60979808534</v>
      </c>
      <c r="T14" s="75"/>
      <c r="U14" s="75">
        <f t="shared" si="2"/>
        <v>43.819968491356</v>
      </c>
      <c r="V14" s="75"/>
      <c r="W14" s="75"/>
      <c r="X14" s="77">
        <f t="shared" si="3"/>
        <v>1854.42976657669</v>
      </c>
      <c r="Y14" s="91">
        <f t="shared" si="4"/>
        <v>320.386256627025</v>
      </c>
      <c r="Z14" s="91"/>
      <c r="AA14" s="91"/>
      <c r="AB14" s="91">
        <f t="shared" si="5"/>
        <v>320.386256627025</v>
      </c>
      <c r="AC14" s="44">
        <v>7.08</v>
      </c>
      <c r="AD14" s="75">
        <f t="shared" si="6"/>
        <v>2268.33469691934</v>
      </c>
      <c r="AE14" s="75">
        <f t="shared" si="7"/>
        <v>4122.76446349603</v>
      </c>
      <c r="AF14" s="75">
        <f t="shared" si="8"/>
        <v>368.615536503971</v>
      </c>
    </row>
    <row r="15" s="2" customFormat="1" spans="1:32">
      <c r="A15" s="20"/>
      <c r="B15" s="21"/>
      <c r="C15" s="22">
        <v>240801000001</v>
      </c>
      <c r="D15" s="23">
        <v>45506</v>
      </c>
      <c r="E15" s="23" t="s">
        <v>64</v>
      </c>
      <c r="F15" s="21" t="s">
        <v>64</v>
      </c>
      <c r="G15" s="21" t="s">
        <v>84</v>
      </c>
      <c r="H15" s="24">
        <v>28.4144</v>
      </c>
      <c r="I15" s="24">
        <v>2700</v>
      </c>
      <c r="J15" s="43">
        <v>48216.84</v>
      </c>
      <c r="K15" s="44"/>
      <c r="L15" s="45"/>
      <c r="M15" s="46"/>
      <c r="N15" s="50"/>
      <c r="O15" s="21"/>
      <c r="P15" s="47">
        <f>SUBTOTAL(9,J15)</f>
        <v>48216.84</v>
      </c>
      <c r="Q15" s="78"/>
      <c r="R15" s="78"/>
      <c r="S15" s="75">
        <f t="shared" si="1"/>
        <v>24498.7576412933</v>
      </c>
      <c r="T15" s="75"/>
      <c r="U15" s="75">
        <f t="shared" si="2"/>
        <v>592.913387000374</v>
      </c>
      <c r="V15" s="75"/>
      <c r="W15" s="75"/>
      <c r="X15" s="77">
        <f t="shared" si="3"/>
        <v>25091.6710282937</v>
      </c>
      <c r="Y15" s="91">
        <f t="shared" si="4"/>
        <v>4335.0396430014</v>
      </c>
      <c r="Z15" s="91"/>
      <c r="AA15" s="91"/>
      <c r="AB15" s="91">
        <f t="shared" si="5"/>
        <v>4335.0396430014</v>
      </c>
      <c r="AC15" s="44">
        <v>7.08</v>
      </c>
      <c r="AD15" s="75">
        <f t="shared" si="6"/>
        <v>30692.0806724499</v>
      </c>
      <c r="AE15" s="75">
        <f t="shared" si="7"/>
        <v>55783.7517007436</v>
      </c>
      <c r="AF15" s="75">
        <f t="shared" si="8"/>
        <v>-7566.91170074361</v>
      </c>
    </row>
    <row r="16" s="2" customFormat="1" spans="1:32">
      <c r="A16" s="20"/>
      <c r="B16" s="21"/>
      <c r="C16" s="22">
        <v>240801000004</v>
      </c>
      <c r="D16" s="23">
        <v>45505</v>
      </c>
      <c r="E16" s="23" t="s">
        <v>64</v>
      </c>
      <c r="F16" s="21" t="s">
        <v>64</v>
      </c>
      <c r="G16" s="21" t="s">
        <v>65</v>
      </c>
      <c r="H16" s="24">
        <v>0.1758</v>
      </c>
      <c r="I16" s="24">
        <v>34</v>
      </c>
      <c r="J16" s="43">
        <v>375.99</v>
      </c>
      <c r="K16" s="44"/>
      <c r="L16" s="45"/>
      <c r="M16" s="46"/>
      <c r="N16" s="51"/>
      <c r="O16" s="21"/>
      <c r="P16" s="47">
        <f>SUBTOTAL(9,J16)</f>
        <v>375.99</v>
      </c>
      <c r="Q16" s="79"/>
      <c r="R16" s="79"/>
      <c r="S16" s="75">
        <f t="shared" si="1"/>
        <v>151.573905954001</v>
      </c>
      <c r="T16" s="75"/>
      <c r="U16" s="75">
        <f t="shared" si="2"/>
        <v>3.66835736227637</v>
      </c>
      <c r="V16" s="75"/>
      <c r="W16" s="75"/>
      <c r="X16" s="77">
        <f t="shared" si="3"/>
        <v>155.242263316277</v>
      </c>
      <c r="Y16" s="91">
        <f t="shared" si="4"/>
        <v>26.8209066262052</v>
      </c>
      <c r="Z16" s="91"/>
      <c r="AA16" s="91"/>
      <c r="AB16" s="91">
        <f t="shared" si="5"/>
        <v>26.8209066262052</v>
      </c>
      <c r="AC16" s="44">
        <v>7.08</v>
      </c>
      <c r="AD16" s="75">
        <f t="shared" si="6"/>
        <v>189.892018913533</v>
      </c>
      <c r="AE16" s="75">
        <f t="shared" si="7"/>
        <v>345.13428222981</v>
      </c>
      <c r="AF16" s="75">
        <f t="shared" si="8"/>
        <v>30.8557177701896</v>
      </c>
    </row>
    <row r="17" ht="15.75" spans="1:32">
      <c r="A17" s="26" t="s">
        <v>26</v>
      </c>
      <c r="B17" s="27"/>
      <c r="C17" s="27"/>
      <c r="D17" s="27"/>
      <c r="E17" s="27"/>
      <c r="F17" s="27"/>
      <c r="G17" s="27"/>
      <c r="H17" s="27"/>
      <c r="I17" s="52"/>
      <c r="J17" s="27">
        <f>SUM(J4:J4)</f>
        <v>0</v>
      </c>
      <c r="K17" s="53"/>
      <c r="L17" s="54"/>
      <c r="M17" s="53"/>
      <c r="N17" s="53">
        <f t="shared" ref="N17:Q17" si="9">SUM(N4:N4)</f>
        <v>0</v>
      </c>
      <c r="O17" s="27"/>
      <c r="P17" s="27">
        <f t="shared" si="9"/>
        <v>0</v>
      </c>
      <c r="Q17" s="27">
        <f t="shared" si="9"/>
        <v>0</v>
      </c>
      <c r="R17" s="27"/>
      <c r="S17" s="27"/>
      <c r="T17" s="27"/>
      <c r="U17" s="27"/>
      <c r="V17" s="27"/>
      <c r="W17" s="27"/>
      <c r="X17" s="80">
        <f>SUM(X4:X4)</f>
        <v>0</v>
      </c>
      <c r="Y17" s="54"/>
      <c r="Z17" s="54"/>
      <c r="AA17" s="54"/>
      <c r="AB17" s="54"/>
      <c r="AC17" s="53"/>
      <c r="AD17" s="27">
        <f>SUM(AD4:AD4)</f>
        <v>0</v>
      </c>
      <c r="AE17" s="27"/>
      <c r="AF17" s="93">
        <f>SUM(AF4:AF16)</f>
        <v>19429.605688</v>
      </c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</sheetData>
  <autoFilter xmlns:etc="http://www.wps.cn/officeDocument/2017/etCustomData" ref="A3:AF17" etc:filterBottomFollowUsedRange="0">
    <extLst/>
  </autoFilter>
  <mergeCells count="21">
    <mergeCell ref="A1:AF1"/>
    <mergeCell ref="J3:P3"/>
    <mergeCell ref="R3:V3"/>
    <mergeCell ref="Y3:AD3"/>
    <mergeCell ref="A3:A4"/>
    <mergeCell ref="A5:A16"/>
    <mergeCell ref="B3:B4"/>
    <mergeCell ref="B5:B16"/>
    <mergeCell ref="C3:C4"/>
    <mergeCell ref="D3:D4"/>
    <mergeCell ref="E3:E4"/>
    <mergeCell ref="F3:F4"/>
    <mergeCell ref="G3:G4"/>
    <mergeCell ref="H3:H4"/>
    <mergeCell ref="I3:I4"/>
    <mergeCell ref="Q3:Q4"/>
    <mergeCell ref="Q5:Q16"/>
    <mergeCell ref="R5:R16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C19" sqref="$A19:$XFD19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72.4906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8</v>
      </c>
      <c r="B5" s="21" t="s">
        <v>9</v>
      </c>
      <c r="C5" s="22">
        <v>240707000004</v>
      </c>
      <c r="D5" s="23">
        <v>45506</v>
      </c>
      <c r="E5" s="23" t="s">
        <v>64</v>
      </c>
      <c r="F5" s="21" t="s">
        <v>64</v>
      </c>
      <c r="G5" s="21" t="s">
        <v>85</v>
      </c>
      <c r="H5" s="24">
        <v>9.3447</v>
      </c>
      <c r="I5" s="24">
        <v>5042.5</v>
      </c>
      <c r="J5" s="43">
        <v>28642.1</v>
      </c>
      <c r="K5" s="44"/>
      <c r="L5" s="45"/>
      <c r="M5" s="46"/>
      <c r="N5" s="45"/>
      <c r="O5" s="21"/>
      <c r="P5" s="47">
        <f>SUBTOTAL(9,J5)</f>
        <v>28642.1</v>
      </c>
      <c r="Q5" s="73">
        <f>SUM(P5:P24)</f>
        <v>165882.734</v>
      </c>
      <c r="R5" s="74" t="s">
        <v>86</v>
      </c>
      <c r="S5" s="75">
        <f>SUM(58867/68)*H5</f>
        <v>8089.62433676471</v>
      </c>
      <c r="T5" s="75"/>
      <c r="U5" s="75">
        <f>SUM(2000/68)*H5</f>
        <v>274.844117647059</v>
      </c>
      <c r="V5" s="75"/>
      <c r="W5" s="75"/>
      <c r="X5" s="77">
        <f t="shared" ref="X5:X17" si="0">SUM(S5:W5)</f>
        <v>8364.46845441177</v>
      </c>
      <c r="Y5" s="91">
        <f>SUM(10117.99/68)*H5</f>
        <v>1390.43501695588</v>
      </c>
      <c r="Z5" s="92">
        <v>88.5</v>
      </c>
      <c r="AA5" s="91">
        <f>SUM(91.45/68)*H5</f>
        <v>12.5672472794118</v>
      </c>
      <c r="AB5" s="91">
        <f t="shared" ref="AB5:AB17" si="1">SUM(Y5:AA5)</f>
        <v>1491.50226423529</v>
      </c>
      <c r="AC5" s="44">
        <v>7.15</v>
      </c>
      <c r="AD5" s="75">
        <f t="shared" ref="AD5:AD17" si="2">SUM(AB5*AC5)</f>
        <v>10664.2411892823</v>
      </c>
      <c r="AE5" s="75">
        <f t="shared" ref="AE5:AE17" si="3">SUM(X5+AD5)</f>
        <v>19028.7096436941</v>
      </c>
      <c r="AF5" s="75">
        <f t="shared" ref="AF5:AF17" si="4">SUM(P5-AE5)</f>
        <v>9613.39035630589</v>
      </c>
    </row>
    <row r="6" s="2" customFormat="1" spans="1:32">
      <c r="A6" s="20"/>
      <c r="B6" s="21"/>
      <c r="C6" s="22">
        <v>240719000020</v>
      </c>
      <c r="D6" s="23">
        <v>45506</v>
      </c>
      <c r="E6" s="23" t="s">
        <v>64</v>
      </c>
      <c r="F6" s="21" t="s">
        <v>64</v>
      </c>
      <c r="G6" s="21" t="s">
        <v>87</v>
      </c>
      <c r="H6" s="24">
        <v>0.645</v>
      </c>
      <c r="I6" s="24">
        <v>148</v>
      </c>
      <c r="J6" s="43">
        <v>2922.21</v>
      </c>
      <c r="K6" s="44"/>
      <c r="L6" s="45"/>
      <c r="M6" s="46"/>
      <c r="N6" s="45"/>
      <c r="O6" s="21"/>
      <c r="P6" s="47">
        <f>SUBTOTAL(9,J6)</f>
        <v>2922.21</v>
      </c>
      <c r="Q6" s="78"/>
      <c r="R6" s="78"/>
      <c r="S6" s="75">
        <f t="shared" ref="S6:S25" si="5">SUM(58867/68)*H6</f>
        <v>558.37080882353</v>
      </c>
      <c r="T6" s="75"/>
      <c r="U6" s="75">
        <f t="shared" ref="U6:U25" si="6">SUM(2000/68)*H6</f>
        <v>18.9705882352941</v>
      </c>
      <c r="V6" s="75"/>
      <c r="W6" s="75"/>
      <c r="X6" s="77">
        <f t="shared" si="0"/>
        <v>577.341397058824</v>
      </c>
      <c r="Y6" s="91">
        <f t="shared" ref="Y6:Y25" si="7">SUM(10117.99/68)*H6</f>
        <v>95.9721110294118</v>
      </c>
      <c r="Z6" s="92">
        <v>160.91</v>
      </c>
      <c r="AA6" s="91">
        <f t="shared" ref="AA6:AA25" si="8">SUM(91.45/68)*H6</f>
        <v>0.867430147058824</v>
      </c>
      <c r="AB6" s="91">
        <f t="shared" si="1"/>
        <v>257.749541176471</v>
      </c>
      <c r="AC6" s="44">
        <v>7.15</v>
      </c>
      <c r="AD6" s="75">
        <f t="shared" si="2"/>
        <v>1842.90921941176</v>
      </c>
      <c r="AE6" s="75">
        <f t="shared" si="3"/>
        <v>2420.25061647059</v>
      </c>
      <c r="AF6" s="75">
        <f t="shared" si="4"/>
        <v>501.959383529412</v>
      </c>
    </row>
    <row r="7" s="2" customFormat="1" spans="1:32">
      <c r="A7" s="20"/>
      <c r="B7" s="21"/>
      <c r="C7" s="22">
        <v>240719000037</v>
      </c>
      <c r="D7" s="23">
        <v>45506</v>
      </c>
      <c r="E7" s="23" t="s">
        <v>72</v>
      </c>
      <c r="F7" s="21" t="s">
        <v>88</v>
      </c>
      <c r="G7" s="21" t="s">
        <v>89</v>
      </c>
      <c r="H7" s="24">
        <v>0.9193</v>
      </c>
      <c r="I7" s="24">
        <v>430</v>
      </c>
      <c r="J7" s="99"/>
      <c r="K7" s="49">
        <v>579841.5</v>
      </c>
      <c r="L7" s="45"/>
      <c r="M7" s="46">
        <f t="shared" ref="M7:M12" si="9">SUM(K7/N7)</f>
        <v>1744.56629659717</v>
      </c>
      <c r="N7" s="50">
        <v>332.37</v>
      </c>
      <c r="O7" s="21">
        <v>7.12</v>
      </c>
      <c r="P7" s="47">
        <f t="shared" ref="P7:P12" si="10">SUM(N7*O7)</f>
        <v>2366.4744</v>
      </c>
      <c r="Q7" s="78"/>
      <c r="R7" s="78"/>
      <c r="S7" s="75">
        <f t="shared" si="5"/>
        <v>795.829898529412</v>
      </c>
      <c r="T7" s="75"/>
      <c r="U7" s="75">
        <f t="shared" si="6"/>
        <v>27.0382352941176</v>
      </c>
      <c r="V7" s="75"/>
      <c r="W7" s="75"/>
      <c r="X7" s="77">
        <f t="shared" si="0"/>
        <v>822.868133823529</v>
      </c>
      <c r="Y7" s="91">
        <f t="shared" si="7"/>
        <v>136.786297161765</v>
      </c>
      <c r="Z7" s="91"/>
      <c r="AA7" s="91">
        <f t="shared" si="8"/>
        <v>1.23632330882353</v>
      </c>
      <c r="AB7" s="91">
        <f t="shared" si="1"/>
        <v>138.022620470588</v>
      </c>
      <c r="AC7" s="44">
        <v>7.15</v>
      </c>
      <c r="AD7" s="75">
        <f t="shared" si="2"/>
        <v>986.861736364706</v>
      </c>
      <c r="AE7" s="75">
        <f t="shared" si="3"/>
        <v>1809.72987018824</v>
      </c>
      <c r="AF7" s="75">
        <f t="shared" si="4"/>
        <v>556.744529811765</v>
      </c>
    </row>
    <row r="8" s="2" customFormat="1" spans="1:32">
      <c r="A8" s="20"/>
      <c r="B8" s="21"/>
      <c r="C8" s="22">
        <v>240723000028</v>
      </c>
      <c r="D8" s="23">
        <v>45506</v>
      </c>
      <c r="E8" s="23" t="s">
        <v>69</v>
      </c>
      <c r="F8" s="21" t="s">
        <v>70</v>
      </c>
      <c r="G8" s="21" t="s">
        <v>90</v>
      </c>
      <c r="H8" s="24">
        <v>0.4159</v>
      </c>
      <c r="I8" s="24">
        <v>53.8</v>
      </c>
      <c r="J8" s="47"/>
      <c r="K8" s="49">
        <v>286650</v>
      </c>
      <c r="L8" s="45"/>
      <c r="M8" s="46">
        <f t="shared" si="9"/>
        <v>1750</v>
      </c>
      <c r="N8" s="50">
        <v>163.8</v>
      </c>
      <c r="O8" s="21">
        <v>7.12</v>
      </c>
      <c r="P8" s="47">
        <f t="shared" si="10"/>
        <v>1166.256</v>
      </c>
      <c r="Q8" s="78"/>
      <c r="R8" s="78"/>
      <c r="S8" s="75">
        <f t="shared" si="5"/>
        <v>360.040960294118</v>
      </c>
      <c r="T8" s="75"/>
      <c r="U8" s="75">
        <f t="shared" si="6"/>
        <v>12.2323529411765</v>
      </c>
      <c r="V8" s="75"/>
      <c r="W8" s="75"/>
      <c r="X8" s="77">
        <f t="shared" si="0"/>
        <v>372.273313235294</v>
      </c>
      <c r="Y8" s="91">
        <f t="shared" si="7"/>
        <v>61.8834123676471</v>
      </c>
      <c r="Z8" s="91"/>
      <c r="AA8" s="91">
        <f t="shared" si="8"/>
        <v>0.559324338235294</v>
      </c>
      <c r="AB8" s="91">
        <f t="shared" si="1"/>
        <v>62.4427367058823</v>
      </c>
      <c r="AC8" s="44">
        <v>7.15</v>
      </c>
      <c r="AD8" s="75">
        <f t="shared" si="2"/>
        <v>446.465567447059</v>
      </c>
      <c r="AE8" s="75">
        <f t="shared" si="3"/>
        <v>818.738880682353</v>
      </c>
      <c r="AF8" s="75">
        <f t="shared" si="4"/>
        <v>347.517119317647</v>
      </c>
    </row>
    <row r="9" s="2" customFormat="1" spans="1:32">
      <c r="A9" s="20"/>
      <c r="B9" s="21"/>
      <c r="C9" s="22">
        <v>240717000037</v>
      </c>
      <c r="D9" s="23">
        <v>45498</v>
      </c>
      <c r="E9" s="23" t="s">
        <v>69</v>
      </c>
      <c r="F9" s="21" t="s">
        <v>70</v>
      </c>
      <c r="G9" s="21" t="s">
        <v>75</v>
      </c>
      <c r="H9" s="24">
        <v>8.2</v>
      </c>
      <c r="I9" s="24">
        <v>882</v>
      </c>
      <c r="J9" s="43">
        <v>19661.07</v>
      </c>
      <c r="K9" s="44"/>
      <c r="L9" s="45"/>
      <c r="M9" s="46"/>
      <c r="N9" s="45"/>
      <c r="O9" s="21"/>
      <c r="P9" s="47">
        <f t="shared" ref="P9:P13" si="11">SUBTOTAL(9,J9)</f>
        <v>19661.07</v>
      </c>
      <c r="Q9" s="78"/>
      <c r="R9" s="78"/>
      <c r="S9" s="75">
        <f t="shared" si="5"/>
        <v>7098.66764705882</v>
      </c>
      <c r="T9" s="75"/>
      <c r="U9" s="75">
        <f t="shared" si="6"/>
        <v>241.176470588235</v>
      </c>
      <c r="V9" s="75"/>
      <c r="W9" s="75"/>
      <c r="X9" s="77">
        <f t="shared" si="0"/>
        <v>7339.84411764706</v>
      </c>
      <c r="Y9" s="91">
        <f t="shared" si="7"/>
        <v>1220.11055882353</v>
      </c>
      <c r="Z9" s="91"/>
      <c r="AA9" s="91">
        <f t="shared" si="8"/>
        <v>11.0277941176471</v>
      </c>
      <c r="AB9" s="91">
        <f t="shared" si="1"/>
        <v>1231.13835294118</v>
      </c>
      <c r="AC9" s="44">
        <v>7.15</v>
      </c>
      <c r="AD9" s="75">
        <f t="shared" si="2"/>
        <v>8802.63922352941</v>
      </c>
      <c r="AE9" s="75">
        <f t="shared" si="3"/>
        <v>16142.4833411765</v>
      </c>
      <c r="AF9" s="75">
        <f t="shared" si="4"/>
        <v>3518.58665882353</v>
      </c>
    </row>
    <row r="10" s="2" customFormat="1" spans="1:32">
      <c r="A10" s="20"/>
      <c r="B10" s="21"/>
      <c r="C10" s="22">
        <v>240718000039</v>
      </c>
      <c r="D10" s="23">
        <v>45511</v>
      </c>
      <c r="E10" s="23" t="s">
        <v>66</v>
      </c>
      <c r="F10" s="21" t="s">
        <v>67</v>
      </c>
      <c r="G10" s="21" t="s">
        <v>76</v>
      </c>
      <c r="H10" s="24">
        <v>2.7869</v>
      </c>
      <c r="I10" s="24">
        <v>2167</v>
      </c>
      <c r="J10" s="43">
        <v>14238</v>
      </c>
      <c r="K10" s="44"/>
      <c r="L10" s="45"/>
      <c r="M10" s="46"/>
      <c r="N10" s="45"/>
      <c r="O10" s="21"/>
      <c r="P10" s="75">
        <f t="shared" si="11"/>
        <v>14238</v>
      </c>
      <c r="Q10" s="73"/>
      <c r="R10" s="73"/>
      <c r="S10" s="75">
        <f t="shared" si="5"/>
        <v>2412.59473970588</v>
      </c>
      <c r="T10" s="75"/>
      <c r="U10" s="75">
        <f t="shared" si="6"/>
        <v>81.9676470588235</v>
      </c>
      <c r="V10" s="75"/>
      <c r="W10" s="75"/>
      <c r="X10" s="77">
        <f t="shared" si="0"/>
        <v>2494.56238676471</v>
      </c>
      <c r="Y10" s="91">
        <f t="shared" si="7"/>
        <v>414.673916632353</v>
      </c>
      <c r="Z10" s="91"/>
      <c r="AA10" s="91">
        <f t="shared" si="8"/>
        <v>3.74797066176471</v>
      </c>
      <c r="AB10" s="91">
        <f t="shared" si="1"/>
        <v>418.421887294118</v>
      </c>
      <c r="AC10" s="44">
        <v>7.15</v>
      </c>
      <c r="AD10" s="75">
        <f t="shared" si="2"/>
        <v>2991.71649415294</v>
      </c>
      <c r="AE10" s="75">
        <f t="shared" si="3"/>
        <v>5486.27888091765</v>
      </c>
      <c r="AF10" s="75">
        <f t="shared" si="4"/>
        <v>8751.72111908235</v>
      </c>
    </row>
    <row r="11" s="2" customFormat="1" spans="1:32">
      <c r="A11" s="20"/>
      <c r="B11" s="21"/>
      <c r="C11" s="22">
        <v>240630000010</v>
      </c>
      <c r="D11" s="23">
        <v>45511</v>
      </c>
      <c r="E11" s="23" t="s">
        <v>72</v>
      </c>
      <c r="F11" s="21" t="s">
        <v>88</v>
      </c>
      <c r="G11" s="21" t="s">
        <v>91</v>
      </c>
      <c r="H11" s="25">
        <v>1.6128</v>
      </c>
      <c r="I11" s="24">
        <v>637</v>
      </c>
      <c r="J11" s="100">
        <v>3432</v>
      </c>
      <c r="K11" s="44"/>
      <c r="L11" s="45"/>
      <c r="M11" s="46"/>
      <c r="N11" s="45"/>
      <c r="O11" s="21"/>
      <c r="P11" s="47">
        <f>SUM(J11)</f>
        <v>3432</v>
      </c>
      <c r="Q11" s="102"/>
      <c r="R11" s="102"/>
      <c r="S11" s="75">
        <f t="shared" si="5"/>
        <v>1396.18672941176</v>
      </c>
      <c r="T11" s="75"/>
      <c r="U11" s="75">
        <f t="shared" si="6"/>
        <v>47.4352941176471</v>
      </c>
      <c r="V11" s="75"/>
      <c r="W11" s="75"/>
      <c r="X11" s="77">
        <f t="shared" si="0"/>
        <v>1443.62202352941</v>
      </c>
      <c r="Y11" s="91">
        <f t="shared" si="7"/>
        <v>239.974915764706</v>
      </c>
      <c r="Z11" s="91"/>
      <c r="AA11" s="91">
        <f t="shared" si="8"/>
        <v>2.16897882352941</v>
      </c>
      <c r="AB11" s="91">
        <f t="shared" si="1"/>
        <v>242.143894588235</v>
      </c>
      <c r="AC11" s="44">
        <v>7.15</v>
      </c>
      <c r="AD11" s="75">
        <f t="shared" si="2"/>
        <v>1731.32884630588</v>
      </c>
      <c r="AE11" s="75">
        <f t="shared" si="3"/>
        <v>3174.95086983529</v>
      </c>
      <c r="AF11" s="75">
        <f t="shared" si="4"/>
        <v>257.049130164706</v>
      </c>
    </row>
    <row r="12" s="2" customFormat="1" spans="1:32">
      <c r="A12" s="20"/>
      <c r="B12" s="21"/>
      <c r="C12" s="22">
        <v>240726000008</v>
      </c>
      <c r="D12" s="23">
        <v>45506</v>
      </c>
      <c r="E12" s="23" t="s">
        <v>92</v>
      </c>
      <c r="F12" s="21" t="s">
        <v>93</v>
      </c>
      <c r="G12" s="21" t="s">
        <v>94</v>
      </c>
      <c r="H12" s="24">
        <v>0.835</v>
      </c>
      <c r="I12" s="24">
        <v>1254</v>
      </c>
      <c r="J12" s="47"/>
      <c r="K12" s="49">
        <v>1830068.49</v>
      </c>
      <c r="L12" s="45"/>
      <c r="M12" s="46">
        <f t="shared" si="9"/>
        <v>1711</v>
      </c>
      <c r="N12" s="50">
        <v>1069.59</v>
      </c>
      <c r="O12" s="21">
        <v>7.12</v>
      </c>
      <c r="P12" s="47">
        <f t="shared" si="10"/>
        <v>7615.4808</v>
      </c>
      <c r="Q12" s="78"/>
      <c r="R12" s="78"/>
      <c r="S12" s="75">
        <f t="shared" si="5"/>
        <v>722.852132352941</v>
      </c>
      <c r="T12" s="75"/>
      <c r="U12" s="75">
        <f t="shared" si="6"/>
        <v>24.5588235294118</v>
      </c>
      <c r="V12" s="75"/>
      <c r="W12" s="75"/>
      <c r="X12" s="77">
        <f t="shared" si="0"/>
        <v>747.410955882353</v>
      </c>
      <c r="Y12" s="91">
        <f t="shared" si="7"/>
        <v>124.242965441176</v>
      </c>
      <c r="Z12" s="91">
        <v>284.87</v>
      </c>
      <c r="AA12" s="91">
        <f t="shared" si="8"/>
        <v>1.12295220588235</v>
      </c>
      <c r="AB12" s="91">
        <f t="shared" si="1"/>
        <v>410.235917647059</v>
      </c>
      <c r="AC12" s="44">
        <v>7.15</v>
      </c>
      <c r="AD12" s="75">
        <f t="shared" si="2"/>
        <v>2933.18681117647</v>
      </c>
      <c r="AE12" s="75">
        <f t="shared" si="3"/>
        <v>3680.59776705882</v>
      </c>
      <c r="AF12" s="75">
        <f t="shared" si="4"/>
        <v>3934.88303294118</v>
      </c>
    </row>
    <row r="13" s="2" customFormat="1" spans="1:32">
      <c r="A13" s="20"/>
      <c r="B13" s="21"/>
      <c r="C13" s="22">
        <v>240729000013</v>
      </c>
      <c r="D13" s="23">
        <v>45506</v>
      </c>
      <c r="E13" s="23" t="s">
        <v>69</v>
      </c>
      <c r="F13" s="21" t="s">
        <v>70</v>
      </c>
      <c r="G13" s="21" t="s">
        <v>77</v>
      </c>
      <c r="H13" s="24">
        <v>0.3557</v>
      </c>
      <c r="I13" s="24">
        <v>50</v>
      </c>
      <c r="J13" s="43">
        <v>801.54</v>
      </c>
      <c r="K13" s="44"/>
      <c r="L13" s="45"/>
      <c r="M13" s="46"/>
      <c r="N13" s="45"/>
      <c r="O13" s="21"/>
      <c r="P13" s="47">
        <f t="shared" si="11"/>
        <v>801.54</v>
      </c>
      <c r="Q13" s="78"/>
      <c r="R13" s="78"/>
      <c r="S13" s="75">
        <f t="shared" si="5"/>
        <v>307.926351470588</v>
      </c>
      <c r="T13" s="75"/>
      <c r="U13" s="75">
        <f t="shared" si="6"/>
        <v>10.4617647058824</v>
      </c>
      <c r="V13" s="75"/>
      <c r="W13" s="75"/>
      <c r="X13" s="77">
        <f t="shared" si="0"/>
        <v>318.388116176471</v>
      </c>
      <c r="Y13" s="91">
        <f t="shared" si="7"/>
        <v>52.9260153382353</v>
      </c>
      <c r="Z13" s="91"/>
      <c r="AA13" s="91">
        <f t="shared" si="8"/>
        <v>0.478364191176471</v>
      </c>
      <c r="AB13" s="91">
        <f t="shared" si="1"/>
        <v>53.4043795294118</v>
      </c>
      <c r="AC13" s="44">
        <v>7.15</v>
      </c>
      <c r="AD13" s="75">
        <f t="shared" si="2"/>
        <v>381.841313635294</v>
      </c>
      <c r="AE13" s="75">
        <f t="shared" si="3"/>
        <v>700.229429811765</v>
      </c>
      <c r="AF13" s="75">
        <f t="shared" si="4"/>
        <v>101.310570188235</v>
      </c>
    </row>
    <row r="14" s="2" customFormat="1" spans="1:32">
      <c r="A14" s="20"/>
      <c r="B14" s="21"/>
      <c r="C14" s="22">
        <v>240724000026</v>
      </c>
      <c r="D14" s="23">
        <v>45506</v>
      </c>
      <c r="E14" s="23" t="s">
        <v>92</v>
      </c>
      <c r="F14" s="21" t="s">
        <v>93</v>
      </c>
      <c r="G14" s="21" t="s">
        <v>94</v>
      </c>
      <c r="H14" s="24">
        <v>3.0722</v>
      </c>
      <c r="I14" s="24">
        <v>4949</v>
      </c>
      <c r="J14" s="47"/>
      <c r="K14" s="49">
        <v>1723658</v>
      </c>
      <c r="L14" s="45"/>
      <c r="M14" s="46">
        <f>SUM(K14/N14)</f>
        <v>1711.01360942634</v>
      </c>
      <c r="N14" s="50">
        <v>1007.39</v>
      </c>
      <c r="O14" s="21">
        <v>7.12</v>
      </c>
      <c r="P14" s="47">
        <f>SUM(N14*O14)</f>
        <v>7172.6168</v>
      </c>
      <c r="Q14" s="78"/>
      <c r="R14" s="78"/>
      <c r="S14" s="75">
        <f t="shared" si="5"/>
        <v>2659.57643235294</v>
      </c>
      <c r="T14" s="75"/>
      <c r="U14" s="75">
        <f t="shared" si="6"/>
        <v>90.3588235294118</v>
      </c>
      <c r="V14" s="75"/>
      <c r="W14" s="75"/>
      <c r="X14" s="77">
        <f t="shared" si="0"/>
        <v>2749.93525588235</v>
      </c>
      <c r="Y14" s="91">
        <f t="shared" si="7"/>
        <v>457.124836441176</v>
      </c>
      <c r="Z14" s="91"/>
      <c r="AA14" s="91">
        <f t="shared" si="8"/>
        <v>4.13165720588235</v>
      </c>
      <c r="AB14" s="91">
        <f t="shared" si="1"/>
        <v>461.256493647059</v>
      </c>
      <c r="AC14" s="44">
        <v>7.15</v>
      </c>
      <c r="AD14" s="75">
        <f t="shared" si="2"/>
        <v>3297.98392957647</v>
      </c>
      <c r="AE14" s="75">
        <f t="shared" si="3"/>
        <v>6047.91918545882</v>
      </c>
      <c r="AF14" s="75">
        <f t="shared" si="4"/>
        <v>1124.69761454118</v>
      </c>
    </row>
    <row r="15" s="2" customFormat="1" spans="1:32">
      <c r="A15" s="20"/>
      <c r="B15" s="21"/>
      <c r="C15" s="22">
        <v>240729000017</v>
      </c>
      <c r="D15" s="23">
        <v>45506</v>
      </c>
      <c r="E15" s="23" t="s">
        <v>92</v>
      </c>
      <c r="F15" s="21" t="s">
        <v>93</v>
      </c>
      <c r="G15" s="21" t="s">
        <v>95</v>
      </c>
      <c r="H15" s="24">
        <v>1.1178</v>
      </c>
      <c r="I15" s="24">
        <v>1055</v>
      </c>
      <c r="J15" s="47"/>
      <c r="K15" s="49">
        <v>776250</v>
      </c>
      <c r="L15" s="45"/>
      <c r="M15" s="46">
        <f>SUM(K15/N15)</f>
        <v>1725</v>
      </c>
      <c r="N15" s="50">
        <v>450</v>
      </c>
      <c r="O15" s="21">
        <v>7.12</v>
      </c>
      <c r="P15" s="47">
        <f>SUM(N15*O15)</f>
        <v>3204</v>
      </c>
      <c r="Q15" s="78"/>
      <c r="R15" s="78"/>
      <c r="S15" s="75">
        <f t="shared" si="5"/>
        <v>967.669597058823</v>
      </c>
      <c r="T15" s="75"/>
      <c r="U15" s="75">
        <f t="shared" si="6"/>
        <v>32.8764705882353</v>
      </c>
      <c r="V15" s="75"/>
      <c r="W15" s="75"/>
      <c r="X15" s="77">
        <f t="shared" si="0"/>
        <v>1000.54606764706</v>
      </c>
      <c r="Y15" s="91">
        <f t="shared" si="7"/>
        <v>166.321900323529</v>
      </c>
      <c r="Z15" s="91"/>
      <c r="AA15" s="91">
        <f t="shared" si="8"/>
        <v>1.50327661764706</v>
      </c>
      <c r="AB15" s="91">
        <f t="shared" si="1"/>
        <v>167.825176941176</v>
      </c>
      <c r="AC15" s="44">
        <v>7.15</v>
      </c>
      <c r="AD15" s="75">
        <f t="shared" si="2"/>
        <v>1199.95001512941</v>
      </c>
      <c r="AE15" s="75">
        <f t="shared" si="3"/>
        <v>2200.49608277647</v>
      </c>
      <c r="AF15" s="75">
        <f t="shared" si="4"/>
        <v>1003.50391722353</v>
      </c>
    </row>
    <row r="16" s="2" customFormat="1" spans="1:32">
      <c r="A16" s="20"/>
      <c r="B16" s="21"/>
      <c r="C16" s="22">
        <v>240729000020</v>
      </c>
      <c r="D16" s="23">
        <v>45506</v>
      </c>
      <c r="E16" s="23" t="s">
        <v>66</v>
      </c>
      <c r="F16" s="21" t="s">
        <v>67</v>
      </c>
      <c r="G16" s="21" t="s">
        <v>96</v>
      </c>
      <c r="H16" s="24">
        <v>0.0032</v>
      </c>
      <c r="I16" s="24">
        <v>2.7</v>
      </c>
      <c r="J16" s="43">
        <v>235.2</v>
      </c>
      <c r="K16" s="44"/>
      <c r="L16" s="45"/>
      <c r="M16" s="46"/>
      <c r="N16" s="45"/>
      <c r="O16" s="21"/>
      <c r="P16" s="47">
        <f>SUBTOTAL(9,J16)</f>
        <v>235.2</v>
      </c>
      <c r="Q16" s="78"/>
      <c r="R16" s="78"/>
      <c r="S16" s="75">
        <f t="shared" si="5"/>
        <v>2.77021176470588</v>
      </c>
      <c r="T16" s="75"/>
      <c r="U16" s="75">
        <f t="shared" si="6"/>
        <v>0.0941176470588235</v>
      </c>
      <c r="V16" s="75"/>
      <c r="W16" s="75"/>
      <c r="X16" s="77">
        <f t="shared" si="0"/>
        <v>2.86432941176471</v>
      </c>
      <c r="Y16" s="91">
        <f t="shared" si="7"/>
        <v>0.476140705882353</v>
      </c>
      <c r="Z16" s="91"/>
      <c r="AA16" s="91">
        <f t="shared" si="8"/>
        <v>0.00430352941176471</v>
      </c>
      <c r="AB16" s="91">
        <f t="shared" si="1"/>
        <v>0.480444235294118</v>
      </c>
      <c r="AC16" s="44">
        <v>7.15</v>
      </c>
      <c r="AD16" s="75">
        <f t="shared" si="2"/>
        <v>3.43517628235294</v>
      </c>
      <c r="AE16" s="75">
        <f t="shared" si="3"/>
        <v>6.29950569411765</v>
      </c>
      <c r="AF16" s="75">
        <f t="shared" si="4"/>
        <v>228.900494305882</v>
      </c>
    </row>
    <row r="17" s="2" customFormat="1" spans="1:32">
      <c r="A17" s="20"/>
      <c r="B17" s="21"/>
      <c r="C17" s="22">
        <v>240730000010</v>
      </c>
      <c r="D17" s="23">
        <v>45506</v>
      </c>
      <c r="E17" s="23" t="s">
        <v>69</v>
      </c>
      <c r="F17" s="21" t="s">
        <v>70</v>
      </c>
      <c r="G17" s="21" t="s">
        <v>77</v>
      </c>
      <c r="H17" s="24">
        <v>3.0014</v>
      </c>
      <c r="I17" s="24">
        <v>502</v>
      </c>
      <c r="J17" s="43">
        <v>6679.5</v>
      </c>
      <c r="K17" s="44"/>
      <c r="L17" s="45"/>
      <c r="M17" s="46"/>
      <c r="N17" s="45"/>
      <c r="O17" s="21"/>
      <c r="P17" s="47">
        <f>SUBTOTAL(9,J17)</f>
        <v>6679.5</v>
      </c>
      <c r="Q17" s="78"/>
      <c r="R17" s="78"/>
      <c r="S17" s="75">
        <f t="shared" si="5"/>
        <v>2598.28549705882</v>
      </c>
      <c r="T17" s="75"/>
      <c r="U17" s="75">
        <f t="shared" si="6"/>
        <v>88.2764705882353</v>
      </c>
      <c r="V17" s="75"/>
      <c r="W17" s="75"/>
      <c r="X17" s="77">
        <f t="shared" si="0"/>
        <v>2686.56196764706</v>
      </c>
      <c r="Y17" s="91">
        <f t="shared" si="7"/>
        <v>446.590223323529</v>
      </c>
      <c r="Z17" s="91"/>
      <c r="AA17" s="91">
        <f t="shared" si="8"/>
        <v>4.03644161764706</v>
      </c>
      <c r="AB17" s="91">
        <f t="shared" si="1"/>
        <v>450.626664941176</v>
      </c>
      <c r="AC17" s="44">
        <v>7.15</v>
      </c>
      <c r="AD17" s="75">
        <f t="shared" si="2"/>
        <v>3221.98065432941</v>
      </c>
      <c r="AE17" s="75">
        <f t="shared" si="3"/>
        <v>5908.54262197647</v>
      </c>
      <c r="AF17" s="75">
        <f t="shared" si="4"/>
        <v>770.95737802353</v>
      </c>
    </row>
    <row r="18" s="2" customFormat="1" spans="1:32">
      <c r="A18" s="20"/>
      <c r="B18" s="21"/>
      <c r="C18" s="22">
        <v>240731000038</v>
      </c>
      <c r="D18" s="23">
        <v>45506</v>
      </c>
      <c r="E18" s="23" t="s">
        <v>80</v>
      </c>
      <c r="F18" s="21" t="s">
        <v>81</v>
      </c>
      <c r="G18" s="21" t="s">
        <v>82</v>
      </c>
      <c r="H18" s="24">
        <v>3.6015</v>
      </c>
      <c r="I18" s="24">
        <v>1074</v>
      </c>
      <c r="J18" s="43">
        <v>8038.58</v>
      </c>
      <c r="K18" s="44"/>
      <c r="L18" s="45"/>
      <c r="M18" s="46"/>
      <c r="N18" s="45"/>
      <c r="O18" s="21"/>
      <c r="P18" s="47">
        <f>SUBTOTAL(9,J18)</f>
        <v>8038.58</v>
      </c>
      <c r="Q18" s="78"/>
      <c r="R18" s="78"/>
      <c r="S18" s="75">
        <f t="shared" si="5"/>
        <v>3117.78677205882</v>
      </c>
      <c r="T18" s="75"/>
      <c r="U18" s="75">
        <f t="shared" si="6"/>
        <v>105.926470588235</v>
      </c>
      <c r="V18" s="75"/>
      <c r="W18" s="75"/>
      <c r="X18" s="77">
        <f t="shared" ref="X18:X50" si="12">SUM(S18:W18)</f>
        <v>3223.71324264706</v>
      </c>
      <c r="Y18" s="91">
        <f t="shared" si="7"/>
        <v>535.881485073529</v>
      </c>
      <c r="Z18" s="91"/>
      <c r="AA18" s="91">
        <f t="shared" si="8"/>
        <v>4.84348786764706</v>
      </c>
      <c r="AB18" s="91">
        <f t="shared" ref="AB18:AB50" si="13">SUM(Y18:AA18)</f>
        <v>540.724972941176</v>
      </c>
      <c r="AC18" s="44">
        <v>7.15</v>
      </c>
      <c r="AD18" s="75">
        <f t="shared" ref="AD18:AD50" si="14">SUM(AB18*AC18)</f>
        <v>3866.18355652941</v>
      </c>
      <c r="AE18" s="75">
        <f t="shared" ref="AE18:AE50" si="15">SUM(X18+AD18)</f>
        <v>7089.89679917647</v>
      </c>
      <c r="AF18" s="75">
        <f t="shared" ref="AF18:AF50" si="16">SUM(P18-AE18)</f>
        <v>948.68320082353</v>
      </c>
    </row>
    <row r="19" s="2" customFormat="1" spans="1:32">
      <c r="A19" s="20"/>
      <c r="B19" s="21"/>
      <c r="C19" s="22">
        <v>240801000001</v>
      </c>
      <c r="D19" s="23">
        <v>45506</v>
      </c>
      <c r="E19" s="23" t="s">
        <v>64</v>
      </c>
      <c r="F19" s="21" t="s">
        <v>64</v>
      </c>
      <c r="G19" s="21" t="s">
        <v>84</v>
      </c>
      <c r="H19" s="24">
        <v>32.88</v>
      </c>
      <c r="I19" s="24">
        <v>4188</v>
      </c>
      <c r="J19" s="43">
        <v>51584.98</v>
      </c>
      <c r="K19" s="44"/>
      <c r="L19" s="45"/>
      <c r="M19" s="46"/>
      <c r="N19" s="50"/>
      <c r="O19" s="21"/>
      <c r="P19" s="47">
        <f>SUBTOTAL(9,J19)</f>
        <v>51584.98</v>
      </c>
      <c r="Q19" s="78"/>
      <c r="R19" s="78"/>
      <c r="S19" s="75">
        <f t="shared" si="5"/>
        <v>28463.9258823529</v>
      </c>
      <c r="T19" s="75"/>
      <c r="U19" s="75">
        <f t="shared" si="6"/>
        <v>967.058823529412</v>
      </c>
      <c r="V19" s="75"/>
      <c r="W19" s="75"/>
      <c r="X19" s="77">
        <f t="shared" si="12"/>
        <v>29430.9847058824</v>
      </c>
      <c r="Y19" s="91">
        <f t="shared" si="7"/>
        <v>4892.34575294118</v>
      </c>
      <c r="Z19" s="91"/>
      <c r="AA19" s="91">
        <f t="shared" si="8"/>
        <v>44.2187647058824</v>
      </c>
      <c r="AB19" s="91">
        <f t="shared" si="13"/>
        <v>4936.56451764706</v>
      </c>
      <c r="AC19" s="44">
        <v>7.15</v>
      </c>
      <c r="AD19" s="75">
        <f t="shared" si="14"/>
        <v>35296.4363011765</v>
      </c>
      <c r="AE19" s="75">
        <f t="shared" si="15"/>
        <v>64727.4210070588</v>
      </c>
      <c r="AF19" s="75">
        <f t="shared" si="16"/>
        <v>-13142.4410070588</v>
      </c>
    </row>
    <row r="20" s="2" customFormat="1" spans="1:32">
      <c r="A20" s="20"/>
      <c r="B20" s="21"/>
      <c r="C20" s="22">
        <v>240728000003</v>
      </c>
      <c r="D20" s="23">
        <v>45506</v>
      </c>
      <c r="E20" s="23" t="s">
        <v>64</v>
      </c>
      <c r="F20" s="21" t="s">
        <v>64</v>
      </c>
      <c r="G20" s="21" t="s">
        <v>78</v>
      </c>
      <c r="H20" s="24">
        <v>0.2595</v>
      </c>
      <c r="I20" s="24">
        <v>100</v>
      </c>
      <c r="J20" s="43">
        <v>699</v>
      </c>
      <c r="K20" s="44"/>
      <c r="L20" s="45"/>
      <c r="M20" s="46"/>
      <c r="N20" s="45"/>
      <c r="O20" s="21"/>
      <c r="P20" s="47">
        <f>SUBTOTAL(9,J20)</f>
        <v>699</v>
      </c>
      <c r="Q20" s="78"/>
      <c r="R20" s="78"/>
      <c r="S20" s="75">
        <f t="shared" si="5"/>
        <v>224.646860294118</v>
      </c>
      <c r="T20" s="75"/>
      <c r="U20" s="75">
        <f t="shared" si="6"/>
        <v>7.63235294117647</v>
      </c>
      <c r="V20" s="75"/>
      <c r="W20" s="75"/>
      <c r="X20" s="77">
        <f t="shared" si="12"/>
        <v>232.279213235294</v>
      </c>
      <c r="Y20" s="91">
        <f t="shared" si="7"/>
        <v>38.6120353676471</v>
      </c>
      <c r="Z20" s="91"/>
      <c r="AA20" s="91">
        <f t="shared" si="8"/>
        <v>0.348989338235294</v>
      </c>
      <c r="AB20" s="91">
        <f t="shared" si="13"/>
        <v>38.9610247058824</v>
      </c>
      <c r="AC20" s="44">
        <v>7.15</v>
      </c>
      <c r="AD20" s="75">
        <f t="shared" si="14"/>
        <v>278.571326647059</v>
      </c>
      <c r="AE20" s="75">
        <f t="shared" si="15"/>
        <v>510.850539882353</v>
      </c>
      <c r="AF20" s="75">
        <f t="shared" si="16"/>
        <v>188.149460117647</v>
      </c>
    </row>
    <row r="21" s="2" customFormat="1" spans="1:32">
      <c r="A21" s="20"/>
      <c r="B21" s="21"/>
      <c r="C21" s="22">
        <v>240801000022</v>
      </c>
      <c r="D21" s="23">
        <v>45506</v>
      </c>
      <c r="E21" s="23" t="s">
        <v>92</v>
      </c>
      <c r="F21" s="21" t="s">
        <v>93</v>
      </c>
      <c r="G21" s="21" t="s">
        <v>97</v>
      </c>
      <c r="H21" s="24">
        <v>1.8732</v>
      </c>
      <c r="I21" s="24">
        <v>1420</v>
      </c>
      <c r="J21" s="47"/>
      <c r="K21" s="49">
        <v>1129654.4</v>
      </c>
      <c r="L21" s="45"/>
      <c r="M21" s="46">
        <f>SUM(K21/N21)</f>
        <v>1739</v>
      </c>
      <c r="N21" s="50">
        <v>649.6</v>
      </c>
      <c r="O21" s="21">
        <v>7.06</v>
      </c>
      <c r="P21" s="47">
        <f>SUM(N21*O21)</f>
        <v>4586.176</v>
      </c>
      <c r="Q21" s="78"/>
      <c r="R21" s="78"/>
      <c r="S21" s="75">
        <f t="shared" si="5"/>
        <v>1621.61271176471</v>
      </c>
      <c r="T21" s="75"/>
      <c r="U21" s="75">
        <f t="shared" si="6"/>
        <v>55.0941176470588</v>
      </c>
      <c r="V21" s="75"/>
      <c r="W21" s="75"/>
      <c r="X21" s="77">
        <f t="shared" si="12"/>
        <v>1676.70682941176</v>
      </c>
      <c r="Y21" s="91">
        <f t="shared" si="7"/>
        <v>278.720865705882</v>
      </c>
      <c r="Z21" s="91"/>
      <c r="AA21" s="91">
        <f t="shared" si="8"/>
        <v>2.51917852941176</v>
      </c>
      <c r="AB21" s="91">
        <f t="shared" si="13"/>
        <v>281.240044235294</v>
      </c>
      <c r="AC21" s="44">
        <v>7.15</v>
      </c>
      <c r="AD21" s="75">
        <f t="shared" si="14"/>
        <v>2010.86631628235</v>
      </c>
      <c r="AE21" s="75">
        <f t="shared" si="15"/>
        <v>3687.57314569412</v>
      </c>
      <c r="AF21" s="75">
        <f t="shared" si="16"/>
        <v>898.602854305883</v>
      </c>
    </row>
    <row r="22" s="2" customFormat="1" spans="1:32">
      <c r="A22" s="20"/>
      <c r="B22" s="21"/>
      <c r="C22" s="22">
        <v>240802000022</v>
      </c>
      <c r="D22" s="23">
        <v>45506</v>
      </c>
      <c r="E22" s="23" t="s">
        <v>64</v>
      </c>
      <c r="F22" s="21" t="s">
        <v>64</v>
      </c>
      <c r="G22" s="21" t="s">
        <v>85</v>
      </c>
      <c r="H22" s="111">
        <v>0.02</v>
      </c>
      <c r="I22" s="111">
        <v>5.5</v>
      </c>
      <c r="J22" s="43">
        <v>61.48</v>
      </c>
      <c r="K22" s="44"/>
      <c r="L22" s="45"/>
      <c r="M22" s="46"/>
      <c r="N22" s="45"/>
      <c r="O22" s="21"/>
      <c r="P22" s="47">
        <f>SUBTOTAL(9,J22)</f>
        <v>61.48</v>
      </c>
      <c r="Q22" s="78"/>
      <c r="R22" s="78"/>
      <c r="S22" s="75">
        <f t="shared" si="5"/>
        <v>17.3138235294118</v>
      </c>
      <c r="T22" s="75"/>
      <c r="U22" s="75">
        <f t="shared" si="6"/>
        <v>0.588235294117647</v>
      </c>
      <c r="V22" s="75"/>
      <c r="W22" s="75"/>
      <c r="X22" s="77">
        <f t="shared" si="12"/>
        <v>17.9020588235294</v>
      </c>
      <c r="Y22" s="91">
        <f t="shared" si="7"/>
        <v>2.97587941176471</v>
      </c>
      <c r="Z22" s="91"/>
      <c r="AA22" s="91">
        <f t="shared" si="8"/>
        <v>0.0268970588235294</v>
      </c>
      <c r="AB22" s="91">
        <f t="shared" si="13"/>
        <v>3.00277647058824</v>
      </c>
      <c r="AC22" s="44">
        <v>7.15</v>
      </c>
      <c r="AD22" s="75">
        <f t="shared" si="14"/>
        <v>21.4698517647059</v>
      </c>
      <c r="AE22" s="75">
        <f t="shared" si="15"/>
        <v>39.3719105882353</v>
      </c>
      <c r="AF22" s="75">
        <f t="shared" si="16"/>
        <v>22.1080894117647</v>
      </c>
    </row>
    <row r="23" s="2" customFormat="1" spans="1:32">
      <c r="A23" s="20"/>
      <c r="B23" s="21"/>
      <c r="C23" s="22">
        <v>240802000026</v>
      </c>
      <c r="D23" s="23">
        <v>45506</v>
      </c>
      <c r="E23" s="23" t="s">
        <v>80</v>
      </c>
      <c r="F23" s="21" t="s">
        <v>81</v>
      </c>
      <c r="G23" s="21" t="s">
        <v>82</v>
      </c>
      <c r="H23" s="24">
        <v>0.0391</v>
      </c>
      <c r="I23" s="24">
        <v>42.5</v>
      </c>
      <c r="J23" s="43">
        <v>98.57</v>
      </c>
      <c r="K23" s="44"/>
      <c r="L23" s="45"/>
      <c r="M23" s="46"/>
      <c r="N23" s="45"/>
      <c r="O23" s="21"/>
      <c r="P23" s="47">
        <f>SUBTOTAL(9,J23)</f>
        <v>98.57</v>
      </c>
      <c r="Q23" s="78"/>
      <c r="R23" s="78"/>
      <c r="S23" s="75">
        <f t="shared" si="5"/>
        <v>33.848525</v>
      </c>
      <c r="T23" s="75"/>
      <c r="U23" s="75">
        <f t="shared" si="6"/>
        <v>1.15</v>
      </c>
      <c r="V23" s="75"/>
      <c r="W23" s="75"/>
      <c r="X23" s="77">
        <f t="shared" si="12"/>
        <v>34.998525</v>
      </c>
      <c r="Y23" s="91">
        <f t="shared" si="7"/>
        <v>5.81784425</v>
      </c>
      <c r="Z23" s="91"/>
      <c r="AA23" s="91">
        <f t="shared" si="8"/>
        <v>0.05258375</v>
      </c>
      <c r="AB23" s="91">
        <f t="shared" si="13"/>
        <v>5.870428</v>
      </c>
      <c r="AC23" s="44">
        <v>7.15</v>
      </c>
      <c r="AD23" s="75">
        <f t="shared" si="14"/>
        <v>41.9735602</v>
      </c>
      <c r="AE23" s="75">
        <f t="shared" si="15"/>
        <v>76.9720852</v>
      </c>
      <c r="AF23" s="75">
        <f t="shared" si="16"/>
        <v>21.5979148</v>
      </c>
    </row>
    <row r="24" s="2" customFormat="1" spans="1:32">
      <c r="A24" s="20"/>
      <c r="B24" s="21"/>
      <c r="C24" s="22">
        <v>240802000029</v>
      </c>
      <c r="D24" s="23">
        <v>45506</v>
      </c>
      <c r="E24" s="23" t="s">
        <v>64</v>
      </c>
      <c r="F24" s="21" t="s">
        <v>64</v>
      </c>
      <c r="G24" s="21" t="s">
        <v>65</v>
      </c>
      <c r="H24" s="24">
        <v>1.5074</v>
      </c>
      <c r="I24" s="24">
        <v>207</v>
      </c>
      <c r="J24" s="43">
        <v>2677.5</v>
      </c>
      <c r="K24" s="44"/>
      <c r="L24" s="45"/>
      <c r="M24" s="46"/>
      <c r="N24" s="51"/>
      <c r="O24" s="21"/>
      <c r="P24" s="47">
        <f>SUBTOTAL(9,J24)</f>
        <v>2677.5</v>
      </c>
      <c r="Q24" s="79"/>
      <c r="R24" s="79"/>
      <c r="S24" s="75">
        <f t="shared" si="5"/>
        <v>1304.94287941176</v>
      </c>
      <c r="T24" s="75"/>
      <c r="U24" s="75">
        <f t="shared" si="6"/>
        <v>44.3352941176471</v>
      </c>
      <c r="V24" s="75"/>
      <c r="W24" s="75"/>
      <c r="X24" s="77">
        <f t="shared" si="12"/>
        <v>1349.27817352941</v>
      </c>
      <c r="Y24" s="91">
        <f t="shared" si="7"/>
        <v>224.292031264706</v>
      </c>
      <c r="Z24" s="91"/>
      <c r="AA24" s="91">
        <f t="shared" si="8"/>
        <v>2.02723132352941</v>
      </c>
      <c r="AB24" s="91">
        <f t="shared" si="13"/>
        <v>226.319262588235</v>
      </c>
      <c r="AC24" s="44">
        <v>7.15</v>
      </c>
      <c r="AD24" s="75">
        <f t="shared" si="14"/>
        <v>1618.18272750588</v>
      </c>
      <c r="AE24" s="75">
        <f t="shared" si="15"/>
        <v>2967.46090103529</v>
      </c>
      <c r="AF24" s="75">
        <f t="shared" si="16"/>
        <v>-289.960901035294</v>
      </c>
    </row>
    <row r="25" ht="15.75" spans="1:32">
      <c r="A25" s="26" t="s">
        <v>26</v>
      </c>
      <c r="B25" s="27"/>
      <c r="C25" s="27"/>
      <c r="D25" s="27"/>
      <c r="E25" s="27"/>
      <c r="F25" s="27"/>
      <c r="G25" s="27"/>
      <c r="H25" s="27"/>
      <c r="I25" s="52"/>
      <c r="J25" s="27">
        <f>SUM(J4:J4)</f>
        <v>0</v>
      </c>
      <c r="K25" s="53"/>
      <c r="L25" s="54"/>
      <c r="M25" s="53"/>
      <c r="N25" s="53">
        <f t="shared" ref="N25:Q25" si="17">SUM(N4:N4)</f>
        <v>0</v>
      </c>
      <c r="O25" s="27"/>
      <c r="P25" s="27">
        <f t="shared" si="17"/>
        <v>0</v>
      </c>
      <c r="Q25" s="27">
        <f t="shared" si="17"/>
        <v>0</v>
      </c>
      <c r="R25" s="27"/>
      <c r="S25" s="27"/>
      <c r="T25" s="27"/>
      <c r="U25" s="27"/>
      <c r="V25" s="27"/>
      <c r="W25" s="27"/>
      <c r="X25" s="80">
        <f>SUM(X4:X4)</f>
        <v>0</v>
      </c>
      <c r="Y25" s="54"/>
      <c r="Z25" s="54"/>
      <c r="AA25" s="54"/>
      <c r="AB25" s="54"/>
      <c r="AC25" s="53"/>
      <c r="AD25" s="27">
        <f>SUM(AD4:AD4)</f>
        <v>0</v>
      </c>
      <c r="AE25" s="27"/>
      <c r="AF25" s="93">
        <f>SUM(AF4:AF24)</f>
        <v>19357.9609156235</v>
      </c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  <row r="38" customFormat="1" spans="4:29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</row>
    <row r="39" customFormat="1" spans="4:29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</row>
    <row r="40" customFormat="1" spans="4:29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</row>
    <row r="41" customFormat="1" spans="4:29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</row>
  </sheetData>
  <autoFilter xmlns:etc="http://www.wps.cn/officeDocument/2017/etCustomData" ref="A3:AF25" etc:filterBottomFollowUsedRange="0">
    <extLst/>
  </autoFilter>
  <mergeCells count="21">
    <mergeCell ref="A1:AF1"/>
    <mergeCell ref="J3:P3"/>
    <mergeCell ref="R3:V3"/>
    <mergeCell ref="Y3:AD3"/>
    <mergeCell ref="A3:A4"/>
    <mergeCell ref="A5:A24"/>
    <mergeCell ref="B3:B4"/>
    <mergeCell ref="B5:B24"/>
    <mergeCell ref="C3:C4"/>
    <mergeCell ref="D3:D4"/>
    <mergeCell ref="E3:E4"/>
    <mergeCell ref="F3:F4"/>
    <mergeCell ref="G3:G4"/>
    <mergeCell ref="H3:H4"/>
    <mergeCell ref="I3:I4"/>
    <mergeCell ref="Q3:Q4"/>
    <mergeCell ref="Q5:Q24"/>
    <mergeCell ref="R5:R2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70.927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103" t="s">
        <v>10</v>
      </c>
      <c r="B5" s="103" t="s">
        <v>11</v>
      </c>
      <c r="C5" s="22">
        <v>240804000005</v>
      </c>
      <c r="D5" s="23">
        <v>45511</v>
      </c>
      <c r="E5" s="23" t="s">
        <v>66</v>
      </c>
      <c r="F5" s="21" t="s">
        <v>67</v>
      </c>
      <c r="G5" s="21" t="s">
        <v>98</v>
      </c>
      <c r="H5" s="24">
        <v>34.5199</v>
      </c>
      <c r="I5" s="24">
        <v>9224</v>
      </c>
      <c r="J5" s="43">
        <v>77059.62</v>
      </c>
      <c r="K5" s="44"/>
      <c r="L5" s="50"/>
      <c r="M5" s="46"/>
      <c r="N5" s="50"/>
      <c r="O5" s="21"/>
      <c r="P5" s="75">
        <f>SUBTOTAL(9,J5)</f>
        <v>77059.62</v>
      </c>
      <c r="Q5" s="78">
        <f>SUM(P5:P8)</f>
        <v>141684.32</v>
      </c>
      <c r="R5" s="110" t="s">
        <v>99</v>
      </c>
      <c r="S5" s="75">
        <f>SUM(57532.25/68)*H5</f>
        <v>29205.99289375</v>
      </c>
      <c r="T5" s="75"/>
      <c r="U5" s="75">
        <f>SUM(1450/68)*H5</f>
        <v>736.086102941176</v>
      </c>
      <c r="V5" s="75"/>
      <c r="W5" s="75"/>
      <c r="X5" s="77">
        <f>SUM(S5:W5)</f>
        <v>29942.0789966912</v>
      </c>
      <c r="Y5" s="96">
        <f>SUM(10529/68)*H5</f>
        <v>5345.00039852941</v>
      </c>
      <c r="Z5" s="91"/>
      <c r="AA5" s="91">
        <f>SUM(206.48/68)*H5</f>
        <v>104.818661058824</v>
      </c>
      <c r="AB5" s="91">
        <f>SUM(Y5:AA5)</f>
        <v>5449.81905958824</v>
      </c>
      <c r="AC5" s="44">
        <v>7.09</v>
      </c>
      <c r="AD5" s="75">
        <f>SUM(AB5*AC5)</f>
        <v>38639.2171324806</v>
      </c>
      <c r="AE5" s="75">
        <f>SUM(X5+AD5)</f>
        <v>68581.2961291718</v>
      </c>
      <c r="AF5" s="75">
        <f>SUM(P5-AE5)</f>
        <v>8478.32387082823</v>
      </c>
    </row>
    <row r="6" s="2" customFormat="1" spans="1:32">
      <c r="A6" s="20"/>
      <c r="B6" s="21"/>
      <c r="C6" s="22">
        <v>240630000010</v>
      </c>
      <c r="D6" s="23">
        <v>45511</v>
      </c>
      <c r="E6" s="23" t="s">
        <v>72</v>
      </c>
      <c r="F6" s="21" t="s">
        <v>88</v>
      </c>
      <c r="G6" s="21" t="s">
        <v>91</v>
      </c>
      <c r="H6" s="24">
        <v>1.5552</v>
      </c>
      <c r="I6" s="24">
        <v>912</v>
      </c>
      <c r="J6" s="100">
        <v>3309</v>
      </c>
      <c r="K6" s="44"/>
      <c r="L6" s="45"/>
      <c r="M6" s="46"/>
      <c r="N6" s="45"/>
      <c r="O6" s="21"/>
      <c r="P6" s="47">
        <f>SUM(J6)</f>
        <v>3309</v>
      </c>
      <c r="Q6" s="102"/>
      <c r="R6" s="102"/>
      <c r="S6" s="75">
        <f>SUM(57532.25/68)*H6</f>
        <v>1315.7964</v>
      </c>
      <c r="T6" s="75"/>
      <c r="U6" s="75">
        <f>SUM(1450/68)*H6</f>
        <v>33.1623529411765</v>
      </c>
      <c r="V6" s="75"/>
      <c r="W6" s="75"/>
      <c r="X6" s="77">
        <f>SUM(S6:W6)</f>
        <v>1348.95875294118</v>
      </c>
      <c r="Y6" s="96">
        <f>SUM(10529/68)*H6</f>
        <v>240.804423529412</v>
      </c>
      <c r="Z6" s="91"/>
      <c r="AA6" s="91">
        <f>SUM(206.48/68)*H6</f>
        <v>4.72231905882353</v>
      </c>
      <c r="AB6" s="91">
        <f>SUM(Y6:AA6)</f>
        <v>245.526742588235</v>
      </c>
      <c r="AC6" s="44">
        <v>7.09</v>
      </c>
      <c r="AD6" s="75">
        <f>SUM(AB6*AC6)</f>
        <v>1740.78460495059</v>
      </c>
      <c r="AE6" s="75">
        <f>SUM(X6+AD6)</f>
        <v>3089.74335789176</v>
      </c>
      <c r="AF6" s="75">
        <f>SUM(P6-AE6)</f>
        <v>219.256642108236</v>
      </c>
    </row>
    <row r="7" s="2" customFormat="1" spans="1:32">
      <c r="A7" s="20"/>
      <c r="B7" s="21"/>
      <c r="C7" s="22">
        <v>240806000035</v>
      </c>
      <c r="D7" s="23">
        <v>45511</v>
      </c>
      <c r="E7" s="23" t="s">
        <v>64</v>
      </c>
      <c r="F7" s="21" t="s">
        <v>64</v>
      </c>
      <c r="G7" s="21" t="s">
        <v>84</v>
      </c>
      <c r="H7" s="24">
        <v>34.38</v>
      </c>
      <c r="I7" s="24">
        <v>4304</v>
      </c>
      <c r="J7" s="43">
        <v>59321.31</v>
      </c>
      <c r="K7" s="44"/>
      <c r="L7" s="45"/>
      <c r="M7" s="46"/>
      <c r="N7" s="50"/>
      <c r="O7" s="21"/>
      <c r="P7" s="75">
        <f>SUBTOTAL(9,J7)</f>
        <v>59321.31</v>
      </c>
      <c r="Q7" s="79"/>
      <c r="R7" s="79"/>
      <c r="S7" s="75">
        <f>SUM(57532.25/68)*H7</f>
        <v>29087.62875</v>
      </c>
      <c r="T7" s="75"/>
      <c r="U7" s="75">
        <f>SUM(1450/68)*H7</f>
        <v>733.102941176471</v>
      </c>
      <c r="V7" s="75"/>
      <c r="W7" s="75"/>
      <c r="X7" s="77">
        <f>SUM(S7:W7)</f>
        <v>29820.7316911765</v>
      </c>
      <c r="Y7" s="96">
        <f>SUM(10529/68)*H7</f>
        <v>5323.33852941177</v>
      </c>
      <c r="Z7" s="91"/>
      <c r="AA7" s="91">
        <f>SUM(206.48/68)*H7</f>
        <v>104.393858823529</v>
      </c>
      <c r="AB7" s="91">
        <f>SUM(Y7:AA7)</f>
        <v>5427.73238823529</v>
      </c>
      <c r="AC7" s="44">
        <v>7.09</v>
      </c>
      <c r="AD7" s="75">
        <f>SUM(AB7*AC7)</f>
        <v>38482.6226325882</v>
      </c>
      <c r="AE7" s="75">
        <f>SUM(X7+AD7)</f>
        <v>68303.3543237647</v>
      </c>
      <c r="AF7" s="75">
        <f>SUM(P7-AE7)</f>
        <v>-8982.04432376471</v>
      </c>
    </row>
    <row r="8" s="2" customFormat="1" spans="1:32">
      <c r="A8" s="104"/>
      <c r="B8" s="105"/>
      <c r="C8" s="22">
        <v>240805000030</v>
      </c>
      <c r="D8" s="23">
        <v>45511</v>
      </c>
      <c r="E8" s="23" t="s">
        <v>69</v>
      </c>
      <c r="F8" s="106" t="s">
        <v>70</v>
      </c>
      <c r="G8" s="106" t="s">
        <v>100</v>
      </c>
      <c r="H8" s="107">
        <v>0.4717</v>
      </c>
      <c r="I8" s="107">
        <v>63</v>
      </c>
      <c r="J8" s="108">
        <v>1994.39</v>
      </c>
      <c r="K8" s="44"/>
      <c r="L8" s="109"/>
      <c r="M8" s="46"/>
      <c r="N8" s="109"/>
      <c r="O8" s="21"/>
      <c r="P8" s="75">
        <f>SUBTOTAL(9,J8)</f>
        <v>1994.39</v>
      </c>
      <c r="Q8" s="79"/>
      <c r="R8" s="79"/>
      <c r="S8" s="75">
        <f>SUM(57532.25/68)*H8</f>
        <v>399.08768125</v>
      </c>
      <c r="T8" s="75"/>
      <c r="U8" s="75">
        <f>SUM(1450/68)*H8</f>
        <v>10.0583088235294</v>
      </c>
      <c r="V8" s="75"/>
      <c r="W8" s="75"/>
      <c r="X8" s="77">
        <f>SUM(S8:W8)</f>
        <v>409.145990073529</v>
      </c>
      <c r="Y8" s="96">
        <f>SUM(10529/68)*H8</f>
        <v>73.0371955882353</v>
      </c>
      <c r="Z8" s="92">
        <v>76.7</v>
      </c>
      <c r="AA8" s="91">
        <f>SUM(206.48/68)*H8</f>
        <v>1.43230317647059</v>
      </c>
      <c r="AB8" s="91">
        <f>SUM(Y8:AA8)</f>
        <v>151.169498764706</v>
      </c>
      <c r="AC8" s="44">
        <v>7.09</v>
      </c>
      <c r="AD8" s="75">
        <f>SUM(AB8*AC8)</f>
        <v>1071.79174624176</v>
      </c>
      <c r="AE8" s="75">
        <f>SUM(X8+AD8)</f>
        <v>1480.93773631529</v>
      </c>
      <c r="AF8" s="75">
        <f>SUM(P8-AE8)</f>
        <v>513.452263684706</v>
      </c>
    </row>
    <row r="9" ht="15.75" spans="1:32">
      <c r="A9" s="26" t="s">
        <v>26</v>
      </c>
      <c r="B9" s="27"/>
      <c r="C9" s="27"/>
      <c r="D9" s="27"/>
      <c r="E9" s="27"/>
      <c r="F9" s="27"/>
      <c r="G9" s="27"/>
      <c r="H9" s="27"/>
      <c r="I9" s="52"/>
      <c r="J9" s="27">
        <f>SUM(J4:J4)</f>
        <v>0</v>
      </c>
      <c r="K9" s="53"/>
      <c r="L9" s="54"/>
      <c r="M9" s="53"/>
      <c r="N9" s="53">
        <f t="shared" ref="N9:Q9" si="0">SUM(N4:N4)</f>
        <v>0</v>
      </c>
      <c r="O9" s="27"/>
      <c r="P9" s="27">
        <f t="shared" si="0"/>
        <v>0</v>
      </c>
      <c r="Q9" s="27">
        <f t="shared" si="0"/>
        <v>0</v>
      </c>
      <c r="R9" s="27"/>
      <c r="S9" s="27"/>
      <c r="T9" s="27"/>
      <c r="U9" s="27"/>
      <c r="V9" s="27"/>
      <c r="W9" s="27"/>
      <c r="X9" s="80">
        <f>SUM(X4:X4)</f>
        <v>0</v>
      </c>
      <c r="Y9" s="54"/>
      <c r="Z9" s="54"/>
      <c r="AA9" s="54"/>
      <c r="AB9" s="54"/>
      <c r="AC9" s="53"/>
      <c r="AD9" s="27">
        <f>SUM(AD4:AD4)</f>
        <v>0</v>
      </c>
      <c r="AE9" s="27"/>
      <c r="AF9" s="93">
        <f>SUM(AF4:AF8)</f>
        <v>228.988452856459</v>
      </c>
    </row>
    <row r="10" customFormat="1" spans="4:29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</row>
    <row r="11" customFormat="1" spans="4:29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</row>
    <row r="12" customFormat="1" spans="4:29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  <row r="14" customFormat="1" spans="4:29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</row>
    <row r="15" customFormat="1" spans="4:29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</sheetData>
  <autoFilter xmlns:etc="http://www.wps.cn/officeDocument/2017/etCustomData" ref="A3:AF9" etc:filterBottomFollowUsedRange="0">
    <extLst/>
  </autoFilter>
  <mergeCells count="21">
    <mergeCell ref="A1:AF1"/>
    <mergeCell ref="J3:P3"/>
    <mergeCell ref="R3:V3"/>
    <mergeCell ref="Y3:AD3"/>
    <mergeCell ref="A3:A4"/>
    <mergeCell ref="A5:A8"/>
    <mergeCell ref="B3:B4"/>
    <mergeCell ref="B5:B8"/>
    <mergeCell ref="C3:C4"/>
    <mergeCell ref="D3:D4"/>
    <mergeCell ref="E3:E4"/>
    <mergeCell ref="F3:F4"/>
    <mergeCell ref="G3:G4"/>
    <mergeCell ref="H3:H4"/>
    <mergeCell ref="I3:I4"/>
    <mergeCell ref="Q3:Q4"/>
    <mergeCell ref="Q5:Q8"/>
    <mergeCell ref="R5:R8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9" ySplit="3" topLeftCell="Z3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75.072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12</v>
      </c>
      <c r="B5" s="21" t="s">
        <v>13</v>
      </c>
      <c r="C5" s="22">
        <v>240718000039</v>
      </c>
      <c r="D5" s="23">
        <v>45511</v>
      </c>
      <c r="E5" s="23" t="s">
        <v>66</v>
      </c>
      <c r="F5" s="21" t="s">
        <v>67</v>
      </c>
      <c r="G5" s="21" t="s">
        <v>76</v>
      </c>
      <c r="H5" s="24">
        <v>9.29</v>
      </c>
      <c r="I5" s="24">
        <v>13260</v>
      </c>
      <c r="J5" s="43">
        <v>47474</v>
      </c>
      <c r="K5" s="44"/>
      <c r="L5" s="45"/>
      <c r="M5" s="46"/>
      <c r="N5" s="45"/>
      <c r="O5" s="21"/>
      <c r="P5" s="75">
        <f>SUBTOTAL(9,J5)</f>
        <v>47474</v>
      </c>
      <c r="Q5" s="73">
        <f>SUM(P5:P14)</f>
        <v>179665.6958</v>
      </c>
      <c r="R5" s="74" t="s">
        <v>101</v>
      </c>
      <c r="S5" s="75">
        <f>SUM(59137.25/68)*H5</f>
        <v>8079.19194852941</v>
      </c>
      <c r="T5" s="75"/>
      <c r="U5" s="75">
        <f>SUM(1450/68)*H5</f>
        <v>198.095588235294</v>
      </c>
      <c r="V5" s="76">
        <v>960</v>
      </c>
      <c r="W5" s="75"/>
      <c r="X5" s="77">
        <f t="shared" ref="X5:X26" si="0">SUM(S5:W5)</f>
        <v>9237.2875367647</v>
      </c>
      <c r="Y5" s="96">
        <f>SUM(10529/68)*H5</f>
        <v>1438.44720588235</v>
      </c>
      <c r="Z5" s="92">
        <v>1823.01</v>
      </c>
      <c r="AA5" s="91">
        <f>SUM(259.58/68)*H5</f>
        <v>35.4632088235294</v>
      </c>
      <c r="AB5" s="91">
        <f t="shared" ref="AB5:AB26" si="1">SUM(Y5:AA5)</f>
        <v>3296.92041470588</v>
      </c>
      <c r="AC5" s="44">
        <v>7.09</v>
      </c>
      <c r="AD5" s="75">
        <f t="shared" ref="AD5:AD26" si="2">SUM(AB5*AC5)</f>
        <v>23375.1657402647</v>
      </c>
      <c r="AE5" s="75">
        <f t="shared" ref="AE5:AE26" si="3">SUM(X5+AD5)</f>
        <v>32612.4532770294</v>
      </c>
      <c r="AF5" s="75">
        <f t="shared" ref="AF5:AF26" si="4">SUM(P5-AE5)</f>
        <v>14861.5467229706</v>
      </c>
    </row>
    <row r="6" s="2" customFormat="1" spans="1:32">
      <c r="A6" s="20"/>
      <c r="B6" s="21"/>
      <c r="C6" s="22">
        <v>240724000012</v>
      </c>
      <c r="D6" s="23">
        <v>45511</v>
      </c>
      <c r="E6" s="23" t="s">
        <v>92</v>
      </c>
      <c r="F6" s="21" t="s">
        <v>93</v>
      </c>
      <c r="G6" s="21" t="s">
        <v>102</v>
      </c>
      <c r="H6" s="24">
        <v>5.7046</v>
      </c>
      <c r="I6" s="24">
        <v>942</v>
      </c>
      <c r="J6" s="43">
        <v>14778</v>
      </c>
      <c r="K6" s="44"/>
      <c r="L6" s="45"/>
      <c r="M6" s="46"/>
      <c r="N6" s="45"/>
      <c r="O6" s="21"/>
      <c r="P6" s="75">
        <f>SUBTOTAL(9,J6)</f>
        <v>14778</v>
      </c>
      <c r="Q6" s="78"/>
      <c r="R6" s="78"/>
      <c r="S6" s="75">
        <f t="shared" ref="S6:S14" si="5">SUM(59137.25/68)*H6</f>
        <v>4961.09347573529</v>
      </c>
      <c r="T6" s="75"/>
      <c r="U6" s="75">
        <f t="shared" ref="U6:U14" si="6">SUM(1450/68)*H6</f>
        <v>121.642205882353</v>
      </c>
      <c r="V6" s="76">
        <v>1400</v>
      </c>
      <c r="W6" s="75"/>
      <c r="X6" s="77">
        <f t="shared" si="0"/>
        <v>6482.73568161765</v>
      </c>
      <c r="Y6" s="96">
        <f t="shared" ref="Y6:Y14" si="7">SUM(10529/68)*H6</f>
        <v>883.290197058824</v>
      </c>
      <c r="Z6" s="91"/>
      <c r="AA6" s="91">
        <f t="shared" ref="AA6:AA14" si="8">SUM(259.58/68)*H6</f>
        <v>21.7764715882353</v>
      </c>
      <c r="AB6" s="91">
        <f t="shared" si="1"/>
        <v>905.066668647059</v>
      </c>
      <c r="AC6" s="44">
        <v>7.09</v>
      </c>
      <c r="AD6" s="75">
        <f t="shared" si="2"/>
        <v>6416.92268070765</v>
      </c>
      <c r="AE6" s="75">
        <f t="shared" si="3"/>
        <v>12899.6583623253</v>
      </c>
      <c r="AF6" s="75">
        <f t="shared" si="4"/>
        <v>1878.34163767471</v>
      </c>
    </row>
    <row r="7" s="2" customFormat="1" spans="1:32">
      <c r="A7" s="20"/>
      <c r="B7" s="21"/>
      <c r="C7" s="22">
        <v>240730000015</v>
      </c>
      <c r="D7" s="23">
        <v>45511</v>
      </c>
      <c r="E7" s="23" t="s">
        <v>66</v>
      </c>
      <c r="F7" s="21" t="s">
        <v>67</v>
      </c>
      <c r="G7" s="21" t="s">
        <v>68</v>
      </c>
      <c r="H7" s="24">
        <v>0.159</v>
      </c>
      <c r="I7" s="24">
        <v>26.5</v>
      </c>
      <c r="J7" s="43">
        <v>376.32</v>
      </c>
      <c r="K7" s="44"/>
      <c r="L7" s="45"/>
      <c r="M7" s="46"/>
      <c r="N7" s="45"/>
      <c r="O7" s="21"/>
      <c r="P7" s="75">
        <f>SUBTOTAL(9,J7)</f>
        <v>376.32</v>
      </c>
      <c r="Q7" s="78"/>
      <c r="R7" s="78"/>
      <c r="S7" s="75">
        <f t="shared" si="5"/>
        <v>138.276805147059</v>
      </c>
      <c r="T7" s="75"/>
      <c r="U7" s="75">
        <f t="shared" si="6"/>
        <v>3.39044117647059</v>
      </c>
      <c r="V7" s="75"/>
      <c r="W7" s="75"/>
      <c r="X7" s="77">
        <f t="shared" si="0"/>
        <v>141.667246323529</v>
      </c>
      <c r="Y7" s="96">
        <f t="shared" si="7"/>
        <v>24.6192794117647</v>
      </c>
      <c r="Z7" s="92"/>
      <c r="AA7" s="91">
        <f t="shared" si="8"/>
        <v>0.606959117647059</v>
      </c>
      <c r="AB7" s="91">
        <f t="shared" si="1"/>
        <v>25.2262385294118</v>
      </c>
      <c r="AC7" s="44">
        <v>7.09</v>
      </c>
      <c r="AD7" s="75">
        <f t="shared" si="2"/>
        <v>178.854031173529</v>
      </c>
      <c r="AE7" s="75">
        <f t="shared" si="3"/>
        <v>320.521277497059</v>
      </c>
      <c r="AF7" s="75">
        <f t="shared" si="4"/>
        <v>55.7987225029412</v>
      </c>
    </row>
    <row r="8" s="2" customFormat="1" spans="1:32">
      <c r="A8" s="20"/>
      <c r="B8" s="21"/>
      <c r="C8" s="22">
        <v>240801000020</v>
      </c>
      <c r="D8" s="23">
        <v>45512</v>
      </c>
      <c r="E8" s="23" t="s">
        <v>69</v>
      </c>
      <c r="F8" s="21" t="s">
        <v>70</v>
      </c>
      <c r="G8" s="21" t="s">
        <v>75</v>
      </c>
      <c r="H8" s="24">
        <v>5.1796</v>
      </c>
      <c r="I8" s="24">
        <v>572</v>
      </c>
      <c r="J8" s="43">
        <v>12648</v>
      </c>
      <c r="K8" s="44"/>
      <c r="L8" s="45"/>
      <c r="M8" s="46"/>
      <c r="N8" s="45"/>
      <c r="O8" s="21"/>
      <c r="P8" s="75">
        <f>SUBTOTAL(9,J8)</f>
        <v>12648</v>
      </c>
      <c r="Q8" s="73"/>
      <c r="R8" s="73"/>
      <c r="S8" s="75">
        <f t="shared" si="5"/>
        <v>4504.51911911765</v>
      </c>
      <c r="T8" s="75"/>
      <c r="U8" s="75">
        <f t="shared" si="6"/>
        <v>110.447352941176</v>
      </c>
      <c r="V8" s="75"/>
      <c r="W8" s="75"/>
      <c r="X8" s="77">
        <f t="shared" si="0"/>
        <v>4614.96647205882</v>
      </c>
      <c r="Y8" s="96">
        <f t="shared" si="7"/>
        <v>802.000123529412</v>
      </c>
      <c r="Z8" s="91"/>
      <c r="AA8" s="91">
        <f t="shared" si="8"/>
        <v>19.7723612941176</v>
      </c>
      <c r="AB8" s="91">
        <f t="shared" si="1"/>
        <v>821.772484823529</v>
      </c>
      <c r="AC8" s="44">
        <v>7.09</v>
      </c>
      <c r="AD8" s="75">
        <f t="shared" si="2"/>
        <v>5826.36691739882</v>
      </c>
      <c r="AE8" s="75">
        <f t="shared" si="3"/>
        <v>10441.3333894576</v>
      </c>
      <c r="AF8" s="75">
        <f t="shared" si="4"/>
        <v>2206.66661054235</v>
      </c>
    </row>
    <row r="9" s="2" customFormat="1" spans="1:32">
      <c r="A9" s="20"/>
      <c r="B9" s="21"/>
      <c r="C9" s="22">
        <v>240630000010</v>
      </c>
      <c r="D9" s="23">
        <v>45534</v>
      </c>
      <c r="E9" s="23" t="s">
        <v>72</v>
      </c>
      <c r="F9" s="21" t="s">
        <v>88</v>
      </c>
      <c r="G9" s="21" t="s">
        <v>91</v>
      </c>
      <c r="H9" s="25">
        <v>4.6083</v>
      </c>
      <c r="I9" s="24">
        <v>761.3</v>
      </c>
      <c r="J9" s="100">
        <v>9806</v>
      </c>
      <c r="K9" s="44"/>
      <c r="L9" s="45"/>
      <c r="M9" s="46"/>
      <c r="N9" s="45"/>
      <c r="O9" s="21"/>
      <c r="P9" s="47">
        <f>SUM(J9)</f>
        <v>9806</v>
      </c>
      <c r="Q9" s="102"/>
      <c r="R9" s="102"/>
      <c r="S9" s="75">
        <f t="shared" si="5"/>
        <v>4007.67925257353</v>
      </c>
      <c r="T9" s="75"/>
      <c r="U9" s="75">
        <f t="shared" si="6"/>
        <v>98.2652205882353</v>
      </c>
      <c r="V9" s="75"/>
      <c r="W9" s="75"/>
      <c r="X9" s="77">
        <f t="shared" si="0"/>
        <v>4105.94447316177</v>
      </c>
      <c r="Y9" s="96">
        <f t="shared" si="7"/>
        <v>713.541039705882</v>
      </c>
      <c r="Z9" s="91"/>
      <c r="AA9" s="91">
        <f t="shared" si="8"/>
        <v>17.5915075588235</v>
      </c>
      <c r="AB9" s="91">
        <f t="shared" si="1"/>
        <v>731.132547264706</v>
      </c>
      <c r="AC9" s="44">
        <v>7.09</v>
      </c>
      <c r="AD9" s="75">
        <f t="shared" si="2"/>
        <v>5183.72976010676</v>
      </c>
      <c r="AE9" s="75">
        <f t="shared" si="3"/>
        <v>9289.67423326853</v>
      </c>
      <c r="AF9" s="75">
        <f t="shared" si="4"/>
        <v>516.32576673147</v>
      </c>
    </row>
    <row r="10" s="2" customFormat="1" spans="1:32">
      <c r="A10" s="20"/>
      <c r="B10" s="21"/>
      <c r="C10" s="22">
        <v>240728000003</v>
      </c>
      <c r="D10" s="23">
        <v>45506</v>
      </c>
      <c r="E10" s="23" t="s">
        <v>64</v>
      </c>
      <c r="F10" s="21" t="s">
        <v>64</v>
      </c>
      <c r="G10" s="21" t="s">
        <v>78</v>
      </c>
      <c r="H10" s="24">
        <v>0.29</v>
      </c>
      <c r="I10" s="24">
        <v>135</v>
      </c>
      <c r="J10" s="43">
        <v>782</v>
      </c>
      <c r="K10" s="44"/>
      <c r="L10" s="45"/>
      <c r="M10" s="46"/>
      <c r="N10" s="45"/>
      <c r="O10" s="21"/>
      <c r="P10" s="47">
        <f t="shared" ref="P10:P12" si="9">SUBTOTAL(9,J10)</f>
        <v>782</v>
      </c>
      <c r="Q10" s="78"/>
      <c r="R10" s="78"/>
      <c r="S10" s="75">
        <f t="shared" si="5"/>
        <v>252.202977941176</v>
      </c>
      <c r="T10" s="75"/>
      <c r="U10" s="75">
        <f t="shared" si="6"/>
        <v>6.18382352941176</v>
      </c>
      <c r="V10" s="75"/>
      <c r="W10" s="75"/>
      <c r="X10" s="77">
        <f t="shared" si="0"/>
        <v>258.386801470588</v>
      </c>
      <c r="Y10" s="96">
        <f t="shared" si="7"/>
        <v>44.9030882352941</v>
      </c>
      <c r="Z10" s="91"/>
      <c r="AA10" s="91">
        <f t="shared" si="8"/>
        <v>1.10703235294118</v>
      </c>
      <c r="AB10" s="91">
        <f t="shared" si="1"/>
        <v>46.0101205882353</v>
      </c>
      <c r="AC10" s="44">
        <v>7.09</v>
      </c>
      <c r="AD10" s="75">
        <f t="shared" si="2"/>
        <v>326.211754970588</v>
      </c>
      <c r="AE10" s="75">
        <f t="shared" si="3"/>
        <v>584.598556441176</v>
      </c>
      <c r="AF10" s="75">
        <f t="shared" si="4"/>
        <v>197.401443558824</v>
      </c>
    </row>
    <row r="11" s="2" customFormat="1" spans="1:32">
      <c r="A11" s="20"/>
      <c r="B11" s="21"/>
      <c r="C11" s="22">
        <v>240730000035</v>
      </c>
      <c r="D11" s="23">
        <v>45511</v>
      </c>
      <c r="E11" s="23" t="s">
        <v>72</v>
      </c>
      <c r="F11" s="21" t="s">
        <v>88</v>
      </c>
      <c r="G11" s="21" t="s">
        <v>103</v>
      </c>
      <c r="H11" s="24">
        <v>1.0597</v>
      </c>
      <c r="I11" s="24">
        <v>336</v>
      </c>
      <c r="J11" s="43">
        <v>3645.46</v>
      </c>
      <c r="K11" s="44"/>
      <c r="L11" s="45"/>
      <c r="M11" s="46"/>
      <c r="N11" s="45"/>
      <c r="O11" s="21"/>
      <c r="P11" s="75">
        <f t="shared" si="9"/>
        <v>3645.46</v>
      </c>
      <c r="Q11" s="78"/>
      <c r="R11" s="78"/>
      <c r="S11" s="75">
        <f t="shared" si="5"/>
        <v>921.584468014706</v>
      </c>
      <c r="T11" s="75"/>
      <c r="U11" s="75">
        <f t="shared" si="6"/>
        <v>22.5965441176471</v>
      </c>
      <c r="V11" s="75"/>
      <c r="W11" s="75"/>
      <c r="X11" s="77">
        <f t="shared" si="0"/>
        <v>944.181012132353</v>
      </c>
      <c r="Y11" s="96">
        <f t="shared" si="7"/>
        <v>164.082077941176</v>
      </c>
      <c r="Z11" s="92">
        <v>50.15</v>
      </c>
      <c r="AA11" s="91">
        <f t="shared" si="8"/>
        <v>4.04524891176471</v>
      </c>
      <c r="AB11" s="91">
        <f t="shared" si="1"/>
        <v>218.277326852941</v>
      </c>
      <c r="AC11" s="44">
        <v>7.09</v>
      </c>
      <c r="AD11" s="75">
        <f t="shared" si="2"/>
        <v>1547.58624738735</v>
      </c>
      <c r="AE11" s="75">
        <f t="shared" si="3"/>
        <v>2491.76725951971</v>
      </c>
      <c r="AF11" s="75">
        <f t="shared" si="4"/>
        <v>1153.69274048029</v>
      </c>
    </row>
    <row r="12" s="2" customFormat="1" spans="1:32">
      <c r="A12" s="20"/>
      <c r="B12" s="21"/>
      <c r="C12" s="22">
        <v>240802000009</v>
      </c>
      <c r="D12" s="23">
        <v>45511</v>
      </c>
      <c r="E12" s="23" t="s">
        <v>92</v>
      </c>
      <c r="F12" s="21" t="s">
        <v>93</v>
      </c>
      <c r="G12" s="21" t="s">
        <v>104</v>
      </c>
      <c r="H12" s="24">
        <v>0.1283</v>
      </c>
      <c r="I12" s="24">
        <v>12.76</v>
      </c>
      <c r="J12" s="43">
        <v>327.6</v>
      </c>
      <c r="K12" s="44"/>
      <c r="L12" s="45"/>
      <c r="M12" s="46"/>
      <c r="N12" s="45"/>
      <c r="O12" s="21"/>
      <c r="P12" s="75">
        <f t="shared" si="9"/>
        <v>327.6</v>
      </c>
      <c r="Q12" s="78"/>
      <c r="R12" s="78"/>
      <c r="S12" s="75">
        <f t="shared" si="5"/>
        <v>111.578076102941</v>
      </c>
      <c r="T12" s="75"/>
      <c r="U12" s="75">
        <f t="shared" si="6"/>
        <v>2.73580882352941</v>
      </c>
      <c r="V12" s="75"/>
      <c r="W12" s="75"/>
      <c r="X12" s="77">
        <f t="shared" si="0"/>
        <v>114.313884926471</v>
      </c>
      <c r="Y12" s="96">
        <f t="shared" si="7"/>
        <v>19.8657455882353</v>
      </c>
      <c r="Z12" s="91"/>
      <c r="AA12" s="91">
        <f t="shared" si="8"/>
        <v>0.489766382352941</v>
      </c>
      <c r="AB12" s="91">
        <f t="shared" si="1"/>
        <v>20.3555119705882</v>
      </c>
      <c r="AC12" s="44">
        <v>7.09</v>
      </c>
      <c r="AD12" s="75">
        <f t="shared" si="2"/>
        <v>144.320579871471</v>
      </c>
      <c r="AE12" s="75">
        <f t="shared" si="3"/>
        <v>258.634464797941</v>
      </c>
      <c r="AF12" s="75">
        <f t="shared" si="4"/>
        <v>68.9655352020588</v>
      </c>
    </row>
    <row r="13" s="2" customFormat="1" spans="1:32">
      <c r="A13" s="20"/>
      <c r="B13" s="21"/>
      <c r="C13" s="22">
        <v>240804000004</v>
      </c>
      <c r="D13" s="23">
        <v>45511</v>
      </c>
      <c r="E13" s="23" t="s">
        <v>60</v>
      </c>
      <c r="F13" s="21" t="s">
        <v>61</v>
      </c>
      <c r="G13" s="21" t="s">
        <v>62</v>
      </c>
      <c r="H13" s="24">
        <v>10.2324</v>
      </c>
      <c r="I13" s="24">
        <v>1319</v>
      </c>
      <c r="J13" s="47"/>
      <c r="K13" s="49">
        <v>5637625</v>
      </c>
      <c r="L13" s="45"/>
      <c r="M13" s="46">
        <f>SUM(K13/N13)</f>
        <v>1710.99993019579</v>
      </c>
      <c r="N13" s="50">
        <v>3294.93</v>
      </c>
      <c r="O13" s="21">
        <v>7.06</v>
      </c>
      <c r="P13" s="75">
        <f>SUM(N13*O13)</f>
        <v>23262.2058</v>
      </c>
      <c r="Q13" s="78"/>
      <c r="R13" s="78"/>
      <c r="S13" s="75">
        <f t="shared" si="5"/>
        <v>8898.76466029412</v>
      </c>
      <c r="T13" s="75"/>
      <c r="U13" s="75">
        <f t="shared" si="6"/>
        <v>218.190882352941</v>
      </c>
      <c r="V13" s="76">
        <v>150</v>
      </c>
      <c r="W13" s="75"/>
      <c r="X13" s="77">
        <f t="shared" si="0"/>
        <v>9266.95554264706</v>
      </c>
      <c r="Y13" s="96">
        <f t="shared" si="7"/>
        <v>1584.36675882353</v>
      </c>
      <c r="Z13" s="91"/>
      <c r="AA13" s="91">
        <f t="shared" si="8"/>
        <v>39.0606822352941</v>
      </c>
      <c r="AB13" s="91">
        <f t="shared" si="1"/>
        <v>1623.42744105882</v>
      </c>
      <c r="AC13" s="44">
        <v>7.09</v>
      </c>
      <c r="AD13" s="75">
        <f t="shared" si="2"/>
        <v>11510.1005571071</v>
      </c>
      <c r="AE13" s="75">
        <f t="shared" si="3"/>
        <v>20777.0560997541</v>
      </c>
      <c r="AF13" s="75">
        <f t="shared" si="4"/>
        <v>2485.14970024588</v>
      </c>
    </row>
    <row r="14" s="2" customFormat="1" spans="1:32">
      <c r="A14" s="20"/>
      <c r="B14" s="21"/>
      <c r="C14" s="22">
        <v>240806000035</v>
      </c>
      <c r="D14" s="23">
        <v>45511</v>
      </c>
      <c r="E14" s="23" t="s">
        <v>64</v>
      </c>
      <c r="F14" s="21" t="s">
        <v>64</v>
      </c>
      <c r="G14" s="21" t="s">
        <v>84</v>
      </c>
      <c r="H14" s="24">
        <v>38.42</v>
      </c>
      <c r="I14" s="24">
        <v>4700</v>
      </c>
      <c r="J14" s="43">
        <v>66566.11</v>
      </c>
      <c r="K14" s="44"/>
      <c r="L14" s="45"/>
      <c r="M14" s="46"/>
      <c r="N14" s="50"/>
      <c r="O14" s="21"/>
      <c r="P14" s="75">
        <f>SUBTOTAL(9,J14)</f>
        <v>66566.11</v>
      </c>
      <c r="Q14" s="79"/>
      <c r="R14" s="79"/>
      <c r="S14" s="75">
        <f t="shared" si="5"/>
        <v>33412.54625</v>
      </c>
      <c r="T14" s="75"/>
      <c r="U14" s="75">
        <f t="shared" si="6"/>
        <v>819.25</v>
      </c>
      <c r="V14" s="75"/>
      <c r="W14" s="75"/>
      <c r="X14" s="77">
        <f t="shared" si="0"/>
        <v>34231.79625</v>
      </c>
      <c r="Y14" s="96">
        <f t="shared" si="7"/>
        <v>5948.885</v>
      </c>
      <c r="Z14" s="92"/>
      <c r="AA14" s="91">
        <f t="shared" si="8"/>
        <v>146.6627</v>
      </c>
      <c r="AB14" s="91">
        <f t="shared" si="1"/>
        <v>6095.5477</v>
      </c>
      <c r="AC14" s="44">
        <v>7.09</v>
      </c>
      <c r="AD14" s="75">
        <f t="shared" si="2"/>
        <v>43217.433193</v>
      </c>
      <c r="AE14" s="75">
        <f t="shared" si="3"/>
        <v>77449.229443</v>
      </c>
      <c r="AF14" s="75">
        <f t="shared" si="4"/>
        <v>-10883.119443</v>
      </c>
    </row>
    <row r="15" ht="17" customHeight="1" spans="1:32">
      <c r="A15" s="26" t="s">
        <v>26</v>
      </c>
      <c r="B15" s="27"/>
      <c r="C15" s="27"/>
      <c r="D15" s="27"/>
      <c r="E15" s="27"/>
      <c r="F15" s="27"/>
      <c r="G15" s="27"/>
      <c r="H15" s="27"/>
      <c r="I15" s="52"/>
      <c r="J15" s="27">
        <f>SUM(J4:J4)</f>
        <v>0</v>
      </c>
      <c r="K15" s="53"/>
      <c r="L15" s="54"/>
      <c r="M15" s="53"/>
      <c r="N15" s="53">
        <f t="shared" ref="N15:Q15" si="10">SUM(N4:N4)</f>
        <v>0</v>
      </c>
      <c r="O15" s="27"/>
      <c r="P15" s="27">
        <f t="shared" si="10"/>
        <v>0</v>
      </c>
      <c r="Q15" s="27">
        <f t="shared" si="10"/>
        <v>0</v>
      </c>
      <c r="R15" s="27"/>
      <c r="S15" s="27"/>
      <c r="T15" s="27"/>
      <c r="U15" s="27"/>
      <c r="V15" s="27"/>
      <c r="W15" s="27"/>
      <c r="X15" s="80">
        <f>SUM(X4:X4)</f>
        <v>0</v>
      </c>
      <c r="Y15" s="54"/>
      <c r="Z15" s="54"/>
      <c r="AA15" s="54"/>
      <c r="AB15" s="54"/>
      <c r="AC15" s="53"/>
      <c r="AD15" s="27">
        <f>SUM(AD4:AD4)</f>
        <v>0</v>
      </c>
      <c r="AE15" s="27"/>
      <c r="AF15" s="93">
        <f>SUM(AF4:AF14)</f>
        <v>12540.7694369091</v>
      </c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72.4244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14</v>
      </c>
      <c r="B5" s="21" t="s">
        <v>15</v>
      </c>
      <c r="C5" s="22">
        <v>240801000020</v>
      </c>
      <c r="D5" s="23">
        <v>45512</v>
      </c>
      <c r="E5" s="23" t="s">
        <v>69</v>
      </c>
      <c r="F5" s="21" t="s">
        <v>70</v>
      </c>
      <c r="G5" s="21" t="s">
        <v>75</v>
      </c>
      <c r="H5" s="24">
        <v>5.7204</v>
      </c>
      <c r="I5" s="24">
        <v>603</v>
      </c>
      <c r="J5" s="43">
        <v>13956</v>
      </c>
      <c r="K5" s="44"/>
      <c r="L5" s="45"/>
      <c r="M5" s="46"/>
      <c r="N5" s="45"/>
      <c r="O5" s="21"/>
      <c r="P5" s="75">
        <f t="shared" ref="P5:P13" si="0">SUBTOTAL(9,J5)</f>
        <v>13956</v>
      </c>
      <c r="Q5" s="73">
        <f>SUM(P5:P16)</f>
        <v>154255.39</v>
      </c>
      <c r="R5" s="74" t="s">
        <v>105</v>
      </c>
      <c r="S5" s="75">
        <f>SUM(58532.25/68)*H5</f>
        <v>4923.93945441176</v>
      </c>
      <c r="T5" s="75">
        <f>SUM(54.99/68)*H5</f>
        <v>4.62595288235294</v>
      </c>
      <c r="U5" s="75">
        <f>SUM(1000/68)*H5</f>
        <v>84.1235294117647</v>
      </c>
      <c r="V5" s="75"/>
      <c r="W5" s="75"/>
      <c r="X5" s="77">
        <f t="shared" ref="X5:X16" si="1">SUM(S5:W5)</f>
        <v>5012.68893670588</v>
      </c>
      <c r="Y5" s="96">
        <f>SUM(10435/68)*H5</f>
        <v>877.829029411765</v>
      </c>
      <c r="Z5" s="91"/>
      <c r="AA5" s="91"/>
      <c r="AB5" s="91">
        <f t="shared" ref="AB5:AB16" si="2">SUM(Y5:AA5)</f>
        <v>877.829029411765</v>
      </c>
      <c r="AC5" s="44">
        <v>7.12</v>
      </c>
      <c r="AD5" s="75">
        <f t="shared" ref="AD5:AD16" si="3">SUM(AB5*AC5)</f>
        <v>6250.14268941176</v>
      </c>
      <c r="AE5" s="75">
        <f t="shared" ref="AE5:AE16" si="4">SUM(X5+AD5)</f>
        <v>11262.8316261176</v>
      </c>
      <c r="AF5" s="75">
        <f t="shared" ref="AF5:AF16" si="5">SUM(P5-AE5)</f>
        <v>2693.16837388235</v>
      </c>
    </row>
    <row r="6" s="2" customFormat="1" spans="1:32">
      <c r="A6" s="20"/>
      <c r="B6" s="21"/>
      <c r="C6" s="22">
        <v>240802000002</v>
      </c>
      <c r="D6" s="23">
        <v>45512</v>
      </c>
      <c r="E6" s="23" t="s">
        <v>66</v>
      </c>
      <c r="F6" s="21" t="s">
        <v>67</v>
      </c>
      <c r="G6" s="21" t="s">
        <v>106</v>
      </c>
      <c r="H6" s="24">
        <v>1.848</v>
      </c>
      <c r="I6" s="24">
        <v>1035</v>
      </c>
      <c r="J6" s="43">
        <v>4482.5</v>
      </c>
      <c r="K6" s="44"/>
      <c r="L6" s="45"/>
      <c r="M6" s="46"/>
      <c r="N6" s="45"/>
      <c r="O6" s="21"/>
      <c r="P6" s="75">
        <f t="shared" si="0"/>
        <v>4482.5</v>
      </c>
      <c r="Q6" s="78"/>
      <c r="R6" s="78"/>
      <c r="S6" s="75">
        <f t="shared" ref="S6:S16" si="6">SUM(58532.25/68)*H6</f>
        <v>1590.69997058824</v>
      </c>
      <c r="T6" s="75">
        <f t="shared" ref="T6:T16" si="7">SUM(54.99/68)*H6</f>
        <v>1.49443411764706</v>
      </c>
      <c r="U6" s="75">
        <f t="shared" ref="U6:U16" si="8">SUM(1000/68)*H6</f>
        <v>27.1764705882353</v>
      </c>
      <c r="V6" s="75"/>
      <c r="W6" s="75"/>
      <c r="X6" s="77">
        <f t="shared" si="1"/>
        <v>1619.37087529412</v>
      </c>
      <c r="Y6" s="96">
        <f t="shared" ref="Y6:Y16" si="9">SUM(10435/68)*H6</f>
        <v>283.586470588235</v>
      </c>
      <c r="Z6" s="91"/>
      <c r="AA6" s="91"/>
      <c r="AB6" s="91">
        <f t="shared" si="2"/>
        <v>283.586470588235</v>
      </c>
      <c r="AC6" s="44">
        <v>7.12</v>
      </c>
      <c r="AD6" s="75">
        <f t="shared" si="3"/>
        <v>2019.13567058824</v>
      </c>
      <c r="AE6" s="75">
        <f t="shared" si="4"/>
        <v>3638.50654588235</v>
      </c>
      <c r="AF6" s="75">
        <f t="shared" si="5"/>
        <v>843.993454117647</v>
      </c>
    </row>
    <row r="7" s="2" customFormat="1" spans="1:32">
      <c r="A7" s="20"/>
      <c r="B7" s="21"/>
      <c r="C7" s="22">
        <v>240803000005</v>
      </c>
      <c r="D7" s="23">
        <v>45512</v>
      </c>
      <c r="E7" s="23" t="s">
        <v>64</v>
      </c>
      <c r="F7" s="21" t="s">
        <v>64</v>
      </c>
      <c r="G7" s="21" t="s">
        <v>107</v>
      </c>
      <c r="H7" s="24">
        <v>2.6248</v>
      </c>
      <c r="I7" s="24">
        <v>630</v>
      </c>
      <c r="J7" s="43">
        <v>6236.5</v>
      </c>
      <c r="K7" s="44"/>
      <c r="L7" s="45"/>
      <c r="M7" s="46"/>
      <c r="N7" s="45"/>
      <c r="O7" s="21"/>
      <c r="P7" s="75">
        <f t="shared" si="0"/>
        <v>6236.5</v>
      </c>
      <c r="Q7" s="78"/>
      <c r="R7" s="78"/>
      <c r="S7" s="75">
        <f t="shared" si="6"/>
        <v>2259.34485</v>
      </c>
      <c r="T7" s="75">
        <f t="shared" si="7"/>
        <v>2.122614</v>
      </c>
      <c r="U7" s="75">
        <f t="shared" si="8"/>
        <v>38.6</v>
      </c>
      <c r="V7" s="75"/>
      <c r="W7" s="75"/>
      <c r="X7" s="77">
        <f t="shared" si="1"/>
        <v>2300.067464</v>
      </c>
      <c r="Y7" s="96">
        <f t="shared" si="9"/>
        <v>402.791</v>
      </c>
      <c r="Z7" s="91"/>
      <c r="AA7" s="91"/>
      <c r="AB7" s="91">
        <f t="shared" si="2"/>
        <v>402.791</v>
      </c>
      <c r="AC7" s="44">
        <v>7.12</v>
      </c>
      <c r="AD7" s="75">
        <f t="shared" si="3"/>
        <v>2867.87192</v>
      </c>
      <c r="AE7" s="75">
        <f t="shared" si="4"/>
        <v>5167.939384</v>
      </c>
      <c r="AF7" s="75">
        <f t="shared" si="5"/>
        <v>1068.560616</v>
      </c>
    </row>
    <row r="8" s="2" customFormat="1" spans="1:32">
      <c r="A8" s="20"/>
      <c r="B8" s="21"/>
      <c r="C8" s="22">
        <v>240803000017</v>
      </c>
      <c r="D8" s="23">
        <v>45512</v>
      </c>
      <c r="E8" s="23" t="s">
        <v>66</v>
      </c>
      <c r="F8" s="21" t="s">
        <v>67</v>
      </c>
      <c r="G8" s="21" t="s">
        <v>98</v>
      </c>
      <c r="H8" s="24">
        <v>17.17</v>
      </c>
      <c r="I8" s="24">
        <v>12298</v>
      </c>
      <c r="J8" s="43">
        <v>38477.75</v>
      </c>
      <c r="K8" s="44"/>
      <c r="L8" s="50"/>
      <c r="M8" s="46"/>
      <c r="N8" s="50"/>
      <c r="O8" s="21"/>
      <c r="P8" s="75">
        <f t="shared" si="0"/>
        <v>38477.75</v>
      </c>
      <c r="Q8" s="78"/>
      <c r="R8" s="78"/>
      <c r="S8" s="75">
        <f t="shared" si="6"/>
        <v>14779.393125</v>
      </c>
      <c r="T8" s="75">
        <f t="shared" si="7"/>
        <v>13.884975</v>
      </c>
      <c r="U8" s="75">
        <f t="shared" si="8"/>
        <v>252.5</v>
      </c>
      <c r="V8" s="75"/>
      <c r="W8" s="75"/>
      <c r="X8" s="77">
        <f t="shared" si="1"/>
        <v>15045.7781</v>
      </c>
      <c r="Y8" s="96">
        <f t="shared" si="9"/>
        <v>2634.8375</v>
      </c>
      <c r="Z8" s="91"/>
      <c r="AA8" s="91"/>
      <c r="AB8" s="91">
        <f t="shared" si="2"/>
        <v>2634.8375</v>
      </c>
      <c r="AC8" s="44">
        <v>7.12</v>
      </c>
      <c r="AD8" s="75">
        <f t="shared" si="3"/>
        <v>18760.043</v>
      </c>
      <c r="AE8" s="75">
        <f t="shared" si="4"/>
        <v>33805.8211</v>
      </c>
      <c r="AF8" s="75">
        <f t="shared" si="5"/>
        <v>4671.92889999999</v>
      </c>
    </row>
    <row r="9" s="2" customFormat="1" spans="1:32">
      <c r="A9" s="20"/>
      <c r="B9" s="21"/>
      <c r="C9" s="22">
        <v>240807000012</v>
      </c>
      <c r="D9" s="23">
        <v>45512</v>
      </c>
      <c r="E9" s="23" t="s">
        <v>64</v>
      </c>
      <c r="F9" s="21" t="s">
        <v>64</v>
      </c>
      <c r="G9" s="21" t="s">
        <v>65</v>
      </c>
      <c r="H9" s="24">
        <v>3.79</v>
      </c>
      <c r="I9" s="24">
        <v>780</v>
      </c>
      <c r="J9" s="43">
        <v>7638.75</v>
      </c>
      <c r="K9" s="44"/>
      <c r="L9" s="45"/>
      <c r="M9" s="46"/>
      <c r="N9" s="51"/>
      <c r="O9" s="21"/>
      <c r="P9" s="47">
        <f t="shared" si="0"/>
        <v>7638.75</v>
      </c>
      <c r="Q9" s="78"/>
      <c r="R9" s="78"/>
      <c r="S9" s="75">
        <f t="shared" si="6"/>
        <v>3262.31216911765</v>
      </c>
      <c r="T9" s="75">
        <f t="shared" si="7"/>
        <v>3.06488382352941</v>
      </c>
      <c r="U9" s="75">
        <f t="shared" si="8"/>
        <v>55.7352941176471</v>
      </c>
      <c r="V9" s="75"/>
      <c r="W9" s="75"/>
      <c r="X9" s="77">
        <f t="shared" si="1"/>
        <v>3321.11234705882</v>
      </c>
      <c r="Y9" s="96">
        <f t="shared" si="9"/>
        <v>581.597794117647</v>
      </c>
      <c r="Z9" s="91"/>
      <c r="AA9" s="91"/>
      <c r="AB9" s="91">
        <f t="shared" si="2"/>
        <v>581.597794117647</v>
      </c>
      <c r="AC9" s="44">
        <v>7.12</v>
      </c>
      <c r="AD9" s="75">
        <f t="shared" si="3"/>
        <v>4140.97629411765</v>
      </c>
      <c r="AE9" s="75">
        <f t="shared" si="4"/>
        <v>7462.08864117647</v>
      </c>
      <c r="AF9" s="75">
        <f t="shared" si="5"/>
        <v>176.661358823529</v>
      </c>
    </row>
    <row r="10" s="2" customFormat="1" spans="1:32">
      <c r="A10" s="20"/>
      <c r="B10" s="21"/>
      <c r="C10" s="22">
        <v>240808000010</v>
      </c>
      <c r="D10" s="23">
        <v>45512</v>
      </c>
      <c r="E10" s="23" t="s">
        <v>64</v>
      </c>
      <c r="F10" s="21" t="s">
        <v>64</v>
      </c>
      <c r="G10" s="21" t="s">
        <v>84</v>
      </c>
      <c r="H10" s="24">
        <v>9.8</v>
      </c>
      <c r="I10" s="24">
        <v>1059</v>
      </c>
      <c r="J10" s="43">
        <v>15645.79</v>
      </c>
      <c r="K10" s="44"/>
      <c r="L10" s="45"/>
      <c r="M10" s="46"/>
      <c r="N10" s="50"/>
      <c r="O10" s="21"/>
      <c r="P10" s="75">
        <f t="shared" si="0"/>
        <v>15645.79</v>
      </c>
      <c r="Q10" s="78"/>
      <c r="R10" s="78"/>
      <c r="S10" s="75">
        <f t="shared" si="6"/>
        <v>8435.53014705882</v>
      </c>
      <c r="T10" s="75">
        <f t="shared" si="7"/>
        <v>7.92502941176471</v>
      </c>
      <c r="U10" s="75">
        <f t="shared" si="8"/>
        <v>144.117647058824</v>
      </c>
      <c r="V10" s="75"/>
      <c r="W10" s="75"/>
      <c r="X10" s="77">
        <f t="shared" si="1"/>
        <v>8587.57282352941</v>
      </c>
      <c r="Y10" s="96">
        <f t="shared" si="9"/>
        <v>1503.86764705882</v>
      </c>
      <c r="Z10" s="91"/>
      <c r="AA10" s="91"/>
      <c r="AB10" s="91">
        <f t="shared" si="2"/>
        <v>1503.86764705882</v>
      </c>
      <c r="AC10" s="44">
        <v>7.12</v>
      </c>
      <c r="AD10" s="75">
        <f t="shared" si="3"/>
        <v>10707.5376470588</v>
      </c>
      <c r="AE10" s="75">
        <f t="shared" si="4"/>
        <v>19295.1104705882</v>
      </c>
      <c r="AF10" s="75">
        <f t="shared" si="5"/>
        <v>-3649.32047058824</v>
      </c>
    </row>
    <row r="11" s="2" customFormat="1" spans="1:32">
      <c r="A11" s="20"/>
      <c r="B11" s="21"/>
      <c r="C11" s="22">
        <v>240728000003</v>
      </c>
      <c r="D11" s="23">
        <v>45506</v>
      </c>
      <c r="E11" s="23" t="s">
        <v>64</v>
      </c>
      <c r="F11" s="21" t="s">
        <v>64</v>
      </c>
      <c r="G11" s="21" t="s">
        <v>78</v>
      </c>
      <c r="H11" s="24">
        <v>0.632</v>
      </c>
      <c r="I11" s="24">
        <v>166</v>
      </c>
      <c r="J11" s="43">
        <v>1705</v>
      </c>
      <c r="K11" s="44"/>
      <c r="L11" s="45"/>
      <c r="M11" s="46"/>
      <c r="N11" s="45"/>
      <c r="O11" s="21"/>
      <c r="P11" s="47">
        <f t="shared" si="0"/>
        <v>1705</v>
      </c>
      <c r="Q11" s="78"/>
      <c r="R11" s="78"/>
      <c r="S11" s="75">
        <f t="shared" si="6"/>
        <v>544.005617647059</v>
      </c>
      <c r="T11" s="75">
        <f t="shared" si="7"/>
        <v>0.511083529411765</v>
      </c>
      <c r="U11" s="75">
        <f t="shared" si="8"/>
        <v>9.29411764705882</v>
      </c>
      <c r="V11" s="75"/>
      <c r="W11" s="75"/>
      <c r="X11" s="77">
        <f t="shared" si="1"/>
        <v>553.810818823529</v>
      </c>
      <c r="Y11" s="96">
        <f t="shared" si="9"/>
        <v>96.9841176470588</v>
      </c>
      <c r="Z11" s="91"/>
      <c r="AA11" s="91"/>
      <c r="AB11" s="91">
        <f t="shared" si="2"/>
        <v>96.9841176470588</v>
      </c>
      <c r="AC11" s="44">
        <v>7.12</v>
      </c>
      <c r="AD11" s="75">
        <f t="shared" si="3"/>
        <v>690.526917647059</v>
      </c>
      <c r="AE11" s="75">
        <f t="shared" si="4"/>
        <v>1244.33773647059</v>
      </c>
      <c r="AF11" s="75">
        <f t="shared" si="5"/>
        <v>460.662263529412</v>
      </c>
    </row>
    <row r="12" s="2" customFormat="1" spans="1:32">
      <c r="A12" s="20"/>
      <c r="B12" s="21"/>
      <c r="C12" s="22">
        <v>240613000018</v>
      </c>
      <c r="D12" s="23">
        <v>45506</v>
      </c>
      <c r="E12" s="23" t="s">
        <v>64</v>
      </c>
      <c r="F12" s="21" t="s">
        <v>64</v>
      </c>
      <c r="G12" s="21" t="s">
        <v>108</v>
      </c>
      <c r="H12" s="24">
        <v>1.6564</v>
      </c>
      <c r="I12" s="24">
        <v>313</v>
      </c>
      <c r="J12" s="43">
        <v>3117</v>
      </c>
      <c r="K12" s="44"/>
      <c r="L12" s="45"/>
      <c r="M12" s="46"/>
      <c r="N12" s="45"/>
      <c r="O12" s="21"/>
      <c r="P12" s="47">
        <f t="shared" si="0"/>
        <v>3117</v>
      </c>
      <c r="Q12" s="78"/>
      <c r="R12" s="78"/>
      <c r="S12" s="75">
        <f t="shared" si="6"/>
        <v>1425.77674852941</v>
      </c>
      <c r="T12" s="75">
        <f t="shared" si="7"/>
        <v>1.33949170588235</v>
      </c>
      <c r="U12" s="75">
        <f t="shared" si="8"/>
        <v>24.3588235294118</v>
      </c>
      <c r="V12" s="75"/>
      <c r="W12" s="75"/>
      <c r="X12" s="77">
        <f t="shared" si="1"/>
        <v>1451.47506376471</v>
      </c>
      <c r="Y12" s="96">
        <f t="shared" si="9"/>
        <v>254.184323529412</v>
      </c>
      <c r="Z12" s="91"/>
      <c r="AA12" s="91"/>
      <c r="AB12" s="91">
        <f t="shared" si="2"/>
        <v>254.184323529412</v>
      </c>
      <c r="AC12" s="44">
        <v>7.12</v>
      </c>
      <c r="AD12" s="75">
        <f t="shared" si="3"/>
        <v>1809.79238352941</v>
      </c>
      <c r="AE12" s="75">
        <f t="shared" si="4"/>
        <v>3261.26744729412</v>
      </c>
      <c r="AF12" s="75">
        <f t="shared" si="5"/>
        <v>-144.267447294118</v>
      </c>
    </row>
    <row r="13" s="2" customFormat="1" spans="1:32">
      <c r="A13" s="20"/>
      <c r="B13" s="21"/>
      <c r="C13" s="22">
        <v>240808000011</v>
      </c>
      <c r="D13" s="23">
        <v>45534</v>
      </c>
      <c r="E13" s="23" t="s">
        <v>64</v>
      </c>
      <c r="F13" s="21" t="s">
        <v>64</v>
      </c>
      <c r="G13" s="21" t="s">
        <v>65</v>
      </c>
      <c r="H13" s="24">
        <v>0.6332</v>
      </c>
      <c r="I13" s="24">
        <v>114</v>
      </c>
      <c r="J13" s="43">
        <v>1276.22</v>
      </c>
      <c r="K13" s="44"/>
      <c r="L13" s="45"/>
      <c r="M13" s="46"/>
      <c r="N13" s="51"/>
      <c r="O13" s="21"/>
      <c r="P13" s="47">
        <f t="shared" si="0"/>
        <v>1276.22</v>
      </c>
      <c r="Q13" s="101"/>
      <c r="R13" s="101"/>
      <c r="S13" s="75">
        <f t="shared" si="6"/>
        <v>545.038539705882</v>
      </c>
      <c r="T13" s="75">
        <f t="shared" si="7"/>
        <v>0.512053941176471</v>
      </c>
      <c r="U13" s="75">
        <f t="shared" si="8"/>
        <v>9.31176470588235</v>
      </c>
      <c r="V13" s="75"/>
      <c r="W13" s="75"/>
      <c r="X13" s="77">
        <f t="shared" si="1"/>
        <v>554.862358352941</v>
      </c>
      <c r="Y13" s="96">
        <f t="shared" si="9"/>
        <v>97.1682647058824</v>
      </c>
      <c r="Z13" s="91"/>
      <c r="AA13" s="91"/>
      <c r="AB13" s="91">
        <f t="shared" si="2"/>
        <v>97.1682647058824</v>
      </c>
      <c r="AC13" s="44">
        <v>7.12</v>
      </c>
      <c r="AD13" s="75">
        <f t="shared" si="3"/>
        <v>691.838044705882</v>
      </c>
      <c r="AE13" s="75">
        <f t="shared" si="4"/>
        <v>1246.70040305882</v>
      </c>
      <c r="AF13" s="75">
        <f t="shared" si="5"/>
        <v>29.5195969411764</v>
      </c>
    </row>
    <row r="14" s="2" customFormat="1" spans="1:32">
      <c r="A14" s="20"/>
      <c r="B14" s="21"/>
      <c r="C14" s="22">
        <v>240808000012</v>
      </c>
      <c r="D14" s="23">
        <v>45512</v>
      </c>
      <c r="E14" s="23" t="s">
        <v>72</v>
      </c>
      <c r="F14" s="21" t="s">
        <v>88</v>
      </c>
      <c r="G14" s="21" t="s">
        <v>109</v>
      </c>
      <c r="H14" s="24">
        <v>0.2465</v>
      </c>
      <c r="I14" s="24">
        <v>35.5</v>
      </c>
      <c r="J14" s="100">
        <v>821</v>
      </c>
      <c r="K14" s="44"/>
      <c r="L14" s="45"/>
      <c r="M14" s="46"/>
      <c r="N14" s="45"/>
      <c r="O14" s="21"/>
      <c r="P14" s="75">
        <f>SUM(J14)</f>
        <v>821</v>
      </c>
      <c r="Q14" s="78"/>
      <c r="R14" s="78"/>
      <c r="S14" s="75">
        <f t="shared" si="6"/>
        <v>212.17940625</v>
      </c>
      <c r="T14" s="75">
        <f t="shared" si="7"/>
        <v>0.19933875</v>
      </c>
      <c r="U14" s="75">
        <f t="shared" si="8"/>
        <v>3.625</v>
      </c>
      <c r="V14" s="75"/>
      <c r="W14" s="75"/>
      <c r="X14" s="77">
        <f t="shared" si="1"/>
        <v>216.003745</v>
      </c>
      <c r="Y14" s="96">
        <f t="shared" si="9"/>
        <v>37.826875</v>
      </c>
      <c r="Z14" s="91"/>
      <c r="AA14" s="92">
        <v>22.18</v>
      </c>
      <c r="AB14" s="91">
        <f t="shared" si="2"/>
        <v>60.006875</v>
      </c>
      <c r="AC14" s="44">
        <v>7.12</v>
      </c>
      <c r="AD14" s="75">
        <f t="shared" si="3"/>
        <v>427.24895</v>
      </c>
      <c r="AE14" s="75">
        <f t="shared" si="4"/>
        <v>643.252695</v>
      </c>
      <c r="AF14" s="75">
        <f t="shared" si="5"/>
        <v>177.747305</v>
      </c>
    </row>
    <row r="15" s="2" customFormat="1" spans="1:32">
      <c r="A15" s="20"/>
      <c r="B15" s="21"/>
      <c r="C15" s="22">
        <v>240630000010</v>
      </c>
      <c r="D15" s="23">
        <v>45534</v>
      </c>
      <c r="E15" s="23" t="s">
        <v>72</v>
      </c>
      <c r="F15" s="21" t="s">
        <v>88</v>
      </c>
      <c r="G15" s="21" t="s">
        <v>91</v>
      </c>
      <c r="H15" s="24">
        <v>20.8295</v>
      </c>
      <c r="I15" s="24">
        <v>1472</v>
      </c>
      <c r="J15" s="100">
        <v>44333.83</v>
      </c>
      <c r="K15" s="44"/>
      <c r="L15" s="45"/>
      <c r="M15" s="46"/>
      <c r="N15" s="45"/>
      <c r="O15" s="21"/>
      <c r="P15" s="47">
        <f>SUM(J15)</f>
        <v>44333.83</v>
      </c>
      <c r="Q15" s="102"/>
      <c r="R15" s="102"/>
      <c r="S15" s="75">
        <f t="shared" si="6"/>
        <v>17929.3750202206</v>
      </c>
      <c r="T15" s="75">
        <f t="shared" si="7"/>
        <v>16.8443265441176</v>
      </c>
      <c r="U15" s="75">
        <f t="shared" si="8"/>
        <v>306.316176470588</v>
      </c>
      <c r="V15" s="75"/>
      <c r="W15" s="75"/>
      <c r="X15" s="77">
        <f t="shared" si="1"/>
        <v>18252.5355232353</v>
      </c>
      <c r="Y15" s="96">
        <f t="shared" si="9"/>
        <v>3196.40930147059</v>
      </c>
      <c r="Z15" s="91"/>
      <c r="AA15" s="91"/>
      <c r="AB15" s="91">
        <f t="shared" si="2"/>
        <v>3196.40930147059</v>
      </c>
      <c r="AC15" s="44">
        <v>7.12</v>
      </c>
      <c r="AD15" s="75">
        <f t="shared" si="3"/>
        <v>22758.4342264706</v>
      </c>
      <c r="AE15" s="75">
        <f t="shared" si="4"/>
        <v>41010.9697497059</v>
      </c>
      <c r="AF15" s="75">
        <f t="shared" si="5"/>
        <v>3322.86025029412</v>
      </c>
    </row>
    <row r="16" s="2" customFormat="1" spans="1:32">
      <c r="A16" s="20"/>
      <c r="B16" s="21"/>
      <c r="C16" s="22">
        <v>240808000019</v>
      </c>
      <c r="D16" s="23">
        <v>45512</v>
      </c>
      <c r="E16" s="23" t="s">
        <v>80</v>
      </c>
      <c r="F16" s="21" t="s">
        <v>64</v>
      </c>
      <c r="G16" s="21" t="s">
        <v>110</v>
      </c>
      <c r="H16" s="24">
        <v>7.4735</v>
      </c>
      <c r="I16" s="24">
        <v>1000</v>
      </c>
      <c r="J16" s="43">
        <v>16565.05</v>
      </c>
      <c r="K16" s="44"/>
      <c r="L16" s="45"/>
      <c r="M16" s="46"/>
      <c r="N16" s="45"/>
      <c r="O16" s="21"/>
      <c r="P16" s="75">
        <f>SUBTOTAL(9,J16)</f>
        <v>16565.05</v>
      </c>
      <c r="Q16" s="79"/>
      <c r="R16" s="79"/>
      <c r="S16" s="75">
        <f t="shared" si="6"/>
        <v>6432.95250551471</v>
      </c>
      <c r="T16" s="75">
        <f t="shared" si="7"/>
        <v>6.04364360294118</v>
      </c>
      <c r="U16" s="75">
        <f t="shared" si="8"/>
        <v>109.904411764706</v>
      </c>
      <c r="V16" s="75"/>
      <c r="W16" s="75"/>
      <c r="X16" s="77">
        <f t="shared" si="1"/>
        <v>6548.90056088235</v>
      </c>
      <c r="Y16" s="96">
        <f t="shared" si="9"/>
        <v>1146.85253676471</v>
      </c>
      <c r="Z16" s="91"/>
      <c r="AA16" s="91"/>
      <c r="AB16" s="91">
        <f t="shared" si="2"/>
        <v>1146.85253676471</v>
      </c>
      <c r="AC16" s="44">
        <v>7.12</v>
      </c>
      <c r="AD16" s="75">
        <f t="shared" si="3"/>
        <v>8165.59006176471</v>
      </c>
      <c r="AE16" s="75">
        <f t="shared" si="4"/>
        <v>14714.4906226471</v>
      </c>
      <c r="AF16" s="75">
        <f t="shared" si="5"/>
        <v>1850.55937735294</v>
      </c>
    </row>
    <row r="17" ht="15.75" spans="1:32">
      <c r="A17" s="26" t="s">
        <v>26</v>
      </c>
      <c r="B17" s="27"/>
      <c r="C17" s="27"/>
      <c r="D17" s="27"/>
      <c r="E17" s="27"/>
      <c r="F17" s="27"/>
      <c r="G17" s="27"/>
      <c r="H17" s="27"/>
      <c r="I17" s="52"/>
      <c r="J17" s="27">
        <f>SUM(J4:J4)</f>
        <v>0</v>
      </c>
      <c r="K17" s="53"/>
      <c r="L17" s="54"/>
      <c r="M17" s="53"/>
      <c r="N17" s="53">
        <f t="shared" ref="N17:Q17" si="10">SUM(N4:N4)</f>
        <v>0</v>
      </c>
      <c r="O17" s="27"/>
      <c r="P17" s="27">
        <f t="shared" si="10"/>
        <v>0</v>
      </c>
      <c r="Q17" s="27">
        <f t="shared" si="10"/>
        <v>0</v>
      </c>
      <c r="R17" s="27"/>
      <c r="S17" s="27"/>
      <c r="T17" s="27"/>
      <c r="U17" s="27"/>
      <c r="V17" s="27"/>
      <c r="W17" s="27"/>
      <c r="X17" s="80">
        <f>SUM(X4:X4)</f>
        <v>0</v>
      </c>
      <c r="Y17" s="54"/>
      <c r="Z17" s="54"/>
      <c r="AA17" s="54"/>
      <c r="AB17" s="54"/>
      <c r="AC17" s="53"/>
      <c r="AD17" s="27">
        <f>SUM(AD4:AD4)</f>
        <v>0</v>
      </c>
      <c r="AE17" s="27"/>
      <c r="AF17" s="93">
        <f>SUM(AF4:AF16)</f>
        <v>11502.0735780588</v>
      </c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</sheetData>
  <autoFilter xmlns:etc="http://www.wps.cn/officeDocument/2017/etCustomData" ref="A3:AF17" etc:filterBottomFollowUsedRange="0">
    <extLst/>
  </autoFilter>
  <mergeCells count="21">
    <mergeCell ref="A1:AF1"/>
    <mergeCell ref="J3:P3"/>
    <mergeCell ref="R3:V3"/>
    <mergeCell ref="Y3:AD3"/>
    <mergeCell ref="A3:A4"/>
    <mergeCell ref="A5:A16"/>
    <mergeCell ref="B3:B4"/>
    <mergeCell ref="B5:B16"/>
    <mergeCell ref="C3:C4"/>
    <mergeCell ref="D3:D4"/>
    <mergeCell ref="E3:E4"/>
    <mergeCell ref="F3:F4"/>
    <mergeCell ref="G3:G4"/>
    <mergeCell ref="H3:H4"/>
    <mergeCell ref="I3:I4"/>
    <mergeCell ref="Q3:Q4"/>
    <mergeCell ref="Q5:Q16"/>
    <mergeCell ref="R5:R16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76.3591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16</v>
      </c>
      <c r="B5" s="21" t="s">
        <v>17</v>
      </c>
      <c r="C5" s="22">
        <v>240630000010</v>
      </c>
      <c r="D5" s="23">
        <v>45534</v>
      </c>
      <c r="E5" s="23" t="s">
        <v>72</v>
      </c>
      <c r="F5" s="21" t="s">
        <v>88</v>
      </c>
      <c r="G5" s="21" t="s">
        <v>91</v>
      </c>
      <c r="H5" s="24">
        <v>4.5207</v>
      </c>
      <c r="I5" s="24">
        <v>744</v>
      </c>
      <c r="J5" s="100">
        <v>9620</v>
      </c>
      <c r="K5" s="44"/>
      <c r="L5" s="45"/>
      <c r="M5" s="46"/>
      <c r="N5" s="45"/>
      <c r="O5" s="21"/>
      <c r="P5" s="47">
        <f>SUM(J5)</f>
        <v>9620</v>
      </c>
      <c r="Q5" s="73">
        <f>SUM(P5:P20)</f>
        <v>160773.2036</v>
      </c>
      <c r="R5" s="74" t="s">
        <v>111</v>
      </c>
      <c r="S5" s="75">
        <f>SUM(57545.25/68)*H5</f>
        <v>3825.65899522059</v>
      </c>
      <c r="T5" s="75"/>
      <c r="U5" s="75">
        <f>SUM(2100/68)*H5</f>
        <v>139.609852941176</v>
      </c>
      <c r="V5" s="75">
        <v>900</v>
      </c>
      <c r="W5" s="75"/>
      <c r="X5" s="77">
        <f t="shared" ref="X5:X68" si="0">SUM(S5:W5)</f>
        <v>4865.26884816176</v>
      </c>
      <c r="Y5" s="96">
        <f>SUM(10417/68)*H5</f>
        <v>692.531351470588</v>
      </c>
      <c r="Z5" s="91">
        <v>70.8</v>
      </c>
      <c r="AA5" s="91"/>
      <c r="AB5" s="91">
        <f t="shared" ref="AB5:AB68" si="1">SUM(Y5:AA5)</f>
        <v>763.331351470588</v>
      </c>
      <c r="AC5" s="44">
        <v>7.07</v>
      </c>
      <c r="AD5" s="75">
        <f t="shared" ref="AD5:AD68" si="2">SUM(AB5*AC5)</f>
        <v>5396.75265489706</v>
      </c>
      <c r="AE5" s="75">
        <f t="shared" ref="AE5:AE68" si="3">SUM(X5+AD5)</f>
        <v>10262.0215030588</v>
      </c>
      <c r="AF5" s="75">
        <f t="shared" ref="AF5:AF68" si="4">SUM(P5-AE5)</f>
        <v>-642.021503058822</v>
      </c>
    </row>
    <row r="6" s="2" customFormat="1" spans="1:32">
      <c r="A6" s="20"/>
      <c r="B6" s="21"/>
      <c r="C6" s="22">
        <v>240725000027</v>
      </c>
      <c r="D6" s="23">
        <v>45534</v>
      </c>
      <c r="E6" s="23" t="s">
        <v>66</v>
      </c>
      <c r="F6" s="21" t="s">
        <v>67</v>
      </c>
      <c r="G6" s="21" t="s">
        <v>68</v>
      </c>
      <c r="H6" s="25">
        <v>0.0213</v>
      </c>
      <c r="I6" s="24">
        <v>3.7</v>
      </c>
      <c r="J6" s="100"/>
      <c r="K6" s="49">
        <v>85293</v>
      </c>
      <c r="L6" s="45"/>
      <c r="M6" s="46">
        <f t="shared" ref="M6:M10" si="5">SUM(K6/N6)</f>
        <v>1730.43213633597</v>
      </c>
      <c r="N6" s="50">
        <v>49.29</v>
      </c>
      <c r="O6" s="21">
        <v>7.12</v>
      </c>
      <c r="P6" s="75">
        <f t="shared" ref="P6:P10" si="6">SUM(N6*O6)</f>
        <v>350.9448</v>
      </c>
      <c r="Q6" s="78"/>
      <c r="R6" s="78"/>
      <c r="S6" s="75">
        <f t="shared" ref="S6:S20" si="7">SUM(57545.25/68)*H6</f>
        <v>18.0252033088235</v>
      </c>
      <c r="T6" s="75"/>
      <c r="U6" s="75">
        <f t="shared" ref="U6:U20" si="8">SUM(2100/68)*H6</f>
        <v>0.657794117647059</v>
      </c>
      <c r="V6" s="75"/>
      <c r="W6" s="75"/>
      <c r="X6" s="77">
        <f t="shared" si="0"/>
        <v>18.6829974264706</v>
      </c>
      <c r="Y6" s="96">
        <f t="shared" ref="Y6:Y20" si="9">SUM(10417/68)*H6</f>
        <v>3.26297205882353</v>
      </c>
      <c r="Z6" s="91">
        <v>7.25</v>
      </c>
      <c r="AA6" s="91"/>
      <c r="AB6" s="91">
        <f t="shared" si="1"/>
        <v>10.5129720588235</v>
      </c>
      <c r="AC6" s="44">
        <v>7.07</v>
      </c>
      <c r="AD6" s="75">
        <f t="shared" si="2"/>
        <v>74.3267124558823</v>
      </c>
      <c r="AE6" s="75">
        <f t="shared" si="3"/>
        <v>93.0097098823529</v>
      </c>
      <c r="AF6" s="75">
        <f t="shared" si="4"/>
        <v>257.935090117647</v>
      </c>
    </row>
    <row r="7" s="2" customFormat="1" spans="1:32">
      <c r="A7" s="20"/>
      <c r="B7" s="21"/>
      <c r="C7" s="22">
        <v>240806000025</v>
      </c>
      <c r="D7" s="23">
        <v>45534</v>
      </c>
      <c r="E7" s="23" t="s">
        <v>72</v>
      </c>
      <c r="F7" s="21" t="s">
        <v>88</v>
      </c>
      <c r="G7" s="21" t="s">
        <v>112</v>
      </c>
      <c r="H7" s="24">
        <v>4.665</v>
      </c>
      <c r="I7" s="24">
        <v>886</v>
      </c>
      <c r="J7" s="48">
        <v>10755.219</v>
      </c>
      <c r="K7" s="44"/>
      <c r="L7" s="45"/>
      <c r="M7" s="46"/>
      <c r="N7" s="45"/>
      <c r="O7" s="21"/>
      <c r="P7" s="47">
        <f>SUM(J7)</f>
        <v>10755.219</v>
      </c>
      <c r="Q7" s="78"/>
      <c r="R7" s="78"/>
      <c r="S7" s="75">
        <f t="shared" si="7"/>
        <v>3947.77340073529</v>
      </c>
      <c r="T7" s="75"/>
      <c r="U7" s="75">
        <f t="shared" si="8"/>
        <v>144.066176470588</v>
      </c>
      <c r="V7" s="75"/>
      <c r="W7" s="75"/>
      <c r="X7" s="77">
        <f t="shared" si="0"/>
        <v>4091.83957720588</v>
      </c>
      <c r="Y7" s="96">
        <f t="shared" si="9"/>
        <v>714.636838235294</v>
      </c>
      <c r="Z7" s="91"/>
      <c r="AA7" s="91"/>
      <c r="AB7" s="91">
        <f t="shared" si="1"/>
        <v>714.636838235294</v>
      </c>
      <c r="AC7" s="44">
        <v>7.07</v>
      </c>
      <c r="AD7" s="75">
        <f t="shared" si="2"/>
        <v>5052.48244632353</v>
      </c>
      <c r="AE7" s="75">
        <f t="shared" si="3"/>
        <v>9144.32202352941</v>
      </c>
      <c r="AF7" s="75">
        <f t="shared" si="4"/>
        <v>1610.89697647059</v>
      </c>
    </row>
    <row r="8" s="2" customFormat="1" spans="1:32">
      <c r="A8" s="20"/>
      <c r="B8" s="21"/>
      <c r="C8" s="22">
        <v>240807000004</v>
      </c>
      <c r="D8" s="23">
        <v>45534</v>
      </c>
      <c r="E8" s="23" t="s">
        <v>69</v>
      </c>
      <c r="F8" s="21" t="s">
        <v>70</v>
      </c>
      <c r="G8" s="21" t="s">
        <v>113</v>
      </c>
      <c r="H8" s="24">
        <v>2.4662</v>
      </c>
      <c r="I8" s="24">
        <v>160</v>
      </c>
      <c r="J8" s="47"/>
      <c r="K8" s="49">
        <v>1842570</v>
      </c>
      <c r="L8" s="45"/>
      <c r="M8" s="46">
        <f t="shared" si="5"/>
        <v>1735</v>
      </c>
      <c r="N8" s="50">
        <v>1062</v>
      </c>
      <c r="O8" s="21">
        <v>7.12</v>
      </c>
      <c r="P8" s="47">
        <f t="shared" si="6"/>
        <v>7561.44</v>
      </c>
      <c r="Q8" s="78"/>
      <c r="R8" s="78"/>
      <c r="S8" s="75">
        <f t="shared" si="7"/>
        <v>2087.03081691176</v>
      </c>
      <c r="T8" s="75"/>
      <c r="U8" s="75">
        <f t="shared" si="8"/>
        <v>76.1620588235294</v>
      </c>
      <c r="V8" s="75"/>
      <c r="W8" s="75"/>
      <c r="X8" s="77">
        <f t="shared" si="0"/>
        <v>2163.19287573529</v>
      </c>
      <c r="Y8" s="96">
        <f t="shared" si="9"/>
        <v>377.800079411765</v>
      </c>
      <c r="Z8" s="91"/>
      <c r="AA8" s="91"/>
      <c r="AB8" s="91">
        <f t="shared" si="1"/>
        <v>377.800079411765</v>
      </c>
      <c r="AC8" s="44">
        <v>7.07</v>
      </c>
      <c r="AD8" s="75">
        <f t="shared" si="2"/>
        <v>2671.04656144118</v>
      </c>
      <c r="AE8" s="75">
        <f t="shared" si="3"/>
        <v>4834.23943717647</v>
      </c>
      <c r="AF8" s="75">
        <f t="shared" si="4"/>
        <v>2727.20056282353</v>
      </c>
    </row>
    <row r="9" s="2" customFormat="1" spans="1:32">
      <c r="A9" s="20"/>
      <c r="B9" s="21"/>
      <c r="C9" s="22">
        <v>240807000010</v>
      </c>
      <c r="D9" s="23">
        <v>45534</v>
      </c>
      <c r="E9" s="23" t="s">
        <v>66</v>
      </c>
      <c r="F9" s="21" t="s">
        <v>67</v>
      </c>
      <c r="G9" s="21" t="s">
        <v>68</v>
      </c>
      <c r="H9" s="24">
        <v>0.0207</v>
      </c>
      <c r="I9" s="24">
        <v>4.2</v>
      </c>
      <c r="J9" s="47"/>
      <c r="K9" s="49">
        <v>59049</v>
      </c>
      <c r="L9" s="45"/>
      <c r="M9" s="46">
        <f t="shared" si="5"/>
        <v>1786.11615245009</v>
      </c>
      <c r="N9" s="50">
        <v>33.06</v>
      </c>
      <c r="O9" s="21">
        <v>7.12</v>
      </c>
      <c r="P9" s="47">
        <f t="shared" si="6"/>
        <v>235.3872</v>
      </c>
      <c r="Q9" s="78"/>
      <c r="R9" s="78"/>
      <c r="S9" s="75">
        <f t="shared" si="7"/>
        <v>17.5174511029412</v>
      </c>
      <c r="T9" s="75"/>
      <c r="U9" s="75">
        <f t="shared" si="8"/>
        <v>0.639264705882353</v>
      </c>
      <c r="V9" s="75"/>
      <c r="W9" s="75"/>
      <c r="X9" s="77">
        <f t="shared" si="0"/>
        <v>18.1567158088235</v>
      </c>
      <c r="Y9" s="96">
        <f t="shared" si="9"/>
        <v>3.17105735294118</v>
      </c>
      <c r="Z9" s="91">
        <v>7.5</v>
      </c>
      <c r="AA9" s="91"/>
      <c r="AB9" s="91">
        <f t="shared" si="1"/>
        <v>10.6710573529412</v>
      </c>
      <c r="AC9" s="44">
        <v>7.07</v>
      </c>
      <c r="AD9" s="75">
        <f t="shared" si="2"/>
        <v>75.4443754852941</v>
      </c>
      <c r="AE9" s="75">
        <f t="shared" si="3"/>
        <v>93.6010912941177</v>
      </c>
      <c r="AF9" s="75">
        <f t="shared" si="4"/>
        <v>141.786108705882</v>
      </c>
    </row>
    <row r="10" s="2" customFormat="1" spans="1:32">
      <c r="A10" s="20"/>
      <c r="B10" s="21"/>
      <c r="C10" s="22">
        <v>240808000002</v>
      </c>
      <c r="D10" s="23">
        <v>45534</v>
      </c>
      <c r="E10" s="23" t="s">
        <v>72</v>
      </c>
      <c r="F10" s="21" t="s">
        <v>88</v>
      </c>
      <c r="G10" s="21" t="s">
        <v>112</v>
      </c>
      <c r="H10" s="24">
        <v>2.1795</v>
      </c>
      <c r="I10" s="24">
        <v>785</v>
      </c>
      <c r="J10" s="99"/>
      <c r="K10" s="49">
        <v>1256000</v>
      </c>
      <c r="L10" s="45"/>
      <c r="M10" s="46">
        <f t="shared" si="5"/>
        <v>1751.88997684604</v>
      </c>
      <c r="N10" s="50">
        <v>716.94</v>
      </c>
      <c r="O10" s="21">
        <v>7.15</v>
      </c>
      <c r="P10" s="47">
        <f t="shared" si="6"/>
        <v>5126.121</v>
      </c>
      <c r="Q10" s="78"/>
      <c r="R10" s="78"/>
      <c r="S10" s="75">
        <f t="shared" si="7"/>
        <v>1844.40988786765</v>
      </c>
      <c r="T10" s="75"/>
      <c r="U10" s="75">
        <f t="shared" si="8"/>
        <v>67.3080882352941</v>
      </c>
      <c r="V10" s="75"/>
      <c r="W10" s="75"/>
      <c r="X10" s="77">
        <f t="shared" si="0"/>
        <v>1911.71797610294</v>
      </c>
      <c r="Y10" s="96">
        <f t="shared" si="9"/>
        <v>333.880169117647</v>
      </c>
      <c r="Z10" s="91"/>
      <c r="AA10" s="91"/>
      <c r="AB10" s="91">
        <f t="shared" si="1"/>
        <v>333.880169117647</v>
      </c>
      <c r="AC10" s="44">
        <v>7.07</v>
      </c>
      <c r="AD10" s="75">
        <f t="shared" si="2"/>
        <v>2360.53279566176</v>
      </c>
      <c r="AE10" s="75">
        <f t="shared" si="3"/>
        <v>4272.25077176471</v>
      </c>
      <c r="AF10" s="75">
        <f t="shared" si="4"/>
        <v>853.870228235294</v>
      </c>
    </row>
    <row r="11" s="2" customFormat="1" spans="1:32">
      <c r="A11" s="20"/>
      <c r="B11" s="21"/>
      <c r="C11" s="22">
        <v>240808000011</v>
      </c>
      <c r="D11" s="23">
        <v>45534</v>
      </c>
      <c r="E11" s="23" t="s">
        <v>64</v>
      </c>
      <c r="F11" s="21" t="s">
        <v>64</v>
      </c>
      <c r="G11" s="21" t="s">
        <v>65</v>
      </c>
      <c r="H11" s="24">
        <v>1.8652</v>
      </c>
      <c r="I11" s="24">
        <v>420</v>
      </c>
      <c r="J11" s="43">
        <v>3624.06</v>
      </c>
      <c r="K11" s="44"/>
      <c r="L11" s="45"/>
      <c r="M11" s="46"/>
      <c r="N11" s="51"/>
      <c r="O11" s="21"/>
      <c r="P11" s="47">
        <f t="shared" ref="P11:P14" si="10">SUBTOTAL(9,J11)</f>
        <v>3624.06</v>
      </c>
      <c r="Q11" s="78"/>
      <c r="R11" s="78"/>
      <c r="S11" s="75">
        <f t="shared" si="7"/>
        <v>1578.43235735294</v>
      </c>
      <c r="T11" s="75"/>
      <c r="U11" s="75">
        <f t="shared" si="8"/>
        <v>57.6017647058824</v>
      </c>
      <c r="V11" s="75"/>
      <c r="W11" s="75"/>
      <c r="X11" s="77">
        <f t="shared" si="0"/>
        <v>1636.03412205882</v>
      </c>
      <c r="Y11" s="96">
        <f t="shared" si="9"/>
        <v>285.732182352941</v>
      </c>
      <c r="Z11" s="91"/>
      <c r="AA11" s="91"/>
      <c r="AB11" s="91">
        <f t="shared" si="1"/>
        <v>285.732182352941</v>
      </c>
      <c r="AC11" s="44">
        <v>7.07</v>
      </c>
      <c r="AD11" s="75">
        <f t="shared" si="2"/>
        <v>2020.12652923529</v>
      </c>
      <c r="AE11" s="75">
        <f t="shared" si="3"/>
        <v>3656.16065129412</v>
      </c>
      <c r="AF11" s="75">
        <f t="shared" si="4"/>
        <v>-32.1006512941176</v>
      </c>
    </row>
    <row r="12" s="2" customFormat="1" spans="1:32">
      <c r="A12" s="20"/>
      <c r="B12" s="21"/>
      <c r="C12" s="22">
        <v>240728000003</v>
      </c>
      <c r="D12" s="23">
        <v>45506</v>
      </c>
      <c r="E12" s="23" t="s">
        <v>64</v>
      </c>
      <c r="F12" s="21" t="s">
        <v>64</v>
      </c>
      <c r="G12" s="21" t="s">
        <v>78</v>
      </c>
      <c r="H12" s="24">
        <v>0.354</v>
      </c>
      <c r="I12" s="24">
        <v>131</v>
      </c>
      <c r="J12" s="43">
        <v>954</v>
      </c>
      <c r="K12" s="44"/>
      <c r="L12" s="45"/>
      <c r="M12" s="46"/>
      <c r="N12" s="45"/>
      <c r="O12" s="21"/>
      <c r="P12" s="47">
        <f t="shared" si="10"/>
        <v>954</v>
      </c>
      <c r="Q12" s="78"/>
      <c r="R12" s="78"/>
      <c r="S12" s="75">
        <f t="shared" si="7"/>
        <v>299.573801470588</v>
      </c>
      <c r="T12" s="75"/>
      <c r="U12" s="75">
        <f t="shared" si="8"/>
        <v>10.9323529411765</v>
      </c>
      <c r="V12" s="75"/>
      <c r="W12" s="75"/>
      <c r="X12" s="77">
        <f t="shared" si="0"/>
        <v>310.506154411765</v>
      </c>
      <c r="Y12" s="96">
        <f t="shared" si="9"/>
        <v>54.2296764705882</v>
      </c>
      <c r="Z12" s="91"/>
      <c r="AA12" s="91"/>
      <c r="AB12" s="91">
        <f t="shared" si="1"/>
        <v>54.2296764705882</v>
      </c>
      <c r="AC12" s="44">
        <v>7.07</v>
      </c>
      <c r="AD12" s="75">
        <f t="shared" si="2"/>
        <v>383.403812647059</v>
      </c>
      <c r="AE12" s="75">
        <f t="shared" si="3"/>
        <v>693.909967058824</v>
      </c>
      <c r="AF12" s="75">
        <f t="shared" si="4"/>
        <v>260.090032941176</v>
      </c>
    </row>
    <row r="13" s="2" customFormat="1" spans="1:32">
      <c r="A13" s="20"/>
      <c r="B13" s="21"/>
      <c r="C13" s="22">
        <v>240808000024</v>
      </c>
      <c r="D13" s="23">
        <v>45534</v>
      </c>
      <c r="E13" s="23" t="s">
        <v>66</v>
      </c>
      <c r="F13" s="21" t="s">
        <v>67</v>
      </c>
      <c r="G13" s="21" t="s">
        <v>114</v>
      </c>
      <c r="H13" s="24">
        <v>2.295</v>
      </c>
      <c r="I13" s="24">
        <v>107</v>
      </c>
      <c r="J13" s="47"/>
      <c r="K13" s="44"/>
      <c r="L13" s="50">
        <v>827</v>
      </c>
      <c r="M13" s="46">
        <f t="shared" ref="M13:M18" si="11">SUM(K13/N13)</f>
        <v>0</v>
      </c>
      <c r="N13" s="50">
        <v>827</v>
      </c>
      <c r="O13" s="21">
        <v>7.12</v>
      </c>
      <c r="P13" s="47">
        <f t="shared" ref="P13:P18" si="12">SUM(N13*O13)</f>
        <v>5888.24</v>
      </c>
      <c r="Q13" s="78"/>
      <c r="R13" s="78"/>
      <c r="S13" s="75">
        <f t="shared" si="7"/>
        <v>1942.1521875</v>
      </c>
      <c r="T13" s="75"/>
      <c r="U13" s="75">
        <f t="shared" si="8"/>
        <v>70.875</v>
      </c>
      <c r="V13" s="75"/>
      <c r="W13" s="75"/>
      <c r="X13" s="77">
        <f t="shared" si="0"/>
        <v>2013.0271875</v>
      </c>
      <c r="Y13" s="96">
        <f t="shared" si="9"/>
        <v>351.57375</v>
      </c>
      <c r="Z13" s="91">
        <v>70.8</v>
      </c>
      <c r="AA13" s="91"/>
      <c r="AB13" s="91">
        <f t="shared" si="1"/>
        <v>422.37375</v>
      </c>
      <c r="AC13" s="44">
        <v>7.07</v>
      </c>
      <c r="AD13" s="75">
        <f t="shared" si="2"/>
        <v>2986.1824125</v>
      </c>
      <c r="AE13" s="75">
        <f t="shared" si="3"/>
        <v>4999.2096</v>
      </c>
      <c r="AF13" s="75">
        <f t="shared" si="4"/>
        <v>889.0304</v>
      </c>
    </row>
    <row r="14" s="2" customFormat="1" spans="1:32">
      <c r="A14" s="20"/>
      <c r="B14" s="21"/>
      <c r="C14" s="22">
        <v>240809000022</v>
      </c>
      <c r="D14" s="23">
        <v>45534</v>
      </c>
      <c r="E14" s="23" t="s">
        <v>64</v>
      </c>
      <c r="F14" s="21" t="s">
        <v>64</v>
      </c>
      <c r="G14" s="21" t="s">
        <v>115</v>
      </c>
      <c r="H14" s="24">
        <v>8.119</v>
      </c>
      <c r="I14" s="24">
        <v>5120</v>
      </c>
      <c r="J14" s="43">
        <v>22858.98</v>
      </c>
      <c r="K14" s="44"/>
      <c r="L14" s="45"/>
      <c r="M14" s="46"/>
      <c r="N14" s="45"/>
      <c r="O14" s="21"/>
      <c r="P14" s="47">
        <f t="shared" si="10"/>
        <v>22858.98</v>
      </c>
      <c r="Q14" s="78"/>
      <c r="R14" s="78"/>
      <c r="S14" s="75">
        <f t="shared" si="7"/>
        <v>6870.73359926471</v>
      </c>
      <c r="T14" s="75"/>
      <c r="U14" s="75">
        <f t="shared" si="8"/>
        <v>250.733823529412</v>
      </c>
      <c r="V14" s="75"/>
      <c r="W14" s="75">
        <f>SUM(700+300)</f>
        <v>1000</v>
      </c>
      <c r="X14" s="77">
        <f t="shared" si="0"/>
        <v>8121.46742279412</v>
      </c>
      <c r="Y14" s="96">
        <f t="shared" si="9"/>
        <v>1243.75916176471</v>
      </c>
      <c r="Z14" s="91"/>
      <c r="AA14" s="91"/>
      <c r="AB14" s="91">
        <f t="shared" si="1"/>
        <v>1243.75916176471</v>
      </c>
      <c r="AC14" s="44">
        <v>7.07</v>
      </c>
      <c r="AD14" s="75">
        <f t="shared" si="2"/>
        <v>8793.37727367647</v>
      </c>
      <c r="AE14" s="75">
        <f t="shared" si="3"/>
        <v>16914.8446964706</v>
      </c>
      <c r="AF14" s="75">
        <f t="shared" si="4"/>
        <v>5944.13530352941</v>
      </c>
    </row>
    <row r="15" s="2" customFormat="1" spans="1:32">
      <c r="A15" s="20"/>
      <c r="B15" s="21"/>
      <c r="C15" s="22">
        <v>240809000034</v>
      </c>
      <c r="D15" s="23">
        <v>45534</v>
      </c>
      <c r="E15" s="23" t="s">
        <v>69</v>
      </c>
      <c r="F15" s="21" t="s">
        <v>70</v>
      </c>
      <c r="G15" s="21" t="s">
        <v>116</v>
      </c>
      <c r="H15" s="24">
        <v>0.9292</v>
      </c>
      <c r="I15" s="24">
        <v>144</v>
      </c>
      <c r="J15" s="47"/>
      <c r="K15" s="49">
        <v>548260</v>
      </c>
      <c r="L15" s="45"/>
      <c r="M15" s="46">
        <f t="shared" si="11"/>
        <v>1735</v>
      </c>
      <c r="N15" s="50">
        <v>316</v>
      </c>
      <c r="O15" s="21">
        <v>7.12</v>
      </c>
      <c r="P15" s="47">
        <f t="shared" si="12"/>
        <v>2249.92</v>
      </c>
      <c r="Q15" s="78"/>
      <c r="R15" s="78"/>
      <c r="S15" s="75">
        <f t="shared" si="7"/>
        <v>786.338916176471</v>
      </c>
      <c r="T15" s="75"/>
      <c r="U15" s="75">
        <f t="shared" si="8"/>
        <v>28.6958823529412</v>
      </c>
      <c r="V15" s="75"/>
      <c r="W15" s="75"/>
      <c r="X15" s="77">
        <f t="shared" si="0"/>
        <v>815.034798529412</v>
      </c>
      <c r="Y15" s="96">
        <f t="shared" si="9"/>
        <v>142.345241176471</v>
      </c>
      <c r="Z15" s="91"/>
      <c r="AA15" s="91"/>
      <c r="AB15" s="91">
        <f t="shared" si="1"/>
        <v>142.345241176471</v>
      </c>
      <c r="AC15" s="44">
        <v>7.07</v>
      </c>
      <c r="AD15" s="75">
        <f t="shared" si="2"/>
        <v>1006.38085511765</v>
      </c>
      <c r="AE15" s="75">
        <f t="shared" si="3"/>
        <v>1821.41565364706</v>
      </c>
      <c r="AF15" s="75">
        <f t="shared" si="4"/>
        <v>428.504346352941</v>
      </c>
    </row>
    <row r="16" s="2" customFormat="1" spans="1:32">
      <c r="A16" s="20"/>
      <c r="B16" s="21"/>
      <c r="C16" s="22">
        <v>240813000001</v>
      </c>
      <c r="D16" s="23">
        <v>45534</v>
      </c>
      <c r="E16" s="23" t="s">
        <v>64</v>
      </c>
      <c r="F16" s="21" t="s">
        <v>64</v>
      </c>
      <c r="G16" s="21" t="s">
        <v>84</v>
      </c>
      <c r="H16" s="24">
        <v>33.04</v>
      </c>
      <c r="I16" s="24">
        <v>4133</v>
      </c>
      <c r="J16" s="43">
        <v>53646.12</v>
      </c>
      <c r="K16" s="44"/>
      <c r="L16" s="45"/>
      <c r="M16" s="46"/>
      <c r="N16" s="50"/>
      <c r="O16" s="21"/>
      <c r="P16" s="47">
        <f t="shared" ref="P16:P20" si="13">SUBTOTAL(9,J16)</f>
        <v>53646.12</v>
      </c>
      <c r="Q16" s="78"/>
      <c r="R16" s="78"/>
      <c r="S16" s="75">
        <f t="shared" si="7"/>
        <v>27960.2214705882</v>
      </c>
      <c r="T16" s="75"/>
      <c r="U16" s="75">
        <f t="shared" si="8"/>
        <v>1020.35294117647</v>
      </c>
      <c r="V16" s="75"/>
      <c r="W16" s="75"/>
      <c r="X16" s="77">
        <f t="shared" si="0"/>
        <v>28980.5744117647</v>
      </c>
      <c r="Y16" s="96">
        <f t="shared" si="9"/>
        <v>5061.43647058824</v>
      </c>
      <c r="Z16" s="91"/>
      <c r="AA16" s="91"/>
      <c r="AB16" s="91">
        <f t="shared" si="1"/>
        <v>5061.43647058824</v>
      </c>
      <c r="AC16" s="44">
        <v>7.07</v>
      </c>
      <c r="AD16" s="75">
        <f t="shared" si="2"/>
        <v>35784.3558470588</v>
      </c>
      <c r="AE16" s="75">
        <f t="shared" si="3"/>
        <v>64764.9302588235</v>
      </c>
      <c r="AF16" s="75">
        <f t="shared" si="4"/>
        <v>-11118.8102588235</v>
      </c>
    </row>
    <row r="17" s="2" customFormat="1" spans="1:32">
      <c r="A17" s="20"/>
      <c r="B17" s="21"/>
      <c r="C17" s="22">
        <v>240809000038</v>
      </c>
      <c r="D17" s="23">
        <v>45534</v>
      </c>
      <c r="E17" s="23" t="s">
        <v>92</v>
      </c>
      <c r="F17" s="21" t="s">
        <v>93</v>
      </c>
      <c r="G17" s="21" t="s">
        <v>117</v>
      </c>
      <c r="H17" s="24">
        <v>2.0316</v>
      </c>
      <c r="I17" s="24">
        <v>173</v>
      </c>
      <c r="J17" s="43">
        <v>4667</v>
      </c>
      <c r="K17" s="44"/>
      <c r="L17" s="45"/>
      <c r="M17" s="46"/>
      <c r="N17" s="45"/>
      <c r="O17" s="21"/>
      <c r="P17" s="47">
        <f t="shared" si="13"/>
        <v>4667</v>
      </c>
      <c r="Q17" s="78"/>
      <c r="R17" s="78"/>
      <c r="S17" s="75">
        <f t="shared" si="7"/>
        <v>1719.24896911765</v>
      </c>
      <c r="T17" s="75"/>
      <c r="U17" s="75">
        <f t="shared" si="8"/>
        <v>62.7405882352941</v>
      </c>
      <c r="V17" s="75"/>
      <c r="W17" s="75"/>
      <c r="X17" s="77">
        <f t="shared" si="0"/>
        <v>1781.98955735294</v>
      </c>
      <c r="Y17" s="96">
        <f t="shared" si="9"/>
        <v>311.223194117647</v>
      </c>
      <c r="Z17" s="91"/>
      <c r="AA17" s="91"/>
      <c r="AB17" s="91">
        <f t="shared" si="1"/>
        <v>311.223194117647</v>
      </c>
      <c r="AC17" s="44">
        <v>7.07</v>
      </c>
      <c r="AD17" s="75">
        <f t="shared" si="2"/>
        <v>2200.34798241176</v>
      </c>
      <c r="AE17" s="75">
        <f t="shared" si="3"/>
        <v>3982.33753976471</v>
      </c>
      <c r="AF17" s="75">
        <f t="shared" si="4"/>
        <v>684.662460235294</v>
      </c>
    </row>
    <row r="18" s="2" customFormat="1" spans="1:32">
      <c r="A18" s="20"/>
      <c r="B18" s="21"/>
      <c r="C18" s="22">
        <v>240810000008</v>
      </c>
      <c r="D18" s="23">
        <v>45534</v>
      </c>
      <c r="E18" s="23" t="s">
        <v>60</v>
      </c>
      <c r="F18" s="21" t="s">
        <v>61</v>
      </c>
      <c r="G18" s="21" t="s">
        <v>118</v>
      </c>
      <c r="H18" s="24">
        <v>7.4021</v>
      </c>
      <c r="I18" s="24">
        <v>2808</v>
      </c>
      <c r="J18" s="47"/>
      <c r="K18" s="49">
        <v>4341273</v>
      </c>
      <c r="L18" s="45"/>
      <c r="M18" s="46">
        <f t="shared" si="11"/>
        <v>1725</v>
      </c>
      <c r="N18" s="50">
        <v>2516.68</v>
      </c>
      <c r="O18" s="21">
        <v>7.12</v>
      </c>
      <c r="P18" s="47">
        <f t="shared" si="12"/>
        <v>17918.7616</v>
      </c>
      <c r="Q18" s="78"/>
      <c r="R18" s="78"/>
      <c r="S18" s="75">
        <f t="shared" si="7"/>
        <v>6264.05433860294</v>
      </c>
      <c r="T18" s="75"/>
      <c r="U18" s="75">
        <f t="shared" si="8"/>
        <v>228.594264705882</v>
      </c>
      <c r="V18" s="75"/>
      <c r="W18" s="75"/>
      <c r="X18" s="77">
        <f t="shared" si="0"/>
        <v>6492.64860330882</v>
      </c>
      <c r="Y18" s="96">
        <f t="shared" si="9"/>
        <v>1133.93640735294</v>
      </c>
      <c r="Z18" s="91"/>
      <c r="AA18" s="91"/>
      <c r="AB18" s="91">
        <f t="shared" si="1"/>
        <v>1133.93640735294</v>
      </c>
      <c r="AC18" s="44">
        <v>7.07</v>
      </c>
      <c r="AD18" s="75">
        <f t="shared" si="2"/>
        <v>8016.93039998529</v>
      </c>
      <c r="AE18" s="75">
        <f t="shared" si="3"/>
        <v>14509.5790032941</v>
      </c>
      <c r="AF18" s="75">
        <f t="shared" si="4"/>
        <v>3409.18259670588</v>
      </c>
    </row>
    <row r="19" s="2" customFormat="1" spans="1:32">
      <c r="A19" s="20"/>
      <c r="B19" s="21"/>
      <c r="C19" s="22">
        <v>240813000002</v>
      </c>
      <c r="D19" s="23">
        <v>45534</v>
      </c>
      <c r="E19" s="23" t="s">
        <v>64</v>
      </c>
      <c r="F19" s="21" t="s">
        <v>64</v>
      </c>
      <c r="G19" s="21" t="s">
        <v>84</v>
      </c>
      <c r="H19" s="24">
        <v>1.14</v>
      </c>
      <c r="I19" s="24">
        <v>155</v>
      </c>
      <c r="J19" s="43">
        <v>1853.23</v>
      </c>
      <c r="K19" s="44"/>
      <c r="L19" s="45"/>
      <c r="M19" s="46"/>
      <c r="N19" s="50"/>
      <c r="O19" s="21"/>
      <c r="P19" s="47">
        <f t="shared" si="13"/>
        <v>1853.23</v>
      </c>
      <c r="Q19" s="79"/>
      <c r="R19" s="79"/>
      <c r="S19" s="75">
        <f t="shared" si="7"/>
        <v>964.729191176471</v>
      </c>
      <c r="T19" s="75"/>
      <c r="U19" s="75">
        <f t="shared" si="8"/>
        <v>35.2058823529412</v>
      </c>
      <c r="V19" s="75"/>
      <c r="W19" s="75"/>
      <c r="X19" s="77">
        <f t="shared" si="0"/>
        <v>999.935073529412</v>
      </c>
      <c r="Y19" s="96">
        <f t="shared" si="9"/>
        <v>174.637941176471</v>
      </c>
      <c r="Z19" s="91"/>
      <c r="AA19" s="91"/>
      <c r="AB19" s="91">
        <f t="shared" si="1"/>
        <v>174.637941176471</v>
      </c>
      <c r="AC19" s="44">
        <v>7.07</v>
      </c>
      <c r="AD19" s="75">
        <f t="shared" si="2"/>
        <v>1234.69024411765</v>
      </c>
      <c r="AE19" s="75">
        <f t="shared" si="3"/>
        <v>2234.62531764706</v>
      </c>
      <c r="AF19" s="75">
        <f t="shared" si="4"/>
        <v>-381.395317647059</v>
      </c>
    </row>
    <row r="20" s="2" customFormat="1" spans="1:32">
      <c r="A20" s="20"/>
      <c r="B20" s="21"/>
      <c r="C20" s="22">
        <v>240812000043</v>
      </c>
      <c r="D20" s="23">
        <v>45534</v>
      </c>
      <c r="E20" s="23" t="s">
        <v>80</v>
      </c>
      <c r="F20" s="21" t="s">
        <v>64</v>
      </c>
      <c r="G20" s="21" t="s">
        <v>110</v>
      </c>
      <c r="H20" s="24">
        <v>5.313</v>
      </c>
      <c r="I20" s="24">
        <v>2925</v>
      </c>
      <c r="J20" s="43">
        <v>13463.78</v>
      </c>
      <c r="K20" s="49"/>
      <c r="L20" s="50"/>
      <c r="M20" s="46"/>
      <c r="N20" s="50"/>
      <c r="O20" s="21"/>
      <c r="P20" s="47">
        <f t="shared" si="13"/>
        <v>13463.78</v>
      </c>
      <c r="Q20" s="79"/>
      <c r="R20" s="79"/>
      <c r="S20" s="75">
        <f t="shared" si="7"/>
        <v>4496.14578308824</v>
      </c>
      <c r="T20" s="75"/>
      <c r="U20" s="75">
        <f t="shared" si="8"/>
        <v>164.077941176471</v>
      </c>
      <c r="V20" s="75"/>
      <c r="W20" s="75"/>
      <c r="X20" s="77">
        <f t="shared" si="0"/>
        <v>4660.22372426471</v>
      </c>
      <c r="Y20" s="96">
        <f t="shared" si="9"/>
        <v>813.904720588235</v>
      </c>
      <c r="Z20" s="91"/>
      <c r="AA20" s="91"/>
      <c r="AB20" s="91">
        <f t="shared" si="1"/>
        <v>813.904720588235</v>
      </c>
      <c r="AC20" s="44">
        <v>7.07</v>
      </c>
      <c r="AD20" s="75">
        <f t="shared" si="2"/>
        <v>5754.30637455882</v>
      </c>
      <c r="AE20" s="75">
        <f t="shared" si="3"/>
        <v>10414.5300988235</v>
      </c>
      <c r="AF20" s="75">
        <f t="shared" si="4"/>
        <v>3049.24990117647</v>
      </c>
    </row>
    <row r="21" ht="15.75" spans="1:32">
      <c r="A21" s="26" t="s">
        <v>26</v>
      </c>
      <c r="B21" s="27"/>
      <c r="C21" s="27"/>
      <c r="D21" s="27"/>
      <c r="E21" s="27"/>
      <c r="F21" s="27"/>
      <c r="G21" s="27"/>
      <c r="H21" s="27"/>
      <c r="I21" s="52"/>
      <c r="J21" s="27">
        <f>SUM(J4:J4)</f>
        <v>0</v>
      </c>
      <c r="K21" s="53"/>
      <c r="L21" s="54"/>
      <c r="M21" s="53"/>
      <c r="N21" s="53">
        <f t="shared" ref="N21:Q21" si="14">SUM(N4:N4)</f>
        <v>0</v>
      </c>
      <c r="O21" s="27"/>
      <c r="P21" s="27">
        <f t="shared" si="14"/>
        <v>0</v>
      </c>
      <c r="Q21" s="27">
        <f t="shared" si="14"/>
        <v>0</v>
      </c>
      <c r="R21" s="27"/>
      <c r="S21" s="27"/>
      <c r="T21" s="27"/>
      <c r="U21" s="27"/>
      <c r="V21" s="27"/>
      <c r="W21" s="27"/>
      <c r="X21" s="80">
        <f>SUM(X4:X4)</f>
        <v>0</v>
      </c>
      <c r="Y21" s="54"/>
      <c r="Z21" s="54"/>
      <c r="AA21" s="54"/>
      <c r="AB21" s="54"/>
      <c r="AC21" s="53"/>
      <c r="AD21" s="27">
        <f>SUM(AD4:AD4)</f>
        <v>0</v>
      </c>
      <c r="AE21" s="27"/>
      <c r="AF21" s="93">
        <f>SUM(AF4:AF20)</f>
        <v>8082.21627647059</v>
      </c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</sheetData>
  <autoFilter xmlns:etc="http://www.wps.cn/officeDocument/2017/etCustomData" ref="A3:AF21" etc:filterBottomFollowUsedRange="0">
    <extLst/>
  </autoFilter>
  <mergeCells count="21">
    <mergeCell ref="A1:AF1"/>
    <mergeCell ref="J3:P3"/>
    <mergeCell ref="R3:V3"/>
    <mergeCell ref="Y3:AD3"/>
    <mergeCell ref="A3:A4"/>
    <mergeCell ref="A5:A20"/>
    <mergeCell ref="B3:B4"/>
    <mergeCell ref="B5:B20"/>
    <mergeCell ref="C3:C4"/>
    <mergeCell ref="D3:D4"/>
    <mergeCell ref="E3:E4"/>
    <mergeCell ref="F3:F4"/>
    <mergeCell ref="G3:G4"/>
    <mergeCell ref="H3:H4"/>
    <mergeCell ref="I3:I4"/>
    <mergeCell ref="Q3:Q4"/>
    <mergeCell ref="Q5:Q20"/>
    <mergeCell ref="R5:R20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9" ySplit="3" topLeftCell="Z3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70.7131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18</v>
      </c>
      <c r="B5" s="21" t="s">
        <v>19</v>
      </c>
      <c r="C5" s="22">
        <v>240729000025</v>
      </c>
      <c r="D5" s="23">
        <v>45534</v>
      </c>
      <c r="E5" s="23" t="s">
        <v>66</v>
      </c>
      <c r="F5" s="21" t="s">
        <v>67</v>
      </c>
      <c r="G5" s="21" t="s">
        <v>119</v>
      </c>
      <c r="H5" s="24">
        <v>0.3136</v>
      </c>
      <c r="I5" s="24">
        <v>10</v>
      </c>
      <c r="J5" s="48">
        <v>753</v>
      </c>
      <c r="K5" s="44"/>
      <c r="L5" s="45"/>
      <c r="M5" s="46"/>
      <c r="N5" s="45"/>
      <c r="O5" s="21"/>
      <c r="P5" s="47">
        <f>SUM(J5)</f>
        <v>753</v>
      </c>
      <c r="Q5" s="73">
        <f>SUM(P5:P14)</f>
        <v>139455.48</v>
      </c>
      <c r="R5" s="74" t="s">
        <v>120</v>
      </c>
      <c r="S5" s="75">
        <f>SUM(57265.25/68)*H5</f>
        <v>264.093858823529</v>
      </c>
      <c r="T5" s="75"/>
      <c r="U5" s="75">
        <f>SUM(1400/68)*H5</f>
        <v>6.45647058823529</v>
      </c>
      <c r="V5" s="75"/>
      <c r="W5" s="75"/>
      <c r="X5" s="77">
        <f t="shared" ref="X5:X52" si="0">SUM(S5:W5)</f>
        <v>270.550329411765</v>
      </c>
      <c r="Y5" s="96">
        <f>SUM(10328/68)*H5</f>
        <v>47.6303058823529</v>
      </c>
      <c r="Z5" s="91"/>
      <c r="AA5" s="91">
        <f>SUM(277.12/68)*H5</f>
        <v>1.27801223529412</v>
      </c>
      <c r="AB5" s="91">
        <f t="shared" ref="AB5:AB52" si="1">SUM(Y5:AA5)</f>
        <v>48.9083181176471</v>
      </c>
      <c r="AC5" s="44">
        <v>7.06</v>
      </c>
      <c r="AD5" s="75">
        <f t="shared" ref="AD5:AD52" si="2">SUM(AB5*AC5)</f>
        <v>345.292725910588</v>
      </c>
      <c r="AE5" s="75">
        <f t="shared" ref="AE5:AE52" si="3">SUM(X5+AD5)</f>
        <v>615.843055322353</v>
      </c>
      <c r="AF5" s="75">
        <f t="shared" ref="AF5:AF52" si="4">SUM(P5-AE5)</f>
        <v>137.156944677647</v>
      </c>
    </row>
    <row r="6" s="2" customFormat="1" spans="1:32">
      <c r="A6" s="20"/>
      <c r="B6" s="21"/>
      <c r="C6" s="22">
        <v>240804000005</v>
      </c>
      <c r="D6" s="23">
        <v>45534</v>
      </c>
      <c r="E6" s="23" t="s">
        <v>66</v>
      </c>
      <c r="F6" s="21" t="s">
        <v>67</v>
      </c>
      <c r="G6" s="21" t="s">
        <v>98</v>
      </c>
      <c r="H6" s="24">
        <v>31.7366</v>
      </c>
      <c r="I6" s="24">
        <v>8596</v>
      </c>
      <c r="J6" s="43">
        <v>70573.12</v>
      </c>
      <c r="K6" s="44"/>
      <c r="L6" s="50"/>
      <c r="M6" s="46"/>
      <c r="N6" s="50"/>
      <c r="O6" s="21"/>
      <c r="P6" s="47">
        <f t="shared" ref="P6:P14" si="5">SUBTOTAL(9,J6)</f>
        <v>70573.12</v>
      </c>
      <c r="Q6" s="78"/>
      <c r="R6" s="78"/>
      <c r="S6" s="75">
        <f t="shared" ref="S6:S14" si="6">SUM(57265.25/68)*H6</f>
        <v>26726.5343110294</v>
      </c>
      <c r="T6" s="75"/>
      <c r="U6" s="75">
        <f t="shared" ref="U6:U14" si="7">SUM(1400/68)*H6</f>
        <v>653.400588235294</v>
      </c>
      <c r="V6" s="75"/>
      <c r="W6" s="75"/>
      <c r="X6" s="77">
        <f t="shared" si="0"/>
        <v>27379.9348992647</v>
      </c>
      <c r="Y6" s="96">
        <f t="shared" ref="Y6:Y14" si="8">SUM(10328/68)*H6</f>
        <v>4820.22948235294</v>
      </c>
      <c r="Z6" s="91"/>
      <c r="AA6" s="91">
        <f t="shared" ref="AA6:AA14" si="9">SUM(277.12/68)*H6</f>
        <v>129.335979294118</v>
      </c>
      <c r="AB6" s="91">
        <f t="shared" si="1"/>
        <v>4949.56546164706</v>
      </c>
      <c r="AC6" s="44">
        <v>7.06</v>
      </c>
      <c r="AD6" s="75">
        <f t="shared" si="2"/>
        <v>34943.9321592282</v>
      </c>
      <c r="AE6" s="75">
        <f t="shared" si="3"/>
        <v>62323.8670584929</v>
      </c>
      <c r="AF6" s="75">
        <f t="shared" si="4"/>
        <v>8249.25294150706</v>
      </c>
    </row>
    <row r="7" s="2" customFormat="1" spans="1:32">
      <c r="A7" s="20"/>
      <c r="B7" s="21"/>
      <c r="C7" s="22">
        <v>240812000053</v>
      </c>
      <c r="D7" s="23">
        <v>45534</v>
      </c>
      <c r="E7" s="23" t="s">
        <v>64</v>
      </c>
      <c r="F7" s="21" t="s">
        <v>64</v>
      </c>
      <c r="G7" s="21" t="s">
        <v>65</v>
      </c>
      <c r="H7" s="24">
        <v>1.748</v>
      </c>
      <c r="I7" s="24">
        <v>203</v>
      </c>
      <c r="J7" s="43">
        <v>3548.44</v>
      </c>
      <c r="K7" s="44"/>
      <c r="L7" s="45"/>
      <c r="M7" s="46"/>
      <c r="N7" s="51"/>
      <c r="O7" s="21"/>
      <c r="P7" s="47">
        <f t="shared" si="5"/>
        <v>3548.44</v>
      </c>
      <c r="Q7" s="78"/>
      <c r="R7" s="78"/>
      <c r="S7" s="75">
        <f t="shared" si="6"/>
        <v>1472.05377941176</v>
      </c>
      <c r="T7" s="75"/>
      <c r="U7" s="75">
        <f t="shared" si="7"/>
        <v>35.9882352941177</v>
      </c>
      <c r="V7" s="75"/>
      <c r="W7" s="75"/>
      <c r="X7" s="77">
        <f t="shared" si="0"/>
        <v>1508.04201470588</v>
      </c>
      <c r="Y7" s="96">
        <f t="shared" si="8"/>
        <v>265.490352941176</v>
      </c>
      <c r="Z7" s="91"/>
      <c r="AA7" s="91">
        <f t="shared" si="9"/>
        <v>7.12361411764706</v>
      </c>
      <c r="AB7" s="91">
        <f t="shared" si="1"/>
        <v>272.613967058824</v>
      </c>
      <c r="AC7" s="44">
        <v>7.06</v>
      </c>
      <c r="AD7" s="75">
        <f t="shared" si="2"/>
        <v>1924.65460743529</v>
      </c>
      <c r="AE7" s="75">
        <f t="shared" si="3"/>
        <v>3432.69662214118</v>
      </c>
      <c r="AF7" s="75">
        <f t="shared" si="4"/>
        <v>115.743377858824</v>
      </c>
    </row>
    <row r="8" s="2" customFormat="1" spans="1:32">
      <c r="A8" s="20"/>
      <c r="B8" s="21"/>
      <c r="C8" s="22">
        <v>240811000002</v>
      </c>
      <c r="D8" s="23">
        <v>45534</v>
      </c>
      <c r="E8" s="23" t="s">
        <v>66</v>
      </c>
      <c r="F8" s="21" t="s">
        <v>67</v>
      </c>
      <c r="G8" s="21" t="s">
        <v>121</v>
      </c>
      <c r="H8" s="24">
        <v>0.293</v>
      </c>
      <c r="I8" s="24">
        <v>65.5</v>
      </c>
      <c r="J8" s="99"/>
      <c r="K8" s="49">
        <v>295731</v>
      </c>
      <c r="L8" s="45"/>
      <c r="M8" s="46">
        <f>SUM(K8/N8)</f>
        <v>1737.54994124559</v>
      </c>
      <c r="N8" s="50">
        <v>170.2</v>
      </c>
      <c r="O8" s="21">
        <v>7.15</v>
      </c>
      <c r="P8" s="47">
        <f>SUM(N8*O8)</f>
        <v>1216.93</v>
      </c>
      <c r="Q8" s="78"/>
      <c r="R8" s="78"/>
      <c r="S8" s="75">
        <f t="shared" si="6"/>
        <v>246.745856617647</v>
      </c>
      <c r="T8" s="75">
        <v>355.58</v>
      </c>
      <c r="U8" s="75">
        <f t="shared" si="7"/>
        <v>6.03235294117647</v>
      </c>
      <c r="V8" s="75"/>
      <c r="W8" s="75">
        <v>54.56</v>
      </c>
      <c r="X8" s="77">
        <f t="shared" si="0"/>
        <v>662.918209558823</v>
      </c>
      <c r="Y8" s="96">
        <f t="shared" si="8"/>
        <v>44.5015294117647</v>
      </c>
      <c r="Z8" s="92">
        <v>27.05</v>
      </c>
      <c r="AA8" s="91">
        <f t="shared" si="9"/>
        <v>1.19406117647059</v>
      </c>
      <c r="AB8" s="91">
        <f t="shared" si="1"/>
        <v>72.7455905882353</v>
      </c>
      <c r="AC8" s="44">
        <v>7.06</v>
      </c>
      <c r="AD8" s="75">
        <f t="shared" si="2"/>
        <v>513.583869552941</v>
      </c>
      <c r="AE8" s="75">
        <f t="shared" si="3"/>
        <v>1176.50207911176</v>
      </c>
      <c r="AF8" s="75">
        <f t="shared" si="4"/>
        <v>40.4279208882356</v>
      </c>
    </row>
    <row r="9" s="2" customFormat="1" spans="1:32">
      <c r="A9" s="20"/>
      <c r="B9" s="21"/>
      <c r="C9" s="22">
        <v>240812000054</v>
      </c>
      <c r="D9" s="23">
        <v>45534</v>
      </c>
      <c r="E9" s="23" t="s">
        <v>64</v>
      </c>
      <c r="F9" s="21" t="s">
        <v>64</v>
      </c>
      <c r="G9" s="21" t="s">
        <v>65</v>
      </c>
      <c r="H9" s="24">
        <v>0.2239</v>
      </c>
      <c r="I9" s="24">
        <v>43</v>
      </c>
      <c r="J9" s="43">
        <v>454.5</v>
      </c>
      <c r="K9" s="44"/>
      <c r="L9" s="45"/>
      <c r="M9" s="46"/>
      <c r="N9" s="51"/>
      <c r="O9" s="21"/>
      <c r="P9" s="47">
        <f t="shared" si="5"/>
        <v>454.5</v>
      </c>
      <c r="Q9" s="78"/>
      <c r="R9" s="78"/>
      <c r="S9" s="75">
        <f t="shared" si="6"/>
        <v>188.554256985294</v>
      </c>
      <c r="T9" s="75"/>
      <c r="U9" s="75">
        <f t="shared" si="7"/>
        <v>4.60970588235294</v>
      </c>
      <c r="V9" s="75"/>
      <c r="W9" s="75"/>
      <c r="X9" s="77">
        <f t="shared" si="0"/>
        <v>193.163962867647</v>
      </c>
      <c r="Y9" s="96">
        <f t="shared" si="8"/>
        <v>34.0064588235294</v>
      </c>
      <c r="Z9" s="91"/>
      <c r="AA9" s="91">
        <f t="shared" si="9"/>
        <v>0.912458352941176</v>
      </c>
      <c r="AB9" s="91">
        <f t="shared" si="1"/>
        <v>34.9189171764706</v>
      </c>
      <c r="AC9" s="44">
        <v>7.06</v>
      </c>
      <c r="AD9" s="75">
        <f t="shared" si="2"/>
        <v>246.527555265882</v>
      </c>
      <c r="AE9" s="75">
        <f t="shared" si="3"/>
        <v>439.691518133529</v>
      </c>
      <c r="AF9" s="75">
        <f t="shared" si="4"/>
        <v>14.8084818664706</v>
      </c>
    </row>
    <row r="10" s="2" customFormat="1" spans="1:32">
      <c r="A10" s="20"/>
      <c r="B10" s="21"/>
      <c r="C10" s="22">
        <v>240812000055</v>
      </c>
      <c r="D10" s="23">
        <v>45534</v>
      </c>
      <c r="E10" s="23" t="s">
        <v>64</v>
      </c>
      <c r="F10" s="21" t="s">
        <v>64</v>
      </c>
      <c r="G10" s="21" t="s">
        <v>65</v>
      </c>
      <c r="H10" s="24">
        <v>0.1922</v>
      </c>
      <c r="I10" s="24">
        <v>29</v>
      </c>
      <c r="J10" s="43">
        <v>390.2</v>
      </c>
      <c r="K10" s="44"/>
      <c r="L10" s="45"/>
      <c r="M10" s="46"/>
      <c r="N10" s="51"/>
      <c r="O10" s="21"/>
      <c r="P10" s="47">
        <f t="shared" si="5"/>
        <v>390.2</v>
      </c>
      <c r="Q10" s="78"/>
      <c r="R10" s="78"/>
      <c r="S10" s="75">
        <f t="shared" si="6"/>
        <v>161.858544852941</v>
      </c>
      <c r="T10" s="75"/>
      <c r="U10" s="75">
        <f t="shared" si="7"/>
        <v>3.95705882352941</v>
      </c>
      <c r="V10" s="75"/>
      <c r="W10" s="75"/>
      <c r="X10" s="77">
        <f t="shared" si="0"/>
        <v>165.815603676471</v>
      </c>
      <c r="Y10" s="96">
        <f t="shared" si="8"/>
        <v>29.1917882352941</v>
      </c>
      <c r="Z10" s="91"/>
      <c r="AA10" s="91">
        <f t="shared" si="9"/>
        <v>0.783271529411765</v>
      </c>
      <c r="AB10" s="91">
        <f t="shared" si="1"/>
        <v>29.9750597647059</v>
      </c>
      <c r="AC10" s="44">
        <v>7.06</v>
      </c>
      <c r="AD10" s="75">
        <f t="shared" si="2"/>
        <v>211.623921938824</v>
      </c>
      <c r="AE10" s="75">
        <f t="shared" si="3"/>
        <v>377.439525615294</v>
      </c>
      <c r="AF10" s="75">
        <f t="shared" si="4"/>
        <v>12.7604743847058</v>
      </c>
    </row>
    <row r="11" s="2" customFormat="1" spans="1:32">
      <c r="A11" s="20"/>
      <c r="B11" s="21"/>
      <c r="C11" s="22">
        <v>240812000056</v>
      </c>
      <c r="D11" s="23">
        <v>45534</v>
      </c>
      <c r="E11" s="23" t="s">
        <v>64</v>
      </c>
      <c r="F11" s="21" t="s">
        <v>64</v>
      </c>
      <c r="G11" s="21" t="s">
        <v>65</v>
      </c>
      <c r="H11" s="24">
        <v>0.1689</v>
      </c>
      <c r="I11" s="24">
        <v>34</v>
      </c>
      <c r="J11" s="43">
        <v>342.85</v>
      </c>
      <c r="K11" s="44"/>
      <c r="L11" s="45"/>
      <c r="M11" s="46"/>
      <c r="N11" s="51"/>
      <c r="O11" s="21"/>
      <c r="P11" s="47">
        <f t="shared" si="5"/>
        <v>342.85</v>
      </c>
      <c r="Q11" s="78"/>
      <c r="R11" s="78"/>
      <c r="S11" s="75">
        <f t="shared" si="6"/>
        <v>142.236775367647</v>
      </c>
      <c r="T11" s="75"/>
      <c r="U11" s="75">
        <f t="shared" si="7"/>
        <v>3.47735294117647</v>
      </c>
      <c r="V11" s="75"/>
      <c r="W11" s="75"/>
      <c r="X11" s="77">
        <f t="shared" si="0"/>
        <v>145.714128308824</v>
      </c>
      <c r="Y11" s="96">
        <f t="shared" si="8"/>
        <v>25.6529294117647</v>
      </c>
      <c r="Z11" s="91"/>
      <c r="AA11" s="91">
        <f t="shared" si="9"/>
        <v>0.688317176470588</v>
      </c>
      <c r="AB11" s="91">
        <f t="shared" si="1"/>
        <v>26.3412465882353</v>
      </c>
      <c r="AC11" s="44">
        <v>7.06</v>
      </c>
      <c r="AD11" s="75">
        <f t="shared" si="2"/>
        <v>185.969200912941</v>
      </c>
      <c r="AE11" s="75">
        <f t="shared" si="3"/>
        <v>331.683329221765</v>
      </c>
      <c r="AF11" s="75">
        <f t="shared" si="4"/>
        <v>11.1666707782354</v>
      </c>
    </row>
    <row r="12" s="2" customFormat="1" spans="1:32">
      <c r="A12" s="20"/>
      <c r="B12" s="21"/>
      <c r="C12" s="22">
        <v>240813000001</v>
      </c>
      <c r="D12" s="23">
        <v>45534</v>
      </c>
      <c r="E12" s="23" t="s">
        <v>64</v>
      </c>
      <c r="F12" s="21" t="s">
        <v>64</v>
      </c>
      <c r="G12" s="21" t="s">
        <v>84</v>
      </c>
      <c r="H12" s="24">
        <v>1.98</v>
      </c>
      <c r="I12" s="24">
        <v>736</v>
      </c>
      <c r="J12" s="43">
        <v>3388.18</v>
      </c>
      <c r="K12" s="44"/>
      <c r="L12" s="45"/>
      <c r="M12" s="46"/>
      <c r="N12" s="50"/>
      <c r="O12" s="21"/>
      <c r="P12" s="47">
        <f t="shared" si="5"/>
        <v>3388.18</v>
      </c>
      <c r="Q12" s="78"/>
      <c r="R12" s="78"/>
      <c r="S12" s="75">
        <f t="shared" si="6"/>
        <v>1667.42933823529</v>
      </c>
      <c r="T12" s="75"/>
      <c r="U12" s="75">
        <f t="shared" si="7"/>
        <v>40.7647058823529</v>
      </c>
      <c r="V12" s="75"/>
      <c r="W12" s="75"/>
      <c r="X12" s="77">
        <f t="shared" si="0"/>
        <v>1708.19404411765</v>
      </c>
      <c r="Y12" s="96">
        <f t="shared" si="8"/>
        <v>300.727058823529</v>
      </c>
      <c r="Z12" s="91"/>
      <c r="AA12" s="91">
        <f t="shared" si="9"/>
        <v>8.06908235294118</v>
      </c>
      <c r="AB12" s="91">
        <f t="shared" si="1"/>
        <v>308.796141176471</v>
      </c>
      <c r="AC12" s="44">
        <v>7.06</v>
      </c>
      <c r="AD12" s="75">
        <f t="shared" si="2"/>
        <v>2180.10075670588</v>
      </c>
      <c r="AE12" s="75">
        <f t="shared" si="3"/>
        <v>3888.29480082353</v>
      </c>
      <c r="AF12" s="75">
        <f t="shared" si="4"/>
        <v>-500.114800823529</v>
      </c>
    </row>
    <row r="13" s="2" customFormat="1" spans="1:32">
      <c r="A13" s="20"/>
      <c r="B13" s="21"/>
      <c r="C13" s="22">
        <v>240613000018</v>
      </c>
      <c r="D13" s="23">
        <v>45506</v>
      </c>
      <c r="E13" s="23" t="s">
        <v>64</v>
      </c>
      <c r="F13" s="21" t="s">
        <v>64</v>
      </c>
      <c r="G13" s="21" t="s">
        <v>108</v>
      </c>
      <c r="H13" s="24">
        <v>1.087</v>
      </c>
      <c r="I13" s="24">
        <v>234</v>
      </c>
      <c r="J13" s="43">
        <v>2370</v>
      </c>
      <c r="K13" s="44"/>
      <c r="L13" s="45"/>
      <c r="M13" s="46"/>
      <c r="N13" s="45"/>
      <c r="O13" s="21"/>
      <c r="P13" s="47">
        <f t="shared" si="5"/>
        <v>2370</v>
      </c>
      <c r="Q13" s="78"/>
      <c r="R13" s="78"/>
      <c r="S13" s="75">
        <f t="shared" si="6"/>
        <v>915.401863970588</v>
      </c>
      <c r="T13" s="75"/>
      <c r="U13" s="75">
        <f t="shared" si="7"/>
        <v>22.3794117647059</v>
      </c>
      <c r="V13" s="75"/>
      <c r="W13" s="75"/>
      <c r="X13" s="77">
        <f t="shared" si="0"/>
        <v>937.781275735294</v>
      </c>
      <c r="Y13" s="96">
        <f t="shared" si="8"/>
        <v>165.096117647059</v>
      </c>
      <c r="Z13" s="91"/>
      <c r="AA13" s="91">
        <f t="shared" si="9"/>
        <v>4.42984470588235</v>
      </c>
      <c r="AB13" s="91">
        <f t="shared" si="1"/>
        <v>169.525962352941</v>
      </c>
      <c r="AC13" s="44">
        <v>7.06</v>
      </c>
      <c r="AD13" s="75">
        <f t="shared" si="2"/>
        <v>1196.85329421176</v>
      </c>
      <c r="AE13" s="75">
        <f t="shared" si="3"/>
        <v>2134.63456994706</v>
      </c>
      <c r="AF13" s="75">
        <f t="shared" si="4"/>
        <v>235.365430052942</v>
      </c>
    </row>
    <row r="14" s="2" customFormat="1" spans="1:32">
      <c r="A14" s="20"/>
      <c r="B14" s="21"/>
      <c r="C14" s="22">
        <v>240813000002</v>
      </c>
      <c r="D14" s="23">
        <v>45534</v>
      </c>
      <c r="E14" s="23" t="s">
        <v>64</v>
      </c>
      <c r="F14" s="21" t="s">
        <v>64</v>
      </c>
      <c r="G14" s="21" t="s">
        <v>84</v>
      </c>
      <c r="H14" s="24">
        <v>32.97</v>
      </c>
      <c r="I14" s="24">
        <v>3574</v>
      </c>
      <c r="J14" s="43">
        <v>56418.26</v>
      </c>
      <c r="K14" s="44"/>
      <c r="L14" s="45"/>
      <c r="M14" s="46"/>
      <c r="N14" s="50"/>
      <c r="O14" s="21"/>
      <c r="P14" s="47">
        <f t="shared" si="5"/>
        <v>56418.26</v>
      </c>
      <c r="Q14" s="79"/>
      <c r="R14" s="79"/>
      <c r="S14" s="75">
        <f t="shared" si="6"/>
        <v>27765.2248897059</v>
      </c>
      <c r="T14" s="75"/>
      <c r="U14" s="75">
        <f t="shared" si="7"/>
        <v>678.794117647059</v>
      </c>
      <c r="V14" s="75"/>
      <c r="W14" s="75"/>
      <c r="X14" s="77">
        <f t="shared" si="0"/>
        <v>28444.0190073529</v>
      </c>
      <c r="Y14" s="96">
        <f t="shared" si="8"/>
        <v>5007.56117647059</v>
      </c>
      <c r="Z14" s="92"/>
      <c r="AA14" s="91">
        <f t="shared" si="9"/>
        <v>134.362447058824</v>
      </c>
      <c r="AB14" s="91">
        <f t="shared" si="1"/>
        <v>5141.92362352941</v>
      </c>
      <c r="AC14" s="44">
        <v>7.06</v>
      </c>
      <c r="AD14" s="75">
        <f t="shared" si="2"/>
        <v>36301.9807821176</v>
      </c>
      <c r="AE14" s="75">
        <f t="shared" si="3"/>
        <v>64745.9997894706</v>
      </c>
      <c r="AF14" s="75">
        <f t="shared" si="4"/>
        <v>-8327.73978947059</v>
      </c>
    </row>
    <row r="15" ht="15.75" spans="1:32">
      <c r="A15" s="26" t="s">
        <v>26</v>
      </c>
      <c r="B15" s="27"/>
      <c r="C15" s="27"/>
      <c r="D15" s="27"/>
      <c r="E15" s="27"/>
      <c r="F15" s="27"/>
      <c r="G15" s="27"/>
      <c r="H15" s="27"/>
      <c r="I15" s="52"/>
      <c r="J15" s="27">
        <f>SUM(J4:J4)</f>
        <v>0</v>
      </c>
      <c r="K15" s="53"/>
      <c r="L15" s="54"/>
      <c r="M15" s="53"/>
      <c r="N15" s="53">
        <f t="shared" ref="N15:Q15" si="10">SUM(N4:N4)</f>
        <v>0</v>
      </c>
      <c r="O15" s="27"/>
      <c r="P15" s="27">
        <f t="shared" si="10"/>
        <v>0</v>
      </c>
      <c r="Q15" s="27">
        <f t="shared" si="10"/>
        <v>0</v>
      </c>
      <c r="R15" s="27"/>
      <c r="S15" s="27"/>
      <c r="T15" s="27"/>
      <c r="U15" s="27"/>
      <c r="V15" s="27"/>
      <c r="W15" s="27"/>
      <c r="X15" s="80">
        <f>SUM(X4:X4)</f>
        <v>0</v>
      </c>
      <c r="Y15" s="54"/>
      <c r="Z15" s="54"/>
      <c r="AA15" s="54"/>
      <c r="AB15" s="54"/>
      <c r="AC15" s="53"/>
      <c r="AD15" s="27">
        <f>SUM(AD4:AD4)</f>
        <v>0</v>
      </c>
      <c r="AE15" s="27"/>
      <c r="AF15" s="93">
        <f>SUM(AF4:AF14)</f>
        <v>-11.1723482799953</v>
      </c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zoomScale="110" zoomScaleNormal="110" workbookViewId="0">
      <pane xSplit="9" ySplit="3" topLeftCell="Z4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68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20</v>
      </c>
      <c r="B5" s="21" t="s">
        <v>21</v>
      </c>
      <c r="C5" s="22">
        <v>240812000027</v>
      </c>
      <c r="D5" s="23">
        <v>45498</v>
      </c>
      <c r="E5" s="23" t="s">
        <v>64</v>
      </c>
      <c r="F5" s="21" t="s">
        <v>64</v>
      </c>
      <c r="G5" s="21" t="s">
        <v>122</v>
      </c>
      <c r="H5" s="24">
        <v>68</v>
      </c>
      <c r="I5" s="24">
        <v>21890</v>
      </c>
      <c r="J5" s="43">
        <v>68172</v>
      </c>
      <c r="K5" s="49">
        <v>21300000</v>
      </c>
      <c r="L5" s="45"/>
      <c r="M5" s="46">
        <f>SUM(K5/N5)</f>
        <v>1694.55792325164</v>
      </c>
      <c r="N5" s="50">
        <v>12569.65</v>
      </c>
      <c r="O5" s="21">
        <v>7.15</v>
      </c>
      <c r="P5" s="94">
        <f>SUM(N5*O5+J5)</f>
        <v>158044.9975</v>
      </c>
      <c r="Q5" s="95">
        <f>SUM(P5)</f>
        <v>158044.9975</v>
      </c>
      <c r="R5" s="95" t="s">
        <v>123</v>
      </c>
      <c r="S5" s="95">
        <v>61677</v>
      </c>
      <c r="T5" s="95"/>
      <c r="U5" s="75"/>
      <c r="V5" s="95"/>
      <c r="W5" s="95"/>
      <c r="X5" s="77">
        <f>SUM(S5:W5)</f>
        <v>61677</v>
      </c>
      <c r="Y5" s="96">
        <v>0</v>
      </c>
      <c r="Z5" s="97"/>
      <c r="AA5" s="97"/>
      <c r="AB5" s="91">
        <f>SUM(Y5:AA5)</f>
        <v>0</v>
      </c>
      <c r="AC5" s="98">
        <v>7.15</v>
      </c>
      <c r="AD5" s="75">
        <f>SUM(AB5*AC5)</f>
        <v>0</v>
      </c>
      <c r="AE5" s="75">
        <f>SUM(X5+AD5)</f>
        <v>61677</v>
      </c>
      <c r="AF5" s="75">
        <f>SUM(P5-AE5)</f>
        <v>96367.9975</v>
      </c>
    </row>
    <row r="6" ht="15.75" spans="1:32">
      <c r="A6" s="26" t="s">
        <v>26</v>
      </c>
      <c r="B6" s="27"/>
      <c r="C6" s="27"/>
      <c r="D6" s="27"/>
      <c r="E6" s="27"/>
      <c r="F6" s="27"/>
      <c r="G6" s="27"/>
      <c r="H6" s="27"/>
      <c r="I6" s="52"/>
      <c r="J6" s="27">
        <f>SUM(J4:J4)</f>
        <v>0</v>
      </c>
      <c r="K6" s="53"/>
      <c r="L6" s="54"/>
      <c r="M6" s="53"/>
      <c r="N6" s="53">
        <f t="shared" ref="N6:Q6" si="0">SUM(N4:N4)</f>
        <v>0</v>
      </c>
      <c r="O6" s="27"/>
      <c r="P6" s="27">
        <f t="shared" si="0"/>
        <v>0</v>
      </c>
      <c r="Q6" s="27">
        <f t="shared" si="0"/>
        <v>0</v>
      </c>
      <c r="R6" s="27"/>
      <c r="S6" s="27"/>
      <c r="T6" s="27"/>
      <c r="U6" s="27"/>
      <c r="V6" s="27"/>
      <c r="W6" s="27"/>
      <c r="X6" s="80">
        <f>SUM(X4:X4)</f>
        <v>0</v>
      </c>
      <c r="Y6" s="54"/>
      <c r="Z6" s="54"/>
      <c r="AA6" s="54"/>
      <c r="AB6" s="54"/>
      <c r="AC6" s="53"/>
      <c r="AD6" s="27">
        <f>SUM(AD4:AD4)</f>
        <v>0</v>
      </c>
      <c r="AE6" s="27"/>
      <c r="AF6" s="93">
        <f>SUM(AF4:AF5)</f>
        <v>96367.9975</v>
      </c>
    </row>
    <row r="7" customFormat="1" spans="4:29">
      <c r="D7" s="3"/>
      <c r="E7" s="3"/>
      <c r="K7" s="4"/>
      <c r="L7" s="5"/>
      <c r="M7" s="4"/>
      <c r="X7" s="7"/>
      <c r="Y7" s="5"/>
      <c r="Z7" s="5"/>
      <c r="AA7" s="5"/>
      <c r="AB7" s="5"/>
      <c r="AC7" s="4"/>
    </row>
    <row r="8" customFormat="1" spans="4:29">
      <c r="D8" s="3"/>
      <c r="E8" s="3"/>
      <c r="K8" s="4"/>
      <c r="L8" s="5"/>
      <c r="M8" s="4"/>
      <c r="X8" s="7"/>
      <c r="Y8" s="5"/>
      <c r="Z8" s="5"/>
      <c r="AA8" s="5"/>
      <c r="AB8" s="5"/>
      <c r="AC8" s="4"/>
    </row>
    <row r="9" customFormat="1" spans="4:29">
      <c r="D9" s="3"/>
      <c r="E9" s="3"/>
      <c r="K9" s="4"/>
      <c r="L9" s="5"/>
      <c r="M9" s="4"/>
      <c r="X9" s="7"/>
      <c r="Y9" s="5"/>
      <c r="Z9" s="5"/>
      <c r="AA9" s="5"/>
      <c r="AB9" s="5"/>
      <c r="AC9" s="4"/>
    </row>
    <row r="10" customFormat="1" spans="4:29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</row>
    <row r="11" customFormat="1" spans="4:29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</row>
    <row r="12" customFormat="1" spans="4:29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  <row r="14" customFormat="1" spans="4:29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</row>
    <row r="15" customFormat="1" spans="4:29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</sheetData>
  <autoFilter xmlns:etc="http://www.wps.cn/officeDocument/2017/etCustomData" ref="A3:AF6" etc:filterBottomFollowUsedRange="0">
    <extLst/>
  </autoFilter>
  <mergeCells count="17">
    <mergeCell ref="A1:AF1"/>
    <mergeCell ref="J3:P3"/>
    <mergeCell ref="R3:V3"/>
    <mergeCell ref="Y3:AD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"/>
  <sheetViews>
    <sheetView zoomScale="110" zoomScaleNormal="110" workbookViewId="0">
      <pane xSplit="2" ySplit="4" topLeftCell="S5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73.374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22</v>
      </c>
      <c r="B5" s="21" t="s">
        <v>23</v>
      </c>
      <c r="C5" s="22">
        <v>240807000029</v>
      </c>
      <c r="D5" s="23">
        <v>45516</v>
      </c>
      <c r="E5" s="23" t="s">
        <v>72</v>
      </c>
      <c r="F5" s="21" t="s">
        <v>88</v>
      </c>
      <c r="G5" s="21" t="s">
        <v>124</v>
      </c>
      <c r="H5" s="24">
        <v>0.55</v>
      </c>
      <c r="I5" s="24">
        <v>148</v>
      </c>
      <c r="J5" s="48">
        <v>1768.88</v>
      </c>
      <c r="K5" s="44"/>
      <c r="L5" s="45"/>
      <c r="M5" s="46"/>
      <c r="N5" s="45"/>
      <c r="O5" s="21"/>
      <c r="P5" s="47">
        <f>SUM(J5)</f>
        <v>1768.88</v>
      </c>
      <c r="Q5" s="73">
        <f>SUM(P5:P23)</f>
        <v>161460.146844</v>
      </c>
      <c r="R5" s="74" t="s">
        <v>125</v>
      </c>
      <c r="S5" s="75">
        <f>SUM(53259/68)*H5</f>
        <v>430.771323529412</v>
      </c>
      <c r="T5" s="75"/>
      <c r="U5" s="75">
        <f>SUM(1300/68)*H5</f>
        <v>10.5147058823529</v>
      </c>
      <c r="V5" s="75"/>
      <c r="W5" s="75"/>
      <c r="X5" s="77">
        <f t="shared" ref="X5:X41" si="0">SUM(S5:W5)</f>
        <v>441.286029411765</v>
      </c>
      <c r="Y5" s="91">
        <f>SUM(10737.46/68)*H5</f>
        <v>86.8471029411765</v>
      </c>
      <c r="Z5" s="92">
        <v>47.2</v>
      </c>
      <c r="AA5" s="91"/>
      <c r="AB5" s="91">
        <f t="shared" ref="AB5:AB41" si="1">SUM(Y5:AA5)</f>
        <v>134.047102941176</v>
      </c>
      <c r="AC5" s="44">
        <v>7.06</v>
      </c>
      <c r="AD5" s="75">
        <f t="shared" ref="AD5:AD41" si="2">SUM(AB5*AC5)</f>
        <v>946.372546764706</v>
      </c>
      <c r="AE5" s="75">
        <f t="shared" ref="AE5:AE41" si="3">SUM(X5+AD5)</f>
        <v>1387.65857617647</v>
      </c>
      <c r="AF5" s="75">
        <f t="shared" ref="AF5:AF41" si="4">SUM(P5-AE5)</f>
        <v>381.22142382353</v>
      </c>
    </row>
    <row r="6" s="2" customFormat="1" spans="1:32">
      <c r="A6" s="20"/>
      <c r="B6" s="21"/>
      <c r="C6" s="22">
        <v>240810000003</v>
      </c>
      <c r="D6" s="23">
        <v>45516</v>
      </c>
      <c r="E6" s="23" t="s">
        <v>66</v>
      </c>
      <c r="F6" s="21" t="s">
        <v>67</v>
      </c>
      <c r="G6" s="21" t="s">
        <v>98</v>
      </c>
      <c r="H6" s="24">
        <v>0.693</v>
      </c>
      <c r="I6" s="24">
        <v>463</v>
      </c>
      <c r="J6" s="43">
        <v>1600</v>
      </c>
      <c r="K6" s="44"/>
      <c r="L6" s="50"/>
      <c r="M6" s="46"/>
      <c r="N6" s="50"/>
      <c r="O6" s="21"/>
      <c r="P6" s="47">
        <f t="shared" ref="P6:P11" si="5">SUBTOTAL(9,J6)</f>
        <v>1600</v>
      </c>
      <c r="Q6" s="78"/>
      <c r="R6" s="78"/>
      <c r="S6" s="75">
        <f t="shared" ref="S6:S23" si="6">SUM(53259/68)*H6</f>
        <v>542.771867647059</v>
      </c>
      <c r="T6" s="75"/>
      <c r="U6" s="75">
        <f t="shared" ref="U6:U23" si="7">SUM(1300/68)*H6</f>
        <v>13.2485294117647</v>
      </c>
      <c r="V6" s="75"/>
      <c r="W6" s="75"/>
      <c r="X6" s="77">
        <f t="shared" si="0"/>
        <v>556.020397058824</v>
      </c>
      <c r="Y6" s="91">
        <f t="shared" ref="Y6:Y23" si="8">SUM(10737.46/68)*H6</f>
        <v>109.427349705882</v>
      </c>
      <c r="Z6" s="91"/>
      <c r="AA6" s="91"/>
      <c r="AB6" s="91">
        <f t="shared" si="1"/>
        <v>109.427349705882</v>
      </c>
      <c r="AC6" s="44">
        <v>7.06</v>
      </c>
      <c r="AD6" s="75">
        <f t="shared" si="2"/>
        <v>772.557088923529</v>
      </c>
      <c r="AE6" s="75">
        <f t="shared" si="3"/>
        <v>1328.57748598235</v>
      </c>
      <c r="AF6" s="75">
        <f t="shared" si="4"/>
        <v>271.422514017647</v>
      </c>
    </row>
    <row r="7" s="2" customFormat="1" spans="1:32">
      <c r="A7" s="20"/>
      <c r="B7" s="21"/>
      <c r="C7" s="22">
        <v>240613000018</v>
      </c>
      <c r="D7" s="23">
        <v>45506</v>
      </c>
      <c r="E7" s="23" t="s">
        <v>64</v>
      </c>
      <c r="F7" s="21" t="s">
        <v>64</v>
      </c>
      <c r="G7" s="21" t="s">
        <v>108</v>
      </c>
      <c r="H7" s="24">
        <v>0.044</v>
      </c>
      <c r="I7" s="24">
        <v>28</v>
      </c>
      <c r="J7" s="43">
        <v>96</v>
      </c>
      <c r="K7" s="44"/>
      <c r="L7" s="45"/>
      <c r="M7" s="46"/>
      <c r="N7" s="45"/>
      <c r="O7" s="21"/>
      <c r="P7" s="47">
        <f t="shared" si="5"/>
        <v>96</v>
      </c>
      <c r="Q7" s="78"/>
      <c r="R7" s="78"/>
      <c r="S7" s="75">
        <f t="shared" si="6"/>
        <v>34.4617058823529</v>
      </c>
      <c r="T7" s="75"/>
      <c r="U7" s="75">
        <f t="shared" si="7"/>
        <v>0.841176470588235</v>
      </c>
      <c r="V7" s="75"/>
      <c r="W7" s="75"/>
      <c r="X7" s="77">
        <f t="shared" si="0"/>
        <v>35.3028823529412</v>
      </c>
      <c r="Y7" s="91">
        <f t="shared" si="8"/>
        <v>6.94776823529412</v>
      </c>
      <c r="Z7" s="91"/>
      <c r="AA7" s="91"/>
      <c r="AB7" s="91">
        <f t="shared" si="1"/>
        <v>6.94776823529412</v>
      </c>
      <c r="AC7" s="44">
        <v>7.06</v>
      </c>
      <c r="AD7" s="75">
        <f t="shared" si="2"/>
        <v>49.0512437411765</v>
      </c>
      <c r="AE7" s="75">
        <f t="shared" si="3"/>
        <v>84.3541260941176</v>
      </c>
      <c r="AF7" s="75">
        <f t="shared" si="4"/>
        <v>11.6458739058824</v>
      </c>
    </row>
    <row r="8" s="2" customFormat="1" spans="1:32">
      <c r="A8" s="20"/>
      <c r="B8" s="21"/>
      <c r="C8" s="22">
        <v>240811000001</v>
      </c>
      <c r="D8" s="23">
        <v>45516</v>
      </c>
      <c r="E8" s="23" t="s">
        <v>72</v>
      </c>
      <c r="F8" s="21" t="s">
        <v>88</v>
      </c>
      <c r="G8" s="21" t="s">
        <v>112</v>
      </c>
      <c r="H8" s="24">
        <v>8.3155</v>
      </c>
      <c r="I8" s="24">
        <v>4780</v>
      </c>
      <c r="J8" s="47"/>
      <c r="K8" s="49">
        <v>4494672</v>
      </c>
      <c r="L8" s="45"/>
      <c r="M8" s="46">
        <f>SUM(K8/N8)</f>
        <v>1773.86486070494</v>
      </c>
      <c r="N8" s="50">
        <v>2533.83</v>
      </c>
      <c r="O8" s="21">
        <v>7.24</v>
      </c>
      <c r="P8" s="47">
        <f>SUM(N8*O8)</f>
        <v>18344.9292</v>
      </c>
      <c r="Q8" s="78"/>
      <c r="R8" s="78"/>
      <c r="S8" s="75">
        <f t="shared" si="6"/>
        <v>6512.87080147059</v>
      </c>
      <c r="T8" s="75"/>
      <c r="U8" s="75">
        <f t="shared" si="7"/>
        <v>158.972794117647</v>
      </c>
      <c r="V8" s="75"/>
      <c r="W8" s="75"/>
      <c r="X8" s="77">
        <f t="shared" si="0"/>
        <v>6671.84359558824</v>
      </c>
      <c r="Y8" s="91">
        <f t="shared" si="8"/>
        <v>1313.04924455882</v>
      </c>
      <c r="Z8" s="91"/>
      <c r="AA8" s="91"/>
      <c r="AB8" s="91">
        <f t="shared" si="1"/>
        <v>1313.04924455882</v>
      </c>
      <c r="AC8" s="44">
        <v>7.06</v>
      </c>
      <c r="AD8" s="75">
        <f t="shared" si="2"/>
        <v>9270.12766658529</v>
      </c>
      <c r="AE8" s="75">
        <f t="shared" si="3"/>
        <v>15941.9712621735</v>
      </c>
      <c r="AF8" s="75">
        <f t="shared" si="4"/>
        <v>2402.95793782647</v>
      </c>
    </row>
    <row r="9" s="2" customFormat="1" spans="1:32">
      <c r="A9" s="20"/>
      <c r="B9" s="21"/>
      <c r="C9" s="22">
        <v>240728000003</v>
      </c>
      <c r="D9" s="23">
        <v>45506</v>
      </c>
      <c r="E9" s="23" t="s">
        <v>64</v>
      </c>
      <c r="F9" s="21" t="s">
        <v>64</v>
      </c>
      <c r="G9" s="21" t="s">
        <v>78</v>
      </c>
      <c r="H9" s="24">
        <v>0.236</v>
      </c>
      <c r="I9" s="24">
        <v>94</v>
      </c>
      <c r="J9" s="43">
        <v>636</v>
      </c>
      <c r="K9" s="44"/>
      <c r="L9" s="45"/>
      <c r="M9" s="46"/>
      <c r="N9" s="45"/>
      <c r="O9" s="21"/>
      <c r="P9" s="47">
        <f t="shared" si="5"/>
        <v>636</v>
      </c>
      <c r="Q9" s="78"/>
      <c r="R9" s="78"/>
      <c r="S9" s="75">
        <f t="shared" si="6"/>
        <v>184.840058823529</v>
      </c>
      <c r="T9" s="75"/>
      <c r="U9" s="75">
        <f t="shared" si="7"/>
        <v>4.51176470588235</v>
      </c>
      <c r="V9" s="75"/>
      <c r="W9" s="75"/>
      <c r="X9" s="77">
        <f t="shared" si="0"/>
        <v>189.351823529412</v>
      </c>
      <c r="Y9" s="91">
        <f t="shared" si="8"/>
        <v>37.2653023529412</v>
      </c>
      <c r="Z9" s="91"/>
      <c r="AA9" s="91"/>
      <c r="AB9" s="91">
        <f t="shared" si="1"/>
        <v>37.2653023529412</v>
      </c>
      <c r="AC9" s="44">
        <v>7.06</v>
      </c>
      <c r="AD9" s="75">
        <f t="shared" si="2"/>
        <v>263.093034611765</v>
      </c>
      <c r="AE9" s="75">
        <f t="shared" si="3"/>
        <v>452.444858141176</v>
      </c>
      <c r="AF9" s="75">
        <f t="shared" si="4"/>
        <v>183.555141858824</v>
      </c>
    </row>
    <row r="10" s="2" customFormat="1" spans="1:32">
      <c r="A10" s="20"/>
      <c r="B10" s="21"/>
      <c r="C10" s="22">
        <v>240811000012</v>
      </c>
      <c r="D10" s="23">
        <v>45516</v>
      </c>
      <c r="E10" s="23" t="s">
        <v>64</v>
      </c>
      <c r="F10" s="21" t="s">
        <v>64</v>
      </c>
      <c r="G10" s="21" t="s">
        <v>126</v>
      </c>
      <c r="H10" s="24">
        <v>1.4797</v>
      </c>
      <c r="I10" s="24">
        <v>153.4</v>
      </c>
      <c r="J10" s="43">
        <v>3842.88</v>
      </c>
      <c r="K10" s="44"/>
      <c r="L10" s="45"/>
      <c r="M10" s="46"/>
      <c r="N10" s="45"/>
      <c r="O10" s="21"/>
      <c r="P10" s="47">
        <f t="shared" si="5"/>
        <v>3842.88</v>
      </c>
      <c r="Q10" s="78"/>
      <c r="R10" s="78"/>
      <c r="S10" s="75">
        <f t="shared" si="6"/>
        <v>1158.93150441176</v>
      </c>
      <c r="T10" s="75"/>
      <c r="U10" s="75">
        <f t="shared" si="7"/>
        <v>28.2883823529412</v>
      </c>
      <c r="V10" s="75"/>
      <c r="W10" s="75"/>
      <c r="X10" s="77">
        <f t="shared" si="0"/>
        <v>1187.21988676471</v>
      </c>
      <c r="Y10" s="91">
        <f t="shared" si="8"/>
        <v>233.650287676471</v>
      </c>
      <c r="Z10" s="92">
        <v>8.85</v>
      </c>
      <c r="AA10" s="91"/>
      <c r="AB10" s="91">
        <f t="shared" si="1"/>
        <v>242.500287676471</v>
      </c>
      <c r="AC10" s="44">
        <v>7.06</v>
      </c>
      <c r="AD10" s="75">
        <f t="shared" si="2"/>
        <v>1712.05203099588</v>
      </c>
      <c r="AE10" s="75">
        <f t="shared" si="3"/>
        <v>2899.27191776059</v>
      </c>
      <c r="AF10" s="75">
        <f t="shared" si="4"/>
        <v>943.608082239412</v>
      </c>
    </row>
    <row r="11" s="2" customFormat="1" spans="1:32">
      <c r="A11" s="20"/>
      <c r="B11" s="21"/>
      <c r="C11" s="22">
        <v>240812000069</v>
      </c>
      <c r="D11" s="23">
        <v>45516</v>
      </c>
      <c r="E11" s="23" t="s">
        <v>66</v>
      </c>
      <c r="F11" s="21" t="s">
        <v>67</v>
      </c>
      <c r="G11" s="21" t="s">
        <v>96</v>
      </c>
      <c r="H11" s="24">
        <v>0.045</v>
      </c>
      <c r="I11" s="24">
        <v>52.5</v>
      </c>
      <c r="J11" s="43">
        <v>565.2</v>
      </c>
      <c r="K11" s="44"/>
      <c r="L11" s="45"/>
      <c r="M11" s="46"/>
      <c r="N11" s="45"/>
      <c r="O11" s="21"/>
      <c r="P11" s="47">
        <f t="shared" si="5"/>
        <v>565.2</v>
      </c>
      <c r="Q11" s="78"/>
      <c r="R11" s="78"/>
      <c r="S11" s="75">
        <f t="shared" si="6"/>
        <v>35.2449264705882</v>
      </c>
      <c r="T11" s="75"/>
      <c r="U11" s="75">
        <f t="shared" si="7"/>
        <v>0.860294117647059</v>
      </c>
      <c r="V11" s="75"/>
      <c r="W11" s="75"/>
      <c r="X11" s="77">
        <f t="shared" si="0"/>
        <v>36.1052205882353</v>
      </c>
      <c r="Y11" s="91">
        <f t="shared" si="8"/>
        <v>7.10567205882353</v>
      </c>
      <c r="Z11" s="92">
        <v>50.15</v>
      </c>
      <c r="AA11" s="91"/>
      <c r="AB11" s="91">
        <f t="shared" si="1"/>
        <v>57.2556720588235</v>
      </c>
      <c r="AC11" s="44">
        <v>7.06</v>
      </c>
      <c r="AD11" s="75">
        <f t="shared" si="2"/>
        <v>404.225044735294</v>
      </c>
      <c r="AE11" s="75">
        <f t="shared" si="3"/>
        <v>440.330265323529</v>
      </c>
      <c r="AF11" s="75">
        <f t="shared" si="4"/>
        <v>124.869734676471</v>
      </c>
    </row>
    <row r="12" s="2" customFormat="1" spans="1:32">
      <c r="A12" s="20"/>
      <c r="B12" s="21"/>
      <c r="C12" s="22">
        <v>240813000034</v>
      </c>
      <c r="D12" s="23">
        <v>45516</v>
      </c>
      <c r="E12" s="23" t="s">
        <v>72</v>
      </c>
      <c r="F12" s="21" t="s">
        <v>88</v>
      </c>
      <c r="G12" s="21" t="s">
        <v>89</v>
      </c>
      <c r="H12" s="24">
        <v>4.253</v>
      </c>
      <c r="I12" s="24">
        <v>1141</v>
      </c>
      <c r="J12" s="47"/>
      <c r="K12" s="49">
        <v>2383535</v>
      </c>
      <c r="L12" s="45"/>
      <c r="M12" s="46">
        <f>SUM(K12/N12)</f>
        <v>1751.27138892922</v>
      </c>
      <c r="N12" s="50">
        <v>1361.0312</v>
      </c>
      <c r="O12" s="21">
        <v>7.12</v>
      </c>
      <c r="P12" s="47">
        <f>SUM(N12*O12)</f>
        <v>9690.542144</v>
      </c>
      <c r="Q12" s="78"/>
      <c r="R12" s="78"/>
      <c r="S12" s="75">
        <f t="shared" si="6"/>
        <v>3331.03716176471</v>
      </c>
      <c r="T12" s="75"/>
      <c r="U12" s="75">
        <f t="shared" si="7"/>
        <v>81.3073529411765</v>
      </c>
      <c r="V12" s="75"/>
      <c r="W12" s="75"/>
      <c r="X12" s="77">
        <f t="shared" si="0"/>
        <v>3412.34451470588</v>
      </c>
      <c r="Y12" s="91">
        <f t="shared" si="8"/>
        <v>671.564961470588</v>
      </c>
      <c r="Z12" s="91"/>
      <c r="AA12" s="91"/>
      <c r="AB12" s="91">
        <f t="shared" si="1"/>
        <v>671.564961470588</v>
      </c>
      <c r="AC12" s="44">
        <v>7.06</v>
      </c>
      <c r="AD12" s="75">
        <f t="shared" si="2"/>
        <v>4741.24862798235</v>
      </c>
      <c r="AE12" s="75">
        <f t="shared" si="3"/>
        <v>8153.59314268823</v>
      </c>
      <c r="AF12" s="75">
        <f t="shared" si="4"/>
        <v>1536.94900131176</v>
      </c>
    </row>
    <row r="13" s="2" customFormat="1" spans="1:32">
      <c r="A13" s="20"/>
      <c r="B13" s="21"/>
      <c r="C13" s="22">
        <v>240814000018</v>
      </c>
      <c r="D13" s="23">
        <v>45516</v>
      </c>
      <c r="E13" s="23" t="s">
        <v>66</v>
      </c>
      <c r="F13" s="21" t="s">
        <v>67</v>
      </c>
      <c r="G13" s="21" t="s">
        <v>127</v>
      </c>
      <c r="H13" s="24">
        <v>0.414</v>
      </c>
      <c r="I13" s="24">
        <v>225</v>
      </c>
      <c r="J13" s="43">
        <v>1588</v>
      </c>
      <c r="K13" s="44"/>
      <c r="L13" s="45"/>
      <c r="M13" s="46"/>
      <c r="N13" s="45"/>
      <c r="O13" s="21"/>
      <c r="P13" s="47">
        <f t="shared" ref="P13:P19" si="9">SUBTOTAL(9,J13)</f>
        <v>1588</v>
      </c>
      <c r="Q13" s="78"/>
      <c r="R13" s="78"/>
      <c r="S13" s="75">
        <f t="shared" si="6"/>
        <v>324.253323529412</v>
      </c>
      <c r="T13" s="75"/>
      <c r="U13" s="75">
        <f t="shared" si="7"/>
        <v>7.91470588235294</v>
      </c>
      <c r="V13" s="75"/>
      <c r="W13" s="75"/>
      <c r="X13" s="77">
        <f t="shared" si="0"/>
        <v>332.168029411765</v>
      </c>
      <c r="Y13" s="91">
        <f t="shared" si="8"/>
        <v>65.3721829411765</v>
      </c>
      <c r="Z13" s="92">
        <v>81.63</v>
      </c>
      <c r="AA13" s="91"/>
      <c r="AB13" s="91">
        <f t="shared" si="1"/>
        <v>147.002182941176</v>
      </c>
      <c r="AC13" s="44">
        <v>7.06</v>
      </c>
      <c r="AD13" s="75">
        <f t="shared" si="2"/>
        <v>1037.83541156471</v>
      </c>
      <c r="AE13" s="75">
        <f t="shared" si="3"/>
        <v>1370.00344097647</v>
      </c>
      <c r="AF13" s="75">
        <f t="shared" si="4"/>
        <v>217.996559023529</v>
      </c>
    </row>
    <row r="14" s="2" customFormat="1" spans="1:32">
      <c r="A14" s="20"/>
      <c r="B14" s="21"/>
      <c r="C14" s="22">
        <v>240814000019</v>
      </c>
      <c r="D14" s="23">
        <v>45516</v>
      </c>
      <c r="E14" s="23" t="s">
        <v>66</v>
      </c>
      <c r="F14" s="21" t="s">
        <v>67</v>
      </c>
      <c r="G14" s="21" t="s">
        <v>128</v>
      </c>
      <c r="H14" s="24">
        <v>1.0206</v>
      </c>
      <c r="I14" s="24">
        <v>428</v>
      </c>
      <c r="J14" s="43">
        <v>2389.6</v>
      </c>
      <c r="K14" s="44"/>
      <c r="L14" s="45"/>
      <c r="M14" s="46"/>
      <c r="N14" s="45"/>
      <c r="O14" s="21"/>
      <c r="P14" s="47">
        <f t="shared" si="9"/>
        <v>2389.6</v>
      </c>
      <c r="Q14" s="78"/>
      <c r="R14" s="78"/>
      <c r="S14" s="75">
        <f t="shared" si="6"/>
        <v>799.354932352941</v>
      </c>
      <c r="T14" s="75"/>
      <c r="U14" s="75">
        <f t="shared" si="7"/>
        <v>19.5114705882353</v>
      </c>
      <c r="V14" s="75"/>
      <c r="W14" s="75"/>
      <c r="X14" s="77">
        <f t="shared" si="0"/>
        <v>818.866402941176</v>
      </c>
      <c r="Y14" s="91">
        <f t="shared" si="8"/>
        <v>161.156642294118</v>
      </c>
      <c r="Z14" s="91"/>
      <c r="AA14" s="91"/>
      <c r="AB14" s="91">
        <f t="shared" si="1"/>
        <v>161.156642294118</v>
      </c>
      <c r="AC14" s="44">
        <v>7.06</v>
      </c>
      <c r="AD14" s="75">
        <f t="shared" si="2"/>
        <v>1137.76589459647</v>
      </c>
      <c r="AE14" s="75">
        <f t="shared" si="3"/>
        <v>1956.63229753765</v>
      </c>
      <c r="AF14" s="75">
        <f t="shared" si="4"/>
        <v>432.967702462353</v>
      </c>
    </row>
    <row r="15" s="2" customFormat="1" spans="1:32">
      <c r="A15" s="20"/>
      <c r="B15" s="21"/>
      <c r="C15" s="22">
        <v>240814000024</v>
      </c>
      <c r="D15" s="23">
        <v>45516</v>
      </c>
      <c r="E15" s="23" t="s">
        <v>66</v>
      </c>
      <c r="F15" s="21" t="s">
        <v>67</v>
      </c>
      <c r="G15" s="21" t="s">
        <v>127</v>
      </c>
      <c r="H15" s="24">
        <v>0.0407</v>
      </c>
      <c r="I15" s="24">
        <v>2</v>
      </c>
      <c r="J15" s="43">
        <v>835.2</v>
      </c>
      <c r="K15" s="44"/>
      <c r="L15" s="45"/>
      <c r="M15" s="46"/>
      <c r="N15" s="45"/>
      <c r="O15" s="21"/>
      <c r="P15" s="47">
        <f t="shared" si="9"/>
        <v>835.2</v>
      </c>
      <c r="Q15" s="78"/>
      <c r="R15" s="78"/>
      <c r="S15" s="75">
        <f t="shared" si="6"/>
        <v>31.8770779411765</v>
      </c>
      <c r="T15" s="75"/>
      <c r="U15" s="75">
        <f t="shared" si="7"/>
        <v>0.778088235294118</v>
      </c>
      <c r="V15" s="75"/>
      <c r="W15" s="75"/>
      <c r="X15" s="77">
        <f t="shared" si="0"/>
        <v>32.6551661764706</v>
      </c>
      <c r="Y15" s="91">
        <f t="shared" si="8"/>
        <v>6.42668561764706</v>
      </c>
      <c r="Z15" s="92">
        <v>81.63</v>
      </c>
      <c r="AA15" s="91"/>
      <c r="AB15" s="91">
        <f t="shared" si="1"/>
        <v>88.056685617647</v>
      </c>
      <c r="AC15" s="44">
        <v>7.06</v>
      </c>
      <c r="AD15" s="75">
        <f t="shared" si="2"/>
        <v>621.680200460588</v>
      </c>
      <c r="AE15" s="75">
        <f t="shared" si="3"/>
        <v>654.335366637059</v>
      </c>
      <c r="AF15" s="75">
        <f t="shared" si="4"/>
        <v>180.864633362941</v>
      </c>
    </row>
    <row r="16" s="2" customFormat="1" spans="1:32">
      <c r="A16" s="20"/>
      <c r="B16" s="21"/>
      <c r="C16" s="22">
        <v>240815000013</v>
      </c>
      <c r="D16" s="23">
        <v>45516</v>
      </c>
      <c r="E16" s="23" t="s">
        <v>66</v>
      </c>
      <c r="F16" s="21" t="s">
        <v>67</v>
      </c>
      <c r="G16" s="21" t="s">
        <v>129</v>
      </c>
      <c r="H16" s="24">
        <v>0.2945</v>
      </c>
      <c r="I16" s="24">
        <v>235</v>
      </c>
      <c r="J16" s="43">
        <v>1105</v>
      </c>
      <c r="K16" s="44"/>
      <c r="L16" s="45"/>
      <c r="M16" s="46"/>
      <c r="N16" s="45"/>
      <c r="O16" s="21"/>
      <c r="P16" s="47">
        <f t="shared" si="9"/>
        <v>1105</v>
      </c>
      <c r="Q16" s="78"/>
      <c r="R16" s="78"/>
      <c r="S16" s="75">
        <f t="shared" si="6"/>
        <v>230.658463235294</v>
      </c>
      <c r="T16" s="75"/>
      <c r="U16" s="75">
        <f t="shared" si="7"/>
        <v>5.63014705882353</v>
      </c>
      <c r="V16" s="75"/>
      <c r="W16" s="76">
        <v>316</v>
      </c>
      <c r="X16" s="77">
        <f t="shared" si="0"/>
        <v>552.288610294118</v>
      </c>
      <c r="Y16" s="91">
        <f t="shared" si="8"/>
        <v>46.5026760294118</v>
      </c>
      <c r="Z16" s="91"/>
      <c r="AA16" s="91"/>
      <c r="AB16" s="91">
        <f t="shared" si="1"/>
        <v>46.5026760294118</v>
      </c>
      <c r="AC16" s="44">
        <v>7.06</v>
      </c>
      <c r="AD16" s="75">
        <f t="shared" si="2"/>
        <v>328.308892767647</v>
      </c>
      <c r="AE16" s="75">
        <f t="shared" si="3"/>
        <v>880.597503061765</v>
      </c>
      <c r="AF16" s="75">
        <f t="shared" si="4"/>
        <v>224.402496938235</v>
      </c>
    </row>
    <row r="17" s="2" customFormat="1" spans="1:32">
      <c r="A17" s="20"/>
      <c r="B17" s="21"/>
      <c r="C17" s="22">
        <v>240815000041</v>
      </c>
      <c r="D17" s="23">
        <v>45516</v>
      </c>
      <c r="E17" s="23" t="s">
        <v>92</v>
      </c>
      <c r="F17" s="21" t="s">
        <v>93</v>
      </c>
      <c r="G17" s="21" t="s">
        <v>130</v>
      </c>
      <c r="H17" s="24">
        <v>6.6096</v>
      </c>
      <c r="I17" s="24">
        <v>2430</v>
      </c>
      <c r="J17" s="43">
        <v>20266.26</v>
      </c>
      <c r="K17" s="44"/>
      <c r="L17" s="45"/>
      <c r="M17" s="46"/>
      <c r="N17" s="45"/>
      <c r="O17" s="21"/>
      <c r="P17" s="47">
        <f t="shared" si="9"/>
        <v>20266.26</v>
      </c>
      <c r="Q17" s="78"/>
      <c r="R17" s="78"/>
      <c r="S17" s="75">
        <f t="shared" si="6"/>
        <v>5176.7748</v>
      </c>
      <c r="T17" s="75"/>
      <c r="U17" s="75">
        <f t="shared" si="7"/>
        <v>126.36</v>
      </c>
      <c r="V17" s="75"/>
      <c r="W17" s="75"/>
      <c r="X17" s="77">
        <f t="shared" si="0"/>
        <v>5303.1348</v>
      </c>
      <c r="Y17" s="91">
        <f t="shared" si="8"/>
        <v>1043.681112</v>
      </c>
      <c r="Z17" s="91"/>
      <c r="AA17" s="91"/>
      <c r="AB17" s="91">
        <f t="shared" si="1"/>
        <v>1043.681112</v>
      </c>
      <c r="AC17" s="44">
        <v>7.06</v>
      </c>
      <c r="AD17" s="75">
        <f t="shared" si="2"/>
        <v>7368.38865072</v>
      </c>
      <c r="AE17" s="75">
        <f t="shared" si="3"/>
        <v>12671.52345072</v>
      </c>
      <c r="AF17" s="75">
        <f t="shared" si="4"/>
        <v>7594.73654928</v>
      </c>
    </row>
    <row r="18" s="2" customFormat="1" spans="1:32">
      <c r="A18" s="20"/>
      <c r="B18" s="21"/>
      <c r="C18" s="22">
        <v>240816000023</v>
      </c>
      <c r="D18" s="23">
        <v>45516</v>
      </c>
      <c r="E18" s="23" t="s">
        <v>66</v>
      </c>
      <c r="F18" s="21" t="s">
        <v>67</v>
      </c>
      <c r="G18" s="21" t="s">
        <v>131</v>
      </c>
      <c r="H18" s="24">
        <v>1.9876</v>
      </c>
      <c r="I18" s="24">
        <v>92</v>
      </c>
      <c r="J18" s="43">
        <v>4277.5</v>
      </c>
      <c r="K18" s="44"/>
      <c r="L18" s="45"/>
      <c r="M18" s="46"/>
      <c r="N18" s="45"/>
      <c r="O18" s="21"/>
      <c r="P18" s="47">
        <f t="shared" si="9"/>
        <v>4277.5</v>
      </c>
      <c r="Q18" s="78"/>
      <c r="R18" s="78"/>
      <c r="S18" s="75">
        <f t="shared" si="6"/>
        <v>1556.72924117647</v>
      </c>
      <c r="T18" s="75"/>
      <c r="U18" s="75">
        <f t="shared" si="7"/>
        <v>37.9982352941176</v>
      </c>
      <c r="V18" s="75"/>
      <c r="W18" s="75">
        <v>99</v>
      </c>
      <c r="X18" s="77">
        <f t="shared" si="0"/>
        <v>1693.72747647059</v>
      </c>
      <c r="Y18" s="91">
        <f t="shared" si="8"/>
        <v>313.849639647059</v>
      </c>
      <c r="Z18" s="92">
        <v>47.2</v>
      </c>
      <c r="AA18" s="91"/>
      <c r="AB18" s="91">
        <f t="shared" si="1"/>
        <v>361.049639647059</v>
      </c>
      <c r="AC18" s="44">
        <v>7.06</v>
      </c>
      <c r="AD18" s="75">
        <f t="shared" si="2"/>
        <v>2549.01045590823</v>
      </c>
      <c r="AE18" s="75">
        <f t="shared" si="3"/>
        <v>4242.73793237882</v>
      </c>
      <c r="AF18" s="75">
        <f t="shared" si="4"/>
        <v>34.7620676211773</v>
      </c>
    </row>
    <row r="19" s="2" customFormat="1" spans="1:32">
      <c r="A19" s="20"/>
      <c r="B19" s="21"/>
      <c r="C19" s="22">
        <v>240818000009</v>
      </c>
      <c r="D19" s="23">
        <v>45516</v>
      </c>
      <c r="E19" s="23" t="s">
        <v>69</v>
      </c>
      <c r="F19" s="21" t="s">
        <v>70</v>
      </c>
      <c r="G19" s="21" t="s">
        <v>132</v>
      </c>
      <c r="H19" s="24">
        <v>0.1955</v>
      </c>
      <c r="I19" s="24">
        <v>39</v>
      </c>
      <c r="J19" s="43">
        <v>468</v>
      </c>
      <c r="K19" s="44"/>
      <c r="L19" s="45"/>
      <c r="M19" s="46"/>
      <c r="N19" s="45"/>
      <c r="O19" s="21"/>
      <c r="P19" s="47">
        <f t="shared" si="9"/>
        <v>468</v>
      </c>
      <c r="Q19" s="78"/>
      <c r="R19" s="78"/>
      <c r="S19" s="75">
        <f t="shared" si="6"/>
        <v>153.119625</v>
      </c>
      <c r="T19" s="75"/>
      <c r="U19" s="75">
        <f t="shared" si="7"/>
        <v>3.7375</v>
      </c>
      <c r="V19" s="75"/>
      <c r="W19" s="75"/>
      <c r="X19" s="77">
        <f t="shared" si="0"/>
        <v>156.857125</v>
      </c>
      <c r="Y19" s="91">
        <f t="shared" si="8"/>
        <v>30.8701975</v>
      </c>
      <c r="Z19" s="91"/>
      <c r="AA19" s="91"/>
      <c r="AB19" s="91">
        <f t="shared" si="1"/>
        <v>30.8701975</v>
      </c>
      <c r="AC19" s="44">
        <v>7.06</v>
      </c>
      <c r="AD19" s="75">
        <f t="shared" si="2"/>
        <v>217.94359435</v>
      </c>
      <c r="AE19" s="75">
        <f t="shared" si="3"/>
        <v>374.80071935</v>
      </c>
      <c r="AF19" s="75">
        <f t="shared" si="4"/>
        <v>93.19928065</v>
      </c>
    </row>
    <row r="20" s="2" customFormat="1" spans="1:32">
      <c r="A20" s="20"/>
      <c r="B20" s="21"/>
      <c r="C20" s="22">
        <v>240818000013</v>
      </c>
      <c r="D20" s="23">
        <v>45516</v>
      </c>
      <c r="E20" s="23" t="s">
        <v>69</v>
      </c>
      <c r="F20" s="21" t="s">
        <v>70</v>
      </c>
      <c r="G20" s="21" t="s">
        <v>133</v>
      </c>
      <c r="H20" s="24">
        <v>1.5335</v>
      </c>
      <c r="I20" s="24">
        <v>305</v>
      </c>
      <c r="J20" s="47"/>
      <c r="K20" s="49">
        <v>1228413.6</v>
      </c>
      <c r="L20" s="45"/>
      <c r="M20" s="46">
        <f>SUM(K20/N20)</f>
        <v>1744.98004176314</v>
      </c>
      <c r="N20" s="50">
        <v>703.97</v>
      </c>
      <c r="O20" s="21">
        <v>7.15</v>
      </c>
      <c r="P20" s="47">
        <f>SUM(N20*O20)</f>
        <v>5033.3855</v>
      </c>
      <c r="Q20" s="78"/>
      <c r="R20" s="78"/>
      <c r="S20" s="75">
        <f t="shared" si="6"/>
        <v>1201.06877205882</v>
      </c>
      <c r="T20" s="75"/>
      <c r="U20" s="75">
        <f t="shared" si="7"/>
        <v>29.3169117647059</v>
      </c>
      <c r="V20" s="75"/>
      <c r="W20" s="75"/>
      <c r="X20" s="77">
        <f t="shared" si="0"/>
        <v>1230.38568382353</v>
      </c>
      <c r="Y20" s="91">
        <f t="shared" si="8"/>
        <v>242.145513382353</v>
      </c>
      <c r="Z20" s="92">
        <v>248</v>
      </c>
      <c r="AA20" s="91"/>
      <c r="AB20" s="91">
        <f t="shared" si="1"/>
        <v>490.145513382353</v>
      </c>
      <c r="AC20" s="44">
        <v>7.06</v>
      </c>
      <c r="AD20" s="75">
        <f t="shared" si="2"/>
        <v>3460.42732447941</v>
      </c>
      <c r="AE20" s="75">
        <f t="shared" si="3"/>
        <v>4690.81300830294</v>
      </c>
      <c r="AF20" s="75">
        <f t="shared" si="4"/>
        <v>342.572491697059</v>
      </c>
    </row>
    <row r="21" s="2" customFormat="1" spans="1:32">
      <c r="A21" s="20"/>
      <c r="B21" s="21"/>
      <c r="C21" s="22">
        <v>240819000004</v>
      </c>
      <c r="D21" s="23">
        <v>45532</v>
      </c>
      <c r="E21" s="23" t="s">
        <v>92</v>
      </c>
      <c r="F21" s="21" t="s">
        <v>93</v>
      </c>
      <c r="G21" s="21" t="s">
        <v>117</v>
      </c>
      <c r="H21" s="24">
        <v>4.6</v>
      </c>
      <c r="I21" s="24">
        <v>2063</v>
      </c>
      <c r="J21" s="43">
        <v>9940</v>
      </c>
      <c r="K21" s="44"/>
      <c r="L21" s="45"/>
      <c r="M21" s="46"/>
      <c r="N21" s="45"/>
      <c r="O21" s="21"/>
      <c r="P21" s="47">
        <f>SUBTOTAL(9,J21)</f>
        <v>9940</v>
      </c>
      <c r="Q21" s="78"/>
      <c r="R21" s="78"/>
      <c r="S21" s="75">
        <f t="shared" si="6"/>
        <v>3602.81470588235</v>
      </c>
      <c r="T21" s="75"/>
      <c r="U21" s="75">
        <f t="shared" si="7"/>
        <v>87.9411764705882</v>
      </c>
      <c r="V21" s="75"/>
      <c r="W21" s="75"/>
      <c r="X21" s="77">
        <f t="shared" si="0"/>
        <v>3690.75588235294</v>
      </c>
      <c r="Y21" s="91">
        <f t="shared" si="8"/>
        <v>726.357588235294</v>
      </c>
      <c r="Z21" s="91"/>
      <c r="AA21" s="91"/>
      <c r="AB21" s="91">
        <f t="shared" si="1"/>
        <v>726.357588235294</v>
      </c>
      <c r="AC21" s="44">
        <v>7.06</v>
      </c>
      <c r="AD21" s="75">
        <f t="shared" si="2"/>
        <v>5128.08457294117</v>
      </c>
      <c r="AE21" s="75">
        <f t="shared" si="3"/>
        <v>8818.84045529412</v>
      </c>
      <c r="AF21" s="75">
        <f t="shared" si="4"/>
        <v>1121.15954470588</v>
      </c>
    </row>
    <row r="22" s="2" customFormat="1" spans="1:32">
      <c r="A22" s="20"/>
      <c r="B22" s="21"/>
      <c r="C22" s="22">
        <v>240819000017</v>
      </c>
      <c r="D22" s="23">
        <v>45516</v>
      </c>
      <c r="E22" s="23" t="s">
        <v>72</v>
      </c>
      <c r="F22" s="21" t="s">
        <v>88</v>
      </c>
      <c r="G22" s="21" t="s">
        <v>91</v>
      </c>
      <c r="H22" s="24">
        <v>23.494</v>
      </c>
      <c r="I22" s="24">
        <v>2608</v>
      </c>
      <c r="J22" s="43">
        <v>50190.17</v>
      </c>
      <c r="K22" s="44"/>
      <c r="L22" s="45"/>
      <c r="M22" s="46"/>
      <c r="N22" s="45"/>
      <c r="O22" s="21"/>
      <c r="P22" s="47">
        <f>SUBTOTAL(9,J22)</f>
        <v>50190.17</v>
      </c>
      <c r="Q22" s="78"/>
      <c r="R22" s="78"/>
      <c r="S22" s="75">
        <f t="shared" si="6"/>
        <v>18400.9845</v>
      </c>
      <c r="T22" s="75"/>
      <c r="U22" s="75">
        <f t="shared" si="7"/>
        <v>449.15</v>
      </c>
      <c r="V22" s="76">
        <v>960</v>
      </c>
      <c r="W22" s="76">
        <v>146.5</v>
      </c>
      <c r="X22" s="77">
        <f t="shared" si="0"/>
        <v>19956.6345</v>
      </c>
      <c r="Y22" s="91">
        <f t="shared" si="8"/>
        <v>3709.79243</v>
      </c>
      <c r="Z22" s="91"/>
      <c r="AA22" s="91"/>
      <c r="AB22" s="91">
        <f t="shared" si="1"/>
        <v>3709.79243</v>
      </c>
      <c r="AC22" s="44">
        <v>7.06</v>
      </c>
      <c r="AD22" s="75">
        <f t="shared" si="2"/>
        <v>26191.1345558</v>
      </c>
      <c r="AE22" s="75">
        <f t="shared" si="3"/>
        <v>46147.7690558</v>
      </c>
      <c r="AF22" s="75">
        <f t="shared" si="4"/>
        <v>4042.4009442</v>
      </c>
    </row>
    <row r="23" s="2" customFormat="1" spans="1:32">
      <c r="A23" s="20"/>
      <c r="B23" s="21"/>
      <c r="C23" s="22">
        <v>240821000040</v>
      </c>
      <c r="D23" s="23">
        <v>45516</v>
      </c>
      <c r="E23" s="23" t="s">
        <v>64</v>
      </c>
      <c r="F23" s="21" t="s">
        <v>64</v>
      </c>
      <c r="G23" s="21" t="s">
        <v>84</v>
      </c>
      <c r="H23" s="24">
        <v>17.568</v>
      </c>
      <c r="I23" s="24">
        <v>2034</v>
      </c>
      <c r="J23" s="43">
        <v>28822.6</v>
      </c>
      <c r="K23" s="44"/>
      <c r="L23" s="45"/>
      <c r="M23" s="46"/>
      <c r="N23" s="50"/>
      <c r="O23" s="21"/>
      <c r="P23" s="47">
        <f>SUBTOTAL(9,J23)</f>
        <v>28822.6</v>
      </c>
      <c r="Q23" s="79"/>
      <c r="R23" s="79"/>
      <c r="S23" s="75">
        <f t="shared" si="6"/>
        <v>13759.6192941176</v>
      </c>
      <c r="T23" s="75"/>
      <c r="U23" s="75">
        <f t="shared" si="7"/>
        <v>335.858823529412</v>
      </c>
      <c r="V23" s="75"/>
      <c r="W23" s="75"/>
      <c r="X23" s="77">
        <f t="shared" si="0"/>
        <v>14095.4781176471</v>
      </c>
      <c r="Y23" s="91">
        <f t="shared" si="8"/>
        <v>2774.05437176471</v>
      </c>
      <c r="Z23" s="91"/>
      <c r="AA23" s="91"/>
      <c r="AB23" s="91">
        <f t="shared" si="1"/>
        <v>2774.05437176471</v>
      </c>
      <c r="AC23" s="44">
        <v>7.06</v>
      </c>
      <c r="AD23" s="75">
        <f t="shared" si="2"/>
        <v>19584.8238646588</v>
      </c>
      <c r="AE23" s="75">
        <f t="shared" si="3"/>
        <v>33680.3019823059</v>
      </c>
      <c r="AF23" s="75">
        <f t="shared" si="4"/>
        <v>-4857.70198230589</v>
      </c>
    </row>
    <row r="24" ht="15.75" spans="1:32">
      <c r="A24" s="26" t="s">
        <v>26</v>
      </c>
      <c r="B24" s="27"/>
      <c r="C24" s="27"/>
      <c r="D24" s="27"/>
      <c r="E24" s="27"/>
      <c r="F24" s="27"/>
      <c r="G24" s="27"/>
      <c r="H24" s="27"/>
      <c r="I24" s="52"/>
      <c r="J24" s="27">
        <f>SUM(J4:J4)</f>
        <v>0</v>
      </c>
      <c r="K24" s="53"/>
      <c r="L24" s="54"/>
      <c r="M24" s="53"/>
      <c r="N24" s="53">
        <f t="shared" ref="N24:Q24" si="10">SUM(N4:N4)</f>
        <v>0</v>
      </c>
      <c r="O24" s="27"/>
      <c r="P24" s="27">
        <f t="shared" si="10"/>
        <v>0</v>
      </c>
      <c r="Q24" s="27">
        <f t="shared" si="10"/>
        <v>0</v>
      </c>
      <c r="R24" s="27"/>
      <c r="S24" s="27"/>
      <c r="T24" s="27"/>
      <c r="U24" s="27"/>
      <c r="V24" s="27"/>
      <c r="W24" s="27"/>
      <c r="X24" s="80">
        <f>SUM(X4:X4)</f>
        <v>0</v>
      </c>
      <c r="Y24" s="54"/>
      <c r="Z24" s="54"/>
      <c r="AA24" s="54"/>
      <c r="AB24" s="54"/>
      <c r="AC24" s="53"/>
      <c r="AD24" s="27">
        <f>SUM(AD4:AD4)</f>
        <v>0</v>
      </c>
      <c r="AE24" s="27"/>
      <c r="AF24" s="93">
        <f>SUM(AF4:AF23)</f>
        <v>15283.5899972953</v>
      </c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  <row r="38" customFormat="1" spans="4:29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</row>
    <row r="39" customFormat="1" spans="4:29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</row>
    <row r="40" customFormat="1" spans="4:29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</row>
  </sheetData>
  <autoFilter xmlns:etc="http://www.wps.cn/officeDocument/2017/etCustomData" ref="A3:AF24" etc:filterBottomFollowUsedRange="0">
    <extLst/>
  </autoFilter>
  <mergeCells count="21">
    <mergeCell ref="A1:AF1"/>
    <mergeCell ref="J3:P3"/>
    <mergeCell ref="R3:V3"/>
    <mergeCell ref="Y3:AD3"/>
    <mergeCell ref="A3:A4"/>
    <mergeCell ref="A5:A23"/>
    <mergeCell ref="B3:B4"/>
    <mergeCell ref="B5:B23"/>
    <mergeCell ref="C3:C4"/>
    <mergeCell ref="D3:D4"/>
    <mergeCell ref="E3:E4"/>
    <mergeCell ref="F3:F4"/>
    <mergeCell ref="G3:G4"/>
    <mergeCell ref="H3:H4"/>
    <mergeCell ref="I3:I4"/>
    <mergeCell ref="Q3:Q4"/>
    <mergeCell ref="Q5:Q23"/>
    <mergeCell ref="R5:R23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zoomScale="110" zoomScaleNormal="110" workbookViewId="0">
      <pane xSplit="9" ySplit="3" topLeftCell="Z3" activePane="bottomRight" state="frozen"/>
      <selection/>
      <selection pane="topRight"/>
      <selection pane="bottomLeft"/>
      <selection pane="bottomRight" activeCell="F31" sqref="F31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5"/>
      <c r="U1" s="55"/>
      <c r="V1" s="56"/>
      <c r="W1" s="55"/>
      <c r="X1" s="57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141</v>
      </c>
      <c r="B2" s="9" t="s">
        <v>142</v>
      </c>
      <c r="C2" s="9">
        <v>88.6579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5"/>
      <c r="U2" s="55"/>
      <c r="V2" s="56"/>
      <c r="W2" s="55"/>
      <c r="X2" s="57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28</v>
      </c>
      <c r="D3" s="13" t="s">
        <v>29</v>
      </c>
      <c r="E3" s="14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31" t="s">
        <v>35</v>
      </c>
      <c r="K3" s="32"/>
      <c r="L3" s="33"/>
      <c r="M3" s="32"/>
      <c r="N3" s="33"/>
      <c r="O3" s="34"/>
      <c r="P3" s="35"/>
      <c r="Q3" s="58" t="s">
        <v>36</v>
      </c>
      <c r="R3" s="59" t="s">
        <v>37</v>
      </c>
      <c r="S3" s="60"/>
      <c r="T3" s="61"/>
      <c r="U3" s="62"/>
      <c r="V3" s="63"/>
      <c r="W3" s="64" t="s">
        <v>38</v>
      </c>
      <c r="X3" s="65" t="s">
        <v>39</v>
      </c>
      <c r="Y3" s="81" t="s">
        <v>40</v>
      </c>
      <c r="Z3" s="81"/>
      <c r="AA3" s="81"/>
      <c r="AB3" s="81"/>
      <c r="AC3" s="82"/>
      <c r="AD3" s="81"/>
      <c r="AE3" s="83" t="s">
        <v>41</v>
      </c>
      <c r="AF3" s="84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6"/>
      <c r="J4" s="37" t="s">
        <v>42</v>
      </c>
      <c r="K4" s="38" t="s">
        <v>43</v>
      </c>
      <c r="L4" s="39" t="s">
        <v>44</v>
      </c>
      <c r="M4" s="38" t="s">
        <v>45</v>
      </c>
      <c r="N4" s="40" t="s">
        <v>46</v>
      </c>
      <c r="O4" s="41" t="s">
        <v>47</v>
      </c>
      <c r="P4" s="42" t="s">
        <v>48</v>
      </c>
      <c r="Q4" s="66"/>
      <c r="R4" s="67" t="s">
        <v>49</v>
      </c>
      <c r="S4" s="68" t="s">
        <v>50</v>
      </c>
      <c r="T4" s="69" t="s">
        <v>51</v>
      </c>
      <c r="U4" s="70" t="s">
        <v>52</v>
      </c>
      <c r="V4" s="69" t="s">
        <v>53</v>
      </c>
      <c r="W4" s="71"/>
      <c r="X4" s="72"/>
      <c r="Y4" s="85" t="s">
        <v>54</v>
      </c>
      <c r="Z4" s="85" t="s">
        <v>55</v>
      </c>
      <c r="AA4" s="85" t="s">
        <v>56</v>
      </c>
      <c r="AB4" s="86" t="s">
        <v>57</v>
      </c>
      <c r="AC4" s="87" t="s">
        <v>58</v>
      </c>
      <c r="AD4" s="88" t="s">
        <v>48</v>
      </c>
      <c r="AE4" s="89" t="s">
        <v>59</v>
      </c>
      <c r="AF4" s="90"/>
    </row>
    <row r="5" s="2" customFormat="1" spans="1:32">
      <c r="A5" s="20" t="s">
        <v>24</v>
      </c>
      <c r="B5" s="21" t="s">
        <v>25</v>
      </c>
      <c r="C5" s="22">
        <v>240613000018</v>
      </c>
      <c r="D5" s="23">
        <v>45532</v>
      </c>
      <c r="E5" s="23" t="s">
        <v>64</v>
      </c>
      <c r="F5" s="21" t="s">
        <v>64</v>
      </c>
      <c r="G5" s="21" t="s">
        <v>108</v>
      </c>
      <c r="H5" s="24">
        <v>21.6755</v>
      </c>
      <c r="I5" s="24">
        <v>6691</v>
      </c>
      <c r="J5" s="43">
        <v>46755</v>
      </c>
      <c r="K5" s="44"/>
      <c r="L5" s="45"/>
      <c r="M5" s="46"/>
      <c r="N5" s="45"/>
      <c r="O5" s="21"/>
      <c r="P5" s="47">
        <f>SUBTOTAL(9,J5)</f>
        <v>46755</v>
      </c>
      <c r="Q5" s="73">
        <f>SUM(P5:P29)</f>
        <v>179091.8261212</v>
      </c>
      <c r="R5" s="74" t="s">
        <v>134</v>
      </c>
      <c r="S5" s="75">
        <f>SUM(52856.5/68)*H5</f>
        <v>16848.3980257353</v>
      </c>
      <c r="T5" s="75"/>
      <c r="U5" s="75">
        <f>SUM(1500/68)*H5</f>
        <v>478.136029411765</v>
      </c>
      <c r="V5" s="76">
        <v>420</v>
      </c>
      <c r="W5" s="75"/>
      <c r="X5" s="77">
        <f t="shared" ref="X5:X22" si="0">SUM(S5:W5)</f>
        <v>17746.5340551471</v>
      </c>
      <c r="Y5" s="91">
        <f>SUM(10737.46/68)*H5</f>
        <v>3422.64432691176</v>
      </c>
      <c r="Z5" s="91"/>
      <c r="AA5" s="91">
        <f>SUM(247.79/68)*H5</f>
        <v>78.9848844852941</v>
      </c>
      <c r="AB5" s="91">
        <f t="shared" ref="AB5:AB22" si="1">SUM(Y5:AA5)</f>
        <v>3501.62921139706</v>
      </c>
      <c r="AC5" s="44">
        <v>7.12</v>
      </c>
      <c r="AD5" s="75">
        <f t="shared" ref="AD5:AD22" si="2">SUM(AB5*AC5)</f>
        <v>24931.5999851471</v>
      </c>
      <c r="AE5" s="75">
        <f t="shared" ref="AE5:AE22" si="3">SUM(X5+AD5)</f>
        <v>42678.1340402941</v>
      </c>
      <c r="AF5" s="75">
        <f t="shared" ref="AF5:AF22" si="4">SUM(P5-AE5)</f>
        <v>4076.86595970589</v>
      </c>
    </row>
    <row r="6" s="2" customFormat="1" spans="1:32">
      <c r="A6" s="20"/>
      <c r="B6" s="21"/>
      <c r="C6" s="22">
        <v>240816000038</v>
      </c>
      <c r="D6" s="23">
        <v>45532</v>
      </c>
      <c r="E6" s="23" t="s">
        <v>69</v>
      </c>
      <c r="F6" s="21" t="s">
        <v>70</v>
      </c>
      <c r="G6" s="21" t="s">
        <v>135</v>
      </c>
      <c r="H6" s="24">
        <v>0.1557</v>
      </c>
      <c r="I6" s="24">
        <v>40.2</v>
      </c>
      <c r="J6" s="48">
        <v>602</v>
      </c>
      <c r="K6" s="44"/>
      <c r="L6" s="45"/>
      <c r="M6" s="46"/>
      <c r="N6" s="45"/>
      <c r="O6" s="21"/>
      <c r="P6" s="47">
        <f>SUM(J6)</f>
        <v>602</v>
      </c>
      <c r="Q6" s="78"/>
      <c r="R6" s="78"/>
      <c r="S6" s="75">
        <f t="shared" ref="S6:S29" si="5">SUM(52856.5/68)*H6</f>
        <v>121.025838970588</v>
      </c>
      <c r="T6" s="75"/>
      <c r="U6" s="75">
        <f t="shared" ref="U6:U29" si="6">SUM(1500/68)*H6</f>
        <v>3.43455882352941</v>
      </c>
      <c r="V6" s="75"/>
      <c r="W6" s="75"/>
      <c r="X6" s="77">
        <f t="shared" si="0"/>
        <v>124.460397794118</v>
      </c>
      <c r="Y6" s="91">
        <f t="shared" ref="Y6:Y29" si="7">SUM(10737.46/68)*H6</f>
        <v>24.5856253235294</v>
      </c>
      <c r="Z6" s="92">
        <v>21.12</v>
      </c>
      <c r="AA6" s="91">
        <f t="shared" ref="AA6:AA29" si="8">SUM(247.79/68)*H6</f>
        <v>0.567366220588235</v>
      </c>
      <c r="AB6" s="91">
        <f t="shared" si="1"/>
        <v>46.2729915441176</v>
      </c>
      <c r="AC6" s="44">
        <v>7.12</v>
      </c>
      <c r="AD6" s="75">
        <f t="shared" si="2"/>
        <v>329.463699794118</v>
      </c>
      <c r="AE6" s="75">
        <f t="shared" si="3"/>
        <v>453.924097588235</v>
      </c>
      <c r="AF6" s="75">
        <f t="shared" si="4"/>
        <v>148.075902411765</v>
      </c>
    </row>
    <row r="7" s="2" customFormat="1" spans="1:32">
      <c r="A7" s="20"/>
      <c r="B7" s="21"/>
      <c r="C7" s="22">
        <v>240818000042</v>
      </c>
      <c r="D7" s="23">
        <v>45532</v>
      </c>
      <c r="E7" s="23" t="s">
        <v>66</v>
      </c>
      <c r="F7" s="21" t="s">
        <v>67</v>
      </c>
      <c r="G7" s="21" t="s">
        <v>96</v>
      </c>
      <c r="H7" s="24">
        <v>0.0276</v>
      </c>
      <c r="I7" s="24">
        <v>60</v>
      </c>
      <c r="J7" s="47"/>
      <c r="K7" s="49">
        <v>120050</v>
      </c>
      <c r="L7" s="45"/>
      <c r="M7" s="46">
        <f t="shared" ref="M7:M11" si="9">SUM(K7/N7)</f>
        <v>1800.65996700165</v>
      </c>
      <c r="N7" s="50">
        <v>66.67</v>
      </c>
      <c r="O7" s="21">
        <v>7.12</v>
      </c>
      <c r="P7" s="47">
        <f t="shared" ref="P7:P11" si="10">SUM(N7*O7)</f>
        <v>474.6904</v>
      </c>
      <c r="Q7" s="78"/>
      <c r="R7" s="78"/>
      <c r="S7" s="75">
        <f t="shared" si="5"/>
        <v>21.4535205882353</v>
      </c>
      <c r="T7" s="75"/>
      <c r="U7" s="75">
        <f t="shared" si="6"/>
        <v>0.608823529411765</v>
      </c>
      <c r="V7" s="75"/>
      <c r="W7" s="75"/>
      <c r="X7" s="77">
        <f t="shared" si="0"/>
        <v>22.0623441176471</v>
      </c>
      <c r="Y7" s="91">
        <f t="shared" si="7"/>
        <v>4.35814552941176</v>
      </c>
      <c r="Z7" s="92">
        <v>35.4</v>
      </c>
      <c r="AA7" s="91">
        <f t="shared" si="8"/>
        <v>0.100573588235294</v>
      </c>
      <c r="AB7" s="91">
        <f t="shared" si="1"/>
        <v>39.8587191176471</v>
      </c>
      <c r="AC7" s="44">
        <v>7.12</v>
      </c>
      <c r="AD7" s="75">
        <f t="shared" si="2"/>
        <v>283.794080117647</v>
      </c>
      <c r="AE7" s="75">
        <f t="shared" si="3"/>
        <v>305.856424235294</v>
      </c>
      <c r="AF7" s="75">
        <f t="shared" si="4"/>
        <v>168.833975764706</v>
      </c>
    </row>
    <row r="8" s="2" customFormat="1" spans="1:32">
      <c r="A8" s="20"/>
      <c r="B8" s="21"/>
      <c r="C8" s="22">
        <v>240819000004</v>
      </c>
      <c r="D8" s="23">
        <v>45532</v>
      </c>
      <c r="E8" s="23" t="s">
        <v>92</v>
      </c>
      <c r="F8" s="21" t="s">
        <v>93</v>
      </c>
      <c r="G8" s="21" t="s">
        <v>117</v>
      </c>
      <c r="H8" s="24">
        <v>0.0982</v>
      </c>
      <c r="I8" s="24">
        <v>59</v>
      </c>
      <c r="J8" s="43">
        <v>212</v>
      </c>
      <c r="K8" s="44"/>
      <c r="L8" s="45"/>
      <c r="M8" s="46"/>
      <c r="N8" s="45"/>
      <c r="O8" s="21"/>
      <c r="P8" s="47">
        <f t="shared" ref="P8:P18" si="11">SUBTOTAL(9,J8)</f>
        <v>212</v>
      </c>
      <c r="Q8" s="78"/>
      <c r="R8" s="78"/>
      <c r="S8" s="75">
        <f t="shared" si="5"/>
        <v>76.3310044117647</v>
      </c>
      <c r="T8" s="75"/>
      <c r="U8" s="75">
        <f t="shared" si="6"/>
        <v>2.16617647058824</v>
      </c>
      <c r="V8" s="75"/>
      <c r="W8" s="75"/>
      <c r="X8" s="77">
        <f t="shared" si="0"/>
        <v>78.4971808823529</v>
      </c>
      <c r="Y8" s="91">
        <f t="shared" si="7"/>
        <v>15.5061554705882</v>
      </c>
      <c r="Z8" s="91"/>
      <c r="AA8" s="91">
        <f t="shared" si="8"/>
        <v>0.357837911764706</v>
      </c>
      <c r="AB8" s="91">
        <f t="shared" si="1"/>
        <v>15.8639933823529</v>
      </c>
      <c r="AC8" s="44">
        <v>7.12</v>
      </c>
      <c r="AD8" s="75">
        <f t="shared" si="2"/>
        <v>112.951632882353</v>
      </c>
      <c r="AE8" s="75">
        <f t="shared" si="3"/>
        <v>191.448813764706</v>
      </c>
      <c r="AF8" s="75">
        <f t="shared" si="4"/>
        <v>20.5511862352942</v>
      </c>
    </row>
    <row r="9" s="2" customFormat="1" spans="1:32">
      <c r="A9" s="20"/>
      <c r="B9" s="21"/>
      <c r="C9" s="22">
        <v>240819000033</v>
      </c>
      <c r="D9" s="23">
        <v>45532</v>
      </c>
      <c r="E9" s="23" t="s">
        <v>72</v>
      </c>
      <c r="F9" s="21" t="s">
        <v>88</v>
      </c>
      <c r="G9" s="21" t="s">
        <v>124</v>
      </c>
      <c r="H9" s="24">
        <v>0.2086</v>
      </c>
      <c r="I9" s="24">
        <v>344</v>
      </c>
      <c r="J9" s="47"/>
      <c r="K9" s="49">
        <v>383195</v>
      </c>
      <c r="L9" s="45"/>
      <c r="M9" s="46">
        <f t="shared" si="9"/>
        <v>1811.79669030733</v>
      </c>
      <c r="N9" s="50">
        <v>211.5</v>
      </c>
      <c r="O9" s="21">
        <v>7.3</v>
      </c>
      <c r="P9" s="47">
        <f t="shared" si="10"/>
        <v>1543.95</v>
      </c>
      <c r="Q9" s="78"/>
      <c r="R9" s="78"/>
      <c r="S9" s="75">
        <f t="shared" si="5"/>
        <v>162.145086764706</v>
      </c>
      <c r="T9" s="75"/>
      <c r="U9" s="75">
        <f t="shared" si="6"/>
        <v>4.60147058823529</v>
      </c>
      <c r="V9" s="75"/>
      <c r="W9" s="75"/>
      <c r="X9" s="77">
        <f t="shared" si="0"/>
        <v>166.746557352941</v>
      </c>
      <c r="Y9" s="91">
        <f t="shared" si="7"/>
        <v>32.9387375882353</v>
      </c>
      <c r="Z9" s="92">
        <v>46.5</v>
      </c>
      <c r="AA9" s="91">
        <f t="shared" si="8"/>
        <v>0.760132264705882</v>
      </c>
      <c r="AB9" s="91">
        <f t="shared" si="1"/>
        <v>80.1988698529412</v>
      </c>
      <c r="AC9" s="44">
        <v>7.12</v>
      </c>
      <c r="AD9" s="75">
        <f t="shared" si="2"/>
        <v>571.015953352941</v>
      </c>
      <c r="AE9" s="75">
        <f t="shared" si="3"/>
        <v>737.762510705882</v>
      </c>
      <c r="AF9" s="75">
        <f t="shared" si="4"/>
        <v>806.187489294118</v>
      </c>
    </row>
    <row r="10" s="2" customFormat="1" spans="1:32">
      <c r="A10" s="20"/>
      <c r="B10" s="21"/>
      <c r="C10" s="22">
        <v>240820000001</v>
      </c>
      <c r="D10" s="23">
        <v>45532</v>
      </c>
      <c r="E10" s="23" t="s">
        <v>69</v>
      </c>
      <c r="F10" s="21" t="s">
        <v>70</v>
      </c>
      <c r="G10" s="21" t="s">
        <v>75</v>
      </c>
      <c r="H10" s="24">
        <v>7.0865</v>
      </c>
      <c r="I10" s="24">
        <v>599</v>
      </c>
      <c r="J10" s="43">
        <v>17258.7</v>
      </c>
      <c r="K10" s="44"/>
      <c r="L10" s="45"/>
      <c r="M10" s="46"/>
      <c r="N10" s="45"/>
      <c r="O10" s="21"/>
      <c r="P10" s="47">
        <f t="shared" si="11"/>
        <v>17258.7</v>
      </c>
      <c r="Q10" s="78"/>
      <c r="R10" s="78"/>
      <c r="S10" s="75">
        <f t="shared" si="5"/>
        <v>5508.34687132353</v>
      </c>
      <c r="T10" s="75"/>
      <c r="U10" s="75">
        <f t="shared" si="6"/>
        <v>156.319852941176</v>
      </c>
      <c r="V10" s="76">
        <v>300</v>
      </c>
      <c r="W10" s="75"/>
      <c r="X10" s="77">
        <f t="shared" si="0"/>
        <v>5964.66672426471</v>
      </c>
      <c r="Y10" s="91">
        <f t="shared" si="7"/>
        <v>1118.98544544118</v>
      </c>
      <c r="Z10" s="91"/>
      <c r="AA10" s="91">
        <f t="shared" si="8"/>
        <v>25.8229975735294</v>
      </c>
      <c r="AB10" s="91">
        <f t="shared" si="1"/>
        <v>1144.80844301471</v>
      </c>
      <c r="AC10" s="44">
        <v>7.12</v>
      </c>
      <c r="AD10" s="75">
        <f t="shared" si="2"/>
        <v>8151.03611426471</v>
      </c>
      <c r="AE10" s="75">
        <f t="shared" si="3"/>
        <v>14115.7028385294</v>
      </c>
      <c r="AF10" s="75">
        <f t="shared" si="4"/>
        <v>3142.99716147059</v>
      </c>
    </row>
    <row r="11" s="2" customFormat="1" spans="1:32">
      <c r="A11" s="20"/>
      <c r="B11" s="21"/>
      <c r="C11" s="22">
        <v>240823000021</v>
      </c>
      <c r="D11" s="23">
        <v>45532</v>
      </c>
      <c r="E11" s="23" t="s">
        <v>72</v>
      </c>
      <c r="F11" s="21" t="s">
        <v>88</v>
      </c>
      <c r="G11" s="21" t="s">
        <v>112</v>
      </c>
      <c r="H11" s="24">
        <v>7.4589</v>
      </c>
      <c r="I11" s="24">
        <v>3300</v>
      </c>
      <c r="J11" s="47"/>
      <c r="K11" s="49">
        <v>3229875</v>
      </c>
      <c r="L11" s="45"/>
      <c r="M11" s="46">
        <f t="shared" si="9"/>
        <v>1650</v>
      </c>
      <c r="N11" s="50">
        <v>1957.5</v>
      </c>
      <c r="O11" s="21">
        <v>7.12</v>
      </c>
      <c r="P11" s="47">
        <f t="shared" si="10"/>
        <v>13937.4</v>
      </c>
      <c r="Q11" s="78"/>
      <c r="R11" s="78"/>
      <c r="S11" s="75">
        <f t="shared" si="5"/>
        <v>5797.81393897059</v>
      </c>
      <c r="T11" s="75"/>
      <c r="U11" s="75">
        <f t="shared" si="6"/>
        <v>164.534558823529</v>
      </c>
      <c r="V11" s="75"/>
      <c r="W11" s="75"/>
      <c r="X11" s="77">
        <f t="shared" si="0"/>
        <v>5962.34849779412</v>
      </c>
      <c r="Y11" s="91">
        <f t="shared" si="7"/>
        <v>1177.78882932353</v>
      </c>
      <c r="Z11" s="91"/>
      <c r="AA11" s="91">
        <f t="shared" si="8"/>
        <v>27.1800122205882</v>
      </c>
      <c r="AB11" s="91">
        <f t="shared" si="1"/>
        <v>1204.96884154412</v>
      </c>
      <c r="AC11" s="44">
        <v>7.12</v>
      </c>
      <c r="AD11" s="75">
        <f t="shared" si="2"/>
        <v>8579.37815179412</v>
      </c>
      <c r="AE11" s="75">
        <f t="shared" si="3"/>
        <v>14541.7266495882</v>
      </c>
      <c r="AF11" s="75">
        <f t="shared" si="4"/>
        <v>-604.326649588233</v>
      </c>
    </row>
    <row r="12" s="2" customFormat="1" spans="1:32">
      <c r="A12" s="20"/>
      <c r="B12" s="21"/>
      <c r="C12" s="22">
        <v>240826000011</v>
      </c>
      <c r="D12" s="23">
        <v>45532</v>
      </c>
      <c r="E12" s="23" t="s">
        <v>136</v>
      </c>
      <c r="F12" s="21" t="s">
        <v>137</v>
      </c>
      <c r="G12" s="21" t="s">
        <v>65</v>
      </c>
      <c r="H12" s="24">
        <v>6.3305</v>
      </c>
      <c r="I12" s="24">
        <v>880</v>
      </c>
      <c r="J12" s="43">
        <v>10555.28</v>
      </c>
      <c r="K12" s="44"/>
      <c r="L12" s="45"/>
      <c r="M12" s="46"/>
      <c r="N12" s="51"/>
      <c r="O12" s="21"/>
      <c r="P12" s="47">
        <f t="shared" si="11"/>
        <v>10555.28</v>
      </c>
      <c r="Q12" s="78"/>
      <c r="R12" s="78"/>
      <c r="S12" s="75">
        <f t="shared" si="5"/>
        <v>4920.70695955882</v>
      </c>
      <c r="T12" s="75"/>
      <c r="U12" s="75">
        <f t="shared" si="6"/>
        <v>139.643382352941</v>
      </c>
      <c r="V12" s="75"/>
      <c r="W12" s="75"/>
      <c r="X12" s="77">
        <f t="shared" si="0"/>
        <v>5060.35034191176</v>
      </c>
      <c r="Y12" s="91">
        <f t="shared" si="7"/>
        <v>999.610154852941</v>
      </c>
      <c r="Z12" s="91"/>
      <c r="AA12" s="91">
        <f t="shared" si="8"/>
        <v>23.0681558088235</v>
      </c>
      <c r="AB12" s="91">
        <f t="shared" si="1"/>
        <v>1022.67831066176</v>
      </c>
      <c r="AC12" s="44">
        <v>7.12</v>
      </c>
      <c r="AD12" s="75">
        <f t="shared" si="2"/>
        <v>7281.46957191176</v>
      </c>
      <c r="AE12" s="75">
        <f t="shared" si="3"/>
        <v>12341.8199138235</v>
      </c>
      <c r="AF12" s="75">
        <f t="shared" si="4"/>
        <v>-1786.53991382353</v>
      </c>
    </row>
    <row r="13" s="2" customFormat="1" spans="1:32">
      <c r="A13" s="20"/>
      <c r="B13" s="21"/>
      <c r="C13" s="22">
        <v>240826000013</v>
      </c>
      <c r="D13" s="23">
        <v>45532</v>
      </c>
      <c r="E13" s="23" t="s">
        <v>136</v>
      </c>
      <c r="F13" s="21" t="s">
        <v>137</v>
      </c>
      <c r="G13" s="21" t="s">
        <v>65</v>
      </c>
      <c r="H13" s="24">
        <v>0.699</v>
      </c>
      <c r="I13" s="24">
        <v>105</v>
      </c>
      <c r="J13" s="43">
        <v>1165.58</v>
      </c>
      <c r="K13" s="44"/>
      <c r="L13" s="45"/>
      <c r="M13" s="46"/>
      <c r="N13" s="51"/>
      <c r="O13" s="21"/>
      <c r="P13" s="47">
        <f t="shared" si="11"/>
        <v>1165.58</v>
      </c>
      <c r="Q13" s="78"/>
      <c r="R13" s="78"/>
      <c r="S13" s="75">
        <f t="shared" si="5"/>
        <v>543.333727941176</v>
      </c>
      <c r="T13" s="75"/>
      <c r="U13" s="75">
        <f t="shared" si="6"/>
        <v>15.4191176470588</v>
      </c>
      <c r="V13" s="75"/>
      <c r="W13" s="75"/>
      <c r="X13" s="77">
        <f t="shared" si="0"/>
        <v>558.752845588235</v>
      </c>
      <c r="Y13" s="91">
        <f t="shared" si="7"/>
        <v>110.374772647059</v>
      </c>
      <c r="Z13" s="91"/>
      <c r="AA13" s="91">
        <f t="shared" si="8"/>
        <v>2.54713544117647</v>
      </c>
      <c r="AB13" s="91">
        <f t="shared" si="1"/>
        <v>112.921908088235</v>
      </c>
      <c r="AC13" s="44">
        <v>7.12</v>
      </c>
      <c r="AD13" s="75">
        <f t="shared" si="2"/>
        <v>804.003985588235</v>
      </c>
      <c r="AE13" s="75">
        <f t="shared" si="3"/>
        <v>1362.75683117647</v>
      </c>
      <c r="AF13" s="75">
        <f t="shared" si="4"/>
        <v>-197.17683117647</v>
      </c>
    </row>
    <row r="14" s="2" customFormat="1" spans="1:32">
      <c r="A14" s="20"/>
      <c r="B14" s="21"/>
      <c r="C14" s="22">
        <v>240826000015</v>
      </c>
      <c r="D14" s="23">
        <v>45532</v>
      </c>
      <c r="E14" s="23" t="s">
        <v>136</v>
      </c>
      <c r="F14" s="21" t="s">
        <v>137</v>
      </c>
      <c r="G14" s="21" t="s">
        <v>65</v>
      </c>
      <c r="H14" s="24">
        <v>0.2907</v>
      </c>
      <c r="I14" s="24">
        <v>36</v>
      </c>
      <c r="J14" s="43">
        <v>483.58</v>
      </c>
      <c r="K14" s="44"/>
      <c r="L14" s="45"/>
      <c r="M14" s="46"/>
      <c r="N14" s="51"/>
      <c r="O14" s="21"/>
      <c r="P14" s="47">
        <f t="shared" si="11"/>
        <v>483.58</v>
      </c>
      <c r="Q14" s="78"/>
      <c r="R14" s="78"/>
      <c r="S14" s="75">
        <f t="shared" si="5"/>
        <v>225.9615375</v>
      </c>
      <c r="T14" s="75"/>
      <c r="U14" s="75">
        <f t="shared" si="6"/>
        <v>6.4125</v>
      </c>
      <c r="V14" s="75"/>
      <c r="W14" s="75"/>
      <c r="X14" s="77">
        <f t="shared" si="0"/>
        <v>232.3740375</v>
      </c>
      <c r="Y14" s="91">
        <f t="shared" si="7"/>
        <v>45.9026415</v>
      </c>
      <c r="Z14" s="91"/>
      <c r="AA14" s="91">
        <f t="shared" si="8"/>
        <v>1.05930225</v>
      </c>
      <c r="AB14" s="91">
        <f t="shared" si="1"/>
        <v>46.96194375</v>
      </c>
      <c r="AC14" s="44">
        <v>7.12</v>
      </c>
      <c r="AD14" s="75">
        <f t="shared" si="2"/>
        <v>334.3690395</v>
      </c>
      <c r="AE14" s="75">
        <f t="shared" si="3"/>
        <v>566.743077</v>
      </c>
      <c r="AF14" s="75">
        <f t="shared" si="4"/>
        <v>-83.163077</v>
      </c>
    </row>
    <row r="15" s="2" customFormat="1" spans="1:32">
      <c r="A15" s="20"/>
      <c r="B15" s="21"/>
      <c r="C15" s="22">
        <v>240826000016</v>
      </c>
      <c r="D15" s="23">
        <v>45532</v>
      </c>
      <c r="E15" s="23" t="s">
        <v>136</v>
      </c>
      <c r="F15" s="21" t="s">
        <v>137</v>
      </c>
      <c r="G15" s="21" t="s">
        <v>65</v>
      </c>
      <c r="H15" s="24">
        <v>0.5572</v>
      </c>
      <c r="I15" s="24">
        <v>42</v>
      </c>
      <c r="J15" s="43">
        <v>928.8</v>
      </c>
      <c r="K15" s="44"/>
      <c r="L15" s="45"/>
      <c r="M15" s="46"/>
      <c r="N15" s="51"/>
      <c r="O15" s="21"/>
      <c r="P15" s="47">
        <f t="shared" si="11"/>
        <v>928.8</v>
      </c>
      <c r="Q15" s="78"/>
      <c r="R15" s="78"/>
      <c r="S15" s="75">
        <f t="shared" si="5"/>
        <v>433.112379411765</v>
      </c>
      <c r="T15" s="75"/>
      <c r="U15" s="75">
        <f t="shared" si="6"/>
        <v>12.2911764705882</v>
      </c>
      <c r="V15" s="75"/>
      <c r="W15" s="75"/>
      <c r="X15" s="77">
        <f t="shared" si="0"/>
        <v>445.403555882353</v>
      </c>
      <c r="Y15" s="91">
        <f t="shared" si="7"/>
        <v>87.9840104705882</v>
      </c>
      <c r="Z15" s="91"/>
      <c r="AA15" s="91">
        <f t="shared" si="8"/>
        <v>2.03042041176471</v>
      </c>
      <c r="AB15" s="91">
        <f t="shared" si="1"/>
        <v>90.0144308823529</v>
      </c>
      <c r="AC15" s="44">
        <v>7.12</v>
      </c>
      <c r="AD15" s="75">
        <f t="shared" si="2"/>
        <v>640.902747882353</v>
      </c>
      <c r="AE15" s="75">
        <f t="shared" si="3"/>
        <v>1086.30630376471</v>
      </c>
      <c r="AF15" s="75">
        <f t="shared" si="4"/>
        <v>-157.506303764706</v>
      </c>
    </row>
    <row r="16" s="2" customFormat="1" spans="1:32">
      <c r="A16" s="20"/>
      <c r="B16" s="21"/>
      <c r="C16" s="22">
        <v>240826000017</v>
      </c>
      <c r="D16" s="23">
        <v>45532</v>
      </c>
      <c r="E16" s="23" t="s">
        <v>136</v>
      </c>
      <c r="F16" s="21" t="s">
        <v>137</v>
      </c>
      <c r="G16" s="21" t="s">
        <v>65</v>
      </c>
      <c r="H16" s="24">
        <v>0.1598</v>
      </c>
      <c r="I16" s="24">
        <v>78</v>
      </c>
      <c r="J16" s="43">
        <v>266.44</v>
      </c>
      <c r="K16" s="44"/>
      <c r="L16" s="45"/>
      <c r="M16" s="46"/>
      <c r="N16" s="51"/>
      <c r="O16" s="21"/>
      <c r="P16" s="47">
        <f t="shared" si="11"/>
        <v>266.44</v>
      </c>
      <c r="Q16" s="78"/>
      <c r="R16" s="78"/>
      <c r="S16" s="75">
        <f t="shared" si="5"/>
        <v>124.212775</v>
      </c>
      <c r="T16" s="75"/>
      <c r="U16" s="75">
        <f t="shared" si="6"/>
        <v>3.525</v>
      </c>
      <c r="V16" s="75"/>
      <c r="W16" s="75"/>
      <c r="X16" s="77">
        <f t="shared" si="0"/>
        <v>127.737775</v>
      </c>
      <c r="Y16" s="91">
        <f t="shared" si="7"/>
        <v>25.233031</v>
      </c>
      <c r="Z16" s="91"/>
      <c r="AA16" s="91">
        <f t="shared" si="8"/>
        <v>0.5823065</v>
      </c>
      <c r="AB16" s="91">
        <f t="shared" si="1"/>
        <v>25.8153375</v>
      </c>
      <c r="AC16" s="44">
        <v>7.12</v>
      </c>
      <c r="AD16" s="75">
        <f t="shared" si="2"/>
        <v>183.805203</v>
      </c>
      <c r="AE16" s="75">
        <f t="shared" si="3"/>
        <v>311.542978</v>
      </c>
      <c r="AF16" s="75">
        <f t="shared" si="4"/>
        <v>-45.102978</v>
      </c>
    </row>
    <row r="17" s="2" customFormat="1" spans="1:32">
      <c r="A17" s="20"/>
      <c r="B17" s="21"/>
      <c r="C17" s="22">
        <v>240826000018</v>
      </c>
      <c r="D17" s="23">
        <v>45532</v>
      </c>
      <c r="E17" s="23" t="s">
        <v>136</v>
      </c>
      <c r="F17" s="21" t="s">
        <v>137</v>
      </c>
      <c r="G17" s="21" t="s">
        <v>65</v>
      </c>
      <c r="H17" s="24">
        <v>0.141</v>
      </c>
      <c r="I17" s="24">
        <v>37</v>
      </c>
      <c r="J17" s="43">
        <v>235.26</v>
      </c>
      <c r="K17" s="44"/>
      <c r="L17" s="45"/>
      <c r="M17" s="46"/>
      <c r="N17" s="51"/>
      <c r="O17" s="21"/>
      <c r="P17" s="47">
        <f t="shared" si="11"/>
        <v>235.26</v>
      </c>
      <c r="Q17" s="78"/>
      <c r="R17" s="78"/>
      <c r="S17" s="75">
        <f t="shared" si="5"/>
        <v>109.599507352941</v>
      </c>
      <c r="T17" s="75"/>
      <c r="U17" s="75">
        <f t="shared" si="6"/>
        <v>3.11029411764706</v>
      </c>
      <c r="V17" s="75"/>
      <c r="W17" s="75"/>
      <c r="X17" s="77">
        <f t="shared" si="0"/>
        <v>112.709801470588</v>
      </c>
      <c r="Y17" s="91">
        <f t="shared" si="7"/>
        <v>22.2644391176471</v>
      </c>
      <c r="Z17" s="91"/>
      <c r="AA17" s="91">
        <f t="shared" si="8"/>
        <v>0.513799852941176</v>
      </c>
      <c r="AB17" s="91">
        <f t="shared" si="1"/>
        <v>22.7782389705882</v>
      </c>
      <c r="AC17" s="44">
        <v>7.12</v>
      </c>
      <c r="AD17" s="75">
        <f t="shared" si="2"/>
        <v>162.181061470588</v>
      </c>
      <c r="AE17" s="75">
        <f t="shared" si="3"/>
        <v>274.890862941176</v>
      </c>
      <c r="AF17" s="75">
        <f t="shared" si="4"/>
        <v>-39.6308629411764</v>
      </c>
    </row>
    <row r="18" s="2" customFormat="1" spans="1:32">
      <c r="A18" s="20"/>
      <c r="B18" s="21"/>
      <c r="C18" s="22">
        <v>240826000019</v>
      </c>
      <c r="D18" s="23">
        <v>45532</v>
      </c>
      <c r="E18" s="23" t="s">
        <v>136</v>
      </c>
      <c r="F18" s="21" t="s">
        <v>137</v>
      </c>
      <c r="G18" s="21" t="s">
        <v>65</v>
      </c>
      <c r="H18" s="24">
        <v>1.4354</v>
      </c>
      <c r="I18" s="24">
        <v>186</v>
      </c>
      <c r="J18" s="43">
        <v>2392.86</v>
      </c>
      <c r="K18" s="44"/>
      <c r="L18" s="45"/>
      <c r="M18" s="46"/>
      <c r="N18" s="51"/>
      <c r="O18" s="21"/>
      <c r="P18" s="47">
        <f t="shared" si="11"/>
        <v>2392.86</v>
      </c>
      <c r="Q18" s="78"/>
      <c r="R18" s="78"/>
      <c r="S18" s="75">
        <f t="shared" si="5"/>
        <v>1115.73853088235</v>
      </c>
      <c r="T18" s="75"/>
      <c r="U18" s="75">
        <f t="shared" si="6"/>
        <v>31.6632352941176</v>
      </c>
      <c r="V18" s="75"/>
      <c r="W18" s="75"/>
      <c r="X18" s="77">
        <f t="shared" si="0"/>
        <v>1147.40176617647</v>
      </c>
      <c r="Y18" s="91">
        <f t="shared" si="7"/>
        <v>226.655148294118</v>
      </c>
      <c r="Z18" s="91"/>
      <c r="AA18" s="91">
        <f t="shared" si="8"/>
        <v>5.23055538235294</v>
      </c>
      <c r="AB18" s="91">
        <f t="shared" si="1"/>
        <v>231.885703676471</v>
      </c>
      <c r="AC18" s="44">
        <v>7.12</v>
      </c>
      <c r="AD18" s="75">
        <f t="shared" si="2"/>
        <v>1651.02621017647</v>
      </c>
      <c r="AE18" s="75">
        <f t="shared" si="3"/>
        <v>2798.42797635294</v>
      </c>
      <c r="AF18" s="75">
        <f t="shared" si="4"/>
        <v>-405.567976352941</v>
      </c>
    </row>
    <row r="19" s="2" customFormat="1" spans="1:32">
      <c r="A19" s="20"/>
      <c r="B19" s="21"/>
      <c r="C19" s="22">
        <v>240826000039</v>
      </c>
      <c r="D19" s="23">
        <v>45532</v>
      </c>
      <c r="E19" s="23" t="s">
        <v>69</v>
      </c>
      <c r="F19" s="21" t="s">
        <v>70</v>
      </c>
      <c r="G19" s="21" t="s">
        <v>133</v>
      </c>
      <c r="H19" s="24">
        <v>1.823</v>
      </c>
      <c r="I19" s="24">
        <v>321</v>
      </c>
      <c r="J19" s="47"/>
      <c r="K19" s="49">
        <v>964731.6</v>
      </c>
      <c r="L19" s="45"/>
      <c r="M19" s="46">
        <f>SUM(K19/N19)</f>
        <v>1764.00503172033</v>
      </c>
      <c r="N19" s="50">
        <v>546.89844</v>
      </c>
      <c r="O19" s="21">
        <v>7.23</v>
      </c>
      <c r="P19" s="47">
        <f>SUM(N19*O19)</f>
        <v>3954.0757212</v>
      </c>
      <c r="Q19" s="78"/>
      <c r="R19" s="78"/>
      <c r="S19" s="75">
        <f t="shared" si="5"/>
        <v>1417.02058088235</v>
      </c>
      <c r="T19" s="75"/>
      <c r="U19" s="75">
        <f t="shared" si="6"/>
        <v>40.2132352941176</v>
      </c>
      <c r="V19" s="75"/>
      <c r="W19" s="75"/>
      <c r="X19" s="77">
        <f t="shared" si="0"/>
        <v>1457.23381617647</v>
      </c>
      <c r="Y19" s="91">
        <f t="shared" si="7"/>
        <v>287.858670294118</v>
      </c>
      <c r="Z19" s="91"/>
      <c r="AA19" s="91">
        <f t="shared" si="8"/>
        <v>6.64295838235294</v>
      </c>
      <c r="AB19" s="91">
        <f t="shared" si="1"/>
        <v>294.501628676471</v>
      </c>
      <c r="AC19" s="44">
        <v>7.12</v>
      </c>
      <c r="AD19" s="75">
        <f t="shared" si="2"/>
        <v>2096.85159617647</v>
      </c>
      <c r="AE19" s="75">
        <f t="shared" si="3"/>
        <v>3554.08541235294</v>
      </c>
      <c r="AF19" s="75">
        <f t="shared" si="4"/>
        <v>399.990308847059</v>
      </c>
    </row>
    <row r="20" s="2" customFormat="1" spans="1:32">
      <c r="A20" s="20"/>
      <c r="B20" s="21"/>
      <c r="C20" s="22">
        <v>240826000045</v>
      </c>
      <c r="D20" s="23">
        <v>45532</v>
      </c>
      <c r="E20" s="23" t="s">
        <v>66</v>
      </c>
      <c r="F20" s="21" t="s">
        <v>67</v>
      </c>
      <c r="G20" s="21" t="s">
        <v>128</v>
      </c>
      <c r="H20" s="24">
        <v>0.4085</v>
      </c>
      <c r="I20" s="24">
        <v>179</v>
      </c>
      <c r="J20" s="43">
        <v>904</v>
      </c>
      <c r="K20" s="44"/>
      <c r="L20" s="45"/>
      <c r="M20" s="46"/>
      <c r="N20" s="45"/>
      <c r="O20" s="21"/>
      <c r="P20" s="47">
        <f t="shared" ref="P20:P27" si="12">SUBTOTAL(9,J20)</f>
        <v>904</v>
      </c>
      <c r="Q20" s="78"/>
      <c r="R20" s="78"/>
      <c r="S20" s="75">
        <f t="shared" si="5"/>
        <v>317.527650735294</v>
      </c>
      <c r="T20" s="75"/>
      <c r="U20" s="75">
        <f t="shared" si="6"/>
        <v>9.0110294117647</v>
      </c>
      <c r="V20" s="75"/>
      <c r="W20" s="75"/>
      <c r="X20" s="77">
        <f t="shared" si="0"/>
        <v>326.538680147059</v>
      </c>
      <c r="Y20" s="91">
        <f t="shared" si="7"/>
        <v>64.5037119117647</v>
      </c>
      <c r="Z20" s="91"/>
      <c r="AA20" s="91">
        <f t="shared" si="8"/>
        <v>1.48856198529412</v>
      </c>
      <c r="AB20" s="91">
        <f t="shared" si="1"/>
        <v>65.9922738970588</v>
      </c>
      <c r="AC20" s="44">
        <v>7.12</v>
      </c>
      <c r="AD20" s="75">
        <f t="shared" si="2"/>
        <v>469.864990147059</v>
      </c>
      <c r="AE20" s="75">
        <f t="shared" si="3"/>
        <v>796.403670294118</v>
      </c>
      <c r="AF20" s="75">
        <f t="shared" si="4"/>
        <v>107.596329705882</v>
      </c>
    </row>
    <row r="21" s="2" customFormat="1" spans="1:32">
      <c r="A21" s="20"/>
      <c r="B21" s="21"/>
      <c r="C21" s="22">
        <v>240827000034</v>
      </c>
      <c r="D21" s="23">
        <v>45532</v>
      </c>
      <c r="E21" s="23" t="s">
        <v>80</v>
      </c>
      <c r="F21" s="21" t="s">
        <v>138</v>
      </c>
      <c r="G21" s="21" t="s">
        <v>139</v>
      </c>
      <c r="H21" s="25">
        <v>9.2</v>
      </c>
      <c r="I21" s="25">
        <v>7350</v>
      </c>
      <c r="J21" s="43">
        <v>24057.26</v>
      </c>
      <c r="K21" s="44"/>
      <c r="L21" s="45"/>
      <c r="M21" s="46"/>
      <c r="N21" s="51"/>
      <c r="O21" s="21"/>
      <c r="P21" s="47">
        <f t="shared" si="12"/>
        <v>24057.26</v>
      </c>
      <c r="Q21" s="78"/>
      <c r="R21" s="78"/>
      <c r="S21" s="75">
        <f t="shared" si="5"/>
        <v>7151.17352941176</v>
      </c>
      <c r="T21" s="75"/>
      <c r="U21" s="75">
        <f t="shared" si="6"/>
        <v>202.941176470588</v>
      </c>
      <c r="V21" s="75"/>
      <c r="W21" s="75"/>
      <c r="X21" s="77">
        <f t="shared" si="0"/>
        <v>7354.11470588235</v>
      </c>
      <c r="Y21" s="91">
        <f t="shared" si="7"/>
        <v>1452.71517647059</v>
      </c>
      <c r="Z21" s="91"/>
      <c r="AA21" s="91">
        <f t="shared" si="8"/>
        <v>33.5245294117647</v>
      </c>
      <c r="AB21" s="91">
        <f t="shared" si="1"/>
        <v>1486.23970588235</v>
      </c>
      <c r="AC21" s="44">
        <v>7.12</v>
      </c>
      <c r="AD21" s="75">
        <f t="shared" si="2"/>
        <v>10582.0267058824</v>
      </c>
      <c r="AE21" s="75">
        <f t="shared" si="3"/>
        <v>17936.1414117647</v>
      </c>
      <c r="AF21" s="75">
        <f t="shared" si="4"/>
        <v>6121.1185882353</v>
      </c>
    </row>
    <row r="22" s="2" customFormat="1" spans="1:32">
      <c r="A22" s="20"/>
      <c r="B22" s="21"/>
      <c r="C22" s="22">
        <v>240807000019</v>
      </c>
      <c r="D22" s="23">
        <v>45506</v>
      </c>
      <c r="E22" s="23" t="s">
        <v>64</v>
      </c>
      <c r="F22" s="21" t="s">
        <v>64</v>
      </c>
      <c r="G22" s="21" t="s">
        <v>78</v>
      </c>
      <c r="H22" s="24">
        <v>7.5437</v>
      </c>
      <c r="I22" s="24">
        <v>1504</v>
      </c>
      <c r="J22" s="43">
        <v>17283</v>
      </c>
      <c r="K22" s="44"/>
      <c r="L22" s="45"/>
      <c r="M22" s="46"/>
      <c r="N22" s="45"/>
      <c r="O22" s="21"/>
      <c r="P22" s="47">
        <f t="shared" si="12"/>
        <v>17283</v>
      </c>
      <c r="Q22" s="78"/>
      <c r="R22" s="78"/>
      <c r="S22" s="75">
        <f t="shared" si="5"/>
        <v>5863.72910367647</v>
      </c>
      <c r="T22" s="75"/>
      <c r="U22" s="75">
        <f t="shared" si="6"/>
        <v>166.405147058824</v>
      </c>
      <c r="V22" s="75"/>
      <c r="W22" s="75"/>
      <c r="X22" s="77">
        <f t="shared" si="0"/>
        <v>6030.13425073529</v>
      </c>
      <c r="Y22" s="91">
        <f t="shared" si="7"/>
        <v>1191.17907355882</v>
      </c>
      <c r="Z22" s="91"/>
      <c r="AA22" s="91">
        <f t="shared" si="8"/>
        <v>27.4890209264706</v>
      </c>
      <c r="AB22" s="91">
        <f t="shared" si="1"/>
        <v>1218.66809448529</v>
      </c>
      <c r="AC22" s="44">
        <v>7.12</v>
      </c>
      <c r="AD22" s="75">
        <f t="shared" si="2"/>
        <v>8676.91683273529</v>
      </c>
      <c r="AE22" s="75">
        <f t="shared" si="3"/>
        <v>14707.0510834706</v>
      </c>
      <c r="AF22" s="75">
        <f t="shared" si="4"/>
        <v>2575.94891652941</v>
      </c>
    </row>
    <row r="23" s="2" customFormat="1" spans="1:32">
      <c r="A23" s="20"/>
      <c r="B23" s="21"/>
      <c r="C23" s="22">
        <v>240728000003</v>
      </c>
      <c r="D23" s="23">
        <v>45506</v>
      </c>
      <c r="E23" s="23" t="s">
        <v>64</v>
      </c>
      <c r="F23" s="21" t="s">
        <v>64</v>
      </c>
      <c r="G23" s="21" t="s">
        <v>78</v>
      </c>
      <c r="H23" s="24">
        <v>0.193</v>
      </c>
      <c r="I23" s="24">
        <v>47</v>
      </c>
      <c r="J23" s="43">
        <v>520</v>
      </c>
      <c r="K23" s="44"/>
      <c r="L23" s="45"/>
      <c r="M23" s="46"/>
      <c r="N23" s="45"/>
      <c r="O23" s="21"/>
      <c r="P23" s="47">
        <f t="shared" si="12"/>
        <v>520</v>
      </c>
      <c r="Q23" s="78"/>
      <c r="R23" s="78"/>
      <c r="S23" s="75">
        <f t="shared" si="5"/>
        <v>150.019183823529</v>
      </c>
      <c r="T23" s="75"/>
      <c r="U23" s="75">
        <f t="shared" si="6"/>
        <v>4.25735294117647</v>
      </c>
      <c r="V23" s="75"/>
      <c r="W23" s="75"/>
      <c r="X23" s="77">
        <f t="shared" ref="X23:X29" si="13">SUM(S23:W23)</f>
        <v>154.276536764706</v>
      </c>
      <c r="Y23" s="91">
        <f t="shared" si="7"/>
        <v>30.4754379411765</v>
      </c>
      <c r="Z23" s="91"/>
      <c r="AA23" s="91">
        <f t="shared" si="8"/>
        <v>0.703286323529412</v>
      </c>
      <c r="AB23" s="91">
        <f t="shared" ref="AB23:AB29" si="14">SUM(Y23:AA23)</f>
        <v>31.1787242647059</v>
      </c>
      <c r="AC23" s="44">
        <v>7.12</v>
      </c>
      <c r="AD23" s="75">
        <f t="shared" ref="AD23:AD29" si="15">SUM(AB23*AC23)</f>
        <v>221.992516764706</v>
      </c>
      <c r="AE23" s="75">
        <f t="shared" ref="AE23:AE29" si="16">SUM(X23+AD23)</f>
        <v>376.269053529412</v>
      </c>
      <c r="AF23" s="75">
        <f t="shared" ref="AF23:AF29" si="17">SUM(P23-AE23)</f>
        <v>143.730946470588</v>
      </c>
    </row>
    <row r="24" s="2" customFormat="1" spans="1:32">
      <c r="A24" s="20"/>
      <c r="B24" s="21"/>
      <c r="C24" s="22">
        <v>240828000002</v>
      </c>
      <c r="D24" s="23">
        <v>45532</v>
      </c>
      <c r="E24" s="23" t="s">
        <v>64</v>
      </c>
      <c r="F24" s="21" t="s">
        <v>64</v>
      </c>
      <c r="G24" s="21" t="s">
        <v>84</v>
      </c>
      <c r="H24" s="24">
        <v>17.63</v>
      </c>
      <c r="I24" s="24">
        <v>2193</v>
      </c>
      <c r="J24" s="43">
        <v>25894.59</v>
      </c>
      <c r="K24" s="44"/>
      <c r="L24" s="45"/>
      <c r="M24" s="46"/>
      <c r="N24" s="50"/>
      <c r="O24" s="21"/>
      <c r="P24" s="47">
        <f t="shared" si="12"/>
        <v>25894.59</v>
      </c>
      <c r="Q24" s="78"/>
      <c r="R24" s="78"/>
      <c r="S24" s="75">
        <f t="shared" si="5"/>
        <v>13703.8249264706</v>
      </c>
      <c r="T24" s="75"/>
      <c r="U24" s="75">
        <f t="shared" si="6"/>
        <v>388.897058823529</v>
      </c>
      <c r="V24" s="75"/>
      <c r="W24" s="75"/>
      <c r="X24" s="77">
        <f t="shared" si="13"/>
        <v>14092.7219852941</v>
      </c>
      <c r="Y24" s="91">
        <f t="shared" si="7"/>
        <v>2783.84440882353</v>
      </c>
      <c r="Z24" s="92"/>
      <c r="AA24" s="91">
        <f t="shared" si="8"/>
        <v>64.2432014705882</v>
      </c>
      <c r="AB24" s="91">
        <f t="shared" si="14"/>
        <v>2848.08761029412</v>
      </c>
      <c r="AC24" s="44">
        <v>7.12</v>
      </c>
      <c r="AD24" s="75">
        <f t="shared" si="15"/>
        <v>20278.3837852941</v>
      </c>
      <c r="AE24" s="75">
        <f t="shared" si="16"/>
        <v>34371.1057705882</v>
      </c>
      <c r="AF24" s="75">
        <f t="shared" si="17"/>
        <v>-8476.51577058823</v>
      </c>
    </row>
    <row r="25" s="2" customFormat="1" spans="1:32">
      <c r="A25" s="20"/>
      <c r="B25" s="21"/>
      <c r="C25" s="22">
        <v>240828000003</v>
      </c>
      <c r="D25" s="23">
        <v>45532</v>
      </c>
      <c r="E25" s="23" t="s">
        <v>136</v>
      </c>
      <c r="F25" s="21" t="s">
        <v>137</v>
      </c>
      <c r="G25" s="21" t="s">
        <v>65</v>
      </c>
      <c r="H25" s="24">
        <v>0.807</v>
      </c>
      <c r="I25" s="24">
        <v>46</v>
      </c>
      <c r="J25" s="43">
        <v>1345.67</v>
      </c>
      <c r="K25" s="44"/>
      <c r="L25" s="45"/>
      <c r="M25" s="46"/>
      <c r="N25" s="51"/>
      <c r="O25" s="21"/>
      <c r="P25" s="47">
        <f t="shared" si="12"/>
        <v>1345.67</v>
      </c>
      <c r="Q25" s="78"/>
      <c r="R25" s="78"/>
      <c r="S25" s="75">
        <f t="shared" si="5"/>
        <v>627.282286764706</v>
      </c>
      <c r="T25" s="75"/>
      <c r="U25" s="75">
        <f t="shared" si="6"/>
        <v>17.8014705882353</v>
      </c>
      <c r="V25" s="75"/>
      <c r="W25" s="75"/>
      <c r="X25" s="77">
        <f t="shared" si="13"/>
        <v>645.083757352941</v>
      </c>
      <c r="Y25" s="91">
        <f t="shared" si="7"/>
        <v>127.428385588235</v>
      </c>
      <c r="Z25" s="91"/>
      <c r="AA25" s="91">
        <f t="shared" si="8"/>
        <v>2.94068426470588</v>
      </c>
      <c r="AB25" s="91">
        <f t="shared" si="14"/>
        <v>130.369069852941</v>
      </c>
      <c r="AC25" s="44">
        <v>7.12</v>
      </c>
      <c r="AD25" s="75">
        <f t="shared" si="15"/>
        <v>928.227777352941</v>
      </c>
      <c r="AE25" s="75">
        <f t="shared" si="16"/>
        <v>1573.31153470588</v>
      </c>
      <c r="AF25" s="75">
        <f t="shared" si="17"/>
        <v>-227.641534705882</v>
      </c>
    </row>
    <row r="26" s="2" customFormat="1" spans="1:32">
      <c r="A26" s="20"/>
      <c r="B26" s="21"/>
      <c r="C26" s="22">
        <v>240828000005</v>
      </c>
      <c r="D26" s="23">
        <v>45532</v>
      </c>
      <c r="E26" s="23" t="s">
        <v>136</v>
      </c>
      <c r="F26" s="21" t="s">
        <v>137</v>
      </c>
      <c r="G26" s="21" t="s">
        <v>65</v>
      </c>
      <c r="H26" s="24">
        <v>0.6964</v>
      </c>
      <c r="I26" s="24">
        <v>42</v>
      </c>
      <c r="J26" s="43">
        <v>1161.45</v>
      </c>
      <c r="K26" s="44"/>
      <c r="L26" s="45"/>
      <c r="M26" s="46"/>
      <c r="N26" s="51"/>
      <c r="O26" s="21"/>
      <c r="P26" s="47">
        <f t="shared" si="12"/>
        <v>1161.45</v>
      </c>
      <c r="Q26" s="78"/>
      <c r="R26" s="78"/>
      <c r="S26" s="75">
        <f t="shared" si="5"/>
        <v>541.312744117647</v>
      </c>
      <c r="T26" s="75"/>
      <c r="U26" s="75">
        <f t="shared" si="6"/>
        <v>15.3617647058824</v>
      </c>
      <c r="V26" s="75"/>
      <c r="W26" s="75"/>
      <c r="X26" s="77">
        <f t="shared" si="13"/>
        <v>556.674508823529</v>
      </c>
      <c r="Y26" s="91">
        <f t="shared" si="7"/>
        <v>109.964222705882</v>
      </c>
      <c r="Z26" s="91"/>
      <c r="AA26" s="91">
        <f t="shared" si="8"/>
        <v>2.53766111764706</v>
      </c>
      <c r="AB26" s="91">
        <f t="shared" si="14"/>
        <v>112.501883823529</v>
      </c>
      <c r="AC26" s="44">
        <v>7.12</v>
      </c>
      <c r="AD26" s="75">
        <f t="shared" si="15"/>
        <v>801.013412823529</v>
      </c>
      <c r="AE26" s="75">
        <f t="shared" si="16"/>
        <v>1357.68792164706</v>
      </c>
      <c r="AF26" s="75">
        <f t="shared" si="17"/>
        <v>-196.237921647059</v>
      </c>
    </row>
    <row r="27" s="2" customFormat="1" spans="1:32">
      <c r="A27" s="20"/>
      <c r="B27" s="21"/>
      <c r="C27" s="22">
        <v>240828000008</v>
      </c>
      <c r="D27" s="23">
        <v>45532</v>
      </c>
      <c r="E27" s="23" t="s">
        <v>136</v>
      </c>
      <c r="F27" s="21" t="s">
        <v>137</v>
      </c>
      <c r="G27" s="21" t="s">
        <v>65</v>
      </c>
      <c r="H27" s="24">
        <v>0.0844</v>
      </c>
      <c r="I27" s="24">
        <v>25</v>
      </c>
      <c r="J27" s="43">
        <v>140.94</v>
      </c>
      <c r="K27" s="44"/>
      <c r="L27" s="45"/>
      <c r="M27" s="46"/>
      <c r="N27" s="51"/>
      <c r="O27" s="21"/>
      <c r="P27" s="47">
        <f t="shared" si="12"/>
        <v>140.94</v>
      </c>
      <c r="Q27" s="78"/>
      <c r="R27" s="78"/>
      <c r="S27" s="75">
        <f t="shared" si="5"/>
        <v>65.6042441176471</v>
      </c>
      <c r="T27" s="75"/>
      <c r="U27" s="75">
        <f t="shared" si="6"/>
        <v>1.86176470588235</v>
      </c>
      <c r="V27" s="75"/>
      <c r="W27" s="75"/>
      <c r="X27" s="77">
        <f t="shared" si="13"/>
        <v>67.4660088235294</v>
      </c>
      <c r="Y27" s="91">
        <f t="shared" si="7"/>
        <v>13.3270827058824</v>
      </c>
      <c r="Z27" s="91"/>
      <c r="AA27" s="91">
        <f t="shared" si="8"/>
        <v>0.307551117647059</v>
      </c>
      <c r="AB27" s="91">
        <f t="shared" si="14"/>
        <v>13.6346338235294</v>
      </c>
      <c r="AC27" s="44">
        <v>7.12</v>
      </c>
      <c r="AD27" s="75">
        <f t="shared" si="15"/>
        <v>97.0785928235294</v>
      </c>
      <c r="AE27" s="75">
        <f t="shared" si="16"/>
        <v>164.544601647059</v>
      </c>
      <c r="AF27" s="75">
        <f t="shared" si="17"/>
        <v>-23.6046016470588</v>
      </c>
    </row>
    <row r="28" s="2" customFormat="1" spans="1:32">
      <c r="A28" s="20"/>
      <c r="B28" s="21"/>
      <c r="C28" s="22">
        <v>240828000017</v>
      </c>
      <c r="D28" s="23">
        <v>45532</v>
      </c>
      <c r="E28" s="23" t="s">
        <v>72</v>
      </c>
      <c r="F28" s="21" t="s">
        <v>88</v>
      </c>
      <c r="G28" s="21" t="s">
        <v>140</v>
      </c>
      <c r="H28" s="24">
        <v>0.1138</v>
      </c>
      <c r="I28" s="24">
        <v>45</v>
      </c>
      <c r="J28" s="43">
        <v>421</v>
      </c>
      <c r="K28" s="44"/>
      <c r="L28" s="45"/>
      <c r="M28" s="46"/>
      <c r="N28" s="50"/>
      <c r="O28" s="21"/>
      <c r="P28" s="47">
        <f>SUM(J28)</f>
        <v>421</v>
      </c>
      <c r="Q28" s="78"/>
      <c r="R28" s="78"/>
      <c r="S28" s="75">
        <f t="shared" si="5"/>
        <v>88.4569073529412</v>
      </c>
      <c r="T28" s="75"/>
      <c r="U28" s="75">
        <f t="shared" si="6"/>
        <v>2.51029411764706</v>
      </c>
      <c r="V28" s="75"/>
      <c r="W28" s="75"/>
      <c r="X28" s="77">
        <f t="shared" si="13"/>
        <v>90.9672014705882</v>
      </c>
      <c r="Y28" s="91">
        <f t="shared" si="7"/>
        <v>17.9694551176471</v>
      </c>
      <c r="Z28" s="92">
        <v>20.65</v>
      </c>
      <c r="AA28" s="91">
        <f t="shared" si="8"/>
        <v>0.414683852941176</v>
      </c>
      <c r="AB28" s="91">
        <f t="shared" si="14"/>
        <v>39.0341389705882</v>
      </c>
      <c r="AC28" s="44">
        <v>7.12</v>
      </c>
      <c r="AD28" s="75">
        <f t="shared" si="15"/>
        <v>277.923069470588</v>
      </c>
      <c r="AE28" s="75">
        <f t="shared" si="16"/>
        <v>368.890270941176</v>
      </c>
      <c r="AF28" s="75">
        <f t="shared" si="17"/>
        <v>52.1097290588236</v>
      </c>
    </row>
    <row r="29" s="2" customFormat="1" spans="1:32">
      <c r="A29" s="20"/>
      <c r="B29" s="21"/>
      <c r="C29" s="22">
        <v>240828000062</v>
      </c>
      <c r="D29" s="23">
        <v>45532</v>
      </c>
      <c r="E29" s="23" t="s">
        <v>136</v>
      </c>
      <c r="F29" s="21" t="s">
        <v>137</v>
      </c>
      <c r="G29" s="21" t="s">
        <v>65</v>
      </c>
      <c r="H29" s="24">
        <v>1.8606</v>
      </c>
      <c r="I29" s="24">
        <v>279</v>
      </c>
      <c r="J29" s="43">
        <v>6598.3</v>
      </c>
      <c r="K29" s="44"/>
      <c r="L29" s="45"/>
      <c r="M29" s="46"/>
      <c r="N29" s="51"/>
      <c r="O29" s="21"/>
      <c r="P29" s="47">
        <f>SUBTOTAL(9,J29)</f>
        <v>6598.3</v>
      </c>
      <c r="Q29" s="79"/>
      <c r="R29" s="79"/>
      <c r="S29" s="75">
        <f t="shared" si="5"/>
        <v>1446.24711617647</v>
      </c>
      <c r="T29" s="75"/>
      <c r="U29" s="75">
        <f t="shared" si="6"/>
        <v>41.0426470588235</v>
      </c>
      <c r="V29" s="75"/>
      <c r="W29" s="75"/>
      <c r="X29" s="77">
        <f t="shared" si="13"/>
        <v>1487.28976323529</v>
      </c>
      <c r="Y29" s="91">
        <f t="shared" si="7"/>
        <v>293.795854058823</v>
      </c>
      <c r="Z29" s="91"/>
      <c r="AA29" s="91">
        <f t="shared" si="8"/>
        <v>6.77997167647059</v>
      </c>
      <c r="AB29" s="91">
        <f t="shared" si="14"/>
        <v>300.575825735294</v>
      </c>
      <c r="AC29" s="44">
        <v>7.12</v>
      </c>
      <c r="AD29" s="75">
        <f t="shared" si="15"/>
        <v>2140.09987923529</v>
      </c>
      <c r="AE29" s="75">
        <f t="shared" si="16"/>
        <v>3627.38964247059</v>
      </c>
      <c r="AF29" s="75">
        <f t="shared" si="17"/>
        <v>2970.91035752941</v>
      </c>
    </row>
    <row r="30" ht="15.75" spans="1:32">
      <c r="A30" s="26" t="s">
        <v>26</v>
      </c>
      <c r="B30" s="27"/>
      <c r="C30" s="27"/>
      <c r="D30" s="27"/>
      <c r="E30" s="27"/>
      <c r="F30" s="27"/>
      <c r="G30" s="27"/>
      <c r="H30" s="27"/>
      <c r="I30" s="52"/>
      <c r="J30" s="27">
        <f>SUM(J4:J4)</f>
        <v>0</v>
      </c>
      <c r="K30" s="53"/>
      <c r="L30" s="54"/>
      <c r="M30" s="53"/>
      <c r="N30" s="53">
        <f t="shared" ref="N30:Q30" si="18">SUM(N4:N4)</f>
        <v>0</v>
      </c>
      <c r="O30" s="27"/>
      <c r="P30" s="27">
        <f t="shared" si="18"/>
        <v>0</v>
      </c>
      <c r="Q30" s="27">
        <f t="shared" si="18"/>
        <v>0</v>
      </c>
      <c r="R30" s="27"/>
      <c r="S30" s="27"/>
      <c r="T30" s="27"/>
      <c r="U30" s="27"/>
      <c r="V30" s="27"/>
      <c r="W30" s="27"/>
      <c r="X30" s="80">
        <f>SUM(X4:X4)</f>
        <v>0</v>
      </c>
      <c r="Y30" s="54"/>
      <c r="Z30" s="54"/>
      <c r="AA30" s="54"/>
      <c r="AB30" s="54"/>
      <c r="AC30" s="53"/>
      <c r="AD30" s="27">
        <f>SUM(AD4:AD4)</f>
        <v>0</v>
      </c>
      <c r="AE30" s="27"/>
      <c r="AF30" s="93">
        <f>SUM(AF4:AF29)</f>
        <v>8491.90243002355</v>
      </c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  <row r="38" customFormat="1" spans="4:29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</row>
    <row r="39" customFormat="1" spans="4:29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</row>
    <row r="40" customFormat="1" spans="4:29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</row>
    <row r="41" customFormat="1" spans="4:29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</row>
    <row r="42" customFormat="1" spans="4:29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</row>
    <row r="43" customFormat="1" spans="4:29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</row>
    <row r="44" customFormat="1" spans="4:29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</row>
    <row r="45" customFormat="1" spans="4:29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</row>
    <row r="46" customFormat="1" spans="4:29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</row>
  </sheetData>
  <autoFilter xmlns:etc="http://www.wps.cn/officeDocument/2017/etCustomData" ref="A3:AF30" etc:filterBottomFollowUsedRange="0">
    <extLst/>
  </autoFilter>
  <mergeCells count="21">
    <mergeCell ref="A1:AF1"/>
    <mergeCell ref="J3:P3"/>
    <mergeCell ref="R3:V3"/>
    <mergeCell ref="Y3:AD3"/>
    <mergeCell ref="A3:A4"/>
    <mergeCell ref="A5:A29"/>
    <mergeCell ref="B3:B4"/>
    <mergeCell ref="B5:B29"/>
    <mergeCell ref="C3:C4"/>
    <mergeCell ref="D3:D4"/>
    <mergeCell ref="E3:E4"/>
    <mergeCell ref="F3:F4"/>
    <mergeCell ref="G3:G4"/>
    <mergeCell ref="H3:H4"/>
    <mergeCell ref="I3:I4"/>
    <mergeCell ref="Q3:Q4"/>
    <mergeCell ref="Q5:Q29"/>
    <mergeCell ref="R5:R2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总表</vt:lpstr>
      <vt:lpstr>总表 (2)</vt:lpstr>
      <vt:lpstr>JOB080389</vt:lpstr>
      <vt:lpstr>JOB080353</vt:lpstr>
      <vt:lpstr>JOB080361</vt:lpstr>
      <vt:lpstr>JOB080362</vt:lpstr>
      <vt:lpstr>JOB080363</vt:lpstr>
      <vt:lpstr>JOB080364</vt:lpstr>
      <vt:lpstr>JOB080373</vt:lpstr>
      <vt:lpstr>JOB080374</vt:lpstr>
      <vt:lpstr>JOB080371</vt:lpstr>
      <vt:lpstr>JOB080387</vt:lpstr>
      <vt:lpstr>JOB100326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2025-07-28T09:48:26Z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