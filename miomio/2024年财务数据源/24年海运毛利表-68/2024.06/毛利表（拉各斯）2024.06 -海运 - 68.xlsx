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975" activeTab="1"/>
  </bookViews>
  <sheets>
    <sheet name="总表" sheetId="1" r:id="rId1"/>
    <sheet name="总表2" sheetId="2" r:id="rId2"/>
    <sheet name="JOB060359" sheetId="3" r:id="rId3"/>
    <sheet name="JOB060384" sheetId="4" r:id="rId4"/>
    <sheet name="JOB060385" sheetId="5" r:id="rId5"/>
  </sheets>
  <definedNames>
    <definedName name="_xlnm._FilterDatabase" localSheetId="0" hidden="1">总表!$A$2:$C$29</definedName>
    <definedName name="_xlnm._FilterDatabase" localSheetId="1" hidden="1">总表2!$A$2:$AF$29</definedName>
    <definedName name="_xlnm._FilterDatabase" localSheetId="2" hidden="1">'JOB060359'!$A$2:$AF$9</definedName>
    <definedName name="_xlnm._FilterDatabase" localSheetId="3" hidden="1">'JOB060384'!$A$3:$AF$19</definedName>
    <definedName name="_xlnm._FilterDatabase" localSheetId="4" hidden="1">'JOB060385'!$A$3:$AF$11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到付USD1357.26转预付9711.62.
</t>
        </r>
      </text>
    </comment>
    <comment ref="J6" authorId="0">
      <text>
        <r>
          <rPr>
            <sz val="9"/>
            <rFont val="宋体"/>
            <charset val="134"/>
          </rPr>
          <t xml:space="preserve">到付USD233.64转预付1701.18
</t>
        </r>
      </text>
    </comment>
    <comment ref="J7" authorId="0">
      <text>
        <r>
          <rPr>
            <sz val="9"/>
            <rFont val="宋体"/>
            <charset val="134"/>
          </rPr>
          <t xml:space="preserve">到付USD1423.84转预付10251.65
</t>
        </r>
      </text>
    </comment>
    <comment ref="J9" authorId="0">
      <text>
        <r>
          <rPr>
            <sz val="9"/>
            <rFont val="宋体"/>
            <charset val="134"/>
          </rPr>
          <t xml:space="preserve">到付USD3387.24转预付30088.
</t>
        </r>
      </text>
    </comment>
    <comment ref="N10" authorId="0">
      <text>
        <r>
          <rPr>
            <sz val="9"/>
            <rFont val="宋体"/>
            <charset val="134"/>
          </rPr>
          <t xml:space="preserve">预付1154转到付USD159.39
</t>
        </r>
      </text>
    </comment>
    <comment ref="J11" authorId="0">
      <text>
        <r>
          <rPr>
            <sz val="9"/>
            <rFont val="宋体"/>
            <charset val="134"/>
          </rPr>
          <t xml:space="preserve">到付USD786.85转预付5586.
</t>
        </r>
      </text>
    </comment>
    <comment ref="J12" authorId="0">
      <text>
        <r>
          <rPr>
            <sz val="9"/>
            <rFont val="宋体"/>
            <charset val="134"/>
          </rPr>
          <t xml:space="preserve">到付6225.88转预付44822.88.
</t>
        </r>
      </text>
    </comment>
    <comment ref="J13" authorId="0">
      <text>
        <r>
          <rPr>
            <sz val="9"/>
            <rFont val="宋体"/>
            <charset val="134"/>
          </rPr>
          <t xml:space="preserve">到付USD1491.91转预付10081.3
</t>
        </r>
      </text>
    </comment>
    <comment ref="J14" authorId="0">
      <text>
        <r>
          <rPr>
            <sz val="9"/>
            <rFont val="宋体"/>
            <charset val="134"/>
          </rPr>
          <t xml:space="preserve">到付USD59.14LFNY 预付426.
</t>
        </r>
      </text>
    </comment>
    <comment ref="J17" authorId="0">
      <text>
        <r>
          <rPr>
            <b/>
            <sz val="9"/>
            <rFont val="宋体"/>
            <charset val="134"/>
          </rPr>
          <t>3到付USD4987.8转预付35563.01</t>
        </r>
        <r>
          <rPr>
            <sz val="9"/>
            <rFont val="宋体"/>
            <charset val="134"/>
          </rPr>
          <t xml:space="preserve">
</t>
        </r>
      </text>
    </comment>
    <comment ref="J18" authorId="0">
      <text>
        <r>
          <rPr>
            <sz val="9"/>
            <rFont val="宋体"/>
            <charset val="134"/>
          </rPr>
          <t xml:space="preserve">到付USD424.35转预付3034.1
</t>
        </r>
      </text>
    </comment>
    <comment ref="J19" authorId="0">
      <text>
        <r>
          <rPr>
            <sz val="9"/>
            <rFont val="宋体"/>
            <charset val="134"/>
          </rPr>
          <t xml:space="preserve">到付USD740.52转预付5331.74
</t>
        </r>
      </text>
    </comment>
    <comment ref="J20" authorId="0">
      <text>
        <r>
          <rPr>
            <sz val="9"/>
            <rFont val="宋体"/>
            <charset val="134"/>
          </rPr>
          <t xml:space="preserve">到付USD389.9转预付2807.28
</t>
        </r>
      </text>
    </comment>
    <comment ref="J22" authorId="0">
      <text>
        <r>
          <rPr>
            <sz val="9"/>
            <rFont val="宋体"/>
            <charset val="134"/>
          </rPr>
          <t xml:space="preserve">到付USD300.97转预付2136.9.
</t>
        </r>
      </text>
    </comment>
    <comment ref="J23" authorId="0">
      <text>
        <r>
          <rPr>
            <sz val="9"/>
            <rFont val="宋体"/>
            <charset val="134"/>
          </rPr>
          <t xml:space="preserve">到付USD404.81转预付2914.
</t>
        </r>
      </text>
    </comment>
    <comment ref="J24" authorId="0">
      <text>
        <r>
          <rPr>
            <sz val="9"/>
            <rFont val="宋体"/>
            <charset val="134"/>
          </rPr>
          <t xml:space="preserve">到付USD786.85转预付5586.
</t>
        </r>
      </text>
    </comment>
    <comment ref="J27" authorId="0">
      <text>
        <r>
          <rPr>
            <sz val="9"/>
            <rFont val="宋体"/>
            <charset val="134"/>
          </rPr>
          <t xml:space="preserve">到付USD305.2转预付2197.44.
</t>
        </r>
      </text>
    </comment>
    <comment ref="J28" authorId="0">
      <text>
        <r>
          <rPr>
            <sz val="9"/>
            <rFont val="宋体"/>
            <charset val="134"/>
          </rPr>
          <t xml:space="preserve">到付USD105.73转预付778.
</t>
        </r>
      </text>
    </comment>
  </commentList>
</comments>
</file>

<file path=xl/comments2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到付USD1357.26转预付9711.62.
</t>
        </r>
      </text>
    </comment>
    <comment ref="J6" authorId="0">
      <text>
        <r>
          <rPr>
            <sz val="9"/>
            <rFont val="宋体"/>
            <charset val="134"/>
          </rPr>
          <t xml:space="preserve">到付USD233.64转预付1701.18
</t>
        </r>
      </text>
    </comment>
    <comment ref="J7" authorId="0">
      <text>
        <r>
          <rPr>
            <sz val="9"/>
            <rFont val="宋体"/>
            <charset val="134"/>
          </rPr>
          <t xml:space="preserve">到付USD1423.84转预付10251.65
</t>
        </r>
      </text>
    </comment>
  </commentList>
</comments>
</file>

<file path=xl/comments3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到付USD3387.24转预付30088.
</t>
        </r>
      </text>
    </comment>
    <comment ref="N6" authorId="0">
      <text>
        <r>
          <rPr>
            <sz val="9"/>
            <rFont val="宋体"/>
            <charset val="134"/>
          </rPr>
          <t xml:space="preserve">预付1154转到付USD159.39
</t>
        </r>
      </text>
    </comment>
    <comment ref="J7" authorId="0">
      <text>
        <r>
          <rPr>
            <sz val="9"/>
            <rFont val="宋体"/>
            <charset val="134"/>
          </rPr>
          <t xml:space="preserve">到付USD786.85转预付5586.
</t>
        </r>
      </text>
    </comment>
    <comment ref="J8" authorId="0">
      <text>
        <r>
          <rPr>
            <sz val="9"/>
            <rFont val="宋体"/>
            <charset val="134"/>
          </rPr>
          <t xml:space="preserve">到付6225.88转预付44822.88.
</t>
        </r>
      </text>
    </comment>
    <comment ref="J9" authorId="0">
      <text>
        <r>
          <rPr>
            <sz val="9"/>
            <rFont val="宋体"/>
            <charset val="134"/>
          </rPr>
          <t xml:space="preserve">到付USD1491.91转预付10081.3
</t>
        </r>
      </text>
    </comment>
    <comment ref="J10" authorId="0">
      <text>
        <r>
          <rPr>
            <sz val="9"/>
            <rFont val="宋体"/>
            <charset val="134"/>
          </rPr>
          <t xml:space="preserve">到付USD59.14LFNY 预付426.
</t>
        </r>
      </text>
    </comment>
    <comment ref="J13" authorId="0">
      <text>
        <r>
          <rPr>
            <b/>
            <sz val="9"/>
            <rFont val="宋体"/>
            <charset val="134"/>
          </rPr>
          <t>3到付USD4987.8转预付35563.01</t>
        </r>
        <r>
          <rPr>
            <sz val="9"/>
            <rFont val="宋体"/>
            <charset val="134"/>
          </rPr>
          <t xml:space="preserve">
</t>
        </r>
      </text>
    </comment>
    <comment ref="J14" authorId="0">
      <text>
        <r>
          <rPr>
            <sz val="9"/>
            <rFont val="宋体"/>
            <charset val="134"/>
          </rPr>
          <t xml:space="preserve">到付USD424.35转预付3034.1
</t>
        </r>
      </text>
    </comment>
    <comment ref="J15" authorId="0">
      <text>
        <r>
          <rPr>
            <sz val="9"/>
            <rFont val="宋体"/>
            <charset val="134"/>
          </rPr>
          <t xml:space="preserve">到付USD740.52转预付5331.74
</t>
        </r>
      </text>
    </comment>
    <comment ref="J16" authorId="0">
      <text>
        <r>
          <rPr>
            <sz val="9"/>
            <rFont val="宋体"/>
            <charset val="134"/>
          </rPr>
          <t xml:space="preserve">到付USD389.9转预付2807.28
</t>
        </r>
      </text>
    </comment>
    <comment ref="J18" authorId="0">
      <text>
        <r>
          <rPr>
            <sz val="9"/>
            <rFont val="宋体"/>
            <charset val="134"/>
          </rPr>
          <t xml:space="preserve">到付USD300.97转预付2136.9.
</t>
        </r>
      </text>
    </comment>
  </commentList>
</comments>
</file>

<file path=xl/comments4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到付USD404.81转预付2914.
</t>
        </r>
      </text>
    </comment>
    <comment ref="J6" authorId="0">
      <text>
        <r>
          <rPr>
            <sz val="9"/>
            <rFont val="宋体"/>
            <charset val="134"/>
          </rPr>
          <t xml:space="preserve">到付USD786.85转预付5586.
</t>
        </r>
      </text>
    </comment>
    <comment ref="J9" authorId="0">
      <text>
        <r>
          <rPr>
            <sz val="9"/>
            <rFont val="宋体"/>
            <charset val="134"/>
          </rPr>
          <t xml:space="preserve">到付USD305.2转预付2197.44.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到付USD105.73转预付778.
</t>
        </r>
      </text>
    </comment>
  </commentList>
</comments>
</file>

<file path=xl/sharedStrings.xml><?xml version="1.0" encoding="utf-8"?>
<sst xmlns="http://schemas.openxmlformats.org/spreadsheetml/2006/main" count="335" uniqueCount="79">
  <si>
    <t>2024年06月份LOS毛利表（海运）</t>
  </si>
  <si>
    <t>JOB</t>
  </si>
  <si>
    <t>集装编号 </t>
  </si>
  <si>
    <t>利润</t>
  </si>
  <si>
    <t>JOB060359</t>
  </si>
  <si>
    <t>COLL004009</t>
  </si>
  <si>
    <t>JOB060384</t>
  </si>
  <si>
    <t>COLL004033</t>
  </si>
  <si>
    <t>JOB060385</t>
  </si>
  <si>
    <t>COLL004034</t>
  </si>
  <si>
    <t>合计</t>
  </si>
  <si>
    <t>2024年06月份LOS毛利表（海运）-68</t>
  </si>
  <si>
    <t>运单编号 </t>
  </si>
  <si>
    <t>日期</t>
  </si>
  <si>
    <t>业务</t>
  </si>
  <si>
    <t>发货人 </t>
  </si>
  <si>
    <t>收货人 </t>
  </si>
  <si>
    <t>计费体积</t>
  </si>
  <si>
    <t>计费重量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</si>
  <si>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</si>
  <si>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</si>
  <si>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</si>
  <si>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</si>
  <si>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</si>
  <si>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</si>
  <si>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</si>
  <si>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</si>
  <si>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</si>
  <si>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</si>
  <si>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</si>
  <si>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</si>
  <si>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</si>
  <si>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</si>
  <si>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</si>
  <si>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运费+出口报关费</t>
  </si>
  <si>
    <t>提货费</t>
  </si>
  <si>
    <t>装卸费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</si>
  <si>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</si>
  <si>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</si>
  <si>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</si>
  <si>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</si>
  <si>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</si>
  <si>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</si>
  <si>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</si>
  <si>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 xml:space="preserve">Bella </t>
  </si>
  <si>
    <t>Bella Chan</t>
  </si>
  <si>
    <t>james</t>
  </si>
  <si>
    <t>智托（陆总代付）</t>
  </si>
  <si>
    <t>Sam.Pao</t>
  </si>
  <si>
    <t>MaiKaiNian</t>
  </si>
  <si>
    <t>朱小飞</t>
  </si>
  <si>
    <t>Isabel Zhu</t>
  </si>
  <si>
    <t>Halifa Success</t>
  </si>
  <si>
    <t>陆总</t>
  </si>
  <si>
    <t>Shirley</t>
  </si>
  <si>
    <t>LUZILONG</t>
  </si>
  <si>
    <t>Shuaibu musa</t>
  </si>
  <si>
    <t>黄颖</t>
  </si>
  <si>
    <t>ying</t>
  </si>
  <si>
    <t>Zhangqing</t>
  </si>
  <si>
    <t>华茂青松</t>
  </si>
  <si>
    <t>吕沛霖</t>
  </si>
  <si>
    <t>喵喵速运-Layne</t>
  </si>
  <si>
    <t>Abdulsheldu</t>
  </si>
  <si>
    <t>zhang jian fei</t>
  </si>
  <si>
    <t>Lilon</t>
  </si>
  <si>
    <t>JUNDA YU</t>
  </si>
  <si>
    <t>chuks</t>
  </si>
  <si>
    <t>Adindu</t>
  </si>
  <si>
    <t>SKY JET</t>
  </si>
  <si>
    <t>LuZhiLong</t>
  </si>
  <si>
    <t>Victor Nnamdi</t>
  </si>
  <si>
    <t>JunYue hotel</t>
  </si>
  <si>
    <t>Jiang Li</t>
  </si>
  <si>
    <t>赛捷</t>
  </si>
  <si>
    <t>Ife Oyelami</t>
  </si>
  <si>
    <t>Ka Ka 4分部</t>
  </si>
  <si>
    <t>PSL表</t>
  </si>
  <si>
    <t>体积cbm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</si>
</sst>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40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28" fillId="9" borderId="14" applyNumberFormat="0" applyAlignment="0" applyProtection="0">
      <alignment vertical="center"/>
    </xf>
    <xf numFmtId="0" fontId="29" fillId="9" borderId="13" applyNumberFormat="0" applyAlignment="0" applyProtection="0">
      <alignment vertical="center"/>
    </xf>
    <xf numFmtId="0" fontId="30" fillId="10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7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79" fontId="6" fillId="2" borderId="1" xfId="1" applyNumberFormat="1" applyFont="1" applyFill="1" applyBorder="1" applyAlignment="1">
      <alignment horizontal="center" vertical="center"/>
    </xf>
    <xf numFmtId="180" fontId="7" fillId="2" borderId="1" xfId="1" applyNumberFormat="1" applyFont="1" applyFill="1" applyBorder="1" applyAlignment="1">
      <alignment horizontal="center" vertical="center"/>
    </xf>
    <xf numFmtId="180" fontId="7" fillId="2" borderId="2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8" fontId="5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80" fontId="7" fillId="2" borderId="3" xfId="1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181" fontId="2" fillId="0" borderId="1" xfId="0" applyNumberFormat="1" applyFont="1" applyFill="1" applyBorder="1" applyAlignment="1">
      <alignment vertical="center"/>
    </xf>
    <xf numFmtId="58" fontId="2" fillId="0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58" fontId="2" fillId="3" borderId="1" xfId="0" applyNumberFormat="1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82" fontId="1" fillId="3" borderId="4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82" fontId="10" fillId="0" borderId="6" xfId="0" applyNumberFormat="1" applyFont="1" applyFill="1" applyBorder="1" applyAlignment="1">
      <alignment horizontal="right" vertical="center"/>
    </xf>
    <xf numFmtId="182" fontId="5" fillId="3" borderId="1" xfId="0" applyNumberFormat="1" applyFont="1" applyFill="1" applyBorder="1" applyAlignment="1">
      <alignment horizontal="right" vertical="center"/>
    </xf>
    <xf numFmtId="176" fontId="11" fillId="3" borderId="1" xfId="0" applyNumberFormat="1" applyFont="1" applyFill="1" applyBorder="1" applyAlignment="1">
      <alignment horizontal="center" vertical="center" wrapText="1"/>
    </xf>
    <xf numFmtId="177" fontId="11" fillId="3" borderId="1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0" fontId="12" fillId="3" borderId="1" xfId="0" applyNumberFormat="1" applyFont="1" applyFill="1" applyBorder="1" applyAlignment="1">
      <alignment horizontal="center" vertical="center"/>
    </xf>
    <xf numFmtId="182" fontId="13" fillId="0" borderId="1" xfId="0" applyNumberFormat="1" applyFont="1" applyFill="1" applyBorder="1" applyAlignment="1">
      <alignment horizontal="right" vertical="center"/>
    </xf>
    <xf numFmtId="182" fontId="14" fillId="2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7" fontId="8" fillId="2" borderId="1" xfId="0" applyNumberFormat="1" applyFont="1" applyFill="1" applyBorder="1" applyAlignment="1">
      <alignment vertical="center"/>
    </xf>
    <xf numFmtId="176" fontId="14" fillId="3" borderId="1" xfId="0" applyNumberFormat="1" applyFont="1" applyFill="1" applyBorder="1" applyAlignment="1">
      <alignment horizontal="center" vertical="center"/>
    </xf>
    <xf numFmtId="182" fontId="8" fillId="2" borderId="1" xfId="0" applyNumberFormat="1" applyFont="1" applyFill="1" applyBorder="1" applyAlignment="1">
      <alignment vertical="center"/>
    </xf>
    <xf numFmtId="7" fontId="8" fillId="2" borderId="1" xfId="0" applyNumberFormat="1" applyFont="1" applyFill="1" applyBorder="1" applyAlignment="1">
      <alignment vertical="center"/>
    </xf>
    <xf numFmtId="176" fontId="14" fillId="0" borderId="1" xfId="0" applyNumberFormat="1" applyFont="1" applyFill="1" applyBorder="1" applyAlignment="1">
      <alignment vertical="center"/>
    </xf>
    <xf numFmtId="177" fontId="14" fillId="2" borderId="1" xfId="0" applyNumberFormat="1" applyFont="1" applyFill="1" applyBorder="1" applyAlignment="1">
      <alignment vertical="center"/>
    </xf>
    <xf numFmtId="182" fontId="14" fillId="0" borderId="1" xfId="0" applyNumberFormat="1" applyFont="1" applyFill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7" fontId="15" fillId="0" borderId="0" xfId="0" applyNumberFormat="1" applyFont="1" applyFill="1" applyAlignment="1">
      <alignment horizontal="center" vertical="center"/>
    </xf>
    <xf numFmtId="182" fontId="1" fillId="4" borderId="2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82" fontId="5" fillId="5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82" fontId="5" fillId="0" borderId="5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82" fontId="12" fillId="0" borderId="7" xfId="0" applyNumberFormat="1" applyFont="1" applyFill="1" applyBorder="1" applyAlignment="1">
      <alignment horizontal="center" vertical="center" wrapText="1"/>
    </xf>
    <xf numFmtId="7" fontId="15" fillId="3" borderId="2" xfId="0" applyNumberFormat="1" applyFont="1" applyFill="1" applyBorder="1" applyAlignment="1">
      <alignment horizontal="center" vertical="center" wrapText="1"/>
    </xf>
    <xf numFmtId="182" fontId="1" fillId="4" borderId="3" xfId="0" applyNumberFormat="1" applyFont="1" applyFill="1" applyBorder="1" applyAlignment="1">
      <alignment horizontal="center" vertical="center"/>
    </xf>
    <xf numFmtId="183" fontId="16" fillId="5" borderId="1" xfId="4" applyNumberFormat="1" applyFont="1" applyFill="1" applyBorder="1" applyAlignment="1">
      <alignment horizontal="center" vertical="center"/>
    </xf>
    <xf numFmtId="182" fontId="13" fillId="5" borderId="1" xfId="4" applyNumberFormat="1" applyFont="1" applyFill="1" applyBorder="1" applyAlignment="1">
      <alignment horizontal="center" vertical="center"/>
    </xf>
    <xf numFmtId="183" fontId="13" fillId="0" borderId="1" xfId="4" applyNumberFormat="1" applyFont="1" applyFill="1" applyBorder="1" applyAlignment="1">
      <alignment horizontal="center" vertical="center"/>
    </xf>
    <xf numFmtId="182" fontId="13" fillId="0" borderId="1" xfId="4" applyNumberFormat="1" applyFont="1" applyFill="1" applyBorder="1" applyAlignment="1">
      <alignment horizontal="center" vertical="center"/>
    </xf>
    <xf numFmtId="182" fontId="12" fillId="0" borderId="8" xfId="0" applyNumberFormat="1" applyFont="1" applyFill="1" applyBorder="1" applyAlignment="1">
      <alignment horizontal="center" vertical="center" wrapText="1"/>
    </xf>
    <xf numFmtId="7" fontId="15" fillId="3" borderId="3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/>
    </xf>
    <xf numFmtId="182" fontId="8" fillId="0" borderId="1" xfId="0" applyNumberFormat="1" applyFont="1" applyFill="1" applyBorder="1" applyAlignment="1">
      <alignment vertical="center"/>
    </xf>
    <xf numFmtId="182" fontId="2" fillId="3" borderId="1" xfId="0" applyNumberFormat="1" applyFont="1" applyFill="1" applyBorder="1" applyAlignment="1">
      <alignment vertical="center"/>
    </xf>
    <xf numFmtId="182" fontId="2" fillId="0" borderId="1" xfId="0" applyNumberFormat="1" applyFont="1" applyFill="1" applyBorder="1" applyAlignment="1">
      <alignment vertical="center"/>
    </xf>
    <xf numFmtId="7" fontId="2" fillId="0" borderId="1" xfId="0" applyNumberFormat="1" applyFont="1" applyFill="1" applyBorder="1" applyAlignment="1">
      <alignment vertical="center"/>
    </xf>
    <xf numFmtId="7" fontId="2" fillId="0" borderId="1" xfId="0" applyNumberFormat="1" applyFont="1" applyBorder="1" applyAlignment="1">
      <alignment vertical="center"/>
    </xf>
    <xf numFmtId="177" fontId="12" fillId="3" borderId="1" xfId="0" applyNumberFormat="1" applyFont="1" applyFill="1" applyBorder="1" applyAlignment="1">
      <alignment horizontal="center" vertical="center"/>
    </xf>
    <xf numFmtId="176" fontId="12" fillId="3" borderId="1" xfId="0" applyNumberFormat="1" applyFont="1" applyFill="1" applyBorder="1" applyAlignment="1">
      <alignment horizontal="center" vertical="center"/>
    </xf>
    <xf numFmtId="182" fontId="12" fillId="4" borderId="2" xfId="0" applyNumberFormat="1" applyFont="1" applyFill="1" applyBorder="1" applyAlignment="1">
      <alignment horizontal="center" vertical="center"/>
    </xf>
    <xf numFmtId="182" fontId="1" fillId="6" borderId="2" xfId="0" applyNumberFormat="1" applyFont="1" applyFill="1" applyBorder="1" applyAlignment="1">
      <alignment horizontal="center" vertical="center"/>
    </xf>
    <xf numFmtId="177" fontId="17" fillId="3" borderId="1" xfId="0" applyNumberFormat="1" applyFont="1" applyFill="1" applyBorder="1" applyAlignment="1">
      <alignment vertical="center" wrapText="1"/>
    </xf>
    <xf numFmtId="177" fontId="12" fillId="3" borderId="1" xfId="0" applyNumberFormat="1" applyFont="1" applyFill="1" applyBorder="1" applyAlignment="1">
      <alignment horizontal="right" vertical="center"/>
    </xf>
    <xf numFmtId="176" fontId="15" fillId="3" borderId="1" xfId="0" applyNumberFormat="1" applyFont="1" applyFill="1" applyBorder="1" applyAlignment="1">
      <alignment horizontal="center" vertical="center"/>
    </xf>
    <xf numFmtId="182" fontId="12" fillId="3" borderId="1" xfId="0" applyNumberFormat="1" applyFont="1" applyFill="1" applyBorder="1" applyAlignment="1">
      <alignment horizontal="center" vertical="center"/>
    </xf>
    <xf numFmtId="182" fontId="12" fillId="4" borderId="1" xfId="0" applyNumberFormat="1" applyFont="1" applyFill="1" applyBorder="1" applyAlignment="1">
      <alignment horizontal="center" vertical="center"/>
    </xf>
    <xf numFmtId="182" fontId="1" fillId="6" borderId="9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vertical="center"/>
    </xf>
    <xf numFmtId="177" fontId="2" fillId="3" borderId="1" xfId="0" applyNumberFormat="1" applyFont="1" applyFill="1" applyBorder="1" applyAlignment="1">
      <alignment vertical="center"/>
    </xf>
    <xf numFmtId="182" fontId="0" fillId="0" borderId="1" xfId="0" applyNumberFormat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181" fontId="2" fillId="3" borderId="1" xfId="0" applyNumberFormat="1" applyFont="1" applyFill="1" applyBorder="1" applyAlignment="1">
      <alignment vertical="center"/>
    </xf>
    <xf numFmtId="182" fontId="14" fillId="3" borderId="1" xfId="0" applyNumberFormat="1" applyFont="1" applyFill="1" applyBorder="1" applyAlignment="1">
      <alignment vertical="center"/>
    </xf>
    <xf numFmtId="176" fontId="2" fillId="3" borderId="1" xfId="0" applyNumberFormat="1" applyFont="1" applyFill="1" applyBorder="1" applyAlignment="1">
      <alignment vertical="center"/>
    </xf>
    <xf numFmtId="177" fontId="8" fillId="3" borderId="1" xfId="0" applyNumberFormat="1" applyFont="1" applyFill="1" applyBorder="1" applyAlignment="1">
      <alignment vertical="center"/>
    </xf>
    <xf numFmtId="7" fontId="8" fillId="3" borderId="1" xfId="0" applyNumberFormat="1" applyFont="1" applyFill="1" applyBorder="1" applyAlignment="1">
      <alignment vertical="center"/>
    </xf>
    <xf numFmtId="182" fontId="8" fillId="3" borderId="1" xfId="0" applyNumberFormat="1" applyFont="1" applyFill="1" applyBorder="1" applyAlignment="1">
      <alignment vertical="center"/>
    </xf>
    <xf numFmtId="176" fontId="14" fillId="3" borderId="1" xfId="0" applyNumberFormat="1" applyFont="1" applyFill="1" applyBorder="1" applyAlignment="1">
      <alignment vertical="center"/>
    </xf>
    <xf numFmtId="177" fontId="14" fillId="3" borderId="1" xfId="0" applyNumberFormat="1" applyFont="1" applyFill="1" applyBorder="1" applyAlignment="1">
      <alignment vertical="center"/>
    </xf>
    <xf numFmtId="182" fontId="2" fillId="3" borderId="2" xfId="0" applyNumberFormat="1" applyFont="1" applyFill="1" applyBorder="1" applyAlignment="1">
      <alignment horizontal="center" vertical="center"/>
    </xf>
    <xf numFmtId="182" fontId="2" fillId="3" borderId="3" xfId="0" applyNumberFormat="1" applyFont="1" applyFill="1" applyBorder="1" applyAlignment="1">
      <alignment horizontal="center" vertical="center"/>
    </xf>
    <xf numFmtId="182" fontId="2" fillId="3" borderId="9" xfId="0" applyNumberFormat="1" applyFont="1" applyFill="1" applyBorder="1" applyAlignment="1">
      <alignment horizontal="center" vertical="center"/>
    </xf>
    <xf numFmtId="182" fontId="2" fillId="0" borderId="2" xfId="0" applyNumberFormat="1" applyFont="1" applyFill="1" applyBorder="1" applyAlignment="1">
      <alignment horizontal="center" vertical="center"/>
    </xf>
    <xf numFmtId="182" fontId="2" fillId="0" borderId="3" xfId="0" applyNumberFormat="1" applyFont="1" applyFill="1" applyBorder="1" applyAlignment="1">
      <alignment horizontal="center" vertical="center"/>
    </xf>
    <xf numFmtId="182" fontId="2" fillId="0" borderId="9" xfId="0" applyNumberFormat="1" applyFont="1" applyFill="1" applyBorder="1" applyAlignment="1">
      <alignment horizontal="center" vertical="center"/>
    </xf>
    <xf numFmtId="182" fontId="18" fillId="0" borderId="1" xfId="0" applyNumberFormat="1" applyFont="1" applyBorder="1" applyAlignment="1">
      <alignment vertical="center"/>
    </xf>
    <xf numFmtId="182" fontId="0" fillId="0" borderId="1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9"/>
  <sheetViews>
    <sheetView zoomScale="110" zoomScaleNormal="110" workbookViewId="0">
      <selection activeCell="C23" sqref="C23:C28"/>
    </sheetView>
  </sheetViews>
  <sheetFormatPr defaultColWidth="9" defaultRowHeight="13.5" outlineLevelCol="2"/>
  <cols>
    <col min="1" max="1" width="9.875" customWidth="1"/>
    <col min="2" max="2" width="11.625" customWidth="1"/>
    <col min="3" max="3" width="14.75"/>
  </cols>
  <sheetData>
    <row r="1" ht="31" customHeight="1" spans="1:3">
      <c r="A1" s="8" t="s">
        <v>0</v>
      </c>
      <c r="B1" s="8"/>
      <c r="C1" s="8"/>
    </row>
    <row r="2" s="1" customFormat="1" ht="23" customHeight="1" spans="1:3">
      <c r="A2" s="10" t="s">
        <v>1</v>
      </c>
      <c r="B2" s="11" t="s">
        <v>2</v>
      </c>
      <c r="C2" s="80" t="s">
        <v>3</v>
      </c>
    </row>
    <row r="3" s="1" customFormat="1" ht="27" customHeight="1" spans="1:3">
      <c r="A3" s="16"/>
      <c r="B3" s="17"/>
      <c r="C3" s="86"/>
    </row>
    <row r="4" customFormat="1" ht="8" customHeight="1" spans="1:3">
      <c r="A4" s="20" t="s">
        <v>4</v>
      </c>
      <c r="B4" s="21" t="s">
        <v>5</v>
      </c>
      <c r="C4" s="102">
        <f>SUM('JOB060359'!AF9)</f>
        <v>5373.69236633675</v>
      </c>
    </row>
    <row r="5" customFormat="1" ht="8" customHeight="1" spans="1:3">
      <c r="A5" s="20"/>
      <c r="B5" s="21"/>
      <c r="C5" s="103"/>
    </row>
    <row r="6" customFormat="1" ht="8" customHeight="1" spans="1:3">
      <c r="A6" s="20"/>
      <c r="B6" s="21"/>
      <c r="C6" s="103"/>
    </row>
    <row r="7" ht="8" customHeight="1" spans="1:3">
      <c r="A7" s="20"/>
      <c r="B7" s="21"/>
      <c r="C7" s="104"/>
    </row>
    <row r="8" ht="8" customHeight="1" spans="1:3">
      <c r="A8" s="20"/>
      <c r="B8" s="21"/>
      <c r="C8" s="104"/>
    </row>
    <row r="9" ht="8" customHeight="1" spans="1:3">
      <c r="A9" s="90" t="s">
        <v>6</v>
      </c>
      <c r="B9" s="24" t="s">
        <v>7</v>
      </c>
      <c r="C9" s="99">
        <f>SUM('JOB060384'!AF19)</f>
        <v>20271.9853014588</v>
      </c>
    </row>
    <row r="10" ht="8" customHeight="1" spans="1:3">
      <c r="A10" s="90"/>
      <c r="B10" s="24"/>
      <c r="C10" s="100"/>
    </row>
    <row r="11" ht="8" customHeight="1" spans="1:3">
      <c r="A11" s="90"/>
      <c r="B11" s="24"/>
      <c r="C11" s="100"/>
    </row>
    <row r="12" ht="8" customHeight="1" spans="1:3">
      <c r="A12" s="90"/>
      <c r="B12" s="24"/>
      <c r="C12" s="100"/>
    </row>
    <row r="13" ht="8" customHeight="1" spans="1:3">
      <c r="A13" s="90"/>
      <c r="B13" s="24"/>
      <c r="C13" s="100"/>
    </row>
    <row r="14" ht="8" customHeight="1" spans="1:3">
      <c r="A14" s="90"/>
      <c r="B14" s="24"/>
      <c r="C14" s="100"/>
    </row>
    <row r="15" ht="8" customHeight="1" spans="1:3">
      <c r="A15" s="90"/>
      <c r="B15" s="24"/>
      <c r="C15" s="100"/>
    </row>
    <row r="16" ht="8" customHeight="1" spans="1:3">
      <c r="A16" s="90"/>
      <c r="B16" s="24"/>
      <c r="C16" s="100"/>
    </row>
    <row r="17" ht="8" customHeight="1" spans="1:3">
      <c r="A17" s="90"/>
      <c r="B17" s="24"/>
      <c r="C17" s="100"/>
    </row>
    <row r="18" ht="8" customHeight="1" spans="1:3">
      <c r="A18" s="90"/>
      <c r="B18" s="24"/>
      <c r="C18" s="100"/>
    </row>
    <row r="19" ht="8" customHeight="1" spans="1:3">
      <c r="A19" s="90"/>
      <c r="B19" s="24"/>
      <c r="C19" s="100"/>
    </row>
    <row r="20" ht="8" customHeight="1" spans="1:3">
      <c r="A20" s="90"/>
      <c r="B20" s="24"/>
      <c r="C20" s="100"/>
    </row>
    <row r="21" ht="8" customHeight="1" spans="1:3">
      <c r="A21" s="90"/>
      <c r="B21" s="24"/>
      <c r="C21" s="100"/>
    </row>
    <row r="22" ht="8" customHeight="1" spans="1:3">
      <c r="A22" s="90"/>
      <c r="B22" s="24"/>
      <c r="C22" s="101"/>
    </row>
    <row r="23" ht="8" customHeight="1" spans="1:3">
      <c r="A23" s="20" t="s">
        <v>8</v>
      </c>
      <c r="B23" s="21" t="s">
        <v>9</v>
      </c>
      <c r="C23" s="71">
        <f>SUM('JOB060385'!AF11)</f>
        <v>5995.171</v>
      </c>
    </row>
    <row r="24" ht="8" customHeight="1" spans="1:3">
      <c r="A24" s="20"/>
      <c r="B24" s="21"/>
      <c r="C24" s="71"/>
    </row>
    <row r="25" ht="8" customHeight="1" spans="1:3">
      <c r="A25" s="20"/>
      <c r="B25" s="21"/>
      <c r="C25" s="71"/>
    </row>
    <row r="26" ht="8" customHeight="1" spans="1:3">
      <c r="A26" s="20"/>
      <c r="B26" s="21"/>
      <c r="C26" s="71"/>
    </row>
    <row r="27" ht="8" customHeight="1" spans="1:3">
      <c r="A27" s="20"/>
      <c r="B27" s="21"/>
      <c r="C27" s="71"/>
    </row>
    <row r="28" ht="8" customHeight="1" spans="1:3">
      <c r="A28" s="20"/>
      <c r="B28" s="21"/>
      <c r="C28" s="71"/>
    </row>
    <row r="29" spans="1:3">
      <c r="A29" s="26" t="s">
        <v>10</v>
      </c>
      <c r="B29" s="27"/>
      <c r="C29" s="89">
        <f>SUM(C4:C28)</f>
        <v>31640.8486677956</v>
      </c>
    </row>
  </sheetData>
  <autoFilter xmlns:etc="http://www.wps.cn/officeDocument/2017/etCustomData" ref="A2:C29" etc:filterBottomFollowUsedRange="0">
    <extLst/>
  </autoFilter>
  <mergeCells count="13">
    <mergeCell ref="A1:C1"/>
    <mergeCell ref="A2:A3"/>
    <mergeCell ref="A4:A8"/>
    <mergeCell ref="A9:A22"/>
    <mergeCell ref="A23:A28"/>
    <mergeCell ref="B2:B3"/>
    <mergeCell ref="B4:B8"/>
    <mergeCell ref="B9:B22"/>
    <mergeCell ref="B23:B28"/>
    <mergeCell ref="C2:C3"/>
    <mergeCell ref="C4:C8"/>
    <mergeCell ref="C9:C22"/>
    <mergeCell ref="C23:C28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1"/>
  <sheetViews>
    <sheetView tabSelected="1" zoomScale="110" zoomScaleNormal="110" workbookViewId="0">
      <pane xSplit="9" ySplit="2" topLeftCell="AA3" activePane="bottomRight" state="frozen"/>
      <selection/>
      <selection pane="topRight"/>
      <selection pane="bottomLeft"/>
      <selection pane="bottomRight" activeCell="AE32" sqref="AE32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4.4333333333333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75"/>
  </cols>
  <sheetData>
    <row r="1" ht="31" customHeight="1" spans="1:32">
      <c r="A1" s="8" t="s">
        <v>11</v>
      </c>
      <c r="B1" s="8"/>
      <c r="C1" s="8"/>
      <c r="D1" s="8"/>
      <c r="E1" s="8"/>
      <c r="F1" s="8"/>
      <c r="G1" s="8"/>
      <c r="H1" s="8"/>
      <c r="I1" s="8"/>
      <c r="J1" s="8"/>
      <c r="K1" s="28"/>
      <c r="L1" s="29"/>
      <c r="M1" s="28"/>
      <c r="N1" s="8"/>
      <c r="O1" s="30"/>
      <c r="P1" s="8"/>
      <c r="Q1" s="8"/>
      <c r="R1" s="8"/>
      <c r="S1" s="8"/>
      <c r="T1" s="53"/>
      <c r="U1" s="53"/>
      <c r="V1" s="54"/>
      <c r="W1" s="53"/>
      <c r="X1" s="55"/>
      <c r="Y1" s="29"/>
      <c r="Z1" s="29"/>
      <c r="AA1" s="29"/>
      <c r="AB1" s="29"/>
      <c r="AC1" s="28"/>
      <c r="AD1" s="29"/>
      <c r="AE1" s="8"/>
      <c r="AF1" s="8"/>
    </row>
    <row r="2" s="1" customFormat="1" ht="23" customHeight="1" spans="1:32">
      <c r="A2" s="10" t="s">
        <v>1</v>
      </c>
      <c r="B2" s="11" t="s">
        <v>2</v>
      </c>
      <c r="C2" s="12" t="s">
        <v>12</v>
      </c>
      <c r="D2" s="13" t="s">
        <v>13</v>
      </c>
      <c r="E2" s="14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31" t="s">
        <v>19</v>
      </c>
      <c r="K2" s="32"/>
      <c r="L2" s="33"/>
      <c r="M2" s="32"/>
      <c r="N2" s="33"/>
      <c r="O2" s="34"/>
      <c r="P2" s="35"/>
      <c r="Q2" s="56" t="s">
        <v>20</v>
      </c>
      <c r="R2" s="57" t="s">
        <v>21</v>
      </c>
      <c r="S2" s="58"/>
      <c r="T2" s="59"/>
      <c r="U2" s="60"/>
      <c r="V2" s="61"/>
      <c r="W2" s="62" t="s">
        <v>22</v>
      </c>
      <c r="X2" s="63" t="s">
        <v>23</v>
      </c>
      <c r="Y2" s="77" t="s">
        <v>24</v>
      </c>
      <c r="Z2" s="77"/>
      <c r="AA2" s="77"/>
      <c r="AB2" s="77"/>
      <c r="AC2" s="78"/>
      <c r="AD2" s="77"/>
      <c r="AE2" s="79" t="s">
        <v>25</v>
      </c>
      <c r="AF2" s="80" t="s">
        <v>3</v>
      </c>
    </row>
    <row r="3" s="1" customFormat="1" ht="27" customHeight="1" spans="1:32">
      <c r="A3" s="16"/>
      <c r="B3" s="17"/>
      <c r="C3" s="12"/>
      <c r="D3" s="13"/>
      <c r="E3" s="18"/>
      <c r="F3" s="19"/>
      <c r="G3" s="19"/>
      <c r="H3" s="19"/>
      <c r="I3" s="19"/>
      <c r="J3" s="36" t="s">
        <v>26</v>
      </c>
      <c r="K3" s="37" t="s">
        <v>27</v>
      </c>
      <c r="L3" s="38" t="s">
        <v>28</v>
      </c>
      <c r="M3" s="37" t="s">
        <v>29</v>
      </c>
      <c r="N3" s="39" t="s">
        <v>30</v>
      </c>
      <c r="O3" s="40" t="s">
        <v>31</v>
      </c>
      <c r="P3" s="41" t="s">
        <v>32</v>
      </c>
      <c r="Q3" s="64"/>
      <c r="R3" s="65" t="s">
        <v>33</v>
      </c>
      <c r="S3" s="66" t="s">
        <v>34</v>
      </c>
      <c r="T3" s="67" t="s">
        <v>35</v>
      </c>
      <c r="U3" s="68" t="s">
        <v>36</v>
      </c>
      <c r="V3" s="67" t="s">
        <v>37</v>
      </c>
      <c r="W3" s="69"/>
      <c r="X3" s="70"/>
      <c r="Y3" s="81" t="s">
        <v>38</v>
      </c>
      <c r="Z3" s="81" t="s">
        <v>39</v>
      </c>
      <c r="AA3" s="81" t="s">
        <v>40</v>
      </c>
      <c r="AB3" s="82" t="s">
        <v>41</v>
      </c>
      <c r="AC3" s="83" t="s">
        <v>42</v>
      </c>
      <c r="AD3" s="84" t="s">
        <v>32</v>
      </c>
      <c r="AE3" s="85" t="s">
        <v>43</v>
      </c>
      <c r="AF3" s="86"/>
    </row>
    <row r="4" s="2" customFormat="1" spans="1:32">
      <c r="A4" s="20" t="s">
        <v>4</v>
      </c>
      <c r="B4" s="21" t="s">
        <v>5</v>
      </c>
      <c r="C4" s="22">
        <v>240605000016</v>
      </c>
      <c r="D4" s="23">
        <v>45456</v>
      </c>
      <c r="E4" s="23" t="s">
        <v>44</v>
      </c>
      <c r="F4" s="21" t="s">
        <v>45</v>
      </c>
      <c r="G4" s="21" t="s">
        <v>46</v>
      </c>
      <c r="H4" s="21">
        <v>1.9688</v>
      </c>
      <c r="I4" s="21">
        <v>441</v>
      </c>
      <c r="J4" s="46"/>
      <c r="K4" s="43"/>
      <c r="L4" s="49">
        <v>807.21</v>
      </c>
      <c r="M4" s="45">
        <f>SUM(K4/N4)</f>
        <v>0</v>
      </c>
      <c r="N4" s="49">
        <v>807.21</v>
      </c>
      <c r="O4" s="21">
        <v>7.12</v>
      </c>
      <c r="P4" s="46">
        <f>SUM(N4*O4)</f>
        <v>5747.3352</v>
      </c>
      <c r="Q4" s="102">
        <f>SUM(P4:P8)</f>
        <v>36897.902176</v>
      </c>
      <c r="R4" s="102" t="s">
        <v>47</v>
      </c>
      <c r="S4" s="74">
        <f t="shared" ref="S4:S8" si="0">SUM(31274.1/13.666)*H4</f>
        <v>4505.52086052978</v>
      </c>
      <c r="T4" s="73">
        <f t="shared" ref="T4:T8" si="1">SUM(250/13.66)*H4</f>
        <v>36.0322108345534</v>
      </c>
      <c r="U4" s="74"/>
      <c r="V4" s="74"/>
      <c r="W4" s="74"/>
      <c r="X4" s="75">
        <f t="shared" ref="X4:X28" si="2">SUM(S4:W4)</f>
        <v>4541.55307136433</v>
      </c>
      <c r="Y4" s="87"/>
      <c r="Z4" s="87"/>
      <c r="AA4" s="87"/>
      <c r="AB4" s="87">
        <v>0</v>
      </c>
      <c r="AC4" s="43"/>
      <c r="AD4" s="74">
        <f t="shared" ref="AD4:AD28" si="3">SUM(AB4*AC4)</f>
        <v>0</v>
      </c>
      <c r="AE4" s="74">
        <f t="shared" ref="AE4:AE28" si="4">SUM(X4+AD4)</f>
        <v>4541.55307136433</v>
      </c>
      <c r="AF4" s="74">
        <f t="shared" ref="AF4:AF28" si="5">SUM(P4-AE4)</f>
        <v>1205.78212863567</v>
      </c>
    </row>
    <row r="5" s="2" customFormat="1" spans="1:32">
      <c r="A5" s="20"/>
      <c r="B5" s="21"/>
      <c r="C5" s="22">
        <v>240607000057</v>
      </c>
      <c r="D5" s="23">
        <v>45456</v>
      </c>
      <c r="E5" s="23" t="s">
        <v>48</v>
      </c>
      <c r="F5" s="21" t="s">
        <v>48</v>
      </c>
      <c r="G5" s="21" t="s">
        <v>49</v>
      </c>
      <c r="H5" s="21">
        <v>3.5715</v>
      </c>
      <c r="I5" s="21">
        <v>587</v>
      </c>
      <c r="J5" s="42">
        <v>9711.62</v>
      </c>
      <c r="K5" s="43"/>
      <c r="L5" s="44"/>
      <c r="M5" s="45"/>
      <c r="N5" s="44"/>
      <c r="O5" s="21"/>
      <c r="P5" s="46">
        <f t="shared" ref="P5:P7" si="6">SUBTOTAL(9,J5)</f>
        <v>9711.62</v>
      </c>
      <c r="Q5" s="103"/>
      <c r="R5" s="103"/>
      <c r="S5" s="74">
        <f t="shared" si="0"/>
        <v>8173.23636396897</v>
      </c>
      <c r="T5" s="73">
        <f t="shared" si="1"/>
        <v>65.3642020497804</v>
      </c>
      <c r="U5" s="74"/>
      <c r="V5" s="74"/>
      <c r="W5" s="74"/>
      <c r="X5" s="75">
        <f t="shared" si="2"/>
        <v>8238.60056601875</v>
      </c>
      <c r="Y5" s="87"/>
      <c r="Z5" s="87"/>
      <c r="AA5" s="87"/>
      <c r="AB5" s="87">
        <v>0</v>
      </c>
      <c r="AC5" s="43"/>
      <c r="AD5" s="74">
        <f t="shared" si="3"/>
        <v>0</v>
      </c>
      <c r="AE5" s="74">
        <f t="shared" si="4"/>
        <v>8238.60056601875</v>
      </c>
      <c r="AF5" s="74">
        <f t="shared" si="5"/>
        <v>1473.01943398125</v>
      </c>
    </row>
    <row r="6" s="2" customFormat="1" spans="1:32">
      <c r="A6" s="20"/>
      <c r="B6" s="21"/>
      <c r="C6" s="22">
        <v>240608000016</v>
      </c>
      <c r="D6" s="23">
        <v>45456</v>
      </c>
      <c r="E6" s="23" t="s">
        <v>50</v>
      </c>
      <c r="F6" s="21" t="s">
        <v>51</v>
      </c>
      <c r="G6" s="21" t="s">
        <v>52</v>
      </c>
      <c r="H6" s="21">
        <v>0.6486</v>
      </c>
      <c r="I6" s="21">
        <v>105</v>
      </c>
      <c r="J6" s="42">
        <v>1701.18</v>
      </c>
      <c r="K6" s="43"/>
      <c r="L6" s="44"/>
      <c r="M6" s="45"/>
      <c r="N6" s="44"/>
      <c r="O6" s="21"/>
      <c r="P6" s="46">
        <f t="shared" si="6"/>
        <v>1701.18</v>
      </c>
      <c r="Q6" s="103"/>
      <c r="R6" s="103"/>
      <c r="S6" s="74">
        <f t="shared" si="0"/>
        <v>1484.2954236792</v>
      </c>
      <c r="T6" s="73">
        <f t="shared" si="1"/>
        <v>11.8704245973646</v>
      </c>
      <c r="U6" s="74"/>
      <c r="V6" s="74"/>
      <c r="W6" s="74"/>
      <c r="X6" s="75">
        <f t="shared" si="2"/>
        <v>1496.16584827656</v>
      </c>
      <c r="Y6" s="87"/>
      <c r="Z6" s="87"/>
      <c r="AA6" s="87"/>
      <c r="AB6" s="87">
        <v>0</v>
      </c>
      <c r="AC6" s="43"/>
      <c r="AD6" s="74">
        <f t="shared" si="3"/>
        <v>0</v>
      </c>
      <c r="AE6" s="74">
        <f t="shared" si="4"/>
        <v>1496.16584827656</v>
      </c>
      <c r="AF6" s="74">
        <f t="shared" si="5"/>
        <v>205.014151723436</v>
      </c>
    </row>
    <row r="7" s="2" customFormat="1" spans="1:32">
      <c r="A7" s="20"/>
      <c r="B7" s="21"/>
      <c r="C7" s="22">
        <v>241031000031</v>
      </c>
      <c r="D7" s="23">
        <v>45456</v>
      </c>
      <c r="E7" s="23" t="s">
        <v>53</v>
      </c>
      <c r="F7" s="21" t="s">
        <v>54</v>
      </c>
      <c r="G7" s="21" t="s">
        <v>55</v>
      </c>
      <c r="H7" s="21">
        <v>4.4495</v>
      </c>
      <c r="I7" s="21">
        <v>795</v>
      </c>
      <c r="J7" s="42">
        <v>10251.65</v>
      </c>
      <c r="K7" s="48"/>
      <c r="L7" s="44"/>
      <c r="M7" s="45"/>
      <c r="N7" s="44"/>
      <c r="O7" s="21"/>
      <c r="P7" s="46">
        <f t="shared" si="6"/>
        <v>10251.65</v>
      </c>
      <c r="Q7" s="104"/>
      <c r="R7" s="104"/>
      <c r="S7" s="74">
        <f t="shared" si="0"/>
        <v>10182.5046063223</v>
      </c>
      <c r="T7" s="73">
        <f t="shared" si="1"/>
        <v>81.4330161054173</v>
      </c>
      <c r="U7" s="74"/>
      <c r="V7" s="74"/>
      <c r="W7" s="74"/>
      <c r="X7" s="75">
        <f t="shared" si="2"/>
        <v>10263.9376224277</v>
      </c>
      <c r="Y7" s="87"/>
      <c r="Z7" s="87"/>
      <c r="AA7" s="87"/>
      <c r="AB7" s="87">
        <v>0</v>
      </c>
      <c r="AC7" s="43"/>
      <c r="AD7" s="74">
        <f t="shared" si="3"/>
        <v>0</v>
      </c>
      <c r="AE7" s="74">
        <f t="shared" si="4"/>
        <v>10263.9376224277</v>
      </c>
      <c r="AF7" s="74">
        <f t="shared" si="5"/>
        <v>-12.287622427717</v>
      </c>
    </row>
    <row r="8" s="2" customFormat="1" spans="1:32">
      <c r="A8" s="20"/>
      <c r="B8" s="21"/>
      <c r="C8" s="22">
        <v>240611000023</v>
      </c>
      <c r="D8" s="23">
        <v>45456</v>
      </c>
      <c r="E8" s="23" t="s">
        <v>44</v>
      </c>
      <c r="F8" s="21" t="s">
        <v>45</v>
      </c>
      <c r="G8" s="21" t="s">
        <v>56</v>
      </c>
      <c r="H8" s="21">
        <v>3.0276</v>
      </c>
      <c r="I8" s="21">
        <v>667</v>
      </c>
      <c r="J8" s="46"/>
      <c r="K8" s="48">
        <v>2173116</v>
      </c>
      <c r="L8" s="44"/>
      <c r="M8" s="45">
        <f>SUM(K8/N8)</f>
        <v>1631.07686307747</v>
      </c>
      <c r="N8" s="49">
        <v>1332.3198</v>
      </c>
      <c r="O8" s="21">
        <v>7.12</v>
      </c>
      <c r="P8" s="46">
        <f>SUM(N8*O8)</f>
        <v>9486.116976</v>
      </c>
      <c r="Q8" s="104"/>
      <c r="R8" s="104"/>
      <c r="S8" s="74">
        <f t="shared" si="0"/>
        <v>6928.54274549978</v>
      </c>
      <c r="T8" s="73">
        <f t="shared" si="1"/>
        <v>55.4099560761347</v>
      </c>
      <c r="U8" s="74"/>
      <c r="V8" s="74"/>
      <c r="W8" s="74"/>
      <c r="X8" s="75">
        <f t="shared" si="2"/>
        <v>6983.95270157591</v>
      </c>
      <c r="Y8" s="87"/>
      <c r="Z8" s="87"/>
      <c r="AA8" s="87"/>
      <c r="AB8" s="87">
        <v>0</v>
      </c>
      <c r="AC8" s="43"/>
      <c r="AD8" s="74">
        <f t="shared" si="3"/>
        <v>0</v>
      </c>
      <c r="AE8" s="74">
        <f t="shared" si="4"/>
        <v>6983.95270157591</v>
      </c>
      <c r="AF8" s="74">
        <f t="shared" si="5"/>
        <v>2502.16427442408</v>
      </c>
    </row>
    <row r="9" s="2" customFormat="1" spans="1:32">
      <c r="A9" s="90" t="s">
        <v>6</v>
      </c>
      <c r="B9" s="24" t="s">
        <v>7</v>
      </c>
      <c r="C9" s="91">
        <v>240611000035</v>
      </c>
      <c r="D9" s="25">
        <v>45470</v>
      </c>
      <c r="E9" s="25" t="s">
        <v>57</v>
      </c>
      <c r="F9" s="24" t="s">
        <v>58</v>
      </c>
      <c r="G9" s="24" t="s">
        <v>59</v>
      </c>
      <c r="H9" s="24">
        <v>9.409</v>
      </c>
      <c r="I9" s="24">
        <v>4580</v>
      </c>
      <c r="J9" s="92">
        <v>30088</v>
      </c>
      <c r="K9" s="93"/>
      <c r="L9" s="94"/>
      <c r="M9" s="45"/>
      <c r="N9" s="94"/>
      <c r="O9" s="24"/>
      <c r="P9" s="95">
        <f>SUM(J9)</f>
        <v>30088</v>
      </c>
      <c r="Q9" s="99">
        <f>SUM(P9:P22)</f>
        <v>173903.6988</v>
      </c>
      <c r="R9" s="99" t="s">
        <v>60</v>
      </c>
      <c r="S9" s="73">
        <f>SUM(65426/68)*H9</f>
        <v>9052.84167647059</v>
      </c>
      <c r="T9" s="73">
        <f>SUM(533/68)*H9</f>
        <v>73.7499558823529</v>
      </c>
      <c r="U9" s="73">
        <f>SUM(850/68)*H9</f>
        <v>117.6125</v>
      </c>
      <c r="V9" s="73"/>
      <c r="W9" s="73"/>
      <c r="X9" s="75">
        <f t="shared" si="2"/>
        <v>9244.20413235294</v>
      </c>
      <c r="Y9" s="88">
        <f>SUM(10644.17/68)*H9</f>
        <v>1472.80875779412</v>
      </c>
      <c r="Z9" s="88"/>
      <c r="AA9" s="88">
        <f>SUM(43.56/68)*H9</f>
        <v>6.02729470588235</v>
      </c>
      <c r="AB9" s="88">
        <f t="shared" ref="AB9:AB28" si="7">SUM(Y9:AA9)</f>
        <v>1478.8360525</v>
      </c>
      <c r="AC9" s="93">
        <v>7.12</v>
      </c>
      <c r="AD9" s="73">
        <f t="shared" si="3"/>
        <v>10529.3126938</v>
      </c>
      <c r="AE9" s="74">
        <f t="shared" si="4"/>
        <v>19773.516826153</v>
      </c>
      <c r="AF9" s="74">
        <f t="shared" si="5"/>
        <v>10314.483173847</v>
      </c>
    </row>
    <row r="10" s="2" customFormat="1" spans="1:32">
      <c r="A10" s="90"/>
      <c r="B10" s="24"/>
      <c r="C10" s="91">
        <v>240617000014</v>
      </c>
      <c r="D10" s="25">
        <v>45470</v>
      </c>
      <c r="E10" s="25" t="s">
        <v>61</v>
      </c>
      <c r="F10" s="24" t="s">
        <v>62</v>
      </c>
      <c r="G10" s="24" t="s">
        <v>63</v>
      </c>
      <c r="H10" s="24">
        <v>0.3223</v>
      </c>
      <c r="I10" s="24">
        <v>145</v>
      </c>
      <c r="J10" s="96"/>
      <c r="K10" s="97">
        <v>282730</v>
      </c>
      <c r="L10" s="94"/>
      <c r="M10" s="45">
        <f>SUM(K10/N10)</f>
        <v>1744.49312025668</v>
      </c>
      <c r="N10" s="98">
        <v>162.07</v>
      </c>
      <c r="O10" s="24">
        <v>7.12</v>
      </c>
      <c r="P10" s="46">
        <f>SUM(N10*O10)</f>
        <v>1153.9384</v>
      </c>
      <c r="Q10" s="100"/>
      <c r="R10" s="100"/>
      <c r="S10" s="73">
        <f t="shared" ref="S10:S22" si="8">SUM(65426/68)*H10</f>
        <v>310.099997058823</v>
      </c>
      <c r="T10" s="73">
        <f t="shared" ref="T10:T22" si="9">SUM(533/68)*H10</f>
        <v>2.52626323529412</v>
      </c>
      <c r="U10" s="73">
        <f t="shared" ref="U10:U22" si="10">SUM(850/68)*H10</f>
        <v>4.02875</v>
      </c>
      <c r="V10" s="73"/>
      <c r="W10" s="73"/>
      <c r="X10" s="75">
        <f t="shared" si="2"/>
        <v>316.655010294118</v>
      </c>
      <c r="Y10" s="88">
        <f t="shared" ref="Y10:Y22" si="11">SUM(10644.17/68)*H10</f>
        <v>50.4502351617647</v>
      </c>
      <c r="Z10" s="88">
        <v>17.26</v>
      </c>
      <c r="AA10" s="88">
        <f t="shared" ref="AA10:AA22" si="12">SUM(43.56/68)*H10</f>
        <v>0.206461588235294</v>
      </c>
      <c r="AB10" s="88">
        <f t="shared" si="7"/>
        <v>67.91669675</v>
      </c>
      <c r="AC10" s="93">
        <v>7.12</v>
      </c>
      <c r="AD10" s="73">
        <f t="shared" si="3"/>
        <v>483.56688086</v>
      </c>
      <c r="AE10" s="74">
        <f t="shared" si="4"/>
        <v>800.221891154118</v>
      </c>
      <c r="AF10" s="74">
        <f t="shared" si="5"/>
        <v>353.716508845882</v>
      </c>
    </row>
    <row r="11" s="2" customFormat="1" spans="1:32">
      <c r="A11" s="90"/>
      <c r="B11" s="24"/>
      <c r="C11" s="91">
        <v>240617000031</v>
      </c>
      <c r="D11" s="25">
        <v>45470</v>
      </c>
      <c r="E11" s="23" t="s">
        <v>44</v>
      </c>
      <c r="F11" s="24" t="s">
        <v>45</v>
      </c>
      <c r="G11" s="24" t="s">
        <v>64</v>
      </c>
      <c r="H11" s="24">
        <v>1.883</v>
      </c>
      <c r="I11" s="24">
        <v>1442</v>
      </c>
      <c r="J11" s="92">
        <v>5247</v>
      </c>
      <c r="K11" s="93"/>
      <c r="L11" s="94"/>
      <c r="M11" s="45"/>
      <c r="N11" s="94"/>
      <c r="O11" s="24"/>
      <c r="P11" s="95">
        <f t="shared" ref="P11:P14" si="13">SUBTOTAL(9,J11)</f>
        <v>5247</v>
      </c>
      <c r="Q11" s="100"/>
      <c r="R11" s="100"/>
      <c r="S11" s="73">
        <f t="shared" si="8"/>
        <v>1811.72291176471</v>
      </c>
      <c r="T11" s="73">
        <f t="shared" si="9"/>
        <v>14.7593970588235</v>
      </c>
      <c r="U11" s="73">
        <f t="shared" si="10"/>
        <v>23.5375</v>
      </c>
      <c r="V11" s="73"/>
      <c r="W11" s="73"/>
      <c r="X11" s="75">
        <f t="shared" si="2"/>
        <v>1850.01980882353</v>
      </c>
      <c r="Y11" s="88">
        <f t="shared" si="11"/>
        <v>294.749589852941</v>
      </c>
      <c r="Z11" s="88">
        <v>5.56</v>
      </c>
      <c r="AA11" s="88">
        <f t="shared" si="12"/>
        <v>1.20622764705882</v>
      </c>
      <c r="AB11" s="88">
        <f t="shared" si="7"/>
        <v>301.5158175</v>
      </c>
      <c r="AC11" s="93">
        <v>7.12</v>
      </c>
      <c r="AD11" s="73">
        <f t="shared" si="3"/>
        <v>2146.7926206</v>
      </c>
      <c r="AE11" s="74">
        <f t="shared" si="4"/>
        <v>3996.81242942353</v>
      </c>
      <c r="AF11" s="74">
        <f t="shared" si="5"/>
        <v>1250.18757057647</v>
      </c>
    </row>
    <row r="12" s="2" customFormat="1" spans="1:32">
      <c r="A12" s="90"/>
      <c r="B12" s="24"/>
      <c r="C12" s="91">
        <v>240618000013</v>
      </c>
      <c r="D12" s="25">
        <v>45470</v>
      </c>
      <c r="E12" s="23" t="s">
        <v>50</v>
      </c>
      <c r="F12" s="24" t="s">
        <v>51</v>
      </c>
      <c r="G12" s="24" t="s">
        <v>65</v>
      </c>
      <c r="H12" s="24">
        <v>17.0878</v>
      </c>
      <c r="I12" s="24">
        <v>12818</v>
      </c>
      <c r="J12" s="92">
        <v>44822.88</v>
      </c>
      <c r="K12" s="93"/>
      <c r="L12" s="94"/>
      <c r="M12" s="45"/>
      <c r="N12" s="94"/>
      <c r="O12" s="24"/>
      <c r="P12" s="95">
        <f t="shared" si="13"/>
        <v>44822.88</v>
      </c>
      <c r="Q12" s="100"/>
      <c r="R12" s="100"/>
      <c r="S12" s="73">
        <f t="shared" si="8"/>
        <v>16440.9765117647</v>
      </c>
      <c r="T12" s="73">
        <f t="shared" si="9"/>
        <v>133.938197058824</v>
      </c>
      <c r="U12" s="73">
        <f t="shared" si="10"/>
        <v>213.5975</v>
      </c>
      <c r="V12" s="73"/>
      <c r="W12" s="73"/>
      <c r="X12" s="75">
        <f t="shared" si="2"/>
        <v>16788.5122088235</v>
      </c>
      <c r="Y12" s="88">
        <f t="shared" si="11"/>
        <v>2674.78600185294</v>
      </c>
      <c r="Z12" s="88"/>
      <c r="AA12" s="88">
        <f t="shared" si="12"/>
        <v>10.9462436470588</v>
      </c>
      <c r="AB12" s="88">
        <f t="shared" si="7"/>
        <v>2685.7322455</v>
      </c>
      <c r="AC12" s="93">
        <v>7.12</v>
      </c>
      <c r="AD12" s="73">
        <f t="shared" si="3"/>
        <v>19122.41358796</v>
      </c>
      <c r="AE12" s="74">
        <f t="shared" si="4"/>
        <v>35910.9257967835</v>
      </c>
      <c r="AF12" s="74">
        <f t="shared" si="5"/>
        <v>8911.9542032165</v>
      </c>
    </row>
    <row r="13" s="2" customFormat="1" spans="1:32">
      <c r="A13" s="90"/>
      <c r="B13" s="24"/>
      <c r="C13" s="91">
        <v>240619000002</v>
      </c>
      <c r="D13" s="25">
        <v>45470</v>
      </c>
      <c r="E13" s="23" t="s">
        <v>48</v>
      </c>
      <c r="F13" s="24" t="s">
        <v>48</v>
      </c>
      <c r="G13" s="24" t="s">
        <v>66</v>
      </c>
      <c r="H13" s="24">
        <v>4.1762</v>
      </c>
      <c r="I13" s="24">
        <v>308</v>
      </c>
      <c r="J13" s="92">
        <v>10081.3</v>
      </c>
      <c r="K13" s="93"/>
      <c r="L13" s="94"/>
      <c r="M13" s="45"/>
      <c r="N13" s="94"/>
      <c r="O13" s="24"/>
      <c r="P13" s="95">
        <f t="shared" si="13"/>
        <v>10081.3</v>
      </c>
      <c r="Q13" s="100"/>
      <c r="R13" s="100"/>
      <c r="S13" s="73">
        <f t="shared" si="8"/>
        <v>4018.11854705882</v>
      </c>
      <c r="T13" s="73">
        <f t="shared" si="9"/>
        <v>32.7340382352941</v>
      </c>
      <c r="U13" s="73">
        <f t="shared" si="10"/>
        <v>52.2025</v>
      </c>
      <c r="V13" s="73"/>
      <c r="W13" s="73"/>
      <c r="X13" s="75">
        <f t="shared" si="2"/>
        <v>4103.05508529412</v>
      </c>
      <c r="Y13" s="88">
        <f t="shared" si="11"/>
        <v>653.708569911765</v>
      </c>
      <c r="Z13" s="88"/>
      <c r="AA13" s="88">
        <f t="shared" si="12"/>
        <v>2.67522458823529</v>
      </c>
      <c r="AB13" s="88">
        <f t="shared" si="7"/>
        <v>656.3837945</v>
      </c>
      <c r="AC13" s="93">
        <v>7.12</v>
      </c>
      <c r="AD13" s="73">
        <f t="shared" si="3"/>
        <v>4673.45261684</v>
      </c>
      <c r="AE13" s="74">
        <f t="shared" si="4"/>
        <v>8776.50770213412</v>
      </c>
      <c r="AF13" s="74">
        <f t="shared" si="5"/>
        <v>1304.79229786588</v>
      </c>
    </row>
    <row r="14" s="2" customFormat="1" spans="1:32">
      <c r="A14" s="90"/>
      <c r="B14" s="24"/>
      <c r="C14" s="91">
        <v>240622000007</v>
      </c>
      <c r="D14" s="25">
        <v>45470</v>
      </c>
      <c r="E14" s="23" t="s">
        <v>48</v>
      </c>
      <c r="F14" s="24" t="s">
        <v>48</v>
      </c>
      <c r="G14" s="24" t="s">
        <v>49</v>
      </c>
      <c r="H14" s="24">
        <v>0.1344</v>
      </c>
      <c r="I14" s="24">
        <v>44</v>
      </c>
      <c r="J14" s="92">
        <v>426</v>
      </c>
      <c r="K14" s="93"/>
      <c r="L14" s="94"/>
      <c r="M14" s="45"/>
      <c r="N14" s="94"/>
      <c r="O14" s="24"/>
      <c r="P14" s="95">
        <f t="shared" si="13"/>
        <v>426</v>
      </c>
      <c r="Q14" s="100"/>
      <c r="R14" s="100"/>
      <c r="S14" s="73">
        <f t="shared" si="8"/>
        <v>129.312564705882</v>
      </c>
      <c r="T14" s="73">
        <f t="shared" si="9"/>
        <v>1.05345882352941</v>
      </c>
      <c r="U14" s="73">
        <f t="shared" si="10"/>
        <v>1.68</v>
      </c>
      <c r="V14" s="73"/>
      <c r="W14" s="73"/>
      <c r="X14" s="75">
        <f t="shared" si="2"/>
        <v>132.046023529412</v>
      </c>
      <c r="Y14" s="88">
        <f t="shared" si="11"/>
        <v>21.0378889411765</v>
      </c>
      <c r="Z14" s="88"/>
      <c r="AA14" s="88">
        <f t="shared" si="12"/>
        <v>0.0860950588235294</v>
      </c>
      <c r="AB14" s="88">
        <f t="shared" si="7"/>
        <v>21.123984</v>
      </c>
      <c r="AC14" s="93">
        <v>7.12</v>
      </c>
      <c r="AD14" s="73">
        <f t="shared" si="3"/>
        <v>150.40276608</v>
      </c>
      <c r="AE14" s="74">
        <f t="shared" si="4"/>
        <v>282.448789609412</v>
      </c>
      <c r="AF14" s="74">
        <f t="shared" si="5"/>
        <v>143.551210390588</v>
      </c>
    </row>
    <row r="15" s="2" customFormat="1" spans="1:32">
      <c r="A15" s="90"/>
      <c r="B15" s="24"/>
      <c r="C15" s="91">
        <v>240624000032</v>
      </c>
      <c r="D15" s="25">
        <v>45470</v>
      </c>
      <c r="E15" s="25" t="s">
        <v>57</v>
      </c>
      <c r="F15" s="24" t="s">
        <v>58</v>
      </c>
      <c r="G15" s="24" t="s">
        <v>67</v>
      </c>
      <c r="H15" s="24">
        <v>14.1194</v>
      </c>
      <c r="I15" s="24">
        <v>5232</v>
      </c>
      <c r="J15" s="92">
        <v>30090</v>
      </c>
      <c r="K15" s="93"/>
      <c r="L15" s="94"/>
      <c r="M15" s="45"/>
      <c r="N15" s="94"/>
      <c r="O15" s="24"/>
      <c r="P15" s="95">
        <f>SUM(J15)</f>
        <v>30090</v>
      </c>
      <c r="Q15" s="100"/>
      <c r="R15" s="100"/>
      <c r="S15" s="73">
        <f t="shared" si="8"/>
        <v>13584.9391823529</v>
      </c>
      <c r="T15" s="73">
        <f t="shared" si="9"/>
        <v>110.671179411765</v>
      </c>
      <c r="U15" s="73">
        <f t="shared" si="10"/>
        <v>176.4925</v>
      </c>
      <c r="V15" s="73"/>
      <c r="W15" s="73"/>
      <c r="X15" s="75">
        <f t="shared" si="2"/>
        <v>13872.1028617647</v>
      </c>
      <c r="Y15" s="88">
        <f t="shared" si="11"/>
        <v>2210.13667497059</v>
      </c>
      <c r="Z15" s="88"/>
      <c r="AA15" s="88">
        <f t="shared" si="12"/>
        <v>9.04472152941177</v>
      </c>
      <c r="AB15" s="88">
        <f t="shared" si="7"/>
        <v>2219.1813965</v>
      </c>
      <c r="AC15" s="93">
        <v>7.12</v>
      </c>
      <c r="AD15" s="73">
        <f t="shared" si="3"/>
        <v>15800.57154308</v>
      </c>
      <c r="AE15" s="74">
        <f t="shared" si="4"/>
        <v>29672.6744048447</v>
      </c>
      <c r="AF15" s="74">
        <f t="shared" si="5"/>
        <v>417.325595155289</v>
      </c>
    </row>
    <row r="16" s="2" customFormat="1" spans="1:32">
      <c r="A16" s="90"/>
      <c r="B16" s="24"/>
      <c r="C16" s="91">
        <v>240624000052</v>
      </c>
      <c r="D16" s="25">
        <v>45470</v>
      </c>
      <c r="E16" s="25" t="s">
        <v>57</v>
      </c>
      <c r="F16" s="24" t="s">
        <v>58</v>
      </c>
      <c r="G16" s="24" t="s">
        <v>68</v>
      </c>
      <c r="H16" s="24">
        <v>0.098</v>
      </c>
      <c r="I16" s="24">
        <v>5.56</v>
      </c>
      <c r="J16" s="96"/>
      <c r="K16" s="97">
        <v>69566</v>
      </c>
      <c r="L16" s="94"/>
      <c r="M16" s="45">
        <f>SUM(K16/N16)</f>
        <v>1639.93399339934</v>
      </c>
      <c r="N16" s="98">
        <v>42.42</v>
      </c>
      <c r="O16" s="24">
        <v>7.12</v>
      </c>
      <c r="P16" s="95">
        <f>SUM(N16*O16)</f>
        <v>302.0304</v>
      </c>
      <c r="Q16" s="100"/>
      <c r="R16" s="100"/>
      <c r="S16" s="73">
        <f t="shared" si="8"/>
        <v>94.2904117647059</v>
      </c>
      <c r="T16" s="73">
        <f t="shared" si="9"/>
        <v>0.768147058823529</v>
      </c>
      <c r="U16" s="73">
        <f t="shared" si="10"/>
        <v>1.225</v>
      </c>
      <c r="V16" s="73"/>
      <c r="W16" s="73"/>
      <c r="X16" s="75">
        <f t="shared" si="2"/>
        <v>96.2835588235294</v>
      </c>
      <c r="Y16" s="88">
        <f t="shared" si="11"/>
        <v>15.3401273529412</v>
      </c>
      <c r="Z16" s="88">
        <v>5.48</v>
      </c>
      <c r="AA16" s="88">
        <f t="shared" si="12"/>
        <v>0.0627776470588235</v>
      </c>
      <c r="AB16" s="88">
        <f t="shared" si="7"/>
        <v>20.882905</v>
      </c>
      <c r="AC16" s="93">
        <v>7.12</v>
      </c>
      <c r="AD16" s="73">
        <f t="shared" si="3"/>
        <v>148.6862836</v>
      </c>
      <c r="AE16" s="74">
        <f t="shared" si="4"/>
        <v>244.96984242353</v>
      </c>
      <c r="AF16" s="74">
        <f t="shared" si="5"/>
        <v>57.0605575764704</v>
      </c>
    </row>
    <row r="17" s="2" customFormat="1" spans="1:32">
      <c r="A17" s="90"/>
      <c r="B17" s="24"/>
      <c r="C17" s="91">
        <v>240625000041</v>
      </c>
      <c r="D17" s="25">
        <v>45470</v>
      </c>
      <c r="E17" s="23" t="s">
        <v>48</v>
      </c>
      <c r="F17" s="24" t="s">
        <v>48</v>
      </c>
      <c r="G17" s="24" t="s">
        <v>69</v>
      </c>
      <c r="H17" s="24">
        <v>19.56</v>
      </c>
      <c r="I17" s="24">
        <v>2429.25</v>
      </c>
      <c r="J17" s="92">
        <v>35563.01</v>
      </c>
      <c r="K17" s="93"/>
      <c r="L17" s="94"/>
      <c r="M17" s="45"/>
      <c r="N17" s="98"/>
      <c r="O17" s="24"/>
      <c r="P17" s="95">
        <f t="shared" ref="P17:P20" si="14">SUBTOTAL(9,J17)</f>
        <v>35563.01</v>
      </c>
      <c r="Q17" s="100"/>
      <c r="R17" s="100"/>
      <c r="S17" s="73">
        <f t="shared" si="8"/>
        <v>18819.5964705882</v>
      </c>
      <c r="T17" s="73">
        <f t="shared" si="9"/>
        <v>153.315882352941</v>
      </c>
      <c r="U17" s="73">
        <f t="shared" si="10"/>
        <v>244.5</v>
      </c>
      <c r="V17" s="73"/>
      <c r="W17" s="73"/>
      <c r="X17" s="75">
        <f t="shared" si="2"/>
        <v>19217.4123529412</v>
      </c>
      <c r="Y17" s="88">
        <f t="shared" si="11"/>
        <v>3061.76419411765</v>
      </c>
      <c r="Z17" s="88"/>
      <c r="AA17" s="88">
        <f t="shared" si="12"/>
        <v>12.5299058823529</v>
      </c>
      <c r="AB17" s="88">
        <f t="shared" si="7"/>
        <v>3074.2941</v>
      </c>
      <c r="AC17" s="93">
        <v>7.12</v>
      </c>
      <c r="AD17" s="73">
        <f t="shared" si="3"/>
        <v>21888.973992</v>
      </c>
      <c r="AE17" s="74">
        <f t="shared" si="4"/>
        <v>41106.3863449412</v>
      </c>
      <c r="AF17" s="74">
        <f t="shared" si="5"/>
        <v>-5543.37634494121</v>
      </c>
    </row>
    <row r="18" s="2" customFormat="1" spans="1:32">
      <c r="A18" s="90"/>
      <c r="B18" s="24"/>
      <c r="C18" s="91">
        <v>240626000037</v>
      </c>
      <c r="D18" s="25">
        <v>45470</v>
      </c>
      <c r="E18" s="23" t="s">
        <v>53</v>
      </c>
      <c r="F18" s="24" t="s">
        <v>48</v>
      </c>
      <c r="G18" s="24" t="s">
        <v>70</v>
      </c>
      <c r="H18" s="24">
        <v>0.9428</v>
      </c>
      <c r="I18" s="24">
        <v>188</v>
      </c>
      <c r="J18" s="92">
        <v>3034.1</v>
      </c>
      <c r="K18" s="93"/>
      <c r="L18" s="94"/>
      <c r="M18" s="45"/>
      <c r="N18" s="94"/>
      <c r="O18" s="24"/>
      <c r="P18" s="95">
        <f>SUM(J18)</f>
        <v>3034.1</v>
      </c>
      <c r="Q18" s="100"/>
      <c r="R18" s="100"/>
      <c r="S18" s="73">
        <f t="shared" si="8"/>
        <v>907.112247058824</v>
      </c>
      <c r="T18" s="73">
        <f t="shared" si="9"/>
        <v>7.38988823529412</v>
      </c>
      <c r="U18" s="73">
        <f t="shared" si="10"/>
        <v>11.785</v>
      </c>
      <c r="V18" s="73"/>
      <c r="W18" s="73"/>
      <c r="X18" s="75">
        <f t="shared" si="2"/>
        <v>926.287135294118</v>
      </c>
      <c r="Y18" s="88">
        <f t="shared" si="11"/>
        <v>147.578286411765</v>
      </c>
      <c r="Z18" s="88"/>
      <c r="AA18" s="88">
        <f t="shared" si="12"/>
        <v>0.603946588235294</v>
      </c>
      <c r="AB18" s="88">
        <f t="shared" si="7"/>
        <v>148.182233</v>
      </c>
      <c r="AC18" s="93">
        <v>7.12</v>
      </c>
      <c r="AD18" s="73">
        <f t="shared" si="3"/>
        <v>1055.05749896</v>
      </c>
      <c r="AE18" s="74">
        <f t="shared" si="4"/>
        <v>1981.34463425412</v>
      </c>
      <c r="AF18" s="74">
        <f t="shared" si="5"/>
        <v>1052.75536574588</v>
      </c>
    </row>
    <row r="19" s="2" customFormat="1" spans="1:32">
      <c r="A19" s="90"/>
      <c r="B19" s="24"/>
      <c r="C19" s="91">
        <v>240626000038</v>
      </c>
      <c r="D19" s="25">
        <v>45470</v>
      </c>
      <c r="E19" s="23" t="s">
        <v>53</v>
      </c>
      <c r="F19" s="24" t="s">
        <v>48</v>
      </c>
      <c r="G19" s="24" t="s">
        <v>70</v>
      </c>
      <c r="H19" s="24">
        <v>2.178</v>
      </c>
      <c r="I19" s="24">
        <v>178</v>
      </c>
      <c r="J19" s="92">
        <v>5331.74</v>
      </c>
      <c r="K19" s="93"/>
      <c r="L19" s="94"/>
      <c r="M19" s="45"/>
      <c r="N19" s="94"/>
      <c r="O19" s="24"/>
      <c r="P19" s="95">
        <f t="shared" si="14"/>
        <v>5331.74</v>
      </c>
      <c r="Q19" s="100"/>
      <c r="R19" s="100"/>
      <c r="S19" s="73">
        <f t="shared" si="8"/>
        <v>2095.55629411765</v>
      </c>
      <c r="T19" s="73">
        <f t="shared" si="9"/>
        <v>17.0716764705882</v>
      </c>
      <c r="U19" s="73">
        <f t="shared" si="10"/>
        <v>27.225</v>
      </c>
      <c r="V19" s="73"/>
      <c r="W19" s="73"/>
      <c r="X19" s="75">
        <f t="shared" si="2"/>
        <v>2139.85297058823</v>
      </c>
      <c r="Y19" s="88">
        <f t="shared" si="11"/>
        <v>340.926503823529</v>
      </c>
      <c r="Z19" s="88"/>
      <c r="AA19" s="88">
        <f t="shared" si="12"/>
        <v>1.39520117647059</v>
      </c>
      <c r="AB19" s="88">
        <f t="shared" si="7"/>
        <v>342.321705</v>
      </c>
      <c r="AC19" s="93">
        <v>7.12</v>
      </c>
      <c r="AD19" s="73">
        <f t="shared" si="3"/>
        <v>2437.3305396</v>
      </c>
      <c r="AE19" s="74">
        <f t="shared" si="4"/>
        <v>4577.18351018823</v>
      </c>
      <c r="AF19" s="74">
        <f t="shared" si="5"/>
        <v>754.556489811772</v>
      </c>
    </row>
    <row r="20" s="2" customFormat="1" spans="1:32">
      <c r="A20" s="90"/>
      <c r="B20" s="24"/>
      <c r="C20" s="91">
        <v>240626000039</v>
      </c>
      <c r="D20" s="25">
        <v>45470</v>
      </c>
      <c r="E20" s="23" t="s">
        <v>53</v>
      </c>
      <c r="F20" s="24" t="s">
        <v>48</v>
      </c>
      <c r="G20" s="24" t="s">
        <v>70</v>
      </c>
      <c r="H20" s="24">
        <v>1.1137</v>
      </c>
      <c r="I20" s="24">
        <v>719</v>
      </c>
      <c r="J20" s="92">
        <v>2807.28</v>
      </c>
      <c r="K20" s="93"/>
      <c r="L20" s="94"/>
      <c r="M20" s="45"/>
      <c r="N20" s="94"/>
      <c r="O20" s="24"/>
      <c r="P20" s="95">
        <f t="shared" si="14"/>
        <v>2807.28</v>
      </c>
      <c r="Q20" s="100"/>
      <c r="R20" s="100"/>
      <c r="S20" s="73">
        <f t="shared" si="8"/>
        <v>1071.54317941176</v>
      </c>
      <c r="T20" s="73">
        <f t="shared" si="9"/>
        <v>8.72944264705882</v>
      </c>
      <c r="U20" s="73">
        <f t="shared" si="10"/>
        <v>13.92125</v>
      </c>
      <c r="V20" s="73"/>
      <c r="W20" s="73"/>
      <c r="X20" s="75">
        <f t="shared" si="2"/>
        <v>1094.19387205882</v>
      </c>
      <c r="Y20" s="88">
        <f t="shared" si="11"/>
        <v>174.329590132353</v>
      </c>
      <c r="Z20" s="88"/>
      <c r="AA20" s="88">
        <f t="shared" si="12"/>
        <v>0.713423117647059</v>
      </c>
      <c r="AB20" s="88">
        <f t="shared" si="7"/>
        <v>175.04301325</v>
      </c>
      <c r="AC20" s="93">
        <v>7.12</v>
      </c>
      <c r="AD20" s="73">
        <f t="shared" si="3"/>
        <v>1246.30625434</v>
      </c>
      <c r="AE20" s="74">
        <f t="shared" si="4"/>
        <v>2340.50012639882</v>
      </c>
      <c r="AF20" s="74">
        <f t="shared" si="5"/>
        <v>466.77987360118</v>
      </c>
    </row>
    <row r="21" s="2" customFormat="1" spans="1:32">
      <c r="A21" s="90"/>
      <c r="B21" s="24"/>
      <c r="C21" s="91">
        <v>240627000004</v>
      </c>
      <c r="D21" s="25">
        <v>45470</v>
      </c>
      <c r="E21" s="23" t="s">
        <v>50</v>
      </c>
      <c r="F21" s="24" t="s">
        <v>51</v>
      </c>
      <c r="G21" s="24" t="s">
        <v>71</v>
      </c>
      <c r="H21" s="24">
        <v>1.0982</v>
      </c>
      <c r="I21" s="24">
        <v>111.44</v>
      </c>
      <c r="J21" s="96"/>
      <c r="K21" s="97">
        <v>649440</v>
      </c>
      <c r="L21" s="94"/>
      <c r="M21" s="45">
        <f>SUM(K21/N21)</f>
        <v>1640</v>
      </c>
      <c r="N21" s="98">
        <v>396</v>
      </c>
      <c r="O21" s="24">
        <v>7.12</v>
      </c>
      <c r="P21" s="95">
        <f>SUM(N21*O21)</f>
        <v>2819.52</v>
      </c>
      <c r="Q21" s="100"/>
      <c r="R21" s="100"/>
      <c r="S21" s="73">
        <f t="shared" si="8"/>
        <v>1056.6299</v>
      </c>
      <c r="T21" s="73">
        <f t="shared" si="9"/>
        <v>8.60795</v>
      </c>
      <c r="U21" s="73">
        <f t="shared" si="10"/>
        <v>13.7275</v>
      </c>
      <c r="V21" s="73"/>
      <c r="W21" s="73"/>
      <c r="X21" s="75">
        <f t="shared" si="2"/>
        <v>1078.96535</v>
      </c>
      <c r="Y21" s="88">
        <f t="shared" si="11"/>
        <v>171.9033455</v>
      </c>
      <c r="Z21" s="88"/>
      <c r="AA21" s="88">
        <f t="shared" si="12"/>
        <v>0.703494</v>
      </c>
      <c r="AB21" s="88">
        <f t="shared" si="7"/>
        <v>172.6068395</v>
      </c>
      <c r="AC21" s="93">
        <v>7.12</v>
      </c>
      <c r="AD21" s="73">
        <f t="shared" si="3"/>
        <v>1228.96069724</v>
      </c>
      <c r="AE21" s="74">
        <f t="shared" si="4"/>
        <v>2307.92604724</v>
      </c>
      <c r="AF21" s="74">
        <f t="shared" si="5"/>
        <v>511.59395276</v>
      </c>
    </row>
    <row r="22" s="2" customFormat="1" spans="1:32">
      <c r="A22" s="90"/>
      <c r="B22" s="24"/>
      <c r="C22" s="91">
        <v>240627000022</v>
      </c>
      <c r="D22" s="25">
        <v>45470</v>
      </c>
      <c r="E22" s="23" t="s">
        <v>48</v>
      </c>
      <c r="F22" s="24" t="s">
        <v>48</v>
      </c>
      <c r="G22" s="24" t="s">
        <v>72</v>
      </c>
      <c r="H22" s="24">
        <v>0.8852</v>
      </c>
      <c r="I22" s="24">
        <v>140.4</v>
      </c>
      <c r="J22" s="92">
        <v>2136.9</v>
      </c>
      <c r="K22" s="93"/>
      <c r="L22" s="94"/>
      <c r="M22" s="45"/>
      <c r="N22" s="94"/>
      <c r="O22" s="24"/>
      <c r="P22" s="95">
        <f t="shared" ref="P22:P24" si="15">SUBTOTAL(9,J22)</f>
        <v>2136.9</v>
      </c>
      <c r="Q22" s="101"/>
      <c r="R22" s="101"/>
      <c r="S22" s="73">
        <f t="shared" si="8"/>
        <v>851.692576470588</v>
      </c>
      <c r="T22" s="73">
        <f t="shared" si="9"/>
        <v>6.93840588235294</v>
      </c>
      <c r="U22" s="73">
        <f t="shared" si="10"/>
        <v>11.065</v>
      </c>
      <c r="V22" s="73"/>
      <c r="W22" s="73"/>
      <c r="X22" s="75">
        <f t="shared" si="2"/>
        <v>869.695982352941</v>
      </c>
      <c r="Y22" s="88">
        <f t="shared" si="11"/>
        <v>138.562048294118</v>
      </c>
      <c r="Z22" s="88"/>
      <c r="AA22" s="88">
        <f t="shared" si="12"/>
        <v>0.567048705882353</v>
      </c>
      <c r="AB22" s="88">
        <f t="shared" si="7"/>
        <v>139.129097</v>
      </c>
      <c r="AC22" s="93">
        <v>7.12</v>
      </c>
      <c r="AD22" s="73">
        <f t="shared" si="3"/>
        <v>990.599170640002</v>
      </c>
      <c r="AE22" s="74">
        <f t="shared" si="4"/>
        <v>1860.29515299294</v>
      </c>
      <c r="AF22" s="74">
        <f t="shared" si="5"/>
        <v>276.604847007057</v>
      </c>
    </row>
    <row r="23" s="2" customFormat="1" spans="1:32">
      <c r="A23" s="20" t="s">
        <v>8</v>
      </c>
      <c r="B23" s="21" t="s">
        <v>9</v>
      </c>
      <c r="C23" s="22">
        <v>240619000007</v>
      </c>
      <c r="D23" s="23">
        <v>45471</v>
      </c>
      <c r="E23" s="23" t="s">
        <v>50</v>
      </c>
      <c r="F23" s="21" t="s">
        <v>51</v>
      </c>
      <c r="G23" s="21" t="s">
        <v>73</v>
      </c>
      <c r="H23" s="24">
        <v>0.917</v>
      </c>
      <c r="I23" s="24">
        <v>510</v>
      </c>
      <c r="J23" s="42">
        <v>2914</v>
      </c>
      <c r="K23" s="43"/>
      <c r="L23" s="44"/>
      <c r="M23" s="45"/>
      <c r="N23" s="44"/>
      <c r="O23" s="21"/>
      <c r="P23" s="46">
        <f t="shared" si="15"/>
        <v>2914</v>
      </c>
      <c r="Q23" s="71">
        <f>SUM(P23:P28)</f>
        <v>28646.262</v>
      </c>
      <c r="R23" s="71" t="s">
        <v>74</v>
      </c>
      <c r="S23" s="72">
        <f t="shared" ref="S23:S28" si="16">SUM(20340/9.8997)*H23</f>
        <v>1884.07527500833</v>
      </c>
      <c r="T23" s="73">
        <f t="shared" ref="T23:T28" si="17">SUM(215.1/9.8997)*H23</f>
        <v>19.9245128640262</v>
      </c>
      <c r="U23" s="74"/>
      <c r="V23" s="74"/>
      <c r="W23" s="74"/>
      <c r="X23" s="75">
        <f t="shared" si="2"/>
        <v>1903.99978787236</v>
      </c>
      <c r="Y23" s="87">
        <f t="shared" ref="Y23:Y28" si="18">SUM(221.6/9.8997)*H23</f>
        <v>20.5266018162167</v>
      </c>
      <c r="Z23" s="87">
        <v>73.61</v>
      </c>
      <c r="AA23" s="87"/>
      <c r="AB23" s="88">
        <f t="shared" si="7"/>
        <v>94.1366018162167</v>
      </c>
      <c r="AC23" s="43">
        <v>7.1</v>
      </c>
      <c r="AD23" s="73">
        <f t="shared" si="3"/>
        <v>668.369872895139</v>
      </c>
      <c r="AE23" s="74">
        <f t="shared" si="4"/>
        <v>2572.3696607675</v>
      </c>
      <c r="AF23" s="74">
        <f t="shared" si="5"/>
        <v>341.630339232502</v>
      </c>
    </row>
    <row r="24" s="2" customFormat="1" spans="1:32">
      <c r="A24" s="20"/>
      <c r="B24" s="21"/>
      <c r="C24" s="22">
        <v>240617000031</v>
      </c>
      <c r="D24" s="23">
        <v>45470</v>
      </c>
      <c r="E24" s="23" t="s">
        <v>44</v>
      </c>
      <c r="F24" s="21" t="s">
        <v>45</v>
      </c>
      <c r="G24" s="21" t="s">
        <v>64</v>
      </c>
      <c r="H24" s="24">
        <v>0.1218</v>
      </c>
      <c r="I24" s="24">
        <v>88</v>
      </c>
      <c r="J24" s="42">
        <v>339</v>
      </c>
      <c r="K24" s="43"/>
      <c r="L24" s="44"/>
      <c r="M24" s="45"/>
      <c r="N24" s="44"/>
      <c r="O24" s="21"/>
      <c r="P24" s="47">
        <f t="shared" si="15"/>
        <v>339</v>
      </c>
      <c r="Q24" s="71"/>
      <c r="R24" s="71"/>
      <c r="S24" s="72">
        <f t="shared" si="16"/>
        <v>250.251219733931</v>
      </c>
      <c r="T24" s="73">
        <f t="shared" si="17"/>
        <v>2.64646201400042</v>
      </c>
      <c r="U24" s="74"/>
      <c r="V24" s="74"/>
      <c r="W24" s="74"/>
      <c r="X24" s="75">
        <f t="shared" si="2"/>
        <v>252.897681747931</v>
      </c>
      <c r="Y24" s="87">
        <f t="shared" si="18"/>
        <v>2.72643413436771</v>
      </c>
      <c r="Z24" s="87"/>
      <c r="AA24" s="87"/>
      <c r="AB24" s="88">
        <f t="shared" si="7"/>
        <v>2.72643413436771</v>
      </c>
      <c r="AC24" s="43">
        <v>7.1</v>
      </c>
      <c r="AD24" s="73">
        <f t="shared" si="3"/>
        <v>19.3576823540107</v>
      </c>
      <c r="AE24" s="74">
        <f t="shared" si="4"/>
        <v>272.255364101942</v>
      </c>
      <c r="AF24" s="74">
        <f t="shared" si="5"/>
        <v>66.7446358980583</v>
      </c>
    </row>
    <row r="25" s="2" customFormat="1" spans="1:32">
      <c r="A25" s="20"/>
      <c r="B25" s="21"/>
      <c r="C25" s="22">
        <v>240626000021</v>
      </c>
      <c r="D25" s="23">
        <v>45470</v>
      </c>
      <c r="E25" s="23" t="s">
        <v>50</v>
      </c>
      <c r="F25" s="21" t="s">
        <v>51</v>
      </c>
      <c r="G25" s="21" t="s">
        <v>75</v>
      </c>
      <c r="H25" s="24">
        <v>0.5044</v>
      </c>
      <c r="I25" s="24">
        <v>54.9</v>
      </c>
      <c r="J25" s="46"/>
      <c r="K25" s="48">
        <v>311202</v>
      </c>
      <c r="L25" s="44"/>
      <c r="M25" s="45">
        <f>SUM(K25/N25)</f>
        <v>1695</v>
      </c>
      <c r="N25" s="49">
        <v>183.6</v>
      </c>
      <c r="O25" s="21">
        <v>7.12</v>
      </c>
      <c r="P25" s="47">
        <f>SUM(N25*O25)</f>
        <v>1307.232</v>
      </c>
      <c r="Q25" s="71"/>
      <c r="R25" s="71"/>
      <c r="S25" s="72">
        <f t="shared" si="16"/>
        <v>1036.34413164035</v>
      </c>
      <c r="T25" s="73">
        <f t="shared" si="17"/>
        <v>10.9595684717719</v>
      </c>
      <c r="U25" s="74"/>
      <c r="V25" s="74"/>
      <c r="W25" s="74"/>
      <c r="X25" s="75">
        <f t="shared" si="2"/>
        <v>1047.30370011212</v>
      </c>
      <c r="Y25" s="87">
        <f t="shared" si="18"/>
        <v>11.2907502247543</v>
      </c>
      <c r="Z25" s="87"/>
      <c r="AA25" s="87"/>
      <c r="AB25" s="88">
        <f t="shared" si="7"/>
        <v>11.2907502247543</v>
      </c>
      <c r="AC25" s="43">
        <v>7.1</v>
      </c>
      <c r="AD25" s="73">
        <f t="shared" si="3"/>
        <v>80.1643265957555</v>
      </c>
      <c r="AE25" s="74">
        <f t="shared" si="4"/>
        <v>1127.46802670788</v>
      </c>
      <c r="AF25" s="74">
        <f t="shared" si="5"/>
        <v>179.763973292125</v>
      </c>
    </row>
    <row r="26" s="2" customFormat="1" spans="1:32">
      <c r="A26" s="20"/>
      <c r="B26" s="21"/>
      <c r="C26" s="22">
        <v>240621000002</v>
      </c>
      <c r="D26" s="23">
        <v>45470</v>
      </c>
      <c r="E26" s="25" t="s">
        <v>61</v>
      </c>
      <c r="F26" s="21" t="s">
        <v>62</v>
      </c>
      <c r="G26" s="21" t="s">
        <v>76</v>
      </c>
      <c r="H26" s="24">
        <v>7.215</v>
      </c>
      <c r="I26" s="24">
        <v>975</v>
      </c>
      <c r="J26" s="50">
        <v>21110.59</v>
      </c>
      <c r="K26" s="43"/>
      <c r="L26" s="44"/>
      <c r="M26" s="45"/>
      <c r="N26" s="44"/>
      <c r="O26" s="21"/>
      <c r="P26" s="47">
        <f>SUM(J26)</f>
        <v>21110.59</v>
      </c>
      <c r="Q26" s="71"/>
      <c r="R26" s="71"/>
      <c r="S26" s="72">
        <f t="shared" si="16"/>
        <v>14823.994666505</v>
      </c>
      <c r="T26" s="73">
        <f t="shared" si="17"/>
        <v>156.767023243129</v>
      </c>
      <c r="U26" s="74"/>
      <c r="V26" s="74"/>
      <c r="W26" s="74"/>
      <c r="X26" s="75">
        <f t="shared" si="2"/>
        <v>14980.7616897481</v>
      </c>
      <c r="Y26" s="87">
        <f t="shared" si="18"/>
        <v>161.504288008728</v>
      </c>
      <c r="Z26" s="87"/>
      <c r="AA26" s="87"/>
      <c r="AB26" s="88">
        <f t="shared" si="7"/>
        <v>161.504288008728</v>
      </c>
      <c r="AC26" s="43">
        <v>7.1</v>
      </c>
      <c r="AD26" s="73">
        <f t="shared" si="3"/>
        <v>1146.68044486197</v>
      </c>
      <c r="AE26" s="74">
        <f t="shared" si="4"/>
        <v>16127.4421346101</v>
      </c>
      <c r="AF26" s="74">
        <f t="shared" si="5"/>
        <v>4983.14786538993</v>
      </c>
    </row>
    <row r="27" s="2" customFormat="1" spans="1:32">
      <c r="A27" s="20"/>
      <c r="B27" s="21"/>
      <c r="C27" s="22">
        <v>240625000038</v>
      </c>
      <c r="D27" s="23">
        <v>45471</v>
      </c>
      <c r="E27" s="23" t="s">
        <v>48</v>
      </c>
      <c r="F27" s="21" t="s">
        <v>48</v>
      </c>
      <c r="G27" s="21" t="s">
        <v>49</v>
      </c>
      <c r="H27" s="24">
        <v>0.8478</v>
      </c>
      <c r="I27" s="24">
        <v>220</v>
      </c>
      <c r="J27" s="42">
        <v>2197.44</v>
      </c>
      <c r="K27" s="43"/>
      <c r="L27" s="44"/>
      <c r="M27" s="45"/>
      <c r="N27" s="44"/>
      <c r="O27" s="21"/>
      <c r="P27" s="46">
        <f>SUBTOTAL(9,J27)</f>
        <v>2197.44</v>
      </c>
      <c r="Q27" s="71"/>
      <c r="R27" s="71"/>
      <c r="S27" s="72">
        <f t="shared" si="16"/>
        <v>1741.89642110367</v>
      </c>
      <c r="T27" s="73">
        <f t="shared" si="17"/>
        <v>18.4209400284857</v>
      </c>
      <c r="U27" s="74"/>
      <c r="V27" s="74"/>
      <c r="W27" s="74"/>
      <c r="X27" s="75">
        <f t="shared" si="2"/>
        <v>1760.31736113216</v>
      </c>
      <c r="Y27" s="87">
        <f t="shared" si="18"/>
        <v>18.9775932604018</v>
      </c>
      <c r="Z27" s="87"/>
      <c r="AA27" s="87"/>
      <c r="AB27" s="88">
        <f t="shared" si="7"/>
        <v>18.9775932604018</v>
      </c>
      <c r="AC27" s="43">
        <v>7.1</v>
      </c>
      <c r="AD27" s="73">
        <f t="shared" si="3"/>
        <v>134.740912148853</v>
      </c>
      <c r="AE27" s="74">
        <f t="shared" si="4"/>
        <v>1895.05827328101</v>
      </c>
      <c r="AF27" s="74">
        <f t="shared" si="5"/>
        <v>302.381726718987</v>
      </c>
    </row>
    <row r="28" s="2" customFormat="1" spans="1:32">
      <c r="A28" s="20"/>
      <c r="B28" s="21"/>
      <c r="C28" s="22">
        <v>240627000005</v>
      </c>
      <c r="D28" s="23">
        <v>45471</v>
      </c>
      <c r="E28" s="23" t="s">
        <v>50</v>
      </c>
      <c r="F28" s="21" t="s">
        <v>51</v>
      </c>
      <c r="G28" s="21" t="s">
        <v>73</v>
      </c>
      <c r="H28" s="24">
        <v>0.2937</v>
      </c>
      <c r="I28" s="24">
        <v>24</v>
      </c>
      <c r="J28" s="42">
        <v>778</v>
      </c>
      <c r="K28" s="43"/>
      <c r="L28" s="44"/>
      <c r="M28" s="45"/>
      <c r="N28" s="44"/>
      <c r="O28" s="21"/>
      <c r="P28" s="46">
        <f>SUBTOTAL(9,J28)</f>
        <v>778</v>
      </c>
      <c r="Q28" s="71"/>
      <c r="R28" s="71"/>
      <c r="S28" s="72">
        <f t="shared" si="16"/>
        <v>603.438286008667</v>
      </c>
      <c r="T28" s="73">
        <f t="shared" si="17"/>
        <v>6.38149337858723</v>
      </c>
      <c r="U28" s="74"/>
      <c r="V28" s="74"/>
      <c r="W28" s="74"/>
      <c r="X28" s="75">
        <f t="shared" si="2"/>
        <v>609.819779387254</v>
      </c>
      <c r="Y28" s="87">
        <f t="shared" si="18"/>
        <v>6.57433255553199</v>
      </c>
      <c r="Z28" s="87"/>
      <c r="AA28" s="87"/>
      <c r="AB28" s="88">
        <f t="shared" si="7"/>
        <v>6.57433255553199</v>
      </c>
      <c r="AC28" s="43">
        <v>7.1</v>
      </c>
      <c r="AD28" s="73">
        <f t="shared" si="3"/>
        <v>46.6777611442771</v>
      </c>
      <c r="AE28" s="74">
        <f t="shared" si="4"/>
        <v>656.497540531531</v>
      </c>
      <c r="AF28" s="74">
        <f t="shared" si="5"/>
        <v>121.502459468469</v>
      </c>
    </row>
    <row r="29" customFormat="1" spans="1:32">
      <c r="A29" s="26" t="s">
        <v>10</v>
      </c>
      <c r="B29" s="27"/>
      <c r="C29" s="27"/>
      <c r="D29" s="27"/>
      <c r="E29" s="27"/>
      <c r="F29" s="27"/>
      <c r="G29" s="27"/>
      <c r="H29" s="27"/>
      <c r="I29" s="27"/>
      <c r="J29" s="27">
        <f>SUM(J3:J3)</f>
        <v>0</v>
      </c>
      <c r="K29" s="51"/>
      <c r="L29" s="52"/>
      <c r="M29" s="51"/>
      <c r="N29" s="51">
        <f t="shared" ref="N29:Q29" si="19">SUM(N3:N3)</f>
        <v>0</v>
      </c>
      <c r="O29" s="27"/>
      <c r="P29" s="27">
        <f t="shared" si="19"/>
        <v>0</v>
      </c>
      <c r="Q29" s="105">
        <f>SUM(Q4:Q28)</f>
        <v>239447.862976</v>
      </c>
      <c r="R29" s="27"/>
      <c r="S29" s="27"/>
      <c r="T29" s="27"/>
      <c r="U29" s="27"/>
      <c r="V29" s="27"/>
      <c r="W29" s="27"/>
      <c r="X29" s="76">
        <f>SUM(X3:X3)</f>
        <v>0</v>
      </c>
      <c r="Y29" s="52"/>
      <c r="Z29" s="52"/>
      <c r="AA29" s="52"/>
      <c r="AB29" s="52"/>
      <c r="AC29" s="51"/>
      <c r="AD29" s="27"/>
      <c r="AE29" s="106">
        <f>SUM(AE4:AE28)</f>
        <v>207807.014308204</v>
      </c>
      <c r="AF29" s="89">
        <f>SUM(AF3:AF28)</f>
        <v>31640.8486677956</v>
      </c>
    </row>
    <row r="30" customFormat="1" spans="4:29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</row>
    <row r="31" customFormat="1" spans="4:29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</row>
  </sheetData>
  <autoFilter xmlns:etc="http://www.wps.cn/officeDocument/2017/etCustomData" ref="A2:AF29" etc:filterBottomFollowUsedRange="0">
    <extLst/>
  </autoFilter>
  <mergeCells count="29">
    <mergeCell ref="A1:AF1"/>
    <mergeCell ref="J2:P2"/>
    <mergeCell ref="R2:V2"/>
    <mergeCell ref="Y2:AD2"/>
    <mergeCell ref="A2:A3"/>
    <mergeCell ref="A4:A8"/>
    <mergeCell ref="A9:A22"/>
    <mergeCell ref="A23:A28"/>
    <mergeCell ref="B2:B3"/>
    <mergeCell ref="B4:B8"/>
    <mergeCell ref="B9:B22"/>
    <mergeCell ref="B23:B28"/>
    <mergeCell ref="C2:C3"/>
    <mergeCell ref="D2:D3"/>
    <mergeCell ref="E2:E3"/>
    <mergeCell ref="F2:F3"/>
    <mergeCell ref="G2:G3"/>
    <mergeCell ref="H2:H3"/>
    <mergeCell ref="I2:I3"/>
    <mergeCell ref="Q2:Q3"/>
    <mergeCell ref="Q4:Q8"/>
    <mergeCell ref="Q9:Q22"/>
    <mergeCell ref="Q23:Q28"/>
    <mergeCell ref="R4:R8"/>
    <mergeCell ref="R9:R22"/>
    <mergeCell ref="R23:R28"/>
    <mergeCell ref="W2:W3"/>
    <mergeCell ref="X2:X3"/>
    <mergeCell ref="AF2:AF3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1"/>
  <sheetViews>
    <sheetView zoomScale="110" zoomScaleNormal="110" topLeftCell="B1" workbookViewId="0">
      <pane xSplit="8" ySplit="2" topLeftCell="Y3" activePane="bottomRight" state="frozen"/>
      <selection/>
      <selection pane="topRight"/>
      <selection pane="bottomLeft"/>
      <selection pane="bottomRight" activeCell="J3" sqref="J$1:J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4.4333333333333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75"/>
  </cols>
  <sheetData>
    <row r="1" ht="31" customHeight="1" spans="1:3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28"/>
      <c r="L1" s="29"/>
      <c r="M1" s="28"/>
      <c r="N1" s="8"/>
      <c r="O1" s="30"/>
      <c r="P1" s="8"/>
      <c r="Q1" s="8"/>
      <c r="R1" s="8"/>
      <c r="S1" s="8"/>
      <c r="T1" s="53"/>
      <c r="U1" s="53"/>
      <c r="V1" s="54"/>
      <c r="W1" s="53"/>
      <c r="X1" s="55"/>
      <c r="Y1" s="29"/>
      <c r="Z1" s="29"/>
      <c r="AA1" s="29"/>
      <c r="AB1" s="29"/>
      <c r="AC1" s="28"/>
      <c r="AD1" s="29"/>
      <c r="AE1" s="8"/>
      <c r="AF1" s="8"/>
    </row>
    <row r="2" s="1" customFormat="1" ht="23" customHeight="1" spans="1:32">
      <c r="A2" s="10" t="s">
        <v>1</v>
      </c>
      <c r="B2" s="11" t="s">
        <v>2</v>
      </c>
      <c r="C2" s="12" t="s">
        <v>12</v>
      </c>
      <c r="D2" s="13" t="s">
        <v>13</v>
      </c>
      <c r="E2" s="14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31" t="s">
        <v>19</v>
      </c>
      <c r="K2" s="32"/>
      <c r="L2" s="33"/>
      <c r="M2" s="32"/>
      <c r="N2" s="33"/>
      <c r="O2" s="34"/>
      <c r="P2" s="35"/>
      <c r="Q2" s="56" t="s">
        <v>20</v>
      </c>
      <c r="R2" s="57" t="s">
        <v>21</v>
      </c>
      <c r="S2" s="58"/>
      <c r="T2" s="59"/>
      <c r="U2" s="60"/>
      <c r="V2" s="61"/>
      <c r="W2" s="62" t="s">
        <v>22</v>
      </c>
      <c r="X2" s="63" t="s">
        <v>23</v>
      </c>
      <c r="Y2" s="77" t="s">
        <v>24</v>
      </c>
      <c r="Z2" s="77"/>
      <c r="AA2" s="77"/>
      <c r="AB2" s="77"/>
      <c r="AC2" s="78"/>
      <c r="AD2" s="77"/>
      <c r="AE2" s="79" t="s">
        <v>25</v>
      </c>
      <c r="AF2" s="80" t="s">
        <v>3</v>
      </c>
    </row>
    <row r="3" s="1" customFormat="1" ht="27" customHeight="1" spans="1:32">
      <c r="A3" s="16"/>
      <c r="B3" s="17"/>
      <c r="C3" s="12"/>
      <c r="D3" s="13"/>
      <c r="E3" s="18"/>
      <c r="F3" s="19"/>
      <c r="G3" s="19"/>
      <c r="H3" s="19"/>
      <c r="I3" s="19"/>
      <c r="J3" s="36" t="s">
        <v>26</v>
      </c>
      <c r="K3" s="37" t="s">
        <v>27</v>
      </c>
      <c r="L3" s="38" t="s">
        <v>28</v>
      </c>
      <c r="M3" s="37" t="s">
        <v>29</v>
      </c>
      <c r="N3" s="39" t="s">
        <v>30</v>
      </c>
      <c r="O3" s="40" t="s">
        <v>31</v>
      </c>
      <c r="P3" s="41" t="s">
        <v>32</v>
      </c>
      <c r="Q3" s="64"/>
      <c r="R3" s="65" t="s">
        <v>33</v>
      </c>
      <c r="S3" s="66" t="s">
        <v>34</v>
      </c>
      <c r="T3" s="67" t="s">
        <v>35</v>
      </c>
      <c r="U3" s="68" t="s">
        <v>36</v>
      </c>
      <c r="V3" s="67" t="s">
        <v>37</v>
      </c>
      <c r="W3" s="69"/>
      <c r="X3" s="70"/>
      <c r="Y3" s="81" t="s">
        <v>38</v>
      </c>
      <c r="Z3" s="81" t="s">
        <v>39</v>
      </c>
      <c r="AA3" s="81" t="s">
        <v>40</v>
      </c>
      <c r="AB3" s="82" t="s">
        <v>41</v>
      </c>
      <c r="AC3" s="83" t="s">
        <v>42</v>
      </c>
      <c r="AD3" s="84" t="s">
        <v>32</v>
      </c>
      <c r="AE3" s="85" t="s">
        <v>43</v>
      </c>
      <c r="AF3" s="86"/>
    </row>
    <row r="4" s="2" customFormat="1" spans="1:32">
      <c r="A4" s="20" t="s">
        <v>4</v>
      </c>
      <c r="B4" s="21" t="s">
        <v>5</v>
      </c>
      <c r="C4" s="22">
        <v>240605000016</v>
      </c>
      <c r="D4" s="23">
        <v>45456</v>
      </c>
      <c r="E4" s="23" t="s">
        <v>44</v>
      </c>
      <c r="F4" s="21" t="s">
        <v>45</v>
      </c>
      <c r="G4" s="21" t="s">
        <v>46</v>
      </c>
      <c r="H4" s="21">
        <v>1.9688</v>
      </c>
      <c r="I4" s="21">
        <v>441</v>
      </c>
      <c r="J4" s="46"/>
      <c r="K4" s="43"/>
      <c r="L4" s="49">
        <v>807.21</v>
      </c>
      <c r="M4" s="45">
        <f>SUM(K4/N4)</f>
        <v>0</v>
      </c>
      <c r="N4" s="49">
        <v>807.21</v>
      </c>
      <c r="O4" s="21">
        <v>7.12</v>
      </c>
      <c r="P4" s="46">
        <f>SUM(N4*O4)</f>
        <v>5747.3352</v>
      </c>
      <c r="Q4" s="102">
        <f>SUM(P4:P8)</f>
        <v>36897.902176</v>
      </c>
      <c r="R4" s="102" t="s">
        <v>47</v>
      </c>
      <c r="S4" s="74">
        <f t="shared" ref="S4:S8" si="0">SUM(31274.1/13.666)*H4</f>
        <v>4505.52086052978</v>
      </c>
      <c r="T4" s="73">
        <f t="shared" ref="T4:T8" si="1">SUM(250/13.66)*H4</f>
        <v>36.0322108345534</v>
      </c>
      <c r="U4" s="74"/>
      <c r="V4" s="74"/>
      <c r="W4" s="74"/>
      <c r="X4" s="75">
        <f>SUM(S4:W4)</f>
        <v>4541.55307136433</v>
      </c>
      <c r="Y4" s="87"/>
      <c r="Z4" s="87"/>
      <c r="AA4" s="87"/>
      <c r="AB4" s="87">
        <v>0</v>
      </c>
      <c r="AC4" s="43"/>
      <c r="AD4" s="74">
        <f>SUM(AB4*AC4)</f>
        <v>0</v>
      </c>
      <c r="AE4" s="74">
        <f>SUM(X4+AD4)</f>
        <v>4541.55307136433</v>
      </c>
      <c r="AF4" s="74">
        <f>SUM(P4-AE4)</f>
        <v>1205.78212863567</v>
      </c>
    </row>
    <row r="5" s="2" customFormat="1" spans="1:32">
      <c r="A5" s="20"/>
      <c r="B5" s="21"/>
      <c r="C5" s="22">
        <v>240607000057</v>
      </c>
      <c r="D5" s="23">
        <v>45456</v>
      </c>
      <c r="E5" s="23" t="s">
        <v>48</v>
      </c>
      <c r="F5" s="21" t="s">
        <v>48</v>
      </c>
      <c r="G5" s="21" t="s">
        <v>49</v>
      </c>
      <c r="H5" s="21">
        <v>3.5715</v>
      </c>
      <c r="I5" s="21">
        <v>587</v>
      </c>
      <c r="J5" s="42">
        <v>9711.62</v>
      </c>
      <c r="K5" s="43"/>
      <c r="L5" s="44"/>
      <c r="M5" s="45"/>
      <c r="N5" s="44"/>
      <c r="O5" s="21"/>
      <c r="P5" s="46">
        <f t="shared" ref="P5:P7" si="2">SUBTOTAL(9,J5)</f>
        <v>9711.62</v>
      </c>
      <c r="Q5" s="103"/>
      <c r="R5" s="103"/>
      <c r="S5" s="74">
        <f t="shared" si="0"/>
        <v>8173.23636396897</v>
      </c>
      <c r="T5" s="73">
        <f t="shared" si="1"/>
        <v>65.3642020497804</v>
      </c>
      <c r="U5" s="74"/>
      <c r="V5" s="74"/>
      <c r="W5" s="74"/>
      <c r="X5" s="75">
        <f>SUM(S5:W5)</f>
        <v>8238.60056601875</v>
      </c>
      <c r="Y5" s="87"/>
      <c r="Z5" s="87"/>
      <c r="AA5" s="87"/>
      <c r="AB5" s="87">
        <v>0</v>
      </c>
      <c r="AC5" s="43"/>
      <c r="AD5" s="74">
        <f>SUM(AB5*AC5)</f>
        <v>0</v>
      </c>
      <c r="AE5" s="74">
        <f>SUM(X5+AD5)</f>
        <v>8238.60056601875</v>
      </c>
      <c r="AF5" s="74">
        <f>SUM(P5-AE5)</f>
        <v>1473.01943398125</v>
      </c>
    </row>
    <row r="6" s="2" customFormat="1" spans="1:32">
      <c r="A6" s="20"/>
      <c r="B6" s="21"/>
      <c r="C6" s="22">
        <v>240608000016</v>
      </c>
      <c r="D6" s="23">
        <v>45456</v>
      </c>
      <c r="E6" s="23" t="s">
        <v>50</v>
      </c>
      <c r="F6" s="21" t="s">
        <v>51</v>
      </c>
      <c r="G6" s="21" t="s">
        <v>52</v>
      </c>
      <c r="H6" s="21">
        <v>0.6486</v>
      </c>
      <c r="I6" s="21">
        <v>105</v>
      </c>
      <c r="J6" s="42">
        <v>1701.18</v>
      </c>
      <c r="K6" s="43"/>
      <c r="L6" s="44"/>
      <c r="M6" s="45"/>
      <c r="N6" s="44"/>
      <c r="O6" s="21"/>
      <c r="P6" s="46">
        <f t="shared" si="2"/>
        <v>1701.18</v>
      </c>
      <c r="Q6" s="103"/>
      <c r="R6" s="103"/>
      <c r="S6" s="74">
        <f t="shared" si="0"/>
        <v>1484.2954236792</v>
      </c>
      <c r="T6" s="73">
        <f t="shared" si="1"/>
        <v>11.8704245973646</v>
      </c>
      <c r="U6" s="74"/>
      <c r="V6" s="74"/>
      <c r="W6" s="74"/>
      <c r="X6" s="75">
        <f>SUM(S6:W6)</f>
        <v>1496.16584827657</v>
      </c>
      <c r="Y6" s="87"/>
      <c r="Z6" s="87"/>
      <c r="AA6" s="87"/>
      <c r="AB6" s="87">
        <v>0</v>
      </c>
      <c r="AC6" s="43"/>
      <c r="AD6" s="74">
        <f>SUM(AB6*AC6)</f>
        <v>0</v>
      </c>
      <c r="AE6" s="74">
        <f>SUM(X6+AD6)</f>
        <v>1496.16584827657</v>
      </c>
      <c r="AF6" s="74">
        <f>SUM(P6-AE6)</f>
        <v>205.014151723432</v>
      </c>
    </row>
    <row r="7" s="2" customFormat="1" spans="1:32">
      <c r="A7" s="20"/>
      <c r="B7" s="21"/>
      <c r="C7" s="22">
        <v>241031000031</v>
      </c>
      <c r="D7" s="23">
        <v>45456</v>
      </c>
      <c r="E7" s="23" t="s">
        <v>53</v>
      </c>
      <c r="F7" s="21" t="s">
        <v>54</v>
      </c>
      <c r="G7" s="21" t="s">
        <v>55</v>
      </c>
      <c r="H7" s="21">
        <v>4.4495</v>
      </c>
      <c r="I7" s="21">
        <v>795</v>
      </c>
      <c r="J7" s="42">
        <v>10251.65</v>
      </c>
      <c r="K7" s="48"/>
      <c r="L7" s="44"/>
      <c r="M7" s="45"/>
      <c r="N7" s="44"/>
      <c r="O7" s="21"/>
      <c r="P7" s="46">
        <f t="shared" si="2"/>
        <v>10251.65</v>
      </c>
      <c r="Q7" s="104"/>
      <c r="R7" s="104"/>
      <c r="S7" s="74">
        <f t="shared" si="0"/>
        <v>10182.5046063223</v>
      </c>
      <c r="T7" s="73">
        <f t="shared" si="1"/>
        <v>81.4330161054173</v>
      </c>
      <c r="U7" s="74"/>
      <c r="V7" s="74"/>
      <c r="W7" s="74"/>
      <c r="X7" s="75">
        <f>SUM(S7:W7)</f>
        <v>10263.9376224277</v>
      </c>
      <c r="Y7" s="87"/>
      <c r="Z7" s="87"/>
      <c r="AA7" s="87"/>
      <c r="AB7" s="87">
        <v>0</v>
      </c>
      <c r="AC7" s="43"/>
      <c r="AD7" s="74">
        <f>SUM(AB7*AC7)</f>
        <v>0</v>
      </c>
      <c r="AE7" s="74">
        <f>SUM(X7+AD7)</f>
        <v>10263.9376224277</v>
      </c>
      <c r="AF7" s="74">
        <f>SUM(P7-AE7)</f>
        <v>-12.2876224276752</v>
      </c>
    </row>
    <row r="8" s="2" customFormat="1" spans="1:32">
      <c r="A8" s="20"/>
      <c r="B8" s="21"/>
      <c r="C8" s="22">
        <v>240611000023</v>
      </c>
      <c r="D8" s="23">
        <v>45456</v>
      </c>
      <c r="E8" s="23" t="s">
        <v>44</v>
      </c>
      <c r="F8" s="21" t="s">
        <v>45</v>
      </c>
      <c r="G8" s="21" t="s">
        <v>56</v>
      </c>
      <c r="H8" s="21">
        <v>3.0276</v>
      </c>
      <c r="I8" s="21">
        <v>667</v>
      </c>
      <c r="J8" s="46"/>
      <c r="K8" s="48">
        <v>2173116</v>
      </c>
      <c r="L8" s="44"/>
      <c r="M8" s="45">
        <f>SUM(K8/N8)</f>
        <v>1631.07686307747</v>
      </c>
      <c r="N8" s="49">
        <v>1332.3198</v>
      </c>
      <c r="O8" s="21">
        <v>7.12</v>
      </c>
      <c r="P8" s="46">
        <f>SUM(N8*O8)</f>
        <v>9486.116976</v>
      </c>
      <c r="Q8" s="104"/>
      <c r="R8" s="104"/>
      <c r="S8" s="74">
        <f t="shared" si="0"/>
        <v>6928.54274549978</v>
      </c>
      <c r="T8" s="73">
        <f t="shared" si="1"/>
        <v>55.4099560761347</v>
      </c>
      <c r="U8" s="74"/>
      <c r="V8" s="74"/>
      <c r="W8" s="74"/>
      <c r="X8" s="75">
        <f>SUM(S8:W8)</f>
        <v>6983.95270157591</v>
      </c>
      <c r="Y8" s="87"/>
      <c r="Z8" s="87"/>
      <c r="AA8" s="87"/>
      <c r="AB8" s="87">
        <v>0</v>
      </c>
      <c r="AC8" s="43"/>
      <c r="AD8" s="74">
        <f>SUM(AB8*AC8)</f>
        <v>0</v>
      </c>
      <c r="AE8" s="74">
        <f>SUM(X8+AD8)</f>
        <v>6983.95270157591</v>
      </c>
      <c r="AF8" s="74">
        <f>SUM(P8-AE8)</f>
        <v>2502.16427442408</v>
      </c>
    </row>
    <row r="9" customFormat="1" spans="1:32">
      <c r="A9" s="26" t="s">
        <v>10</v>
      </c>
      <c r="B9" s="27"/>
      <c r="C9" s="27"/>
      <c r="D9" s="27"/>
      <c r="E9" s="27"/>
      <c r="F9" s="27"/>
      <c r="G9" s="27"/>
      <c r="H9" s="27"/>
      <c r="I9" s="27"/>
      <c r="J9" s="27">
        <f>SUM(J3:J3)</f>
        <v>0</v>
      </c>
      <c r="K9" s="51"/>
      <c r="L9" s="52"/>
      <c r="M9" s="51"/>
      <c r="N9" s="51">
        <f t="shared" ref="N9:Q9" si="3">SUM(N3:N3)</f>
        <v>0</v>
      </c>
      <c r="O9" s="27"/>
      <c r="P9" s="27">
        <f t="shared" si="3"/>
        <v>0</v>
      </c>
      <c r="Q9" s="27">
        <f t="shared" si="3"/>
        <v>0</v>
      </c>
      <c r="R9" s="27"/>
      <c r="S9" s="27"/>
      <c r="T9" s="27"/>
      <c r="U9" s="27"/>
      <c r="V9" s="27"/>
      <c r="W9" s="27"/>
      <c r="X9" s="76">
        <f>SUM(X3:X3)</f>
        <v>0</v>
      </c>
      <c r="Y9" s="52"/>
      <c r="Z9" s="52"/>
      <c r="AA9" s="52"/>
      <c r="AB9" s="52"/>
      <c r="AC9" s="51"/>
      <c r="AD9" s="27">
        <f>SUM(AD3:AD3)</f>
        <v>0</v>
      </c>
      <c r="AE9" s="27"/>
      <c r="AF9" s="89">
        <f>SUM(AF3:AF8)</f>
        <v>5373.69236633675</v>
      </c>
    </row>
    <row r="10" customFormat="1" spans="4:29">
      <c r="D10" s="3"/>
      <c r="E10" s="3"/>
      <c r="K10" s="4"/>
      <c r="L10" s="5"/>
      <c r="M10" s="4"/>
      <c r="X10" s="7"/>
      <c r="Y10" s="5"/>
      <c r="Z10" s="5"/>
      <c r="AA10" s="5"/>
      <c r="AB10" s="5"/>
      <c r="AC10" s="4"/>
    </row>
    <row r="11" customFormat="1" spans="4:29">
      <c r="D11" s="3"/>
      <c r="E11" s="3"/>
      <c r="K11" s="4"/>
      <c r="L11" s="5"/>
      <c r="M11" s="4"/>
      <c r="X11" s="7"/>
      <c r="Y11" s="5"/>
      <c r="Z11" s="5"/>
      <c r="AA11" s="5"/>
      <c r="AB11" s="5"/>
      <c r="AC11" s="4"/>
    </row>
  </sheetData>
  <autoFilter xmlns:etc="http://www.wps.cn/officeDocument/2017/etCustomData" ref="A2:AF9" etc:filterBottomFollowUsedRange="0">
    <extLst/>
  </autoFilter>
  <mergeCells count="21">
    <mergeCell ref="A1:AF1"/>
    <mergeCell ref="J2:P2"/>
    <mergeCell ref="R2:V2"/>
    <mergeCell ref="Y2:AD2"/>
    <mergeCell ref="A2:A3"/>
    <mergeCell ref="A4:A8"/>
    <mergeCell ref="B2:B3"/>
    <mergeCell ref="B4:B8"/>
    <mergeCell ref="C2:C3"/>
    <mergeCell ref="D2:D3"/>
    <mergeCell ref="E2:E3"/>
    <mergeCell ref="F2:F3"/>
    <mergeCell ref="G2:G3"/>
    <mergeCell ref="H2:H3"/>
    <mergeCell ref="I2:I3"/>
    <mergeCell ref="Q2:Q3"/>
    <mergeCell ref="Q4:Q8"/>
    <mergeCell ref="R4:R8"/>
    <mergeCell ref="W2:W3"/>
    <mergeCell ref="X2:X3"/>
    <mergeCell ref="AF2:AF3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1"/>
  <sheetViews>
    <sheetView zoomScale="110" zoomScaleNormal="110" workbookViewId="0">
      <pane xSplit="9" ySplit="1" topLeftCell="Z2" activePane="bottomRight" state="frozen"/>
      <selection/>
      <selection pane="topRight"/>
      <selection pane="bottomLeft"/>
      <selection pane="bottomRight" activeCell="I2" sqref="I$1:I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4.4333333333333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75"/>
  </cols>
  <sheetData>
    <row r="1" ht="31" customHeight="1" spans="1:3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28"/>
      <c r="L1" s="29"/>
      <c r="M1" s="28"/>
      <c r="N1" s="8"/>
      <c r="O1" s="30"/>
      <c r="P1" s="8"/>
      <c r="Q1" s="8"/>
      <c r="R1" s="8"/>
      <c r="S1" s="8"/>
      <c r="T1" s="53"/>
      <c r="U1" s="53"/>
      <c r="V1" s="54"/>
      <c r="W1" s="53"/>
      <c r="X1" s="55"/>
      <c r="Y1" s="29"/>
      <c r="Z1" s="29"/>
      <c r="AA1" s="29"/>
      <c r="AB1" s="29"/>
      <c r="AC1" s="28"/>
      <c r="AD1" s="29"/>
      <c r="AE1" s="8"/>
      <c r="AF1" s="8"/>
    </row>
    <row r="2" customFormat="1" ht="31" customHeight="1" spans="1:32">
      <c r="A2" s="9" t="s">
        <v>77</v>
      </c>
      <c r="B2" s="9" t="s">
        <v>78</v>
      </c>
      <c r="C2" s="9">
        <v>73.0084</v>
      </c>
      <c r="D2" s="8"/>
      <c r="E2" s="8"/>
      <c r="F2" s="8"/>
      <c r="G2" s="8"/>
      <c r="H2" s="8"/>
      <c r="I2" s="8"/>
      <c r="J2" s="8"/>
      <c r="K2" s="28"/>
      <c r="L2" s="29"/>
      <c r="M2" s="28"/>
      <c r="N2" s="8"/>
      <c r="O2" s="30"/>
      <c r="P2" s="8"/>
      <c r="Q2" s="8"/>
      <c r="R2" s="8"/>
      <c r="S2" s="8"/>
      <c r="T2" s="53"/>
      <c r="U2" s="53"/>
      <c r="V2" s="54"/>
      <c r="W2" s="53"/>
      <c r="X2" s="55"/>
      <c r="Y2" s="29"/>
      <c r="Z2" s="29"/>
      <c r="AA2" s="29"/>
      <c r="AB2" s="29"/>
      <c r="AC2" s="28"/>
      <c r="AD2" s="29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12</v>
      </c>
      <c r="D3" s="13" t="s">
        <v>13</v>
      </c>
      <c r="E3" s="14" t="s">
        <v>14</v>
      </c>
      <c r="F3" s="15" t="s">
        <v>15</v>
      </c>
      <c r="G3" s="15" t="s">
        <v>16</v>
      </c>
      <c r="H3" s="15" t="s">
        <v>17</v>
      </c>
      <c r="I3" s="15" t="s">
        <v>18</v>
      </c>
      <c r="J3" s="31" t="s">
        <v>19</v>
      </c>
      <c r="K3" s="32"/>
      <c r="L3" s="33"/>
      <c r="M3" s="32"/>
      <c r="N3" s="33"/>
      <c r="O3" s="34"/>
      <c r="P3" s="35"/>
      <c r="Q3" s="56" t="s">
        <v>20</v>
      </c>
      <c r="R3" s="57" t="s">
        <v>21</v>
      </c>
      <c r="S3" s="58"/>
      <c r="T3" s="59"/>
      <c r="U3" s="60"/>
      <c r="V3" s="61"/>
      <c r="W3" s="62" t="s">
        <v>22</v>
      </c>
      <c r="X3" s="63" t="s">
        <v>23</v>
      </c>
      <c r="Y3" s="77" t="s">
        <v>24</v>
      </c>
      <c r="Z3" s="77"/>
      <c r="AA3" s="77"/>
      <c r="AB3" s="77"/>
      <c r="AC3" s="78"/>
      <c r="AD3" s="77"/>
      <c r="AE3" s="79" t="s">
        <v>25</v>
      </c>
      <c r="AF3" s="80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19"/>
      <c r="J4" s="36" t="s">
        <v>26</v>
      </c>
      <c r="K4" s="37" t="s">
        <v>27</v>
      </c>
      <c r="L4" s="38" t="s">
        <v>28</v>
      </c>
      <c r="M4" s="37" t="s">
        <v>29</v>
      </c>
      <c r="N4" s="39" t="s">
        <v>30</v>
      </c>
      <c r="O4" s="40" t="s">
        <v>31</v>
      </c>
      <c r="P4" s="41" t="s">
        <v>32</v>
      </c>
      <c r="Q4" s="64"/>
      <c r="R4" s="65" t="s">
        <v>33</v>
      </c>
      <c r="S4" s="66" t="s">
        <v>34</v>
      </c>
      <c r="T4" s="67" t="s">
        <v>35</v>
      </c>
      <c r="U4" s="68" t="s">
        <v>36</v>
      </c>
      <c r="V4" s="67" t="s">
        <v>37</v>
      </c>
      <c r="W4" s="69"/>
      <c r="X4" s="70"/>
      <c r="Y4" s="81" t="s">
        <v>38</v>
      </c>
      <c r="Z4" s="81" t="s">
        <v>39</v>
      </c>
      <c r="AA4" s="81" t="s">
        <v>40</v>
      </c>
      <c r="AB4" s="82" t="s">
        <v>41</v>
      </c>
      <c r="AC4" s="83" t="s">
        <v>42</v>
      </c>
      <c r="AD4" s="84" t="s">
        <v>32</v>
      </c>
      <c r="AE4" s="85" t="s">
        <v>43</v>
      </c>
      <c r="AF4" s="86"/>
    </row>
    <row r="5" s="2" customFormat="1" spans="1:32">
      <c r="A5" s="90" t="s">
        <v>6</v>
      </c>
      <c r="B5" s="24" t="s">
        <v>7</v>
      </c>
      <c r="C5" s="91">
        <v>240611000035</v>
      </c>
      <c r="D5" s="25">
        <v>45470</v>
      </c>
      <c r="E5" s="25" t="s">
        <v>57</v>
      </c>
      <c r="F5" s="24" t="s">
        <v>58</v>
      </c>
      <c r="G5" s="24" t="s">
        <v>59</v>
      </c>
      <c r="H5" s="24">
        <v>9.409</v>
      </c>
      <c r="I5" s="24">
        <v>4580</v>
      </c>
      <c r="J5" s="92">
        <v>30088</v>
      </c>
      <c r="K5" s="93"/>
      <c r="L5" s="94"/>
      <c r="M5" s="45"/>
      <c r="N5" s="94"/>
      <c r="O5" s="24"/>
      <c r="P5" s="95">
        <f>SUM(J5)</f>
        <v>30088</v>
      </c>
      <c r="Q5" s="99">
        <f>SUM(P5:P18)</f>
        <v>173903.6988</v>
      </c>
      <c r="R5" s="99" t="s">
        <v>60</v>
      </c>
      <c r="S5" s="73">
        <f>SUM(65426/68)*H5</f>
        <v>9052.84167647059</v>
      </c>
      <c r="T5" s="73">
        <f>SUM(533/68)*H5</f>
        <v>73.7499558823529</v>
      </c>
      <c r="U5" s="73">
        <f>SUM(850/68)*H5</f>
        <v>117.6125</v>
      </c>
      <c r="V5" s="73"/>
      <c r="W5" s="73"/>
      <c r="X5" s="75">
        <f t="shared" ref="X5:X24" si="0">SUM(S5:W5)</f>
        <v>9244.20413235294</v>
      </c>
      <c r="Y5" s="88">
        <f>SUM(10644.17/68)*H5</f>
        <v>1472.80875779412</v>
      </c>
      <c r="Z5" s="88"/>
      <c r="AA5" s="88">
        <f>SUM(43.56/68)*H5</f>
        <v>6.02729470588235</v>
      </c>
      <c r="AB5" s="88">
        <f t="shared" ref="AB5:AB24" si="1">SUM(Y5:AA5)</f>
        <v>1478.8360525</v>
      </c>
      <c r="AC5" s="93">
        <v>7.12</v>
      </c>
      <c r="AD5" s="73">
        <f t="shared" ref="AD5:AD24" si="2">SUM(AB5*AC5)</f>
        <v>10529.3126938</v>
      </c>
      <c r="AE5" s="74">
        <f t="shared" ref="AE5:AE24" si="3">SUM(X5+AD5)</f>
        <v>19773.516826153</v>
      </c>
      <c r="AF5" s="74">
        <f t="shared" ref="AF5:AF24" si="4">SUM(P5-AE5)</f>
        <v>10314.483173847</v>
      </c>
    </row>
    <row r="6" s="2" customFormat="1" spans="1:32">
      <c r="A6" s="90"/>
      <c r="B6" s="24"/>
      <c r="C6" s="91">
        <v>240617000014</v>
      </c>
      <c r="D6" s="25">
        <v>45470</v>
      </c>
      <c r="E6" s="25" t="s">
        <v>61</v>
      </c>
      <c r="F6" s="24" t="s">
        <v>62</v>
      </c>
      <c r="G6" s="24" t="s">
        <v>63</v>
      </c>
      <c r="H6" s="24">
        <v>0.3223</v>
      </c>
      <c r="I6" s="24">
        <v>145</v>
      </c>
      <c r="J6" s="96"/>
      <c r="K6" s="97">
        <v>282730</v>
      </c>
      <c r="L6" s="94"/>
      <c r="M6" s="45">
        <f>SUM(K6/N6)</f>
        <v>1744.49312025668</v>
      </c>
      <c r="N6" s="98">
        <v>162.07</v>
      </c>
      <c r="O6" s="24">
        <v>7.12</v>
      </c>
      <c r="P6" s="46">
        <f>SUM(N6*O6)</f>
        <v>1153.9384</v>
      </c>
      <c r="Q6" s="100"/>
      <c r="R6" s="100"/>
      <c r="S6" s="73">
        <f t="shared" ref="S6:S18" si="5">SUM(65426/68)*H6</f>
        <v>310.099997058823</v>
      </c>
      <c r="T6" s="73">
        <f t="shared" ref="T6:T18" si="6">SUM(533/68)*H6</f>
        <v>2.52626323529412</v>
      </c>
      <c r="U6" s="73">
        <f t="shared" ref="U6:U18" si="7">SUM(850/68)*H6</f>
        <v>4.02875</v>
      </c>
      <c r="V6" s="73"/>
      <c r="W6" s="73"/>
      <c r="X6" s="75">
        <f t="shared" si="0"/>
        <v>316.655010294118</v>
      </c>
      <c r="Y6" s="88">
        <f t="shared" ref="Y6:Y18" si="8">SUM(10644.17/68)*H6</f>
        <v>50.4502351617647</v>
      </c>
      <c r="Z6" s="88">
        <v>17.26</v>
      </c>
      <c r="AA6" s="88">
        <f t="shared" ref="AA6:AA18" si="9">SUM(43.56/68)*H6</f>
        <v>0.206461588235294</v>
      </c>
      <c r="AB6" s="88">
        <f t="shared" si="1"/>
        <v>67.91669675</v>
      </c>
      <c r="AC6" s="93">
        <v>7.12</v>
      </c>
      <c r="AD6" s="73">
        <f t="shared" si="2"/>
        <v>483.56688086</v>
      </c>
      <c r="AE6" s="74">
        <f t="shared" si="3"/>
        <v>800.221891154118</v>
      </c>
      <c r="AF6" s="74">
        <f t="shared" si="4"/>
        <v>353.716508845882</v>
      </c>
    </row>
    <row r="7" s="2" customFormat="1" spans="1:32">
      <c r="A7" s="90"/>
      <c r="B7" s="24"/>
      <c r="C7" s="91">
        <v>240617000031</v>
      </c>
      <c r="D7" s="25">
        <v>45470</v>
      </c>
      <c r="E7" s="23" t="s">
        <v>44</v>
      </c>
      <c r="F7" s="24" t="s">
        <v>45</v>
      </c>
      <c r="G7" s="24" t="s">
        <v>64</v>
      </c>
      <c r="H7" s="24">
        <v>1.883</v>
      </c>
      <c r="I7" s="24">
        <v>1442</v>
      </c>
      <c r="J7" s="92">
        <v>5247</v>
      </c>
      <c r="K7" s="93"/>
      <c r="L7" s="94"/>
      <c r="M7" s="45"/>
      <c r="N7" s="94"/>
      <c r="O7" s="24"/>
      <c r="P7" s="95">
        <f t="shared" ref="P7:P10" si="10">SUBTOTAL(9,J7)</f>
        <v>5247</v>
      </c>
      <c r="Q7" s="100"/>
      <c r="R7" s="100"/>
      <c r="S7" s="73">
        <f t="shared" si="5"/>
        <v>1811.72291176471</v>
      </c>
      <c r="T7" s="73">
        <f t="shared" si="6"/>
        <v>14.7593970588235</v>
      </c>
      <c r="U7" s="73">
        <f t="shared" si="7"/>
        <v>23.5375</v>
      </c>
      <c r="V7" s="73"/>
      <c r="W7" s="73"/>
      <c r="X7" s="75">
        <f t="shared" si="0"/>
        <v>1850.01980882353</v>
      </c>
      <c r="Y7" s="88">
        <f t="shared" si="8"/>
        <v>294.749589852941</v>
      </c>
      <c r="Z7" s="88">
        <v>5.56</v>
      </c>
      <c r="AA7" s="88">
        <f t="shared" si="9"/>
        <v>1.20622764705882</v>
      </c>
      <c r="AB7" s="88">
        <f t="shared" si="1"/>
        <v>301.5158175</v>
      </c>
      <c r="AC7" s="93">
        <v>7.12</v>
      </c>
      <c r="AD7" s="73">
        <f t="shared" si="2"/>
        <v>2146.7926206</v>
      </c>
      <c r="AE7" s="74">
        <f t="shared" si="3"/>
        <v>3996.81242942353</v>
      </c>
      <c r="AF7" s="74">
        <f t="shared" si="4"/>
        <v>1250.18757057647</v>
      </c>
    </row>
    <row r="8" s="2" customFormat="1" spans="1:32">
      <c r="A8" s="90"/>
      <c r="B8" s="24"/>
      <c r="C8" s="91">
        <v>240618000013</v>
      </c>
      <c r="D8" s="25">
        <v>45470</v>
      </c>
      <c r="E8" s="23" t="s">
        <v>50</v>
      </c>
      <c r="F8" s="24" t="s">
        <v>51</v>
      </c>
      <c r="G8" s="24" t="s">
        <v>65</v>
      </c>
      <c r="H8" s="24">
        <v>17.0878</v>
      </c>
      <c r="I8" s="24">
        <v>12818</v>
      </c>
      <c r="J8" s="92">
        <v>44822.88</v>
      </c>
      <c r="K8" s="93"/>
      <c r="L8" s="94"/>
      <c r="M8" s="45"/>
      <c r="N8" s="94"/>
      <c r="O8" s="24"/>
      <c r="P8" s="95">
        <f t="shared" si="10"/>
        <v>44822.88</v>
      </c>
      <c r="Q8" s="100"/>
      <c r="R8" s="100"/>
      <c r="S8" s="73">
        <f t="shared" si="5"/>
        <v>16440.9765117647</v>
      </c>
      <c r="T8" s="73">
        <f t="shared" si="6"/>
        <v>133.938197058824</v>
      </c>
      <c r="U8" s="73">
        <f t="shared" si="7"/>
        <v>213.5975</v>
      </c>
      <c r="V8" s="73"/>
      <c r="W8" s="73"/>
      <c r="X8" s="75">
        <f t="shared" si="0"/>
        <v>16788.5122088235</v>
      </c>
      <c r="Y8" s="88">
        <f t="shared" si="8"/>
        <v>2674.78600185294</v>
      </c>
      <c r="Z8" s="88"/>
      <c r="AA8" s="88">
        <f t="shared" si="9"/>
        <v>10.9462436470588</v>
      </c>
      <c r="AB8" s="88">
        <f t="shared" si="1"/>
        <v>2685.7322455</v>
      </c>
      <c r="AC8" s="93">
        <v>7.12</v>
      </c>
      <c r="AD8" s="73">
        <f t="shared" si="2"/>
        <v>19122.41358796</v>
      </c>
      <c r="AE8" s="74">
        <f t="shared" si="3"/>
        <v>35910.9257967835</v>
      </c>
      <c r="AF8" s="74">
        <f t="shared" si="4"/>
        <v>8911.9542032165</v>
      </c>
    </row>
    <row r="9" s="2" customFormat="1" spans="1:32">
      <c r="A9" s="90"/>
      <c r="B9" s="24"/>
      <c r="C9" s="91">
        <v>240619000002</v>
      </c>
      <c r="D9" s="25">
        <v>45470</v>
      </c>
      <c r="E9" s="23" t="s">
        <v>48</v>
      </c>
      <c r="F9" s="24" t="s">
        <v>48</v>
      </c>
      <c r="G9" s="24" t="s">
        <v>66</v>
      </c>
      <c r="H9" s="24">
        <v>4.1762</v>
      </c>
      <c r="I9" s="24">
        <v>308</v>
      </c>
      <c r="J9" s="92">
        <v>10081.3</v>
      </c>
      <c r="K9" s="93"/>
      <c r="L9" s="94"/>
      <c r="M9" s="45"/>
      <c r="N9" s="94"/>
      <c r="O9" s="24"/>
      <c r="P9" s="95">
        <f t="shared" si="10"/>
        <v>10081.3</v>
      </c>
      <c r="Q9" s="100"/>
      <c r="R9" s="100"/>
      <c r="S9" s="73">
        <f t="shared" si="5"/>
        <v>4018.11854705882</v>
      </c>
      <c r="T9" s="73">
        <f t="shared" si="6"/>
        <v>32.7340382352941</v>
      </c>
      <c r="U9" s="73">
        <f t="shared" si="7"/>
        <v>52.2025</v>
      </c>
      <c r="V9" s="73"/>
      <c r="W9" s="73"/>
      <c r="X9" s="75">
        <f t="shared" si="0"/>
        <v>4103.05508529412</v>
      </c>
      <c r="Y9" s="88">
        <f t="shared" si="8"/>
        <v>653.708569911765</v>
      </c>
      <c r="Z9" s="88"/>
      <c r="AA9" s="88">
        <f t="shared" si="9"/>
        <v>2.67522458823529</v>
      </c>
      <c r="AB9" s="88">
        <f t="shared" si="1"/>
        <v>656.3837945</v>
      </c>
      <c r="AC9" s="93">
        <v>7.12</v>
      </c>
      <c r="AD9" s="73">
        <f t="shared" si="2"/>
        <v>4673.45261684</v>
      </c>
      <c r="AE9" s="74">
        <f t="shared" si="3"/>
        <v>8776.50770213412</v>
      </c>
      <c r="AF9" s="74">
        <f t="shared" si="4"/>
        <v>1304.79229786588</v>
      </c>
    </row>
    <row r="10" s="2" customFormat="1" spans="1:32">
      <c r="A10" s="90"/>
      <c r="B10" s="24"/>
      <c r="C10" s="91">
        <v>240622000007</v>
      </c>
      <c r="D10" s="25">
        <v>45470</v>
      </c>
      <c r="E10" s="23" t="s">
        <v>48</v>
      </c>
      <c r="F10" s="24" t="s">
        <v>48</v>
      </c>
      <c r="G10" s="24" t="s">
        <v>49</v>
      </c>
      <c r="H10" s="24">
        <v>0.1344</v>
      </c>
      <c r="I10" s="24">
        <v>44</v>
      </c>
      <c r="J10" s="92">
        <v>426</v>
      </c>
      <c r="K10" s="93"/>
      <c r="L10" s="94"/>
      <c r="M10" s="45"/>
      <c r="N10" s="94"/>
      <c r="O10" s="24"/>
      <c r="P10" s="95">
        <f t="shared" si="10"/>
        <v>426</v>
      </c>
      <c r="Q10" s="100"/>
      <c r="R10" s="100"/>
      <c r="S10" s="73">
        <f t="shared" si="5"/>
        <v>129.312564705882</v>
      </c>
      <c r="T10" s="73">
        <f t="shared" si="6"/>
        <v>1.05345882352941</v>
      </c>
      <c r="U10" s="73">
        <f t="shared" si="7"/>
        <v>1.68</v>
      </c>
      <c r="V10" s="73"/>
      <c r="W10" s="73"/>
      <c r="X10" s="75">
        <f t="shared" si="0"/>
        <v>132.046023529412</v>
      </c>
      <c r="Y10" s="88">
        <f t="shared" si="8"/>
        <v>21.0378889411765</v>
      </c>
      <c r="Z10" s="88"/>
      <c r="AA10" s="88">
        <f t="shared" si="9"/>
        <v>0.0860950588235294</v>
      </c>
      <c r="AB10" s="88">
        <f t="shared" si="1"/>
        <v>21.123984</v>
      </c>
      <c r="AC10" s="93">
        <v>7.12</v>
      </c>
      <c r="AD10" s="73">
        <f t="shared" si="2"/>
        <v>150.40276608</v>
      </c>
      <c r="AE10" s="74">
        <f t="shared" si="3"/>
        <v>282.448789609412</v>
      </c>
      <c r="AF10" s="74">
        <f t="shared" si="4"/>
        <v>143.551210390588</v>
      </c>
    </row>
    <row r="11" s="2" customFormat="1" spans="1:32">
      <c r="A11" s="90"/>
      <c r="B11" s="24"/>
      <c r="C11" s="91">
        <v>240624000032</v>
      </c>
      <c r="D11" s="25">
        <v>45470</v>
      </c>
      <c r="E11" s="25" t="s">
        <v>57</v>
      </c>
      <c r="F11" s="24" t="s">
        <v>58</v>
      </c>
      <c r="G11" s="24" t="s">
        <v>67</v>
      </c>
      <c r="H11" s="24">
        <v>14.1194</v>
      </c>
      <c r="I11" s="24">
        <v>5232</v>
      </c>
      <c r="J11" s="92">
        <v>30090</v>
      </c>
      <c r="K11" s="93"/>
      <c r="L11" s="94"/>
      <c r="M11" s="45"/>
      <c r="N11" s="94"/>
      <c r="O11" s="24"/>
      <c r="P11" s="95">
        <f>SUM(J11)</f>
        <v>30090</v>
      </c>
      <c r="Q11" s="100"/>
      <c r="R11" s="100"/>
      <c r="S11" s="73">
        <f t="shared" si="5"/>
        <v>13584.9391823529</v>
      </c>
      <c r="T11" s="73">
        <f t="shared" si="6"/>
        <v>110.671179411765</v>
      </c>
      <c r="U11" s="73">
        <f t="shared" si="7"/>
        <v>176.4925</v>
      </c>
      <c r="V11" s="73"/>
      <c r="W11" s="73"/>
      <c r="X11" s="75">
        <f t="shared" si="0"/>
        <v>13872.1028617647</v>
      </c>
      <c r="Y11" s="88">
        <f t="shared" si="8"/>
        <v>2210.13667497059</v>
      </c>
      <c r="Z11" s="88"/>
      <c r="AA11" s="88">
        <f t="shared" si="9"/>
        <v>9.04472152941177</v>
      </c>
      <c r="AB11" s="88">
        <f t="shared" si="1"/>
        <v>2219.1813965</v>
      </c>
      <c r="AC11" s="93">
        <v>7.12</v>
      </c>
      <c r="AD11" s="73">
        <f t="shared" si="2"/>
        <v>15800.57154308</v>
      </c>
      <c r="AE11" s="74">
        <f t="shared" si="3"/>
        <v>29672.6744048447</v>
      </c>
      <c r="AF11" s="74">
        <f t="shared" si="4"/>
        <v>417.325595155289</v>
      </c>
    </row>
    <row r="12" s="2" customFormat="1" spans="1:32">
      <c r="A12" s="90"/>
      <c r="B12" s="24"/>
      <c r="C12" s="91">
        <v>240624000052</v>
      </c>
      <c r="D12" s="25">
        <v>45470</v>
      </c>
      <c r="E12" s="25" t="s">
        <v>57</v>
      </c>
      <c r="F12" s="24" t="s">
        <v>58</v>
      </c>
      <c r="G12" s="24" t="s">
        <v>68</v>
      </c>
      <c r="H12" s="24">
        <v>0.098</v>
      </c>
      <c r="I12" s="24">
        <v>5.56</v>
      </c>
      <c r="J12" s="96"/>
      <c r="K12" s="97">
        <v>69566</v>
      </c>
      <c r="L12" s="94"/>
      <c r="M12" s="45">
        <f>SUM(K12/N12)</f>
        <v>1639.93399339934</v>
      </c>
      <c r="N12" s="98">
        <v>42.42</v>
      </c>
      <c r="O12" s="24">
        <v>7.12</v>
      </c>
      <c r="P12" s="95">
        <f>SUM(N12*O12)</f>
        <v>302.0304</v>
      </c>
      <c r="Q12" s="100"/>
      <c r="R12" s="100"/>
      <c r="S12" s="73">
        <f t="shared" si="5"/>
        <v>94.2904117647059</v>
      </c>
      <c r="T12" s="73">
        <f t="shared" si="6"/>
        <v>0.768147058823529</v>
      </c>
      <c r="U12" s="73">
        <f t="shared" si="7"/>
        <v>1.225</v>
      </c>
      <c r="V12" s="73"/>
      <c r="W12" s="73"/>
      <c r="X12" s="75">
        <f t="shared" si="0"/>
        <v>96.2835588235294</v>
      </c>
      <c r="Y12" s="88">
        <f t="shared" si="8"/>
        <v>15.3401273529412</v>
      </c>
      <c r="Z12" s="88">
        <v>5.48</v>
      </c>
      <c r="AA12" s="88">
        <f t="shared" si="9"/>
        <v>0.0627776470588235</v>
      </c>
      <c r="AB12" s="88">
        <f t="shared" si="1"/>
        <v>20.882905</v>
      </c>
      <c r="AC12" s="93">
        <v>7.12</v>
      </c>
      <c r="AD12" s="73">
        <f t="shared" si="2"/>
        <v>148.6862836</v>
      </c>
      <c r="AE12" s="74">
        <f t="shared" si="3"/>
        <v>244.96984242353</v>
      </c>
      <c r="AF12" s="74">
        <f t="shared" si="4"/>
        <v>57.0605575764704</v>
      </c>
    </row>
    <row r="13" s="2" customFormat="1" spans="1:32">
      <c r="A13" s="90"/>
      <c r="B13" s="24"/>
      <c r="C13" s="91">
        <v>240625000041</v>
      </c>
      <c r="D13" s="25">
        <v>45470</v>
      </c>
      <c r="E13" s="23" t="s">
        <v>48</v>
      </c>
      <c r="F13" s="24" t="s">
        <v>48</v>
      </c>
      <c r="G13" s="24" t="s">
        <v>69</v>
      </c>
      <c r="H13" s="24">
        <v>19.56</v>
      </c>
      <c r="I13" s="24">
        <v>2429.25</v>
      </c>
      <c r="J13" s="92">
        <v>35563.01</v>
      </c>
      <c r="K13" s="93"/>
      <c r="L13" s="94"/>
      <c r="M13" s="45"/>
      <c r="N13" s="98"/>
      <c r="O13" s="24"/>
      <c r="P13" s="95">
        <f t="shared" ref="P13:P16" si="11">SUBTOTAL(9,J13)</f>
        <v>35563.01</v>
      </c>
      <c r="Q13" s="100"/>
      <c r="R13" s="100"/>
      <c r="S13" s="73">
        <f t="shared" si="5"/>
        <v>18819.5964705882</v>
      </c>
      <c r="T13" s="73">
        <f t="shared" si="6"/>
        <v>153.315882352941</v>
      </c>
      <c r="U13" s="73">
        <f t="shared" si="7"/>
        <v>244.5</v>
      </c>
      <c r="V13" s="73"/>
      <c r="W13" s="73"/>
      <c r="X13" s="75">
        <f t="shared" si="0"/>
        <v>19217.4123529412</v>
      </c>
      <c r="Y13" s="88">
        <f t="shared" si="8"/>
        <v>3061.76419411765</v>
      </c>
      <c r="Z13" s="88"/>
      <c r="AA13" s="88">
        <f t="shared" si="9"/>
        <v>12.5299058823529</v>
      </c>
      <c r="AB13" s="88">
        <f t="shared" si="1"/>
        <v>3074.2941</v>
      </c>
      <c r="AC13" s="93">
        <v>7.12</v>
      </c>
      <c r="AD13" s="73">
        <f t="shared" si="2"/>
        <v>21888.973992</v>
      </c>
      <c r="AE13" s="74">
        <f t="shared" si="3"/>
        <v>41106.3863449412</v>
      </c>
      <c r="AF13" s="74">
        <f t="shared" si="4"/>
        <v>-5543.37634494121</v>
      </c>
    </row>
    <row r="14" s="2" customFormat="1" spans="1:32">
      <c r="A14" s="90"/>
      <c r="B14" s="24"/>
      <c r="C14" s="91">
        <v>240626000037</v>
      </c>
      <c r="D14" s="25">
        <v>45470</v>
      </c>
      <c r="E14" s="23" t="s">
        <v>53</v>
      </c>
      <c r="F14" s="24" t="s">
        <v>48</v>
      </c>
      <c r="G14" s="24" t="s">
        <v>70</v>
      </c>
      <c r="H14" s="24">
        <v>0.9428</v>
      </c>
      <c r="I14" s="24">
        <v>188</v>
      </c>
      <c r="J14" s="92">
        <v>3034.1</v>
      </c>
      <c r="K14" s="93"/>
      <c r="L14" s="94"/>
      <c r="M14" s="45"/>
      <c r="N14" s="94"/>
      <c r="O14" s="24"/>
      <c r="P14" s="95">
        <f>SUM(J14)</f>
        <v>3034.1</v>
      </c>
      <c r="Q14" s="100"/>
      <c r="R14" s="100"/>
      <c r="S14" s="73">
        <f t="shared" si="5"/>
        <v>907.112247058824</v>
      </c>
      <c r="T14" s="73">
        <f t="shared" si="6"/>
        <v>7.38988823529412</v>
      </c>
      <c r="U14" s="73">
        <f t="shared" si="7"/>
        <v>11.785</v>
      </c>
      <c r="V14" s="73"/>
      <c r="W14" s="73"/>
      <c r="X14" s="75">
        <f t="shared" si="0"/>
        <v>926.287135294118</v>
      </c>
      <c r="Y14" s="88">
        <f t="shared" si="8"/>
        <v>147.578286411765</v>
      </c>
      <c r="Z14" s="88"/>
      <c r="AA14" s="88">
        <f t="shared" si="9"/>
        <v>0.603946588235294</v>
      </c>
      <c r="AB14" s="88">
        <f t="shared" si="1"/>
        <v>148.182233</v>
      </c>
      <c r="AC14" s="93">
        <v>7.12</v>
      </c>
      <c r="AD14" s="73">
        <f t="shared" si="2"/>
        <v>1055.05749896</v>
      </c>
      <c r="AE14" s="74">
        <f t="shared" si="3"/>
        <v>1981.34463425412</v>
      </c>
      <c r="AF14" s="74">
        <f t="shared" si="4"/>
        <v>1052.75536574588</v>
      </c>
    </row>
    <row r="15" s="2" customFormat="1" spans="1:32">
      <c r="A15" s="90"/>
      <c r="B15" s="24"/>
      <c r="C15" s="91">
        <v>240626000038</v>
      </c>
      <c r="D15" s="25">
        <v>45470</v>
      </c>
      <c r="E15" s="23" t="s">
        <v>53</v>
      </c>
      <c r="F15" s="24" t="s">
        <v>48</v>
      </c>
      <c r="G15" s="24" t="s">
        <v>70</v>
      </c>
      <c r="H15" s="24">
        <v>2.178</v>
      </c>
      <c r="I15" s="24">
        <v>178</v>
      </c>
      <c r="J15" s="92">
        <v>5331.74</v>
      </c>
      <c r="K15" s="93"/>
      <c r="L15" s="94"/>
      <c r="M15" s="45"/>
      <c r="N15" s="94"/>
      <c r="O15" s="24"/>
      <c r="P15" s="95">
        <f t="shared" si="11"/>
        <v>5331.74</v>
      </c>
      <c r="Q15" s="100"/>
      <c r="R15" s="100"/>
      <c r="S15" s="73">
        <f t="shared" si="5"/>
        <v>2095.55629411765</v>
      </c>
      <c r="T15" s="73">
        <f t="shared" si="6"/>
        <v>17.0716764705882</v>
      </c>
      <c r="U15" s="73">
        <f t="shared" si="7"/>
        <v>27.225</v>
      </c>
      <c r="V15" s="73"/>
      <c r="W15" s="73"/>
      <c r="X15" s="75">
        <f t="shared" si="0"/>
        <v>2139.85297058823</v>
      </c>
      <c r="Y15" s="88">
        <f t="shared" si="8"/>
        <v>340.926503823529</v>
      </c>
      <c r="Z15" s="88"/>
      <c r="AA15" s="88">
        <f t="shared" si="9"/>
        <v>1.39520117647059</v>
      </c>
      <c r="AB15" s="88">
        <f t="shared" si="1"/>
        <v>342.321705</v>
      </c>
      <c r="AC15" s="93">
        <v>7.12</v>
      </c>
      <c r="AD15" s="73">
        <f t="shared" si="2"/>
        <v>2437.3305396</v>
      </c>
      <c r="AE15" s="74">
        <f t="shared" si="3"/>
        <v>4577.18351018823</v>
      </c>
      <c r="AF15" s="74">
        <f t="shared" si="4"/>
        <v>754.556489811772</v>
      </c>
    </row>
    <row r="16" s="2" customFormat="1" spans="1:32">
      <c r="A16" s="90"/>
      <c r="B16" s="24"/>
      <c r="C16" s="91">
        <v>240626000039</v>
      </c>
      <c r="D16" s="25">
        <v>45470</v>
      </c>
      <c r="E16" s="23" t="s">
        <v>53</v>
      </c>
      <c r="F16" s="24" t="s">
        <v>48</v>
      </c>
      <c r="G16" s="24" t="s">
        <v>70</v>
      </c>
      <c r="H16" s="24">
        <v>1.1137</v>
      </c>
      <c r="I16" s="24">
        <v>719</v>
      </c>
      <c r="J16" s="92">
        <v>2807.28</v>
      </c>
      <c r="K16" s="93"/>
      <c r="L16" s="94"/>
      <c r="M16" s="45"/>
      <c r="N16" s="94"/>
      <c r="O16" s="24"/>
      <c r="P16" s="95">
        <f t="shared" si="11"/>
        <v>2807.28</v>
      </c>
      <c r="Q16" s="100"/>
      <c r="R16" s="100"/>
      <c r="S16" s="73">
        <f t="shared" si="5"/>
        <v>1071.54317941176</v>
      </c>
      <c r="T16" s="73">
        <f t="shared" si="6"/>
        <v>8.72944264705882</v>
      </c>
      <c r="U16" s="73">
        <f t="shared" si="7"/>
        <v>13.92125</v>
      </c>
      <c r="V16" s="73"/>
      <c r="W16" s="73"/>
      <c r="X16" s="75">
        <f t="shared" si="0"/>
        <v>1094.19387205882</v>
      </c>
      <c r="Y16" s="88">
        <f t="shared" si="8"/>
        <v>174.329590132353</v>
      </c>
      <c r="Z16" s="88"/>
      <c r="AA16" s="88">
        <f t="shared" si="9"/>
        <v>0.713423117647059</v>
      </c>
      <c r="AB16" s="88">
        <f t="shared" si="1"/>
        <v>175.04301325</v>
      </c>
      <c r="AC16" s="93">
        <v>7.12</v>
      </c>
      <c r="AD16" s="73">
        <f t="shared" si="2"/>
        <v>1246.30625434</v>
      </c>
      <c r="AE16" s="74">
        <f t="shared" si="3"/>
        <v>2340.50012639882</v>
      </c>
      <c r="AF16" s="74">
        <f t="shared" si="4"/>
        <v>466.77987360118</v>
      </c>
    </row>
    <row r="17" s="2" customFormat="1" spans="1:32">
      <c r="A17" s="90"/>
      <c r="B17" s="24"/>
      <c r="C17" s="91">
        <v>240627000004</v>
      </c>
      <c r="D17" s="25">
        <v>45470</v>
      </c>
      <c r="E17" s="23" t="s">
        <v>50</v>
      </c>
      <c r="F17" s="24" t="s">
        <v>51</v>
      </c>
      <c r="G17" s="24" t="s">
        <v>71</v>
      </c>
      <c r="H17" s="24">
        <v>1.0982</v>
      </c>
      <c r="I17" s="24">
        <v>111.44</v>
      </c>
      <c r="J17" s="96"/>
      <c r="K17" s="97">
        <v>649440</v>
      </c>
      <c r="L17" s="94"/>
      <c r="M17" s="45">
        <f>SUM(K17/N17)</f>
        <v>1640</v>
      </c>
      <c r="N17" s="98">
        <v>396</v>
      </c>
      <c r="O17" s="24">
        <v>7.12</v>
      </c>
      <c r="P17" s="95">
        <f>SUM(N17*O17)</f>
        <v>2819.52</v>
      </c>
      <c r="Q17" s="100"/>
      <c r="R17" s="100"/>
      <c r="S17" s="73">
        <f t="shared" si="5"/>
        <v>1056.6299</v>
      </c>
      <c r="T17" s="73">
        <f t="shared" si="6"/>
        <v>8.60795</v>
      </c>
      <c r="U17" s="73">
        <f t="shared" si="7"/>
        <v>13.7275</v>
      </c>
      <c r="V17" s="73"/>
      <c r="W17" s="73"/>
      <c r="X17" s="75">
        <f t="shared" si="0"/>
        <v>1078.96535</v>
      </c>
      <c r="Y17" s="88">
        <f t="shared" si="8"/>
        <v>171.9033455</v>
      </c>
      <c r="Z17" s="88"/>
      <c r="AA17" s="88">
        <f t="shared" si="9"/>
        <v>0.703494</v>
      </c>
      <c r="AB17" s="88">
        <f t="shared" si="1"/>
        <v>172.6068395</v>
      </c>
      <c r="AC17" s="93">
        <v>7.12</v>
      </c>
      <c r="AD17" s="73">
        <f t="shared" si="2"/>
        <v>1228.96069724</v>
      </c>
      <c r="AE17" s="74">
        <f t="shared" si="3"/>
        <v>2307.92604724</v>
      </c>
      <c r="AF17" s="74">
        <f t="shared" si="4"/>
        <v>511.59395276</v>
      </c>
    </row>
    <row r="18" s="2" customFormat="1" spans="1:32">
      <c r="A18" s="90"/>
      <c r="B18" s="24"/>
      <c r="C18" s="91">
        <v>240627000022</v>
      </c>
      <c r="D18" s="25">
        <v>45470</v>
      </c>
      <c r="E18" s="23" t="s">
        <v>48</v>
      </c>
      <c r="F18" s="24" t="s">
        <v>48</v>
      </c>
      <c r="G18" s="24" t="s">
        <v>72</v>
      </c>
      <c r="H18" s="24">
        <v>0.8852</v>
      </c>
      <c r="I18" s="24">
        <v>140.4</v>
      </c>
      <c r="J18" s="92">
        <v>2136.9</v>
      </c>
      <c r="K18" s="93"/>
      <c r="L18" s="94"/>
      <c r="M18" s="45"/>
      <c r="N18" s="94"/>
      <c r="O18" s="24"/>
      <c r="P18" s="95">
        <f>SUBTOTAL(9,J18)</f>
        <v>2136.9</v>
      </c>
      <c r="Q18" s="101"/>
      <c r="R18" s="101"/>
      <c r="S18" s="73">
        <f t="shared" si="5"/>
        <v>851.692576470588</v>
      </c>
      <c r="T18" s="73">
        <f t="shared" si="6"/>
        <v>6.93840588235294</v>
      </c>
      <c r="U18" s="73">
        <f t="shared" si="7"/>
        <v>11.065</v>
      </c>
      <c r="V18" s="73"/>
      <c r="W18" s="73"/>
      <c r="X18" s="75">
        <f t="shared" si="0"/>
        <v>869.695982352941</v>
      </c>
      <c r="Y18" s="88">
        <f t="shared" si="8"/>
        <v>138.562048294118</v>
      </c>
      <c r="Z18" s="88"/>
      <c r="AA18" s="88">
        <f t="shared" si="9"/>
        <v>0.567048705882353</v>
      </c>
      <c r="AB18" s="88">
        <f t="shared" si="1"/>
        <v>139.129097</v>
      </c>
      <c r="AC18" s="93">
        <v>7.12</v>
      </c>
      <c r="AD18" s="73">
        <f t="shared" si="2"/>
        <v>990.599170640002</v>
      </c>
      <c r="AE18" s="74">
        <f t="shared" si="3"/>
        <v>1860.29515299294</v>
      </c>
      <c r="AF18" s="74">
        <f t="shared" si="4"/>
        <v>276.604847007057</v>
      </c>
    </row>
    <row r="19" customFormat="1" spans="1:32">
      <c r="A19" s="26" t="s">
        <v>10</v>
      </c>
      <c r="B19" s="27"/>
      <c r="C19" s="27"/>
      <c r="D19" s="27"/>
      <c r="E19" s="27"/>
      <c r="F19" s="27"/>
      <c r="G19" s="27"/>
      <c r="H19" s="27"/>
      <c r="I19" s="27"/>
      <c r="J19" s="27">
        <f>SUM(J4:J4)</f>
        <v>0</v>
      </c>
      <c r="K19" s="51"/>
      <c r="L19" s="52"/>
      <c r="M19" s="51"/>
      <c r="N19" s="51">
        <f t="shared" ref="N19:Q19" si="12">SUM(N4:N4)</f>
        <v>0</v>
      </c>
      <c r="O19" s="27"/>
      <c r="P19" s="27">
        <f t="shared" si="12"/>
        <v>0</v>
      </c>
      <c r="Q19" s="27">
        <f t="shared" si="12"/>
        <v>0</v>
      </c>
      <c r="R19" s="27"/>
      <c r="S19" s="27"/>
      <c r="T19" s="27"/>
      <c r="U19" s="27"/>
      <c r="V19" s="27"/>
      <c r="W19" s="27"/>
      <c r="X19" s="76">
        <f>SUM(X4:X4)</f>
        <v>0</v>
      </c>
      <c r="Y19" s="52"/>
      <c r="Z19" s="52"/>
      <c r="AA19" s="52"/>
      <c r="AB19" s="52"/>
      <c r="AC19" s="51"/>
      <c r="AD19" s="27">
        <f>SUM(AD4:AD4)</f>
        <v>0</v>
      </c>
      <c r="AE19" s="27"/>
      <c r="AF19" s="89">
        <f>SUM(AF4:AF18)</f>
        <v>20271.9853014588</v>
      </c>
    </row>
    <row r="20" customFormat="1" spans="4:29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</row>
    <row r="21" customFormat="1" spans="4:29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</row>
  </sheetData>
  <autoFilter xmlns:etc="http://www.wps.cn/officeDocument/2017/etCustomData" ref="A3:AF19" etc:filterBottomFollowUsedRange="0">
    <extLst/>
  </autoFilter>
  <mergeCells count="21">
    <mergeCell ref="A1:AF1"/>
    <mergeCell ref="J3:P3"/>
    <mergeCell ref="R3:V3"/>
    <mergeCell ref="Y3:AD3"/>
    <mergeCell ref="A3:A4"/>
    <mergeCell ref="A5:A18"/>
    <mergeCell ref="B3:B4"/>
    <mergeCell ref="B5:B18"/>
    <mergeCell ref="C3:C4"/>
    <mergeCell ref="D3:D4"/>
    <mergeCell ref="E3:E4"/>
    <mergeCell ref="F3:F4"/>
    <mergeCell ref="G3:G4"/>
    <mergeCell ref="H3:H4"/>
    <mergeCell ref="I3:I4"/>
    <mergeCell ref="Q3:Q4"/>
    <mergeCell ref="Q5:Q18"/>
    <mergeCell ref="R5:R18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3"/>
  <sheetViews>
    <sheetView zoomScale="110" zoomScaleNormal="110" topLeftCell="Q1" workbookViewId="0">
      <selection activeCell="J2" sqref="$A2:$XFD2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4.4333333333333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75"/>
  </cols>
  <sheetData>
    <row r="1" ht="31" customHeight="1" spans="1:3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28"/>
      <c r="L1" s="29"/>
      <c r="M1" s="28"/>
      <c r="N1" s="8"/>
      <c r="O1" s="30"/>
      <c r="P1" s="8"/>
      <c r="Q1" s="8"/>
      <c r="R1" s="8"/>
      <c r="S1" s="8"/>
      <c r="T1" s="53"/>
      <c r="U1" s="53"/>
      <c r="V1" s="54"/>
      <c r="W1" s="53"/>
      <c r="X1" s="55"/>
      <c r="Y1" s="29"/>
      <c r="Z1" s="29"/>
      <c r="AA1" s="29"/>
      <c r="AB1" s="29"/>
      <c r="AC1" s="28"/>
      <c r="AD1" s="29"/>
      <c r="AE1" s="8"/>
      <c r="AF1" s="8"/>
    </row>
    <row r="2" customFormat="1" ht="31" customHeight="1" spans="1:32">
      <c r="A2" s="9" t="s">
        <v>77</v>
      </c>
      <c r="B2" s="9" t="s">
        <v>78</v>
      </c>
      <c r="C2" s="9">
        <v>9.8978</v>
      </c>
      <c r="D2" s="8"/>
      <c r="E2" s="8"/>
      <c r="F2" s="8"/>
      <c r="G2" s="8"/>
      <c r="H2" s="8"/>
      <c r="I2" s="8"/>
      <c r="J2" s="8"/>
      <c r="K2" s="28"/>
      <c r="L2" s="29"/>
      <c r="M2" s="28"/>
      <c r="N2" s="8"/>
      <c r="O2" s="30"/>
      <c r="P2" s="8"/>
      <c r="Q2" s="8"/>
      <c r="R2" s="8"/>
      <c r="S2" s="8"/>
      <c r="T2" s="53"/>
      <c r="U2" s="53"/>
      <c r="V2" s="54"/>
      <c r="W2" s="53"/>
      <c r="X2" s="55"/>
      <c r="Y2" s="29"/>
      <c r="Z2" s="29"/>
      <c r="AA2" s="29"/>
      <c r="AB2" s="29"/>
      <c r="AC2" s="28"/>
      <c r="AD2" s="29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12</v>
      </c>
      <c r="D3" s="13" t="s">
        <v>13</v>
      </c>
      <c r="E3" s="14" t="s">
        <v>14</v>
      </c>
      <c r="F3" s="15" t="s">
        <v>15</v>
      </c>
      <c r="G3" s="15" t="s">
        <v>16</v>
      </c>
      <c r="H3" s="15" t="s">
        <v>17</v>
      </c>
      <c r="I3" s="15" t="s">
        <v>18</v>
      </c>
      <c r="J3" s="31" t="s">
        <v>19</v>
      </c>
      <c r="K3" s="32"/>
      <c r="L3" s="33"/>
      <c r="M3" s="32"/>
      <c r="N3" s="33"/>
      <c r="O3" s="34"/>
      <c r="P3" s="35"/>
      <c r="Q3" s="56" t="s">
        <v>20</v>
      </c>
      <c r="R3" s="57" t="s">
        <v>21</v>
      </c>
      <c r="S3" s="58"/>
      <c r="T3" s="59"/>
      <c r="U3" s="60"/>
      <c r="V3" s="61"/>
      <c r="W3" s="62" t="s">
        <v>22</v>
      </c>
      <c r="X3" s="63" t="s">
        <v>23</v>
      </c>
      <c r="Y3" s="77" t="s">
        <v>24</v>
      </c>
      <c r="Z3" s="77"/>
      <c r="AA3" s="77"/>
      <c r="AB3" s="77"/>
      <c r="AC3" s="78"/>
      <c r="AD3" s="77"/>
      <c r="AE3" s="79" t="s">
        <v>25</v>
      </c>
      <c r="AF3" s="80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19"/>
      <c r="J4" s="36" t="s">
        <v>26</v>
      </c>
      <c r="K4" s="37" t="s">
        <v>27</v>
      </c>
      <c r="L4" s="38" t="s">
        <v>28</v>
      </c>
      <c r="M4" s="37" t="s">
        <v>29</v>
      </c>
      <c r="N4" s="39" t="s">
        <v>30</v>
      </c>
      <c r="O4" s="40" t="s">
        <v>31</v>
      </c>
      <c r="P4" s="41" t="s">
        <v>32</v>
      </c>
      <c r="Q4" s="64"/>
      <c r="R4" s="65" t="s">
        <v>33</v>
      </c>
      <c r="S4" s="66" t="s">
        <v>34</v>
      </c>
      <c r="T4" s="67" t="s">
        <v>35</v>
      </c>
      <c r="U4" s="68" t="s">
        <v>36</v>
      </c>
      <c r="V4" s="67" t="s">
        <v>37</v>
      </c>
      <c r="W4" s="69"/>
      <c r="X4" s="70"/>
      <c r="Y4" s="81" t="s">
        <v>38</v>
      </c>
      <c r="Z4" s="81" t="s">
        <v>39</v>
      </c>
      <c r="AA4" s="81" t="s">
        <v>40</v>
      </c>
      <c r="AB4" s="82" t="s">
        <v>41</v>
      </c>
      <c r="AC4" s="83" t="s">
        <v>42</v>
      </c>
      <c r="AD4" s="84" t="s">
        <v>32</v>
      </c>
      <c r="AE4" s="85" t="s">
        <v>43</v>
      </c>
      <c r="AF4" s="86"/>
    </row>
    <row r="5" s="2" customFormat="1" spans="1:32">
      <c r="A5" s="20" t="s">
        <v>8</v>
      </c>
      <c r="B5" s="21" t="s">
        <v>9</v>
      </c>
      <c r="C5" s="22">
        <v>240619000007</v>
      </c>
      <c r="D5" s="23">
        <v>45471</v>
      </c>
      <c r="E5" s="23" t="s">
        <v>50</v>
      </c>
      <c r="F5" s="21" t="s">
        <v>51</v>
      </c>
      <c r="G5" s="21" t="s">
        <v>73</v>
      </c>
      <c r="H5" s="24">
        <v>0.917</v>
      </c>
      <c r="I5" s="24">
        <v>510</v>
      </c>
      <c r="J5" s="42">
        <v>2914</v>
      </c>
      <c r="K5" s="43"/>
      <c r="L5" s="44"/>
      <c r="M5" s="45"/>
      <c r="N5" s="44"/>
      <c r="O5" s="21"/>
      <c r="P5" s="46">
        <f>SUBTOTAL(9,J5)</f>
        <v>2914</v>
      </c>
      <c r="Q5" s="71">
        <f>SUM(P5:P10)</f>
        <v>28646.262</v>
      </c>
      <c r="R5" s="71" t="s">
        <v>74</v>
      </c>
      <c r="S5" s="72">
        <f t="shared" ref="S5:S10" si="0">SUM(20340/9.8997)*H5</f>
        <v>1884.07527500833</v>
      </c>
      <c r="T5" s="73">
        <f t="shared" ref="T5:T10" si="1">SUM(215.1/9.8997)*H5</f>
        <v>19.9245128640262</v>
      </c>
      <c r="U5" s="74"/>
      <c r="V5" s="74"/>
      <c r="W5" s="74"/>
      <c r="X5" s="75">
        <f t="shared" ref="X5:X10" si="2">SUM(S5:W5)</f>
        <v>1903.99978787236</v>
      </c>
      <c r="Y5" s="87">
        <f t="shared" ref="Y5:Y10" si="3">SUM(221.6/9.8997)*H5</f>
        <v>20.5266018162167</v>
      </c>
      <c r="Z5" s="87">
        <v>73.61</v>
      </c>
      <c r="AA5" s="87"/>
      <c r="AB5" s="88">
        <f t="shared" ref="AB5:AB10" si="4">SUM(Y5:AA5)</f>
        <v>94.1366018162167</v>
      </c>
      <c r="AC5" s="43">
        <v>7.1</v>
      </c>
      <c r="AD5" s="73">
        <f t="shared" ref="AD5:AD10" si="5">SUM(AB5*AC5)</f>
        <v>668.369872895138</v>
      </c>
      <c r="AE5" s="74">
        <f t="shared" ref="AE5:AE10" si="6">SUM(X5+AD5)</f>
        <v>2572.3696607675</v>
      </c>
      <c r="AF5" s="74">
        <f t="shared" ref="AF5:AF10" si="7">SUM(P5-AE5)</f>
        <v>341.630339232502</v>
      </c>
    </row>
    <row r="6" s="2" customFormat="1" spans="1:32">
      <c r="A6" s="20"/>
      <c r="B6" s="21"/>
      <c r="C6" s="22">
        <v>240617000031</v>
      </c>
      <c r="D6" s="23">
        <v>45470</v>
      </c>
      <c r="E6" s="23" t="s">
        <v>44</v>
      </c>
      <c r="F6" s="21" t="s">
        <v>45</v>
      </c>
      <c r="G6" s="21" t="s">
        <v>64</v>
      </c>
      <c r="H6" s="24">
        <v>0.1218</v>
      </c>
      <c r="I6" s="24">
        <v>88</v>
      </c>
      <c r="J6" s="42">
        <v>339</v>
      </c>
      <c r="K6" s="43"/>
      <c r="L6" s="44"/>
      <c r="M6" s="45"/>
      <c r="N6" s="44"/>
      <c r="O6" s="21"/>
      <c r="P6" s="47">
        <f>SUBTOTAL(9,J6)</f>
        <v>339</v>
      </c>
      <c r="Q6" s="71"/>
      <c r="R6" s="71"/>
      <c r="S6" s="72">
        <f t="shared" si="0"/>
        <v>250.251219733931</v>
      </c>
      <c r="T6" s="73">
        <f t="shared" si="1"/>
        <v>2.64646201400042</v>
      </c>
      <c r="U6" s="74"/>
      <c r="V6" s="74"/>
      <c r="W6" s="74"/>
      <c r="X6" s="75">
        <f t="shared" si="2"/>
        <v>252.897681747932</v>
      </c>
      <c r="Y6" s="87">
        <f t="shared" si="3"/>
        <v>2.72643413436771</v>
      </c>
      <c r="Z6" s="87"/>
      <c r="AA6" s="87"/>
      <c r="AB6" s="88">
        <f t="shared" si="4"/>
        <v>2.72643413436771</v>
      </c>
      <c r="AC6" s="43">
        <v>7.1</v>
      </c>
      <c r="AD6" s="73">
        <f t="shared" si="5"/>
        <v>19.3576823540107</v>
      </c>
      <c r="AE6" s="74">
        <f t="shared" si="6"/>
        <v>272.255364101943</v>
      </c>
      <c r="AF6" s="74">
        <f t="shared" si="7"/>
        <v>66.7446358980575</v>
      </c>
    </row>
    <row r="7" s="2" customFormat="1" spans="1:32">
      <c r="A7" s="20"/>
      <c r="B7" s="21"/>
      <c r="C7" s="22">
        <v>240626000021</v>
      </c>
      <c r="D7" s="23">
        <v>45470</v>
      </c>
      <c r="E7" s="23" t="s">
        <v>50</v>
      </c>
      <c r="F7" s="21" t="s">
        <v>51</v>
      </c>
      <c r="G7" s="21" t="s">
        <v>75</v>
      </c>
      <c r="H7" s="24">
        <v>0.5044</v>
      </c>
      <c r="I7" s="24">
        <v>54.9</v>
      </c>
      <c r="J7" s="46"/>
      <c r="K7" s="48">
        <v>311202</v>
      </c>
      <c r="L7" s="44"/>
      <c r="M7" s="45">
        <f>SUM(K7/N7)</f>
        <v>1695</v>
      </c>
      <c r="N7" s="49">
        <v>183.6</v>
      </c>
      <c r="O7" s="21">
        <v>7.12</v>
      </c>
      <c r="P7" s="47">
        <f>SUM(N7*O7)</f>
        <v>1307.232</v>
      </c>
      <c r="Q7" s="71"/>
      <c r="R7" s="71"/>
      <c r="S7" s="72">
        <f t="shared" si="0"/>
        <v>1036.34413164035</v>
      </c>
      <c r="T7" s="73">
        <f t="shared" si="1"/>
        <v>10.9595684717719</v>
      </c>
      <c r="U7" s="74"/>
      <c r="V7" s="74"/>
      <c r="W7" s="74"/>
      <c r="X7" s="75">
        <f t="shared" si="2"/>
        <v>1047.30370011212</v>
      </c>
      <c r="Y7" s="87">
        <f t="shared" si="3"/>
        <v>11.2907502247543</v>
      </c>
      <c r="Z7" s="87"/>
      <c r="AA7" s="87"/>
      <c r="AB7" s="88">
        <f t="shared" si="4"/>
        <v>11.2907502247543</v>
      </c>
      <c r="AC7" s="43">
        <v>7.1</v>
      </c>
      <c r="AD7" s="73">
        <f t="shared" si="5"/>
        <v>80.1643265957554</v>
      </c>
      <c r="AE7" s="74">
        <f t="shared" si="6"/>
        <v>1127.46802670788</v>
      </c>
      <c r="AF7" s="74">
        <f t="shared" si="7"/>
        <v>179.76397329212</v>
      </c>
    </row>
    <row r="8" s="2" customFormat="1" spans="1:32">
      <c r="A8" s="20"/>
      <c r="B8" s="21"/>
      <c r="C8" s="22">
        <v>240621000002</v>
      </c>
      <c r="D8" s="23">
        <v>45470</v>
      </c>
      <c r="E8" s="25" t="s">
        <v>61</v>
      </c>
      <c r="F8" s="21" t="s">
        <v>62</v>
      </c>
      <c r="G8" s="21" t="s">
        <v>76</v>
      </c>
      <c r="H8" s="24">
        <v>7.215</v>
      </c>
      <c r="I8" s="24">
        <v>975</v>
      </c>
      <c r="J8" s="50">
        <v>21110.59</v>
      </c>
      <c r="K8" s="43"/>
      <c r="L8" s="44"/>
      <c r="M8" s="45"/>
      <c r="N8" s="44"/>
      <c r="O8" s="21"/>
      <c r="P8" s="47">
        <f>SUM(J8)</f>
        <v>21110.59</v>
      </c>
      <c r="Q8" s="71"/>
      <c r="R8" s="71"/>
      <c r="S8" s="72">
        <f t="shared" si="0"/>
        <v>14823.994666505</v>
      </c>
      <c r="T8" s="73">
        <f t="shared" si="1"/>
        <v>156.767023243129</v>
      </c>
      <c r="U8" s="74"/>
      <c r="V8" s="74"/>
      <c r="W8" s="74"/>
      <c r="X8" s="75">
        <f t="shared" si="2"/>
        <v>14980.7616897482</v>
      </c>
      <c r="Y8" s="87">
        <f t="shared" si="3"/>
        <v>161.504288008728</v>
      </c>
      <c r="Z8" s="87"/>
      <c r="AA8" s="87"/>
      <c r="AB8" s="88">
        <f t="shared" si="4"/>
        <v>161.504288008728</v>
      </c>
      <c r="AC8" s="43">
        <v>7.1</v>
      </c>
      <c r="AD8" s="73">
        <f t="shared" si="5"/>
        <v>1146.68044486197</v>
      </c>
      <c r="AE8" s="74">
        <f t="shared" si="6"/>
        <v>16127.4421346101</v>
      </c>
      <c r="AF8" s="74">
        <f t="shared" si="7"/>
        <v>4983.14786538986</v>
      </c>
    </row>
    <row r="9" s="2" customFormat="1" spans="1:32">
      <c r="A9" s="20"/>
      <c r="B9" s="21"/>
      <c r="C9" s="22">
        <v>240625000038</v>
      </c>
      <c r="D9" s="23">
        <v>45471</v>
      </c>
      <c r="E9" s="23" t="s">
        <v>48</v>
      </c>
      <c r="F9" s="21" t="s">
        <v>48</v>
      </c>
      <c r="G9" s="21" t="s">
        <v>49</v>
      </c>
      <c r="H9" s="24">
        <v>0.8478</v>
      </c>
      <c r="I9" s="24">
        <v>220</v>
      </c>
      <c r="J9" s="42">
        <v>2197.44</v>
      </c>
      <c r="K9" s="43"/>
      <c r="L9" s="44"/>
      <c r="M9" s="45"/>
      <c r="N9" s="44"/>
      <c r="O9" s="21"/>
      <c r="P9" s="46">
        <f>SUBTOTAL(9,J9)</f>
        <v>2197.44</v>
      </c>
      <c r="Q9" s="71"/>
      <c r="R9" s="71"/>
      <c r="S9" s="72">
        <f t="shared" si="0"/>
        <v>1741.89642110367</v>
      </c>
      <c r="T9" s="73">
        <f t="shared" si="1"/>
        <v>18.4209400284857</v>
      </c>
      <c r="U9" s="74"/>
      <c r="V9" s="74"/>
      <c r="W9" s="74"/>
      <c r="X9" s="75">
        <f t="shared" si="2"/>
        <v>1760.31736113216</v>
      </c>
      <c r="Y9" s="87">
        <f t="shared" si="3"/>
        <v>18.9775932604018</v>
      </c>
      <c r="Z9" s="87"/>
      <c r="AA9" s="87"/>
      <c r="AB9" s="88">
        <f t="shared" si="4"/>
        <v>18.9775932604018</v>
      </c>
      <c r="AC9" s="43">
        <v>7.1</v>
      </c>
      <c r="AD9" s="73">
        <f t="shared" si="5"/>
        <v>134.740912148853</v>
      </c>
      <c r="AE9" s="74">
        <f t="shared" si="6"/>
        <v>1895.05827328101</v>
      </c>
      <c r="AF9" s="74">
        <f t="shared" si="7"/>
        <v>302.381726718992</v>
      </c>
    </row>
    <row r="10" s="2" customFormat="1" spans="1:32">
      <c r="A10" s="20"/>
      <c r="B10" s="21"/>
      <c r="C10" s="22">
        <v>240627000005</v>
      </c>
      <c r="D10" s="23">
        <v>45471</v>
      </c>
      <c r="E10" s="23" t="s">
        <v>50</v>
      </c>
      <c r="F10" s="21" t="s">
        <v>51</v>
      </c>
      <c r="G10" s="21" t="s">
        <v>73</v>
      </c>
      <c r="H10" s="24">
        <v>0.2937</v>
      </c>
      <c r="I10" s="24">
        <v>24</v>
      </c>
      <c r="J10" s="42">
        <v>778</v>
      </c>
      <c r="K10" s="43"/>
      <c r="L10" s="44"/>
      <c r="M10" s="45"/>
      <c r="N10" s="44"/>
      <c r="O10" s="21"/>
      <c r="P10" s="46">
        <f>SUBTOTAL(9,J10)</f>
        <v>778</v>
      </c>
      <c r="Q10" s="71"/>
      <c r="R10" s="71"/>
      <c r="S10" s="72">
        <f t="shared" si="0"/>
        <v>603.438286008667</v>
      </c>
      <c r="T10" s="73">
        <f t="shared" si="1"/>
        <v>6.38149337858723</v>
      </c>
      <c r="U10" s="74"/>
      <c r="V10" s="74"/>
      <c r="W10" s="74"/>
      <c r="X10" s="75">
        <f t="shared" si="2"/>
        <v>609.819779387254</v>
      </c>
      <c r="Y10" s="87">
        <f t="shared" si="3"/>
        <v>6.57433255553199</v>
      </c>
      <c r="Z10" s="87"/>
      <c r="AA10" s="87"/>
      <c r="AB10" s="88">
        <f t="shared" si="4"/>
        <v>6.57433255553199</v>
      </c>
      <c r="AC10" s="43">
        <v>7.1</v>
      </c>
      <c r="AD10" s="73">
        <f t="shared" si="5"/>
        <v>46.6777611442771</v>
      </c>
      <c r="AE10" s="74">
        <f t="shared" si="6"/>
        <v>656.497540531531</v>
      </c>
      <c r="AF10" s="74">
        <f t="shared" si="7"/>
        <v>121.502459468469</v>
      </c>
    </row>
    <row r="11" customFormat="1" spans="1:32">
      <c r="A11" s="26" t="s">
        <v>10</v>
      </c>
      <c r="B11" s="27"/>
      <c r="C11" s="27"/>
      <c r="D11" s="27"/>
      <c r="E11" s="27"/>
      <c r="F11" s="27"/>
      <c r="G11" s="27"/>
      <c r="H11" s="27"/>
      <c r="I11" s="27"/>
      <c r="J11" s="27">
        <f>SUM(J4:J4)</f>
        <v>0</v>
      </c>
      <c r="K11" s="51"/>
      <c r="L11" s="52"/>
      <c r="M11" s="51"/>
      <c r="N11" s="51">
        <f t="shared" ref="N11:Q11" si="8">SUM(N4:N4)</f>
        <v>0</v>
      </c>
      <c r="O11" s="27"/>
      <c r="P11" s="27">
        <f t="shared" si="8"/>
        <v>0</v>
      </c>
      <c r="Q11" s="27">
        <f t="shared" si="8"/>
        <v>0</v>
      </c>
      <c r="R11" s="27"/>
      <c r="S11" s="27"/>
      <c r="T11" s="27"/>
      <c r="U11" s="27"/>
      <c r="V11" s="27"/>
      <c r="W11" s="27"/>
      <c r="X11" s="76">
        <f>SUM(X4:X4)</f>
        <v>0</v>
      </c>
      <c r="Y11" s="52"/>
      <c r="Z11" s="52"/>
      <c r="AA11" s="52"/>
      <c r="AB11" s="52"/>
      <c r="AC11" s="51"/>
      <c r="AD11" s="27">
        <f>SUM(AD4:AD4)</f>
        <v>0</v>
      </c>
      <c r="AE11" s="27"/>
      <c r="AF11" s="89">
        <f>SUM(AF4:AF10)</f>
        <v>5995.171</v>
      </c>
    </row>
    <row r="12" customFormat="1" spans="4:29">
      <c r="D12" s="3"/>
      <c r="E12" s="3"/>
      <c r="K12" s="4"/>
      <c r="L12" s="5"/>
      <c r="M12" s="4"/>
      <c r="X12" s="7"/>
      <c r="Y12" s="5"/>
      <c r="Z12" s="5"/>
      <c r="AA12" s="5"/>
      <c r="AB12" s="5"/>
      <c r="AC12" s="4"/>
    </row>
    <row r="13" customFormat="1" spans="4:29">
      <c r="D13" s="3"/>
      <c r="E13" s="3"/>
      <c r="K13" s="4"/>
      <c r="L13" s="5"/>
      <c r="M13" s="4"/>
      <c r="X13" s="7"/>
      <c r="Y13" s="5"/>
      <c r="Z13" s="5"/>
      <c r="AA13" s="5"/>
      <c r="AB13" s="5"/>
      <c r="AC13" s="4"/>
    </row>
  </sheetData>
  <autoFilter xmlns:etc="http://www.wps.cn/officeDocument/2017/etCustomData" ref="A3:AF11" etc:filterBottomFollowUsedRange="0">
    <extLst/>
  </autoFilter>
  <mergeCells count="21">
    <mergeCell ref="A1:AF1"/>
    <mergeCell ref="J3:P3"/>
    <mergeCell ref="R3:V3"/>
    <mergeCell ref="Y3:AD3"/>
    <mergeCell ref="A3:A4"/>
    <mergeCell ref="A5:A10"/>
    <mergeCell ref="B3:B4"/>
    <mergeCell ref="B5:B10"/>
    <mergeCell ref="C3:C4"/>
    <mergeCell ref="D3:D4"/>
    <mergeCell ref="E3:E4"/>
    <mergeCell ref="F3:F4"/>
    <mergeCell ref="G3:G4"/>
    <mergeCell ref="H3:H4"/>
    <mergeCell ref="I3:I4"/>
    <mergeCell ref="Q3:Q4"/>
    <mergeCell ref="Q5:Q10"/>
    <mergeCell ref="R5:R10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总表</vt:lpstr>
      <vt:lpstr>总表2</vt:lpstr>
      <vt:lpstr>JOB060359</vt:lpstr>
      <vt:lpstr>JOB060384</vt:lpstr>
      <vt:lpstr>JOB060385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2020-12-16T06:30:00Z</dcterms:created>
  <dcterms:modified xsi:type="dcterms:W3CDTF">2025-07-28T08:43:45Z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