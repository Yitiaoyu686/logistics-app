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1"/>
  </bookViews>
  <sheets>
    <sheet name="总表" sheetId="1" r:id="rId1"/>
    <sheet name="总表 (2)" sheetId="2" r:id="rId2"/>
    <sheet name="JOB070344" sheetId="3" r:id="rId3"/>
    <sheet name="JOB070349" sheetId="4" r:id="rId4"/>
    <sheet name="JOB070360" sheetId="5" r:id="rId5"/>
    <sheet name="JOB070370" sheetId="6" r:id="rId6"/>
    <sheet name="JOB070375" sheetId="7" r:id="rId7"/>
  </sheets>
  <definedNames>
    <definedName name="_xlnm._FilterDatabase" localSheetId="0" hidden="1">总表!$A$2:$C$70</definedName>
    <definedName name="_xlnm._FilterDatabase" localSheetId="1" hidden="1">'总表 (2)'!$A$2:$AF$70</definedName>
    <definedName name="_xlnm._FilterDatabase" localSheetId="2" hidden="1">'JOB070344'!$A$3:$AF$26</definedName>
    <definedName name="_xlnm._FilterDatabase" localSheetId="3" hidden="1">'JOB070349'!$A$3:$AF$12</definedName>
    <definedName name="_xlnm._FilterDatabase" localSheetId="4" hidden="1">'JOB070360'!$A$3:$AF$11</definedName>
    <definedName name="_xlnm._FilterDatabase" localSheetId="5" hidden="1">'JOB070370'!$A$3:$AF$17</definedName>
    <definedName name="_xlnm._FilterDatabase" localSheetId="6" hidden="1">'JOB070375'!$A$3:$AF$25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N4" authorId="0">
      <text>
        <r>
          <rPr>
            <sz val="9"/>
            <rFont val="宋体"/>
            <charset val="134"/>
          </rPr>
          <t xml:space="preserve">预付10001.88转到位USD1377.66
</t>
        </r>
      </text>
    </comment>
    <comment ref="J5" authorId="0">
      <text>
        <r>
          <rPr>
            <sz val="9"/>
            <rFont val="宋体"/>
            <charset val="134"/>
          </rPr>
          <t xml:space="preserve">到付USD4065.05转预付29720.
</t>
        </r>
      </text>
    </comment>
    <comment ref="J6" authorId="0">
      <text>
        <r>
          <rPr>
            <sz val="9"/>
            <rFont val="宋体"/>
            <charset val="134"/>
          </rPr>
          <t xml:space="preserve">到付USD261.2转预付1893.7.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到付USD227.56转预付1662.94
</t>
        </r>
      </text>
    </comment>
    <comment ref="J14" authorId="0">
      <text>
        <r>
          <rPr>
            <sz val="9"/>
            <rFont val="宋体"/>
            <charset val="134"/>
          </rPr>
          <t xml:space="preserve">到付USD321.79转预付2361.55.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到付USD829.91转预付6070.88.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到付USD1829.05转预付13360.1
</t>
        </r>
      </text>
    </comment>
    <comment ref="J17" authorId="0">
      <text>
        <r>
          <rPr>
            <sz val="9"/>
            <rFont val="宋体"/>
            <charset val="134"/>
          </rPr>
          <t xml:space="preserve">到付USD1041.85转预付7525.12.
</t>
        </r>
      </text>
    </comment>
    <comment ref="J18" authorId="0">
      <text>
        <r>
          <rPr>
            <sz val="9"/>
            <rFont val="宋体"/>
            <charset val="134"/>
          </rPr>
          <t xml:space="preserve">到付USD533.15转预付3294.7
</t>
        </r>
      </text>
    </comment>
    <comment ref="J19" authorId="0">
      <text>
        <r>
          <rPr>
            <sz val="9"/>
            <rFont val="宋体"/>
            <charset val="134"/>
          </rPr>
          <t xml:space="preserve">到付USD421.08转预付2989.7
</t>
        </r>
      </text>
    </comment>
    <comment ref="J20" authorId="0">
      <text>
        <r>
          <rPr>
            <sz val="9"/>
            <rFont val="宋体"/>
            <charset val="134"/>
          </rPr>
          <t xml:space="preserve">到付USD10589.98转预付74014.5
</t>
        </r>
      </text>
    </comment>
    <comment ref="J22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J23" authorId="0">
      <text>
        <r>
          <rPr>
            <sz val="9"/>
            <rFont val="宋体"/>
            <charset val="134"/>
          </rPr>
          <t xml:space="preserve">到付USD8948.81转预付63805.02
</t>
        </r>
      </text>
    </comment>
    <comment ref="J24" authorId="0">
      <text>
        <r>
          <rPr>
            <sz val="9"/>
            <rFont val="宋体"/>
            <charset val="134"/>
          </rPr>
          <t xml:space="preserve">到付USD14.76转预付106.
</t>
        </r>
      </text>
    </comment>
    <comment ref="J26" authorId="0">
      <text>
        <r>
          <rPr>
            <sz val="9"/>
            <rFont val="宋体"/>
            <charset val="134"/>
          </rPr>
          <t xml:space="preserve">到付USD4065.05转预付29720.
</t>
        </r>
      </text>
    </comment>
    <comment ref="J27" authorId="0">
      <text>
        <r>
          <rPr>
            <sz val="9"/>
            <rFont val="宋体"/>
            <charset val="134"/>
          </rPr>
          <t xml:space="preserve">到付USD5888.25转预付43280.
</t>
        </r>
      </text>
    </comment>
    <comment ref="J29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J30" authorId="0">
      <text>
        <r>
          <rPr>
            <sz val="9"/>
            <rFont val="宋体"/>
            <charset val="134"/>
          </rPr>
          <t xml:space="preserve">到付USD1951.3转预付13912.77
</t>
        </r>
      </text>
    </comment>
    <comment ref="J31" authorId="0">
      <text>
        <r>
          <rPr>
            <sz val="9"/>
            <rFont val="宋体"/>
            <charset val="134"/>
          </rPr>
          <t xml:space="preserve">到付USD7293.91转预付52005.58
</t>
        </r>
      </text>
    </comment>
    <comment ref="J32" authorId="0">
      <text>
        <r>
          <rPr>
            <sz val="9"/>
            <rFont val="宋体"/>
            <charset val="134"/>
          </rPr>
          <t xml:space="preserve">到付USD4560.69转预付32609.
</t>
        </r>
      </text>
    </comment>
    <comment ref="W32" authorId="0">
      <text>
        <r>
          <rPr>
            <sz val="9"/>
            <rFont val="宋体"/>
            <charset val="134"/>
          </rPr>
          <t xml:space="preserve">叉车费
</t>
        </r>
      </text>
    </comment>
    <comment ref="J34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J35" authorId="0">
      <text>
        <r>
          <rPr>
            <sz val="9"/>
            <rFont val="宋体"/>
            <charset val="134"/>
          </rPr>
          <t xml:space="preserve">到付USD45.9转预付330.48.
</t>
        </r>
      </text>
    </comment>
    <comment ref="J36" authorId="0">
      <text>
        <r>
          <rPr>
            <sz val="9"/>
            <rFont val="宋体"/>
            <charset val="134"/>
          </rPr>
          <t xml:space="preserve">到付USD544转预付3916.8 按7.2.
</t>
        </r>
      </text>
    </comment>
    <comment ref="J37" authorId="0">
      <text>
        <r>
          <rPr>
            <sz val="9"/>
            <rFont val="宋体"/>
            <charset val="134"/>
          </rPr>
          <t xml:space="preserve">到付USD8768.55转预付62519.76
</t>
        </r>
      </text>
    </comment>
    <comment ref="J38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T38" authorId="0">
      <text>
        <r>
          <rPr>
            <sz val="9"/>
            <rFont val="宋体"/>
            <charset val="134"/>
          </rPr>
          <t xml:space="preserve">吊车和提货费用
</t>
        </r>
      </text>
    </comment>
    <comment ref="J39" authorId="0">
      <text>
        <r>
          <rPr>
            <sz val="9"/>
            <rFont val="宋体"/>
            <charset val="134"/>
          </rPr>
          <t xml:space="preserve">到付USD992.38转预付7303.
</t>
        </r>
      </text>
    </comment>
    <comment ref="N41" authorId="0">
      <text>
        <r>
          <rPr>
            <sz val="9"/>
            <rFont val="宋体"/>
            <charset val="134"/>
          </rPr>
          <t xml:space="preserve">预付4396.92转到付USD605.63
</t>
        </r>
      </text>
    </comment>
    <comment ref="J43" authorId="0">
      <text>
        <r>
          <rPr>
            <sz val="9"/>
            <rFont val="宋体"/>
            <charset val="134"/>
          </rPr>
          <t xml:space="preserve">到付USD84.73转预付660.29.
</t>
        </r>
      </text>
    </comment>
    <comment ref="J44" authorId="0">
      <text>
        <r>
          <rPr>
            <sz val="9"/>
            <rFont val="宋体"/>
            <charset val="134"/>
          </rPr>
          <t xml:space="preserve">到付USD2721.6转预付19595.52.
</t>
        </r>
      </text>
    </comment>
    <comment ref="J45" authorId="0">
      <text>
        <r>
          <rPr>
            <sz val="9"/>
            <rFont val="宋体"/>
            <charset val="134"/>
          </rPr>
          <t xml:space="preserve">到付USD3475.38转预付24968.54.
</t>
        </r>
      </text>
    </comment>
    <comment ref="J46" authorId="0">
      <text>
        <r>
          <rPr>
            <sz val="9"/>
            <rFont val="宋体"/>
            <charset val="134"/>
          </rPr>
          <t xml:space="preserve">到付USD1524.87转预付10979.06
</t>
        </r>
      </text>
    </comment>
    <comment ref="J48" authorId="0">
      <text>
        <r>
          <rPr>
            <sz val="9"/>
            <rFont val="宋体"/>
            <charset val="134"/>
          </rPr>
          <t xml:space="preserve">到付USD4078.77转预付29367.14
</t>
        </r>
      </text>
    </comment>
    <comment ref="J49" authorId="0">
      <text>
        <r>
          <rPr>
            <sz val="9"/>
            <rFont val="宋体"/>
            <charset val="134"/>
          </rPr>
          <t xml:space="preserve">到付USD5890转预付41995.7
</t>
        </r>
      </text>
    </comment>
    <comment ref="J50" authorId="0">
      <text>
        <r>
          <rPr>
            <sz val="9"/>
            <rFont val="宋体"/>
            <charset val="134"/>
          </rPr>
          <t xml:space="preserve">到付USD160转预付1117.2
</t>
        </r>
      </text>
    </comment>
    <comment ref="J51" authorId="0">
      <text>
        <r>
          <rPr>
            <sz val="9"/>
            <rFont val="宋体"/>
            <charset val="134"/>
          </rPr>
          <t>到付USD86.7转预付630.</t>
        </r>
      </text>
    </comment>
    <comment ref="J53" authorId="0">
      <text>
        <r>
          <rPr>
            <sz val="9"/>
            <rFont val="宋体"/>
            <charset val="134"/>
          </rPr>
          <t xml:space="preserve">到付USD5079.32转预付36825.07.
</t>
        </r>
      </text>
    </comment>
    <comment ref="J54" authorId="0">
      <text>
        <r>
          <rPr>
            <b/>
            <sz val="9"/>
            <rFont val="宋体"/>
            <charset val="134"/>
          </rPr>
          <t>3到付USD82.52转预付606.5.</t>
        </r>
        <r>
          <rPr>
            <sz val="9"/>
            <rFont val="宋体"/>
            <charset val="134"/>
          </rPr>
          <t xml:space="preserve">
</t>
        </r>
      </text>
    </comment>
    <comment ref="J55" authorId="0">
      <text>
        <r>
          <rPr>
            <sz val="9"/>
            <rFont val="宋体"/>
            <charset val="134"/>
          </rPr>
          <t xml:space="preserve">到付USD340.14转预付2500.
</t>
        </r>
      </text>
    </comment>
    <comment ref="J56" authorId="0">
      <text>
        <r>
          <rPr>
            <sz val="9"/>
            <rFont val="宋体"/>
            <charset val="134"/>
          </rPr>
          <t xml:space="preserve">到付USD587.35转预付4300.07.
</t>
        </r>
      </text>
    </comment>
    <comment ref="J57" authorId="0">
      <text>
        <r>
          <rPr>
            <sz val="9"/>
            <rFont val="宋体"/>
            <charset val="134"/>
          </rPr>
          <t xml:space="preserve">到付USD120.43转预付880.38.
</t>
        </r>
      </text>
    </comment>
    <comment ref="J58" authorId="0">
      <text>
        <r>
          <rPr>
            <sz val="9"/>
            <rFont val="宋体"/>
            <charset val="134"/>
          </rPr>
          <t xml:space="preserve">到付USD120.69转预付894.
</t>
        </r>
      </text>
    </comment>
    <comment ref="J60" authorId="0">
      <text>
        <r>
          <rPr>
            <sz val="9"/>
            <rFont val="宋体"/>
            <charset val="134"/>
          </rPr>
          <t xml:space="preserve">到付USD1703.6转预付12265.92
</t>
        </r>
      </text>
    </comment>
    <comment ref="J61" authorId="0">
      <text>
        <r>
          <rPr>
            <sz val="9"/>
            <rFont val="宋体"/>
            <charset val="134"/>
          </rPr>
          <t xml:space="preserve">到付USD177.86转预付1280.59.
</t>
        </r>
      </text>
    </comment>
    <comment ref="J62" authorId="0">
      <text>
        <r>
          <rPr>
            <sz val="9"/>
            <rFont val="宋体"/>
            <charset val="134"/>
          </rPr>
          <t xml:space="preserve">到付USD7952.75转预付57259.8.
</t>
        </r>
      </text>
    </comment>
    <comment ref="J64" authorId="0">
      <text>
        <r>
          <rPr>
            <sz val="9"/>
            <rFont val="宋体"/>
            <charset val="134"/>
          </rPr>
          <t xml:space="preserve">到付USD4800.1转预付34224.71
</t>
        </r>
      </text>
    </comment>
    <comment ref="J65" authorId="0">
      <text>
        <r>
          <rPr>
            <sz val="9"/>
            <rFont val="宋体"/>
            <charset val="134"/>
          </rPr>
          <t xml:space="preserve">到付USD185.39转预付1334.81.
</t>
        </r>
      </text>
    </comment>
    <comment ref="J66" authorId="0">
      <text>
        <r>
          <rPr>
            <sz val="9"/>
            <rFont val="宋体"/>
            <charset val="134"/>
          </rPr>
          <t xml:space="preserve">到付USD63.9转预付460.08
</t>
        </r>
      </text>
    </comment>
    <comment ref="J67" authorId="0">
      <text>
        <r>
          <rPr>
            <sz val="9"/>
            <rFont val="宋体"/>
            <charset val="134"/>
          </rPr>
          <t xml:space="preserve">到付USD859.24转预付6208.07
</t>
        </r>
      </text>
    </comment>
    <comment ref="J68" authorId="0">
      <text>
        <r>
          <rPr>
            <sz val="9"/>
            <rFont val="宋体"/>
            <charset val="134"/>
          </rPr>
          <t xml:space="preserve">到付USD877.5转预付6294.95.
</t>
        </r>
      </text>
    </comment>
    <comment ref="J69" authorId="0">
      <text>
        <r>
          <rPr>
            <sz val="9"/>
            <rFont val="宋体"/>
            <charset val="134"/>
          </rPr>
          <t xml:space="preserve">到付USD111.33转预付807.14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N5" authorId="0">
      <text>
        <r>
          <rPr>
            <sz val="9"/>
            <rFont val="宋体"/>
            <charset val="134"/>
          </rPr>
          <t xml:space="preserve">预付10001.88转到位USD1377.66
</t>
        </r>
      </text>
    </comment>
    <comment ref="J6" authorId="0">
      <text>
        <r>
          <rPr>
            <sz val="9"/>
            <rFont val="宋体"/>
            <charset val="134"/>
          </rPr>
          <t xml:space="preserve">到付USD4065.05转预付29720.
</t>
        </r>
      </text>
    </comment>
    <comment ref="J7" authorId="0">
      <text>
        <r>
          <rPr>
            <sz val="9"/>
            <rFont val="宋体"/>
            <charset val="134"/>
          </rPr>
          <t xml:space="preserve">到付USD261.2转预付1893.7.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到付USD227.56转预付1662.94
</t>
        </r>
      </text>
    </comment>
    <comment ref="J15" authorId="0">
      <text>
        <r>
          <rPr>
            <sz val="9"/>
            <rFont val="宋体"/>
            <charset val="134"/>
          </rPr>
          <t xml:space="preserve">到付USD321.79转预付2361.55.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到付USD829.91转预付6070.88.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到付USD1829.05转预付13360.1
</t>
        </r>
      </text>
    </comment>
    <comment ref="J18" authorId="0">
      <text>
        <r>
          <rPr>
            <sz val="9"/>
            <rFont val="宋体"/>
            <charset val="134"/>
          </rPr>
          <t xml:space="preserve">到付USD1041.85转预付7525.12.
</t>
        </r>
      </text>
    </comment>
    <comment ref="J19" authorId="0">
      <text>
        <r>
          <rPr>
            <sz val="9"/>
            <rFont val="宋体"/>
            <charset val="134"/>
          </rPr>
          <t xml:space="preserve">到付USD533.15转预付3294.7
</t>
        </r>
      </text>
    </comment>
    <comment ref="J20" authorId="0">
      <text>
        <r>
          <rPr>
            <sz val="9"/>
            <rFont val="宋体"/>
            <charset val="134"/>
          </rPr>
          <t xml:space="preserve">到付USD421.08转预付2989.7
</t>
        </r>
      </text>
    </comment>
    <comment ref="J21" authorId="0">
      <text>
        <r>
          <rPr>
            <sz val="9"/>
            <rFont val="宋体"/>
            <charset val="134"/>
          </rPr>
          <t xml:space="preserve">到付USD10589.98转预付74014.5
</t>
        </r>
      </text>
    </comment>
    <comment ref="J23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J24" authorId="0">
      <text>
        <r>
          <rPr>
            <sz val="9"/>
            <rFont val="宋体"/>
            <charset val="134"/>
          </rPr>
          <t xml:space="preserve">到付USD8948.81转预付63805.02
</t>
        </r>
      </text>
    </comment>
    <comment ref="J25" authorId="0">
      <text>
        <r>
          <rPr>
            <sz val="9"/>
            <rFont val="宋体"/>
            <charset val="134"/>
          </rPr>
          <t xml:space="preserve">到付USD14.76转预付106.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到付USD4065.05转预付29720.
</t>
        </r>
      </text>
    </comment>
    <comment ref="J7" authorId="0">
      <text>
        <r>
          <rPr>
            <sz val="9"/>
            <rFont val="宋体"/>
            <charset val="134"/>
          </rPr>
          <t xml:space="preserve">到付USD5888.25转预付43280.
</t>
        </r>
      </text>
    </comment>
    <comment ref="J9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到付USD1951.3转预付13912.77
</t>
        </r>
      </text>
    </comment>
    <comment ref="J11" authorId="0">
      <text>
        <r>
          <rPr>
            <sz val="9"/>
            <rFont val="宋体"/>
            <charset val="134"/>
          </rPr>
          <t xml:space="preserve">到付USD7293.91转预付52005.58
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到付USD4560.69转预付32609.
</t>
        </r>
      </text>
    </comment>
    <comment ref="W5" authorId="0">
      <text>
        <r>
          <rPr>
            <sz val="9"/>
            <rFont val="宋体"/>
            <charset val="134"/>
          </rPr>
          <t xml:space="preserve">叉车费
</t>
        </r>
      </text>
    </comment>
    <comment ref="J7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J8" authorId="0">
      <text>
        <r>
          <rPr>
            <sz val="9"/>
            <rFont val="宋体"/>
            <charset val="134"/>
          </rPr>
          <t xml:space="preserve">到付USD45.9转预付330.48.
</t>
        </r>
      </text>
    </comment>
    <comment ref="J9" authorId="0">
      <text>
        <r>
          <rPr>
            <sz val="9"/>
            <rFont val="宋体"/>
            <charset val="134"/>
          </rPr>
          <t xml:space="preserve">到付USD544转预付3916.8 按7.2.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到付USD8768.55转预付62519.76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到付USD9925.7转预付72954.
</t>
        </r>
      </text>
    </comment>
    <comment ref="T5" authorId="0">
      <text>
        <r>
          <rPr>
            <sz val="9"/>
            <rFont val="宋体"/>
            <charset val="134"/>
          </rPr>
          <t xml:space="preserve">吊车和提货费用
</t>
        </r>
      </text>
    </comment>
    <comment ref="J6" authorId="0">
      <text>
        <r>
          <rPr>
            <sz val="9"/>
            <rFont val="宋体"/>
            <charset val="134"/>
          </rPr>
          <t xml:space="preserve">到付USD992.38转预付7303.
</t>
        </r>
      </text>
    </comment>
    <comment ref="N8" authorId="0">
      <text>
        <r>
          <rPr>
            <sz val="9"/>
            <rFont val="宋体"/>
            <charset val="134"/>
          </rPr>
          <t xml:space="preserve">预付4396.92转到付USD605.63
</t>
        </r>
      </text>
    </comment>
    <comment ref="J10" authorId="0">
      <text>
        <r>
          <rPr>
            <sz val="9"/>
            <rFont val="宋体"/>
            <charset val="134"/>
          </rPr>
          <t xml:space="preserve">到付USD84.73转预付660.29.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到付USD2721.6转预付19595.52.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到付USD3475.38转预付24968.54.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到付USD1524.87转预付10979.06
</t>
        </r>
      </text>
    </comment>
    <comment ref="J15" authorId="0">
      <text>
        <r>
          <rPr>
            <sz val="9"/>
            <rFont val="宋体"/>
            <charset val="134"/>
          </rPr>
          <t xml:space="preserve">到付USD4078.77转预付29367.14
</t>
        </r>
      </text>
    </comment>
    <comment ref="J16" authorId="0">
      <text>
        <r>
          <rPr>
            <sz val="9"/>
            <rFont val="宋体"/>
            <charset val="134"/>
          </rPr>
          <t xml:space="preserve">到付USD5890转预付41995.7
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到付USD160转预付1117.2
</t>
        </r>
      </text>
    </comment>
    <comment ref="J6" authorId="0">
      <text>
        <r>
          <rPr>
            <sz val="9"/>
            <rFont val="宋体"/>
            <charset val="134"/>
          </rPr>
          <t>到付USD86.7转预付630.</t>
        </r>
      </text>
    </comment>
    <comment ref="J8" authorId="0">
      <text>
        <r>
          <rPr>
            <sz val="9"/>
            <rFont val="宋体"/>
            <charset val="134"/>
          </rPr>
          <t xml:space="preserve">到付USD5079.32转预付36825.07.
</t>
        </r>
      </text>
    </comment>
    <comment ref="J9" authorId="0">
      <text>
        <r>
          <rPr>
            <b/>
            <sz val="9"/>
            <rFont val="宋体"/>
            <charset val="134"/>
          </rPr>
          <t>3到付USD82.52转预付606.5.</t>
        </r>
        <r>
          <rPr>
            <sz val="9"/>
            <rFont val="宋体"/>
            <charset val="134"/>
          </rPr>
          <t xml:space="preserve">
</t>
        </r>
      </text>
    </comment>
    <comment ref="J10" authorId="0">
      <text>
        <r>
          <rPr>
            <sz val="9"/>
            <rFont val="宋体"/>
            <charset val="134"/>
          </rPr>
          <t xml:space="preserve">到付USD340.14转预付2500.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到付USD587.35转预付4300.07.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到付USD120.43转预付880.38.
</t>
        </r>
      </text>
    </comment>
    <comment ref="J13" authorId="0">
      <text>
        <r>
          <rPr>
            <sz val="9"/>
            <rFont val="宋体"/>
            <charset val="134"/>
          </rPr>
          <t xml:space="preserve">到付USD120.69转预付894.
</t>
        </r>
      </text>
    </comment>
    <comment ref="J15" authorId="0">
      <text>
        <r>
          <rPr>
            <sz val="9"/>
            <rFont val="宋体"/>
            <charset val="134"/>
          </rPr>
          <t xml:space="preserve">到付USD1703.6转预付12265.92
</t>
        </r>
      </text>
    </comment>
    <comment ref="J16" authorId="0">
      <text>
        <r>
          <rPr>
            <sz val="9"/>
            <rFont val="宋体"/>
            <charset val="134"/>
          </rPr>
          <t xml:space="preserve">到付USD177.86转预付1280.59.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到付USD7952.75转预付57259.8.
</t>
        </r>
      </text>
    </comment>
    <comment ref="J19" authorId="0">
      <text>
        <r>
          <rPr>
            <sz val="9"/>
            <rFont val="宋体"/>
            <charset val="134"/>
          </rPr>
          <t xml:space="preserve">到付USD4800.1转预付34224.71
</t>
        </r>
      </text>
    </comment>
    <comment ref="J20" authorId="0">
      <text>
        <r>
          <rPr>
            <sz val="9"/>
            <rFont val="宋体"/>
            <charset val="134"/>
          </rPr>
          <t xml:space="preserve">到付USD185.39转预付1334.81.
</t>
        </r>
      </text>
    </comment>
    <comment ref="J21" authorId="0">
      <text>
        <r>
          <rPr>
            <sz val="9"/>
            <rFont val="宋体"/>
            <charset val="134"/>
          </rPr>
          <t xml:space="preserve">到付USD63.9转预付460.08
</t>
        </r>
      </text>
    </comment>
    <comment ref="J22" authorId="0">
      <text>
        <r>
          <rPr>
            <sz val="9"/>
            <rFont val="宋体"/>
            <charset val="134"/>
          </rPr>
          <t xml:space="preserve">到付USD859.24转预付6208.07
</t>
        </r>
      </text>
    </comment>
    <comment ref="J23" authorId="0">
      <text>
        <r>
          <rPr>
            <sz val="9"/>
            <rFont val="宋体"/>
            <charset val="134"/>
          </rPr>
          <t xml:space="preserve">到付USD877.5转预付6294.95.
</t>
        </r>
      </text>
    </comment>
    <comment ref="J24" authorId="0">
      <text>
        <r>
          <rPr>
            <sz val="9"/>
            <rFont val="宋体"/>
            <charset val="134"/>
          </rPr>
          <t xml:space="preserve">到付USD111.33转预付807.14
</t>
        </r>
      </text>
    </comment>
  </commentList>
</comments>
</file>

<file path=xl/sharedStrings.xml><?xml version="1.0" encoding="utf-8"?>
<sst xmlns="http://schemas.openxmlformats.org/spreadsheetml/2006/main" count="679" uniqueCount="100">
  <si>
    <t>2024年07月份LOS毛利表（海运）</t>
  </si>
  <si>
    <t>JOB</t>
  </si>
  <si>
    <t>集装编号 </t>
  </si>
  <si>
    <t>利润</t>
  </si>
  <si>
    <t>JOB070344</t>
  </si>
  <si>
    <t>COLL004043</t>
  </si>
  <si>
    <t>JOB070349</t>
  </si>
  <si>
    <t>COLL004049</t>
  </si>
  <si>
    <t>JOB070360</t>
  </si>
  <si>
    <t>COLL004060</t>
  </si>
  <si>
    <t>JOB070370</t>
  </si>
  <si>
    <t>COLL004070</t>
  </si>
  <si>
    <t>JOB070375</t>
  </si>
  <si>
    <t>COLL004074</t>
  </si>
  <si>
    <t>合计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</si>
  <si>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</si>
  <si>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</si>
  <si>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</si>
  <si>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</si>
  <si>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</si>
  <si>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</si>
  <si>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</si>
  <si>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</si>
  <si>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</si>
  <si>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</si>
  <si>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</si>
  <si>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</si>
  <si>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</si>
  <si>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</si>
  <si>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</si>
  <si>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</si>
  <si>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</si>
  <si>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</si>
  <si>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</si>
  <si>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</si>
  <si>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</si>
  <si>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</si>
  <si>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</si>
  <si>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</si>
  <si>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</si>
  <si>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</si>
  <si>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</si>
  <si>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</si>
  <si>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</si>
  <si>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</si>
  <si>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</si>
  <si>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</si>
  <si>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黄颖</t>
  </si>
  <si>
    <t>ying</t>
  </si>
  <si>
    <t>baikaibo</t>
  </si>
  <si>
    <t>华茂青松=60177 
赛捷=1300</t>
  </si>
  <si>
    <t>Sunday Adelena</t>
  </si>
  <si>
    <t>Sam.Pao</t>
  </si>
  <si>
    <t>TOLUBOD MOVERS</t>
  </si>
  <si>
    <t>JunYue hotel</t>
  </si>
  <si>
    <t>朱小飞</t>
  </si>
  <si>
    <t>Isabel Zhu</t>
  </si>
  <si>
    <t>Wang Hui Feng</t>
  </si>
  <si>
    <t>Halifa Success</t>
  </si>
  <si>
    <t>吕沛霖</t>
  </si>
  <si>
    <t>喵喵速运-Layne</t>
  </si>
  <si>
    <t>YA</t>
  </si>
  <si>
    <t>Jinggang Pan</t>
  </si>
  <si>
    <t>无人</t>
  </si>
  <si>
    <t>Mailmail Abv sales person 1</t>
  </si>
  <si>
    <t>Adams</t>
  </si>
  <si>
    <t>Lilon</t>
  </si>
  <si>
    <t>Mr. Jiang</t>
  </si>
  <si>
    <t>LuZhiLong</t>
  </si>
  <si>
    <t>KE ZONG</t>
  </si>
  <si>
    <t>Huangpu</t>
  </si>
  <si>
    <t>SKY JET</t>
  </si>
  <si>
    <t>MaiKaiNian</t>
  </si>
  <si>
    <t>华茂青松=60177
赛捷=800</t>
  </si>
  <si>
    <t>Joshua</t>
  </si>
  <si>
    <t>华茂青松=60177 
赛捷=1500</t>
  </si>
  <si>
    <t>陆总</t>
  </si>
  <si>
    <t>喵喵速运-江</t>
  </si>
  <si>
    <t>LUZHILONG</t>
  </si>
  <si>
    <t>华茂青松=60177 
赛捷=2300</t>
  </si>
  <si>
    <t>liangyu</t>
  </si>
  <si>
    <t>Ikenna</t>
  </si>
  <si>
    <t>Candice Ding</t>
  </si>
  <si>
    <t>Bella</t>
  </si>
  <si>
    <t>Bella Chan</t>
  </si>
  <si>
    <t>James</t>
  </si>
  <si>
    <t>Yusky</t>
  </si>
  <si>
    <t>Victor Nnamdi</t>
  </si>
  <si>
    <t>苏慧琪</t>
  </si>
  <si>
    <t>Danny</t>
  </si>
  <si>
    <t>Austin Efe</t>
  </si>
  <si>
    <t>Nura</t>
  </si>
  <si>
    <t>Mr Michael</t>
  </si>
  <si>
    <t>chuks</t>
  </si>
  <si>
    <t>罗伟健</t>
  </si>
  <si>
    <t>MailMail速运-演员</t>
  </si>
  <si>
    <t>zeng hai</t>
  </si>
  <si>
    <t>zhong zi xin</t>
  </si>
  <si>
    <t>PSL表</t>
  </si>
  <si>
    <t>体积cbm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</si>
</sst>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&quot;US$&quot;#,##0.00;\-&quot;US$&quot;#,##0.00"/>
    <numFmt numFmtId="178" formatCode="&quot;JOB&quot;000000"/>
    <numFmt numFmtId="179" formatCode="000000"/>
    <numFmt numFmtId="180" formatCode="m&quot;月&quot;d&quot;日&quot;;@"/>
    <numFmt numFmtId="181" formatCode="0_ "/>
    <numFmt numFmtId="182" formatCode="&quot;￥&quot;#,##0.00_);[Red]\(&quot;￥&quot;#,##0.00\)"/>
    <numFmt numFmtId="183" formatCode="_ * #,##0.00_ ;_ * \-#,##0.00_ ;_ * &quot;-&quot;_ ;_ @_ "/>
    <numFmt numFmtId="184" formatCode="0.0000_ "/>
  </numFmts>
  <fonts count="41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rgb="FFFF0000"/>
      <name val="Microsoft JhengHei"/>
      <charset val="134"/>
    </font>
    <font>
      <b/>
      <sz val="18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12"/>
      <name val="Microsoft JhengHei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9" fillId="9" borderId="14" applyNumberFormat="0" applyAlignment="0" applyProtection="0">
      <alignment vertical="center"/>
    </xf>
    <xf numFmtId="0" fontId="30" fillId="9" borderId="13" applyNumberFormat="0" applyAlignment="0" applyProtection="0">
      <alignment vertical="center"/>
    </xf>
    <xf numFmtId="0" fontId="31" fillId="10" borderId="15" applyNumberFormat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7" fontId="2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79" fontId="6" fillId="2" borderId="1" xfId="1" applyNumberFormat="1" applyFont="1" applyFill="1" applyBorder="1" applyAlignment="1">
      <alignment horizontal="center" vertical="center"/>
    </xf>
    <xf numFmtId="180" fontId="7" fillId="2" borderId="1" xfId="1" applyNumberFormat="1" applyFont="1" applyFill="1" applyBorder="1" applyAlignment="1">
      <alignment horizontal="center" vertical="center"/>
    </xf>
    <xf numFmtId="180" fontId="7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78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80" fontId="7" fillId="2" borderId="3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181" fontId="2" fillId="0" borderId="1" xfId="0" applyNumberFormat="1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58" fontId="2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2" fontId="1" fillId="3" borderId="4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182" fontId="11" fillId="0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vertical="center"/>
    </xf>
    <xf numFmtId="182" fontId="5" fillId="3" borderId="1" xfId="0" applyNumberFormat="1" applyFont="1" applyFill="1" applyBorder="1" applyAlignment="1">
      <alignment horizontal="right" vertical="center"/>
    </xf>
    <xf numFmtId="176" fontId="12" fillId="3" borderId="1" xfId="0" applyNumberFormat="1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13" fillId="3" borderId="1" xfId="0" applyNumberFormat="1" applyFont="1" applyFill="1" applyBorder="1" applyAlignment="1">
      <alignment horizontal="center" vertical="center"/>
    </xf>
    <xf numFmtId="182" fontId="14" fillId="0" borderId="1" xfId="0" applyNumberFormat="1" applyFont="1" applyFill="1" applyBorder="1" applyAlignment="1">
      <alignment horizontal="right" vertical="center"/>
    </xf>
    <xf numFmtId="182" fontId="9" fillId="2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8" fillId="2" borderId="1" xfId="0" applyNumberFormat="1" applyFont="1" applyFill="1" applyBorder="1" applyAlignment="1">
      <alignment vertical="center"/>
    </xf>
    <xf numFmtId="176" fontId="9" fillId="3" borderId="1" xfId="0" applyNumberFormat="1" applyFont="1" applyFill="1" applyBorder="1" applyAlignment="1">
      <alignment horizontal="center" vertical="center"/>
    </xf>
    <xf numFmtId="182" fontId="8" fillId="2" borderId="1" xfId="0" applyNumberFormat="1" applyFont="1" applyFill="1" applyBorder="1" applyAlignment="1">
      <alignment vertical="center"/>
    </xf>
    <xf numFmtId="182" fontId="9" fillId="0" borderId="1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vertical="center"/>
    </xf>
    <xf numFmtId="177" fontId="8" fillId="3" borderId="1" xfId="0" applyNumberFormat="1" applyFont="1" applyFill="1" applyBorder="1" applyAlignment="1">
      <alignment vertical="center"/>
    </xf>
    <xf numFmtId="182" fontId="8" fillId="3" borderId="1" xfId="0" applyNumberFormat="1" applyFont="1" applyFill="1" applyBorder="1" applyAlignment="1">
      <alignment vertical="center"/>
    </xf>
    <xf numFmtId="177" fontId="9" fillId="2" borderId="1" xfId="0" applyNumberFormat="1" applyFon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7" fontId="15" fillId="0" borderId="0" xfId="0" applyNumberFormat="1" applyFont="1" applyFill="1" applyAlignment="1">
      <alignment horizontal="center" vertical="center"/>
    </xf>
    <xf numFmtId="182" fontId="1" fillId="4" borderId="2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82" fontId="5" fillId="5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182" fontId="5" fillId="0" borderId="5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82" fontId="13" fillId="0" borderId="8" xfId="0" applyNumberFormat="1" applyFont="1" applyFill="1" applyBorder="1" applyAlignment="1">
      <alignment horizontal="center" vertical="center" wrapText="1"/>
    </xf>
    <xf numFmtId="7" fontId="15" fillId="3" borderId="2" xfId="0" applyNumberFormat="1" applyFont="1" applyFill="1" applyBorder="1" applyAlignment="1">
      <alignment horizontal="center" vertical="center" wrapText="1"/>
    </xf>
    <xf numFmtId="182" fontId="1" fillId="4" borderId="3" xfId="0" applyNumberFormat="1" applyFont="1" applyFill="1" applyBorder="1" applyAlignment="1">
      <alignment horizontal="center" vertical="center"/>
    </xf>
    <xf numFmtId="183" fontId="16" fillId="5" borderId="1" xfId="4" applyNumberFormat="1" applyFont="1" applyFill="1" applyBorder="1" applyAlignment="1">
      <alignment horizontal="center" vertical="center"/>
    </xf>
    <xf numFmtId="182" fontId="14" fillId="5" borderId="1" xfId="4" applyNumberFormat="1" applyFont="1" applyFill="1" applyBorder="1" applyAlignment="1">
      <alignment horizontal="center" vertical="center"/>
    </xf>
    <xf numFmtId="183" fontId="14" fillId="0" borderId="1" xfId="4" applyNumberFormat="1" applyFont="1" applyFill="1" applyBorder="1" applyAlignment="1">
      <alignment horizontal="center" vertical="center"/>
    </xf>
    <xf numFmtId="182" fontId="14" fillId="0" borderId="1" xfId="4" applyNumberFormat="1" applyFont="1" applyFill="1" applyBorder="1" applyAlignment="1">
      <alignment horizontal="center" vertical="center"/>
    </xf>
    <xf numFmtId="182" fontId="13" fillId="0" borderId="9" xfId="0" applyNumberFormat="1" applyFont="1" applyFill="1" applyBorder="1" applyAlignment="1">
      <alignment horizontal="center" vertical="center" wrapText="1"/>
    </xf>
    <xf numFmtId="7" fontId="15" fillId="3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/>
    </xf>
    <xf numFmtId="182" fontId="2" fillId="0" borderId="2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vertical="center"/>
    </xf>
    <xf numFmtId="7" fontId="2" fillId="0" borderId="1" xfId="0" applyNumberFormat="1" applyFont="1" applyFill="1" applyBorder="1" applyAlignment="1">
      <alignment vertical="center"/>
    </xf>
    <xf numFmtId="182" fontId="2" fillId="0" borderId="3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vertical="center"/>
    </xf>
    <xf numFmtId="182" fontId="2" fillId="0" borderId="7" xfId="0" applyNumberFormat="1" applyFont="1" applyFill="1" applyBorder="1" applyAlignment="1">
      <alignment horizontal="center" vertical="center"/>
    </xf>
    <xf numFmtId="7" fontId="2" fillId="0" borderId="1" xfId="0" applyNumberFormat="1" applyFont="1" applyBorder="1" applyAlignment="1">
      <alignment vertical="center"/>
    </xf>
    <xf numFmtId="177" fontId="13" fillId="3" borderId="1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/>
    </xf>
    <xf numFmtId="182" fontId="13" fillId="4" borderId="2" xfId="0" applyNumberFormat="1" applyFont="1" applyFill="1" applyBorder="1" applyAlignment="1">
      <alignment horizontal="center" vertical="center"/>
    </xf>
    <xf numFmtId="182" fontId="1" fillId="6" borderId="2" xfId="0" applyNumberFormat="1" applyFont="1" applyFill="1" applyBorder="1" applyAlignment="1">
      <alignment horizontal="center" vertical="center"/>
    </xf>
    <xf numFmtId="177" fontId="17" fillId="3" borderId="1" xfId="0" applyNumberFormat="1" applyFont="1" applyFill="1" applyBorder="1" applyAlignment="1">
      <alignment vertical="center" wrapText="1"/>
    </xf>
    <xf numFmtId="177" fontId="13" fillId="3" borderId="1" xfId="0" applyNumberFormat="1" applyFont="1" applyFill="1" applyBorder="1" applyAlignment="1">
      <alignment horizontal="right" vertical="center"/>
    </xf>
    <xf numFmtId="176" fontId="15" fillId="3" borderId="1" xfId="0" applyNumberFormat="1" applyFont="1" applyFill="1" applyBorder="1" applyAlignment="1">
      <alignment horizontal="center" vertical="center"/>
    </xf>
    <xf numFmtId="182" fontId="13" fillId="3" borderId="1" xfId="0" applyNumberFormat="1" applyFont="1" applyFill="1" applyBorder="1" applyAlignment="1">
      <alignment horizontal="center" vertical="center"/>
    </xf>
    <xf numFmtId="182" fontId="13" fillId="4" borderId="1" xfId="0" applyNumberFormat="1" applyFont="1" applyFill="1" applyBorder="1" applyAlignment="1">
      <alignment horizontal="center" vertical="center"/>
    </xf>
    <xf numFmtId="182" fontId="1" fillId="6" borderId="7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vertical="center"/>
    </xf>
    <xf numFmtId="182" fontId="18" fillId="3" borderId="1" xfId="0" applyNumberFormat="1" applyFont="1" applyFill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vertical="center"/>
    </xf>
    <xf numFmtId="182" fontId="9" fillId="3" borderId="1" xfId="0" applyNumberFormat="1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vertical="center"/>
    </xf>
    <xf numFmtId="176" fontId="9" fillId="3" borderId="1" xfId="0" applyNumberFormat="1" applyFont="1" applyFill="1" applyBorder="1" applyAlignment="1">
      <alignment vertical="center"/>
    </xf>
    <xf numFmtId="177" fontId="9" fillId="3" borderId="1" xfId="0" applyNumberFormat="1" applyFont="1" applyFill="1" applyBorder="1" applyAlignment="1">
      <alignment vertical="center"/>
    </xf>
    <xf numFmtId="182" fontId="2" fillId="3" borderId="2" xfId="0" applyNumberFormat="1" applyFont="1" applyFill="1" applyBorder="1" applyAlignment="1">
      <alignment horizontal="center" vertical="center"/>
    </xf>
    <xf numFmtId="182" fontId="2" fillId="3" borderId="2" xfId="0" applyNumberFormat="1" applyFont="1" applyFill="1" applyBorder="1" applyAlignment="1">
      <alignment horizontal="center" vertical="center" wrapText="1"/>
    </xf>
    <xf numFmtId="182" fontId="2" fillId="3" borderId="3" xfId="0" applyNumberFormat="1" applyFont="1" applyFill="1" applyBorder="1" applyAlignment="1">
      <alignment horizontal="center" vertical="center"/>
    </xf>
    <xf numFmtId="182" fontId="2" fillId="3" borderId="7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184" fontId="8" fillId="3" borderId="1" xfId="0" applyNumberFormat="1" applyFont="1" applyFill="1" applyBorder="1" applyAlignment="1">
      <alignment vertical="center"/>
    </xf>
    <xf numFmtId="181" fontId="8" fillId="3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82" fontId="19" fillId="0" borderId="1" xfId="0" applyNumberFormat="1" applyFont="1" applyBorder="1" applyAlignment="1">
      <alignment vertical="center"/>
    </xf>
    <xf numFmtId="182" fontId="0" fillId="0" borderId="1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70"/>
  <sheetViews>
    <sheetView zoomScale="110" zoomScaleNormal="110" workbookViewId="0">
      <selection activeCell="C50" sqref="C50:C69"/>
    </sheetView>
  </sheetViews>
  <sheetFormatPr defaultColWidth="9" defaultRowHeight="13.5" outlineLevelCol="2"/>
  <cols>
    <col min="1" max="1" width="9.875" customWidth="1"/>
    <col min="2" max="2" width="11.625" customWidth="1"/>
    <col min="3" max="3" width="14.875"/>
  </cols>
  <sheetData>
    <row r="1" ht="31" customHeight="1" spans="1:3">
      <c r="A1" s="8" t="s">
        <v>0</v>
      </c>
      <c r="B1" s="8"/>
      <c r="C1" s="8"/>
    </row>
    <row r="2" s="1" customFormat="1" ht="23" customHeight="1" spans="1:3">
      <c r="A2" s="10" t="s">
        <v>1</v>
      </c>
      <c r="B2" s="11" t="s">
        <v>2</v>
      </c>
      <c r="C2" s="86" t="s">
        <v>3</v>
      </c>
    </row>
    <row r="3" s="1" customFormat="1" ht="27" customHeight="1" spans="1:3">
      <c r="A3" s="16"/>
      <c r="B3" s="17"/>
      <c r="C3" s="92"/>
    </row>
    <row r="4" s="2" customFormat="1" ht="5" customHeight="1" spans="1:3">
      <c r="A4" s="20" t="s">
        <v>4</v>
      </c>
      <c r="B4" s="21" t="s">
        <v>5</v>
      </c>
      <c r="C4" s="75">
        <f>SUM('JOB070344'!AF26)</f>
        <v>19020.5073823897</v>
      </c>
    </row>
    <row r="5" s="2" customFormat="1" ht="5" customHeight="1" spans="1:3">
      <c r="A5" s="20"/>
      <c r="B5" s="21"/>
      <c r="C5" s="79"/>
    </row>
    <row r="6" s="2" customFormat="1" ht="5" customHeight="1" spans="1:3">
      <c r="A6" s="20"/>
      <c r="B6" s="21"/>
      <c r="C6" s="79"/>
    </row>
    <row r="7" s="2" customFormat="1" ht="5" customHeight="1" spans="1:3">
      <c r="A7" s="20"/>
      <c r="B7" s="21"/>
      <c r="C7" s="79"/>
    </row>
    <row r="8" s="2" customFormat="1" ht="5" customHeight="1" spans="1:3">
      <c r="A8" s="20"/>
      <c r="B8" s="21"/>
      <c r="C8" s="79"/>
    </row>
    <row r="9" s="2" customFormat="1" ht="5" customHeight="1" spans="1:3">
      <c r="A9" s="20"/>
      <c r="B9" s="21"/>
      <c r="C9" s="79"/>
    </row>
    <row r="10" s="2" customFormat="1" ht="5" customHeight="1" spans="1:3">
      <c r="A10" s="20"/>
      <c r="B10" s="21"/>
      <c r="C10" s="79"/>
    </row>
    <row r="11" s="2" customFormat="1" ht="5" customHeight="1" spans="1:3">
      <c r="A11" s="20"/>
      <c r="B11" s="21"/>
      <c r="C11" s="79"/>
    </row>
    <row r="12" s="2" customFormat="1" ht="5" customHeight="1" spans="1:3">
      <c r="A12" s="20"/>
      <c r="B12" s="21"/>
      <c r="C12" s="79"/>
    </row>
    <row r="13" s="2" customFormat="1" ht="5" customHeight="1" spans="1:3">
      <c r="A13" s="20"/>
      <c r="B13" s="21"/>
      <c r="C13" s="79"/>
    </row>
    <row r="14" s="2" customFormat="1" ht="5" customHeight="1" spans="1:3">
      <c r="A14" s="20"/>
      <c r="B14" s="21"/>
      <c r="C14" s="79"/>
    </row>
    <row r="15" s="2" customFormat="1" ht="5" customHeight="1" spans="1:3">
      <c r="A15" s="20"/>
      <c r="B15" s="21"/>
      <c r="C15" s="79"/>
    </row>
    <row r="16" s="2" customFormat="1" ht="5" customHeight="1" spans="1:3">
      <c r="A16" s="20"/>
      <c r="B16" s="21"/>
      <c r="C16" s="79"/>
    </row>
    <row r="17" s="2" customFormat="1" ht="5" customHeight="1" spans="1:3">
      <c r="A17" s="20"/>
      <c r="B17" s="21"/>
      <c r="C17" s="79"/>
    </row>
    <row r="18" s="2" customFormat="1" ht="5" customHeight="1" spans="1:3">
      <c r="A18" s="20"/>
      <c r="B18" s="21"/>
      <c r="C18" s="79"/>
    </row>
    <row r="19" s="2" customFormat="1" ht="5" customHeight="1" spans="1:3">
      <c r="A19" s="20"/>
      <c r="B19" s="21"/>
      <c r="C19" s="81"/>
    </row>
    <row r="20" s="2" customFormat="1" ht="5" customHeight="1" spans="1:3">
      <c r="A20" s="20"/>
      <c r="B20" s="21"/>
      <c r="C20" s="79"/>
    </row>
    <row r="21" s="2" customFormat="1" ht="5" customHeight="1" spans="1:3">
      <c r="A21" s="20"/>
      <c r="B21" s="21"/>
      <c r="C21" s="75"/>
    </row>
    <row r="22" s="2" customFormat="1" ht="5" customHeight="1" spans="1:3">
      <c r="A22" s="20"/>
      <c r="B22" s="21"/>
      <c r="C22" s="75"/>
    </row>
    <row r="23" s="2" customFormat="1" ht="5" customHeight="1" spans="1:3">
      <c r="A23" s="20"/>
      <c r="B23" s="21"/>
      <c r="C23" s="79"/>
    </row>
    <row r="24" s="2" customFormat="1" ht="5" customHeight="1" spans="1:3">
      <c r="A24" s="20"/>
      <c r="B24" s="21"/>
      <c r="C24" s="81"/>
    </row>
    <row r="25" s="2" customFormat="1" ht="5" customHeight="1" spans="1:3">
      <c r="A25" s="20" t="s">
        <v>6</v>
      </c>
      <c r="B25" s="21" t="s">
        <v>7</v>
      </c>
      <c r="C25" s="75">
        <f>SUM('JOB070349'!AF12)</f>
        <v>14370.8705597353</v>
      </c>
    </row>
    <row r="26" s="2" customFormat="1" ht="5" customHeight="1" spans="1:3">
      <c r="A26" s="20"/>
      <c r="B26" s="21"/>
      <c r="C26" s="79"/>
    </row>
    <row r="27" s="2" customFormat="1" ht="5" customHeight="1" spans="1:3">
      <c r="A27" s="20"/>
      <c r="B27" s="21"/>
      <c r="C27" s="79"/>
    </row>
    <row r="28" s="2" customFormat="1" ht="5" customHeight="1" spans="1:3">
      <c r="A28" s="20"/>
      <c r="B28" s="21"/>
      <c r="C28" s="79"/>
    </row>
    <row r="29" s="2" customFormat="1" ht="5" customHeight="1" spans="1:3">
      <c r="A29" s="20"/>
      <c r="B29" s="21"/>
      <c r="C29" s="75"/>
    </row>
    <row r="30" s="2" customFormat="1" ht="5" customHeight="1" spans="1:3">
      <c r="A30" s="20"/>
      <c r="B30" s="21"/>
      <c r="C30" s="79"/>
    </row>
    <row r="31" s="2" customFormat="1" ht="5" customHeight="1" spans="1:3">
      <c r="A31" s="20"/>
      <c r="B31" s="21"/>
      <c r="C31" s="81"/>
    </row>
    <row r="32" s="2" customFormat="1" ht="5" customHeight="1" spans="1:3">
      <c r="A32" s="95" t="s">
        <v>8</v>
      </c>
      <c r="B32" s="24" t="s">
        <v>9</v>
      </c>
      <c r="C32" s="101">
        <f>SUM('JOB070360'!AF11)</f>
        <v>29212.5602404529</v>
      </c>
    </row>
    <row r="33" s="2" customFormat="1" ht="5" customHeight="1" spans="1:3">
      <c r="A33" s="95"/>
      <c r="B33" s="24"/>
      <c r="C33" s="103"/>
    </row>
    <row r="34" s="2" customFormat="1" ht="5" customHeight="1" spans="1:3">
      <c r="A34" s="95"/>
      <c r="B34" s="24"/>
      <c r="C34" s="101"/>
    </row>
    <row r="35" s="2" customFormat="1" ht="5" customHeight="1" spans="1:3">
      <c r="A35" s="95"/>
      <c r="B35" s="24"/>
      <c r="C35" s="103"/>
    </row>
    <row r="36" s="2" customFormat="1" ht="5" customHeight="1" spans="1:3">
      <c r="A36" s="95"/>
      <c r="B36" s="24"/>
      <c r="C36" s="103"/>
    </row>
    <row r="37" s="2" customFormat="1" ht="5" customHeight="1" spans="1:3">
      <c r="A37" s="95"/>
      <c r="B37" s="24"/>
      <c r="C37" s="104"/>
    </row>
    <row r="38" s="2" customFormat="1" ht="5" customHeight="1" spans="1:3">
      <c r="A38" s="95" t="s">
        <v>10</v>
      </c>
      <c r="B38" s="24" t="s">
        <v>11</v>
      </c>
      <c r="C38" s="101">
        <f>SUM('JOB070370'!AF17)</f>
        <v>11610.2001710215</v>
      </c>
    </row>
    <row r="39" s="2" customFormat="1" ht="5" customHeight="1" spans="1:3">
      <c r="A39" s="95"/>
      <c r="B39" s="24"/>
      <c r="C39" s="103"/>
    </row>
    <row r="40" s="2" customFormat="1" ht="5" customHeight="1" spans="1:3">
      <c r="A40" s="95"/>
      <c r="B40" s="24"/>
      <c r="C40" s="103"/>
    </row>
    <row r="41" s="2" customFormat="1" ht="5" customHeight="1" spans="1:3">
      <c r="A41" s="95"/>
      <c r="B41" s="24"/>
      <c r="C41" s="103"/>
    </row>
    <row r="42" s="2" customFormat="1" ht="5" customHeight="1" spans="1:3">
      <c r="A42" s="95"/>
      <c r="B42" s="24"/>
      <c r="C42" s="103"/>
    </row>
    <row r="43" s="2" customFormat="1" ht="5" customHeight="1" spans="1:3">
      <c r="A43" s="95"/>
      <c r="B43" s="24"/>
      <c r="C43" s="103"/>
    </row>
    <row r="44" s="2" customFormat="1" ht="5" customHeight="1" spans="1:3">
      <c r="A44" s="95"/>
      <c r="B44" s="24"/>
      <c r="C44" s="103"/>
    </row>
    <row r="45" s="2" customFormat="1" ht="5" customHeight="1" spans="1:3">
      <c r="A45" s="95"/>
      <c r="B45" s="24"/>
      <c r="C45" s="103"/>
    </row>
    <row r="46" s="2" customFormat="1" ht="5" customHeight="1" spans="1:3">
      <c r="A46" s="95"/>
      <c r="B46" s="24"/>
      <c r="C46" s="103"/>
    </row>
    <row r="47" s="2" customFormat="1" ht="5" customHeight="1" spans="1:3">
      <c r="A47" s="95"/>
      <c r="B47" s="24"/>
      <c r="C47" s="103"/>
    </row>
    <row r="48" s="2" customFormat="1" ht="5" customHeight="1" spans="1:3">
      <c r="A48" s="95"/>
      <c r="B48" s="24"/>
      <c r="C48" s="103"/>
    </row>
    <row r="49" s="2" customFormat="1" ht="5" customHeight="1" spans="1:3">
      <c r="A49" s="95"/>
      <c r="B49" s="24"/>
      <c r="C49" s="104"/>
    </row>
    <row r="50" s="2" customFormat="1" ht="5" customHeight="1" spans="1:3">
      <c r="A50" s="20" t="s">
        <v>12</v>
      </c>
      <c r="B50" s="21" t="s">
        <v>13</v>
      </c>
      <c r="C50" s="75">
        <f>SUM('JOB070375'!AF25)</f>
        <v>9409.10831344764</v>
      </c>
    </row>
    <row r="51" s="2" customFormat="1" ht="5" customHeight="1" spans="1:3">
      <c r="A51" s="20"/>
      <c r="B51" s="21"/>
      <c r="C51" s="79"/>
    </row>
    <row r="52" s="2" customFormat="1" ht="5" customHeight="1" spans="1:3">
      <c r="A52" s="20"/>
      <c r="B52" s="21"/>
      <c r="C52" s="79"/>
    </row>
    <row r="53" s="2" customFormat="1" ht="5" customHeight="1" spans="1:3">
      <c r="A53" s="20"/>
      <c r="B53" s="21"/>
      <c r="C53" s="79"/>
    </row>
    <row r="54" s="2" customFormat="1" ht="5" customHeight="1" spans="1:3">
      <c r="A54" s="20"/>
      <c r="B54" s="21"/>
      <c r="C54" s="79"/>
    </row>
    <row r="55" s="2" customFormat="1" ht="5" customHeight="1" spans="1:3">
      <c r="A55" s="20"/>
      <c r="B55" s="21"/>
      <c r="C55" s="79"/>
    </row>
    <row r="56" s="2" customFormat="1" ht="5" customHeight="1" spans="1:3">
      <c r="A56" s="20"/>
      <c r="B56" s="21"/>
      <c r="C56" s="79"/>
    </row>
    <row r="57" s="2" customFormat="1" ht="5" customHeight="1" spans="1:3">
      <c r="A57" s="20"/>
      <c r="B57" s="21"/>
      <c r="C57" s="79"/>
    </row>
    <row r="58" s="2" customFormat="1" ht="5" customHeight="1" spans="1:3">
      <c r="A58" s="20"/>
      <c r="B58" s="21"/>
      <c r="C58" s="79"/>
    </row>
    <row r="59" s="2" customFormat="1" ht="5" customHeight="1" spans="1:3">
      <c r="A59" s="20"/>
      <c r="B59" s="21"/>
      <c r="C59" s="79"/>
    </row>
    <row r="60" s="2" customFormat="1" ht="5" customHeight="1" spans="1:3">
      <c r="A60" s="20"/>
      <c r="B60" s="21"/>
      <c r="C60" s="79"/>
    </row>
    <row r="61" s="2" customFormat="1" ht="5" customHeight="1" spans="1:3">
      <c r="A61" s="20"/>
      <c r="B61" s="21"/>
      <c r="C61" s="79"/>
    </row>
    <row r="62" s="2" customFormat="1" ht="5" customHeight="1" spans="1:3">
      <c r="A62" s="20"/>
      <c r="B62" s="21"/>
      <c r="C62" s="79"/>
    </row>
    <row r="63" s="2" customFormat="1" ht="5" customHeight="1" spans="1:3">
      <c r="A63" s="20"/>
      <c r="B63" s="21"/>
      <c r="C63" s="79"/>
    </row>
    <row r="64" s="2" customFormat="1" ht="5" customHeight="1" spans="1:3">
      <c r="A64" s="20"/>
      <c r="B64" s="21"/>
      <c r="C64" s="79"/>
    </row>
    <row r="65" s="2" customFormat="1" ht="5" customHeight="1" spans="1:3">
      <c r="A65" s="20"/>
      <c r="B65" s="21"/>
      <c r="C65" s="79"/>
    </row>
    <row r="66" s="2" customFormat="1" ht="5" customHeight="1" spans="1:3">
      <c r="A66" s="20"/>
      <c r="B66" s="21"/>
      <c r="C66" s="79"/>
    </row>
    <row r="67" s="2" customFormat="1" ht="5" customHeight="1" spans="1:3">
      <c r="A67" s="20"/>
      <c r="B67" s="21"/>
      <c r="C67" s="79"/>
    </row>
    <row r="68" s="2" customFormat="1" ht="5" customHeight="1" spans="1:3">
      <c r="A68" s="20"/>
      <c r="B68" s="21"/>
      <c r="C68" s="79"/>
    </row>
    <row r="69" s="2" customFormat="1" ht="5" customHeight="1" spans="1:3">
      <c r="A69" s="20"/>
      <c r="B69" s="21"/>
      <c r="C69" s="81"/>
    </row>
    <row r="70" ht="15.75" spans="1:3">
      <c r="A70" s="27" t="s">
        <v>14</v>
      </c>
      <c r="B70" s="28"/>
      <c r="C70" s="94">
        <f>SUM(C4:C69)</f>
        <v>83623.246667047</v>
      </c>
    </row>
  </sheetData>
  <autoFilter xmlns:etc="http://www.wps.cn/officeDocument/2017/etCustomData" ref="A2:C70" etc:filterBottomFollowUsedRange="0">
    <extLst/>
  </autoFilter>
  <mergeCells count="19">
    <mergeCell ref="A1:C1"/>
    <mergeCell ref="A2:A3"/>
    <mergeCell ref="A4:A24"/>
    <mergeCell ref="A25:A31"/>
    <mergeCell ref="A32:A37"/>
    <mergeCell ref="A38:A49"/>
    <mergeCell ref="A50:A69"/>
    <mergeCell ref="B2:B3"/>
    <mergeCell ref="B4:B24"/>
    <mergeCell ref="B25:B31"/>
    <mergeCell ref="B32:B37"/>
    <mergeCell ref="B38:B49"/>
    <mergeCell ref="B50:B69"/>
    <mergeCell ref="C2:C3"/>
    <mergeCell ref="C4:C24"/>
    <mergeCell ref="C25:C31"/>
    <mergeCell ref="C32:C37"/>
    <mergeCell ref="C38:C49"/>
    <mergeCell ref="C50:C69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6"/>
  <sheetViews>
    <sheetView tabSelected="1" zoomScale="110" zoomScaleNormal="110" topLeftCell="G1" workbookViewId="0">
      <pane xSplit="9" ySplit="3" topLeftCell="AA46" activePane="bottomRight" state="frozen"/>
      <selection/>
      <selection pane="topRight"/>
      <selection pane="bottomLeft"/>
      <selection pane="bottomRight" activeCell="AE70" sqref="AE70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9"/>
      <c r="L1" s="30"/>
      <c r="M1" s="29"/>
      <c r="N1" s="8"/>
      <c r="O1" s="31"/>
      <c r="P1" s="8"/>
      <c r="Q1" s="8"/>
      <c r="R1" s="8"/>
      <c r="S1" s="8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8"/>
      <c r="AF1" s="8"/>
    </row>
    <row r="2" s="1" customFormat="1" ht="23" customHeight="1" spans="1:32">
      <c r="A2" s="10" t="s">
        <v>1</v>
      </c>
      <c r="B2" s="11" t="s">
        <v>2</v>
      </c>
      <c r="C2" s="12" t="s">
        <v>15</v>
      </c>
      <c r="D2" s="13" t="s">
        <v>16</v>
      </c>
      <c r="E2" s="14" t="s">
        <v>17</v>
      </c>
      <c r="F2" s="15" t="s">
        <v>18</v>
      </c>
      <c r="G2" s="15" t="s">
        <v>19</v>
      </c>
      <c r="H2" s="15" t="s">
        <v>20</v>
      </c>
      <c r="I2" s="15" t="s">
        <v>21</v>
      </c>
      <c r="J2" s="32" t="s">
        <v>22</v>
      </c>
      <c r="K2" s="33"/>
      <c r="L2" s="34"/>
      <c r="M2" s="33"/>
      <c r="N2" s="34"/>
      <c r="O2" s="35"/>
      <c r="P2" s="36"/>
      <c r="Q2" s="60" t="s">
        <v>23</v>
      </c>
      <c r="R2" s="61" t="s">
        <v>24</v>
      </c>
      <c r="S2" s="62"/>
      <c r="T2" s="63"/>
      <c r="U2" s="64"/>
      <c r="V2" s="65"/>
      <c r="W2" s="66" t="s">
        <v>25</v>
      </c>
      <c r="X2" s="67" t="s">
        <v>26</v>
      </c>
      <c r="Y2" s="83" t="s">
        <v>27</v>
      </c>
      <c r="Z2" s="83"/>
      <c r="AA2" s="83"/>
      <c r="AB2" s="83"/>
      <c r="AC2" s="84"/>
      <c r="AD2" s="83"/>
      <c r="AE2" s="85" t="s">
        <v>28</v>
      </c>
      <c r="AF2" s="86" t="s">
        <v>3</v>
      </c>
    </row>
    <row r="3" s="1" customFormat="1" ht="27" customHeight="1" spans="1:32">
      <c r="A3" s="16"/>
      <c r="B3" s="17"/>
      <c r="C3" s="12"/>
      <c r="D3" s="13"/>
      <c r="E3" s="18"/>
      <c r="F3" s="19"/>
      <c r="G3" s="19"/>
      <c r="H3" s="19"/>
      <c r="I3" s="37"/>
      <c r="J3" s="38" t="s">
        <v>29</v>
      </c>
      <c r="K3" s="39" t="s">
        <v>30</v>
      </c>
      <c r="L3" s="40" t="s">
        <v>31</v>
      </c>
      <c r="M3" s="39" t="s">
        <v>32</v>
      </c>
      <c r="N3" s="41" t="s">
        <v>33</v>
      </c>
      <c r="O3" s="42" t="s">
        <v>34</v>
      </c>
      <c r="P3" s="43" t="s">
        <v>35</v>
      </c>
      <c r="Q3" s="68"/>
      <c r="R3" s="69" t="s">
        <v>36</v>
      </c>
      <c r="S3" s="70" t="s">
        <v>37</v>
      </c>
      <c r="T3" s="71" t="s">
        <v>38</v>
      </c>
      <c r="U3" s="72" t="s">
        <v>39</v>
      </c>
      <c r="V3" s="71" t="s">
        <v>40</v>
      </c>
      <c r="W3" s="73"/>
      <c r="X3" s="74"/>
      <c r="Y3" s="87" t="s">
        <v>41</v>
      </c>
      <c r="Z3" s="87" t="s">
        <v>42</v>
      </c>
      <c r="AA3" s="87" t="s">
        <v>43</v>
      </c>
      <c r="AB3" s="88" t="s">
        <v>44</v>
      </c>
      <c r="AC3" s="89" t="s">
        <v>45</v>
      </c>
      <c r="AD3" s="90" t="s">
        <v>35</v>
      </c>
      <c r="AE3" s="91" t="s">
        <v>46</v>
      </c>
      <c r="AF3" s="92"/>
    </row>
    <row r="4" s="2" customFormat="1" spans="1:32">
      <c r="A4" s="20" t="s">
        <v>4</v>
      </c>
      <c r="B4" s="21" t="s">
        <v>5</v>
      </c>
      <c r="C4" s="22">
        <v>240624000034</v>
      </c>
      <c r="D4" s="23">
        <v>45477</v>
      </c>
      <c r="E4" s="23" t="s">
        <v>47</v>
      </c>
      <c r="F4" s="21" t="s">
        <v>48</v>
      </c>
      <c r="G4" s="21" t="s">
        <v>49</v>
      </c>
      <c r="H4" s="24">
        <v>3.024</v>
      </c>
      <c r="I4" s="108">
        <v>2000</v>
      </c>
      <c r="J4" s="53"/>
      <c r="K4" s="50">
        <v>2320436</v>
      </c>
      <c r="L4" s="46"/>
      <c r="M4" s="47">
        <f t="shared" ref="M4:M9" si="0">SUM(K4/N4)</f>
        <v>1651.86155445136</v>
      </c>
      <c r="N4" s="54">
        <v>1404.74</v>
      </c>
      <c r="O4" s="21">
        <v>7.12</v>
      </c>
      <c r="P4" s="48">
        <f t="shared" ref="P4:P9" si="1">SUM(N4*O4)</f>
        <v>10001.7488</v>
      </c>
      <c r="Q4" s="75">
        <f>SUM(P4:P24)</f>
        <v>168759.19236</v>
      </c>
      <c r="R4" s="76" t="s">
        <v>50</v>
      </c>
      <c r="S4" s="77">
        <f>SUM(61477/68)*H4</f>
        <v>2733.91835294118</v>
      </c>
      <c r="T4" s="77"/>
      <c r="U4" s="77">
        <f>SUM(1250/68)*H4</f>
        <v>55.5882352941177</v>
      </c>
      <c r="V4" s="77"/>
      <c r="W4" s="77"/>
      <c r="X4" s="78">
        <f>SUM(S4:W4)</f>
        <v>2789.50658823529</v>
      </c>
      <c r="Y4" s="93">
        <f>SUM(10640.25/68)*H4</f>
        <v>473.178176470588</v>
      </c>
      <c r="Z4" s="93">
        <v>5.49</v>
      </c>
      <c r="AA4" s="93"/>
      <c r="AB4" s="93">
        <f>SUM(Y4:AA4)</f>
        <v>478.668176470588</v>
      </c>
      <c r="AC4" s="45">
        <v>7.1</v>
      </c>
      <c r="AD4" s="77">
        <f>SUM(AB4*AC4)</f>
        <v>3398.54405294118</v>
      </c>
      <c r="AE4" s="77">
        <f>SUM(X4+AD4)</f>
        <v>6188.05064117647</v>
      </c>
      <c r="AF4" s="77">
        <f>SUM(P4-AE4)</f>
        <v>3813.69815882353</v>
      </c>
    </row>
    <row r="5" s="2" customFormat="1" spans="1:32">
      <c r="A5" s="20"/>
      <c r="B5" s="21"/>
      <c r="C5" s="22">
        <v>240624000036</v>
      </c>
      <c r="D5" s="23">
        <v>45478</v>
      </c>
      <c r="E5" s="23" t="s">
        <v>47</v>
      </c>
      <c r="F5" s="106" t="s">
        <v>48</v>
      </c>
      <c r="G5" s="106" t="s">
        <v>51</v>
      </c>
      <c r="H5" s="24">
        <v>10.2263</v>
      </c>
      <c r="I5" s="108">
        <v>7008</v>
      </c>
      <c r="J5" s="44">
        <v>26828</v>
      </c>
      <c r="K5" s="45"/>
      <c r="L5" s="46"/>
      <c r="M5" s="47"/>
      <c r="N5" s="46"/>
      <c r="O5" s="21"/>
      <c r="P5" s="48">
        <f t="shared" ref="P5:P10" si="2">SUBTOTAL(9,J5)</f>
        <v>26828</v>
      </c>
      <c r="Q5" s="79"/>
      <c r="R5" s="79"/>
      <c r="S5" s="77">
        <f t="shared" ref="S5:S24" si="3">SUM(61477/68)*H5</f>
        <v>9245.32713382353</v>
      </c>
      <c r="T5" s="77"/>
      <c r="U5" s="77">
        <f t="shared" ref="U5:U24" si="4">SUM(1250/68)*H5</f>
        <v>187.983455882353</v>
      </c>
      <c r="V5" s="80">
        <v>120</v>
      </c>
      <c r="W5" s="77"/>
      <c r="X5" s="78">
        <f t="shared" ref="X5:X24" si="5">SUM(S5:W5)</f>
        <v>9553.31058970588</v>
      </c>
      <c r="Y5" s="93">
        <f t="shared" ref="Y5:Y24" si="6">SUM(10640.25/68)*H5</f>
        <v>1600.15277316176</v>
      </c>
      <c r="Z5" s="93"/>
      <c r="AA5" s="93"/>
      <c r="AB5" s="93">
        <f t="shared" ref="AB5:AB24" si="7">SUM(Y5:AA5)</f>
        <v>1600.15277316176</v>
      </c>
      <c r="AC5" s="45">
        <v>7.1</v>
      </c>
      <c r="AD5" s="77">
        <f t="shared" ref="AD5:AD24" si="8">SUM(AB5*AC5)</f>
        <v>11361.0846894485</v>
      </c>
      <c r="AE5" s="77">
        <f t="shared" ref="AE5:AE24" si="9">SUM(X5+AD5)</f>
        <v>20914.3952791544</v>
      </c>
      <c r="AF5" s="77">
        <f t="shared" ref="AF5:AF24" si="10">SUM(P5-AE5)</f>
        <v>5913.6047208456</v>
      </c>
    </row>
    <row r="6" s="2" customFormat="1" spans="1:32">
      <c r="A6" s="20"/>
      <c r="B6" s="21"/>
      <c r="C6" s="22">
        <v>240624000056</v>
      </c>
      <c r="D6" s="23">
        <v>45477</v>
      </c>
      <c r="E6" s="23" t="s">
        <v>52</v>
      </c>
      <c r="F6" s="21" t="s">
        <v>52</v>
      </c>
      <c r="G6" s="21" t="s">
        <v>53</v>
      </c>
      <c r="H6" s="24">
        <v>0.509</v>
      </c>
      <c r="I6" s="108">
        <v>207</v>
      </c>
      <c r="J6" s="44">
        <v>1893.7</v>
      </c>
      <c r="K6" s="45"/>
      <c r="L6" s="46"/>
      <c r="M6" s="47"/>
      <c r="N6" s="46"/>
      <c r="O6" s="21"/>
      <c r="P6" s="48">
        <f t="shared" si="2"/>
        <v>1893.7</v>
      </c>
      <c r="Q6" s="79"/>
      <c r="R6" s="79"/>
      <c r="S6" s="77">
        <f t="shared" si="3"/>
        <v>460.173426470588</v>
      </c>
      <c r="T6" s="77"/>
      <c r="U6" s="77">
        <f t="shared" si="4"/>
        <v>9.35661764705882</v>
      </c>
      <c r="V6" s="80">
        <v>270</v>
      </c>
      <c r="W6" s="77"/>
      <c r="X6" s="78">
        <f t="shared" si="5"/>
        <v>739.530044117647</v>
      </c>
      <c r="Y6" s="93">
        <f t="shared" si="6"/>
        <v>79.6454007352941</v>
      </c>
      <c r="Z6" s="93"/>
      <c r="AA6" s="93"/>
      <c r="AB6" s="93">
        <f t="shared" si="7"/>
        <v>79.6454007352941</v>
      </c>
      <c r="AC6" s="45">
        <v>7.1</v>
      </c>
      <c r="AD6" s="77">
        <f t="shared" si="8"/>
        <v>565.482345220588</v>
      </c>
      <c r="AE6" s="77">
        <f t="shared" si="9"/>
        <v>1305.01238933824</v>
      </c>
      <c r="AF6" s="77">
        <f t="shared" si="10"/>
        <v>588.68761066176</v>
      </c>
    </row>
    <row r="7" s="2" customFormat="1" spans="1:32">
      <c r="A7" s="20"/>
      <c r="B7" s="21"/>
      <c r="C7" s="22">
        <v>240626000044</v>
      </c>
      <c r="D7" s="23">
        <v>45477</v>
      </c>
      <c r="E7" s="23" t="s">
        <v>52</v>
      </c>
      <c r="F7" s="21" t="s">
        <v>52</v>
      </c>
      <c r="G7" s="21" t="s">
        <v>54</v>
      </c>
      <c r="H7" s="24">
        <v>0.6356</v>
      </c>
      <c r="I7" s="108">
        <v>450</v>
      </c>
      <c r="J7" s="49">
        <v>1714.8</v>
      </c>
      <c r="K7" s="45"/>
      <c r="L7" s="46"/>
      <c r="M7" s="47"/>
      <c r="N7" s="46"/>
      <c r="O7" s="21"/>
      <c r="P7" s="48">
        <f t="shared" ref="P7:P12" si="11">SUM(J7)</f>
        <v>1714.8</v>
      </c>
      <c r="Q7" s="79"/>
      <c r="R7" s="79"/>
      <c r="S7" s="77">
        <f t="shared" si="3"/>
        <v>574.629135294118</v>
      </c>
      <c r="T7" s="77"/>
      <c r="U7" s="77">
        <f t="shared" si="4"/>
        <v>11.6838235294118</v>
      </c>
      <c r="V7" s="77"/>
      <c r="W7" s="77"/>
      <c r="X7" s="78">
        <f t="shared" si="5"/>
        <v>586.312958823529</v>
      </c>
      <c r="Y7" s="93">
        <f t="shared" si="6"/>
        <v>99.4550426470588</v>
      </c>
      <c r="Z7" s="93"/>
      <c r="AA7" s="93"/>
      <c r="AB7" s="93">
        <f t="shared" si="7"/>
        <v>99.4550426470588</v>
      </c>
      <c r="AC7" s="45">
        <v>7.1</v>
      </c>
      <c r="AD7" s="77">
        <f t="shared" si="8"/>
        <v>706.130802794118</v>
      </c>
      <c r="AE7" s="77">
        <f t="shared" si="9"/>
        <v>1292.44376161765</v>
      </c>
      <c r="AF7" s="77">
        <f t="shared" si="10"/>
        <v>422.356238382353</v>
      </c>
    </row>
    <row r="8" s="2" customFormat="1" spans="1:32">
      <c r="A8" s="20"/>
      <c r="B8" s="21"/>
      <c r="C8" s="22">
        <v>240628000020</v>
      </c>
      <c r="D8" s="23">
        <v>45477</v>
      </c>
      <c r="E8" s="23" t="s">
        <v>47</v>
      </c>
      <c r="F8" s="21" t="s">
        <v>48</v>
      </c>
      <c r="G8" s="21" t="s">
        <v>49</v>
      </c>
      <c r="H8" s="24">
        <v>0.472</v>
      </c>
      <c r="I8" s="108">
        <v>420</v>
      </c>
      <c r="J8" s="48"/>
      <c r="K8" s="50">
        <v>439900</v>
      </c>
      <c r="L8" s="46"/>
      <c r="M8" s="47">
        <f t="shared" si="0"/>
        <v>1705.03875968992</v>
      </c>
      <c r="N8" s="54">
        <v>258</v>
      </c>
      <c r="O8" s="21">
        <v>7.12</v>
      </c>
      <c r="P8" s="53">
        <f t="shared" si="1"/>
        <v>1836.96</v>
      </c>
      <c r="Q8" s="79"/>
      <c r="R8" s="79"/>
      <c r="S8" s="77">
        <f t="shared" si="3"/>
        <v>426.722705882353</v>
      </c>
      <c r="T8" s="77"/>
      <c r="U8" s="77">
        <f t="shared" si="4"/>
        <v>8.67647058823529</v>
      </c>
      <c r="V8" s="77"/>
      <c r="W8" s="77"/>
      <c r="X8" s="78">
        <f t="shared" si="5"/>
        <v>435.399176470588</v>
      </c>
      <c r="Y8" s="93">
        <f t="shared" si="6"/>
        <v>73.8558529411765</v>
      </c>
      <c r="Z8" s="93"/>
      <c r="AA8" s="93"/>
      <c r="AB8" s="93">
        <f t="shared" si="7"/>
        <v>73.8558529411765</v>
      </c>
      <c r="AC8" s="45">
        <v>7.1</v>
      </c>
      <c r="AD8" s="77">
        <f t="shared" si="8"/>
        <v>524.376555882353</v>
      </c>
      <c r="AE8" s="77">
        <f t="shared" si="9"/>
        <v>959.775732352941</v>
      </c>
      <c r="AF8" s="77">
        <f t="shared" si="10"/>
        <v>877.184267647059</v>
      </c>
    </row>
    <row r="9" s="2" customFormat="1" spans="1:32">
      <c r="A9" s="20"/>
      <c r="B9" s="21"/>
      <c r="C9" s="22">
        <v>240628000031</v>
      </c>
      <c r="D9" s="23">
        <v>45477</v>
      </c>
      <c r="E9" s="23" t="s">
        <v>55</v>
      </c>
      <c r="F9" s="21" t="s">
        <v>56</v>
      </c>
      <c r="G9" s="21" t="s">
        <v>57</v>
      </c>
      <c r="H9" s="24">
        <v>1.7537</v>
      </c>
      <c r="I9" s="108">
        <v>2930</v>
      </c>
      <c r="J9" s="48"/>
      <c r="K9" s="50">
        <v>2405060</v>
      </c>
      <c r="L9" s="46"/>
      <c r="M9" s="47">
        <f t="shared" si="0"/>
        <v>1640</v>
      </c>
      <c r="N9" s="54">
        <v>1466.5</v>
      </c>
      <c r="O9" s="21">
        <v>7.12</v>
      </c>
      <c r="P9" s="53">
        <f t="shared" si="1"/>
        <v>10441.48</v>
      </c>
      <c r="Q9" s="79"/>
      <c r="R9" s="79"/>
      <c r="S9" s="77">
        <f t="shared" si="3"/>
        <v>1585.47374852941</v>
      </c>
      <c r="T9" s="77"/>
      <c r="U9" s="77">
        <f t="shared" si="4"/>
        <v>32.2371323529412</v>
      </c>
      <c r="V9" s="77"/>
      <c r="W9" s="77"/>
      <c r="X9" s="78">
        <f t="shared" si="5"/>
        <v>1617.71088088235</v>
      </c>
      <c r="Y9" s="93">
        <f t="shared" si="6"/>
        <v>274.408918014706</v>
      </c>
      <c r="Z9" s="93"/>
      <c r="AA9" s="93"/>
      <c r="AB9" s="93">
        <f t="shared" si="7"/>
        <v>274.408918014706</v>
      </c>
      <c r="AC9" s="45">
        <v>7.1</v>
      </c>
      <c r="AD9" s="77">
        <f t="shared" si="8"/>
        <v>1948.30331790441</v>
      </c>
      <c r="AE9" s="77">
        <f t="shared" si="9"/>
        <v>3566.01419878676</v>
      </c>
      <c r="AF9" s="77">
        <f t="shared" si="10"/>
        <v>6875.46580121323</v>
      </c>
    </row>
    <row r="10" s="2" customFormat="1" spans="1:32">
      <c r="A10" s="20"/>
      <c r="B10" s="21"/>
      <c r="C10" s="22">
        <v>240628000036</v>
      </c>
      <c r="D10" s="23">
        <v>45477</v>
      </c>
      <c r="E10" s="23" t="s">
        <v>55</v>
      </c>
      <c r="F10" s="21" t="s">
        <v>56</v>
      </c>
      <c r="G10" s="21" t="s">
        <v>58</v>
      </c>
      <c r="H10" s="24">
        <v>0.6693</v>
      </c>
      <c r="I10" s="108">
        <v>116.5</v>
      </c>
      <c r="J10" s="44">
        <v>1662.94</v>
      </c>
      <c r="K10" s="45"/>
      <c r="L10" s="46"/>
      <c r="M10" s="47"/>
      <c r="N10" s="46"/>
      <c r="O10" s="21"/>
      <c r="P10" s="53">
        <f t="shared" si="2"/>
        <v>1662.94</v>
      </c>
      <c r="Q10" s="79"/>
      <c r="R10" s="79"/>
      <c r="S10" s="77">
        <f t="shared" si="3"/>
        <v>605.096413235294</v>
      </c>
      <c r="T10" s="77"/>
      <c r="U10" s="77">
        <f t="shared" si="4"/>
        <v>12.3033088235294</v>
      </c>
      <c r="V10" s="77"/>
      <c r="W10" s="77"/>
      <c r="X10" s="78">
        <f t="shared" si="5"/>
        <v>617.399722058824</v>
      </c>
      <c r="Y10" s="93">
        <f t="shared" si="6"/>
        <v>104.728225367647</v>
      </c>
      <c r="Z10" s="93"/>
      <c r="AA10" s="93"/>
      <c r="AB10" s="93">
        <f t="shared" si="7"/>
        <v>104.728225367647</v>
      </c>
      <c r="AC10" s="45">
        <v>7.1</v>
      </c>
      <c r="AD10" s="77">
        <f t="shared" si="8"/>
        <v>743.570400110294</v>
      </c>
      <c r="AE10" s="77">
        <f t="shared" si="9"/>
        <v>1360.97012216912</v>
      </c>
      <c r="AF10" s="77">
        <f t="shared" si="10"/>
        <v>301.96987783088</v>
      </c>
    </row>
    <row r="11" s="2" customFormat="1" spans="1:32">
      <c r="A11" s="20"/>
      <c r="B11" s="21"/>
      <c r="C11" s="22">
        <v>240701000015</v>
      </c>
      <c r="D11" s="23">
        <v>45477</v>
      </c>
      <c r="E11" s="23" t="s">
        <v>59</v>
      </c>
      <c r="F11" s="21" t="s">
        <v>60</v>
      </c>
      <c r="G11" s="21" t="s">
        <v>61</v>
      </c>
      <c r="H11" s="24">
        <v>0.3978</v>
      </c>
      <c r="I11" s="108">
        <v>49.5</v>
      </c>
      <c r="J11" s="49">
        <v>1385.08</v>
      </c>
      <c r="K11" s="45"/>
      <c r="L11" s="46"/>
      <c r="M11" s="47"/>
      <c r="N11" s="46"/>
      <c r="O11" s="21"/>
      <c r="P11" s="48">
        <f t="shared" si="11"/>
        <v>1385.08</v>
      </c>
      <c r="Q11" s="79"/>
      <c r="R11" s="79"/>
      <c r="S11" s="77">
        <f t="shared" si="3"/>
        <v>359.64045</v>
      </c>
      <c r="T11" s="77"/>
      <c r="U11" s="77">
        <f t="shared" si="4"/>
        <v>7.3125</v>
      </c>
      <c r="V11" s="77"/>
      <c r="W11" s="77"/>
      <c r="X11" s="78">
        <f t="shared" si="5"/>
        <v>366.95295</v>
      </c>
      <c r="Y11" s="93">
        <f t="shared" si="6"/>
        <v>62.2454625</v>
      </c>
      <c r="Z11" s="93">
        <v>41.46</v>
      </c>
      <c r="AA11" s="93"/>
      <c r="AB11" s="93">
        <f t="shared" si="7"/>
        <v>103.7054625</v>
      </c>
      <c r="AC11" s="45">
        <v>7.1</v>
      </c>
      <c r="AD11" s="77">
        <f t="shared" si="8"/>
        <v>736.30878375</v>
      </c>
      <c r="AE11" s="77">
        <f t="shared" si="9"/>
        <v>1103.26173375</v>
      </c>
      <c r="AF11" s="77">
        <f t="shared" si="10"/>
        <v>281.81826625</v>
      </c>
    </row>
    <row r="12" s="2" customFormat="1" spans="1:32">
      <c r="A12" s="20"/>
      <c r="B12" s="21"/>
      <c r="C12" s="22">
        <v>240701000020</v>
      </c>
      <c r="D12" s="23">
        <v>45477</v>
      </c>
      <c r="E12" s="23" t="s">
        <v>59</v>
      </c>
      <c r="F12" s="21" t="s">
        <v>60</v>
      </c>
      <c r="G12" s="21" t="s">
        <v>62</v>
      </c>
      <c r="H12" s="24">
        <v>0.5519</v>
      </c>
      <c r="I12" s="108">
        <v>82</v>
      </c>
      <c r="J12" s="49">
        <v>1460.33</v>
      </c>
      <c r="K12" s="45"/>
      <c r="L12" s="46"/>
      <c r="M12" s="47"/>
      <c r="N12" s="46"/>
      <c r="O12" s="21"/>
      <c r="P12" s="48">
        <f t="shared" si="11"/>
        <v>1460.33</v>
      </c>
      <c r="Q12" s="79"/>
      <c r="R12" s="79"/>
      <c r="S12" s="77">
        <f t="shared" si="3"/>
        <v>498.958180882353</v>
      </c>
      <c r="T12" s="77"/>
      <c r="U12" s="77">
        <f t="shared" si="4"/>
        <v>10.1452205882353</v>
      </c>
      <c r="V12" s="77"/>
      <c r="W12" s="77"/>
      <c r="X12" s="78">
        <f t="shared" si="5"/>
        <v>509.103401470588</v>
      </c>
      <c r="Y12" s="93">
        <f t="shared" si="6"/>
        <v>86.3581466911765</v>
      </c>
      <c r="Z12" s="93"/>
      <c r="AA12" s="93"/>
      <c r="AB12" s="93">
        <f t="shared" si="7"/>
        <v>86.3581466911765</v>
      </c>
      <c r="AC12" s="45">
        <v>7.1</v>
      </c>
      <c r="AD12" s="77">
        <f t="shared" si="8"/>
        <v>613.142841507353</v>
      </c>
      <c r="AE12" s="77">
        <f t="shared" si="9"/>
        <v>1122.24624297794</v>
      </c>
      <c r="AF12" s="77">
        <f t="shared" si="10"/>
        <v>338.083757022059</v>
      </c>
    </row>
    <row r="13" s="2" customFormat="1" spans="1:32">
      <c r="A13" s="20"/>
      <c r="B13" s="21"/>
      <c r="C13" s="22">
        <v>240701000054</v>
      </c>
      <c r="D13" s="23">
        <v>45477</v>
      </c>
      <c r="E13" s="23" t="s">
        <v>63</v>
      </c>
      <c r="F13" s="21" t="s">
        <v>64</v>
      </c>
      <c r="G13" s="21" t="s">
        <v>65</v>
      </c>
      <c r="H13" s="24">
        <v>2.5358</v>
      </c>
      <c r="I13" s="108">
        <v>1140</v>
      </c>
      <c r="J13" s="48"/>
      <c r="K13" s="50">
        <v>1490760</v>
      </c>
      <c r="L13" s="46"/>
      <c r="M13" s="47">
        <f>SUM(K13/N13)</f>
        <v>1639.99909791029</v>
      </c>
      <c r="N13" s="54">
        <v>909.0005</v>
      </c>
      <c r="O13" s="21">
        <v>7.12</v>
      </c>
      <c r="P13" s="53">
        <f>SUM(N13*O13)</f>
        <v>6472.08356</v>
      </c>
      <c r="Q13" s="79"/>
      <c r="R13" s="79"/>
      <c r="S13" s="77">
        <f t="shared" si="3"/>
        <v>2292.54965588235</v>
      </c>
      <c r="T13" s="77"/>
      <c r="U13" s="77">
        <f t="shared" si="4"/>
        <v>46.6139705882353</v>
      </c>
      <c r="V13" s="80">
        <v>120</v>
      </c>
      <c r="W13" s="77"/>
      <c r="X13" s="78">
        <f t="shared" si="5"/>
        <v>2459.16362647059</v>
      </c>
      <c r="Y13" s="93">
        <f t="shared" si="6"/>
        <v>396.787440441176</v>
      </c>
      <c r="Z13" s="93"/>
      <c r="AA13" s="93"/>
      <c r="AB13" s="93">
        <f t="shared" si="7"/>
        <v>396.787440441176</v>
      </c>
      <c r="AC13" s="45">
        <v>7.1</v>
      </c>
      <c r="AD13" s="77">
        <f t="shared" si="8"/>
        <v>2817.19082713235</v>
      </c>
      <c r="AE13" s="77">
        <f t="shared" si="9"/>
        <v>5276.35445360294</v>
      </c>
      <c r="AF13" s="77">
        <f t="shared" si="10"/>
        <v>1195.72910639706</v>
      </c>
    </row>
    <row r="14" s="2" customFormat="1" spans="1:32">
      <c r="A14" s="20"/>
      <c r="B14" s="21"/>
      <c r="C14" s="22">
        <v>240702000007</v>
      </c>
      <c r="D14" s="23">
        <v>45477</v>
      </c>
      <c r="E14" s="23" t="s">
        <v>55</v>
      </c>
      <c r="F14" s="21" t="s">
        <v>56</v>
      </c>
      <c r="G14" s="21" t="s">
        <v>58</v>
      </c>
      <c r="H14" s="24">
        <v>0.8928</v>
      </c>
      <c r="I14" s="108">
        <v>218</v>
      </c>
      <c r="J14" s="44">
        <v>2361.55</v>
      </c>
      <c r="K14" s="45"/>
      <c r="L14" s="46"/>
      <c r="M14" s="47"/>
      <c r="N14" s="46"/>
      <c r="O14" s="21"/>
      <c r="P14" s="53">
        <f t="shared" ref="P14:P20" si="12">SUBTOTAL(9,J14)</f>
        <v>2361.55</v>
      </c>
      <c r="Q14" s="79"/>
      <c r="R14" s="79"/>
      <c r="S14" s="77">
        <f t="shared" si="3"/>
        <v>807.156847058824</v>
      </c>
      <c r="T14" s="77"/>
      <c r="U14" s="77">
        <f t="shared" si="4"/>
        <v>16.4117647058824</v>
      </c>
      <c r="V14" s="77"/>
      <c r="W14" s="80">
        <v>292</v>
      </c>
      <c r="X14" s="78">
        <f t="shared" si="5"/>
        <v>1115.56861176471</v>
      </c>
      <c r="Y14" s="93">
        <f t="shared" si="6"/>
        <v>139.700223529412</v>
      </c>
      <c r="Z14" s="93"/>
      <c r="AA14" s="93"/>
      <c r="AB14" s="93">
        <f t="shared" si="7"/>
        <v>139.700223529412</v>
      </c>
      <c r="AC14" s="45">
        <v>7.1</v>
      </c>
      <c r="AD14" s="77">
        <f t="shared" si="8"/>
        <v>991.871587058823</v>
      </c>
      <c r="AE14" s="77">
        <f t="shared" si="9"/>
        <v>2107.44019882353</v>
      </c>
      <c r="AF14" s="77">
        <f t="shared" si="10"/>
        <v>254.10980117647</v>
      </c>
    </row>
    <row r="15" s="2" customFormat="1" spans="1:32">
      <c r="A15" s="20"/>
      <c r="B15" s="21"/>
      <c r="C15" s="22">
        <v>240702000008</v>
      </c>
      <c r="D15" s="23">
        <v>45477</v>
      </c>
      <c r="E15" s="23" t="s">
        <v>55</v>
      </c>
      <c r="F15" s="21" t="s">
        <v>56</v>
      </c>
      <c r="G15" s="21" t="s">
        <v>58</v>
      </c>
      <c r="H15" s="107">
        <v>2.232</v>
      </c>
      <c r="I15" s="108">
        <v>1028</v>
      </c>
      <c r="J15" s="44">
        <v>6070.88</v>
      </c>
      <c r="K15" s="45"/>
      <c r="L15" s="46"/>
      <c r="M15" s="47"/>
      <c r="N15" s="46"/>
      <c r="O15" s="21"/>
      <c r="P15" s="53">
        <f t="shared" si="12"/>
        <v>6070.88</v>
      </c>
      <c r="Q15" s="79"/>
      <c r="R15" s="79"/>
      <c r="S15" s="77">
        <f t="shared" si="3"/>
        <v>2017.89211764706</v>
      </c>
      <c r="T15" s="80">
        <f>SUM(140+75)</f>
        <v>215</v>
      </c>
      <c r="U15" s="77">
        <f t="shared" si="4"/>
        <v>41.0294117647059</v>
      </c>
      <c r="V15" s="77"/>
      <c r="W15" s="77">
        <v>420</v>
      </c>
      <c r="X15" s="78">
        <f t="shared" si="5"/>
        <v>2693.92152941177</v>
      </c>
      <c r="Y15" s="93">
        <f t="shared" si="6"/>
        <v>349.250558823529</v>
      </c>
      <c r="Z15" s="93"/>
      <c r="AA15" s="93"/>
      <c r="AB15" s="93">
        <f t="shared" si="7"/>
        <v>349.250558823529</v>
      </c>
      <c r="AC15" s="45">
        <v>7.1</v>
      </c>
      <c r="AD15" s="77">
        <f t="shared" si="8"/>
        <v>2479.67896764706</v>
      </c>
      <c r="AE15" s="77">
        <f t="shared" si="9"/>
        <v>5173.60049705882</v>
      </c>
      <c r="AF15" s="77">
        <f t="shared" si="10"/>
        <v>897.27950294118</v>
      </c>
    </row>
    <row r="16" s="2" customFormat="1" spans="1:32">
      <c r="A16" s="20"/>
      <c r="B16" s="21"/>
      <c r="C16" s="22">
        <v>240702000009</v>
      </c>
      <c r="D16" s="23">
        <v>45477</v>
      </c>
      <c r="E16" s="23" t="s">
        <v>55</v>
      </c>
      <c r="F16" s="21" t="s">
        <v>56</v>
      </c>
      <c r="G16" s="21" t="s">
        <v>58</v>
      </c>
      <c r="H16" s="24">
        <v>5.8065</v>
      </c>
      <c r="I16" s="108">
        <v>650</v>
      </c>
      <c r="J16" s="44">
        <v>13360.1</v>
      </c>
      <c r="K16" s="45"/>
      <c r="L16" s="46"/>
      <c r="M16" s="47"/>
      <c r="N16" s="46"/>
      <c r="O16" s="21"/>
      <c r="P16" s="53">
        <f t="shared" si="12"/>
        <v>13360.1</v>
      </c>
      <c r="Q16" s="79"/>
      <c r="R16" s="79"/>
      <c r="S16" s="77">
        <f t="shared" si="3"/>
        <v>5249.50294852941</v>
      </c>
      <c r="T16" s="77"/>
      <c r="U16" s="77">
        <f t="shared" si="4"/>
        <v>106.737132352941</v>
      </c>
      <c r="V16" s="77"/>
      <c r="W16" s="77"/>
      <c r="X16" s="78">
        <f t="shared" si="5"/>
        <v>5356.24008088235</v>
      </c>
      <c r="Y16" s="93">
        <f t="shared" si="6"/>
        <v>908.567818014706</v>
      </c>
      <c r="Z16" s="93"/>
      <c r="AA16" s="93"/>
      <c r="AB16" s="93">
        <f t="shared" si="7"/>
        <v>908.567818014706</v>
      </c>
      <c r="AC16" s="45">
        <v>7.1</v>
      </c>
      <c r="AD16" s="77">
        <f t="shared" si="8"/>
        <v>6450.83150790441</v>
      </c>
      <c r="AE16" s="77">
        <f t="shared" si="9"/>
        <v>11807.0715887868</v>
      </c>
      <c r="AF16" s="77">
        <f t="shared" si="10"/>
        <v>1553.0284112132</v>
      </c>
    </row>
    <row r="17" s="2" customFormat="1" spans="1:32">
      <c r="A17" s="20"/>
      <c r="B17" s="21"/>
      <c r="C17" s="22">
        <v>240703000022</v>
      </c>
      <c r="D17" s="23">
        <v>45477</v>
      </c>
      <c r="E17" s="23" t="s">
        <v>55</v>
      </c>
      <c r="F17" s="21" t="s">
        <v>56</v>
      </c>
      <c r="G17" s="21" t="s">
        <v>66</v>
      </c>
      <c r="H17" s="24">
        <v>2.6714</v>
      </c>
      <c r="I17" s="108">
        <v>1555</v>
      </c>
      <c r="J17" s="44">
        <v>7525.12</v>
      </c>
      <c r="K17" s="45"/>
      <c r="L17" s="46"/>
      <c r="M17" s="47"/>
      <c r="N17" s="46"/>
      <c r="O17" s="21"/>
      <c r="P17" s="53">
        <f t="shared" si="12"/>
        <v>7525.12</v>
      </c>
      <c r="Q17" s="79"/>
      <c r="R17" s="79"/>
      <c r="S17" s="77">
        <f t="shared" si="3"/>
        <v>2415.14202647059</v>
      </c>
      <c r="T17" s="77"/>
      <c r="U17" s="77">
        <f t="shared" si="4"/>
        <v>49.1066176470588</v>
      </c>
      <c r="V17" s="77"/>
      <c r="W17" s="77"/>
      <c r="X17" s="78">
        <f t="shared" si="5"/>
        <v>2464.24864411765</v>
      </c>
      <c r="Y17" s="93">
        <f t="shared" si="6"/>
        <v>418.005350735294</v>
      </c>
      <c r="Z17" s="93"/>
      <c r="AA17" s="93"/>
      <c r="AB17" s="93">
        <f t="shared" si="7"/>
        <v>418.005350735294</v>
      </c>
      <c r="AC17" s="45">
        <v>7.1</v>
      </c>
      <c r="AD17" s="77">
        <f t="shared" si="8"/>
        <v>2967.83799022059</v>
      </c>
      <c r="AE17" s="77">
        <f t="shared" si="9"/>
        <v>5432.08663433824</v>
      </c>
      <c r="AF17" s="77">
        <f t="shared" si="10"/>
        <v>2093.03336566176</v>
      </c>
    </row>
    <row r="18" s="2" customFormat="1" spans="1:32">
      <c r="A18" s="20"/>
      <c r="B18" s="21"/>
      <c r="C18" s="22">
        <v>240703000028</v>
      </c>
      <c r="D18" s="23">
        <v>45477</v>
      </c>
      <c r="E18" s="23" t="s">
        <v>52</v>
      </c>
      <c r="F18" s="21" t="s">
        <v>52</v>
      </c>
      <c r="G18" s="21" t="s">
        <v>67</v>
      </c>
      <c r="H18" s="24">
        <v>0.9089</v>
      </c>
      <c r="I18" s="108">
        <v>232</v>
      </c>
      <c r="J18" s="44">
        <v>3294.7</v>
      </c>
      <c r="K18" s="45"/>
      <c r="L18" s="46"/>
      <c r="M18" s="47"/>
      <c r="N18" s="46"/>
      <c r="O18" s="21"/>
      <c r="P18" s="53">
        <f t="shared" si="12"/>
        <v>3294.7</v>
      </c>
      <c r="Q18" s="79"/>
      <c r="R18" s="79"/>
      <c r="S18" s="77">
        <f t="shared" si="3"/>
        <v>821.712430882353</v>
      </c>
      <c r="T18" s="77"/>
      <c r="U18" s="77">
        <f t="shared" si="4"/>
        <v>16.7077205882353</v>
      </c>
      <c r="V18" s="77"/>
      <c r="W18" s="77"/>
      <c r="X18" s="78">
        <f t="shared" si="5"/>
        <v>838.420151470588</v>
      </c>
      <c r="Y18" s="93">
        <f t="shared" si="6"/>
        <v>142.219459191176</v>
      </c>
      <c r="Z18" s="93"/>
      <c r="AA18" s="93"/>
      <c r="AB18" s="93">
        <f t="shared" si="7"/>
        <v>142.219459191176</v>
      </c>
      <c r="AC18" s="45">
        <v>7.1</v>
      </c>
      <c r="AD18" s="77">
        <f t="shared" si="8"/>
        <v>1009.75816025735</v>
      </c>
      <c r="AE18" s="77">
        <f t="shared" si="9"/>
        <v>1848.17831172794</v>
      </c>
      <c r="AF18" s="77">
        <f t="shared" si="10"/>
        <v>1446.52168827206</v>
      </c>
    </row>
    <row r="19" s="2" customFormat="1" spans="1:32">
      <c r="A19" s="20"/>
      <c r="B19" s="21"/>
      <c r="C19" s="22">
        <v>240703000030</v>
      </c>
      <c r="D19" s="23">
        <v>45477</v>
      </c>
      <c r="E19" s="23" t="s">
        <v>52</v>
      </c>
      <c r="F19" s="21" t="s">
        <v>52</v>
      </c>
      <c r="G19" s="21" t="s">
        <v>54</v>
      </c>
      <c r="H19" s="24">
        <v>1.1081</v>
      </c>
      <c r="I19" s="108">
        <v>861</v>
      </c>
      <c r="J19" s="44">
        <v>2989.7</v>
      </c>
      <c r="K19" s="45"/>
      <c r="L19" s="46"/>
      <c r="M19" s="47"/>
      <c r="N19" s="46"/>
      <c r="O19" s="21"/>
      <c r="P19" s="53">
        <f t="shared" si="12"/>
        <v>2989.7</v>
      </c>
      <c r="Q19" s="81"/>
      <c r="R19" s="81"/>
      <c r="S19" s="77">
        <f t="shared" si="3"/>
        <v>1001.80387794118</v>
      </c>
      <c r="T19" s="77"/>
      <c r="U19" s="77">
        <f t="shared" si="4"/>
        <v>20.3694852941176</v>
      </c>
      <c r="V19" s="77"/>
      <c r="W19" s="77"/>
      <c r="X19" s="78">
        <f t="shared" si="5"/>
        <v>1022.17336323529</v>
      </c>
      <c r="Y19" s="93">
        <f t="shared" si="6"/>
        <v>173.389132720588</v>
      </c>
      <c r="Z19" s="93"/>
      <c r="AA19" s="93"/>
      <c r="AB19" s="93">
        <f t="shared" si="7"/>
        <v>173.389132720588</v>
      </c>
      <c r="AC19" s="45">
        <v>7.1</v>
      </c>
      <c r="AD19" s="77">
        <f t="shared" si="8"/>
        <v>1231.06284231618</v>
      </c>
      <c r="AE19" s="77">
        <f t="shared" si="9"/>
        <v>2253.23620555147</v>
      </c>
      <c r="AF19" s="77">
        <f t="shared" si="10"/>
        <v>736.46379444853</v>
      </c>
    </row>
    <row r="20" s="2" customFormat="1" spans="1:32">
      <c r="A20" s="20"/>
      <c r="B20" s="21"/>
      <c r="C20" s="22">
        <v>240704000029</v>
      </c>
      <c r="D20" s="23">
        <v>45482</v>
      </c>
      <c r="E20" s="23" t="s">
        <v>52</v>
      </c>
      <c r="F20" s="106" t="s">
        <v>52</v>
      </c>
      <c r="G20" s="106" t="s">
        <v>68</v>
      </c>
      <c r="H20" s="24">
        <v>0.7168</v>
      </c>
      <c r="I20" s="108">
        <v>230</v>
      </c>
      <c r="J20" s="44">
        <v>1792</v>
      </c>
      <c r="K20" s="45"/>
      <c r="L20" s="46"/>
      <c r="M20" s="47"/>
      <c r="N20" s="46"/>
      <c r="O20" s="21"/>
      <c r="P20" s="48">
        <f t="shared" si="12"/>
        <v>1792</v>
      </c>
      <c r="Q20" s="79"/>
      <c r="R20" s="79"/>
      <c r="S20" s="77">
        <f t="shared" si="3"/>
        <v>648.039905882353</v>
      </c>
      <c r="T20" s="77"/>
      <c r="U20" s="77">
        <f t="shared" si="4"/>
        <v>13.1764705882353</v>
      </c>
      <c r="V20" s="77"/>
      <c r="W20" s="77"/>
      <c r="X20" s="78">
        <f t="shared" si="5"/>
        <v>661.216376470588</v>
      </c>
      <c r="Y20" s="93">
        <f t="shared" si="6"/>
        <v>112.160752941176</v>
      </c>
      <c r="Z20" s="93"/>
      <c r="AA20" s="93"/>
      <c r="AB20" s="93">
        <f t="shared" si="7"/>
        <v>112.160752941176</v>
      </c>
      <c r="AC20" s="45">
        <v>7.1</v>
      </c>
      <c r="AD20" s="77">
        <f t="shared" si="8"/>
        <v>796.341345882353</v>
      </c>
      <c r="AE20" s="77">
        <f t="shared" si="9"/>
        <v>1457.55772235294</v>
      </c>
      <c r="AF20" s="77">
        <f t="shared" si="10"/>
        <v>334.44227764706</v>
      </c>
    </row>
    <row r="21" s="2" customFormat="1" spans="1:32">
      <c r="A21" s="20"/>
      <c r="B21" s="21"/>
      <c r="C21" s="22">
        <v>240607000053</v>
      </c>
      <c r="D21" s="23">
        <v>45478</v>
      </c>
      <c r="E21" s="23" t="s">
        <v>59</v>
      </c>
      <c r="F21" s="106" t="s">
        <v>60</v>
      </c>
      <c r="G21" s="106" t="s">
        <v>69</v>
      </c>
      <c r="H21" s="24">
        <v>1.3088</v>
      </c>
      <c r="I21" s="108">
        <v>352</v>
      </c>
      <c r="J21" s="49">
        <v>3425</v>
      </c>
      <c r="K21" s="45"/>
      <c r="L21" s="46"/>
      <c r="M21" s="47"/>
      <c r="N21" s="46"/>
      <c r="O21" s="21"/>
      <c r="P21" s="48">
        <f t="shared" ref="P21:P25" si="13">SUM(J21)</f>
        <v>3425</v>
      </c>
      <c r="Q21" s="75"/>
      <c r="R21" s="75"/>
      <c r="S21" s="77">
        <f t="shared" si="3"/>
        <v>1183.25143529412</v>
      </c>
      <c r="T21" s="77"/>
      <c r="U21" s="77">
        <f t="shared" si="4"/>
        <v>24.0588235294118</v>
      </c>
      <c r="V21" s="77"/>
      <c r="W21" s="77"/>
      <c r="X21" s="78">
        <f t="shared" si="5"/>
        <v>1207.31025882353</v>
      </c>
      <c r="Y21" s="93">
        <f t="shared" si="6"/>
        <v>204.793517647059</v>
      </c>
      <c r="Z21" s="93"/>
      <c r="AA21" s="93"/>
      <c r="AB21" s="93">
        <f t="shared" si="7"/>
        <v>204.793517647059</v>
      </c>
      <c r="AC21" s="45">
        <v>7.1</v>
      </c>
      <c r="AD21" s="77">
        <f t="shared" si="8"/>
        <v>1454.03397529412</v>
      </c>
      <c r="AE21" s="77">
        <f t="shared" si="9"/>
        <v>2661.34423411765</v>
      </c>
      <c r="AF21" s="77">
        <f t="shared" si="10"/>
        <v>763.655765882353</v>
      </c>
    </row>
    <row r="22" s="2" customFormat="1" spans="1:32">
      <c r="A22" s="20"/>
      <c r="B22" s="21"/>
      <c r="C22" s="22">
        <v>240617000035</v>
      </c>
      <c r="D22" s="23">
        <v>45490</v>
      </c>
      <c r="E22" s="23" t="s">
        <v>47</v>
      </c>
      <c r="F22" s="21" t="s">
        <v>48</v>
      </c>
      <c r="G22" s="21" t="s">
        <v>70</v>
      </c>
      <c r="H22" s="24">
        <v>0.0887</v>
      </c>
      <c r="I22" s="108">
        <v>106</v>
      </c>
      <c r="J22" s="44">
        <v>332</v>
      </c>
      <c r="K22" s="45"/>
      <c r="L22" s="46"/>
      <c r="M22" s="47"/>
      <c r="N22" s="46"/>
      <c r="O22" s="21"/>
      <c r="P22" s="48">
        <f t="shared" si="13"/>
        <v>332</v>
      </c>
      <c r="Q22" s="75"/>
      <c r="R22" s="75"/>
      <c r="S22" s="77">
        <f t="shared" si="3"/>
        <v>80.1913220588235</v>
      </c>
      <c r="T22" s="77"/>
      <c r="U22" s="77">
        <f t="shared" si="4"/>
        <v>1.63051470588235</v>
      </c>
      <c r="V22" s="77"/>
      <c r="W22" s="77"/>
      <c r="X22" s="78">
        <f t="shared" si="5"/>
        <v>81.8218367647059</v>
      </c>
      <c r="Y22" s="93">
        <f t="shared" si="6"/>
        <v>13.8792672794118</v>
      </c>
      <c r="Z22" s="93"/>
      <c r="AA22" s="93"/>
      <c r="AB22" s="93">
        <f t="shared" si="7"/>
        <v>13.8792672794118</v>
      </c>
      <c r="AC22" s="45">
        <v>7.1</v>
      </c>
      <c r="AD22" s="77">
        <f t="shared" si="8"/>
        <v>98.5427976838235</v>
      </c>
      <c r="AE22" s="77">
        <f t="shared" si="9"/>
        <v>180.364634448529</v>
      </c>
      <c r="AF22" s="77">
        <f t="shared" ref="AF22:AF31" si="14">SUM(P22-AE22)</f>
        <v>151.635365551471</v>
      </c>
    </row>
    <row r="23" s="2" customFormat="1" spans="1:32">
      <c r="A23" s="20"/>
      <c r="B23" s="21"/>
      <c r="C23" s="22">
        <v>240703000031</v>
      </c>
      <c r="D23" s="23">
        <v>45478</v>
      </c>
      <c r="E23" s="23" t="s">
        <v>52</v>
      </c>
      <c r="F23" s="21" t="s">
        <v>52</v>
      </c>
      <c r="G23" s="21" t="s">
        <v>71</v>
      </c>
      <c r="H23" s="24">
        <v>36.23</v>
      </c>
      <c r="I23" s="108">
        <v>4650</v>
      </c>
      <c r="J23" s="44">
        <v>63805.02</v>
      </c>
      <c r="K23" s="45"/>
      <c r="L23" s="46"/>
      <c r="M23" s="47"/>
      <c r="N23" s="54"/>
      <c r="O23" s="21"/>
      <c r="P23" s="48">
        <f t="shared" ref="P23:P28" si="15">SUBTOTAL(9,J23)</f>
        <v>63805.02</v>
      </c>
      <c r="Q23" s="79"/>
      <c r="R23" s="79"/>
      <c r="S23" s="77">
        <f t="shared" si="3"/>
        <v>32754.5839705882</v>
      </c>
      <c r="T23" s="77"/>
      <c r="U23" s="77">
        <f t="shared" si="4"/>
        <v>665.992647058824</v>
      </c>
      <c r="V23" s="77"/>
      <c r="W23" s="77"/>
      <c r="X23" s="78">
        <f t="shared" si="5"/>
        <v>33420.5766176471</v>
      </c>
      <c r="Y23" s="93">
        <f t="shared" si="6"/>
        <v>5669.06261029412</v>
      </c>
      <c r="Z23" s="93"/>
      <c r="AA23" s="93"/>
      <c r="AB23" s="93">
        <f t="shared" ref="AB23:AB31" si="16">SUM(Y23:AA23)</f>
        <v>5669.06261029412</v>
      </c>
      <c r="AC23" s="45">
        <v>7.1</v>
      </c>
      <c r="AD23" s="77">
        <f t="shared" si="8"/>
        <v>40250.3445330882</v>
      </c>
      <c r="AE23" s="77">
        <f t="shared" ref="AE23:AE31" si="17">SUM(X23+AD23)</f>
        <v>73670.9211507353</v>
      </c>
      <c r="AF23" s="77">
        <f t="shared" si="14"/>
        <v>-9865.90115073531</v>
      </c>
    </row>
    <row r="24" s="2" customFormat="1" spans="1:32">
      <c r="A24" s="20"/>
      <c r="B24" s="21"/>
      <c r="C24" s="22">
        <v>240704000018</v>
      </c>
      <c r="D24" s="23">
        <v>45477</v>
      </c>
      <c r="E24" s="23" t="s">
        <v>52</v>
      </c>
      <c r="F24" s="21" t="s">
        <v>52</v>
      </c>
      <c r="G24" s="21" t="s">
        <v>72</v>
      </c>
      <c r="H24" s="24">
        <v>0.0287</v>
      </c>
      <c r="I24" s="108">
        <v>25</v>
      </c>
      <c r="J24" s="44">
        <v>106</v>
      </c>
      <c r="K24" s="45"/>
      <c r="L24" s="46"/>
      <c r="M24" s="47"/>
      <c r="N24" s="46"/>
      <c r="O24" s="21"/>
      <c r="P24" s="53">
        <f t="shared" si="15"/>
        <v>106</v>
      </c>
      <c r="Q24" s="81"/>
      <c r="R24" s="81"/>
      <c r="S24" s="77">
        <f t="shared" si="3"/>
        <v>25.9469102941176</v>
      </c>
      <c r="T24" s="77"/>
      <c r="U24" s="77">
        <f t="shared" si="4"/>
        <v>0.527573529411765</v>
      </c>
      <c r="V24" s="77"/>
      <c r="W24" s="77"/>
      <c r="X24" s="78">
        <f t="shared" ref="X24:X31" si="18">SUM(S24:W24)</f>
        <v>26.4744838235294</v>
      </c>
      <c r="Y24" s="93">
        <f t="shared" si="6"/>
        <v>4.49081139705882</v>
      </c>
      <c r="Z24" s="93"/>
      <c r="AA24" s="93"/>
      <c r="AB24" s="93">
        <f t="shared" si="16"/>
        <v>4.49081139705882</v>
      </c>
      <c r="AC24" s="45">
        <v>7.1</v>
      </c>
      <c r="AD24" s="77">
        <f t="shared" ref="AD24:AD31" si="19">SUM(AB24*AC24)</f>
        <v>31.8847609191176</v>
      </c>
      <c r="AE24" s="77">
        <f t="shared" si="17"/>
        <v>58.359244742647</v>
      </c>
      <c r="AF24" s="77">
        <f t="shared" si="14"/>
        <v>47.640755257353</v>
      </c>
    </row>
    <row r="25" s="2" customFormat="1" spans="1:32">
      <c r="A25" s="20" t="s">
        <v>6</v>
      </c>
      <c r="B25" s="21" t="s">
        <v>7</v>
      </c>
      <c r="C25" s="22">
        <v>240607000053</v>
      </c>
      <c r="D25" s="23">
        <v>45478</v>
      </c>
      <c r="E25" s="23" t="s">
        <v>59</v>
      </c>
      <c r="F25" s="106" t="s">
        <v>60</v>
      </c>
      <c r="G25" s="106" t="s">
        <v>69</v>
      </c>
      <c r="H25" s="24">
        <v>1.3459</v>
      </c>
      <c r="I25" s="24">
        <v>622</v>
      </c>
      <c r="J25" s="49">
        <v>3524.24</v>
      </c>
      <c r="K25" s="45"/>
      <c r="L25" s="46"/>
      <c r="M25" s="47"/>
      <c r="N25" s="46"/>
      <c r="O25" s="21"/>
      <c r="P25" s="48">
        <f t="shared" si="13"/>
        <v>3524.24</v>
      </c>
      <c r="Q25" s="75">
        <f>SUM(P25:P31)</f>
        <v>156852.59</v>
      </c>
      <c r="R25" s="76" t="s">
        <v>73</v>
      </c>
      <c r="S25" s="77">
        <f>SUM(60977/68)*H25</f>
        <v>1206.89623970588</v>
      </c>
      <c r="T25" s="80">
        <f>SUM(125.62/68)*H25</f>
        <v>2.48635232352941</v>
      </c>
      <c r="U25" s="77">
        <f>SUM(1150/68)*H25</f>
        <v>22.7615441176471</v>
      </c>
      <c r="V25" s="80">
        <v>120</v>
      </c>
      <c r="W25" s="77"/>
      <c r="X25" s="78">
        <f t="shared" si="18"/>
        <v>1352.14413614706</v>
      </c>
      <c r="Y25" s="93">
        <f>SUM(10579.27/68)*H25</f>
        <v>209.39175725</v>
      </c>
      <c r="Z25" s="93"/>
      <c r="AA25" s="93">
        <f>SUM(57.93/68)*H25</f>
        <v>1.14658804411765</v>
      </c>
      <c r="AB25" s="93">
        <f t="shared" si="16"/>
        <v>210.538345294118</v>
      </c>
      <c r="AC25" s="45">
        <v>7.1</v>
      </c>
      <c r="AD25" s="77">
        <f t="shared" si="19"/>
        <v>1494.82225158824</v>
      </c>
      <c r="AE25" s="77">
        <f t="shared" si="17"/>
        <v>2846.96638773529</v>
      </c>
      <c r="AF25" s="77">
        <f t="shared" si="14"/>
        <v>677.273612264706</v>
      </c>
    </row>
    <row r="26" s="2" customFormat="1" spans="1:32">
      <c r="A26" s="20"/>
      <c r="B26" s="21"/>
      <c r="C26" s="22">
        <v>240624000036</v>
      </c>
      <c r="D26" s="23">
        <v>45478</v>
      </c>
      <c r="E26" s="23" t="s">
        <v>47</v>
      </c>
      <c r="F26" s="106" t="s">
        <v>48</v>
      </c>
      <c r="G26" s="106" t="s">
        <v>51</v>
      </c>
      <c r="H26" s="24">
        <v>1.1026</v>
      </c>
      <c r="I26" s="24">
        <v>1089</v>
      </c>
      <c r="J26" s="44">
        <v>2892</v>
      </c>
      <c r="K26" s="45"/>
      <c r="L26" s="46"/>
      <c r="M26" s="47"/>
      <c r="N26" s="46"/>
      <c r="O26" s="21"/>
      <c r="P26" s="48">
        <f t="shared" si="15"/>
        <v>2892</v>
      </c>
      <c r="Q26" s="79"/>
      <c r="R26" s="79"/>
      <c r="S26" s="77">
        <f t="shared" ref="S26:S31" si="20">SUM(60977/68)*H26</f>
        <v>988.724120588235</v>
      </c>
      <c r="T26" s="80">
        <f t="shared" ref="T26:T31" si="21">SUM(125.62/68)*H26</f>
        <v>2.03689135294118</v>
      </c>
      <c r="U26" s="77">
        <f t="shared" ref="U26:U31" si="22">SUM(1150/68)*H26</f>
        <v>18.6469117647059</v>
      </c>
      <c r="V26" s="80">
        <v>120</v>
      </c>
      <c r="W26" s="77"/>
      <c r="X26" s="78">
        <f t="shared" si="18"/>
        <v>1129.40792370588</v>
      </c>
      <c r="Y26" s="93">
        <f t="shared" ref="Y26:Y31" si="23">SUM(10579.27/68)*H26</f>
        <v>171.5397515</v>
      </c>
      <c r="Z26" s="93"/>
      <c r="AA26" s="93">
        <f t="shared" ref="AA26:AA31" si="24">SUM(57.93/68)*H26</f>
        <v>0.939317911764706</v>
      </c>
      <c r="AB26" s="93">
        <f t="shared" si="16"/>
        <v>172.479069411765</v>
      </c>
      <c r="AC26" s="45">
        <v>7.1</v>
      </c>
      <c r="AD26" s="77">
        <f t="shared" si="19"/>
        <v>1224.60139282353</v>
      </c>
      <c r="AE26" s="77">
        <f t="shared" si="17"/>
        <v>2354.00931652941</v>
      </c>
      <c r="AF26" s="77">
        <f t="shared" si="14"/>
        <v>537.99068347059</v>
      </c>
    </row>
    <row r="27" s="2" customFormat="1" spans="1:32">
      <c r="A27" s="20"/>
      <c r="B27" s="21"/>
      <c r="C27" s="22">
        <v>240624000037</v>
      </c>
      <c r="D27" s="23">
        <v>45478</v>
      </c>
      <c r="E27" s="23" t="s">
        <v>47</v>
      </c>
      <c r="F27" s="21" t="s">
        <v>48</v>
      </c>
      <c r="G27" s="21" t="s">
        <v>51</v>
      </c>
      <c r="H27" s="24">
        <v>14.6754</v>
      </c>
      <c r="I27" s="24">
        <v>11776.5</v>
      </c>
      <c r="J27" s="44">
        <v>43280</v>
      </c>
      <c r="K27" s="45"/>
      <c r="L27" s="46"/>
      <c r="M27" s="47"/>
      <c r="N27" s="46"/>
      <c r="O27" s="21"/>
      <c r="P27" s="48">
        <f t="shared" si="15"/>
        <v>43280</v>
      </c>
      <c r="Q27" s="79"/>
      <c r="R27" s="79"/>
      <c r="S27" s="77">
        <f t="shared" si="20"/>
        <v>13159.7333205882</v>
      </c>
      <c r="T27" s="80">
        <f t="shared" si="21"/>
        <v>27.1106433529412</v>
      </c>
      <c r="U27" s="77">
        <f t="shared" si="22"/>
        <v>248.186911764706</v>
      </c>
      <c r="V27" s="77"/>
      <c r="W27" s="77"/>
      <c r="X27" s="78">
        <f t="shared" si="18"/>
        <v>13435.0308757059</v>
      </c>
      <c r="Y27" s="93">
        <f t="shared" si="23"/>
        <v>2283.1620435</v>
      </c>
      <c r="Z27" s="93"/>
      <c r="AA27" s="93">
        <f t="shared" si="24"/>
        <v>12.5021459117647</v>
      </c>
      <c r="AB27" s="93">
        <f t="shared" si="16"/>
        <v>2295.66418941176</v>
      </c>
      <c r="AC27" s="45">
        <v>7.1</v>
      </c>
      <c r="AD27" s="77">
        <f t="shared" si="19"/>
        <v>16299.2157448235</v>
      </c>
      <c r="AE27" s="77">
        <f t="shared" si="17"/>
        <v>29734.2466205294</v>
      </c>
      <c r="AF27" s="77">
        <f t="shared" si="14"/>
        <v>13545.7533794706</v>
      </c>
    </row>
    <row r="28" s="2" customFormat="1" spans="1:32">
      <c r="A28" s="20"/>
      <c r="B28" s="21"/>
      <c r="C28" s="22">
        <v>240704000029</v>
      </c>
      <c r="D28" s="23">
        <v>45482</v>
      </c>
      <c r="E28" s="23" t="s">
        <v>52</v>
      </c>
      <c r="F28" s="106" t="s">
        <v>52</v>
      </c>
      <c r="G28" s="106" t="s">
        <v>68</v>
      </c>
      <c r="H28" s="24">
        <v>13.9646</v>
      </c>
      <c r="I28" s="24">
        <v>3568</v>
      </c>
      <c r="J28" s="44">
        <v>34908</v>
      </c>
      <c r="K28" s="45"/>
      <c r="L28" s="46"/>
      <c r="M28" s="47"/>
      <c r="N28" s="46"/>
      <c r="O28" s="21"/>
      <c r="P28" s="48">
        <f t="shared" si="15"/>
        <v>34908</v>
      </c>
      <c r="Q28" s="79"/>
      <c r="R28" s="79"/>
      <c r="S28" s="77">
        <f t="shared" si="20"/>
        <v>12522.3443264706</v>
      </c>
      <c r="T28" s="80">
        <f t="shared" si="21"/>
        <v>25.7975448823529</v>
      </c>
      <c r="U28" s="77">
        <f t="shared" si="22"/>
        <v>236.166029411765</v>
      </c>
      <c r="V28" s="77"/>
      <c r="W28" s="77"/>
      <c r="X28" s="78">
        <f t="shared" si="18"/>
        <v>12784.3079007647</v>
      </c>
      <c r="Y28" s="93">
        <f t="shared" si="23"/>
        <v>2172.5775565</v>
      </c>
      <c r="Z28" s="93"/>
      <c r="AA28" s="93">
        <f t="shared" si="24"/>
        <v>11.8966070294118</v>
      </c>
      <c r="AB28" s="93">
        <f t="shared" si="16"/>
        <v>2184.47416352941</v>
      </c>
      <c r="AC28" s="45">
        <v>7.1</v>
      </c>
      <c r="AD28" s="77">
        <f t="shared" si="19"/>
        <v>15509.7665610588</v>
      </c>
      <c r="AE28" s="77">
        <f t="shared" si="17"/>
        <v>28294.0744618235</v>
      </c>
      <c r="AF28" s="77">
        <f t="shared" si="14"/>
        <v>6613.9255381765</v>
      </c>
    </row>
    <row r="29" s="2" customFormat="1" spans="1:32">
      <c r="A29" s="20"/>
      <c r="B29" s="21"/>
      <c r="C29" s="22">
        <v>240617000035</v>
      </c>
      <c r="D29" s="23">
        <v>45490</v>
      </c>
      <c r="E29" s="23" t="s">
        <v>47</v>
      </c>
      <c r="F29" s="21" t="s">
        <v>48</v>
      </c>
      <c r="G29" s="21" t="s">
        <v>70</v>
      </c>
      <c r="H29" s="24">
        <v>1.6952</v>
      </c>
      <c r="I29" s="24">
        <v>322.7</v>
      </c>
      <c r="J29" s="44">
        <v>6330</v>
      </c>
      <c r="K29" s="45"/>
      <c r="L29" s="46"/>
      <c r="M29" s="47"/>
      <c r="N29" s="46"/>
      <c r="O29" s="21"/>
      <c r="P29" s="48">
        <f t="shared" ref="P29:P34" si="25">SUM(J29)</f>
        <v>6330</v>
      </c>
      <c r="Q29" s="75"/>
      <c r="R29" s="75"/>
      <c r="S29" s="77">
        <f t="shared" si="20"/>
        <v>1520.12074117647</v>
      </c>
      <c r="T29" s="80">
        <f t="shared" si="21"/>
        <v>3.13163270588235</v>
      </c>
      <c r="U29" s="77">
        <f t="shared" si="22"/>
        <v>28.6688235294118</v>
      </c>
      <c r="V29" s="77"/>
      <c r="W29" s="77"/>
      <c r="X29" s="78">
        <f t="shared" si="18"/>
        <v>1551.92119741176</v>
      </c>
      <c r="Y29" s="93">
        <f t="shared" si="23"/>
        <v>263.734978</v>
      </c>
      <c r="Z29" s="93"/>
      <c r="AA29" s="93">
        <f t="shared" si="24"/>
        <v>1.44416082352941</v>
      </c>
      <c r="AB29" s="93">
        <f t="shared" si="16"/>
        <v>265.179138823529</v>
      </c>
      <c r="AC29" s="45">
        <v>7.1</v>
      </c>
      <c r="AD29" s="77">
        <f t="shared" si="19"/>
        <v>1882.77188564706</v>
      </c>
      <c r="AE29" s="77">
        <f t="shared" si="17"/>
        <v>3434.69308305882</v>
      </c>
      <c r="AF29" s="77">
        <f t="shared" ref="AF29:AF37" si="26">SUM(P29-AE29)</f>
        <v>2895.30691694118</v>
      </c>
    </row>
    <row r="30" s="2" customFormat="1" spans="1:32">
      <c r="A30" s="20"/>
      <c r="B30" s="21"/>
      <c r="C30" s="22">
        <v>240703000031</v>
      </c>
      <c r="D30" s="23">
        <v>45478</v>
      </c>
      <c r="E30" s="23" t="s">
        <v>52</v>
      </c>
      <c r="F30" s="21" t="s">
        <v>52</v>
      </c>
      <c r="G30" s="21" t="s">
        <v>71</v>
      </c>
      <c r="H30" s="24">
        <v>7.89</v>
      </c>
      <c r="I30" s="24">
        <v>615</v>
      </c>
      <c r="J30" s="44">
        <v>13912.77</v>
      </c>
      <c r="K30" s="45"/>
      <c r="L30" s="46"/>
      <c r="M30" s="47"/>
      <c r="N30" s="54"/>
      <c r="O30" s="21"/>
      <c r="P30" s="48">
        <f t="shared" ref="P30:P33" si="27">SUBTOTAL(9,J30)</f>
        <v>13912.77</v>
      </c>
      <c r="Q30" s="79"/>
      <c r="R30" s="79"/>
      <c r="S30" s="77">
        <f t="shared" si="20"/>
        <v>7075.12544117647</v>
      </c>
      <c r="T30" s="80">
        <f t="shared" si="21"/>
        <v>14.5756147058824</v>
      </c>
      <c r="U30" s="77">
        <f t="shared" si="22"/>
        <v>133.433823529412</v>
      </c>
      <c r="V30" s="77"/>
      <c r="W30" s="77"/>
      <c r="X30" s="78">
        <f t="shared" si="18"/>
        <v>7223.13487941176</v>
      </c>
      <c r="Y30" s="93">
        <f t="shared" si="23"/>
        <v>1227.506475</v>
      </c>
      <c r="Z30" s="93"/>
      <c r="AA30" s="93">
        <f t="shared" si="24"/>
        <v>6.72158382352941</v>
      </c>
      <c r="AB30" s="93">
        <f t="shared" si="16"/>
        <v>1234.22805882353</v>
      </c>
      <c r="AC30" s="45">
        <v>7.1</v>
      </c>
      <c r="AD30" s="77">
        <f t="shared" si="19"/>
        <v>8763.01921764706</v>
      </c>
      <c r="AE30" s="77">
        <f t="shared" si="17"/>
        <v>15986.1540970588</v>
      </c>
      <c r="AF30" s="77">
        <f t="shared" si="26"/>
        <v>-2073.3840970588</v>
      </c>
    </row>
    <row r="31" s="2" customFormat="1" spans="1:32">
      <c r="A31" s="20"/>
      <c r="B31" s="21"/>
      <c r="C31" s="22">
        <v>240705000003</v>
      </c>
      <c r="D31" s="23">
        <v>45478</v>
      </c>
      <c r="E31" s="23" t="s">
        <v>52</v>
      </c>
      <c r="F31" s="21" t="s">
        <v>52</v>
      </c>
      <c r="G31" s="21" t="s">
        <v>71</v>
      </c>
      <c r="H31" s="24">
        <v>29.53</v>
      </c>
      <c r="I31" s="24">
        <v>3724</v>
      </c>
      <c r="J31" s="44">
        <v>52005.58</v>
      </c>
      <c r="K31" s="45"/>
      <c r="L31" s="46"/>
      <c r="M31" s="47"/>
      <c r="N31" s="54"/>
      <c r="O31" s="21"/>
      <c r="P31" s="48">
        <f t="shared" si="27"/>
        <v>52005.58</v>
      </c>
      <c r="Q31" s="81"/>
      <c r="R31" s="81"/>
      <c r="S31" s="77">
        <f t="shared" si="20"/>
        <v>26480.1589705882</v>
      </c>
      <c r="T31" s="80">
        <f t="shared" si="21"/>
        <v>54.5523323529412</v>
      </c>
      <c r="U31" s="77">
        <f t="shared" si="22"/>
        <v>499.404411764706</v>
      </c>
      <c r="V31" s="77"/>
      <c r="W31" s="77"/>
      <c r="X31" s="78">
        <f t="shared" ref="X31:X37" si="28">SUM(S31:W31)</f>
        <v>27034.1157147059</v>
      </c>
      <c r="Y31" s="93">
        <f t="shared" si="23"/>
        <v>4594.203575</v>
      </c>
      <c r="Z31" s="93"/>
      <c r="AA31" s="93">
        <f t="shared" si="24"/>
        <v>25.1569544117647</v>
      </c>
      <c r="AB31" s="93">
        <f t="shared" ref="AB31:AB37" si="29">SUM(Y31:AA31)</f>
        <v>4619.36052941177</v>
      </c>
      <c r="AC31" s="45">
        <v>7.1</v>
      </c>
      <c r="AD31" s="77">
        <f t="shared" ref="AD31:AD37" si="30">SUM(AB31*AC31)</f>
        <v>32797.4597588235</v>
      </c>
      <c r="AE31" s="77">
        <f t="shared" ref="AE31:AE37" si="31">SUM(X31+AD31)</f>
        <v>59831.5754735294</v>
      </c>
      <c r="AF31" s="77">
        <f t="shared" si="26"/>
        <v>-7825.9954735294</v>
      </c>
    </row>
    <row r="32" s="2" customFormat="1" spans="1:32">
      <c r="A32" s="95" t="s">
        <v>8</v>
      </c>
      <c r="B32" s="24" t="s">
        <v>9</v>
      </c>
      <c r="C32" s="96">
        <v>240618000026</v>
      </c>
      <c r="D32" s="25">
        <v>45482</v>
      </c>
      <c r="E32" s="23" t="s">
        <v>52</v>
      </c>
      <c r="F32" s="24" t="s">
        <v>52</v>
      </c>
      <c r="G32" s="24" t="s">
        <v>74</v>
      </c>
      <c r="H32" s="24">
        <v>9.0048</v>
      </c>
      <c r="I32" s="24">
        <v>5844</v>
      </c>
      <c r="J32" s="97">
        <v>32609</v>
      </c>
      <c r="K32" s="98"/>
      <c r="L32" s="52"/>
      <c r="M32" s="47"/>
      <c r="N32" s="52"/>
      <c r="O32" s="24"/>
      <c r="P32" s="53">
        <f t="shared" si="25"/>
        <v>32609</v>
      </c>
      <c r="Q32" s="101">
        <f>SUM(P32:P37)</f>
        <v>184530.54</v>
      </c>
      <c r="R32" s="102" t="s">
        <v>75</v>
      </c>
      <c r="S32" s="80">
        <f t="shared" ref="S32:S37" si="32">SUM(61677/68)*H32</f>
        <v>8167.48602352941</v>
      </c>
      <c r="T32" s="80"/>
      <c r="U32" s="80">
        <f t="shared" ref="U32:U37" si="33">SUM(2200/68)*H32</f>
        <v>291.331764705882</v>
      </c>
      <c r="V32" s="80">
        <v>120</v>
      </c>
      <c r="W32" s="80">
        <v>1600</v>
      </c>
      <c r="X32" s="78">
        <f t="shared" si="28"/>
        <v>10178.8177882353</v>
      </c>
      <c r="Y32" s="105">
        <f t="shared" ref="Y32:Y38" si="34">SUM(10235.99/68)*H32</f>
        <v>1355.48592282353</v>
      </c>
      <c r="Z32" s="105">
        <v>513.28</v>
      </c>
      <c r="AA32" s="105">
        <f t="shared" ref="AA32:AA37" si="35">SUM(77.88/68)*H32</f>
        <v>10.3131444705882</v>
      </c>
      <c r="AB32" s="93">
        <f t="shared" si="29"/>
        <v>1879.07906729412</v>
      </c>
      <c r="AC32" s="98">
        <v>7.12</v>
      </c>
      <c r="AD32" s="77">
        <f t="shared" si="30"/>
        <v>13379.0429591341</v>
      </c>
      <c r="AE32" s="77">
        <f t="shared" si="31"/>
        <v>23557.8607473694</v>
      </c>
      <c r="AF32" s="77">
        <f t="shared" si="26"/>
        <v>9051.13925263059</v>
      </c>
    </row>
    <row r="33" s="2" customFormat="1" spans="1:32">
      <c r="A33" s="95"/>
      <c r="B33" s="24"/>
      <c r="C33" s="96">
        <v>240704000029</v>
      </c>
      <c r="D33" s="25">
        <v>45482</v>
      </c>
      <c r="E33" s="23" t="s">
        <v>52</v>
      </c>
      <c r="F33" s="24" t="s">
        <v>52</v>
      </c>
      <c r="G33" s="24" t="s">
        <v>68</v>
      </c>
      <c r="H33" s="24">
        <v>14.9276</v>
      </c>
      <c r="I33" s="24">
        <v>11064</v>
      </c>
      <c r="J33" s="44">
        <v>37314.5</v>
      </c>
      <c r="K33" s="98"/>
      <c r="L33" s="52"/>
      <c r="M33" s="47"/>
      <c r="N33" s="52"/>
      <c r="O33" s="24"/>
      <c r="P33" s="48">
        <f t="shared" si="27"/>
        <v>37314.5</v>
      </c>
      <c r="Q33" s="103"/>
      <c r="R33" s="103"/>
      <c r="S33" s="80">
        <f t="shared" si="32"/>
        <v>13539.5527235294</v>
      </c>
      <c r="T33" s="80"/>
      <c r="U33" s="80">
        <f t="shared" si="33"/>
        <v>482.951764705882</v>
      </c>
      <c r="V33" s="80"/>
      <c r="W33" s="80"/>
      <c r="X33" s="78">
        <f t="shared" si="28"/>
        <v>14022.5044882353</v>
      </c>
      <c r="Y33" s="105">
        <f t="shared" si="34"/>
        <v>2247.04065182353</v>
      </c>
      <c r="Z33" s="105"/>
      <c r="AA33" s="105">
        <f t="shared" si="35"/>
        <v>17.0964924705882</v>
      </c>
      <c r="AB33" s="93">
        <f t="shared" si="29"/>
        <v>2264.13714429412</v>
      </c>
      <c r="AC33" s="98">
        <v>7.12</v>
      </c>
      <c r="AD33" s="77">
        <f t="shared" si="30"/>
        <v>16120.6564673741</v>
      </c>
      <c r="AE33" s="77">
        <f t="shared" si="31"/>
        <v>30143.1609556094</v>
      </c>
      <c r="AF33" s="77">
        <f t="shared" si="26"/>
        <v>7171.3390443906</v>
      </c>
    </row>
    <row r="34" s="2" customFormat="1" spans="1:32">
      <c r="A34" s="95"/>
      <c r="B34" s="24"/>
      <c r="C34" s="96">
        <v>240617000035</v>
      </c>
      <c r="D34" s="25">
        <v>45490</v>
      </c>
      <c r="E34" s="23" t="s">
        <v>47</v>
      </c>
      <c r="F34" s="24" t="s">
        <v>48</v>
      </c>
      <c r="G34" s="24" t="s">
        <v>70</v>
      </c>
      <c r="H34" s="24">
        <v>12.8123</v>
      </c>
      <c r="I34" s="24">
        <v>5331.1</v>
      </c>
      <c r="J34" s="97">
        <v>47840</v>
      </c>
      <c r="K34" s="98"/>
      <c r="L34" s="52"/>
      <c r="M34" s="47"/>
      <c r="N34" s="52"/>
      <c r="O34" s="24"/>
      <c r="P34" s="53">
        <f t="shared" si="25"/>
        <v>47840</v>
      </c>
      <c r="Q34" s="101"/>
      <c r="R34" s="101"/>
      <c r="S34" s="80">
        <f t="shared" si="32"/>
        <v>11620.9445161765</v>
      </c>
      <c r="T34" s="80"/>
      <c r="U34" s="80">
        <f t="shared" si="33"/>
        <v>414.515588235294</v>
      </c>
      <c r="V34" s="80"/>
      <c r="W34" s="80"/>
      <c r="X34" s="78">
        <f t="shared" si="28"/>
        <v>12035.4601044118</v>
      </c>
      <c r="Y34" s="105">
        <f t="shared" si="34"/>
        <v>1928.62609819118</v>
      </c>
      <c r="Z34" s="105"/>
      <c r="AA34" s="105">
        <f t="shared" si="35"/>
        <v>14.6738518235294</v>
      </c>
      <c r="AB34" s="93">
        <f t="shared" si="29"/>
        <v>1943.29995001471</v>
      </c>
      <c r="AC34" s="98">
        <v>7.12</v>
      </c>
      <c r="AD34" s="77">
        <f t="shared" si="30"/>
        <v>13836.2956441047</v>
      </c>
      <c r="AE34" s="77">
        <f t="shared" si="31"/>
        <v>25871.7557485165</v>
      </c>
      <c r="AF34" s="77">
        <f t="shared" si="26"/>
        <v>21968.2442514835</v>
      </c>
    </row>
    <row r="35" s="2" customFormat="1" spans="1:32">
      <c r="A35" s="95"/>
      <c r="B35" s="24"/>
      <c r="C35" s="96">
        <v>240707000003</v>
      </c>
      <c r="D35" s="25">
        <v>45482</v>
      </c>
      <c r="E35" s="23" t="s">
        <v>52</v>
      </c>
      <c r="F35" s="24" t="s">
        <v>52</v>
      </c>
      <c r="G35" s="24" t="s">
        <v>68</v>
      </c>
      <c r="H35" s="24">
        <v>0.1208</v>
      </c>
      <c r="I35" s="24">
        <v>69</v>
      </c>
      <c r="J35" s="97">
        <v>330.48</v>
      </c>
      <c r="K35" s="98"/>
      <c r="L35" s="52"/>
      <c r="M35" s="47"/>
      <c r="N35" s="52"/>
      <c r="O35" s="24"/>
      <c r="P35" s="53">
        <f t="shared" ref="P35:P37" si="36">SUBTOTAL(9,J35)</f>
        <v>330.48</v>
      </c>
      <c r="Q35" s="103"/>
      <c r="R35" s="103"/>
      <c r="S35" s="80">
        <f t="shared" si="32"/>
        <v>109.567376470588</v>
      </c>
      <c r="T35" s="80"/>
      <c r="U35" s="80">
        <f t="shared" si="33"/>
        <v>3.90823529411765</v>
      </c>
      <c r="V35" s="80"/>
      <c r="W35" s="80"/>
      <c r="X35" s="78">
        <f t="shared" si="28"/>
        <v>113.475611764706</v>
      </c>
      <c r="Y35" s="105">
        <f t="shared" si="34"/>
        <v>18.1839351764706</v>
      </c>
      <c r="Z35" s="105"/>
      <c r="AA35" s="105">
        <f t="shared" si="35"/>
        <v>0.138351529411765</v>
      </c>
      <c r="AB35" s="93">
        <f t="shared" si="29"/>
        <v>18.3222867058824</v>
      </c>
      <c r="AC35" s="98">
        <v>7.12</v>
      </c>
      <c r="AD35" s="77">
        <f t="shared" si="30"/>
        <v>130.454681345882</v>
      </c>
      <c r="AE35" s="77">
        <f t="shared" si="31"/>
        <v>243.930293110588</v>
      </c>
      <c r="AF35" s="77">
        <f t="shared" si="26"/>
        <v>86.549706889412</v>
      </c>
    </row>
    <row r="36" s="2" customFormat="1" spans="1:32">
      <c r="A36" s="95"/>
      <c r="B36" s="24"/>
      <c r="C36" s="96">
        <v>240708000038</v>
      </c>
      <c r="D36" s="25">
        <v>45482</v>
      </c>
      <c r="E36" s="25" t="s">
        <v>76</v>
      </c>
      <c r="F36" s="24" t="s">
        <v>77</v>
      </c>
      <c r="G36" s="24" t="s">
        <v>78</v>
      </c>
      <c r="H36" s="24">
        <v>1.6</v>
      </c>
      <c r="I36" s="24">
        <v>1009</v>
      </c>
      <c r="J36" s="97">
        <v>3916.8</v>
      </c>
      <c r="K36" s="98"/>
      <c r="L36" s="52"/>
      <c r="M36" s="47"/>
      <c r="N36" s="52"/>
      <c r="O36" s="24"/>
      <c r="P36" s="53">
        <f t="shared" si="36"/>
        <v>3916.8</v>
      </c>
      <c r="Q36" s="103"/>
      <c r="R36" s="103"/>
      <c r="S36" s="80">
        <f t="shared" si="32"/>
        <v>1451.22352941176</v>
      </c>
      <c r="T36" s="80"/>
      <c r="U36" s="80">
        <f t="shared" si="33"/>
        <v>51.7647058823529</v>
      </c>
      <c r="V36" s="80"/>
      <c r="W36" s="80"/>
      <c r="X36" s="78">
        <f t="shared" si="28"/>
        <v>1502.98823529412</v>
      </c>
      <c r="Y36" s="105">
        <f t="shared" si="34"/>
        <v>240.846823529412</v>
      </c>
      <c r="Z36" s="105"/>
      <c r="AA36" s="105">
        <f t="shared" si="35"/>
        <v>1.83247058823529</v>
      </c>
      <c r="AB36" s="93">
        <f t="shared" si="29"/>
        <v>242.679294117647</v>
      </c>
      <c r="AC36" s="98">
        <v>7.12</v>
      </c>
      <c r="AD36" s="77">
        <f t="shared" si="30"/>
        <v>1727.87657411765</v>
      </c>
      <c r="AE36" s="77">
        <f t="shared" si="31"/>
        <v>3230.86480941176</v>
      </c>
      <c r="AF36" s="77">
        <f t="shared" ref="AF36:AF49" si="37">SUM(P36-AE36)</f>
        <v>685.93519058824</v>
      </c>
    </row>
    <row r="37" s="2" customFormat="1" spans="1:32">
      <c r="A37" s="95"/>
      <c r="B37" s="24"/>
      <c r="C37" s="96">
        <v>240708000062</v>
      </c>
      <c r="D37" s="25">
        <v>45482</v>
      </c>
      <c r="E37" s="23" t="s">
        <v>52</v>
      </c>
      <c r="F37" s="24" t="s">
        <v>52</v>
      </c>
      <c r="G37" s="24" t="s">
        <v>71</v>
      </c>
      <c r="H37" s="24">
        <v>35.79</v>
      </c>
      <c r="I37" s="24">
        <v>4290.5</v>
      </c>
      <c r="J37" s="97">
        <v>62519.76</v>
      </c>
      <c r="K37" s="98"/>
      <c r="L37" s="52"/>
      <c r="M37" s="47"/>
      <c r="N37" s="100"/>
      <c r="O37" s="24"/>
      <c r="P37" s="53">
        <f t="shared" si="36"/>
        <v>62519.76</v>
      </c>
      <c r="Q37" s="104"/>
      <c r="R37" s="104"/>
      <c r="S37" s="80">
        <f t="shared" si="32"/>
        <v>32462.0563235294</v>
      </c>
      <c r="T37" s="80"/>
      <c r="U37" s="80">
        <f t="shared" si="33"/>
        <v>1157.91176470588</v>
      </c>
      <c r="V37" s="80"/>
      <c r="W37" s="80"/>
      <c r="X37" s="78">
        <f t="shared" ref="X37:X49" si="38">SUM(S37:W37)</f>
        <v>33619.9680882353</v>
      </c>
      <c r="Y37" s="105">
        <f t="shared" si="34"/>
        <v>5387.44238382353</v>
      </c>
      <c r="Z37" s="105"/>
      <c r="AA37" s="105">
        <f t="shared" si="35"/>
        <v>40.9900764705882</v>
      </c>
      <c r="AB37" s="93">
        <f t="shared" ref="AB37:AB49" si="39">SUM(Y37:AA37)</f>
        <v>5428.43246029412</v>
      </c>
      <c r="AC37" s="98">
        <v>7.12</v>
      </c>
      <c r="AD37" s="77">
        <f t="shared" ref="AD37:AD49" si="40">SUM(AB37*AC37)</f>
        <v>38650.4391172941</v>
      </c>
      <c r="AE37" s="77">
        <f t="shared" ref="AE37:AE49" si="41">SUM(X37+AD37)</f>
        <v>72270.4072055294</v>
      </c>
      <c r="AF37" s="77">
        <f t="shared" si="37"/>
        <v>-9750.64720552939</v>
      </c>
    </row>
    <row r="38" s="2" customFormat="1" spans="1:32">
      <c r="A38" s="95" t="s">
        <v>10</v>
      </c>
      <c r="B38" s="24" t="s">
        <v>11</v>
      </c>
      <c r="C38" s="96">
        <v>240617000035</v>
      </c>
      <c r="D38" s="25">
        <v>45490</v>
      </c>
      <c r="E38" s="23" t="s">
        <v>47</v>
      </c>
      <c r="F38" s="24" t="s">
        <v>48</v>
      </c>
      <c r="G38" s="24" t="s">
        <v>70</v>
      </c>
      <c r="H38" s="24">
        <v>4.9371</v>
      </c>
      <c r="I38" s="24">
        <v>11872</v>
      </c>
      <c r="J38" s="97">
        <v>18452</v>
      </c>
      <c r="K38" s="98"/>
      <c r="L38" s="52"/>
      <c r="M38" s="47"/>
      <c r="N38" s="52"/>
      <c r="O38" s="24"/>
      <c r="P38" s="53">
        <f>SUM(J38)</f>
        <v>18452</v>
      </c>
      <c r="Q38" s="101">
        <f>SUM(P38:P49)</f>
        <v>164523.199839</v>
      </c>
      <c r="R38" s="102" t="s">
        <v>79</v>
      </c>
      <c r="S38" s="80">
        <f>SUM(62477/68)*H38</f>
        <v>4536.10583382353</v>
      </c>
      <c r="T38" s="80">
        <v>770</v>
      </c>
      <c r="U38" s="80">
        <f>SUM(2400/68)*H38</f>
        <v>174.250588235294</v>
      </c>
      <c r="V38" s="80"/>
      <c r="W38" s="80">
        <f>SUM(830+1800)</f>
        <v>2630</v>
      </c>
      <c r="X38" s="78">
        <f t="shared" si="38"/>
        <v>8110.35642205882</v>
      </c>
      <c r="Y38" s="105">
        <f t="shared" si="34"/>
        <v>743.178032779412</v>
      </c>
      <c r="Z38" s="105">
        <v>471.98</v>
      </c>
      <c r="AA38" s="105">
        <f>SUM(35.4/68)*H38</f>
        <v>2.57019617647059</v>
      </c>
      <c r="AB38" s="93">
        <f t="shared" si="39"/>
        <v>1217.72822895588</v>
      </c>
      <c r="AC38" s="98">
        <v>7.26</v>
      </c>
      <c r="AD38" s="77">
        <f t="shared" si="40"/>
        <v>8840.70694221971</v>
      </c>
      <c r="AE38" s="77">
        <f t="shared" si="41"/>
        <v>16951.0633642785</v>
      </c>
      <c r="AF38" s="77">
        <f t="shared" si="37"/>
        <v>1500.93663572147</v>
      </c>
    </row>
    <row r="39" s="2" customFormat="1" spans="1:32">
      <c r="A39" s="95"/>
      <c r="B39" s="24"/>
      <c r="C39" s="96">
        <v>240702000004</v>
      </c>
      <c r="D39" s="25">
        <v>45490</v>
      </c>
      <c r="E39" s="23" t="s">
        <v>47</v>
      </c>
      <c r="F39" s="24" t="s">
        <v>48</v>
      </c>
      <c r="G39" s="24" t="s">
        <v>80</v>
      </c>
      <c r="H39" s="24">
        <v>1.9054</v>
      </c>
      <c r="I39" s="24">
        <v>586.7</v>
      </c>
      <c r="J39" s="97">
        <v>7303</v>
      </c>
      <c r="K39" s="98"/>
      <c r="L39" s="52"/>
      <c r="M39" s="47"/>
      <c r="N39" s="52"/>
      <c r="O39" s="24"/>
      <c r="P39" s="53">
        <f t="shared" ref="P39:P46" si="42">SUBTOTAL(9,J39)</f>
        <v>7303</v>
      </c>
      <c r="Q39" s="103"/>
      <c r="R39" s="103"/>
      <c r="S39" s="80">
        <f t="shared" ref="S39:S49" si="43">SUM(62477/68)*H39</f>
        <v>1750.64229117647</v>
      </c>
      <c r="T39" s="80"/>
      <c r="U39" s="80">
        <f t="shared" ref="U39:U49" si="44">SUM(2400/68)*H39</f>
        <v>67.2494117647059</v>
      </c>
      <c r="V39" s="80"/>
      <c r="W39" s="80"/>
      <c r="X39" s="78">
        <f t="shared" si="38"/>
        <v>1817.89170294118</v>
      </c>
      <c r="Y39" s="105">
        <f t="shared" ref="Y39:Y49" si="45">SUM(10235.99/68)*H39</f>
        <v>286.818460970588</v>
      </c>
      <c r="Z39" s="105"/>
      <c r="AA39" s="105">
        <f t="shared" ref="AA39:AA50" si="46">SUM(35.4/68)*H39</f>
        <v>0.991928823529412</v>
      </c>
      <c r="AB39" s="93">
        <f t="shared" si="39"/>
        <v>287.810389794118</v>
      </c>
      <c r="AC39" s="98">
        <v>7.26</v>
      </c>
      <c r="AD39" s="77">
        <f t="shared" si="40"/>
        <v>2089.50342990529</v>
      </c>
      <c r="AE39" s="77">
        <f t="shared" si="41"/>
        <v>3907.39513284647</v>
      </c>
      <c r="AF39" s="77">
        <f t="shared" si="37"/>
        <v>3395.60486715353</v>
      </c>
    </row>
    <row r="40" s="2" customFormat="1" spans="1:32">
      <c r="A40" s="95"/>
      <c r="B40" s="24"/>
      <c r="C40" s="96">
        <v>240702000027</v>
      </c>
      <c r="D40" s="25">
        <v>45490</v>
      </c>
      <c r="E40" s="23" t="s">
        <v>52</v>
      </c>
      <c r="F40" s="24" t="s">
        <v>52</v>
      </c>
      <c r="G40" s="24" t="s">
        <v>81</v>
      </c>
      <c r="H40" s="24">
        <v>0.9364</v>
      </c>
      <c r="I40" s="24">
        <v>230</v>
      </c>
      <c r="J40" s="53"/>
      <c r="K40" s="99">
        <v>539654</v>
      </c>
      <c r="L40" s="52"/>
      <c r="M40" s="47">
        <f t="shared" ref="M40:M42" si="47">SUM(K40/N40)</f>
        <v>1694.99968590992</v>
      </c>
      <c r="N40" s="100">
        <v>318.38</v>
      </c>
      <c r="O40" s="24">
        <v>7.08</v>
      </c>
      <c r="P40" s="53">
        <f t="shared" ref="P40:P42" si="48">SUM(N40*O40)</f>
        <v>2254.1304</v>
      </c>
      <c r="Q40" s="103"/>
      <c r="R40" s="103"/>
      <c r="S40" s="80">
        <f t="shared" si="43"/>
        <v>860.345041176471</v>
      </c>
      <c r="T40" s="80"/>
      <c r="U40" s="80">
        <f t="shared" si="44"/>
        <v>33.0494117647059</v>
      </c>
      <c r="V40" s="80"/>
      <c r="W40" s="80"/>
      <c r="X40" s="78">
        <f t="shared" si="38"/>
        <v>893.394452941176</v>
      </c>
      <c r="Y40" s="105">
        <f t="shared" si="45"/>
        <v>140.955603470588</v>
      </c>
      <c r="Z40" s="105"/>
      <c r="AA40" s="105">
        <f t="shared" si="46"/>
        <v>0.487478823529412</v>
      </c>
      <c r="AB40" s="93">
        <f t="shared" si="39"/>
        <v>141.443082294118</v>
      </c>
      <c r="AC40" s="98">
        <v>7.26</v>
      </c>
      <c r="AD40" s="77">
        <f t="shared" si="40"/>
        <v>1026.87677745529</v>
      </c>
      <c r="AE40" s="77">
        <f t="shared" si="41"/>
        <v>1920.27123039647</v>
      </c>
      <c r="AF40" s="77">
        <f t="shared" si="37"/>
        <v>333.85916960353</v>
      </c>
    </row>
    <row r="41" s="2" customFormat="1" spans="1:32">
      <c r="A41" s="95"/>
      <c r="B41" s="24"/>
      <c r="C41" s="96">
        <v>240708000040</v>
      </c>
      <c r="D41" s="25">
        <v>45490</v>
      </c>
      <c r="E41" s="23" t="s">
        <v>59</v>
      </c>
      <c r="F41" s="24" t="s">
        <v>60</v>
      </c>
      <c r="G41" s="24" t="s">
        <v>82</v>
      </c>
      <c r="H41" s="24">
        <v>0.6334</v>
      </c>
      <c r="I41" s="24">
        <v>1195</v>
      </c>
      <c r="J41" s="53"/>
      <c r="K41" s="99">
        <v>1077245.4</v>
      </c>
      <c r="L41" s="52"/>
      <c r="M41" s="47">
        <f t="shared" si="47"/>
        <v>1744.41396508728</v>
      </c>
      <c r="N41" s="100">
        <v>617.54</v>
      </c>
      <c r="O41" s="24">
        <v>7.12</v>
      </c>
      <c r="P41" s="53">
        <f t="shared" si="48"/>
        <v>4396.8848</v>
      </c>
      <c r="Q41" s="103"/>
      <c r="R41" s="103"/>
      <c r="S41" s="80">
        <f t="shared" si="43"/>
        <v>581.954879411765</v>
      </c>
      <c r="T41" s="80"/>
      <c r="U41" s="80">
        <f t="shared" si="44"/>
        <v>22.3552941176471</v>
      </c>
      <c r="V41" s="80"/>
      <c r="W41" s="80"/>
      <c r="X41" s="78">
        <f t="shared" si="38"/>
        <v>604.310173529412</v>
      </c>
      <c r="Y41" s="105">
        <f t="shared" si="45"/>
        <v>95.3452362647059</v>
      </c>
      <c r="Z41" s="105">
        <v>59</v>
      </c>
      <c r="AA41" s="105">
        <f t="shared" si="46"/>
        <v>0.329740588235294</v>
      </c>
      <c r="AB41" s="93">
        <f t="shared" si="39"/>
        <v>154.674976852941</v>
      </c>
      <c r="AC41" s="98">
        <v>7.26</v>
      </c>
      <c r="AD41" s="77">
        <f t="shared" si="40"/>
        <v>1122.94033195235</v>
      </c>
      <c r="AE41" s="77">
        <f t="shared" si="41"/>
        <v>1727.25050548176</v>
      </c>
      <c r="AF41" s="77">
        <f t="shared" si="37"/>
        <v>2669.63429451824</v>
      </c>
    </row>
    <row r="42" s="2" customFormat="1" spans="1:32">
      <c r="A42" s="95"/>
      <c r="B42" s="24"/>
      <c r="C42" s="96">
        <v>240711000027</v>
      </c>
      <c r="D42" s="25">
        <v>45490</v>
      </c>
      <c r="E42" s="25" t="s">
        <v>83</v>
      </c>
      <c r="F42" s="24" t="s">
        <v>84</v>
      </c>
      <c r="G42" s="24" t="s">
        <v>85</v>
      </c>
      <c r="H42" s="24">
        <v>0.8466</v>
      </c>
      <c r="I42" s="24">
        <v>370</v>
      </c>
      <c r="J42" s="53"/>
      <c r="K42" s="98"/>
      <c r="L42" s="100">
        <v>296.31</v>
      </c>
      <c r="M42" s="47">
        <f t="shared" si="47"/>
        <v>0</v>
      </c>
      <c r="N42" s="100">
        <v>296.31006</v>
      </c>
      <c r="O42" s="24">
        <v>7.12</v>
      </c>
      <c r="P42" s="53">
        <f t="shared" si="48"/>
        <v>2109.7276272</v>
      </c>
      <c r="Q42" s="103"/>
      <c r="R42" s="103"/>
      <c r="S42" s="80">
        <f t="shared" si="43"/>
        <v>777.83865</v>
      </c>
      <c r="T42" s="80"/>
      <c r="U42" s="80">
        <f t="shared" si="44"/>
        <v>29.88</v>
      </c>
      <c r="V42" s="80"/>
      <c r="W42" s="80"/>
      <c r="X42" s="78">
        <f t="shared" si="38"/>
        <v>807.71865</v>
      </c>
      <c r="Y42" s="105">
        <f t="shared" si="45"/>
        <v>127.4380755</v>
      </c>
      <c r="Z42" s="105"/>
      <c r="AA42" s="105">
        <f t="shared" si="46"/>
        <v>0.44073</v>
      </c>
      <c r="AB42" s="93">
        <f t="shared" si="39"/>
        <v>127.8788055</v>
      </c>
      <c r="AC42" s="98">
        <v>7.26</v>
      </c>
      <c r="AD42" s="77">
        <f t="shared" si="40"/>
        <v>928.40012793</v>
      </c>
      <c r="AE42" s="77">
        <f t="shared" si="41"/>
        <v>1736.11877793</v>
      </c>
      <c r="AF42" s="77">
        <f t="shared" si="37"/>
        <v>373.60884927</v>
      </c>
    </row>
    <row r="43" s="2" customFormat="1" spans="1:32">
      <c r="A43" s="95"/>
      <c r="B43" s="24"/>
      <c r="C43" s="96">
        <v>240715000001</v>
      </c>
      <c r="D43" s="25">
        <v>45490</v>
      </c>
      <c r="E43" s="23" t="s">
        <v>55</v>
      </c>
      <c r="F43" s="24" t="s">
        <v>56</v>
      </c>
      <c r="G43" s="24" t="s">
        <v>58</v>
      </c>
      <c r="H43" s="24">
        <v>0.269</v>
      </c>
      <c r="I43" s="24">
        <v>184</v>
      </c>
      <c r="J43" s="97">
        <v>660.29</v>
      </c>
      <c r="K43" s="98"/>
      <c r="L43" s="52"/>
      <c r="M43" s="47"/>
      <c r="N43" s="52"/>
      <c r="O43" s="24"/>
      <c r="P43" s="53">
        <f t="shared" si="42"/>
        <v>660.29</v>
      </c>
      <c r="Q43" s="103"/>
      <c r="R43" s="103"/>
      <c r="S43" s="80">
        <f t="shared" si="43"/>
        <v>247.151661764706</v>
      </c>
      <c r="T43" s="80"/>
      <c r="U43" s="80">
        <f t="shared" si="44"/>
        <v>9.49411764705883</v>
      </c>
      <c r="V43" s="80"/>
      <c r="W43" s="80"/>
      <c r="X43" s="78">
        <f t="shared" si="38"/>
        <v>256.645779411765</v>
      </c>
      <c r="Y43" s="105">
        <f t="shared" si="45"/>
        <v>40.4923722058824</v>
      </c>
      <c r="Z43" s="105"/>
      <c r="AA43" s="105">
        <f t="shared" si="46"/>
        <v>0.140038235294118</v>
      </c>
      <c r="AB43" s="93">
        <f t="shared" si="39"/>
        <v>40.6324104411765</v>
      </c>
      <c r="AC43" s="98">
        <v>7.26</v>
      </c>
      <c r="AD43" s="77">
        <f t="shared" si="40"/>
        <v>294.991299802941</v>
      </c>
      <c r="AE43" s="77">
        <f t="shared" si="41"/>
        <v>551.637079214706</v>
      </c>
      <c r="AF43" s="77">
        <f t="shared" si="37"/>
        <v>108.652920785294</v>
      </c>
    </row>
    <row r="44" s="2" customFormat="1" spans="1:32">
      <c r="A44" s="95"/>
      <c r="B44" s="24"/>
      <c r="C44" s="96">
        <v>240715000029</v>
      </c>
      <c r="D44" s="25">
        <v>45490</v>
      </c>
      <c r="E44" s="25" t="s">
        <v>76</v>
      </c>
      <c r="F44" s="24" t="s">
        <v>77</v>
      </c>
      <c r="G44" s="24" t="s">
        <v>78</v>
      </c>
      <c r="H44" s="24">
        <v>7.56</v>
      </c>
      <c r="I44" s="24">
        <v>5200</v>
      </c>
      <c r="J44" s="97">
        <v>19595.52</v>
      </c>
      <c r="K44" s="98"/>
      <c r="L44" s="52"/>
      <c r="M44" s="47"/>
      <c r="N44" s="52"/>
      <c r="O44" s="24"/>
      <c r="P44" s="53">
        <f t="shared" si="42"/>
        <v>19595.52</v>
      </c>
      <c r="Q44" s="103"/>
      <c r="R44" s="103"/>
      <c r="S44" s="80">
        <f t="shared" si="43"/>
        <v>6945.97235294118</v>
      </c>
      <c r="T44" s="80"/>
      <c r="U44" s="80">
        <f t="shared" si="44"/>
        <v>266.823529411765</v>
      </c>
      <c r="V44" s="80"/>
      <c r="W44" s="80"/>
      <c r="X44" s="78">
        <f t="shared" si="38"/>
        <v>7212.79588235294</v>
      </c>
      <c r="Y44" s="105">
        <f t="shared" si="45"/>
        <v>1138.00124117647</v>
      </c>
      <c r="Z44" s="105"/>
      <c r="AA44" s="105">
        <f t="shared" si="46"/>
        <v>3.93564705882353</v>
      </c>
      <c r="AB44" s="93">
        <f t="shared" si="39"/>
        <v>1141.93688823529</v>
      </c>
      <c r="AC44" s="98">
        <v>7.26</v>
      </c>
      <c r="AD44" s="77">
        <f t="shared" si="40"/>
        <v>8290.46180858824</v>
      </c>
      <c r="AE44" s="77">
        <f t="shared" si="41"/>
        <v>15503.2576909412</v>
      </c>
      <c r="AF44" s="77">
        <f t="shared" si="37"/>
        <v>4092.2623090588</v>
      </c>
    </row>
    <row r="45" s="2" customFormat="1" spans="1:32">
      <c r="A45" s="95"/>
      <c r="B45" s="24"/>
      <c r="C45" s="96">
        <v>240715000048</v>
      </c>
      <c r="D45" s="25">
        <v>45490</v>
      </c>
      <c r="E45" s="23" t="s">
        <v>52</v>
      </c>
      <c r="F45" s="24" t="s">
        <v>52</v>
      </c>
      <c r="G45" s="24" t="s">
        <v>86</v>
      </c>
      <c r="H45" s="24">
        <v>11.5846</v>
      </c>
      <c r="I45" s="24">
        <v>2575.5</v>
      </c>
      <c r="J45" s="97">
        <v>24968.54</v>
      </c>
      <c r="K45" s="98"/>
      <c r="L45" s="52"/>
      <c r="M45" s="47"/>
      <c r="N45" s="52"/>
      <c r="O45" s="24"/>
      <c r="P45" s="53">
        <f t="shared" si="42"/>
        <v>24968.54</v>
      </c>
      <c r="Q45" s="103"/>
      <c r="R45" s="103"/>
      <c r="S45" s="80">
        <f t="shared" si="43"/>
        <v>10643.6919735294</v>
      </c>
      <c r="T45" s="80"/>
      <c r="U45" s="80">
        <f t="shared" si="44"/>
        <v>408.868235294118</v>
      </c>
      <c r="V45" s="80"/>
      <c r="W45" s="80"/>
      <c r="X45" s="78">
        <f t="shared" si="38"/>
        <v>11052.5602088235</v>
      </c>
      <c r="Y45" s="105">
        <f t="shared" si="45"/>
        <v>1743.82131991176</v>
      </c>
      <c r="Z45" s="105"/>
      <c r="AA45" s="105">
        <f t="shared" si="46"/>
        <v>6.03080647058823</v>
      </c>
      <c r="AB45" s="93">
        <f t="shared" si="39"/>
        <v>1749.85212638235</v>
      </c>
      <c r="AC45" s="98">
        <v>7.26</v>
      </c>
      <c r="AD45" s="77">
        <f t="shared" si="40"/>
        <v>12703.9264375359</v>
      </c>
      <c r="AE45" s="77">
        <f t="shared" si="41"/>
        <v>23756.4866463594</v>
      </c>
      <c r="AF45" s="77">
        <f t="shared" si="37"/>
        <v>1212.0533536406</v>
      </c>
    </row>
    <row r="46" s="2" customFormat="1" spans="1:32">
      <c r="A46" s="95"/>
      <c r="B46" s="24"/>
      <c r="C46" s="96">
        <v>240715000049</v>
      </c>
      <c r="D46" s="25">
        <v>45490</v>
      </c>
      <c r="E46" s="23" t="s">
        <v>52</v>
      </c>
      <c r="F46" s="24" t="s">
        <v>52</v>
      </c>
      <c r="G46" s="24" t="s">
        <v>86</v>
      </c>
      <c r="H46" s="24">
        <v>5.0829</v>
      </c>
      <c r="I46" s="24">
        <v>911</v>
      </c>
      <c r="J46" s="97">
        <v>10979.06</v>
      </c>
      <c r="K46" s="98"/>
      <c r="L46" s="52"/>
      <c r="M46" s="47"/>
      <c r="N46" s="52"/>
      <c r="O46" s="24"/>
      <c r="P46" s="53">
        <f t="shared" si="42"/>
        <v>10979.06</v>
      </c>
      <c r="Q46" s="103"/>
      <c r="R46" s="103"/>
      <c r="S46" s="80">
        <f t="shared" si="43"/>
        <v>4670.06387205882</v>
      </c>
      <c r="T46" s="80"/>
      <c r="U46" s="80">
        <f t="shared" si="44"/>
        <v>179.396470588235</v>
      </c>
      <c r="V46" s="80"/>
      <c r="W46" s="80"/>
      <c r="X46" s="78">
        <f t="shared" si="38"/>
        <v>4849.46034264706</v>
      </c>
      <c r="Y46" s="105">
        <f t="shared" si="45"/>
        <v>765.125199573529</v>
      </c>
      <c r="Z46" s="105"/>
      <c r="AA46" s="105">
        <f t="shared" si="46"/>
        <v>2.64609794117647</v>
      </c>
      <c r="AB46" s="93">
        <f t="shared" si="39"/>
        <v>767.771297514706</v>
      </c>
      <c r="AC46" s="98">
        <v>7.26</v>
      </c>
      <c r="AD46" s="77">
        <f t="shared" si="40"/>
        <v>5574.01961995676</v>
      </c>
      <c r="AE46" s="77">
        <f t="shared" si="41"/>
        <v>10423.4799626038</v>
      </c>
      <c r="AF46" s="77">
        <f t="shared" si="37"/>
        <v>555.580037396199</v>
      </c>
    </row>
    <row r="47" s="2" customFormat="1" spans="1:32">
      <c r="A47" s="95"/>
      <c r="B47" s="24"/>
      <c r="C47" s="96">
        <v>240716000001</v>
      </c>
      <c r="D47" s="25">
        <v>45490</v>
      </c>
      <c r="E47" s="23" t="s">
        <v>55</v>
      </c>
      <c r="F47" s="24" t="s">
        <v>56</v>
      </c>
      <c r="G47" s="24" t="s">
        <v>87</v>
      </c>
      <c r="H47" s="24">
        <v>0.9605</v>
      </c>
      <c r="I47" s="24">
        <v>145</v>
      </c>
      <c r="J47" s="53"/>
      <c r="K47" s="99">
        <v>591555</v>
      </c>
      <c r="L47" s="52"/>
      <c r="M47" s="47">
        <f>SUM(K47/N47)</f>
        <v>1710.78416529723</v>
      </c>
      <c r="N47" s="100">
        <v>345.78003</v>
      </c>
      <c r="O47" s="24">
        <v>7.06</v>
      </c>
      <c r="P47" s="53">
        <f>SUM(N47*O47)</f>
        <v>2441.2070118</v>
      </c>
      <c r="Q47" s="103"/>
      <c r="R47" s="103"/>
      <c r="S47" s="80">
        <f t="shared" si="43"/>
        <v>882.487625</v>
      </c>
      <c r="T47" s="80"/>
      <c r="U47" s="80">
        <f t="shared" si="44"/>
        <v>33.9</v>
      </c>
      <c r="V47" s="80"/>
      <c r="W47" s="80"/>
      <c r="X47" s="78">
        <f t="shared" si="38"/>
        <v>916.387625</v>
      </c>
      <c r="Y47" s="105">
        <f t="shared" si="45"/>
        <v>144.58335875</v>
      </c>
      <c r="Z47" s="105"/>
      <c r="AA47" s="105">
        <f t="shared" si="46"/>
        <v>0.500025</v>
      </c>
      <c r="AB47" s="93">
        <f t="shared" si="39"/>
        <v>145.08338375</v>
      </c>
      <c r="AC47" s="98">
        <v>7.26</v>
      </c>
      <c r="AD47" s="77">
        <f t="shared" si="40"/>
        <v>1053.305366025</v>
      </c>
      <c r="AE47" s="77">
        <f t="shared" si="41"/>
        <v>1969.692991025</v>
      </c>
      <c r="AF47" s="77">
        <f t="shared" si="37"/>
        <v>471.514020775</v>
      </c>
    </row>
    <row r="48" s="2" customFormat="1" spans="1:32">
      <c r="A48" s="95"/>
      <c r="B48" s="24"/>
      <c r="C48" s="96">
        <v>240716000007</v>
      </c>
      <c r="D48" s="25">
        <v>45490</v>
      </c>
      <c r="E48" s="25" t="s">
        <v>76</v>
      </c>
      <c r="F48" s="24" t="s">
        <v>77</v>
      </c>
      <c r="G48" s="24" t="s">
        <v>78</v>
      </c>
      <c r="H48" s="24">
        <v>12.4652</v>
      </c>
      <c r="I48" s="24">
        <v>1110</v>
      </c>
      <c r="J48" s="97">
        <v>29367.14</v>
      </c>
      <c r="K48" s="98"/>
      <c r="L48" s="52"/>
      <c r="M48" s="47"/>
      <c r="N48" s="52"/>
      <c r="O48" s="24"/>
      <c r="P48" s="53">
        <f t="shared" ref="P48:P50" si="49">SUBTOTAL(9,J48)</f>
        <v>29367.14</v>
      </c>
      <c r="Q48" s="103"/>
      <c r="R48" s="103"/>
      <c r="S48" s="80">
        <f t="shared" si="43"/>
        <v>11452.7691235294</v>
      </c>
      <c r="T48" s="80"/>
      <c r="U48" s="80">
        <f t="shared" si="44"/>
        <v>439.948235294118</v>
      </c>
      <c r="V48" s="80">
        <v>200</v>
      </c>
      <c r="W48" s="80"/>
      <c r="X48" s="78">
        <f t="shared" si="38"/>
        <v>12092.7173588235</v>
      </c>
      <c r="Y48" s="105">
        <f t="shared" si="45"/>
        <v>1876.37739041176</v>
      </c>
      <c r="Z48" s="105"/>
      <c r="AA48" s="105">
        <f t="shared" si="46"/>
        <v>6.48923647058823</v>
      </c>
      <c r="AB48" s="93">
        <f t="shared" si="39"/>
        <v>1882.86662688235</v>
      </c>
      <c r="AC48" s="98">
        <v>7.26</v>
      </c>
      <c r="AD48" s="77">
        <f t="shared" si="40"/>
        <v>13669.6117111659</v>
      </c>
      <c r="AE48" s="77">
        <f t="shared" si="41"/>
        <v>25762.3290699894</v>
      </c>
      <c r="AF48" s="77">
        <f t="shared" si="37"/>
        <v>3604.8109300106</v>
      </c>
    </row>
    <row r="49" s="2" customFormat="1" spans="1:32">
      <c r="A49" s="95"/>
      <c r="B49" s="24"/>
      <c r="C49" s="96">
        <v>240716000037</v>
      </c>
      <c r="D49" s="25">
        <v>45490</v>
      </c>
      <c r="E49" s="23" t="s">
        <v>52</v>
      </c>
      <c r="F49" s="24" t="s">
        <v>52</v>
      </c>
      <c r="G49" s="24" t="s">
        <v>71</v>
      </c>
      <c r="H49" s="24">
        <v>23.75</v>
      </c>
      <c r="I49" s="24">
        <v>3022</v>
      </c>
      <c r="J49" s="97">
        <v>41995.7</v>
      </c>
      <c r="K49" s="98"/>
      <c r="L49" s="52"/>
      <c r="M49" s="47"/>
      <c r="N49" s="100"/>
      <c r="O49" s="24"/>
      <c r="P49" s="53">
        <f t="shared" si="49"/>
        <v>41995.7</v>
      </c>
      <c r="Q49" s="104"/>
      <c r="R49" s="104"/>
      <c r="S49" s="80">
        <f t="shared" si="43"/>
        <v>21821.0110294118</v>
      </c>
      <c r="T49" s="80"/>
      <c r="U49" s="80">
        <f t="shared" si="44"/>
        <v>838.235294117647</v>
      </c>
      <c r="V49" s="80"/>
      <c r="W49" s="80"/>
      <c r="X49" s="78">
        <f t="shared" ref="X49:X69" si="50">SUM(S49:W49)</f>
        <v>22659.2463235294</v>
      </c>
      <c r="Y49" s="105">
        <f t="shared" si="45"/>
        <v>3575.07003676471</v>
      </c>
      <c r="Z49" s="105"/>
      <c r="AA49" s="105">
        <f t="shared" si="46"/>
        <v>12.3639705882353</v>
      </c>
      <c r="AB49" s="93">
        <f t="shared" ref="AB49:AB69" si="51">SUM(Y49:AA49)</f>
        <v>3587.43400735294</v>
      </c>
      <c r="AC49" s="98">
        <v>7.26</v>
      </c>
      <c r="AD49" s="77">
        <f t="shared" ref="AD49:AD69" si="52">SUM(AB49*AC49)</f>
        <v>26044.7708933824</v>
      </c>
      <c r="AE49" s="77">
        <f t="shared" ref="AE49:AE69" si="53">SUM(X49+AD49)</f>
        <v>48704.0172169118</v>
      </c>
      <c r="AF49" s="77">
        <f t="shared" ref="AF49:AF69" si="54">SUM(P49-AE49)</f>
        <v>-6708.3172169118</v>
      </c>
    </row>
    <row r="50" s="2" customFormat="1" spans="1:32">
      <c r="A50" s="20" t="s">
        <v>12</v>
      </c>
      <c r="B50" s="21" t="s">
        <v>13</v>
      </c>
      <c r="C50" s="22">
        <v>240715000042</v>
      </c>
      <c r="D50" s="23">
        <v>45498</v>
      </c>
      <c r="E50" s="23" t="s">
        <v>88</v>
      </c>
      <c r="F50" s="21" t="s">
        <v>89</v>
      </c>
      <c r="G50" s="21" t="s">
        <v>90</v>
      </c>
      <c r="H50" s="24">
        <v>0.3636</v>
      </c>
      <c r="I50" s="24">
        <v>253.4</v>
      </c>
      <c r="J50" s="44">
        <v>1117.2</v>
      </c>
      <c r="K50" s="45"/>
      <c r="L50" s="46"/>
      <c r="M50" s="47"/>
      <c r="N50" s="46"/>
      <c r="O50" s="21"/>
      <c r="P50" s="48">
        <f t="shared" si="49"/>
        <v>1117.2</v>
      </c>
      <c r="Q50" s="75">
        <f>SUM(P50:P69)</f>
        <v>175734.8636</v>
      </c>
      <c r="R50" s="76" t="s">
        <v>50</v>
      </c>
      <c r="S50" s="77">
        <f>SUM(61477/68)*H50</f>
        <v>328.721135294118</v>
      </c>
      <c r="T50" s="77">
        <f>SUM(600/68)*H50</f>
        <v>3.20823529411765</v>
      </c>
      <c r="U50" s="77">
        <f>SUM(1150/68)*H50</f>
        <v>6.14911764705882</v>
      </c>
      <c r="V50" s="77"/>
      <c r="W50" s="77"/>
      <c r="X50" s="78">
        <f t="shared" si="50"/>
        <v>338.078488235294</v>
      </c>
      <c r="Y50" s="93">
        <f>SUM(10510.33/68)*H50</f>
        <v>56.1993527647059</v>
      </c>
      <c r="Z50" s="93"/>
      <c r="AA50" s="93">
        <f t="shared" si="46"/>
        <v>0.189285882352941</v>
      </c>
      <c r="AB50" s="93">
        <f t="shared" si="51"/>
        <v>56.3886386470588</v>
      </c>
      <c r="AC50" s="45">
        <v>7.06</v>
      </c>
      <c r="AD50" s="77">
        <f t="shared" si="52"/>
        <v>398.103788848235</v>
      </c>
      <c r="AE50" s="77">
        <f t="shared" si="53"/>
        <v>736.182277083529</v>
      </c>
      <c r="AF50" s="77">
        <f t="shared" si="54"/>
        <v>381.017722916471</v>
      </c>
    </row>
    <row r="51" s="2" customFormat="1" spans="1:32">
      <c r="A51" s="20"/>
      <c r="B51" s="21"/>
      <c r="C51" s="22">
        <v>240716000022</v>
      </c>
      <c r="D51" s="23">
        <v>45498</v>
      </c>
      <c r="E51" s="23" t="s">
        <v>47</v>
      </c>
      <c r="F51" s="21" t="s">
        <v>48</v>
      </c>
      <c r="G51" s="21" t="s">
        <v>70</v>
      </c>
      <c r="H51" s="24">
        <v>0.0648</v>
      </c>
      <c r="I51" s="24">
        <v>67.5</v>
      </c>
      <c r="J51" s="44">
        <v>630</v>
      </c>
      <c r="K51" s="45"/>
      <c r="L51" s="46"/>
      <c r="M51" s="47"/>
      <c r="N51" s="46"/>
      <c r="O51" s="21"/>
      <c r="P51" s="48">
        <f>SUM(J51)</f>
        <v>630</v>
      </c>
      <c r="Q51" s="79"/>
      <c r="R51" s="79"/>
      <c r="S51" s="77">
        <f t="shared" ref="S51:S69" si="55">SUM(61477/68)*H51</f>
        <v>58.5839647058824</v>
      </c>
      <c r="T51" s="77">
        <f t="shared" ref="T51:T69" si="56">SUM(600/68)*H51</f>
        <v>0.571764705882353</v>
      </c>
      <c r="U51" s="77">
        <f t="shared" ref="U51:U69" si="57">SUM(1150/68)*H51</f>
        <v>1.09588235294118</v>
      </c>
      <c r="V51" s="77"/>
      <c r="W51" s="77"/>
      <c r="X51" s="78">
        <f t="shared" si="50"/>
        <v>60.2516117647059</v>
      </c>
      <c r="Y51" s="93">
        <f t="shared" ref="Y51:Y69" si="58">SUM(10510.33/68)*H51</f>
        <v>10.0157262352941</v>
      </c>
      <c r="Z51" s="93">
        <v>30.54</v>
      </c>
      <c r="AA51" s="93">
        <f t="shared" ref="AA51:AA69" si="59">SUM(35.4/68)*H51</f>
        <v>0.0337341176470588</v>
      </c>
      <c r="AB51" s="93">
        <f t="shared" si="51"/>
        <v>40.5894603529412</v>
      </c>
      <c r="AC51" s="45">
        <v>7.06</v>
      </c>
      <c r="AD51" s="77">
        <f t="shared" si="52"/>
        <v>286.561590091765</v>
      </c>
      <c r="AE51" s="77">
        <f t="shared" si="53"/>
        <v>346.813201856471</v>
      </c>
      <c r="AF51" s="77">
        <f t="shared" si="54"/>
        <v>283.186798143529</v>
      </c>
    </row>
    <row r="52" s="2" customFormat="1" spans="1:32">
      <c r="A52" s="20"/>
      <c r="B52" s="21"/>
      <c r="C52" s="22">
        <v>240717000017</v>
      </c>
      <c r="D52" s="23">
        <v>45498</v>
      </c>
      <c r="E52" s="23" t="s">
        <v>47</v>
      </c>
      <c r="F52" s="21" t="s">
        <v>48</v>
      </c>
      <c r="G52" s="21" t="s">
        <v>91</v>
      </c>
      <c r="H52" s="24">
        <v>0.6221</v>
      </c>
      <c r="I52" s="24">
        <v>294</v>
      </c>
      <c r="J52" s="49">
        <v>1390</v>
      </c>
      <c r="K52" s="45"/>
      <c r="L52" s="46"/>
      <c r="M52" s="47"/>
      <c r="N52" s="46"/>
      <c r="O52" s="21"/>
      <c r="P52" s="48">
        <f>SUM(J52)</f>
        <v>1390</v>
      </c>
      <c r="Q52" s="79"/>
      <c r="R52" s="79"/>
      <c r="S52" s="77">
        <f t="shared" si="55"/>
        <v>562.424142647059</v>
      </c>
      <c r="T52" s="77">
        <f t="shared" si="56"/>
        <v>5.48911764705882</v>
      </c>
      <c r="U52" s="77">
        <f t="shared" si="57"/>
        <v>10.5208088235294</v>
      </c>
      <c r="V52" s="77"/>
      <c r="W52" s="77"/>
      <c r="X52" s="78">
        <f t="shared" si="50"/>
        <v>578.434069117647</v>
      </c>
      <c r="Y52" s="93">
        <f t="shared" si="58"/>
        <v>96.1540631323529</v>
      </c>
      <c r="Z52" s="93"/>
      <c r="AA52" s="93">
        <f t="shared" si="59"/>
        <v>0.323857941176471</v>
      </c>
      <c r="AB52" s="93">
        <f t="shared" si="51"/>
        <v>96.4779210735294</v>
      </c>
      <c r="AC52" s="45">
        <v>7.06</v>
      </c>
      <c r="AD52" s="77">
        <f t="shared" si="52"/>
        <v>681.134122779118</v>
      </c>
      <c r="AE52" s="77">
        <f t="shared" si="53"/>
        <v>1259.56819189676</v>
      </c>
      <c r="AF52" s="77">
        <f t="shared" si="54"/>
        <v>130.431808103235</v>
      </c>
    </row>
    <row r="53" s="2" customFormat="1" spans="1:32">
      <c r="A53" s="20"/>
      <c r="B53" s="21"/>
      <c r="C53" s="22">
        <v>240717000037</v>
      </c>
      <c r="D53" s="23">
        <v>45498</v>
      </c>
      <c r="E53" s="23" t="s">
        <v>55</v>
      </c>
      <c r="F53" s="21" t="s">
        <v>56</v>
      </c>
      <c r="G53" s="21" t="s">
        <v>92</v>
      </c>
      <c r="H53" s="24">
        <v>0.9774</v>
      </c>
      <c r="I53" s="24">
        <v>169.65</v>
      </c>
      <c r="J53" s="44">
        <v>2342</v>
      </c>
      <c r="K53" s="45"/>
      <c r="L53" s="46"/>
      <c r="M53" s="47"/>
      <c r="N53" s="46"/>
      <c r="O53" s="21"/>
      <c r="P53" s="48">
        <f t="shared" ref="P53:P58" si="60">SUBTOTAL(9,J53)</f>
        <v>2342</v>
      </c>
      <c r="Q53" s="79"/>
      <c r="R53" s="79"/>
      <c r="S53" s="77">
        <f t="shared" si="55"/>
        <v>883.641467647059</v>
      </c>
      <c r="T53" s="77">
        <f t="shared" si="56"/>
        <v>8.62411764705882</v>
      </c>
      <c r="U53" s="77">
        <f t="shared" si="57"/>
        <v>16.5295588235294</v>
      </c>
      <c r="V53" s="77"/>
      <c r="W53" s="77">
        <v>52</v>
      </c>
      <c r="X53" s="78">
        <f t="shared" si="50"/>
        <v>960.795144117647</v>
      </c>
      <c r="Y53" s="93">
        <f t="shared" si="58"/>
        <v>151.070537382353</v>
      </c>
      <c r="Z53" s="93"/>
      <c r="AA53" s="93">
        <f t="shared" si="59"/>
        <v>0.508822941176471</v>
      </c>
      <c r="AB53" s="93">
        <f t="shared" si="51"/>
        <v>151.579360323529</v>
      </c>
      <c r="AC53" s="45">
        <v>7.06</v>
      </c>
      <c r="AD53" s="77">
        <f t="shared" si="52"/>
        <v>1070.15028388412</v>
      </c>
      <c r="AE53" s="77">
        <f t="shared" si="53"/>
        <v>2030.94542800176</v>
      </c>
      <c r="AF53" s="77">
        <f t="shared" si="54"/>
        <v>311.05457199824</v>
      </c>
    </row>
    <row r="54" s="2" customFormat="1" spans="1:32">
      <c r="A54" s="20"/>
      <c r="B54" s="21"/>
      <c r="C54" s="22">
        <v>240718000030</v>
      </c>
      <c r="D54" s="23">
        <v>45498</v>
      </c>
      <c r="E54" s="23" t="s">
        <v>47</v>
      </c>
      <c r="F54" s="21" t="s">
        <v>48</v>
      </c>
      <c r="G54" s="21" t="s">
        <v>80</v>
      </c>
      <c r="H54" s="24">
        <v>0.2438</v>
      </c>
      <c r="I54" s="24">
        <v>26.5</v>
      </c>
      <c r="J54" s="44">
        <v>606.5</v>
      </c>
      <c r="K54" s="45"/>
      <c r="L54" s="46"/>
      <c r="M54" s="47"/>
      <c r="N54" s="46"/>
      <c r="O54" s="21"/>
      <c r="P54" s="48">
        <f t="shared" si="60"/>
        <v>606.5</v>
      </c>
      <c r="Q54" s="79"/>
      <c r="R54" s="79"/>
      <c r="S54" s="77">
        <f t="shared" si="55"/>
        <v>220.413126470588</v>
      </c>
      <c r="T54" s="77">
        <f t="shared" si="56"/>
        <v>2.15117647058824</v>
      </c>
      <c r="U54" s="77">
        <f t="shared" si="57"/>
        <v>4.12308823529412</v>
      </c>
      <c r="V54" s="77"/>
      <c r="W54" s="77"/>
      <c r="X54" s="78">
        <f t="shared" si="50"/>
        <v>226.687391176471</v>
      </c>
      <c r="Y54" s="93">
        <f t="shared" si="58"/>
        <v>37.6826243235294</v>
      </c>
      <c r="Z54" s="93"/>
      <c r="AA54" s="93">
        <f t="shared" si="59"/>
        <v>0.126919411764706</v>
      </c>
      <c r="AB54" s="93">
        <f t="shared" si="51"/>
        <v>37.8095437352941</v>
      </c>
      <c r="AC54" s="45">
        <v>7.06</v>
      </c>
      <c r="AD54" s="77">
        <f t="shared" si="52"/>
        <v>266.935378771176</v>
      </c>
      <c r="AE54" s="77">
        <f t="shared" si="53"/>
        <v>493.622769947647</v>
      </c>
      <c r="AF54" s="77">
        <f t="shared" si="54"/>
        <v>112.877230052353</v>
      </c>
    </row>
    <row r="55" s="2" customFormat="1" spans="1:32">
      <c r="A55" s="20"/>
      <c r="B55" s="21"/>
      <c r="C55" s="22">
        <v>240719000002</v>
      </c>
      <c r="D55" s="23">
        <v>45498</v>
      </c>
      <c r="E55" s="23" t="s">
        <v>47</v>
      </c>
      <c r="F55" s="21" t="s">
        <v>48</v>
      </c>
      <c r="G55" s="21" t="s">
        <v>93</v>
      </c>
      <c r="H55" s="24">
        <v>0.8911</v>
      </c>
      <c r="I55" s="24">
        <v>332</v>
      </c>
      <c r="J55" s="44">
        <v>2500</v>
      </c>
      <c r="K55" s="45"/>
      <c r="L55" s="46"/>
      <c r="M55" s="47"/>
      <c r="N55" s="46"/>
      <c r="O55" s="21"/>
      <c r="P55" s="48">
        <f t="shared" si="60"/>
        <v>2500</v>
      </c>
      <c r="Q55" s="79"/>
      <c r="R55" s="79"/>
      <c r="S55" s="77">
        <f t="shared" si="55"/>
        <v>805.619922058824</v>
      </c>
      <c r="T55" s="77">
        <f t="shared" si="56"/>
        <v>7.86264705882353</v>
      </c>
      <c r="U55" s="77">
        <f t="shared" si="57"/>
        <v>15.0700735294118</v>
      </c>
      <c r="V55" s="77"/>
      <c r="W55" s="77"/>
      <c r="X55" s="78">
        <f t="shared" si="50"/>
        <v>828.552642647059</v>
      </c>
      <c r="Y55" s="93">
        <f t="shared" si="58"/>
        <v>137.731692102941</v>
      </c>
      <c r="Z55" s="93">
        <v>41.3</v>
      </c>
      <c r="AA55" s="93">
        <f t="shared" si="59"/>
        <v>0.463896176470588</v>
      </c>
      <c r="AB55" s="93">
        <f t="shared" si="51"/>
        <v>179.495588279412</v>
      </c>
      <c r="AC55" s="45">
        <v>7.06</v>
      </c>
      <c r="AD55" s="77">
        <f t="shared" si="52"/>
        <v>1267.23885325265</v>
      </c>
      <c r="AE55" s="77">
        <f t="shared" si="53"/>
        <v>2095.79149589971</v>
      </c>
      <c r="AF55" s="77">
        <f t="shared" si="54"/>
        <v>404.20850410029</v>
      </c>
    </row>
    <row r="56" s="2" customFormat="1" spans="1:32">
      <c r="A56" s="20"/>
      <c r="B56" s="21"/>
      <c r="C56" s="22">
        <v>240719000036</v>
      </c>
      <c r="D56" s="23">
        <v>45498</v>
      </c>
      <c r="E56" s="23" t="s">
        <v>55</v>
      </c>
      <c r="F56" s="21" t="s">
        <v>56</v>
      </c>
      <c r="G56" s="21" t="s">
        <v>58</v>
      </c>
      <c r="H56" s="24">
        <v>1.8646</v>
      </c>
      <c r="I56" s="24">
        <v>213</v>
      </c>
      <c r="J56" s="44">
        <v>4300.07</v>
      </c>
      <c r="K56" s="45"/>
      <c r="L56" s="46"/>
      <c r="M56" s="47"/>
      <c r="N56" s="46"/>
      <c r="O56" s="21"/>
      <c r="P56" s="48">
        <f t="shared" si="60"/>
        <v>4300.07</v>
      </c>
      <c r="Q56" s="79"/>
      <c r="R56" s="79"/>
      <c r="S56" s="77">
        <f t="shared" si="55"/>
        <v>1685.73550294118</v>
      </c>
      <c r="T56" s="77">
        <f t="shared" si="56"/>
        <v>16.4523529411765</v>
      </c>
      <c r="U56" s="77">
        <f t="shared" si="57"/>
        <v>31.5336764705882</v>
      </c>
      <c r="V56" s="77"/>
      <c r="W56" s="77"/>
      <c r="X56" s="78">
        <f t="shared" si="50"/>
        <v>1733.72153235294</v>
      </c>
      <c r="Y56" s="93">
        <f t="shared" si="58"/>
        <v>288.199431147059</v>
      </c>
      <c r="Z56" s="93"/>
      <c r="AA56" s="93">
        <f t="shared" si="59"/>
        <v>0.970688823529412</v>
      </c>
      <c r="AB56" s="93">
        <f t="shared" si="51"/>
        <v>289.170119970588</v>
      </c>
      <c r="AC56" s="45">
        <v>7.06</v>
      </c>
      <c r="AD56" s="77">
        <f t="shared" si="52"/>
        <v>2041.54104699235</v>
      </c>
      <c r="AE56" s="77">
        <f t="shared" si="53"/>
        <v>3775.26257934529</v>
      </c>
      <c r="AF56" s="77">
        <f t="shared" si="54"/>
        <v>524.80742065471</v>
      </c>
    </row>
    <row r="57" s="2" customFormat="1" spans="1:32">
      <c r="A57" s="20"/>
      <c r="B57" s="21"/>
      <c r="C57" s="22">
        <v>240720000015</v>
      </c>
      <c r="D57" s="23">
        <v>45498</v>
      </c>
      <c r="E57" s="23" t="s">
        <v>55</v>
      </c>
      <c r="F57" s="21" t="s">
        <v>56</v>
      </c>
      <c r="G57" s="21" t="s">
        <v>58</v>
      </c>
      <c r="H57" s="24">
        <v>0.3673</v>
      </c>
      <c r="I57" s="24">
        <v>57</v>
      </c>
      <c r="J57" s="44">
        <v>880.38</v>
      </c>
      <c r="K57" s="45"/>
      <c r="L57" s="46"/>
      <c r="M57" s="47"/>
      <c r="N57" s="46"/>
      <c r="O57" s="21"/>
      <c r="P57" s="48">
        <f t="shared" si="60"/>
        <v>880.38</v>
      </c>
      <c r="Q57" s="79"/>
      <c r="R57" s="79"/>
      <c r="S57" s="77">
        <f t="shared" si="55"/>
        <v>332.066207352941</v>
      </c>
      <c r="T57" s="77">
        <f t="shared" si="56"/>
        <v>3.24088235294118</v>
      </c>
      <c r="U57" s="77">
        <f t="shared" si="57"/>
        <v>6.21169117647059</v>
      </c>
      <c r="V57" s="77"/>
      <c r="W57" s="77"/>
      <c r="X57" s="78">
        <f t="shared" si="50"/>
        <v>341.518780882353</v>
      </c>
      <c r="Y57" s="93">
        <f t="shared" si="58"/>
        <v>56.7712383676471</v>
      </c>
      <c r="Z57" s="93"/>
      <c r="AA57" s="93">
        <f t="shared" si="59"/>
        <v>0.191212058823529</v>
      </c>
      <c r="AB57" s="93">
        <f t="shared" si="51"/>
        <v>56.9624504264706</v>
      </c>
      <c r="AC57" s="45">
        <v>7.06</v>
      </c>
      <c r="AD57" s="77">
        <f t="shared" si="52"/>
        <v>402.154900010882</v>
      </c>
      <c r="AE57" s="77">
        <f t="shared" si="53"/>
        <v>743.673680893235</v>
      </c>
      <c r="AF57" s="77">
        <f t="shared" si="54"/>
        <v>136.706319106765</v>
      </c>
    </row>
    <row r="58" s="2" customFormat="1" spans="1:32">
      <c r="A58" s="20"/>
      <c r="B58" s="21"/>
      <c r="C58" s="22">
        <v>240724000014</v>
      </c>
      <c r="D58" s="23">
        <v>45498</v>
      </c>
      <c r="E58" s="23" t="s">
        <v>47</v>
      </c>
      <c r="F58" s="21" t="s">
        <v>48</v>
      </c>
      <c r="G58" s="21" t="s">
        <v>70</v>
      </c>
      <c r="H58" s="24">
        <v>0.2732</v>
      </c>
      <c r="I58" s="24">
        <v>264</v>
      </c>
      <c r="J58" s="44">
        <v>894</v>
      </c>
      <c r="K58" s="45"/>
      <c r="L58" s="46"/>
      <c r="M58" s="47"/>
      <c r="N58" s="46"/>
      <c r="O58" s="21"/>
      <c r="P58" s="48">
        <f t="shared" si="60"/>
        <v>894</v>
      </c>
      <c r="Q58" s="79"/>
      <c r="R58" s="79"/>
      <c r="S58" s="77">
        <f t="shared" si="55"/>
        <v>246.992888235294</v>
      </c>
      <c r="T58" s="77">
        <f t="shared" si="56"/>
        <v>2.41058823529412</v>
      </c>
      <c r="U58" s="77">
        <f t="shared" si="57"/>
        <v>4.62029411764706</v>
      </c>
      <c r="V58" s="77"/>
      <c r="W58" s="77"/>
      <c r="X58" s="78">
        <f t="shared" si="50"/>
        <v>254.023770588235</v>
      </c>
      <c r="Y58" s="93">
        <f t="shared" si="58"/>
        <v>42.2267964117647</v>
      </c>
      <c r="Z58" s="93"/>
      <c r="AA58" s="93">
        <f t="shared" si="59"/>
        <v>0.142224705882353</v>
      </c>
      <c r="AB58" s="93">
        <f t="shared" si="51"/>
        <v>42.3690211176471</v>
      </c>
      <c r="AC58" s="45">
        <v>7.06</v>
      </c>
      <c r="AD58" s="77">
        <f t="shared" si="52"/>
        <v>299.125289090588</v>
      </c>
      <c r="AE58" s="77">
        <f t="shared" si="53"/>
        <v>553.149059678824</v>
      </c>
      <c r="AF58" s="77">
        <f t="shared" si="54"/>
        <v>340.850940321176</v>
      </c>
    </row>
    <row r="59" s="2" customFormat="1" spans="1:32">
      <c r="A59" s="20"/>
      <c r="B59" s="21"/>
      <c r="C59" s="22">
        <v>240724000017</v>
      </c>
      <c r="D59" s="23">
        <v>45498</v>
      </c>
      <c r="E59" s="23" t="s">
        <v>94</v>
      </c>
      <c r="F59" s="21" t="s">
        <v>95</v>
      </c>
      <c r="G59" s="21" t="s">
        <v>96</v>
      </c>
      <c r="H59" s="24">
        <v>0.2991</v>
      </c>
      <c r="I59" s="24">
        <v>1311</v>
      </c>
      <c r="J59" s="48"/>
      <c r="K59" s="50">
        <v>1137000</v>
      </c>
      <c r="L59" s="46"/>
      <c r="M59" s="47">
        <f>SUM(K59/N59)</f>
        <v>1689.70129291128</v>
      </c>
      <c r="N59" s="51">
        <v>672.9</v>
      </c>
      <c r="O59" s="21">
        <v>7.06</v>
      </c>
      <c r="P59" s="48">
        <f>SUM(N59*O59)</f>
        <v>4750.674</v>
      </c>
      <c r="Q59" s="79"/>
      <c r="R59" s="79"/>
      <c r="S59" s="77">
        <f t="shared" si="55"/>
        <v>270.408392647059</v>
      </c>
      <c r="T59" s="77">
        <f t="shared" si="56"/>
        <v>2.63911764705882</v>
      </c>
      <c r="U59" s="77">
        <f t="shared" si="57"/>
        <v>5.05830882352941</v>
      </c>
      <c r="V59" s="80">
        <v>210</v>
      </c>
      <c r="W59" s="77">
        <v>330</v>
      </c>
      <c r="X59" s="78">
        <f t="shared" si="50"/>
        <v>818.105819117647</v>
      </c>
      <c r="Y59" s="93">
        <f t="shared" si="58"/>
        <v>46.2299956323529</v>
      </c>
      <c r="Z59" s="93"/>
      <c r="AA59" s="93">
        <f t="shared" si="59"/>
        <v>0.155707941176471</v>
      </c>
      <c r="AB59" s="93">
        <f t="shared" si="51"/>
        <v>46.3857035735294</v>
      </c>
      <c r="AC59" s="45">
        <v>7.06</v>
      </c>
      <c r="AD59" s="77">
        <f t="shared" si="52"/>
        <v>327.483067229118</v>
      </c>
      <c r="AE59" s="77">
        <f t="shared" si="53"/>
        <v>1145.58888634676</v>
      </c>
      <c r="AF59" s="77">
        <f t="shared" si="54"/>
        <v>3605.08511365324</v>
      </c>
    </row>
    <row r="60" s="2" customFormat="1" spans="1:32">
      <c r="A60" s="20"/>
      <c r="B60" s="21"/>
      <c r="C60" s="22">
        <v>240724000022</v>
      </c>
      <c r="D60" s="23">
        <v>45498</v>
      </c>
      <c r="E60" s="23" t="s">
        <v>52</v>
      </c>
      <c r="F60" s="21" t="s">
        <v>52</v>
      </c>
      <c r="G60" s="21" t="s">
        <v>86</v>
      </c>
      <c r="H60" s="24">
        <v>6.0843</v>
      </c>
      <c r="I60" s="24">
        <v>633</v>
      </c>
      <c r="J60" s="44">
        <v>12265.92</v>
      </c>
      <c r="K60" s="45"/>
      <c r="L60" s="46"/>
      <c r="M60" s="47"/>
      <c r="N60" s="52"/>
      <c r="O60" s="24"/>
      <c r="P60" s="53">
        <f t="shared" ref="P60:P62" si="61">SUBTOTAL(9,J60)</f>
        <v>12265.92</v>
      </c>
      <c r="Q60" s="79"/>
      <c r="R60" s="79"/>
      <c r="S60" s="77">
        <f t="shared" si="55"/>
        <v>5500.654575</v>
      </c>
      <c r="T60" s="77">
        <f t="shared" si="56"/>
        <v>53.685</v>
      </c>
      <c r="U60" s="77">
        <f t="shared" si="57"/>
        <v>102.89625</v>
      </c>
      <c r="V60" s="77"/>
      <c r="W60" s="77"/>
      <c r="X60" s="78">
        <f t="shared" si="50"/>
        <v>5657.235825</v>
      </c>
      <c r="Y60" s="93">
        <f t="shared" si="58"/>
        <v>940.41177675</v>
      </c>
      <c r="Z60" s="93"/>
      <c r="AA60" s="93">
        <f t="shared" si="59"/>
        <v>3.167415</v>
      </c>
      <c r="AB60" s="93">
        <f t="shared" si="51"/>
        <v>943.57919175</v>
      </c>
      <c r="AC60" s="45">
        <v>7.06</v>
      </c>
      <c r="AD60" s="77">
        <f t="shared" si="52"/>
        <v>6661.669093755</v>
      </c>
      <c r="AE60" s="77">
        <f t="shared" si="53"/>
        <v>12318.904918755</v>
      </c>
      <c r="AF60" s="77">
        <f t="shared" si="54"/>
        <v>-52.9849187550008</v>
      </c>
    </row>
    <row r="61" s="2" customFormat="1" spans="1:32">
      <c r="A61" s="20"/>
      <c r="B61" s="21"/>
      <c r="C61" s="22">
        <v>240724000024</v>
      </c>
      <c r="D61" s="23">
        <v>45498</v>
      </c>
      <c r="E61" s="23" t="s">
        <v>52</v>
      </c>
      <c r="F61" s="21" t="s">
        <v>52</v>
      </c>
      <c r="G61" s="21" t="s">
        <v>86</v>
      </c>
      <c r="H61" s="24">
        <v>0.6352</v>
      </c>
      <c r="I61" s="24">
        <v>38</v>
      </c>
      <c r="J61" s="44">
        <v>1280.59</v>
      </c>
      <c r="K61" s="45"/>
      <c r="L61" s="46"/>
      <c r="M61" s="47"/>
      <c r="N61" s="52"/>
      <c r="O61" s="24"/>
      <c r="P61" s="53">
        <f t="shared" si="61"/>
        <v>1280.59</v>
      </c>
      <c r="Q61" s="79"/>
      <c r="R61" s="79"/>
      <c r="S61" s="77">
        <f t="shared" si="55"/>
        <v>574.267505882353</v>
      </c>
      <c r="T61" s="77">
        <f t="shared" si="56"/>
        <v>5.60470588235294</v>
      </c>
      <c r="U61" s="77">
        <f t="shared" si="57"/>
        <v>10.7423529411765</v>
      </c>
      <c r="V61" s="77"/>
      <c r="W61" s="77"/>
      <c r="X61" s="78">
        <f t="shared" si="50"/>
        <v>590.614564705882</v>
      </c>
      <c r="Y61" s="93">
        <f t="shared" si="58"/>
        <v>98.1788472941176</v>
      </c>
      <c r="Z61" s="93"/>
      <c r="AA61" s="93">
        <f t="shared" si="59"/>
        <v>0.330677647058823</v>
      </c>
      <c r="AB61" s="93">
        <f t="shared" si="51"/>
        <v>98.5095249411765</v>
      </c>
      <c r="AC61" s="45">
        <v>7.06</v>
      </c>
      <c r="AD61" s="77">
        <f t="shared" si="52"/>
        <v>695.477246084706</v>
      </c>
      <c r="AE61" s="77">
        <f t="shared" si="53"/>
        <v>1286.09181079059</v>
      </c>
      <c r="AF61" s="77">
        <f t="shared" si="54"/>
        <v>-5.50181079059007</v>
      </c>
    </row>
    <row r="62" s="2" customFormat="1" spans="1:32">
      <c r="A62" s="20"/>
      <c r="B62" s="21"/>
      <c r="C62" s="22">
        <v>240724000025</v>
      </c>
      <c r="D62" s="23">
        <v>45498</v>
      </c>
      <c r="E62" s="25" t="s">
        <v>76</v>
      </c>
      <c r="F62" s="21" t="s">
        <v>77</v>
      </c>
      <c r="G62" s="21" t="s">
        <v>78</v>
      </c>
      <c r="H62" s="24">
        <v>24.4728</v>
      </c>
      <c r="I62" s="24">
        <v>3060</v>
      </c>
      <c r="J62" s="44">
        <v>57259.8</v>
      </c>
      <c r="K62" s="45"/>
      <c r="L62" s="46"/>
      <c r="M62" s="47"/>
      <c r="N62" s="46"/>
      <c r="O62" s="21"/>
      <c r="P62" s="48">
        <f t="shared" si="61"/>
        <v>57259.8</v>
      </c>
      <c r="Q62" s="79"/>
      <c r="R62" s="79"/>
      <c r="S62" s="77">
        <f t="shared" si="55"/>
        <v>22125.2106705882</v>
      </c>
      <c r="T62" s="77">
        <f t="shared" si="56"/>
        <v>215.936470588235</v>
      </c>
      <c r="U62" s="77">
        <f t="shared" si="57"/>
        <v>413.878235294118</v>
      </c>
      <c r="V62" s="77"/>
      <c r="W62" s="77"/>
      <c r="X62" s="78">
        <f t="shared" si="50"/>
        <v>22755.0253764706</v>
      </c>
      <c r="Y62" s="93">
        <f t="shared" si="58"/>
        <v>3782.60594152941</v>
      </c>
      <c r="Z62" s="93"/>
      <c r="AA62" s="93">
        <f t="shared" si="59"/>
        <v>12.7402517647059</v>
      </c>
      <c r="AB62" s="93">
        <f t="shared" si="51"/>
        <v>3795.34619329412</v>
      </c>
      <c r="AC62" s="45">
        <v>7.06</v>
      </c>
      <c r="AD62" s="77">
        <f t="shared" si="52"/>
        <v>26795.1441246565</v>
      </c>
      <c r="AE62" s="77">
        <f t="shared" si="53"/>
        <v>49550.1695011271</v>
      </c>
      <c r="AF62" s="77">
        <f t="shared" si="54"/>
        <v>7709.6304988729</v>
      </c>
    </row>
    <row r="63" s="2" customFormat="1" spans="1:32">
      <c r="A63" s="20"/>
      <c r="B63" s="21"/>
      <c r="C63" s="22">
        <v>240724000026</v>
      </c>
      <c r="D63" s="23">
        <v>45498</v>
      </c>
      <c r="E63" s="25" t="s">
        <v>83</v>
      </c>
      <c r="F63" s="21" t="s">
        <v>84</v>
      </c>
      <c r="G63" s="21" t="s">
        <v>97</v>
      </c>
      <c r="H63" s="24">
        <v>15.7603</v>
      </c>
      <c r="I63" s="24">
        <v>8373</v>
      </c>
      <c r="J63" s="48"/>
      <c r="K63" s="50">
        <v>8696280.67</v>
      </c>
      <c r="L63" s="46"/>
      <c r="M63" s="47">
        <f>SUM(K63/N63)</f>
        <v>1710.99730255107</v>
      </c>
      <c r="N63" s="54">
        <v>5082.58</v>
      </c>
      <c r="O63" s="21">
        <v>7.12</v>
      </c>
      <c r="P63" s="48">
        <f>SUM(N63*O63)</f>
        <v>36187.9696</v>
      </c>
      <c r="Q63" s="79"/>
      <c r="R63" s="79"/>
      <c r="S63" s="77">
        <f t="shared" si="55"/>
        <v>14248.4700455882</v>
      </c>
      <c r="T63" s="77">
        <f t="shared" si="56"/>
        <v>139.061470588235</v>
      </c>
      <c r="U63" s="77">
        <f t="shared" si="57"/>
        <v>266.534485294118</v>
      </c>
      <c r="V63" s="77"/>
      <c r="W63" s="77"/>
      <c r="X63" s="78">
        <f t="shared" si="50"/>
        <v>14654.0660014706</v>
      </c>
      <c r="Y63" s="93">
        <f t="shared" si="58"/>
        <v>2435.96991027941</v>
      </c>
      <c r="Z63" s="93">
        <v>217.7</v>
      </c>
      <c r="AA63" s="93">
        <f t="shared" si="59"/>
        <v>8.20462676470588</v>
      </c>
      <c r="AB63" s="93">
        <f t="shared" si="51"/>
        <v>2661.87453704412</v>
      </c>
      <c r="AC63" s="45">
        <v>7.06</v>
      </c>
      <c r="AD63" s="77">
        <f t="shared" si="52"/>
        <v>18792.8342315315</v>
      </c>
      <c r="AE63" s="77">
        <f t="shared" si="53"/>
        <v>33446.9002330021</v>
      </c>
      <c r="AF63" s="77">
        <f t="shared" si="54"/>
        <v>2741.06936699794</v>
      </c>
    </row>
    <row r="64" s="2" customFormat="1" spans="1:32">
      <c r="A64" s="20"/>
      <c r="B64" s="21"/>
      <c r="C64" s="22">
        <v>240724000044</v>
      </c>
      <c r="D64" s="23">
        <v>45498</v>
      </c>
      <c r="E64" s="23" t="s">
        <v>52</v>
      </c>
      <c r="F64" s="21" t="s">
        <v>52</v>
      </c>
      <c r="G64" s="21" t="s">
        <v>71</v>
      </c>
      <c r="H64" s="24">
        <v>20.87</v>
      </c>
      <c r="I64" s="24">
        <v>2559.5</v>
      </c>
      <c r="J64" s="44">
        <v>34224.71</v>
      </c>
      <c r="K64" s="45"/>
      <c r="L64" s="46"/>
      <c r="M64" s="47"/>
      <c r="N64" s="54"/>
      <c r="O64" s="21"/>
      <c r="P64" s="48">
        <f t="shared" ref="P64:P69" si="62">SUBTOTAL(9,J64)</f>
        <v>34224.71</v>
      </c>
      <c r="Q64" s="79"/>
      <c r="R64" s="79"/>
      <c r="S64" s="77">
        <f t="shared" si="55"/>
        <v>18868.0145588235</v>
      </c>
      <c r="T64" s="77">
        <f t="shared" si="56"/>
        <v>184.147058823529</v>
      </c>
      <c r="U64" s="77">
        <f t="shared" si="57"/>
        <v>352.948529411765</v>
      </c>
      <c r="V64" s="77"/>
      <c r="W64" s="77"/>
      <c r="X64" s="78">
        <f t="shared" si="50"/>
        <v>19405.1101470588</v>
      </c>
      <c r="Y64" s="93">
        <f t="shared" si="58"/>
        <v>3225.74392794118</v>
      </c>
      <c r="Z64" s="93"/>
      <c r="AA64" s="93">
        <f t="shared" si="59"/>
        <v>10.8646764705882</v>
      </c>
      <c r="AB64" s="93">
        <f t="shared" si="51"/>
        <v>3236.60860441176</v>
      </c>
      <c r="AC64" s="45">
        <v>7.06</v>
      </c>
      <c r="AD64" s="77">
        <f t="shared" si="52"/>
        <v>22850.4567471471</v>
      </c>
      <c r="AE64" s="77">
        <f t="shared" si="53"/>
        <v>42255.5668942059</v>
      </c>
      <c r="AF64" s="77">
        <f t="shared" si="54"/>
        <v>-8030.8568942059</v>
      </c>
    </row>
    <row r="65" s="2" customFormat="1" spans="1:32">
      <c r="A65" s="20"/>
      <c r="B65" s="21"/>
      <c r="C65" s="22">
        <v>240724000046</v>
      </c>
      <c r="D65" s="23">
        <v>45498</v>
      </c>
      <c r="E65" s="23" t="s">
        <v>52</v>
      </c>
      <c r="F65" s="21" t="s">
        <v>52</v>
      </c>
      <c r="G65" s="21" t="s">
        <v>86</v>
      </c>
      <c r="H65" s="24">
        <v>0.6621</v>
      </c>
      <c r="I65" s="24">
        <v>270</v>
      </c>
      <c r="J65" s="44">
        <v>1334.81</v>
      </c>
      <c r="K65" s="45"/>
      <c r="L65" s="46"/>
      <c r="M65" s="47"/>
      <c r="N65" s="52"/>
      <c r="O65" s="24"/>
      <c r="P65" s="53">
        <f t="shared" si="62"/>
        <v>1334.81</v>
      </c>
      <c r="Q65" s="79"/>
      <c r="R65" s="79"/>
      <c r="S65" s="77">
        <f t="shared" si="55"/>
        <v>598.587083823529</v>
      </c>
      <c r="T65" s="77">
        <f t="shared" si="56"/>
        <v>5.84205882352941</v>
      </c>
      <c r="U65" s="77">
        <f t="shared" si="57"/>
        <v>11.1972794117647</v>
      </c>
      <c r="V65" s="77"/>
      <c r="W65" s="77"/>
      <c r="X65" s="78">
        <f t="shared" si="50"/>
        <v>615.626422058824</v>
      </c>
      <c r="Y65" s="93">
        <f t="shared" si="58"/>
        <v>102.336610191176</v>
      </c>
      <c r="Z65" s="93"/>
      <c r="AA65" s="93">
        <f t="shared" si="59"/>
        <v>0.344681470588235</v>
      </c>
      <c r="AB65" s="93">
        <f t="shared" si="51"/>
        <v>102.681291661765</v>
      </c>
      <c r="AC65" s="45">
        <v>7.06</v>
      </c>
      <c r="AD65" s="77">
        <f t="shared" si="52"/>
        <v>724.929919132059</v>
      </c>
      <c r="AE65" s="77">
        <f t="shared" si="53"/>
        <v>1340.55634119088</v>
      </c>
      <c r="AF65" s="77">
        <f t="shared" si="54"/>
        <v>-5.74634119088</v>
      </c>
    </row>
    <row r="66" s="2" customFormat="1" spans="1:32">
      <c r="A66" s="20"/>
      <c r="B66" s="21"/>
      <c r="C66" s="22">
        <v>240724000047</v>
      </c>
      <c r="D66" s="23">
        <v>45498</v>
      </c>
      <c r="E66" s="23" t="s">
        <v>52</v>
      </c>
      <c r="F66" s="21" t="s">
        <v>52</v>
      </c>
      <c r="G66" s="21" t="s">
        <v>86</v>
      </c>
      <c r="H66" s="24">
        <v>0.2282</v>
      </c>
      <c r="I66" s="24">
        <v>54</v>
      </c>
      <c r="J66" s="44">
        <v>460.08</v>
      </c>
      <c r="K66" s="45"/>
      <c r="L66" s="46"/>
      <c r="M66" s="47"/>
      <c r="N66" s="52"/>
      <c r="O66" s="24"/>
      <c r="P66" s="53">
        <f t="shared" si="62"/>
        <v>460.08</v>
      </c>
      <c r="Q66" s="79"/>
      <c r="R66" s="79"/>
      <c r="S66" s="77">
        <f t="shared" si="55"/>
        <v>206.309579411765</v>
      </c>
      <c r="T66" s="77">
        <f t="shared" si="56"/>
        <v>2.01352941176471</v>
      </c>
      <c r="U66" s="77">
        <f t="shared" si="57"/>
        <v>3.85926470588235</v>
      </c>
      <c r="V66" s="77"/>
      <c r="W66" s="77"/>
      <c r="X66" s="78">
        <f t="shared" si="50"/>
        <v>212.182373529412</v>
      </c>
      <c r="Y66" s="93">
        <f t="shared" si="58"/>
        <v>35.2714309705882</v>
      </c>
      <c r="Z66" s="93"/>
      <c r="AA66" s="93">
        <f t="shared" si="59"/>
        <v>0.118798235294118</v>
      </c>
      <c r="AB66" s="93">
        <f t="shared" si="51"/>
        <v>35.3902292058823</v>
      </c>
      <c r="AC66" s="45">
        <v>7.06</v>
      </c>
      <c r="AD66" s="77">
        <f t="shared" si="52"/>
        <v>249.855018193529</v>
      </c>
      <c r="AE66" s="77">
        <f t="shared" si="53"/>
        <v>462.037391722941</v>
      </c>
      <c r="AF66" s="77">
        <f t="shared" si="54"/>
        <v>-1.957391722941</v>
      </c>
    </row>
    <row r="67" s="2" customFormat="1" spans="1:32">
      <c r="A67" s="20"/>
      <c r="B67" s="21"/>
      <c r="C67" s="22">
        <v>240724000048</v>
      </c>
      <c r="D67" s="23">
        <v>45498</v>
      </c>
      <c r="E67" s="23" t="s">
        <v>52</v>
      </c>
      <c r="F67" s="21" t="s">
        <v>52</v>
      </c>
      <c r="G67" s="21" t="s">
        <v>86</v>
      </c>
      <c r="H67" s="24">
        <v>3.0687</v>
      </c>
      <c r="I67" s="24">
        <v>528</v>
      </c>
      <c r="J67" s="44">
        <v>6208.07</v>
      </c>
      <c r="K67" s="45"/>
      <c r="L67" s="46"/>
      <c r="M67" s="47"/>
      <c r="N67" s="52"/>
      <c r="O67" s="24"/>
      <c r="P67" s="53">
        <f t="shared" si="62"/>
        <v>6208.07</v>
      </c>
      <c r="Q67" s="79"/>
      <c r="R67" s="79"/>
      <c r="S67" s="77">
        <f t="shared" si="55"/>
        <v>2774.33043970588</v>
      </c>
      <c r="T67" s="77">
        <f t="shared" si="56"/>
        <v>27.0767647058824</v>
      </c>
      <c r="U67" s="77">
        <f t="shared" si="57"/>
        <v>51.8971323529412</v>
      </c>
      <c r="V67" s="77"/>
      <c r="W67" s="77"/>
      <c r="X67" s="78">
        <f t="shared" si="50"/>
        <v>2853.30433676471</v>
      </c>
      <c r="Y67" s="93">
        <f t="shared" si="58"/>
        <v>474.309553985294</v>
      </c>
      <c r="Z67" s="93"/>
      <c r="AA67" s="93">
        <f t="shared" si="59"/>
        <v>1.59752911764706</v>
      </c>
      <c r="AB67" s="93">
        <f t="shared" si="51"/>
        <v>475.907083102941</v>
      </c>
      <c r="AC67" s="45">
        <v>7.06</v>
      </c>
      <c r="AD67" s="77">
        <f t="shared" si="52"/>
        <v>3359.90400670676</v>
      </c>
      <c r="AE67" s="77">
        <f t="shared" si="53"/>
        <v>6213.20834347147</v>
      </c>
      <c r="AF67" s="77">
        <f t="shared" si="54"/>
        <v>-5.13834347146985</v>
      </c>
    </row>
    <row r="68" s="2" customFormat="1" spans="1:32">
      <c r="A68" s="20"/>
      <c r="B68" s="21"/>
      <c r="C68" s="22">
        <v>240724000054</v>
      </c>
      <c r="D68" s="23">
        <v>45498</v>
      </c>
      <c r="E68" s="23" t="s">
        <v>52</v>
      </c>
      <c r="F68" s="21" t="s">
        <v>52</v>
      </c>
      <c r="G68" s="21" t="s">
        <v>68</v>
      </c>
      <c r="H68" s="26">
        <v>2.7</v>
      </c>
      <c r="I68" s="26">
        <v>992.8</v>
      </c>
      <c r="J68" s="44">
        <v>6294.95</v>
      </c>
      <c r="K68" s="45"/>
      <c r="L68" s="46"/>
      <c r="M68" s="47"/>
      <c r="N68" s="46"/>
      <c r="O68" s="21"/>
      <c r="P68" s="48">
        <f t="shared" si="62"/>
        <v>6294.95</v>
      </c>
      <c r="Q68" s="79"/>
      <c r="R68" s="79"/>
      <c r="S68" s="77">
        <f t="shared" si="55"/>
        <v>2440.99852941177</v>
      </c>
      <c r="T68" s="77">
        <f t="shared" si="56"/>
        <v>23.8235294117647</v>
      </c>
      <c r="U68" s="77">
        <f t="shared" si="57"/>
        <v>45.6617647058824</v>
      </c>
      <c r="V68" s="77"/>
      <c r="W68" s="77"/>
      <c r="X68" s="78">
        <f t="shared" si="50"/>
        <v>2510.48382352941</v>
      </c>
      <c r="Y68" s="93">
        <f t="shared" si="58"/>
        <v>417.321926470588</v>
      </c>
      <c r="Z68" s="93"/>
      <c r="AA68" s="93">
        <f t="shared" si="59"/>
        <v>1.40558823529412</v>
      </c>
      <c r="AB68" s="93">
        <f t="shared" si="51"/>
        <v>418.727514705882</v>
      </c>
      <c r="AC68" s="45">
        <v>7.06</v>
      </c>
      <c r="AD68" s="77">
        <f t="shared" si="52"/>
        <v>2956.21625382353</v>
      </c>
      <c r="AE68" s="77">
        <f t="shared" si="53"/>
        <v>5466.70007735294</v>
      </c>
      <c r="AF68" s="77">
        <f t="shared" si="54"/>
        <v>828.24992264706</v>
      </c>
    </row>
    <row r="69" s="2" customFormat="1" spans="1:32">
      <c r="A69" s="20"/>
      <c r="B69" s="21"/>
      <c r="C69" s="22">
        <v>240725000032</v>
      </c>
      <c r="D69" s="23">
        <v>45498</v>
      </c>
      <c r="E69" s="23" t="s">
        <v>52</v>
      </c>
      <c r="F69" s="21" t="s">
        <v>52</v>
      </c>
      <c r="G69" s="21" t="s">
        <v>86</v>
      </c>
      <c r="H69" s="24">
        <v>0.3976</v>
      </c>
      <c r="I69" s="24">
        <v>178</v>
      </c>
      <c r="J69" s="44">
        <v>807.14</v>
      </c>
      <c r="K69" s="45"/>
      <c r="L69" s="46"/>
      <c r="M69" s="47"/>
      <c r="N69" s="52"/>
      <c r="O69" s="21"/>
      <c r="P69" s="48">
        <f t="shared" si="62"/>
        <v>807.14</v>
      </c>
      <c r="Q69" s="81"/>
      <c r="R69" s="81"/>
      <c r="S69" s="77">
        <f t="shared" si="55"/>
        <v>359.459635294118</v>
      </c>
      <c r="T69" s="77">
        <f t="shared" si="56"/>
        <v>3.50823529411765</v>
      </c>
      <c r="U69" s="77">
        <f t="shared" si="57"/>
        <v>6.72411764705882</v>
      </c>
      <c r="V69" s="77"/>
      <c r="W69" s="77"/>
      <c r="X69" s="78">
        <f t="shared" si="50"/>
        <v>369.691988235294</v>
      </c>
      <c r="Y69" s="93">
        <f t="shared" si="58"/>
        <v>61.4545177647059</v>
      </c>
      <c r="Z69" s="93"/>
      <c r="AA69" s="93">
        <f t="shared" si="59"/>
        <v>0.206985882352941</v>
      </c>
      <c r="AB69" s="93">
        <f t="shared" si="51"/>
        <v>61.6615036470588</v>
      </c>
      <c r="AC69" s="45">
        <v>7.06</v>
      </c>
      <c r="AD69" s="77">
        <f t="shared" si="52"/>
        <v>435.330215748235</v>
      </c>
      <c r="AE69" s="77">
        <f t="shared" si="53"/>
        <v>805.022203983529</v>
      </c>
      <c r="AF69" s="77">
        <f t="shared" si="54"/>
        <v>2.11779601647095</v>
      </c>
    </row>
    <row r="70" ht="15.75" spans="1:32">
      <c r="A70" s="27" t="s">
        <v>14</v>
      </c>
      <c r="B70" s="28"/>
      <c r="C70" s="28"/>
      <c r="D70" s="28"/>
      <c r="E70" s="28"/>
      <c r="F70" s="28"/>
      <c r="G70" s="28"/>
      <c r="H70" s="28"/>
      <c r="I70" s="109"/>
      <c r="J70" s="28">
        <f>SUM(J3:J3)</f>
        <v>0</v>
      </c>
      <c r="K70" s="55"/>
      <c r="L70" s="56"/>
      <c r="M70" s="55"/>
      <c r="N70" s="55">
        <f t="shared" ref="N70:Q70" si="63">SUM(N3:N3)</f>
        <v>0</v>
      </c>
      <c r="O70" s="28"/>
      <c r="P70" s="28">
        <f t="shared" si="63"/>
        <v>0</v>
      </c>
      <c r="Q70" s="110">
        <f>SUM(Q4:Q69)</f>
        <v>850400.385799</v>
      </c>
      <c r="R70" s="28"/>
      <c r="S70" s="28"/>
      <c r="T70" s="28"/>
      <c r="U70" s="28"/>
      <c r="V70" s="28"/>
      <c r="W70" s="28"/>
      <c r="X70" s="82">
        <f>SUM(X3:X3)</f>
        <v>0</v>
      </c>
      <c r="Y70" s="56"/>
      <c r="Z70" s="56"/>
      <c r="AA70" s="56"/>
      <c r="AB70" s="56"/>
      <c r="AC70" s="55"/>
      <c r="AD70" s="28">
        <f>SUM(AD3:AD3)</f>
        <v>0</v>
      </c>
      <c r="AE70" s="111">
        <f>SUM(AE4:AE69)</f>
        <v>766777.139131953</v>
      </c>
      <c r="AF70" s="94">
        <f>SUM(AF4:AF69)</f>
        <v>83623.246667047</v>
      </c>
    </row>
    <row r="71" customFormat="1" spans="4:29">
      <c r="D71" s="3"/>
      <c r="E71" s="3"/>
      <c r="K71" s="4"/>
      <c r="L71" s="5"/>
      <c r="M71" s="4"/>
      <c r="X71" s="7"/>
      <c r="Y71" s="5"/>
      <c r="Z71" s="5"/>
      <c r="AA71" s="5"/>
      <c r="AB71" s="5"/>
      <c r="AC71" s="4"/>
    </row>
    <row r="72" customFormat="1" spans="4:29">
      <c r="D72" s="3"/>
      <c r="E72" s="3"/>
      <c r="K72" s="4"/>
      <c r="L72" s="5"/>
      <c r="M72" s="4"/>
      <c r="X72" s="7"/>
      <c r="Y72" s="5"/>
      <c r="Z72" s="5"/>
      <c r="AA72" s="5"/>
      <c r="AB72" s="5"/>
      <c r="AC72" s="4"/>
    </row>
    <row r="73" customFormat="1" spans="4:29">
      <c r="D73" s="3"/>
      <c r="E73" s="3"/>
      <c r="K73" s="4"/>
      <c r="L73" s="5"/>
      <c r="M73" s="4"/>
      <c r="X73" s="7"/>
      <c r="Y73" s="5"/>
      <c r="Z73" s="5"/>
      <c r="AA73" s="5"/>
      <c r="AB73" s="5"/>
      <c r="AC73" s="4"/>
    </row>
    <row r="74" customFormat="1" spans="4:29">
      <c r="D74" s="3"/>
      <c r="E74" s="3"/>
      <c r="K74" s="4"/>
      <c r="L74" s="5"/>
      <c r="M74" s="4"/>
      <c r="X74" s="7"/>
      <c r="Y74" s="5"/>
      <c r="Z74" s="5"/>
      <c r="AA74" s="5"/>
      <c r="AB74" s="5"/>
      <c r="AC74" s="4"/>
    </row>
    <row r="75" customFormat="1" spans="4:29">
      <c r="D75" s="3"/>
      <c r="E75" s="3"/>
      <c r="K75" s="4"/>
      <c r="L75" s="5"/>
      <c r="M75" s="4"/>
      <c r="X75" s="7"/>
      <c r="Y75" s="5"/>
      <c r="Z75" s="5"/>
      <c r="AA75" s="5"/>
      <c r="AB75" s="5"/>
      <c r="AC75" s="4"/>
    </row>
    <row r="76" customFormat="1" spans="4:29">
      <c r="D76" s="3"/>
      <c r="E76" s="3"/>
      <c r="K76" s="4"/>
      <c r="L76" s="5"/>
      <c r="M76" s="4"/>
      <c r="X76" s="7"/>
      <c r="Y76" s="5"/>
      <c r="Z76" s="5"/>
      <c r="AA76" s="5"/>
      <c r="AB76" s="5"/>
      <c r="AC76" s="4"/>
    </row>
    <row r="77" customFormat="1" spans="4:29">
      <c r="D77" s="3"/>
      <c r="E77" s="3"/>
      <c r="K77" s="4"/>
      <c r="L77" s="5"/>
      <c r="M77" s="4"/>
      <c r="X77" s="7"/>
      <c r="Y77" s="5"/>
      <c r="Z77" s="5"/>
      <c r="AA77" s="5"/>
      <c r="AB77" s="5"/>
      <c r="AC77" s="4"/>
    </row>
    <row r="78" customFormat="1" spans="4:29">
      <c r="D78" s="3"/>
      <c r="E78" s="3"/>
      <c r="K78" s="4"/>
      <c r="L78" s="5"/>
      <c r="M78" s="4"/>
      <c r="X78" s="7"/>
      <c r="Y78" s="5"/>
      <c r="Z78" s="5"/>
      <c r="AA78" s="5"/>
      <c r="AB78" s="5"/>
      <c r="AC78" s="4"/>
    </row>
    <row r="79" customFormat="1" spans="4:29">
      <c r="D79" s="3"/>
      <c r="E79" s="3"/>
      <c r="K79" s="4"/>
      <c r="L79" s="5"/>
      <c r="M79" s="4"/>
      <c r="X79" s="7"/>
      <c r="Y79" s="5"/>
      <c r="Z79" s="5"/>
      <c r="AA79" s="5"/>
      <c r="AB79" s="5"/>
      <c r="AC79" s="4"/>
    </row>
    <row r="80" customFormat="1" spans="4:29">
      <c r="D80" s="3"/>
      <c r="E80" s="3"/>
      <c r="K80" s="4"/>
      <c r="L80" s="5"/>
      <c r="M80" s="4"/>
      <c r="X80" s="7"/>
      <c r="Y80" s="5"/>
      <c r="Z80" s="5"/>
      <c r="AA80" s="5"/>
      <c r="AB80" s="5"/>
      <c r="AC80" s="4"/>
    </row>
    <row r="81" customFormat="1" spans="4:29">
      <c r="D81" s="3"/>
      <c r="E81" s="3"/>
      <c r="K81" s="4"/>
      <c r="L81" s="5"/>
      <c r="M81" s="4"/>
      <c r="X81" s="7"/>
      <c r="Y81" s="5"/>
      <c r="Z81" s="5"/>
      <c r="AA81" s="5"/>
      <c r="AB81" s="5"/>
      <c r="AC81" s="4"/>
    </row>
    <row r="82" customFormat="1" spans="4:29">
      <c r="D82" s="3"/>
      <c r="E82" s="3"/>
      <c r="K82" s="4"/>
      <c r="L82" s="5"/>
      <c r="M82" s="4"/>
      <c r="X82" s="7"/>
      <c r="Y82" s="5"/>
      <c r="Z82" s="5"/>
      <c r="AA82" s="5"/>
      <c r="AB82" s="5"/>
      <c r="AC82" s="4"/>
    </row>
    <row r="83" customFormat="1" spans="4:29">
      <c r="D83" s="3"/>
      <c r="E83" s="3"/>
      <c r="K83" s="4"/>
      <c r="L83" s="5"/>
      <c r="M83" s="4"/>
      <c r="X83" s="7"/>
      <c r="Y83" s="5"/>
      <c r="Z83" s="5"/>
      <c r="AA83" s="5"/>
      <c r="AB83" s="5"/>
      <c r="AC83" s="4"/>
    </row>
    <row r="84" customFormat="1" spans="4:29">
      <c r="D84" s="3"/>
      <c r="E84" s="3"/>
      <c r="K84" s="4"/>
      <c r="L84" s="5"/>
      <c r="M84" s="4"/>
      <c r="X84" s="7"/>
      <c r="Y84" s="5"/>
      <c r="Z84" s="5"/>
      <c r="AA84" s="5"/>
      <c r="AB84" s="5"/>
      <c r="AC84" s="4"/>
    </row>
    <row r="85" customFormat="1" spans="4:29">
      <c r="D85" s="3"/>
      <c r="E85" s="3"/>
      <c r="K85" s="4"/>
      <c r="L85" s="5"/>
      <c r="M85" s="4"/>
      <c r="X85" s="7"/>
      <c r="Y85" s="5"/>
      <c r="Z85" s="5"/>
      <c r="AA85" s="5"/>
      <c r="AB85" s="5"/>
      <c r="AC85" s="4"/>
    </row>
    <row r="86" customFormat="1" spans="4:29">
      <c r="D86" s="3"/>
      <c r="E86" s="3"/>
      <c r="K86" s="4"/>
      <c r="L86" s="5"/>
      <c r="M86" s="4"/>
      <c r="X86" s="7"/>
      <c r="Y86" s="5"/>
      <c r="Z86" s="5"/>
      <c r="AA86" s="5"/>
      <c r="AB86" s="5"/>
      <c r="AC86" s="4"/>
    </row>
  </sheetData>
  <autoFilter xmlns:etc="http://www.wps.cn/officeDocument/2017/etCustomData" ref="A2:AF70" etc:filterBottomFollowUsedRange="0">
    <extLst/>
  </autoFilter>
  <mergeCells count="37">
    <mergeCell ref="A1:AF1"/>
    <mergeCell ref="J2:P2"/>
    <mergeCell ref="R2:V2"/>
    <mergeCell ref="Y2:AD2"/>
    <mergeCell ref="A2:A3"/>
    <mergeCell ref="A4:A24"/>
    <mergeCell ref="A25:A31"/>
    <mergeCell ref="A32:A37"/>
    <mergeCell ref="A38:A49"/>
    <mergeCell ref="A50:A69"/>
    <mergeCell ref="B2:B3"/>
    <mergeCell ref="B4:B24"/>
    <mergeCell ref="B25:B31"/>
    <mergeCell ref="B32:B37"/>
    <mergeCell ref="B38:B49"/>
    <mergeCell ref="B50:B69"/>
    <mergeCell ref="C2:C3"/>
    <mergeCell ref="D2:D3"/>
    <mergeCell ref="E2:E3"/>
    <mergeCell ref="F2:F3"/>
    <mergeCell ref="G2:G3"/>
    <mergeCell ref="H2:H3"/>
    <mergeCell ref="I2:I3"/>
    <mergeCell ref="Q2:Q3"/>
    <mergeCell ref="Q4:Q24"/>
    <mergeCell ref="Q25:Q31"/>
    <mergeCell ref="Q32:Q37"/>
    <mergeCell ref="Q38:Q49"/>
    <mergeCell ref="Q50:Q69"/>
    <mergeCell ref="R4:R24"/>
    <mergeCell ref="R25:R31"/>
    <mergeCell ref="R32:R37"/>
    <mergeCell ref="R38:R49"/>
    <mergeCell ref="R50:R69"/>
    <mergeCell ref="W2:W3"/>
    <mergeCell ref="X2:X3"/>
    <mergeCell ref="AF2:AF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2"/>
  <sheetViews>
    <sheetView zoomScale="110" zoomScaleNormal="110" workbookViewId="0">
      <pane xSplit="9" ySplit="1" topLeftCell="Z2" activePane="bottomRight" state="frozen"/>
      <selection/>
      <selection pane="topRight"/>
      <selection pane="bottomLeft"/>
      <selection pane="bottomRight" activeCell="J2" sqref="J$1:J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9"/>
      <c r="L1" s="30"/>
      <c r="M1" s="29"/>
      <c r="N1" s="8"/>
      <c r="O1" s="31"/>
      <c r="P1" s="8"/>
      <c r="Q1" s="8"/>
      <c r="R1" s="8"/>
      <c r="S1" s="8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8"/>
      <c r="AF1" s="8"/>
    </row>
    <row r="2" customFormat="1" ht="31" customHeight="1" spans="1:32">
      <c r="A2" s="9" t="s">
        <v>98</v>
      </c>
      <c r="B2" s="9" t="s">
        <v>99</v>
      </c>
      <c r="C2" s="9">
        <v>72.7682</v>
      </c>
      <c r="D2" s="8"/>
      <c r="E2" s="8"/>
      <c r="F2" s="8"/>
      <c r="G2" s="8"/>
      <c r="H2" s="8"/>
      <c r="I2" s="8"/>
      <c r="J2" s="8"/>
      <c r="K2" s="29"/>
      <c r="L2" s="30"/>
      <c r="M2" s="29"/>
      <c r="N2" s="8"/>
      <c r="O2" s="31"/>
      <c r="P2" s="8"/>
      <c r="Q2" s="8"/>
      <c r="R2" s="8"/>
      <c r="S2" s="8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15</v>
      </c>
      <c r="D3" s="13" t="s">
        <v>16</v>
      </c>
      <c r="E3" s="14" t="s">
        <v>17</v>
      </c>
      <c r="F3" s="15" t="s">
        <v>18</v>
      </c>
      <c r="G3" s="15" t="s">
        <v>19</v>
      </c>
      <c r="H3" s="15" t="s">
        <v>20</v>
      </c>
      <c r="I3" s="15" t="s">
        <v>21</v>
      </c>
      <c r="J3" s="32" t="s">
        <v>22</v>
      </c>
      <c r="K3" s="33"/>
      <c r="L3" s="34"/>
      <c r="M3" s="33"/>
      <c r="N3" s="34"/>
      <c r="O3" s="35"/>
      <c r="P3" s="36"/>
      <c r="Q3" s="60" t="s">
        <v>23</v>
      </c>
      <c r="R3" s="61" t="s">
        <v>24</v>
      </c>
      <c r="S3" s="62"/>
      <c r="T3" s="63"/>
      <c r="U3" s="64"/>
      <c r="V3" s="65"/>
      <c r="W3" s="66" t="s">
        <v>25</v>
      </c>
      <c r="X3" s="67" t="s">
        <v>26</v>
      </c>
      <c r="Y3" s="83" t="s">
        <v>27</v>
      </c>
      <c r="Z3" s="83"/>
      <c r="AA3" s="83"/>
      <c r="AB3" s="83"/>
      <c r="AC3" s="84"/>
      <c r="AD3" s="83"/>
      <c r="AE3" s="85" t="s">
        <v>28</v>
      </c>
      <c r="AF3" s="86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7"/>
      <c r="J4" s="38" t="s">
        <v>29</v>
      </c>
      <c r="K4" s="39" t="s">
        <v>30</v>
      </c>
      <c r="L4" s="40" t="s">
        <v>31</v>
      </c>
      <c r="M4" s="39" t="s">
        <v>32</v>
      </c>
      <c r="N4" s="41" t="s">
        <v>33</v>
      </c>
      <c r="O4" s="42" t="s">
        <v>34</v>
      </c>
      <c r="P4" s="43" t="s">
        <v>35</v>
      </c>
      <c r="Q4" s="68"/>
      <c r="R4" s="69" t="s">
        <v>36</v>
      </c>
      <c r="S4" s="70" t="s">
        <v>37</v>
      </c>
      <c r="T4" s="71" t="s">
        <v>38</v>
      </c>
      <c r="U4" s="72" t="s">
        <v>39</v>
      </c>
      <c r="V4" s="71" t="s">
        <v>40</v>
      </c>
      <c r="W4" s="73"/>
      <c r="X4" s="74"/>
      <c r="Y4" s="87" t="s">
        <v>41</v>
      </c>
      <c r="Z4" s="87" t="s">
        <v>42</v>
      </c>
      <c r="AA4" s="87" t="s">
        <v>43</v>
      </c>
      <c r="AB4" s="88" t="s">
        <v>44</v>
      </c>
      <c r="AC4" s="89" t="s">
        <v>45</v>
      </c>
      <c r="AD4" s="90" t="s">
        <v>35</v>
      </c>
      <c r="AE4" s="91" t="s">
        <v>46</v>
      </c>
      <c r="AF4" s="92"/>
    </row>
    <row r="5" s="2" customFormat="1" spans="1:32">
      <c r="A5" s="20" t="s">
        <v>4</v>
      </c>
      <c r="B5" s="21" t="s">
        <v>5</v>
      </c>
      <c r="C5" s="22">
        <v>240624000034</v>
      </c>
      <c r="D5" s="23">
        <v>45477</v>
      </c>
      <c r="E5" s="23" t="s">
        <v>47</v>
      </c>
      <c r="F5" s="21" t="s">
        <v>48</v>
      </c>
      <c r="G5" s="21" t="s">
        <v>49</v>
      </c>
      <c r="H5" s="24">
        <v>3.024</v>
      </c>
      <c r="I5" s="108">
        <v>2000</v>
      </c>
      <c r="J5" s="53"/>
      <c r="K5" s="50">
        <v>2320436</v>
      </c>
      <c r="L5" s="46"/>
      <c r="M5" s="47">
        <f t="shared" ref="M5:M10" si="0">SUM(K5/N5)</f>
        <v>1651.86155445136</v>
      </c>
      <c r="N5" s="54">
        <v>1404.74</v>
      </c>
      <c r="O5" s="21">
        <v>7.12</v>
      </c>
      <c r="P5" s="48">
        <f t="shared" ref="P5:P10" si="1">SUM(N5*O5)</f>
        <v>10001.7488</v>
      </c>
      <c r="Q5" s="75">
        <f>SUM(P5:P25)</f>
        <v>168759.19236</v>
      </c>
      <c r="R5" s="76" t="s">
        <v>50</v>
      </c>
      <c r="S5" s="77">
        <f>SUM(61477/68)*H5</f>
        <v>2733.91835294118</v>
      </c>
      <c r="T5" s="77"/>
      <c r="U5" s="77">
        <f>SUM(1250/68)*H5</f>
        <v>55.5882352941177</v>
      </c>
      <c r="V5" s="77"/>
      <c r="W5" s="77"/>
      <c r="X5" s="78">
        <f t="shared" ref="X5:X68" si="2">SUM(S5:W5)</f>
        <v>2789.50658823529</v>
      </c>
      <c r="Y5" s="93">
        <f>SUM(10640.25/68)*H5</f>
        <v>473.178176470588</v>
      </c>
      <c r="Z5" s="93">
        <v>5.49</v>
      </c>
      <c r="AA5" s="93"/>
      <c r="AB5" s="93">
        <f t="shared" ref="AB5:AB68" si="3">SUM(Y5:AA5)</f>
        <v>478.668176470588</v>
      </c>
      <c r="AC5" s="45">
        <v>7.1</v>
      </c>
      <c r="AD5" s="77">
        <f t="shared" ref="AD5:AD68" si="4">SUM(AB5*AC5)</f>
        <v>3398.54405294118</v>
      </c>
      <c r="AE5" s="77">
        <f t="shared" ref="AE5:AE68" si="5">SUM(X5+AD5)</f>
        <v>6188.05064117647</v>
      </c>
      <c r="AF5" s="77">
        <f t="shared" ref="AF5:AF68" si="6">SUM(P5-AE5)</f>
        <v>3813.69815882353</v>
      </c>
    </row>
    <row r="6" s="2" customFormat="1" spans="1:32">
      <c r="A6" s="20"/>
      <c r="B6" s="21"/>
      <c r="C6" s="22">
        <v>240624000036</v>
      </c>
      <c r="D6" s="23">
        <v>45478</v>
      </c>
      <c r="E6" s="23" t="s">
        <v>47</v>
      </c>
      <c r="F6" s="106" t="s">
        <v>48</v>
      </c>
      <c r="G6" s="106" t="s">
        <v>51</v>
      </c>
      <c r="H6" s="24">
        <v>10.2263</v>
      </c>
      <c r="I6" s="108">
        <v>7008</v>
      </c>
      <c r="J6" s="44">
        <v>26828</v>
      </c>
      <c r="K6" s="45"/>
      <c r="L6" s="46"/>
      <c r="M6" s="47"/>
      <c r="N6" s="46"/>
      <c r="O6" s="21"/>
      <c r="P6" s="48">
        <f t="shared" ref="P6:P11" si="7">SUBTOTAL(9,J6)</f>
        <v>26828</v>
      </c>
      <c r="Q6" s="79"/>
      <c r="R6" s="79"/>
      <c r="S6" s="77">
        <f t="shared" ref="S6:S25" si="8">SUM(61477/68)*H6</f>
        <v>9245.32713382353</v>
      </c>
      <c r="T6" s="77"/>
      <c r="U6" s="77">
        <f t="shared" ref="U6:U25" si="9">SUM(1250/68)*H6</f>
        <v>187.983455882353</v>
      </c>
      <c r="V6" s="80">
        <v>120</v>
      </c>
      <c r="W6" s="77"/>
      <c r="X6" s="78">
        <f t="shared" si="2"/>
        <v>9553.31058970588</v>
      </c>
      <c r="Y6" s="93">
        <f t="shared" ref="Y6:Y25" si="10">SUM(10640.25/68)*H6</f>
        <v>1600.15277316176</v>
      </c>
      <c r="Z6" s="93"/>
      <c r="AA6" s="93"/>
      <c r="AB6" s="93">
        <f t="shared" si="3"/>
        <v>1600.15277316176</v>
      </c>
      <c r="AC6" s="45">
        <v>7.1</v>
      </c>
      <c r="AD6" s="77">
        <f t="shared" si="4"/>
        <v>11361.0846894485</v>
      </c>
      <c r="AE6" s="77">
        <f t="shared" si="5"/>
        <v>20914.3952791544</v>
      </c>
      <c r="AF6" s="77">
        <f t="shared" si="6"/>
        <v>5913.60472084559</v>
      </c>
    </row>
    <row r="7" s="2" customFormat="1" spans="1:32">
      <c r="A7" s="20"/>
      <c r="B7" s="21"/>
      <c r="C7" s="22">
        <v>240624000056</v>
      </c>
      <c r="D7" s="23">
        <v>45477</v>
      </c>
      <c r="E7" s="23" t="s">
        <v>52</v>
      </c>
      <c r="F7" s="21" t="s">
        <v>52</v>
      </c>
      <c r="G7" s="21" t="s">
        <v>53</v>
      </c>
      <c r="H7" s="24">
        <v>0.509</v>
      </c>
      <c r="I7" s="108">
        <v>207</v>
      </c>
      <c r="J7" s="44">
        <v>1893.7</v>
      </c>
      <c r="K7" s="45"/>
      <c r="L7" s="46"/>
      <c r="M7" s="47"/>
      <c r="N7" s="46"/>
      <c r="O7" s="21"/>
      <c r="P7" s="48">
        <f t="shared" si="7"/>
        <v>1893.7</v>
      </c>
      <c r="Q7" s="79"/>
      <c r="R7" s="79"/>
      <c r="S7" s="77">
        <f t="shared" si="8"/>
        <v>460.173426470588</v>
      </c>
      <c r="T7" s="77"/>
      <c r="U7" s="77">
        <f t="shared" si="9"/>
        <v>9.35661764705882</v>
      </c>
      <c r="V7" s="80">
        <v>270</v>
      </c>
      <c r="W7" s="77"/>
      <c r="X7" s="78">
        <f t="shared" si="2"/>
        <v>739.530044117647</v>
      </c>
      <c r="Y7" s="93">
        <f t="shared" si="10"/>
        <v>79.6454007352941</v>
      </c>
      <c r="Z7" s="93"/>
      <c r="AA7" s="93"/>
      <c r="AB7" s="93">
        <f t="shared" si="3"/>
        <v>79.6454007352941</v>
      </c>
      <c r="AC7" s="45">
        <v>7.1</v>
      </c>
      <c r="AD7" s="77">
        <f t="shared" si="4"/>
        <v>565.482345220588</v>
      </c>
      <c r="AE7" s="77">
        <f t="shared" si="5"/>
        <v>1305.01238933824</v>
      </c>
      <c r="AF7" s="77">
        <f t="shared" si="6"/>
        <v>588.687610661765</v>
      </c>
    </row>
    <row r="8" s="2" customFormat="1" spans="1:32">
      <c r="A8" s="20"/>
      <c r="B8" s="21"/>
      <c r="C8" s="22">
        <v>240626000044</v>
      </c>
      <c r="D8" s="23">
        <v>45477</v>
      </c>
      <c r="E8" s="23" t="s">
        <v>52</v>
      </c>
      <c r="F8" s="21" t="s">
        <v>52</v>
      </c>
      <c r="G8" s="21" t="s">
        <v>54</v>
      </c>
      <c r="H8" s="24">
        <v>0.6356</v>
      </c>
      <c r="I8" s="108">
        <v>450</v>
      </c>
      <c r="J8" s="49">
        <v>1714.8</v>
      </c>
      <c r="K8" s="45"/>
      <c r="L8" s="46"/>
      <c r="M8" s="47"/>
      <c r="N8" s="46"/>
      <c r="O8" s="21"/>
      <c r="P8" s="48">
        <f t="shared" ref="P8:P13" si="11">SUM(J8)</f>
        <v>1714.8</v>
      </c>
      <c r="Q8" s="79"/>
      <c r="R8" s="79"/>
      <c r="S8" s="77">
        <f t="shared" si="8"/>
        <v>574.629135294118</v>
      </c>
      <c r="T8" s="77"/>
      <c r="U8" s="77">
        <f t="shared" si="9"/>
        <v>11.6838235294118</v>
      </c>
      <c r="V8" s="77"/>
      <c r="W8" s="77"/>
      <c r="X8" s="78">
        <f t="shared" si="2"/>
        <v>586.312958823529</v>
      </c>
      <c r="Y8" s="93">
        <f t="shared" si="10"/>
        <v>99.4550426470588</v>
      </c>
      <c r="Z8" s="93"/>
      <c r="AA8" s="93"/>
      <c r="AB8" s="93">
        <f t="shared" si="3"/>
        <v>99.4550426470588</v>
      </c>
      <c r="AC8" s="45">
        <v>7.1</v>
      </c>
      <c r="AD8" s="77">
        <f t="shared" si="4"/>
        <v>706.130802794118</v>
      </c>
      <c r="AE8" s="77">
        <f t="shared" si="5"/>
        <v>1292.44376161765</v>
      </c>
      <c r="AF8" s="77">
        <f t="shared" si="6"/>
        <v>422.356238382353</v>
      </c>
    </row>
    <row r="9" s="2" customFormat="1" spans="1:32">
      <c r="A9" s="20"/>
      <c r="B9" s="21"/>
      <c r="C9" s="22">
        <v>240628000020</v>
      </c>
      <c r="D9" s="23">
        <v>45477</v>
      </c>
      <c r="E9" s="23" t="s">
        <v>47</v>
      </c>
      <c r="F9" s="21" t="s">
        <v>48</v>
      </c>
      <c r="G9" s="21" t="s">
        <v>49</v>
      </c>
      <c r="H9" s="24">
        <v>0.472</v>
      </c>
      <c r="I9" s="108">
        <v>420</v>
      </c>
      <c r="J9" s="48"/>
      <c r="K9" s="50">
        <v>439900</v>
      </c>
      <c r="L9" s="46"/>
      <c r="M9" s="47">
        <f t="shared" si="0"/>
        <v>1705.03875968992</v>
      </c>
      <c r="N9" s="54">
        <v>258</v>
      </c>
      <c r="O9" s="21">
        <v>7.12</v>
      </c>
      <c r="P9" s="53">
        <f t="shared" si="1"/>
        <v>1836.96</v>
      </c>
      <c r="Q9" s="79"/>
      <c r="R9" s="79"/>
      <c r="S9" s="77">
        <f t="shared" si="8"/>
        <v>426.722705882353</v>
      </c>
      <c r="T9" s="77"/>
      <c r="U9" s="77">
        <f t="shared" si="9"/>
        <v>8.67647058823529</v>
      </c>
      <c r="V9" s="77"/>
      <c r="W9" s="77"/>
      <c r="X9" s="78">
        <f t="shared" si="2"/>
        <v>435.399176470588</v>
      </c>
      <c r="Y9" s="93">
        <f t="shared" si="10"/>
        <v>73.8558529411765</v>
      </c>
      <c r="Z9" s="93"/>
      <c r="AA9" s="93"/>
      <c r="AB9" s="93">
        <f t="shared" si="3"/>
        <v>73.8558529411765</v>
      </c>
      <c r="AC9" s="45">
        <v>7.1</v>
      </c>
      <c r="AD9" s="77">
        <f t="shared" si="4"/>
        <v>524.376555882353</v>
      </c>
      <c r="AE9" s="77">
        <f t="shared" si="5"/>
        <v>959.775732352941</v>
      </c>
      <c r="AF9" s="77">
        <f t="shared" si="6"/>
        <v>877.184267647059</v>
      </c>
    </row>
    <row r="10" s="2" customFormat="1" spans="1:32">
      <c r="A10" s="20"/>
      <c r="B10" s="21"/>
      <c r="C10" s="22">
        <v>240628000031</v>
      </c>
      <c r="D10" s="23">
        <v>45477</v>
      </c>
      <c r="E10" s="23" t="s">
        <v>55</v>
      </c>
      <c r="F10" s="21" t="s">
        <v>56</v>
      </c>
      <c r="G10" s="21" t="s">
        <v>57</v>
      </c>
      <c r="H10" s="24">
        <v>1.7537</v>
      </c>
      <c r="I10" s="108">
        <v>2930</v>
      </c>
      <c r="J10" s="48"/>
      <c r="K10" s="50">
        <v>2405060</v>
      </c>
      <c r="L10" s="46"/>
      <c r="M10" s="47">
        <f t="shared" si="0"/>
        <v>1640</v>
      </c>
      <c r="N10" s="54">
        <v>1466.5</v>
      </c>
      <c r="O10" s="21">
        <v>7.12</v>
      </c>
      <c r="P10" s="53">
        <f t="shared" si="1"/>
        <v>10441.48</v>
      </c>
      <c r="Q10" s="79"/>
      <c r="R10" s="79"/>
      <c r="S10" s="77">
        <f t="shared" si="8"/>
        <v>1585.47374852941</v>
      </c>
      <c r="T10" s="77"/>
      <c r="U10" s="77">
        <f t="shared" si="9"/>
        <v>32.2371323529412</v>
      </c>
      <c r="V10" s="77"/>
      <c r="W10" s="77"/>
      <c r="X10" s="78">
        <f t="shared" si="2"/>
        <v>1617.71088088235</v>
      </c>
      <c r="Y10" s="93">
        <f t="shared" si="10"/>
        <v>274.408918014706</v>
      </c>
      <c r="Z10" s="93"/>
      <c r="AA10" s="93"/>
      <c r="AB10" s="93">
        <f t="shared" si="3"/>
        <v>274.408918014706</v>
      </c>
      <c r="AC10" s="45">
        <v>7.1</v>
      </c>
      <c r="AD10" s="77">
        <f t="shared" si="4"/>
        <v>1948.30331790441</v>
      </c>
      <c r="AE10" s="77">
        <f t="shared" si="5"/>
        <v>3566.01419878676</v>
      </c>
      <c r="AF10" s="77">
        <f t="shared" si="6"/>
        <v>6875.46580121323</v>
      </c>
    </row>
    <row r="11" s="2" customFormat="1" spans="1:32">
      <c r="A11" s="20"/>
      <c r="B11" s="21"/>
      <c r="C11" s="22">
        <v>240628000036</v>
      </c>
      <c r="D11" s="23">
        <v>45477</v>
      </c>
      <c r="E11" s="23" t="s">
        <v>55</v>
      </c>
      <c r="F11" s="21" t="s">
        <v>56</v>
      </c>
      <c r="G11" s="21" t="s">
        <v>58</v>
      </c>
      <c r="H11" s="24">
        <v>0.6693</v>
      </c>
      <c r="I11" s="108">
        <v>116.5</v>
      </c>
      <c r="J11" s="44">
        <v>1662.94</v>
      </c>
      <c r="K11" s="45"/>
      <c r="L11" s="46"/>
      <c r="M11" s="47"/>
      <c r="N11" s="46"/>
      <c r="O11" s="21"/>
      <c r="P11" s="53">
        <f t="shared" si="7"/>
        <v>1662.94</v>
      </c>
      <c r="Q11" s="79"/>
      <c r="R11" s="79"/>
      <c r="S11" s="77">
        <f t="shared" si="8"/>
        <v>605.096413235294</v>
      </c>
      <c r="T11" s="77"/>
      <c r="U11" s="77">
        <f t="shared" si="9"/>
        <v>12.3033088235294</v>
      </c>
      <c r="V11" s="77"/>
      <c r="W11" s="77"/>
      <c r="X11" s="78">
        <f t="shared" si="2"/>
        <v>617.399722058824</v>
      </c>
      <c r="Y11" s="93">
        <f t="shared" si="10"/>
        <v>104.728225367647</v>
      </c>
      <c r="Z11" s="93"/>
      <c r="AA11" s="93"/>
      <c r="AB11" s="93">
        <f t="shared" si="3"/>
        <v>104.728225367647</v>
      </c>
      <c r="AC11" s="45">
        <v>7.1</v>
      </c>
      <c r="AD11" s="77">
        <f t="shared" si="4"/>
        <v>743.570400110294</v>
      </c>
      <c r="AE11" s="77">
        <f t="shared" si="5"/>
        <v>1360.97012216912</v>
      </c>
      <c r="AF11" s="77">
        <f t="shared" si="6"/>
        <v>301.969877830883</v>
      </c>
    </row>
    <row r="12" s="2" customFormat="1" spans="1:32">
      <c r="A12" s="20"/>
      <c r="B12" s="21"/>
      <c r="C12" s="22">
        <v>240701000015</v>
      </c>
      <c r="D12" s="23">
        <v>45477</v>
      </c>
      <c r="E12" s="23" t="s">
        <v>59</v>
      </c>
      <c r="F12" s="21" t="s">
        <v>60</v>
      </c>
      <c r="G12" s="21" t="s">
        <v>61</v>
      </c>
      <c r="H12" s="24">
        <v>0.3978</v>
      </c>
      <c r="I12" s="108">
        <v>49.5</v>
      </c>
      <c r="J12" s="49">
        <v>1385.08</v>
      </c>
      <c r="K12" s="45"/>
      <c r="L12" s="46"/>
      <c r="M12" s="47"/>
      <c r="N12" s="46"/>
      <c r="O12" s="21"/>
      <c r="P12" s="48">
        <f t="shared" si="11"/>
        <v>1385.08</v>
      </c>
      <c r="Q12" s="79"/>
      <c r="R12" s="79"/>
      <c r="S12" s="77">
        <f t="shared" si="8"/>
        <v>359.64045</v>
      </c>
      <c r="T12" s="77"/>
      <c r="U12" s="77">
        <f t="shared" si="9"/>
        <v>7.3125</v>
      </c>
      <c r="V12" s="77"/>
      <c r="W12" s="77"/>
      <c r="X12" s="78">
        <f t="shared" si="2"/>
        <v>366.95295</v>
      </c>
      <c r="Y12" s="93">
        <f t="shared" si="10"/>
        <v>62.2454625</v>
      </c>
      <c r="Z12" s="93">
        <v>41.46</v>
      </c>
      <c r="AA12" s="93"/>
      <c r="AB12" s="93">
        <f t="shared" si="3"/>
        <v>103.7054625</v>
      </c>
      <c r="AC12" s="45">
        <v>7.1</v>
      </c>
      <c r="AD12" s="77">
        <f t="shared" si="4"/>
        <v>736.30878375</v>
      </c>
      <c r="AE12" s="77">
        <f t="shared" si="5"/>
        <v>1103.26173375</v>
      </c>
      <c r="AF12" s="77">
        <f t="shared" si="6"/>
        <v>281.81826625</v>
      </c>
    </row>
    <row r="13" s="2" customFormat="1" spans="1:32">
      <c r="A13" s="20"/>
      <c r="B13" s="21"/>
      <c r="C13" s="22">
        <v>240701000020</v>
      </c>
      <c r="D13" s="23">
        <v>45477</v>
      </c>
      <c r="E13" s="23" t="s">
        <v>59</v>
      </c>
      <c r="F13" s="21" t="s">
        <v>60</v>
      </c>
      <c r="G13" s="21" t="s">
        <v>62</v>
      </c>
      <c r="H13" s="24">
        <v>0.5519</v>
      </c>
      <c r="I13" s="108">
        <v>82</v>
      </c>
      <c r="J13" s="49">
        <v>1460.33</v>
      </c>
      <c r="K13" s="45"/>
      <c r="L13" s="46"/>
      <c r="M13" s="47"/>
      <c r="N13" s="46"/>
      <c r="O13" s="21"/>
      <c r="P13" s="48">
        <f t="shared" si="11"/>
        <v>1460.33</v>
      </c>
      <c r="Q13" s="79"/>
      <c r="R13" s="79"/>
      <c r="S13" s="77">
        <f t="shared" si="8"/>
        <v>498.958180882353</v>
      </c>
      <c r="T13" s="77"/>
      <c r="U13" s="77">
        <f t="shared" si="9"/>
        <v>10.1452205882353</v>
      </c>
      <c r="V13" s="77"/>
      <c r="W13" s="77"/>
      <c r="X13" s="78">
        <f t="shared" si="2"/>
        <v>509.103401470588</v>
      </c>
      <c r="Y13" s="93">
        <f t="shared" si="10"/>
        <v>86.3581466911765</v>
      </c>
      <c r="Z13" s="93"/>
      <c r="AA13" s="93"/>
      <c r="AB13" s="93">
        <f t="shared" si="3"/>
        <v>86.3581466911765</v>
      </c>
      <c r="AC13" s="45">
        <v>7.1</v>
      </c>
      <c r="AD13" s="77">
        <f t="shared" si="4"/>
        <v>613.142841507353</v>
      </c>
      <c r="AE13" s="77">
        <f t="shared" si="5"/>
        <v>1122.24624297794</v>
      </c>
      <c r="AF13" s="77">
        <f t="shared" si="6"/>
        <v>338.083757022059</v>
      </c>
    </row>
    <row r="14" s="2" customFormat="1" spans="1:32">
      <c r="A14" s="20"/>
      <c r="B14" s="21"/>
      <c r="C14" s="22">
        <v>240701000054</v>
      </c>
      <c r="D14" s="23">
        <v>45477</v>
      </c>
      <c r="E14" s="23" t="s">
        <v>63</v>
      </c>
      <c r="F14" s="21" t="s">
        <v>64</v>
      </c>
      <c r="G14" s="21" t="s">
        <v>65</v>
      </c>
      <c r="H14" s="24">
        <v>2.5358</v>
      </c>
      <c r="I14" s="108">
        <v>1140</v>
      </c>
      <c r="J14" s="48"/>
      <c r="K14" s="50">
        <v>1490760</v>
      </c>
      <c r="L14" s="46"/>
      <c r="M14" s="47">
        <f>SUM(K14/N14)</f>
        <v>1639.99909791029</v>
      </c>
      <c r="N14" s="54">
        <v>909.0005</v>
      </c>
      <c r="O14" s="21">
        <v>7.12</v>
      </c>
      <c r="P14" s="53">
        <f>SUM(N14*O14)</f>
        <v>6472.08356</v>
      </c>
      <c r="Q14" s="79"/>
      <c r="R14" s="79"/>
      <c r="S14" s="77">
        <f t="shared" si="8"/>
        <v>2292.54965588235</v>
      </c>
      <c r="T14" s="77"/>
      <c r="U14" s="77">
        <f t="shared" si="9"/>
        <v>46.6139705882353</v>
      </c>
      <c r="V14" s="80">
        <v>120</v>
      </c>
      <c r="W14" s="77"/>
      <c r="X14" s="78">
        <f t="shared" si="2"/>
        <v>2459.16362647059</v>
      </c>
      <c r="Y14" s="93">
        <f t="shared" si="10"/>
        <v>396.787440441176</v>
      </c>
      <c r="Z14" s="93"/>
      <c r="AA14" s="93"/>
      <c r="AB14" s="93">
        <f t="shared" si="3"/>
        <v>396.787440441176</v>
      </c>
      <c r="AC14" s="45">
        <v>7.1</v>
      </c>
      <c r="AD14" s="77">
        <f t="shared" si="4"/>
        <v>2817.19082713235</v>
      </c>
      <c r="AE14" s="77">
        <f t="shared" si="5"/>
        <v>5276.35445360294</v>
      </c>
      <c r="AF14" s="77">
        <f t="shared" si="6"/>
        <v>1195.72910639706</v>
      </c>
    </row>
    <row r="15" s="2" customFormat="1" spans="1:32">
      <c r="A15" s="20"/>
      <c r="B15" s="21"/>
      <c r="C15" s="22">
        <v>240702000007</v>
      </c>
      <c r="D15" s="23">
        <v>45477</v>
      </c>
      <c r="E15" s="23" t="s">
        <v>55</v>
      </c>
      <c r="F15" s="21" t="s">
        <v>56</v>
      </c>
      <c r="G15" s="21" t="s">
        <v>58</v>
      </c>
      <c r="H15" s="24">
        <v>0.8928</v>
      </c>
      <c r="I15" s="108">
        <v>218</v>
      </c>
      <c r="J15" s="44">
        <v>2361.55</v>
      </c>
      <c r="K15" s="45"/>
      <c r="L15" s="46"/>
      <c r="M15" s="47"/>
      <c r="N15" s="46"/>
      <c r="O15" s="21"/>
      <c r="P15" s="53">
        <f t="shared" ref="P15:P21" si="12">SUBTOTAL(9,J15)</f>
        <v>2361.55</v>
      </c>
      <c r="Q15" s="79"/>
      <c r="R15" s="79"/>
      <c r="S15" s="77">
        <f t="shared" si="8"/>
        <v>807.156847058824</v>
      </c>
      <c r="T15" s="77"/>
      <c r="U15" s="77">
        <f t="shared" si="9"/>
        <v>16.4117647058824</v>
      </c>
      <c r="V15" s="77"/>
      <c r="W15" s="80">
        <v>292</v>
      </c>
      <c r="X15" s="78">
        <f t="shared" si="2"/>
        <v>1115.56861176471</v>
      </c>
      <c r="Y15" s="93">
        <f t="shared" si="10"/>
        <v>139.700223529412</v>
      </c>
      <c r="Z15" s="93"/>
      <c r="AA15" s="93"/>
      <c r="AB15" s="93">
        <f t="shared" si="3"/>
        <v>139.700223529412</v>
      </c>
      <c r="AC15" s="45">
        <v>7.1</v>
      </c>
      <c r="AD15" s="77">
        <f t="shared" si="4"/>
        <v>991.871587058823</v>
      </c>
      <c r="AE15" s="77">
        <f t="shared" si="5"/>
        <v>2107.44019882353</v>
      </c>
      <c r="AF15" s="77">
        <f t="shared" si="6"/>
        <v>254.109801176471</v>
      </c>
    </row>
    <row r="16" s="2" customFormat="1" spans="1:32">
      <c r="A16" s="20"/>
      <c r="B16" s="21"/>
      <c r="C16" s="22">
        <v>240702000008</v>
      </c>
      <c r="D16" s="23">
        <v>45477</v>
      </c>
      <c r="E16" s="23" t="s">
        <v>55</v>
      </c>
      <c r="F16" s="21" t="s">
        <v>56</v>
      </c>
      <c r="G16" s="21" t="s">
        <v>58</v>
      </c>
      <c r="H16" s="107">
        <v>2.232</v>
      </c>
      <c r="I16" s="108">
        <v>1028</v>
      </c>
      <c r="J16" s="44">
        <v>6070.88</v>
      </c>
      <c r="K16" s="45"/>
      <c r="L16" s="46"/>
      <c r="M16" s="47"/>
      <c r="N16" s="46"/>
      <c r="O16" s="21"/>
      <c r="P16" s="53">
        <f t="shared" si="12"/>
        <v>6070.88</v>
      </c>
      <c r="Q16" s="79"/>
      <c r="R16" s="79"/>
      <c r="S16" s="77">
        <f t="shared" si="8"/>
        <v>2017.89211764706</v>
      </c>
      <c r="T16" s="80">
        <f>SUM(140+75)</f>
        <v>215</v>
      </c>
      <c r="U16" s="77">
        <f t="shared" si="9"/>
        <v>41.0294117647059</v>
      </c>
      <c r="V16" s="77"/>
      <c r="W16" s="77">
        <v>420</v>
      </c>
      <c r="X16" s="78">
        <f t="shared" si="2"/>
        <v>2693.92152941177</v>
      </c>
      <c r="Y16" s="93">
        <f t="shared" si="10"/>
        <v>349.250558823529</v>
      </c>
      <c r="Z16" s="93"/>
      <c r="AA16" s="93"/>
      <c r="AB16" s="93">
        <f t="shared" si="3"/>
        <v>349.250558823529</v>
      </c>
      <c r="AC16" s="45">
        <v>7.1</v>
      </c>
      <c r="AD16" s="77">
        <f t="shared" si="4"/>
        <v>2479.67896764706</v>
      </c>
      <c r="AE16" s="77">
        <f t="shared" si="5"/>
        <v>5173.60049705882</v>
      </c>
      <c r="AF16" s="77">
        <f t="shared" si="6"/>
        <v>897.279502941176</v>
      </c>
    </row>
    <row r="17" s="2" customFormat="1" spans="1:32">
      <c r="A17" s="20"/>
      <c r="B17" s="21"/>
      <c r="C17" s="22">
        <v>240702000009</v>
      </c>
      <c r="D17" s="23">
        <v>45477</v>
      </c>
      <c r="E17" s="23" t="s">
        <v>55</v>
      </c>
      <c r="F17" s="21" t="s">
        <v>56</v>
      </c>
      <c r="G17" s="21" t="s">
        <v>58</v>
      </c>
      <c r="H17" s="24">
        <v>5.8065</v>
      </c>
      <c r="I17" s="108">
        <v>650</v>
      </c>
      <c r="J17" s="44">
        <v>13360.1</v>
      </c>
      <c r="K17" s="45"/>
      <c r="L17" s="46"/>
      <c r="M17" s="47"/>
      <c r="N17" s="46"/>
      <c r="O17" s="21"/>
      <c r="P17" s="53">
        <f t="shared" si="12"/>
        <v>13360.1</v>
      </c>
      <c r="Q17" s="79"/>
      <c r="R17" s="79"/>
      <c r="S17" s="77">
        <f t="shared" si="8"/>
        <v>5249.50294852941</v>
      </c>
      <c r="T17" s="77"/>
      <c r="U17" s="77">
        <f t="shared" si="9"/>
        <v>106.737132352941</v>
      </c>
      <c r="V17" s="77"/>
      <c r="W17" s="77"/>
      <c r="X17" s="78">
        <f t="shared" si="2"/>
        <v>5356.24008088235</v>
      </c>
      <c r="Y17" s="93">
        <f t="shared" si="10"/>
        <v>908.567818014706</v>
      </c>
      <c r="Z17" s="93"/>
      <c r="AA17" s="93"/>
      <c r="AB17" s="93">
        <f t="shared" si="3"/>
        <v>908.567818014706</v>
      </c>
      <c r="AC17" s="45">
        <v>7.1</v>
      </c>
      <c r="AD17" s="77">
        <f t="shared" si="4"/>
        <v>6450.83150790441</v>
      </c>
      <c r="AE17" s="77">
        <f t="shared" si="5"/>
        <v>11807.0715887868</v>
      </c>
      <c r="AF17" s="77">
        <f t="shared" si="6"/>
        <v>1553.02841121324</v>
      </c>
    </row>
    <row r="18" s="2" customFormat="1" spans="1:32">
      <c r="A18" s="20"/>
      <c r="B18" s="21"/>
      <c r="C18" s="22">
        <v>240703000022</v>
      </c>
      <c r="D18" s="23">
        <v>45477</v>
      </c>
      <c r="E18" s="23" t="s">
        <v>55</v>
      </c>
      <c r="F18" s="21" t="s">
        <v>56</v>
      </c>
      <c r="G18" s="21" t="s">
        <v>66</v>
      </c>
      <c r="H18" s="24">
        <v>2.6714</v>
      </c>
      <c r="I18" s="108">
        <v>1555</v>
      </c>
      <c r="J18" s="44">
        <v>7525.12</v>
      </c>
      <c r="K18" s="45"/>
      <c r="L18" s="46"/>
      <c r="M18" s="47"/>
      <c r="N18" s="46"/>
      <c r="O18" s="21"/>
      <c r="P18" s="53">
        <f t="shared" si="12"/>
        <v>7525.12</v>
      </c>
      <c r="Q18" s="79"/>
      <c r="R18" s="79"/>
      <c r="S18" s="77">
        <f t="shared" si="8"/>
        <v>2415.14202647059</v>
      </c>
      <c r="T18" s="77"/>
      <c r="U18" s="77">
        <f t="shared" si="9"/>
        <v>49.1066176470588</v>
      </c>
      <c r="V18" s="77"/>
      <c r="W18" s="77"/>
      <c r="X18" s="78">
        <f t="shared" si="2"/>
        <v>2464.24864411765</v>
      </c>
      <c r="Y18" s="93">
        <f t="shared" si="10"/>
        <v>418.005350735294</v>
      </c>
      <c r="Z18" s="93"/>
      <c r="AA18" s="93"/>
      <c r="AB18" s="93">
        <f t="shared" si="3"/>
        <v>418.005350735294</v>
      </c>
      <c r="AC18" s="45">
        <v>7.1</v>
      </c>
      <c r="AD18" s="77">
        <f t="shared" si="4"/>
        <v>2967.83799022059</v>
      </c>
      <c r="AE18" s="77">
        <f t="shared" si="5"/>
        <v>5432.08663433824</v>
      </c>
      <c r="AF18" s="77">
        <f t="shared" si="6"/>
        <v>2093.03336566176</v>
      </c>
    </row>
    <row r="19" s="2" customFormat="1" spans="1:32">
      <c r="A19" s="20"/>
      <c r="B19" s="21"/>
      <c r="C19" s="22">
        <v>240703000028</v>
      </c>
      <c r="D19" s="23">
        <v>45477</v>
      </c>
      <c r="E19" s="23" t="s">
        <v>52</v>
      </c>
      <c r="F19" s="21" t="s">
        <v>52</v>
      </c>
      <c r="G19" s="21" t="s">
        <v>67</v>
      </c>
      <c r="H19" s="24">
        <v>0.9089</v>
      </c>
      <c r="I19" s="108">
        <v>232</v>
      </c>
      <c r="J19" s="44">
        <v>3294.7</v>
      </c>
      <c r="K19" s="45"/>
      <c r="L19" s="46"/>
      <c r="M19" s="47"/>
      <c r="N19" s="46"/>
      <c r="O19" s="21"/>
      <c r="P19" s="53">
        <f t="shared" si="12"/>
        <v>3294.7</v>
      </c>
      <c r="Q19" s="79"/>
      <c r="R19" s="79"/>
      <c r="S19" s="77">
        <f t="shared" si="8"/>
        <v>821.712430882353</v>
      </c>
      <c r="T19" s="77"/>
      <c r="U19" s="77">
        <f t="shared" si="9"/>
        <v>16.7077205882353</v>
      </c>
      <c r="V19" s="77"/>
      <c r="W19" s="77"/>
      <c r="X19" s="78">
        <f t="shared" si="2"/>
        <v>838.420151470588</v>
      </c>
      <c r="Y19" s="93">
        <f t="shared" si="10"/>
        <v>142.219459191176</v>
      </c>
      <c r="Z19" s="93"/>
      <c r="AA19" s="93"/>
      <c r="AB19" s="93">
        <f t="shared" si="3"/>
        <v>142.219459191176</v>
      </c>
      <c r="AC19" s="45">
        <v>7.1</v>
      </c>
      <c r="AD19" s="77">
        <f t="shared" si="4"/>
        <v>1009.75816025735</v>
      </c>
      <c r="AE19" s="77">
        <f t="shared" si="5"/>
        <v>1848.17831172794</v>
      </c>
      <c r="AF19" s="77">
        <f t="shared" si="6"/>
        <v>1446.52168827206</v>
      </c>
    </row>
    <row r="20" s="2" customFormat="1" spans="1:32">
      <c r="A20" s="20"/>
      <c r="B20" s="21"/>
      <c r="C20" s="22">
        <v>240703000030</v>
      </c>
      <c r="D20" s="23">
        <v>45477</v>
      </c>
      <c r="E20" s="23" t="s">
        <v>52</v>
      </c>
      <c r="F20" s="21" t="s">
        <v>52</v>
      </c>
      <c r="G20" s="21" t="s">
        <v>54</v>
      </c>
      <c r="H20" s="24">
        <v>1.1081</v>
      </c>
      <c r="I20" s="108">
        <v>861</v>
      </c>
      <c r="J20" s="44">
        <v>2989.7</v>
      </c>
      <c r="K20" s="45"/>
      <c r="L20" s="46"/>
      <c r="M20" s="47"/>
      <c r="N20" s="46"/>
      <c r="O20" s="21"/>
      <c r="P20" s="53">
        <f t="shared" si="12"/>
        <v>2989.7</v>
      </c>
      <c r="Q20" s="81"/>
      <c r="R20" s="81"/>
      <c r="S20" s="77">
        <f t="shared" si="8"/>
        <v>1001.80387794118</v>
      </c>
      <c r="T20" s="77"/>
      <c r="U20" s="77">
        <f t="shared" si="9"/>
        <v>20.3694852941176</v>
      </c>
      <c r="V20" s="77"/>
      <c r="W20" s="77"/>
      <c r="X20" s="78">
        <f t="shared" si="2"/>
        <v>1022.17336323529</v>
      </c>
      <c r="Y20" s="93">
        <f t="shared" si="10"/>
        <v>173.389132720588</v>
      </c>
      <c r="Z20" s="93"/>
      <c r="AA20" s="93"/>
      <c r="AB20" s="93">
        <f t="shared" si="3"/>
        <v>173.389132720588</v>
      </c>
      <c r="AC20" s="45">
        <v>7.1</v>
      </c>
      <c r="AD20" s="77">
        <f t="shared" si="4"/>
        <v>1231.06284231618</v>
      </c>
      <c r="AE20" s="77">
        <f t="shared" si="5"/>
        <v>2253.23620555147</v>
      </c>
      <c r="AF20" s="77">
        <f t="shared" si="6"/>
        <v>736.463794448529</v>
      </c>
    </row>
    <row r="21" s="2" customFormat="1" spans="1:32">
      <c r="A21" s="20"/>
      <c r="B21" s="21"/>
      <c r="C21" s="22">
        <v>240704000029</v>
      </c>
      <c r="D21" s="23">
        <v>45482</v>
      </c>
      <c r="E21" s="23" t="s">
        <v>52</v>
      </c>
      <c r="F21" s="106" t="s">
        <v>52</v>
      </c>
      <c r="G21" s="106" t="s">
        <v>68</v>
      </c>
      <c r="H21" s="24">
        <v>0.7168</v>
      </c>
      <c r="I21" s="108">
        <v>230</v>
      </c>
      <c r="J21" s="44">
        <v>1792</v>
      </c>
      <c r="K21" s="45"/>
      <c r="L21" s="46"/>
      <c r="M21" s="47"/>
      <c r="N21" s="46"/>
      <c r="O21" s="21"/>
      <c r="P21" s="48">
        <f t="shared" si="12"/>
        <v>1792</v>
      </c>
      <c r="Q21" s="79"/>
      <c r="R21" s="79"/>
      <c r="S21" s="77">
        <f t="shared" si="8"/>
        <v>648.039905882353</v>
      </c>
      <c r="T21" s="77"/>
      <c r="U21" s="77">
        <f t="shared" si="9"/>
        <v>13.1764705882353</v>
      </c>
      <c r="V21" s="77"/>
      <c r="W21" s="77"/>
      <c r="X21" s="78">
        <f t="shared" si="2"/>
        <v>661.216376470588</v>
      </c>
      <c r="Y21" s="93">
        <f t="shared" si="10"/>
        <v>112.160752941176</v>
      </c>
      <c r="Z21" s="93"/>
      <c r="AA21" s="93"/>
      <c r="AB21" s="93">
        <f t="shared" si="3"/>
        <v>112.160752941176</v>
      </c>
      <c r="AC21" s="45">
        <v>7.1</v>
      </c>
      <c r="AD21" s="77">
        <f t="shared" si="4"/>
        <v>796.341345882353</v>
      </c>
      <c r="AE21" s="77">
        <f t="shared" si="5"/>
        <v>1457.55772235294</v>
      </c>
      <c r="AF21" s="77">
        <f t="shared" si="6"/>
        <v>334.442277647059</v>
      </c>
    </row>
    <row r="22" s="2" customFormat="1" spans="1:32">
      <c r="A22" s="20"/>
      <c r="B22" s="21"/>
      <c r="C22" s="22">
        <v>240607000053</v>
      </c>
      <c r="D22" s="23">
        <v>45478</v>
      </c>
      <c r="E22" s="23" t="s">
        <v>59</v>
      </c>
      <c r="F22" s="106" t="s">
        <v>60</v>
      </c>
      <c r="G22" s="106" t="s">
        <v>69</v>
      </c>
      <c r="H22" s="24">
        <v>1.3088</v>
      </c>
      <c r="I22" s="108">
        <v>352</v>
      </c>
      <c r="J22" s="49">
        <v>3425</v>
      </c>
      <c r="K22" s="45"/>
      <c r="L22" s="46"/>
      <c r="M22" s="47"/>
      <c r="N22" s="46"/>
      <c r="O22" s="21"/>
      <c r="P22" s="48">
        <f>SUM(J22)</f>
        <v>3425</v>
      </c>
      <c r="Q22" s="75"/>
      <c r="R22" s="75"/>
      <c r="S22" s="77">
        <f t="shared" si="8"/>
        <v>1183.25143529412</v>
      </c>
      <c r="T22" s="77"/>
      <c r="U22" s="77">
        <f t="shared" si="9"/>
        <v>24.0588235294118</v>
      </c>
      <c r="V22" s="77"/>
      <c r="W22" s="77"/>
      <c r="X22" s="78">
        <f t="shared" si="2"/>
        <v>1207.31025882353</v>
      </c>
      <c r="Y22" s="93">
        <f t="shared" si="10"/>
        <v>204.793517647059</v>
      </c>
      <c r="Z22" s="93"/>
      <c r="AA22" s="93"/>
      <c r="AB22" s="93">
        <f t="shared" si="3"/>
        <v>204.793517647059</v>
      </c>
      <c r="AC22" s="45">
        <v>7.1</v>
      </c>
      <c r="AD22" s="77">
        <f t="shared" si="4"/>
        <v>1454.03397529412</v>
      </c>
      <c r="AE22" s="77">
        <f t="shared" si="5"/>
        <v>2661.34423411765</v>
      </c>
      <c r="AF22" s="77">
        <f t="shared" si="6"/>
        <v>763.655765882353</v>
      </c>
    </row>
    <row r="23" s="2" customFormat="1" spans="1:32">
      <c r="A23" s="20"/>
      <c r="B23" s="21"/>
      <c r="C23" s="22">
        <v>240617000035</v>
      </c>
      <c r="D23" s="23">
        <v>45490</v>
      </c>
      <c r="E23" s="23" t="s">
        <v>47</v>
      </c>
      <c r="F23" s="21" t="s">
        <v>48</v>
      </c>
      <c r="G23" s="21" t="s">
        <v>70</v>
      </c>
      <c r="H23" s="24">
        <v>0.0887</v>
      </c>
      <c r="I23" s="108">
        <v>106</v>
      </c>
      <c r="J23" s="44">
        <v>332</v>
      </c>
      <c r="K23" s="45"/>
      <c r="L23" s="46"/>
      <c r="M23" s="47"/>
      <c r="N23" s="46"/>
      <c r="O23" s="21"/>
      <c r="P23" s="48">
        <f>SUM(J23)</f>
        <v>332</v>
      </c>
      <c r="Q23" s="75"/>
      <c r="R23" s="75"/>
      <c r="S23" s="77">
        <f t="shared" si="8"/>
        <v>80.1913220588235</v>
      </c>
      <c r="T23" s="77"/>
      <c r="U23" s="77">
        <f t="shared" si="9"/>
        <v>1.63051470588235</v>
      </c>
      <c r="V23" s="77"/>
      <c r="W23" s="77"/>
      <c r="X23" s="78">
        <f t="shared" si="2"/>
        <v>81.8218367647059</v>
      </c>
      <c r="Y23" s="93">
        <f t="shared" si="10"/>
        <v>13.8792672794118</v>
      </c>
      <c r="Z23" s="93"/>
      <c r="AA23" s="93"/>
      <c r="AB23" s="93">
        <f t="shared" si="3"/>
        <v>13.8792672794118</v>
      </c>
      <c r="AC23" s="45">
        <v>7.1</v>
      </c>
      <c r="AD23" s="77">
        <f t="shared" si="4"/>
        <v>98.5427976838235</v>
      </c>
      <c r="AE23" s="77">
        <f t="shared" si="5"/>
        <v>180.364634448529</v>
      </c>
      <c r="AF23" s="77">
        <f t="shared" si="6"/>
        <v>151.635365551471</v>
      </c>
    </row>
    <row r="24" s="2" customFormat="1" spans="1:32">
      <c r="A24" s="20"/>
      <c r="B24" s="21"/>
      <c r="C24" s="22">
        <v>240703000031</v>
      </c>
      <c r="D24" s="23">
        <v>45478</v>
      </c>
      <c r="E24" s="23" t="s">
        <v>52</v>
      </c>
      <c r="F24" s="21" t="s">
        <v>52</v>
      </c>
      <c r="G24" s="21" t="s">
        <v>71</v>
      </c>
      <c r="H24" s="24">
        <v>36.23</v>
      </c>
      <c r="I24" s="108">
        <v>4650</v>
      </c>
      <c r="J24" s="44">
        <v>63805.02</v>
      </c>
      <c r="K24" s="45"/>
      <c r="L24" s="46"/>
      <c r="M24" s="47"/>
      <c r="N24" s="54"/>
      <c r="O24" s="21"/>
      <c r="P24" s="48">
        <f>SUBTOTAL(9,J24)</f>
        <v>63805.02</v>
      </c>
      <c r="Q24" s="79"/>
      <c r="R24" s="79"/>
      <c r="S24" s="77">
        <f t="shared" si="8"/>
        <v>32754.5839705882</v>
      </c>
      <c r="T24" s="77"/>
      <c r="U24" s="77">
        <f t="shared" si="9"/>
        <v>665.992647058824</v>
      </c>
      <c r="V24" s="77"/>
      <c r="W24" s="77"/>
      <c r="X24" s="78">
        <f t="shared" si="2"/>
        <v>33420.5766176471</v>
      </c>
      <c r="Y24" s="93">
        <f t="shared" si="10"/>
        <v>5669.06261029412</v>
      </c>
      <c r="Z24" s="93"/>
      <c r="AA24" s="93"/>
      <c r="AB24" s="93">
        <f t="shared" si="3"/>
        <v>5669.06261029412</v>
      </c>
      <c r="AC24" s="45">
        <v>7.1</v>
      </c>
      <c r="AD24" s="77">
        <f t="shared" si="4"/>
        <v>40250.3445330882</v>
      </c>
      <c r="AE24" s="77">
        <f t="shared" si="5"/>
        <v>73670.9211507353</v>
      </c>
      <c r="AF24" s="77">
        <f t="shared" si="6"/>
        <v>-9865.90115073529</v>
      </c>
    </row>
    <row r="25" s="2" customFormat="1" spans="1:32">
      <c r="A25" s="20"/>
      <c r="B25" s="21"/>
      <c r="C25" s="22">
        <v>240704000018</v>
      </c>
      <c r="D25" s="23">
        <v>45477</v>
      </c>
      <c r="E25" s="23" t="s">
        <v>52</v>
      </c>
      <c r="F25" s="21" t="s">
        <v>52</v>
      </c>
      <c r="G25" s="21" t="s">
        <v>72</v>
      </c>
      <c r="H25" s="24">
        <v>0.0287</v>
      </c>
      <c r="I25" s="108">
        <v>25</v>
      </c>
      <c r="J25" s="44">
        <v>106</v>
      </c>
      <c r="K25" s="45"/>
      <c r="L25" s="46"/>
      <c r="M25" s="47"/>
      <c r="N25" s="46"/>
      <c r="O25" s="21"/>
      <c r="P25" s="53">
        <f>SUBTOTAL(9,J25)</f>
        <v>106</v>
      </c>
      <c r="Q25" s="81"/>
      <c r="R25" s="81"/>
      <c r="S25" s="77">
        <f t="shared" si="8"/>
        <v>25.9469102941176</v>
      </c>
      <c r="T25" s="77"/>
      <c r="U25" s="77">
        <f t="shared" si="9"/>
        <v>0.527573529411765</v>
      </c>
      <c r="V25" s="77"/>
      <c r="W25" s="77"/>
      <c r="X25" s="78">
        <f t="shared" si="2"/>
        <v>26.4744838235294</v>
      </c>
      <c r="Y25" s="93">
        <f t="shared" si="10"/>
        <v>4.49081139705882</v>
      </c>
      <c r="Z25" s="93"/>
      <c r="AA25" s="93"/>
      <c r="AB25" s="93">
        <f t="shared" si="3"/>
        <v>4.49081139705882</v>
      </c>
      <c r="AC25" s="45">
        <v>7.1</v>
      </c>
      <c r="AD25" s="77">
        <f t="shared" si="4"/>
        <v>31.8847609191176</v>
      </c>
      <c r="AE25" s="77">
        <f t="shared" si="5"/>
        <v>58.359244742647</v>
      </c>
      <c r="AF25" s="77">
        <f t="shared" si="6"/>
        <v>47.640755257353</v>
      </c>
    </row>
    <row r="26" ht="15.75" spans="1:32">
      <c r="A26" s="27" t="s">
        <v>14</v>
      </c>
      <c r="B26" s="28"/>
      <c r="C26" s="28"/>
      <c r="D26" s="28"/>
      <c r="E26" s="28"/>
      <c r="F26" s="28"/>
      <c r="G26" s="28"/>
      <c r="H26" s="28">
        <f>SUM(H5:H25)</f>
        <v>72.7681</v>
      </c>
      <c r="I26" s="28">
        <f>SUM(I5:I25)</f>
        <v>24310</v>
      </c>
      <c r="J26" s="28">
        <f>SUM(J4:J4)</f>
        <v>0</v>
      </c>
      <c r="K26" s="55"/>
      <c r="L26" s="56"/>
      <c r="M26" s="55"/>
      <c r="N26" s="55">
        <f t="shared" ref="N26:Q26" si="13">SUM(N4:N4)</f>
        <v>0</v>
      </c>
      <c r="O26" s="28"/>
      <c r="P26" s="28">
        <f t="shared" si="13"/>
        <v>0</v>
      </c>
      <c r="Q26" s="28">
        <f t="shared" si="13"/>
        <v>0</v>
      </c>
      <c r="R26" s="28"/>
      <c r="S26" s="28"/>
      <c r="T26" s="28"/>
      <c r="U26" s="28"/>
      <c r="V26" s="28"/>
      <c r="W26" s="28"/>
      <c r="X26" s="82">
        <f>SUM(X4:X4)</f>
        <v>0</v>
      </c>
      <c r="Y26" s="56"/>
      <c r="Z26" s="56"/>
      <c r="AA26" s="56"/>
      <c r="AB26" s="56"/>
      <c r="AC26" s="55"/>
      <c r="AD26" s="28">
        <f>SUM(AD4:AD4)</f>
        <v>0</v>
      </c>
      <c r="AE26" s="28"/>
      <c r="AF26" s="94">
        <f>SUM(AF5:AF25)</f>
        <v>19020.5073823897</v>
      </c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  <row r="32" customFormat="1" spans="4:29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</row>
    <row r="33" customFormat="1" spans="4:29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</row>
    <row r="34" customFormat="1" spans="4:29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</row>
    <row r="35" customFormat="1" spans="4:29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</row>
    <row r="36" customFormat="1" spans="4:29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</row>
    <row r="37" customFormat="1" spans="4:29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</row>
    <row r="38" customFormat="1" spans="4:29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</row>
    <row r="39" customFormat="1" spans="4:29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</row>
    <row r="40" customFormat="1" spans="4:29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</row>
    <row r="41" customFormat="1" spans="4:29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</row>
    <row r="42" customFormat="1" spans="4:29">
      <c r="D42" s="3"/>
      <c r="E42" s="3"/>
      <c r="K42" s="4"/>
      <c r="L42" s="5"/>
      <c r="M42" s="4"/>
      <c r="X42" s="7"/>
      <c r="Y42" s="5"/>
      <c r="Z42" s="5"/>
      <c r="AA42" s="5"/>
      <c r="AB42" s="5"/>
      <c r="AC42" s="4"/>
    </row>
  </sheetData>
  <autoFilter xmlns:etc="http://www.wps.cn/officeDocument/2017/etCustomData" ref="A3:AF26" etc:filterBottomFollowUsedRange="0">
    <extLst/>
  </autoFilter>
  <mergeCells count="21">
    <mergeCell ref="A1:AF1"/>
    <mergeCell ref="J3:P3"/>
    <mergeCell ref="R3:V3"/>
    <mergeCell ref="Y3:AD3"/>
    <mergeCell ref="A3:A4"/>
    <mergeCell ref="A5:A25"/>
    <mergeCell ref="B3:B4"/>
    <mergeCell ref="B5:B25"/>
    <mergeCell ref="C3:C4"/>
    <mergeCell ref="D3:D4"/>
    <mergeCell ref="E3:E4"/>
    <mergeCell ref="F3:F4"/>
    <mergeCell ref="G3:G4"/>
    <mergeCell ref="H3:H4"/>
    <mergeCell ref="I3:I4"/>
    <mergeCell ref="Q3:Q4"/>
    <mergeCell ref="Q5:Q25"/>
    <mergeCell ref="R5:R25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8"/>
  <sheetViews>
    <sheetView zoomScale="110" zoomScaleNormal="110" workbookViewId="0">
      <pane xSplit="9" ySplit="1" topLeftCell="Z2" activePane="bottomRight" state="frozen"/>
      <selection/>
      <selection pane="topRight"/>
      <selection pane="bottomLeft"/>
      <selection pane="bottomRight" activeCell="J2" sqref="J$1:J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9"/>
      <c r="L1" s="30"/>
      <c r="M1" s="29"/>
      <c r="N1" s="8"/>
      <c r="O1" s="31"/>
      <c r="P1" s="8"/>
      <c r="Q1" s="8"/>
      <c r="R1" s="8"/>
      <c r="S1" s="8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8"/>
      <c r="AF1" s="8"/>
    </row>
    <row r="2" customFormat="1" ht="31" customHeight="1" spans="1:32">
      <c r="A2" s="9" t="s">
        <v>98</v>
      </c>
      <c r="B2" s="9" t="s">
        <v>99</v>
      </c>
      <c r="C2" s="9">
        <v>70.2037</v>
      </c>
      <c r="D2" s="8"/>
      <c r="E2" s="8"/>
      <c r="F2" s="8"/>
      <c r="G2" s="8"/>
      <c r="H2" s="8"/>
      <c r="I2" s="8"/>
      <c r="J2" s="8"/>
      <c r="K2" s="29"/>
      <c r="L2" s="30"/>
      <c r="M2" s="29"/>
      <c r="N2" s="8"/>
      <c r="O2" s="31"/>
      <c r="P2" s="8"/>
      <c r="Q2" s="8"/>
      <c r="R2" s="8"/>
      <c r="S2" s="8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15</v>
      </c>
      <c r="D3" s="13" t="s">
        <v>16</v>
      </c>
      <c r="E3" s="14" t="s">
        <v>17</v>
      </c>
      <c r="F3" s="15" t="s">
        <v>18</v>
      </c>
      <c r="G3" s="15" t="s">
        <v>19</v>
      </c>
      <c r="H3" s="15" t="s">
        <v>20</v>
      </c>
      <c r="I3" s="15" t="s">
        <v>21</v>
      </c>
      <c r="J3" s="32" t="s">
        <v>22</v>
      </c>
      <c r="K3" s="33"/>
      <c r="L3" s="34"/>
      <c r="M3" s="33"/>
      <c r="N3" s="34"/>
      <c r="O3" s="35"/>
      <c r="P3" s="36"/>
      <c r="Q3" s="60" t="s">
        <v>23</v>
      </c>
      <c r="R3" s="61" t="s">
        <v>24</v>
      </c>
      <c r="S3" s="62"/>
      <c r="T3" s="63"/>
      <c r="U3" s="64"/>
      <c r="V3" s="65"/>
      <c r="W3" s="66" t="s">
        <v>25</v>
      </c>
      <c r="X3" s="67" t="s">
        <v>26</v>
      </c>
      <c r="Y3" s="83" t="s">
        <v>27</v>
      </c>
      <c r="Z3" s="83"/>
      <c r="AA3" s="83"/>
      <c r="AB3" s="83"/>
      <c r="AC3" s="84"/>
      <c r="AD3" s="83"/>
      <c r="AE3" s="85" t="s">
        <v>28</v>
      </c>
      <c r="AF3" s="86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7"/>
      <c r="J4" s="38" t="s">
        <v>29</v>
      </c>
      <c r="K4" s="39" t="s">
        <v>30</v>
      </c>
      <c r="L4" s="40" t="s">
        <v>31</v>
      </c>
      <c r="M4" s="39" t="s">
        <v>32</v>
      </c>
      <c r="N4" s="41" t="s">
        <v>33</v>
      </c>
      <c r="O4" s="42" t="s">
        <v>34</v>
      </c>
      <c r="P4" s="43" t="s">
        <v>35</v>
      </c>
      <c r="Q4" s="68"/>
      <c r="R4" s="69" t="s">
        <v>36</v>
      </c>
      <c r="S4" s="70" t="s">
        <v>37</v>
      </c>
      <c r="T4" s="71" t="s">
        <v>38</v>
      </c>
      <c r="U4" s="72" t="s">
        <v>39</v>
      </c>
      <c r="V4" s="71" t="s">
        <v>40</v>
      </c>
      <c r="W4" s="73"/>
      <c r="X4" s="74"/>
      <c r="Y4" s="87" t="s">
        <v>41</v>
      </c>
      <c r="Z4" s="87" t="s">
        <v>42</v>
      </c>
      <c r="AA4" s="87" t="s">
        <v>43</v>
      </c>
      <c r="AB4" s="88" t="s">
        <v>44</v>
      </c>
      <c r="AC4" s="89" t="s">
        <v>45</v>
      </c>
      <c r="AD4" s="90" t="s">
        <v>35</v>
      </c>
      <c r="AE4" s="91" t="s">
        <v>46</v>
      </c>
      <c r="AF4" s="92"/>
    </row>
    <row r="5" s="2" customFormat="1" spans="1:32">
      <c r="A5" s="20" t="s">
        <v>6</v>
      </c>
      <c r="B5" s="21" t="s">
        <v>7</v>
      </c>
      <c r="C5" s="22">
        <v>240607000053</v>
      </c>
      <c r="D5" s="23">
        <v>45478</v>
      </c>
      <c r="E5" s="23" t="s">
        <v>59</v>
      </c>
      <c r="F5" s="106" t="s">
        <v>60</v>
      </c>
      <c r="G5" s="106" t="s">
        <v>69</v>
      </c>
      <c r="H5" s="24">
        <v>1.3459</v>
      </c>
      <c r="I5" s="24">
        <v>622</v>
      </c>
      <c r="J5" s="49">
        <v>3524.24</v>
      </c>
      <c r="K5" s="45"/>
      <c r="L5" s="46"/>
      <c r="M5" s="47"/>
      <c r="N5" s="46"/>
      <c r="O5" s="21"/>
      <c r="P5" s="48">
        <f>SUM(J5)</f>
        <v>3524.24</v>
      </c>
      <c r="Q5" s="75">
        <f>SUM(P5:P11)</f>
        <v>156852.59</v>
      </c>
      <c r="R5" s="76" t="s">
        <v>73</v>
      </c>
      <c r="S5" s="77">
        <f>SUM(60977/68)*H5</f>
        <v>1206.89623970588</v>
      </c>
      <c r="T5" s="80">
        <f>SUM(125.62/68)*H5</f>
        <v>2.48635232352941</v>
      </c>
      <c r="U5" s="77">
        <f>SUM(1150/68)*H5</f>
        <v>22.7615441176471</v>
      </c>
      <c r="V5" s="80">
        <v>120</v>
      </c>
      <c r="W5" s="77"/>
      <c r="X5" s="78">
        <f t="shared" ref="X5:X47" si="0">SUM(S5:W5)</f>
        <v>1352.14413614706</v>
      </c>
      <c r="Y5" s="93">
        <f>SUM(10579.27/68)*H5</f>
        <v>209.39175725</v>
      </c>
      <c r="Z5" s="93"/>
      <c r="AA5" s="93">
        <f>SUM(57.93/68)*H5</f>
        <v>1.14658804411765</v>
      </c>
      <c r="AB5" s="93">
        <f t="shared" ref="AB5:AB47" si="1">SUM(Y5:AA5)</f>
        <v>210.538345294118</v>
      </c>
      <c r="AC5" s="45">
        <v>7.1</v>
      </c>
      <c r="AD5" s="77">
        <f t="shared" ref="AD5:AD47" si="2">SUM(AB5*AC5)</f>
        <v>1494.82225158824</v>
      </c>
      <c r="AE5" s="77">
        <f t="shared" ref="AE5:AE47" si="3">SUM(X5+AD5)</f>
        <v>2846.96638773529</v>
      </c>
      <c r="AF5" s="77">
        <f t="shared" ref="AF5:AF47" si="4">SUM(P5-AE5)</f>
        <v>677.273612264706</v>
      </c>
    </row>
    <row r="6" s="2" customFormat="1" spans="1:32">
      <c r="A6" s="20"/>
      <c r="B6" s="21"/>
      <c r="C6" s="22">
        <v>240624000036</v>
      </c>
      <c r="D6" s="23">
        <v>45478</v>
      </c>
      <c r="E6" s="23" t="s">
        <v>47</v>
      </c>
      <c r="F6" s="106" t="s">
        <v>48</v>
      </c>
      <c r="G6" s="106" t="s">
        <v>51</v>
      </c>
      <c r="H6" s="24">
        <v>1.1026</v>
      </c>
      <c r="I6" s="24">
        <v>1089</v>
      </c>
      <c r="J6" s="44">
        <v>2892</v>
      </c>
      <c r="K6" s="45"/>
      <c r="L6" s="46"/>
      <c r="M6" s="47"/>
      <c r="N6" s="46"/>
      <c r="O6" s="21"/>
      <c r="P6" s="48">
        <f>SUBTOTAL(9,J6)</f>
        <v>2892</v>
      </c>
      <c r="Q6" s="79"/>
      <c r="R6" s="79"/>
      <c r="S6" s="77">
        <f t="shared" ref="S6:S11" si="5">SUM(60977/68)*H6</f>
        <v>988.724120588235</v>
      </c>
      <c r="T6" s="80">
        <f t="shared" ref="T6:T11" si="6">SUM(125.62/68)*H6</f>
        <v>2.03689135294118</v>
      </c>
      <c r="U6" s="77">
        <f t="shared" ref="U6:U11" si="7">SUM(1150/68)*H6</f>
        <v>18.6469117647059</v>
      </c>
      <c r="V6" s="80">
        <v>120</v>
      </c>
      <c r="W6" s="77"/>
      <c r="X6" s="78">
        <f t="shared" si="0"/>
        <v>1129.40792370588</v>
      </c>
      <c r="Y6" s="93">
        <f t="shared" ref="Y6:Y11" si="8">SUM(10579.27/68)*H6</f>
        <v>171.5397515</v>
      </c>
      <c r="Z6" s="93"/>
      <c r="AA6" s="93">
        <f t="shared" ref="AA6:AA11" si="9">SUM(57.93/68)*H6</f>
        <v>0.939317911764706</v>
      </c>
      <c r="AB6" s="93">
        <f t="shared" si="1"/>
        <v>172.479069411765</v>
      </c>
      <c r="AC6" s="45">
        <v>7.1</v>
      </c>
      <c r="AD6" s="77">
        <f t="shared" si="2"/>
        <v>1224.60139282353</v>
      </c>
      <c r="AE6" s="77">
        <f t="shared" si="3"/>
        <v>2354.00931652941</v>
      </c>
      <c r="AF6" s="77">
        <f t="shared" si="4"/>
        <v>537.990683470588</v>
      </c>
    </row>
    <row r="7" s="2" customFormat="1" spans="1:32">
      <c r="A7" s="20"/>
      <c r="B7" s="21"/>
      <c r="C7" s="22">
        <v>240624000037</v>
      </c>
      <c r="D7" s="23">
        <v>45478</v>
      </c>
      <c r="E7" s="23" t="s">
        <v>47</v>
      </c>
      <c r="F7" s="21" t="s">
        <v>48</v>
      </c>
      <c r="G7" s="21" t="s">
        <v>51</v>
      </c>
      <c r="H7" s="24">
        <v>14.6754</v>
      </c>
      <c r="I7" s="24">
        <v>11776.5</v>
      </c>
      <c r="J7" s="44">
        <v>43280</v>
      </c>
      <c r="K7" s="45"/>
      <c r="L7" s="46"/>
      <c r="M7" s="47"/>
      <c r="N7" s="46"/>
      <c r="O7" s="21"/>
      <c r="P7" s="48">
        <f>SUBTOTAL(9,J7)</f>
        <v>43280</v>
      </c>
      <c r="Q7" s="79"/>
      <c r="R7" s="79"/>
      <c r="S7" s="77">
        <f t="shared" si="5"/>
        <v>13159.7333205882</v>
      </c>
      <c r="T7" s="80">
        <f t="shared" si="6"/>
        <v>27.1106433529412</v>
      </c>
      <c r="U7" s="77">
        <f t="shared" si="7"/>
        <v>248.186911764706</v>
      </c>
      <c r="V7" s="77"/>
      <c r="W7" s="77"/>
      <c r="X7" s="78">
        <f t="shared" si="0"/>
        <v>13435.0308757059</v>
      </c>
      <c r="Y7" s="93">
        <f t="shared" si="8"/>
        <v>2283.1620435</v>
      </c>
      <c r="Z7" s="93"/>
      <c r="AA7" s="93">
        <f t="shared" si="9"/>
        <v>12.5021459117647</v>
      </c>
      <c r="AB7" s="93">
        <f t="shared" si="1"/>
        <v>2295.66418941176</v>
      </c>
      <c r="AC7" s="45">
        <v>7.1</v>
      </c>
      <c r="AD7" s="77">
        <f t="shared" si="2"/>
        <v>16299.2157448235</v>
      </c>
      <c r="AE7" s="77">
        <f t="shared" si="3"/>
        <v>29734.2466205294</v>
      </c>
      <c r="AF7" s="77">
        <f t="shared" si="4"/>
        <v>13545.7533794706</v>
      </c>
    </row>
    <row r="8" s="2" customFormat="1" spans="1:32">
      <c r="A8" s="20"/>
      <c r="B8" s="21"/>
      <c r="C8" s="22">
        <v>240704000029</v>
      </c>
      <c r="D8" s="23">
        <v>45482</v>
      </c>
      <c r="E8" s="23" t="s">
        <v>52</v>
      </c>
      <c r="F8" s="106" t="s">
        <v>52</v>
      </c>
      <c r="G8" s="106" t="s">
        <v>68</v>
      </c>
      <c r="H8" s="24">
        <v>13.9646</v>
      </c>
      <c r="I8" s="24">
        <v>3568</v>
      </c>
      <c r="J8" s="44">
        <v>34908</v>
      </c>
      <c r="K8" s="45"/>
      <c r="L8" s="46"/>
      <c r="M8" s="47"/>
      <c r="N8" s="46"/>
      <c r="O8" s="21"/>
      <c r="P8" s="48">
        <f>SUBTOTAL(9,J8)</f>
        <v>34908</v>
      </c>
      <c r="Q8" s="79"/>
      <c r="R8" s="79"/>
      <c r="S8" s="77">
        <f t="shared" si="5"/>
        <v>12522.3443264706</v>
      </c>
      <c r="T8" s="80">
        <f t="shared" si="6"/>
        <v>25.7975448823529</v>
      </c>
      <c r="U8" s="77">
        <f t="shared" si="7"/>
        <v>236.166029411765</v>
      </c>
      <c r="V8" s="77"/>
      <c r="W8" s="77"/>
      <c r="X8" s="78">
        <f t="shared" si="0"/>
        <v>12784.3079007647</v>
      </c>
      <c r="Y8" s="93">
        <f t="shared" si="8"/>
        <v>2172.5775565</v>
      </c>
      <c r="Z8" s="93"/>
      <c r="AA8" s="93">
        <f t="shared" si="9"/>
        <v>11.8966070294118</v>
      </c>
      <c r="AB8" s="93">
        <f t="shared" si="1"/>
        <v>2184.47416352941</v>
      </c>
      <c r="AC8" s="45">
        <v>7.1</v>
      </c>
      <c r="AD8" s="77">
        <f t="shared" si="2"/>
        <v>15509.7665610588</v>
      </c>
      <c r="AE8" s="77">
        <f t="shared" si="3"/>
        <v>28294.0744618235</v>
      </c>
      <c r="AF8" s="77">
        <f t="shared" si="4"/>
        <v>6613.92553817647</v>
      </c>
    </row>
    <row r="9" s="2" customFormat="1" spans="1:32">
      <c r="A9" s="20"/>
      <c r="B9" s="21"/>
      <c r="C9" s="22">
        <v>240617000035</v>
      </c>
      <c r="D9" s="23">
        <v>45490</v>
      </c>
      <c r="E9" s="23" t="s">
        <v>47</v>
      </c>
      <c r="F9" s="21" t="s">
        <v>48</v>
      </c>
      <c r="G9" s="21" t="s">
        <v>70</v>
      </c>
      <c r="H9" s="24">
        <v>1.6952</v>
      </c>
      <c r="I9" s="24">
        <v>322.7</v>
      </c>
      <c r="J9" s="44">
        <v>6330</v>
      </c>
      <c r="K9" s="45"/>
      <c r="L9" s="46"/>
      <c r="M9" s="47"/>
      <c r="N9" s="46"/>
      <c r="O9" s="21"/>
      <c r="P9" s="48">
        <f>SUM(J9)</f>
        <v>6330</v>
      </c>
      <c r="Q9" s="75"/>
      <c r="R9" s="75"/>
      <c r="S9" s="77">
        <f t="shared" si="5"/>
        <v>1520.12074117647</v>
      </c>
      <c r="T9" s="80">
        <f t="shared" si="6"/>
        <v>3.13163270588235</v>
      </c>
      <c r="U9" s="77">
        <f t="shared" si="7"/>
        <v>28.6688235294118</v>
      </c>
      <c r="V9" s="77"/>
      <c r="W9" s="77"/>
      <c r="X9" s="78">
        <f t="shared" si="0"/>
        <v>1551.92119741176</v>
      </c>
      <c r="Y9" s="93">
        <f t="shared" si="8"/>
        <v>263.734978</v>
      </c>
      <c r="Z9" s="93"/>
      <c r="AA9" s="93">
        <f t="shared" si="9"/>
        <v>1.44416082352941</v>
      </c>
      <c r="AB9" s="93">
        <f t="shared" si="1"/>
        <v>265.179138823529</v>
      </c>
      <c r="AC9" s="45">
        <v>7.1</v>
      </c>
      <c r="AD9" s="77">
        <f t="shared" si="2"/>
        <v>1882.77188564706</v>
      </c>
      <c r="AE9" s="77">
        <f t="shared" si="3"/>
        <v>3434.69308305882</v>
      </c>
      <c r="AF9" s="77">
        <f t="shared" si="4"/>
        <v>2895.30691694118</v>
      </c>
    </row>
    <row r="10" s="2" customFormat="1" spans="1:32">
      <c r="A10" s="20"/>
      <c r="B10" s="21"/>
      <c r="C10" s="22">
        <v>240703000031</v>
      </c>
      <c r="D10" s="23">
        <v>45478</v>
      </c>
      <c r="E10" s="23" t="s">
        <v>52</v>
      </c>
      <c r="F10" s="21" t="s">
        <v>52</v>
      </c>
      <c r="G10" s="21" t="s">
        <v>71</v>
      </c>
      <c r="H10" s="24">
        <v>7.89</v>
      </c>
      <c r="I10" s="24">
        <v>615</v>
      </c>
      <c r="J10" s="44">
        <v>13912.77</v>
      </c>
      <c r="K10" s="45"/>
      <c r="L10" s="46"/>
      <c r="M10" s="47"/>
      <c r="N10" s="54"/>
      <c r="O10" s="21"/>
      <c r="P10" s="48">
        <f>SUBTOTAL(9,J10)</f>
        <v>13912.77</v>
      </c>
      <c r="Q10" s="79"/>
      <c r="R10" s="79"/>
      <c r="S10" s="77">
        <f t="shared" si="5"/>
        <v>7075.12544117647</v>
      </c>
      <c r="T10" s="80">
        <f t="shared" si="6"/>
        <v>14.5756147058824</v>
      </c>
      <c r="U10" s="77">
        <f t="shared" si="7"/>
        <v>133.433823529412</v>
      </c>
      <c r="V10" s="77"/>
      <c r="W10" s="77"/>
      <c r="X10" s="78">
        <f t="shared" si="0"/>
        <v>7223.13487941176</v>
      </c>
      <c r="Y10" s="93">
        <f t="shared" si="8"/>
        <v>1227.506475</v>
      </c>
      <c r="Z10" s="93"/>
      <c r="AA10" s="93">
        <f t="shared" si="9"/>
        <v>6.72158382352941</v>
      </c>
      <c r="AB10" s="93">
        <f t="shared" si="1"/>
        <v>1234.22805882353</v>
      </c>
      <c r="AC10" s="45">
        <v>7.1</v>
      </c>
      <c r="AD10" s="77">
        <f t="shared" si="2"/>
        <v>8763.01921764706</v>
      </c>
      <c r="AE10" s="77">
        <f t="shared" si="3"/>
        <v>15986.1540970588</v>
      </c>
      <c r="AF10" s="77">
        <f t="shared" si="4"/>
        <v>-2073.38409705882</v>
      </c>
    </row>
    <row r="11" s="2" customFormat="1" spans="1:32">
      <c r="A11" s="20"/>
      <c r="B11" s="21"/>
      <c r="C11" s="22">
        <v>240705000003</v>
      </c>
      <c r="D11" s="23">
        <v>45478</v>
      </c>
      <c r="E11" s="23" t="s">
        <v>52</v>
      </c>
      <c r="F11" s="21" t="s">
        <v>52</v>
      </c>
      <c r="G11" s="21" t="s">
        <v>71</v>
      </c>
      <c r="H11" s="24">
        <v>29.53</v>
      </c>
      <c r="I11" s="24">
        <v>3724</v>
      </c>
      <c r="J11" s="44">
        <v>52005.58</v>
      </c>
      <c r="K11" s="45"/>
      <c r="L11" s="46"/>
      <c r="M11" s="47"/>
      <c r="N11" s="54"/>
      <c r="O11" s="21"/>
      <c r="P11" s="48">
        <f>SUBTOTAL(9,J11)</f>
        <v>52005.58</v>
      </c>
      <c r="Q11" s="81"/>
      <c r="R11" s="81"/>
      <c r="S11" s="77">
        <f t="shared" si="5"/>
        <v>26480.1589705882</v>
      </c>
      <c r="T11" s="80">
        <f t="shared" si="6"/>
        <v>54.5523323529412</v>
      </c>
      <c r="U11" s="77">
        <f t="shared" si="7"/>
        <v>499.404411764706</v>
      </c>
      <c r="V11" s="77"/>
      <c r="W11" s="77"/>
      <c r="X11" s="78">
        <f t="shared" si="0"/>
        <v>27034.1157147059</v>
      </c>
      <c r="Y11" s="93">
        <f t="shared" si="8"/>
        <v>4594.203575</v>
      </c>
      <c r="Z11" s="93"/>
      <c r="AA11" s="93">
        <f t="shared" si="9"/>
        <v>25.1569544117647</v>
      </c>
      <c r="AB11" s="93">
        <f t="shared" si="1"/>
        <v>4619.36052941177</v>
      </c>
      <c r="AC11" s="45">
        <v>7.1</v>
      </c>
      <c r="AD11" s="77">
        <f t="shared" si="2"/>
        <v>32797.4597588235</v>
      </c>
      <c r="AE11" s="77">
        <f t="shared" si="3"/>
        <v>59831.5754735294</v>
      </c>
      <c r="AF11" s="77">
        <f t="shared" si="4"/>
        <v>-7825.99547352942</v>
      </c>
    </row>
    <row r="12" ht="15.75" spans="1:32">
      <c r="A12" s="27" t="s">
        <v>14</v>
      </c>
      <c r="B12" s="28"/>
      <c r="C12" s="28"/>
      <c r="D12" s="28"/>
      <c r="E12" s="28"/>
      <c r="F12" s="28"/>
      <c r="G12" s="28"/>
      <c r="H12" s="28">
        <f>SUM(H5:H11)</f>
        <v>70.2037</v>
      </c>
      <c r="I12" s="28">
        <f>SUM(I5:I11)</f>
        <v>21717.2</v>
      </c>
      <c r="J12" s="28">
        <f>SUM(J4:J4)</f>
        <v>0</v>
      </c>
      <c r="K12" s="55"/>
      <c r="L12" s="56"/>
      <c r="M12" s="55"/>
      <c r="N12" s="55">
        <f t="shared" ref="N12:Q12" si="10">SUM(N4:N4)</f>
        <v>0</v>
      </c>
      <c r="O12" s="28"/>
      <c r="P12" s="28">
        <f t="shared" si="10"/>
        <v>0</v>
      </c>
      <c r="Q12" s="28">
        <f t="shared" si="10"/>
        <v>0</v>
      </c>
      <c r="R12" s="28"/>
      <c r="S12" s="28"/>
      <c r="T12" s="28"/>
      <c r="U12" s="28"/>
      <c r="V12" s="28"/>
      <c r="W12" s="28"/>
      <c r="X12" s="82">
        <f>SUM(X4:X4)</f>
        <v>0</v>
      </c>
      <c r="Y12" s="56"/>
      <c r="Z12" s="56"/>
      <c r="AA12" s="56"/>
      <c r="AB12" s="56"/>
      <c r="AC12" s="55"/>
      <c r="AD12" s="28">
        <f>SUM(AD4:AD4)</f>
        <v>0</v>
      </c>
      <c r="AE12" s="28"/>
      <c r="AF12" s="94">
        <f>SUM(AF5:AF11)</f>
        <v>14370.8705597353</v>
      </c>
    </row>
    <row r="13" customFormat="1" spans="4:29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</row>
    <row r="14" customFormat="1" spans="4:29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</row>
    <row r="15" customFormat="1" spans="4:29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</row>
    <row r="16" customFormat="1" spans="4:29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</row>
    <row r="17" customFormat="1" spans="4:29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</sheetData>
  <autoFilter xmlns:etc="http://www.wps.cn/officeDocument/2017/etCustomData" ref="A3:AF12" etc:filterBottomFollowUsedRange="0">
    <extLst/>
  </autoFilter>
  <mergeCells count="21">
    <mergeCell ref="A1:AF1"/>
    <mergeCell ref="J3:P3"/>
    <mergeCell ref="R3:V3"/>
    <mergeCell ref="Y3:AD3"/>
    <mergeCell ref="A3:A4"/>
    <mergeCell ref="A5:A11"/>
    <mergeCell ref="B3:B4"/>
    <mergeCell ref="B5:B11"/>
    <mergeCell ref="C3:C4"/>
    <mergeCell ref="D3:D4"/>
    <mergeCell ref="E3:E4"/>
    <mergeCell ref="F3:F4"/>
    <mergeCell ref="G3:G4"/>
    <mergeCell ref="H3:H4"/>
    <mergeCell ref="I3:I4"/>
    <mergeCell ref="Q3:Q4"/>
    <mergeCell ref="Q5:Q11"/>
    <mergeCell ref="R5:R11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7"/>
  <sheetViews>
    <sheetView zoomScale="110" zoomScaleNormal="110" workbookViewId="0">
      <pane xSplit="9" ySplit="1" topLeftCell="Z2" activePane="bottomRight" state="frozen"/>
      <selection/>
      <selection pane="topRight"/>
      <selection pane="bottomLeft"/>
      <selection pane="bottomRight" activeCell="J2" sqref="J$1:J$1048576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9"/>
      <c r="L1" s="30"/>
      <c r="M1" s="29"/>
      <c r="N1" s="8"/>
      <c r="O1" s="31"/>
      <c r="P1" s="8"/>
      <c r="Q1" s="8"/>
      <c r="R1" s="8"/>
      <c r="S1" s="8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8"/>
      <c r="AF1" s="8"/>
    </row>
    <row r="2" customFormat="1" ht="31" customHeight="1" spans="1:32">
      <c r="A2" s="9" t="s">
        <v>98</v>
      </c>
      <c r="B2" s="9" t="s">
        <v>99</v>
      </c>
      <c r="C2" s="9">
        <v>74.2556</v>
      </c>
      <c r="D2" s="8"/>
      <c r="E2" s="8"/>
      <c r="F2" s="8"/>
      <c r="G2" s="8"/>
      <c r="H2" s="8"/>
      <c r="I2" s="8"/>
      <c r="J2" s="8"/>
      <c r="K2" s="29"/>
      <c r="L2" s="30"/>
      <c r="M2" s="29"/>
      <c r="N2" s="8"/>
      <c r="O2" s="31"/>
      <c r="P2" s="8"/>
      <c r="Q2" s="8"/>
      <c r="R2" s="8"/>
      <c r="S2" s="8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15</v>
      </c>
      <c r="D3" s="13" t="s">
        <v>16</v>
      </c>
      <c r="E3" s="14" t="s">
        <v>17</v>
      </c>
      <c r="F3" s="15" t="s">
        <v>18</v>
      </c>
      <c r="G3" s="15" t="s">
        <v>19</v>
      </c>
      <c r="H3" s="15" t="s">
        <v>20</v>
      </c>
      <c r="I3" s="15" t="s">
        <v>21</v>
      </c>
      <c r="J3" s="32" t="s">
        <v>22</v>
      </c>
      <c r="K3" s="33"/>
      <c r="L3" s="34"/>
      <c r="M3" s="33"/>
      <c r="N3" s="34"/>
      <c r="O3" s="35"/>
      <c r="P3" s="36"/>
      <c r="Q3" s="60" t="s">
        <v>23</v>
      </c>
      <c r="R3" s="61" t="s">
        <v>24</v>
      </c>
      <c r="S3" s="62"/>
      <c r="T3" s="63"/>
      <c r="U3" s="64"/>
      <c r="V3" s="65"/>
      <c r="W3" s="66" t="s">
        <v>25</v>
      </c>
      <c r="X3" s="67" t="s">
        <v>26</v>
      </c>
      <c r="Y3" s="83" t="s">
        <v>27</v>
      </c>
      <c r="Z3" s="83"/>
      <c r="AA3" s="83"/>
      <c r="AB3" s="83"/>
      <c r="AC3" s="84"/>
      <c r="AD3" s="83"/>
      <c r="AE3" s="85" t="s">
        <v>28</v>
      </c>
      <c r="AF3" s="86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7"/>
      <c r="J4" s="38" t="s">
        <v>29</v>
      </c>
      <c r="K4" s="39" t="s">
        <v>30</v>
      </c>
      <c r="L4" s="40" t="s">
        <v>31</v>
      </c>
      <c r="M4" s="39" t="s">
        <v>32</v>
      </c>
      <c r="N4" s="41" t="s">
        <v>33</v>
      </c>
      <c r="O4" s="42" t="s">
        <v>34</v>
      </c>
      <c r="P4" s="43" t="s">
        <v>35</v>
      </c>
      <c r="Q4" s="68"/>
      <c r="R4" s="69" t="s">
        <v>36</v>
      </c>
      <c r="S4" s="70" t="s">
        <v>37</v>
      </c>
      <c r="T4" s="71" t="s">
        <v>38</v>
      </c>
      <c r="U4" s="72" t="s">
        <v>39</v>
      </c>
      <c r="V4" s="71" t="s">
        <v>40</v>
      </c>
      <c r="W4" s="73"/>
      <c r="X4" s="74"/>
      <c r="Y4" s="87" t="s">
        <v>41</v>
      </c>
      <c r="Z4" s="87" t="s">
        <v>42</v>
      </c>
      <c r="AA4" s="87" t="s">
        <v>43</v>
      </c>
      <c r="AB4" s="88" t="s">
        <v>44</v>
      </c>
      <c r="AC4" s="89" t="s">
        <v>45</v>
      </c>
      <c r="AD4" s="90" t="s">
        <v>35</v>
      </c>
      <c r="AE4" s="91" t="s">
        <v>46</v>
      </c>
      <c r="AF4" s="92"/>
    </row>
    <row r="5" s="2" customFormat="1" spans="1:32">
      <c r="A5" s="95" t="s">
        <v>8</v>
      </c>
      <c r="B5" s="24" t="s">
        <v>9</v>
      </c>
      <c r="C5" s="96">
        <v>240618000026</v>
      </c>
      <c r="D5" s="25">
        <v>45482</v>
      </c>
      <c r="E5" s="23" t="s">
        <v>52</v>
      </c>
      <c r="F5" s="24" t="s">
        <v>52</v>
      </c>
      <c r="G5" s="24" t="s">
        <v>74</v>
      </c>
      <c r="H5" s="24">
        <v>9.0048</v>
      </c>
      <c r="I5" s="24">
        <v>5844</v>
      </c>
      <c r="J5" s="97">
        <v>32609</v>
      </c>
      <c r="K5" s="98"/>
      <c r="L5" s="52"/>
      <c r="M5" s="47"/>
      <c r="N5" s="52"/>
      <c r="O5" s="24"/>
      <c r="P5" s="53">
        <f>SUM(J5)</f>
        <v>32609</v>
      </c>
      <c r="Q5" s="101">
        <f>SUM(P5:P10)</f>
        <v>184530.54</v>
      </c>
      <c r="R5" s="102" t="s">
        <v>75</v>
      </c>
      <c r="S5" s="80">
        <f t="shared" ref="S5:S10" si="0">SUM(61677/68)*H5</f>
        <v>8167.48602352941</v>
      </c>
      <c r="T5" s="80"/>
      <c r="U5" s="80">
        <f t="shared" ref="U5:U10" si="1">SUM(2200/68)*H5</f>
        <v>291.331764705882</v>
      </c>
      <c r="V5" s="80">
        <v>120</v>
      </c>
      <c r="W5" s="80">
        <v>1600</v>
      </c>
      <c r="X5" s="78">
        <f t="shared" ref="X5:X40" si="2">SUM(S5:W5)</f>
        <v>10178.8177882353</v>
      </c>
      <c r="Y5" s="105">
        <f t="shared" ref="Y5:Y10" si="3">SUM(10235.99/68)*H5</f>
        <v>1355.48592282353</v>
      </c>
      <c r="Z5" s="105">
        <v>513.28</v>
      </c>
      <c r="AA5" s="105">
        <f t="shared" ref="AA5:AA10" si="4">SUM(77.88/68)*H5</f>
        <v>10.3131444705882</v>
      </c>
      <c r="AB5" s="93">
        <f t="shared" ref="AB5:AB40" si="5">SUM(Y5:AA5)</f>
        <v>1879.07906729412</v>
      </c>
      <c r="AC5" s="98">
        <v>7.12</v>
      </c>
      <c r="AD5" s="77">
        <f t="shared" ref="AD5:AD40" si="6">SUM(AB5*AC5)</f>
        <v>13379.0429591341</v>
      </c>
      <c r="AE5" s="77">
        <f t="shared" ref="AE5:AE40" si="7">SUM(X5+AD5)</f>
        <v>23557.8607473694</v>
      </c>
      <c r="AF5" s="77">
        <f t="shared" ref="AF5:AF40" si="8">SUM(P5-AE5)</f>
        <v>9051.13925263059</v>
      </c>
    </row>
    <row r="6" s="2" customFormat="1" spans="1:32">
      <c r="A6" s="95"/>
      <c r="B6" s="24"/>
      <c r="C6" s="96">
        <v>240704000029</v>
      </c>
      <c r="D6" s="25">
        <v>45482</v>
      </c>
      <c r="E6" s="23" t="s">
        <v>52</v>
      </c>
      <c r="F6" s="24" t="s">
        <v>52</v>
      </c>
      <c r="G6" s="24" t="s">
        <v>68</v>
      </c>
      <c r="H6" s="24">
        <v>14.9276</v>
      </c>
      <c r="I6" s="24">
        <v>11064</v>
      </c>
      <c r="J6" s="44">
        <v>37314.5</v>
      </c>
      <c r="K6" s="98"/>
      <c r="L6" s="52"/>
      <c r="M6" s="47"/>
      <c r="N6" s="52"/>
      <c r="O6" s="24"/>
      <c r="P6" s="48">
        <f>SUBTOTAL(9,J6)</f>
        <v>37314.5</v>
      </c>
      <c r="Q6" s="103"/>
      <c r="R6" s="103"/>
      <c r="S6" s="80">
        <f t="shared" si="0"/>
        <v>13539.5527235294</v>
      </c>
      <c r="T6" s="80"/>
      <c r="U6" s="80">
        <f t="shared" si="1"/>
        <v>482.951764705882</v>
      </c>
      <c r="V6" s="80"/>
      <c r="W6" s="80"/>
      <c r="X6" s="78">
        <f t="shared" si="2"/>
        <v>14022.5044882353</v>
      </c>
      <c r="Y6" s="105">
        <f t="shared" si="3"/>
        <v>2247.04065182353</v>
      </c>
      <c r="Z6" s="105"/>
      <c r="AA6" s="105">
        <f t="shared" si="4"/>
        <v>17.0964924705882</v>
      </c>
      <c r="AB6" s="93">
        <f t="shared" si="5"/>
        <v>2264.13714429412</v>
      </c>
      <c r="AC6" s="98">
        <v>7.12</v>
      </c>
      <c r="AD6" s="77">
        <f t="shared" si="6"/>
        <v>16120.6564673741</v>
      </c>
      <c r="AE6" s="77">
        <f t="shared" si="7"/>
        <v>30143.1609556094</v>
      </c>
      <c r="AF6" s="77">
        <f t="shared" si="8"/>
        <v>7171.33904439059</v>
      </c>
    </row>
    <row r="7" s="2" customFormat="1" spans="1:32">
      <c r="A7" s="95"/>
      <c r="B7" s="24"/>
      <c r="C7" s="96">
        <v>240617000035</v>
      </c>
      <c r="D7" s="25">
        <v>45490</v>
      </c>
      <c r="E7" s="23" t="s">
        <v>47</v>
      </c>
      <c r="F7" s="24" t="s">
        <v>48</v>
      </c>
      <c r="G7" s="24" t="s">
        <v>70</v>
      </c>
      <c r="H7" s="24">
        <v>12.8123</v>
      </c>
      <c r="I7" s="24">
        <v>5331.1</v>
      </c>
      <c r="J7" s="97">
        <v>47840</v>
      </c>
      <c r="K7" s="98"/>
      <c r="L7" s="52"/>
      <c r="M7" s="47"/>
      <c r="N7" s="52"/>
      <c r="O7" s="24"/>
      <c r="P7" s="53">
        <f>SUM(J7)</f>
        <v>47840</v>
      </c>
      <c r="Q7" s="101"/>
      <c r="R7" s="101"/>
      <c r="S7" s="80">
        <f t="shared" si="0"/>
        <v>11620.9445161765</v>
      </c>
      <c r="T7" s="80"/>
      <c r="U7" s="80">
        <f t="shared" si="1"/>
        <v>414.515588235294</v>
      </c>
      <c r="V7" s="80"/>
      <c r="W7" s="80"/>
      <c r="X7" s="78">
        <f t="shared" si="2"/>
        <v>12035.4601044118</v>
      </c>
      <c r="Y7" s="105">
        <f t="shared" si="3"/>
        <v>1928.62609819118</v>
      </c>
      <c r="Z7" s="105"/>
      <c r="AA7" s="105">
        <f t="shared" si="4"/>
        <v>14.6738518235294</v>
      </c>
      <c r="AB7" s="93">
        <f t="shared" si="5"/>
        <v>1943.29995001471</v>
      </c>
      <c r="AC7" s="98">
        <v>7.12</v>
      </c>
      <c r="AD7" s="77">
        <f t="shared" si="6"/>
        <v>13836.2956441047</v>
      </c>
      <c r="AE7" s="77">
        <f t="shared" si="7"/>
        <v>25871.7557485165</v>
      </c>
      <c r="AF7" s="77">
        <f t="shared" si="8"/>
        <v>21968.2442514835</v>
      </c>
    </row>
    <row r="8" s="2" customFormat="1" spans="1:32">
      <c r="A8" s="95"/>
      <c r="B8" s="24"/>
      <c r="C8" s="96">
        <v>240707000003</v>
      </c>
      <c r="D8" s="25">
        <v>45482</v>
      </c>
      <c r="E8" s="23" t="s">
        <v>52</v>
      </c>
      <c r="F8" s="24" t="s">
        <v>52</v>
      </c>
      <c r="G8" s="24" t="s">
        <v>68</v>
      </c>
      <c r="H8" s="24">
        <v>0.1208</v>
      </c>
      <c r="I8" s="24">
        <v>69</v>
      </c>
      <c r="J8" s="97">
        <v>330.48</v>
      </c>
      <c r="K8" s="98"/>
      <c r="L8" s="52"/>
      <c r="M8" s="47"/>
      <c r="N8" s="52"/>
      <c r="O8" s="24"/>
      <c r="P8" s="53">
        <f t="shared" ref="P8:P10" si="9">SUBTOTAL(9,J8)</f>
        <v>330.48</v>
      </c>
      <c r="Q8" s="103"/>
      <c r="R8" s="103"/>
      <c r="S8" s="80">
        <f t="shared" si="0"/>
        <v>109.567376470588</v>
      </c>
      <c r="T8" s="80"/>
      <c r="U8" s="80">
        <f t="shared" si="1"/>
        <v>3.90823529411765</v>
      </c>
      <c r="V8" s="80"/>
      <c r="W8" s="80"/>
      <c r="X8" s="78">
        <f t="shared" si="2"/>
        <v>113.475611764706</v>
      </c>
      <c r="Y8" s="105">
        <f t="shared" si="3"/>
        <v>18.1839351764706</v>
      </c>
      <c r="Z8" s="105"/>
      <c r="AA8" s="105">
        <f t="shared" si="4"/>
        <v>0.138351529411765</v>
      </c>
      <c r="AB8" s="93">
        <f t="shared" si="5"/>
        <v>18.3222867058824</v>
      </c>
      <c r="AC8" s="98">
        <v>7.12</v>
      </c>
      <c r="AD8" s="77">
        <f t="shared" si="6"/>
        <v>130.454681345882</v>
      </c>
      <c r="AE8" s="77">
        <f t="shared" si="7"/>
        <v>243.930293110588</v>
      </c>
      <c r="AF8" s="77">
        <f t="shared" si="8"/>
        <v>86.5497068894118</v>
      </c>
    </row>
    <row r="9" s="2" customFormat="1" spans="1:32">
      <c r="A9" s="95"/>
      <c r="B9" s="24"/>
      <c r="C9" s="96">
        <v>240708000038</v>
      </c>
      <c r="D9" s="25">
        <v>45482</v>
      </c>
      <c r="E9" s="25" t="s">
        <v>76</v>
      </c>
      <c r="F9" s="24" t="s">
        <v>77</v>
      </c>
      <c r="G9" s="24" t="s">
        <v>78</v>
      </c>
      <c r="H9" s="24">
        <v>1.6</v>
      </c>
      <c r="I9" s="24">
        <v>1009</v>
      </c>
      <c r="J9" s="97">
        <v>3916.8</v>
      </c>
      <c r="K9" s="98"/>
      <c r="L9" s="52"/>
      <c r="M9" s="47"/>
      <c r="N9" s="52"/>
      <c r="O9" s="24"/>
      <c r="P9" s="53">
        <f t="shared" si="9"/>
        <v>3916.8</v>
      </c>
      <c r="Q9" s="103"/>
      <c r="R9" s="103"/>
      <c r="S9" s="80">
        <f t="shared" si="0"/>
        <v>1451.22352941176</v>
      </c>
      <c r="T9" s="80"/>
      <c r="U9" s="80">
        <f t="shared" si="1"/>
        <v>51.7647058823529</v>
      </c>
      <c r="V9" s="80"/>
      <c r="W9" s="80"/>
      <c r="X9" s="78">
        <f t="shared" si="2"/>
        <v>1502.98823529412</v>
      </c>
      <c r="Y9" s="105">
        <f t="shared" si="3"/>
        <v>240.846823529412</v>
      </c>
      <c r="Z9" s="105"/>
      <c r="AA9" s="105">
        <f t="shared" si="4"/>
        <v>1.83247058823529</v>
      </c>
      <c r="AB9" s="93">
        <f t="shared" si="5"/>
        <v>242.679294117647</v>
      </c>
      <c r="AC9" s="98">
        <v>7.12</v>
      </c>
      <c r="AD9" s="77">
        <f t="shared" si="6"/>
        <v>1727.87657411765</v>
      </c>
      <c r="AE9" s="77">
        <f t="shared" si="7"/>
        <v>3230.86480941176</v>
      </c>
      <c r="AF9" s="77">
        <f t="shared" si="8"/>
        <v>685.935190588235</v>
      </c>
    </row>
    <row r="10" s="2" customFormat="1" spans="1:32">
      <c r="A10" s="95"/>
      <c r="B10" s="24"/>
      <c r="C10" s="96">
        <v>240708000062</v>
      </c>
      <c r="D10" s="25">
        <v>45482</v>
      </c>
      <c r="E10" s="23" t="s">
        <v>52</v>
      </c>
      <c r="F10" s="24" t="s">
        <v>52</v>
      </c>
      <c r="G10" s="24" t="s">
        <v>71</v>
      </c>
      <c r="H10" s="24">
        <v>35.79</v>
      </c>
      <c r="I10" s="24">
        <v>4290.5</v>
      </c>
      <c r="J10" s="97">
        <v>62519.76</v>
      </c>
      <c r="K10" s="98"/>
      <c r="L10" s="52"/>
      <c r="M10" s="47"/>
      <c r="N10" s="100"/>
      <c r="O10" s="24"/>
      <c r="P10" s="53">
        <f t="shared" si="9"/>
        <v>62519.76</v>
      </c>
      <c r="Q10" s="104"/>
      <c r="R10" s="104"/>
      <c r="S10" s="80">
        <f t="shared" si="0"/>
        <v>32462.0563235294</v>
      </c>
      <c r="T10" s="80"/>
      <c r="U10" s="80">
        <f t="shared" si="1"/>
        <v>1157.91176470588</v>
      </c>
      <c r="V10" s="80"/>
      <c r="W10" s="80"/>
      <c r="X10" s="78">
        <f t="shared" si="2"/>
        <v>33619.9680882353</v>
      </c>
      <c r="Y10" s="105">
        <f t="shared" si="3"/>
        <v>5387.44238382353</v>
      </c>
      <c r="Z10" s="105"/>
      <c r="AA10" s="105">
        <f t="shared" si="4"/>
        <v>40.9900764705882</v>
      </c>
      <c r="AB10" s="93">
        <f t="shared" si="5"/>
        <v>5428.43246029412</v>
      </c>
      <c r="AC10" s="98">
        <v>7.12</v>
      </c>
      <c r="AD10" s="77">
        <f t="shared" si="6"/>
        <v>38650.4391172941</v>
      </c>
      <c r="AE10" s="77">
        <f t="shared" si="7"/>
        <v>72270.4072055294</v>
      </c>
      <c r="AF10" s="77">
        <f t="shared" si="8"/>
        <v>-9750.64720552941</v>
      </c>
    </row>
    <row r="11" ht="15.75" spans="1:32">
      <c r="A11" s="27" t="s">
        <v>14</v>
      </c>
      <c r="B11" s="28"/>
      <c r="C11" s="28"/>
      <c r="D11" s="28"/>
      <c r="E11" s="28"/>
      <c r="F11" s="28"/>
      <c r="G11" s="28"/>
      <c r="H11" s="28">
        <f>SUM(H5:H10)</f>
        <v>74.2555</v>
      </c>
      <c r="I11" s="28">
        <f>SUM(I5:I10)</f>
        <v>27607.6</v>
      </c>
      <c r="J11" s="28">
        <f>SUM(J4:J4)</f>
        <v>0</v>
      </c>
      <c r="K11" s="55"/>
      <c r="L11" s="56"/>
      <c r="M11" s="55"/>
      <c r="N11" s="55">
        <f t="shared" ref="N11:Q11" si="10">SUM(N4:N4)</f>
        <v>0</v>
      </c>
      <c r="O11" s="28"/>
      <c r="P11" s="28">
        <f t="shared" si="10"/>
        <v>0</v>
      </c>
      <c r="Q11" s="28">
        <f t="shared" si="10"/>
        <v>0</v>
      </c>
      <c r="R11" s="28"/>
      <c r="S11" s="28"/>
      <c r="T11" s="28"/>
      <c r="U11" s="28"/>
      <c r="V11" s="28"/>
      <c r="W11" s="28"/>
      <c r="X11" s="82">
        <f>SUM(X4:X4)</f>
        <v>0</v>
      </c>
      <c r="Y11" s="56"/>
      <c r="Z11" s="56"/>
      <c r="AA11" s="56"/>
      <c r="AB11" s="56"/>
      <c r="AC11" s="55"/>
      <c r="AD11" s="28">
        <f>SUM(AD4:AD4)</f>
        <v>0</v>
      </c>
      <c r="AE11" s="28"/>
      <c r="AF11" s="94">
        <f>SUM(AF5:AF10)</f>
        <v>29212.5602404529</v>
      </c>
    </row>
    <row r="12" customFormat="1" spans="4:29">
      <c r="D12" s="3"/>
      <c r="E12" s="3"/>
      <c r="K12" s="4"/>
      <c r="L12" s="5"/>
      <c r="M12" s="4"/>
      <c r="X12" s="7"/>
      <c r="Y12" s="5"/>
      <c r="Z12" s="5"/>
      <c r="AA12" s="5"/>
      <c r="AB12" s="5"/>
      <c r="AC12" s="4"/>
    </row>
    <row r="13" customFormat="1" spans="4:29">
      <c r="D13" s="3"/>
      <c r="E13" s="3"/>
      <c r="K13" s="4"/>
      <c r="L13" s="5"/>
      <c r="M13" s="4"/>
      <c r="X13" s="7"/>
      <c r="Y13" s="5"/>
      <c r="Z13" s="5"/>
      <c r="AA13" s="5"/>
      <c r="AB13" s="5"/>
      <c r="AC13" s="4"/>
    </row>
    <row r="14" customFormat="1" spans="4:29">
      <c r="D14" s="3"/>
      <c r="E14" s="3"/>
      <c r="K14" s="4"/>
      <c r="L14" s="5"/>
      <c r="M14" s="4"/>
      <c r="X14" s="7"/>
      <c r="Y14" s="5"/>
      <c r="Z14" s="5"/>
      <c r="AA14" s="5"/>
      <c r="AB14" s="5"/>
      <c r="AC14" s="4"/>
    </row>
    <row r="15" customFormat="1" spans="4:29">
      <c r="D15" s="3"/>
      <c r="E15" s="3"/>
      <c r="K15" s="4"/>
      <c r="L15" s="5"/>
      <c r="M15" s="4"/>
      <c r="X15" s="7"/>
      <c r="Y15" s="5"/>
      <c r="Z15" s="5"/>
      <c r="AA15" s="5"/>
      <c r="AB15" s="5"/>
      <c r="AC15" s="4"/>
    </row>
    <row r="16" customFormat="1" spans="4:29">
      <c r="D16" s="3"/>
      <c r="E16" s="3"/>
      <c r="K16" s="4"/>
      <c r="L16" s="5"/>
      <c r="M16" s="4"/>
      <c r="X16" s="7"/>
      <c r="Y16" s="5"/>
      <c r="Z16" s="5"/>
      <c r="AA16" s="5"/>
      <c r="AB16" s="5"/>
      <c r="AC16" s="4"/>
    </row>
    <row r="17" customFormat="1" spans="4:29">
      <c r="D17" s="3"/>
      <c r="E17" s="3"/>
      <c r="K17" s="4"/>
      <c r="L17" s="5"/>
      <c r="M17" s="4"/>
      <c r="X17" s="7"/>
      <c r="Y17" s="5"/>
      <c r="Z17" s="5"/>
      <c r="AA17" s="5"/>
      <c r="AB17" s="5"/>
      <c r="AC17" s="4"/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</sheetData>
  <autoFilter xmlns:etc="http://www.wps.cn/officeDocument/2017/etCustomData" ref="A3:AF11" etc:filterBottomFollowUsedRange="0">
    <extLst/>
  </autoFilter>
  <mergeCells count="21">
    <mergeCell ref="A1:AF1"/>
    <mergeCell ref="J3:P3"/>
    <mergeCell ref="R3:V3"/>
    <mergeCell ref="Y3:AD3"/>
    <mergeCell ref="A3:A4"/>
    <mergeCell ref="A5:A10"/>
    <mergeCell ref="B3:B4"/>
    <mergeCell ref="B5:B10"/>
    <mergeCell ref="C3:C4"/>
    <mergeCell ref="D3:D4"/>
    <mergeCell ref="E3:E4"/>
    <mergeCell ref="F3:F4"/>
    <mergeCell ref="G3:G4"/>
    <mergeCell ref="H3:H4"/>
    <mergeCell ref="I3:I4"/>
    <mergeCell ref="Q3:Q4"/>
    <mergeCell ref="Q5:Q10"/>
    <mergeCell ref="R5:R10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3"/>
  <sheetViews>
    <sheetView zoomScale="110" zoomScaleNormal="110" workbookViewId="0">
      <pane xSplit="9" ySplit="1" topLeftCell="Z2" activePane="bottomRight" state="frozen"/>
      <selection/>
      <selection pane="topRight"/>
      <selection pane="bottomLeft"/>
      <selection pane="bottomRight" activeCell="H29" sqref="H29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9"/>
      <c r="L1" s="30"/>
      <c r="M1" s="29"/>
      <c r="N1" s="8"/>
      <c r="O1" s="31"/>
      <c r="P1" s="8"/>
      <c r="Q1" s="8"/>
      <c r="R1" s="8"/>
      <c r="S1" s="8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8"/>
      <c r="AF1" s="8"/>
    </row>
    <row r="2" customFormat="1" ht="31" customHeight="1" spans="1:32">
      <c r="A2" s="9" t="s">
        <v>98</v>
      </c>
      <c r="B2" s="9" t="s">
        <v>99</v>
      </c>
      <c r="C2" s="9">
        <v>70.9311</v>
      </c>
      <c r="D2" s="8"/>
      <c r="E2" s="8"/>
      <c r="F2" s="8"/>
      <c r="G2" s="8"/>
      <c r="H2" s="8"/>
      <c r="I2" s="8"/>
      <c r="J2" s="8"/>
      <c r="K2" s="29"/>
      <c r="L2" s="30"/>
      <c r="M2" s="29"/>
      <c r="N2" s="8"/>
      <c r="O2" s="31"/>
      <c r="P2" s="8"/>
      <c r="Q2" s="8"/>
      <c r="R2" s="8"/>
      <c r="S2" s="8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15</v>
      </c>
      <c r="D3" s="13" t="s">
        <v>16</v>
      </c>
      <c r="E3" s="14" t="s">
        <v>17</v>
      </c>
      <c r="F3" s="15" t="s">
        <v>18</v>
      </c>
      <c r="G3" s="15" t="s">
        <v>19</v>
      </c>
      <c r="H3" s="15" t="s">
        <v>20</v>
      </c>
      <c r="I3" s="15" t="s">
        <v>21</v>
      </c>
      <c r="J3" s="32" t="s">
        <v>22</v>
      </c>
      <c r="K3" s="33"/>
      <c r="L3" s="34"/>
      <c r="M3" s="33"/>
      <c r="N3" s="34"/>
      <c r="O3" s="35"/>
      <c r="P3" s="36"/>
      <c r="Q3" s="60" t="s">
        <v>23</v>
      </c>
      <c r="R3" s="61" t="s">
        <v>24</v>
      </c>
      <c r="S3" s="62"/>
      <c r="T3" s="63"/>
      <c r="U3" s="64"/>
      <c r="V3" s="65"/>
      <c r="W3" s="66" t="s">
        <v>25</v>
      </c>
      <c r="X3" s="67" t="s">
        <v>26</v>
      </c>
      <c r="Y3" s="83" t="s">
        <v>27</v>
      </c>
      <c r="Z3" s="83"/>
      <c r="AA3" s="83"/>
      <c r="AB3" s="83"/>
      <c r="AC3" s="84"/>
      <c r="AD3" s="83"/>
      <c r="AE3" s="85" t="s">
        <v>28</v>
      </c>
      <c r="AF3" s="86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7"/>
      <c r="J4" s="38" t="s">
        <v>29</v>
      </c>
      <c r="K4" s="39" t="s">
        <v>30</v>
      </c>
      <c r="L4" s="40" t="s">
        <v>31</v>
      </c>
      <c r="M4" s="39" t="s">
        <v>32</v>
      </c>
      <c r="N4" s="41" t="s">
        <v>33</v>
      </c>
      <c r="O4" s="42" t="s">
        <v>34</v>
      </c>
      <c r="P4" s="43" t="s">
        <v>35</v>
      </c>
      <c r="Q4" s="68"/>
      <c r="R4" s="69" t="s">
        <v>36</v>
      </c>
      <c r="S4" s="70" t="s">
        <v>37</v>
      </c>
      <c r="T4" s="71" t="s">
        <v>38</v>
      </c>
      <c r="U4" s="72" t="s">
        <v>39</v>
      </c>
      <c r="V4" s="71" t="s">
        <v>40</v>
      </c>
      <c r="W4" s="73"/>
      <c r="X4" s="74"/>
      <c r="Y4" s="87" t="s">
        <v>41</v>
      </c>
      <c r="Z4" s="87" t="s">
        <v>42</v>
      </c>
      <c r="AA4" s="87" t="s">
        <v>43</v>
      </c>
      <c r="AB4" s="88" t="s">
        <v>44</v>
      </c>
      <c r="AC4" s="89" t="s">
        <v>45</v>
      </c>
      <c r="AD4" s="90" t="s">
        <v>35</v>
      </c>
      <c r="AE4" s="91" t="s">
        <v>46</v>
      </c>
      <c r="AF4" s="92"/>
    </row>
    <row r="5" s="2" customFormat="1" spans="1:32">
      <c r="A5" s="95" t="s">
        <v>10</v>
      </c>
      <c r="B5" s="24" t="s">
        <v>11</v>
      </c>
      <c r="C5" s="96">
        <v>240617000035</v>
      </c>
      <c r="D5" s="25">
        <v>45490</v>
      </c>
      <c r="E5" s="23" t="s">
        <v>47</v>
      </c>
      <c r="F5" s="24" t="s">
        <v>48</v>
      </c>
      <c r="G5" s="24" t="s">
        <v>70</v>
      </c>
      <c r="H5" s="24">
        <v>4.9371</v>
      </c>
      <c r="I5" s="24">
        <v>11872</v>
      </c>
      <c r="J5" s="97">
        <v>18452</v>
      </c>
      <c r="K5" s="98"/>
      <c r="L5" s="52"/>
      <c r="M5" s="47"/>
      <c r="N5" s="52"/>
      <c r="O5" s="24"/>
      <c r="P5" s="53">
        <f>SUM(J5)</f>
        <v>18452</v>
      </c>
      <c r="Q5" s="101">
        <f>SUM(P5:P16)</f>
        <v>164523.199839</v>
      </c>
      <c r="R5" s="102" t="s">
        <v>79</v>
      </c>
      <c r="S5" s="80">
        <f>SUM(62477/68)*H5</f>
        <v>4536.10583382353</v>
      </c>
      <c r="T5" s="80">
        <v>770</v>
      </c>
      <c r="U5" s="80">
        <f>SUM(2400/68)*H5</f>
        <v>174.250588235294</v>
      </c>
      <c r="V5" s="80"/>
      <c r="W5" s="80">
        <f>SUM(830+1800)</f>
        <v>2630</v>
      </c>
      <c r="X5" s="78">
        <f t="shared" ref="X5:X34" si="0">SUM(S5:W5)</f>
        <v>8110.35642205882</v>
      </c>
      <c r="Y5" s="105">
        <f>SUM(10235.99/68)*H5</f>
        <v>743.178032779412</v>
      </c>
      <c r="Z5" s="105">
        <v>471.98</v>
      </c>
      <c r="AA5" s="105">
        <f>SUM(35.4/68)*H5</f>
        <v>2.57019617647059</v>
      </c>
      <c r="AB5" s="93">
        <f t="shared" ref="AB5:AB34" si="1">SUM(Y5:AA5)</f>
        <v>1217.72822895588</v>
      </c>
      <c r="AC5" s="98">
        <v>7.26</v>
      </c>
      <c r="AD5" s="77">
        <f t="shared" ref="AD5:AD34" si="2">SUM(AB5*AC5)</f>
        <v>8840.70694221971</v>
      </c>
      <c r="AE5" s="77">
        <f t="shared" ref="AE5:AE34" si="3">SUM(X5+AD5)</f>
        <v>16951.0633642785</v>
      </c>
      <c r="AF5" s="77">
        <f t="shared" ref="AF5:AF34" si="4">SUM(P5-AE5)</f>
        <v>1500.93663572147</v>
      </c>
    </row>
    <row r="6" s="2" customFormat="1" spans="1:32">
      <c r="A6" s="95"/>
      <c r="B6" s="24"/>
      <c r="C6" s="96">
        <v>240702000004</v>
      </c>
      <c r="D6" s="25">
        <v>45490</v>
      </c>
      <c r="E6" s="23" t="s">
        <v>47</v>
      </c>
      <c r="F6" s="24" t="s">
        <v>48</v>
      </c>
      <c r="G6" s="24" t="s">
        <v>80</v>
      </c>
      <c r="H6" s="24">
        <v>1.9054</v>
      </c>
      <c r="I6" s="24">
        <v>586.7</v>
      </c>
      <c r="J6" s="97">
        <v>7303</v>
      </c>
      <c r="K6" s="98"/>
      <c r="L6" s="52"/>
      <c r="M6" s="47"/>
      <c r="N6" s="52"/>
      <c r="O6" s="24"/>
      <c r="P6" s="53">
        <f t="shared" ref="P6:P13" si="5">SUBTOTAL(9,J6)</f>
        <v>7303</v>
      </c>
      <c r="Q6" s="103"/>
      <c r="R6" s="103"/>
      <c r="S6" s="80">
        <f t="shared" ref="S6:S16" si="6">SUM(62477/68)*H6</f>
        <v>1750.64229117647</v>
      </c>
      <c r="T6" s="80"/>
      <c r="U6" s="80">
        <f t="shared" ref="U6:U16" si="7">SUM(2400/68)*H6</f>
        <v>67.2494117647059</v>
      </c>
      <c r="V6" s="80"/>
      <c r="W6" s="80"/>
      <c r="X6" s="78">
        <f t="shared" si="0"/>
        <v>1817.89170294118</v>
      </c>
      <c r="Y6" s="105">
        <f t="shared" ref="Y6:Y16" si="8">SUM(10235.99/68)*H6</f>
        <v>286.818460970588</v>
      </c>
      <c r="Z6" s="105"/>
      <c r="AA6" s="105">
        <f t="shared" ref="AA6:AA16" si="9">SUM(35.4/68)*H6</f>
        <v>0.991928823529412</v>
      </c>
      <c r="AB6" s="93">
        <f t="shared" si="1"/>
        <v>287.810389794118</v>
      </c>
      <c r="AC6" s="98">
        <v>7.26</v>
      </c>
      <c r="AD6" s="77">
        <f t="shared" si="2"/>
        <v>2089.50342990529</v>
      </c>
      <c r="AE6" s="77">
        <f t="shared" si="3"/>
        <v>3907.39513284647</v>
      </c>
      <c r="AF6" s="77">
        <f t="shared" si="4"/>
        <v>3395.60486715353</v>
      </c>
    </row>
    <row r="7" s="2" customFormat="1" spans="1:32">
      <c r="A7" s="95"/>
      <c r="B7" s="24"/>
      <c r="C7" s="96">
        <v>240702000027</v>
      </c>
      <c r="D7" s="25">
        <v>45490</v>
      </c>
      <c r="E7" s="23" t="s">
        <v>52</v>
      </c>
      <c r="F7" s="24" t="s">
        <v>52</v>
      </c>
      <c r="G7" s="24" t="s">
        <v>81</v>
      </c>
      <c r="H7" s="24">
        <v>0.9364</v>
      </c>
      <c r="I7" s="24">
        <v>230</v>
      </c>
      <c r="J7" s="53"/>
      <c r="K7" s="99">
        <v>539654</v>
      </c>
      <c r="L7" s="52"/>
      <c r="M7" s="47">
        <f t="shared" ref="M7:M9" si="10">SUM(K7/N7)</f>
        <v>1694.99968590992</v>
      </c>
      <c r="N7" s="100">
        <v>318.38</v>
      </c>
      <c r="O7" s="24">
        <v>7.08</v>
      </c>
      <c r="P7" s="53">
        <f t="shared" ref="P7:P9" si="11">SUM(N7*O7)</f>
        <v>2254.1304</v>
      </c>
      <c r="Q7" s="103"/>
      <c r="R7" s="103"/>
      <c r="S7" s="80">
        <f t="shared" si="6"/>
        <v>860.345041176471</v>
      </c>
      <c r="T7" s="80"/>
      <c r="U7" s="80">
        <f t="shared" si="7"/>
        <v>33.0494117647059</v>
      </c>
      <c r="V7" s="80"/>
      <c r="W7" s="80"/>
      <c r="X7" s="78">
        <f t="shared" si="0"/>
        <v>893.394452941176</v>
      </c>
      <c r="Y7" s="105">
        <f t="shared" si="8"/>
        <v>140.955603470588</v>
      </c>
      <c r="Z7" s="105"/>
      <c r="AA7" s="105">
        <f t="shared" si="9"/>
        <v>0.487478823529412</v>
      </c>
      <c r="AB7" s="93">
        <f t="shared" si="1"/>
        <v>141.443082294118</v>
      </c>
      <c r="AC7" s="98">
        <v>7.26</v>
      </c>
      <c r="AD7" s="77">
        <f t="shared" si="2"/>
        <v>1026.87677745529</v>
      </c>
      <c r="AE7" s="77">
        <f t="shared" si="3"/>
        <v>1920.27123039647</v>
      </c>
      <c r="AF7" s="77">
        <f t="shared" si="4"/>
        <v>333.85916960353</v>
      </c>
    </row>
    <row r="8" s="2" customFormat="1" spans="1:32">
      <c r="A8" s="95"/>
      <c r="B8" s="24"/>
      <c r="C8" s="96">
        <v>240708000040</v>
      </c>
      <c r="D8" s="25">
        <v>45490</v>
      </c>
      <c r="E8" s="23" t="s">
        <v>59</v>
      </c>
      <c r="F8" s="24" t="s">
        <v>60</v>
      </c>
      <c r="G8" s="24" t="s">
        <v>82</v>
      </c>
      <c r="H8" s="24">
        <v>0.6334</v>
      </c>
      <c r="I8" s="24">
        <v>1195</v>
      </c>
      <c r="J8" s="53"/>
      <c r="K8" s="99">
        <v>1077245.4</v>
      </c>
      <c r="L8" s="52"/>
      <c r="M8" s="47">
        <f t="shared" si="10"/>
        <v>1744.41396508728</v>
      </c>
      <c r="N8" s="100">
        <v>617.54</v>
      </c>
      <c r="O8" s="24">
        <v>7.12</v>
      </c>
      <c r="P8" s="53">
        <f t="shared" si="11"/>
        <v>4396.8848</v>
      </c>
      <c r="Q8" s="103"/>
      <c r="R8" s="103"/>
      <c r="S8" s="80">
        <f t="shared" si="6"/>
        <v>581.954879411765</v>
      </c>
      <c r="T8" s="80"/>
      <c r="U8" s="80">
        <f t="shared" si="7"/>
        <v>22.3552941176471</v>
      </c>
      <c r="V8" s="80"/>
      <c r="W8" s="80"/>
      <c r="X8" s="78">
        <f t="shared" si="0"/>
        <v>604.310173529412</v>
      </c>
      <c r="Y8" s="105">
        <f t="shared" si="8"/>
        <v>95.3452362647059</v>
      </c>
      <c r="Z8" s="105">
        <v>59</v>
      </c>
      <c r="AA8" s="105">
        <f t="shared" si="9"/>
        <v>0.329740588235294</v>
      </c>
      <c r="AB8" s="93">
        <f t="shared" si="1"/>
        <v>154.674976852941</v>
      </c>
      <c r="AC8" s="98">
        <v>7.26</v>
      </c>
      <c r="AD8" s="77">
        <f t="shared" si="2"/>
        <v>1122.94033195235</v>
      </c>
      <c r="AE8" s="77">
        <f t="shared" si="3"/>
        <v>1727.25050548176</v>
      </c>
      <c r="AF8" s="77">
        <f t="shared" si="4"/>
        <v>2669.63429451824</v>
      </c>
    </row>
    <row r="9" s="2" customFormat="1" spans="1:32">
      <c r="A9" s="95"/>
      <c r="B9" s="24"/>
      <c r="C9" s="96">
        <v>240711000027</v>
      </c>
      <c r="D9" s="25">
        <v>45490</v>
      </c>
      <c r="E9" s="25" t="s">
        <v>83</v>
      </c>
      <c r="F9" s="24" t="s">
        <v>84</v>
      </c>
      <c r="G9" s="24" t="s">
        <v>85</v>
      </c>
      <c r="H9" s="24">
        <v>0.8466</v>
      </c>
      <c r="I9" s="24">
        <v>370</v>
      </c>
      <c r="J9" s="53"/>
      <c r="K9" s="98"/>
      <c r="L9" s="100">
        <v>296.31</v>
      </c>
      <c r="M9" s="47">
        <f t="shared" si="10"/>
        <v>0</v>
      </c>
      <c r="N9" s="100">
        <v>296.31006</v>
      </c>
      <c r="O9" s="24">
        <v>7.12</v>
      </c>
      <c r="P9" s="53">
        <f t="shared" si="11"/>
        <v>2109.7276272</v>
      </c>
      <c r="Q9" s="103"/>
      <c r="R9" s="103"/>
      <c r="S9" s="80">
        <f t="shared" si="6"/>
        <v>777.83865</v>
      </c>
      <c r="T9" s="80"/>
      <c r="U9" s="80">
        <f t="shared" si="7"/>
        <v>29.88</v>
      </c>
      <c r="V9" s="80"/>
      <c r="W9" s="80"/>
      <c r="X9" s="78">
        <f t="shared" si="0"/>
        <v>807.71865</v>
      </c>
      <c r="Y9" s="105">
        <f t="shared" si="8"/>
        <v>127.4380755</v>
      </c>
      <c r="Z9" s="105"/>
      <c r="AA9" s="105">
        <f t="shared" si="9"/>
        <v>0.44073</v>
      </c>
      <c r="AB9" s="93">
        <f t="shared" si="1"/>
        <v>127.8788055</v>
      </c>
      <c r="AC9" s="98">
        <v>7.26</v>
      </c>
      <c r="AD9" s="77">
        <f t="shared" si="2"/>
        <v>928.40012793</v>
      </c>
      <c r="AE9" s="77">
        <f t="shared" si="3"/>
        <v>1736.11877793</v>
      </c>
      <c r="AF9" s="77">
        <f t="shared" si="4"/>
        <v>373.60884927</v>
      </c>
    </row>
    <row r="10" s="2" customFormat="1" spans="1:32">
      <c r="A10" s="95"/>
      <c r="B10" s="24"/>
      <c r="C10" s="96">
        <v>240715000001</v>
      </c>
      <c r="D10" s="25">
        <v>45490</v>
      </c>
      <c r="E10" s="23" t="s">
        <v>55</v>
      </c>
      <c r="F10" s="24" t="s">
        <v>56</v>
      </c>
      <c r="G10" s="24" t="s">
        <v>58</v>
      </c>
      <c r="H10" s="24">
        <v>0.269</v>
      </c>
      <c r="I10" s="24">
        <v>184</v>
      </c>
      <c r="J10" s="97">
        <v>660.29</v>
      </c>
      <c r="K10" s="98"/>
      <c r="L10" s="52"/>
      <c r="M10" s="47"/>
      <c r="N10" s="52"/>
      <c r="O10" s="24"/>
      <c r="P10" s="53">
        <f t="shared" si="5"/>
        <v>660.29</v>
      </c>
      <c r="Q10" s="103"/>
      <c r="R10" s="103"/>
      <c r="S10" s="80">
        <f t="shared" si="6"/>
        <v>247.151661764706</v>
      </c>
      <c r="T10" s="80"/>
      <c r="U10" s="80">
        <f t="shared" si="7"/>
        <v>9.49411764705883</v>
      </c>
      <c r="V10" s="80"/>
      <c r="W10" s="80"/>
      <c r="X10" s="78">
        <f t="shared" si="0"/>
        <v>256.645779411765</v>
      </c>
      <c r="Y10" s="105">
        <f t="shared" si="8"/>
        <v>40.4923722058824</v>
      </c>
      <c r="Z10" s="105"/>
      <c r="AA10" s="105">
        <f t="shared" si="9"/>
        <v>0.140038235294118</v>
      </c>
      <c r="AB10" s="93">
        <f t="shared" si="1"/>
        <v>40.6324104411765</v>
      </c>
      <c r="AC10" s="98">
        <v>7.26</v>
      </c>
      <c r="AD10" s="77">
        <f t="shared" si="2"/>
        <v>294.991299802941</v>
      </c>
      <c r="AE10" s="77">
        <f t="shared" si="3"/>
        <v>551.637079214706</v>
      </c>
      <c r="AF10" s="77">
        <f t="shared" si="4"/>
        <v>108.652920785294</v>
      </c>
    </row>
    <row r="11" s="2" customFormat="1" spans="1:32">
      <c r="A11" s="95"/>
      <c r="B11" s="24"/>
      <c r="C11" s="96">
        <v>240715000029</v>
      </c>
      <c r="D11" s="25">
        <v>45490</v>
      </c>
      <c r="E11" s="25" t="s">
        <v>76</v>
      </c>
      <c r="F11" s="24" t="s">
        <v>77</v>
      </c>
      <c r="G11" s="24" t="s">
        <v>78</v>
      </c>
      <c r="H11" s="24">
        <v>7.56</v>
      </c>
      <c r="I11" s="24">
        <v>5200</v>
      </c>
      <c r="J11" s="97">
        <v>19595.52</v>
      </c>
      <c r="K11" s="98"/>
      <c r="L11" s="52"/>
      <c r="M11" s="47"/>
      <c r="N11" s="52"/>
      <c r="O11" s="24"/>
      <c r="P11" s="53">
        <f t="shared" si="5"/>
        <v>19595.52</v>
      </c>
      <c r="Q11" s="103"/>
      <c r="R11" s="103"/>
      <c r="S11" s="80">
        <f t="shared" si="6"/>
        <v>6945.97235294118</v>
      </c>
      <c r="T11" s="80"/>
      <c r="U11" s="80">
        <f t="shared" si="7"/>
        <v>266.823529411765</v>
      </c>
      <c r="V11" s="80"/>
      <c r="W11" s="80"/>
      <c r="X11" s="78">
        <f t="shared" si="0"/>
        <v>7212.79588235294</v>
      </c>
      <c r="Y11" s="105">
        <f t="shared" si="8"/>
        <v>1138.00124117647</v>
      </c>
      <c r="Z11" s="105"/>
      <c r="AA11" s="105">
        <f t="shared" si="9"/>
        <v>3.93564705882353</v>
      </c>
      <c r="AB11" s="93">
        <f t="shared" si="1"/>
        <v>1141.93688823529</v>
      </c>
      <c r="AC11" s="98">
        <v>7.26</v>
      </c>
      <c r="AD11" s="77">
        <f t="shared" si="2"/>
        <v>8290.46180858824</v>
      </c>
      <c r="AE11" s="77">
        <f t="shared" si="3"/>
        <v>15503.2576909412</v>
      </c>
      <c r="AF11" s="77">
        <f t="shared" si="4"/>
        <v>4092.26230905882</v>
      </c>
    </row>
    <row r="12" s="2" customFormat="1" spans="1:32">
      <c r="A12" s="95"/>
      <c r="B12" s="24"/>
      <c r="C12" s="96">
        <v>240715000048</v>
      </c>
      <c r="D12" s="25">
        <v>45490</v>
      </c>
      <c r="E12" s="23" t="s">
        <v>52</v>
      </c>
      <c r="F12" s="24" t="s">
        <v>52</v>
      </c>
      <c r="G12" s="24" t="s">
        <v>86</v>
      </c>
      <c r="H12" s="24">
        <v>11.5846</v>
      </c>
      <c r="I12" s="24">
        <v>2575.5</v>
      </c>
      <c r="J12" s="97">
        <v>24968.54</v>
      </c>
      <c r="K12" s="98"/>
      <c r="L12" s="52"/>
      <c r="M12" s="47"/>
      <c r="N12" s="52"/>
      <c r="O12" s="24"/>
      <c r="P12" s="53">
        <f t="shared" si="5"/>
        <v>24968.54</v>
      </c>
      <c r="Q12" s="103"/>
      <c r="R12" s="103"/>
      <c r="S12" s="80">
        <f t="shared" si="6"/>
        <v>10643.6919735294</v>
      </c>
      <c r="T12" s="80"/>
      <c r="U12" s="80">
        <f t="shared" si="7"/>
        <v>408.868235294118</v>
      </c>
      <c r="V12" s="80"/>
      <c r="W12" s="80"/>
      <c r="X12" s="78">
        <f t="shared" si="0"/>
        <v>11052.5602088235</v>
      </c>
      <c r="Y12" s="105">
        <f t="shared" si="8"/>
        <v>1743.82131991176</v>
      </c>
      <c r="Z12" s="105"/>
      <c r="AA12" s="105">
        <f t="shared" si="9"/>
        <v>6.03080647058823</v>
      </c>
      <c r="AB12" s="93">
        <f t="shared" si="1"/>
        <v>1749.85212638235</v>
      </c>
      <c r="AC12" s="98">
        <v>7.26</v>
      </c>
      <c r="AD12" s="77">
        <f t="shared" si="2"/>
        <v>12703.9264375359</v>
      </c>
      <c r="AE12" s="77">
        <f t="shared" si="3"/>
        <v>23756.4866463594</v>
      </c>
      <c r="AF12" s="77">
        <f t="shared" si="4"/>
        <v>1212.05335364059</v>
      </c>
    </row>
    <row r="13" s="2" customFormat="1" spans="1:32">
      <c r="A13" s="95"/>
      <c r="B13" s="24"/>
      <c r="C13" s="96">
        <v>240715000049</v>
      </c>
      <c r="D13" s="25">
        <v>45490</v>
      </c>
      <c r="E13" s="23" t="s">
        <v>52</v>
      </c>
      <c r="F13" s="24" t="s">
        <v>52</v>
      </c>
      <c r="G13" s="24" t="s">
        <v>86</v>
      </c>
      <c r="H13" s="24">
        <v>5.0829</v>
      </c>
      <c r="I13" s="24">
        <v>911</v>
      </c>
      <c r="J13" s="97">
        <v>10979.06</v>
      </c>
      <c r="K13" s="98"/>
      <c r="L13" s="52"/>
      <c r="M13" s="47"/>
      <c r="N13" s="52"/>
      <c r="O13" s="24"/>
      <c r="P13" s="53">
        <f t="shared" si="5"/>
        <v>10979.06</v>
      </c>
      <c r="Q13" s="103"/>
      <c r="R13" s="103"/>
      <c r="S13" s="80">
        <f t="shared" si="6"/>
        <v>4670.06387205882</v>
      </c>
      <c r="T13" s="80"/>
      <c r="U13" s="80">
        <f t="shared" si="7"/>
        <v>179.396470588235</v>
      </c>
      <c r="V13" s="80"/>
      <c r="W13" s="80"/>
      <c r="X13" s="78">
        <f t="shared" si="0"/>
        <v>4849.46034264706</v>
      </c>
      <c r="Y13" s="105">
        <f t="shared" si="8"/>
        <v>765.125199573529</v>
      </c>
      <c r="Z13" s="105"/>
      <c r="AA13" s="105">
        <f t="shared" si="9"/>
        <v>2.64609794117647</v>
      </c>
      <c r="AB13" s="93">
        <f t="shared" si="1"/>
        <v>767.771297514706</v>
      </c>
      <c r="AC13" s="98">
        <v>7.26</v>
      </c>
      <c r="AD13" s="77">
        <f t="shared" si="2"/>
        <v>5574.01961995676</v>
      </c>
      <c r="AE13" s="77">
        <f t="shared" si="3"/>
        <v>10423.4799626038</v>
      </c>
      <c r="AF13" s="77">
        <f t="shared" si="4"/>
        <v>555.580037396176</v>
      </c>
    </row>
    <row r="14" s="2" customFormat="1" spans="1:32">
      <c r="A14" s="95"/>
      <c r="B14" s="24"/>
      <c r="C14" s="96">
        <v>240716000001</v>
      </c>
      <c r="D14" s="25">
        <v>45490</v>
      </c>
      <c r="E14" s="23" t="s">
        <v>55</v>
      </c>
      <c r="F14" s="24" t="s">
        <v>56</v>
      </c>
      <c r="G14" s="24" t="s">
        <v>87</v>
      </c>
      <c r="H14" s="24">
        <v>0.9605</v>
      </c>
      <c r="I14" s="24">
        <v>145</v>
      </c>
      <c r="J14" s="53"/>
      <c r="K14" s="99">
        <v>591555</v>
      </c>
      <c r="L14" s="52"/>
      <c r="M14" s="47">
        <f>SUM(K14/N14)</f>
        <v>1710.78416529723</v>
      </c>
      <c r="N14" s="100">
        <v>345.78003</v>
      </c>
      <c r="O14" s="24">
        <v>7.06</v>
      </c>
      <c r="P14" s="53">
        <f>SUM(N14*O14)</f>
        <v>2441.2070118</v>
      </c>
      <c r="Q14" s="103"/>
      <c r="R14" s="103"/>
      <c r="S14" s="80">
        <f t="shared" si="6"/>
        <v>882.487625</v>
      </c>
      <c r="T14" s="80"/>
      <c r="U14" s="80">
        <f t="shared" si="7"/>
        <v>33.9</v>
      </c>
      <c r="V14" s="80"/>
      <c r="W14" s="80"/>
      <c r="X14" s="78">
        <f t="shared" si="0"/>
        <v>916.387625</v>
      </c>
      <c r="Y14" s="105">
        <f t="shared" si="8"/>
        <v>144.58335875</v>
      </c>
      <c r="Z14" s="105"/>
      <c r="AA14" s="105">
        <f t="shared" si="9"/>
        <v>0.500025</v>
      </c>
      <c r="AB14" s="93">
        <f t="shared" si="1"/>
        <v>145.08338375</v>
      </c>
      <c r="AC14" s="98">
        <v>7.26</v>
      </c>
      <c r="AD14" s="77">
        <f t="shared" si="2"/>
        <v>1053.305366025</v>
      </c>
      <c r="AE14" s="77">
        <f t="shared" si="3"/>
        <v>1969.692991025</v>
      </c>
      <c r="AF14" s="77">
        <f t="shared" si="4"/>
        <v>471.514020775</v>
      </c>
    </row>
    <row r="15" s="2" customFormat="1" spans="1:32">
      <c r="A15" s="95"/>
      <c r="B15" s="24"/>
      <c r="C15" s="96">
        <v>240716000007</v>
      </c>
      <c r="D15" s="25">
        <v>45490</v>
      </c>
      <c r="E15" s="25" t="s">
        <v>76</v>
      </c>
      <c r="F15" s="24" t="s">
        <v>77</v>
      </c>
      <c r="G15" s="24" t="s">
        <v>78</v>
      </c>
      <c r="H15" s="24">
        <v>12.4652</v>
      </c>
      <c r="I15" s="24">
        <v>1110</v>
      </c>
      <c r="J15" s="97">
        <v>29367.14</v>
      </c>
      <c r="K15" s="98"/>
      <c r="L15" s="52"/>
      <c r="M15" s="47"/>
      <c r="N15" s="52"/>
      <c r="O15" s="24"/>
      <c r="P15" s="53">
        <f>SUBTOTAL(9,J15)</f>
        <v>29367.14</v>
      </c>
      <c r="Q15" s="103"/>
      <c r="R15" s="103"/>
      <c r="S15" s="80">
        <f t="shared" si="6"/>
        <v>11452.7691235294</v>
      </c>
      <c r="T15" s="80"/>
      <c r="U15" s="80">
        <f t="shared" si="7"/>
        <v>439.948235294118</v>
      </c>
      <c r="V15" s="80">
        <v>200</v>
      </c>
      <c r="W15" s="80"/>
      <c r="X15" s="78">
        <f t="shared" si="0"/>
        <v>12092.7173588235</v>
      </c>
      <c r="Y15" s="105">
        <f t="shared" si="8"/>
        <v>1876.37739041176</v>
      </c>
      <c r="Z15" s="105"/>
      <c r="AA15" s="105">
        <f t="shared" si="9"/>
        <v>6.48923647058823</v>
      </c>
      <c r="AB15" s="93">
        <f t="shared" si="1"/>
        <v>1882.86662688235</v>
      </c>
      <c r="AC15" s="98">
        <v>7.26</v>
      </c>
      <c r="AD15" s="77">
        <f t="shared" si="2"/>
        <v>13669.6117111659</v>
      </c>
      <c r="AE15" s="77">
        <f t="shared" si="3"/>
        <v>25762.3290699894</v>
      </c>
      <c r="AF15" s="77">
        <f t="shared" si="4"/>
        <v>3604.81093001059</v>
      </c>
    </row>
    <row r="16" s="2" customFormat="1" spans="1:32">
      <c r="A16" s="95"/>
      <c r="B16" s="24"/>
      <c r="C16" s="96">
        <v>240716000037</v>
      </c>
      <c r="D16" s="25">
        <v>45490</v>
      </c>
      <c r="E16" s="23" t="s">
        <v>52</v>
      </c>
      <c r="F16" s="24" t="s">
        <v>52</v>
      </c>
      <c r="G16" s="24" t="s">
        <v>71</v>
      </c>
      <c r="H16" s="24">
        <v>23.75</v>
      </c>
      <c r="I16" s="24">
        <v>3022</v>
      </c>
      <c r="J16" s="97">
        <v>41995.7</v>
      </c>
      <c r="K16" s="98"/>
      <c r="L16" s="52"/>
      <c r="M16" s="47"/>
      <c r="N16" s="100"/>
      <c r="O16" s="24"/>
      <c r="P16" s="53">
        <f>SUBTOTAL(9,J16)</f>
        <v>41995.7</v>
      </c>
      <c r="Q16" s="104"/>
      <c r="R16" s="104"/>
      <c r="S16" s="80">
        <f t="shared" si="6"/>
        <v>21821.0110294118</v>
      </c>
      <c r="T16" s="80"/>
      <c r="U16" s="80">
        <f t="shared" si="7"/>
        <v>838.235294117647</v>
      </c>
      <c r="V16" s="80"/>
      <c r="W16" s="80"/>
      <c r="X16" s="78">
        <f t="shared" si="0"/>
        <v>22659.2463235294</v>
      </c>
      <c r="Y16" s="105">
        <f t="shared" si="8"/>
        <v>3575.07003676471</v>
      </c>
      <c r="Z16" s="105"/>
      <c r="AA16" s="105">
        <f t="shared" si="9"/>
        <v>12.3639705882353</v>
      </c>
      <c r="AB16" s="93">
        <f t="shared" si="1"/>
        <v>3587.43400735294</v>
      </c>
      <c r="AC16" s="98">
        <v>7.26</v>
      </c>
      <c r="AD16" s="77">
        <f t="shared" si="2"/>
        <v>26044.7708933824</v>
      </c>
      <c r="AE16" s="77">
        <f t="shared" si="3"/>
        <v>48704.0172169118</v>
      </c>
      <c r="AF16" s="77">
        <f t="shared" si="4"/>
        <v>-6708.31721691177</v>
      </c>
    </row>
    <row r="17" ht="15.75" spans="1:32">
      <c r="A17" s="27" t="s">
        <v>14</v>
      </c>
      <c r="B17" s="28"/>
      <c r="C17" s="28"/>
      <c r="D17" s="28"/>
      <c r="E17" s="28"/>
      <c r="F17" s="28"/>
      <c r="G17" s="28"/>
      <c r="H17" s="28">
        <f>SUM(H5:H16)</f>
        <v>70.9311</v>
      </c>
      <c r="I17" s="28">
        <f>SUM(I5:I16)</f>
        <v>27401.2</v>
      </c>
      <c r="J17" s="28">
        <f>SUM(J4:J4)</f>
        <v>0</v>
      </c>
      <c r="K17" s="55"/>
      <c r="L17" s="56"/>
      <c r="M17" s="55"/>
      <c r="N17" s="55">
        <f t="shared" ref="N17:Q17" si="12">SUM(N4:N4)</f>
        <v>0</v>
      </c>
      <c r="O17" s="28"/>
      <c r="P17" s="28">
        <f t="shared" si="12"/>
        <v>0</v>
      </c>
      <c r="Q17" s="28">
        <f t="shared" si="12"/>
        <v>0</v>
      </c>
      <c r="R17" s="28"/>
      <c r="S17" s="28"/>
      <c r="T17" s="28"/>
      <c r="U17" s="28"/>
      <c r="V17" s="28"/>
      <c r="W17" s="28"/>
      <c r="X17" s="82">
        <f>SUM(X4:X4)</f>
        <v>0</v>
      </c>
      <c r="Y17" s="56"/>
      <c r="Z17" s="56"/>
      <c r="AA17" s="56"/>
      <c r="AB17" s="56"/>
      <c r="AC17" s="55"/>
      <c r="AD17" s="28">
        <f>SUM(AD4:AD4)</f>
        <v>0</v>
      </c>
      <c r="AE17" s="28"/>
      <c r="AF17" s="94">
        <f>SUM(AF5:AF16)</f>
        <v>11610.2001710215</v>
      </c>
    </row>
    <row r="18" customFormat="1" spans="4:29">
      <c r="D18" s="3"/>
      <c r="E18" s="3"/>
      <c r="K18" s="4"/>
      <c r="L18" s="5"/>
      <c r="M18" s="4"/>
      <c r="X18" s="7"/>
      <c r="Y18" s="5"/>
      <c r="Z18" s="5"/>
      <c r="AA18" s="5"/>
      <c r="AB18" s="5"/>
      <c r="AC18" s="4"/>
    </row>
    <row r="19" customFormat="1" spans="4:29">
      <c r="D19" s="3"/>
      <c r="E19" s="3"/>
      <c r="K19" s="4"/>
      <c r="L19" s="5"/>
      <c r="M19" s="4"/>
      <c r="X19" s="7"/>
      <c r="Y19" s="5"/>
      <c r="Z19" s="5"/>
      <c r="AA19" s="5"/>
      <c r="AB19" s="5"/>
      <c r="AC19" s="4"/>
    </row>
    <row r="20" customFormat="1" spans="4:29">
      <c r="D20" s="3"/>
      <c r="E20" s="3"/>
      <c r="K20" s="4"/>
      <c r="L20" s="5"/>
      <c r="M20" s="4"/>
      <c r="X20" s="7"/>
      <c r="Y20" s="5"/>
      <c r="Z20" s="5"/>
      <c r="AA20" s="5"/>
      <c r="AB20" s="5"/>
      <c r="AC20" s="4"/>
    </row>
    <row r="21" customFormat="1" spans="4:29">
      <c r="D21" s="3"/>
      <c r="E21" s="3"/>
      <c r="K21" s="4"/>
      <c r="L21" s="5"/>
      <c r="M21" s="4"/>
      <c r="X21" s="7"/>
      <c r="Y21" s="5"/>
      <c r="Z21" s="5"/>
      <c r="AA21" s="5"/>
      <c r="AB21" s="5"/>
      <c r="AC21" s="4"/>
    </row>
    <row r="22" customFormat="1" spans="4:29">
      <c r="D22" s="3"/>
      <c r="E22" s="3"/>
      <c r="K22" s="4"/>
      <c r="L22" s="5"/>
      <c r="M22" s="4"/>
      <c r="X22" s="7"/>
      <c r="Y22" s="5"/>
      <c r="Z22" s="5"/>
      <c r="AA22" s="5"/>
      <c r="AB22" s="5"/>
      <c r="AC22" s="4"/>
    </row>
    <row r="23" customFormat="1" spans="4:29">
      <c r="D23" s="3"/>
      <c r="E23" s="3"/>
      <c r="K23" s="4"/>
      <c r="L23" s="5"/>
      <c r="M23" s="4"/>
      <c r="X23" s="7"/>
      <c r="Y23" s="5"/>
      <c r="Z23" s="5"/>
      <c r="AA23" s="5"/>
      <c r="AB23" s="5"/>
      <c r="AC23" s="4"/>
    </row>
    <row r="24" customFormat="1" spans="4:29">
      <c r="D24" s="3"/>
      <c r="E24" s="3"/>
      <c r="K24" s="4"/>
      <c r="L24" s="5"/>
      <c r="M24" s="4"/>
      <c r="X24" s="7"/>
      <c r="Y24" s="5"/>
      <c r="Z24" s="5"/>
      <c r="AA24" s="5"/>
      <c r="AB24" s="5"/>
      <c r="AC24" s="4"/>
    </row>
    <row r="25" customFormat="1" spans="4:29">
      <c r="D25" s="3"/>
      <c r="E25" s="3"/>
      <c r="K25" s="4"/>
      <c r="L25" s="5"/>
      <c r="M25" s="4"/>
      <c r="X25" s="7"/>
      <c r="Y25" s="5"/>
      <c r="Z25" s="5"/>
      <c r="AA25" s="5"/>
      <c r="AB25" s="5"/>
      <c r="AC25" s="4"/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  <row r="32" customFormat="1" spans="4:29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</row>
    <row r="33" customFormat="1" spans="4:29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</row>
  </sheetData>
  <autoFilter xmlns:etc="http://www.wps.cn/officeDocument/2017/etCustomData" ref="A3:AF17" etc:filterBottomFollowUsedRange="0">
    <extLst/>
  </autoFilter>
  <mergeCells count="21">
    <mergeCell ref="A1:AF1"/>
    <mergeCell ref="J3:P3"/>
    <mergeCell ref="R3:V3"/>
    <mergeCell ref="Y3:AD3"/>
    <mergeCell ref="A3:A4"/>
    <mergeCell ref="A5:A16"/>
    <mergeCell ref="B3:B4"/>
    <mergeCell ref="B5:B16"/>
    <mergeCell ref="C3:C4"/>
    <mergeCell ref="D3:D4"/>
    <mergeCell ref="E3:E4"/>
    <mergeCell ref="F3:F4"/>
    <mergeCell ref="G3:G4"/>
    <mergeCell ref="H3:H4"/>
    <mergeCell ref="I3:I4"/>
    <mergeCell ref="Q3:Q4"/>
    <mergeCell ref="Q5:Q16"/>
    <mergeCell ref="R5:R16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zoomScale="110" zoomScaleNormal="110" workbookViewId="0">
      <pane xSplit="9" ySplit="1" topLeftCell="Z2" activePane="bottomRight" state="frozen"/>
      <selection/>
      <selection pane="topRight"/>
      <selection pane="bottomLeft"/>
      <selection pane="bottomRight" activeCell="D30" sqref="D30"/>
    </sheetView>
  </sheetViews>
  <sheetFormatPr defaultColWidth="9" defaultRowHeight="13.5"/>
  <cols>
    <col min="1" max="1" width="9.875" customWidth="1"/>
    <col min="2" max="2" width="11.625" customWidth="1"/>
    <col min="3" max="3" width="14.875"/>
    <col min="4" max="5" width="9" style="3"/>
    <col min="6" max="6" width="17.375" customWidth="1"/>
    <col min="7" max="9" width="11.5"/>
    <col min="10" max="10" width="13.875"/>
    <col min="11" max="11" width="15.125" style="4"/>
    <col min="12" max="12" width="15.125" style="5"/>
    <col min="13" max="13" width="13.875" style="4"/>
    <col min="14" max="14" width="13.625"/>
    <col min="15" max="15" width="13.75"/>
    <col min="16" max="16" width="13.875"/>
    <col min="17" max="17" width="12.375" customWidth="1"/>
    <col min="18" max="18" width="11.25" customWidth="1"/>
    <col min="19" max="19" width="16.125"/>
    <col min="20" max="20" width="11.25" style="6" customWidth="1"/>
    <col min="21" max="21" width="10.25" style="6"/>
    <col min="22" max="23" width="11.25" style="6"/>
    <col min="24" max="24" width="14.75" style="7"/>
    <col min="25" max="25" width="11.875" style="5" customWidth="1"/>
    <col min="26" max="26" width="11.125" style="5" customWidth="1"/>
    <col min="27" max="27" width="11.375" style="5"/>
    <col min="28" max="28" width="12.625" style="5"/>
    <col min="29" max="29" width="12" style="4"/>
    <col min="30" max="30" width="12.875"/>
    <col min="31" max="32" width="14.875"/>
  </cols>
  <sheetData>
    <row r="1" ht="31" customHeight="1" spans="1:3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29"/>
      <c r="L1" s="30"/>
      <c r="M1" s="29"/>
      <c r="N1" s="8"/>
      <c r="O1" s="31"/>
      <c r="P1" s="8"/>
      <c r="Q1" s="8"/>
      <c r="R1" s="8"/>
      <c r="S1" s="8"/>
      <c r="T1" s="57"/>
      <c r="U1" s="57"/>
      <c r="V1" s="58"/>
      <c r="W1" s="57"/>
      <c r="X1" s="59"/>
      <c r="Y1" s="30"/>
      <c r="Z1" s="30"/>
      <c r="AA1" s="30"/>
      <c r="AB1" s="30"/>
      <c r="AC1" s="29"/>
      <c r="AD1" s="30"/>
      <c r="AE1" s="8"/>
      <c r="AF1" s="8"/>
    </row>
    <row r="2" customFormat="1" ht="31" customHeight="1" spans="1:32">
      <c r="A2" s="9" t="s">
        <v>98</v>
      </c>
      <c r="B2" s="9" t="s">
        <v>99</v>
      </c>
      <c r="C2" s="9">
        <v>82.1642</v>
      </c>
      <c r="D2" s="8"/>
      <c r="E2" s="8"/>
      <c r="F2" s="8"/>
      <c r="G2" s="8"/>
      <c r="H2" s="8"/>
      <c r="I2" s="8"/>
      <c r="J2" s="8"/>
      <c r="K2" s="29"/>
      <c r="L2" s="30"/>
      <c r="M2" s="29"/>
      <c r="N2" s="8"/>
      <c r="O2" s="31"/>
      <c r="P2" s="8"/>
      <c r="Q2" s="8"/>
      <c r="R2" s="8"/>
      <c r="S2" s="8"/>
      <c r="T2" s="57"/>
      <c r="U2" s="57"/>
      <c r="V2" s="58"/>
      <c r="W2" s="57"/>
      <c r="X2" s="59"/>
      <c r="Y2" s="30"/>
      <c r="Z2" s="30"/>
      <c r="AA2" s="30"/>
      <c r="AB2" s="30"/>
      <c r="AC2" s="29"/>
      <c r="AD2" s="30"/>
      <c r="AE2" s="8"/>
      <c r="AF2" s="8"/>
    </row>
    <row r="3" s="1" customFormat="1" ht="23" customHeight="1" spans="1:32">
      <c r="A3" s="10" t="s">
        <v>1</v>
      </c>
      <c r="B3" s="11" t="s">
        <v>2</v>
      </c>
      <c r="C3" s="12" t="s">
        <v>15</v>
      </c>
      <c r="D3" s="13" t="s">
        <v>16</v>
      </c>
      <c r="E3" s="14" t="s">
        <v>17</v>
      </c>
      <c r="F3" s="15" t="s">
        <v>18</v>
      </c>
      <c r="G3" s="15" t="s">
        <v>19</v>
      </c>
      <c r="H3" s="15" t="s">
        <v>20</v>
      </c>
      <c r="I3" s="15" t="s">
        <v>21</v>
      </c>
      <c r="J3" s="32" t="s">
        <v>22</v>
      </c>
      <c r="K3" s="33"/>
      <c r="L3" s="34"/>
      <c r="M3" s="33"/>
      <c r="N3" s="34"/>
      <c r="O3" s="35"/>
      <c r="P3" s="36"/>
      <c r="Q3" s="60" t="s">
        <v>23</v>
      </c>
      <c r="R3" s="61" t="s">
        <v>24</v>
      </c>
      <c r="S3" s="62"/>
      <c r="T3" s="63"/>
      <c r="U3" s="64"/>
      <c r="V3" s="65"/>
      <c r="W3" s="66" t="s">
        <v>25</v>
      </c>
      <c r="X3" s="67" t="s">
        <v>26</v>
      </c>
      <c r="Y3" s="83" t="s">
        <v>27</v>
      </c>
      <c r="Z3" s="83"/>
      <c r="AA3" s="83"/>
      <c r="AB3" s="83"/>
      <c r="AC3" s="84"/>
      <c r="AD3" s="83"/>
      <c r="AE3" s="85" t="s">
        <v>28</v>
      </c>
      <c r="AF3" s="86" t="s">
        <v>3</v>
      </c>
    </row>
    <row r="4" s="1" customFormat="1" ht="27" customHeight="1" spans="1:32">
      <c r="A4" s="16"/>
      <c r="B4" s="17"/>
      <c r="C4" s="12"/>
      <c r="D4" s="13"/>
      <c r="E4" s="18"/>
      <c r="F4" s="19"/>
      <c r="G4" s="19"/>
      <c r="H4" s="19"/>
      <c r="I4" s="37"/>
      <c r="J4" s="38" t="s">
        <v>29</v>
      </c>
      <c r="K4" s="39" t="s">
        <v>30</v>
      </c>
      <c r="L4" s="40" t="s">
        <v>31</v>
      </c>
      <c r="M4" s="39" t="s">
        <v>32</v>
      </c>
      <c r="N4" s="41" t="s">
        <v>33</v>
      </c>
      <c r="O4" s="42" t="s">
        <v>34</v>
      </c>
      <c r="P4" s="43" t="s">
        <v>35</v>
      </c>
      <c r="Q4" s="68"/>
      <c r="R4" s="69" t="s">
        <v>36</v>
      </c>
      <c r="S4" s="70" t="s">
        <v>37</v>
      </c>
      <c r="T4" s="71" t="s">
        <v>38</v>
      </c>
      <c r="U4" s="72" t="s">
        <v>39</v>
      </c>
      <c r="V4" s="71" t="s">
        <v>40</v>
      </c>
      <c r="W4" s="73"/>
      <c r="X4" s="74"/>
      <c r="Y4" s="87" t="s">
        <v>41</v>
      </c>
      <c r="Z4" s="87" t="s">
        <v>42</v>
      </c>
      <c r="AA4" s="87" t="s">
        <v>43</v>
      </c>
      <c r="AB4" s="88" t="s">
        <v>44</v>
      </c>
      <c r="AC4" s="89" t="s">
        <v>45</v>
      </c>
      <c r="AD4" s="90" t="s">
        <v>35</v>
      </c>
      <c r="AE4" s="91" t="s">
        <v>46</v>
      </c>
      <c r="AF4" s="92"/>
    </row>
    <row r="5" s="2" customFormat="1" spans="1:32">
      <c r="A5" s="20" t="s">
        <v>12</v>
      </c>
      <c r="B5" s="21" t="s">
        <v>13</v>
      </c>
      <c r="C5" s="22">
        <v>240715000042</v>
      </c>
      <c r="D5" s="23">
        <v>45498</v>
      </c>
      <c r="E5" s="23" t="s">
        <v>88</v>
      </c>
      <c r="F5" s="21" t="s">
        <v>89</v>
      </c>
      <c r="G5" s="21" t="s">
        <v>90</v>
      </c>
      <c r="H5" s="24">
        <v>0.3636</v>
      </c>
      <c r="I5" s="24">
        <v>253.4</v>
      </c>
      <c r="J5" s="44">
        <v>1117.2</v>
      </c>
      <c r="K5" s="45"/>
      <c r="L5" s="46"/>
      <c r="M5" s="47"/>
      <c r="N5" s="46"/>
      <c r="O5" s="21"/>
      <c r="P5" s="48">
        <f>SUBTOTAL(9,J5)</f>
        <v>1117.2</v>
      </c>
      <c r="Q5" s="75">
        <f>SUM(P5:P24)</f>
        <v>175734.8636</v>
      </c>
      <c r="R5" s="76" t="s">
        <v>50</v>
      </c>
      <c r="S5" s="77">
        <f>SUM(61477/68)*H5</f>
        <v>328.721135294118</v>
      </c>
      <c r="T5" s="77">
        <f>SUM(600/68)*H5</f>
        <v>3.20823529411765</v>
      </c>
      <c r="U5" s="77">
        <f>SUM(1150/68)*H5</f>
        <v>6.14911764705882</v>
      </c>
      <c r="V5" s="77"/>
      <c r="W5" s="77"/>
      <c r="X5" s="78">
        <f t="shared" ref="X5:X24" si="0">SUM(S5:W5)</f>
        <v>338.078488235294</v>
      </c>
      <c r="Y5" s="93">
        <f>SUM(10510.33/68)*H5</f>
        <v>56.1993527647059</v>
      </c>
      <c r="Z5" s="93"/>
      <c r="AA5" s="93">
        <f>SUM(35.4/68)*H5</f>
        <v>0.189285882352941</v>
      </c>
      <c r="AB5" s="93">
        <f t="shared" ref="AB5:AB24" si="1">SUM(Y5:AA5)</f>
        <v>56.3886386470588</v>
      </c>
      <c r="AC5" s="45">
        <v>7.06</v>
      </c>
      <c r="AD5" s="77">
        <f t="shared" ref="AD5:AD24" si="2">SUM(AB5*AC5)</f>
        <v>398.103788848235</v>
      </c>
      <c r="AE5" s="77">
        <f t="shared" ref="AE5:AE24" si="3">SUM(X5+AD5)</f>
        <v>736.182277083529</v>
      </c>
      <c r="AF5" s="77">
        <f t="shared" ref="AF5:AF24" si="4">SUM(P5-AE5)</f>
        <v>381.017722916471</v>
      </c>
    </row>
    <row r="6" s="2" customFormat="1" spans="1:32">
      <c r="A6" s="20"/>
      <c r="B6" s="21"/>
      <c r="C6" s="22">
        <v>240716000022</v>
      </c>
      <c r="D6" s="23">
        <v>45498</v>
      </c>
      <c r="E6" s="23" t="s">
        <v>47</v>
      </c>
      <c r="F6" s="21" t="s">
        <v>48</v>
      </c>
      <c r="G6" s="21" t="s">
        <v>70</v>
      </c>
      <c r="H6" s="24">
        <v>0.0648</v>
      </c>
      <c r="I6" s="24">
        <v>67.5</v>
      </c>
      <c r="J6" s="44">
        <v>630</v>
      </c>
      <c r="K6" s="45"/>
      <c r="L6" s="46"/>
      <c r="M6" s="47"/>
      <c r="N6" s="46"/>
      <c r="O6" s="21"/>
      <c r="P6" s="48">
        <f>SUM(J6)</f>
        <v>630</v>
      </c>
      <c r="Q6" s="79"/>
      <c r="R6" s="79"/>
      <c r="S6" s="77">
        <f t="shared" ref="S6:S24" si="5">SUM(61477/68)*H6</f>
        <v>58.5839647058824</v>
      </c>
      <c r="T6" s="77">
        <f t="shared" ref="T6:T24" si="6">SUM(600/68)*H6</f>
        <v>0.571764705882353</v>
      </c>
      <c r="U6" s="77">
        <f t="shared" ref="U6:U24" si="7">SUM(1150/68)*H6</f>
        <v>1.09588235294118</v>
      </c>
      <c r="V6" s="77"/>
      <c r="W6" s="77"/>
      <c r="X6" s="78">
        <f t="shared" si="0"/>
        <v>60.2516117647059</v>
      </c>
      <c r="Y6" s="93">
        <f t="shared" ref="Y6:Y24" si="8">SUM(10510.33/68)*H6</f>
        <v>10.0157262352941</v>
      </c>
      <c r="Z6" s="93">
        <v>30.54</v>
      </c>
      <c r="AA6" s="93">
        <f t="shared" ref="AA6:AA24" si="9">SUM(35.4/68)*H6</f>
        <v>0.0337341176470588</v>
      </c>
      <c r="AB6" s="93">
        <f t="shared" si="1"/>
        <v>40.5894603529412</v>
      </c>
      <c r="AC6" s="45">
        <v>7.06</v>
      </c>
      <c r="AD6" s="77">
        <f t="shared" si="2"/>
        <v>286.561590091765</v>
      </c>
      <c r="AE6" s="77">
        <f t="shared" si="3"/>
        <v>346.813201856471</v>
      </c>
      <c r="AF6" s="77">
        <f t="shared" si="4"/>
        <v>283.186798143529</v>
      </c>
    </row>
    <row r="7" s="2" customFormat="1" spans="1:32">
      <c r="A7" s="20"/>
      <c r="B7" s="21"/>
      <c r="C7" s="22">
        <v>240717000017</v>
      </c>
      <c r="D7" s="23">
        <v>45498</v>
      </c>
      <c r="E7" s="23" t="s">
        <v>47</v>
      </c>
      <c r="F7" s="21" t="s">
        <v>48</v>
      </c>
      <c r="G7" s="21" t="s">
        <v>91</v>
      </c>
      <c r="H7" s="24">
        <v>0.6221</v>
      </c>
      <c r="I7" s="24">
        <v>294</v>
      </c>
      <c r="J7" s="49">
        <v>1390</v>
      </c>
      <c r="K7" s="45"/>
      <c r="L7" s="46"/>
      <c r="M7" s="47"/>
      <c r="N7" s="46"/>
      <c r="O7" s="21"/>
      <c r="P7" s="48">
        <f>SUM(J7)</f>
        <v>1390</v>
      </c>
      <c r="Q7" s="79"/>
      <c r="R7" s="79"/>
      <c r="S7" s="77">
        <f t="shared" si="5"/>
        <v>562.424142647059</v>
      </c>
      <c r="T7" s="77">
        <f t="shared" si="6"/>
        <v>5.48911764705882</v>
      </c>
      <c r="U7" s="77">
        <f t="shared" si="7"/>
        <v>10.5208088235294</v>
      </c>
      <c r="V7" s="77"/>
      <c r="W7" s="77"/>
      <c r="X7" s="78">
        <f t="shared" si="0"/>
        <v>578.434069117647</v>
      </c>
      <c r="Y7" s="93">
        <f t="shared" si="8"/>
        <v>96.1540631323529</v>
      </c>
      <c r="Z7" s="93"/>
      <c r="AA7" s="93">
        <f t="shared" si="9"/>
        <v>0.323857941176471</v>
      </c>
      <c r="AB7" s="93">
        <f t="shared" si="1"/>
        <v>96.4779210735294</v>
      </c>
      <c r="AC7" s="45">
        <v>7.06</v>
      </c>
      <c r="AD7" s="77">
        <f t="shared" si="2"/>
        <v>681.134122779118</v>
      </c>
      <c r="AE7" s="77">
        <f t="shared" si="3"/>
        <v>1259.56819189676</v>
      </c>
      <c r="AF7" s="77">
        <f t="shared" si="4"/>
        <v>130.431808103235</v>
      </c>
    </row>
    <row r="8" s="2" customFormat="1" spans="1:32">
      <c r="A8" s="20"/>
      <c r="B8" s="21"/>
      <c r="C8" s="22">
        <v>240717000037</v>
      </c>
      <c r="D8" s="23">
        <v>45498</v>
      </c>
      <c r="E8" s="23" t="s">
        <v>55</v>
      </c>
      <c r="F8" s="21" t="s">
        <v>56</v>
      </c>
      <c r="G8" s="21" t="s">
        <v>92</v>
      </c>
      <c r="H8" s="24">
        <v>0.9774</v>
      </c>
      <c r="I8" s="24">
        <v>169.65</v>
      </c>
      <c r="J8" s="44">
        <v>2342</v>
      </c>
      <c r="K8" s="45"/>
      <c r="L8" s="46"/>
      <c r="M8" s="47"/>
      <c r="N8" s="46"/>
      <c r="O8" s="21"/>
      <c r="P8" s="48">
        <f t="shared" ref="P8:P13" si="10">SUBTOTAL(9,J8)</f>
        <v>2342</v>
      </c>
      <c r="Q8" s="79"/>
      <c r="R8" s="79"/>
      <c r="S8" s="77">
        <f t="shared" si="5"/>
        <v>883.641467647059</v>
      </c>
      <c r="T8" s="77">
        <f t="shared" si="6"/>
        <v>8.62411764705882</v>
      </c>
      <c r="U8" s="77">
        <f t="shared" si="7"/>
        <v>16.5295588235294</v>
      </c>
      <c r="V8" s="77"/>
      <c r="W8" s="77">
        <v>52</v>
      </c>
      <c r="X8" s="78">
        <f t="shared" si="0"/>
        <v>960.795144117647</v>
      </c>
      <c r="Y8" s="93">
        <f t="shared" si="8"/>
        <v>151.070537382353</v>
      </c>
      <c r="Z8" s="93"/>
      <c r="AA8" s="93">
        <f t="shared" si="9"/>
        <v>0.508822941176471</v>
      </c>
      <c r="AB8" s="93">
        <f t="shared" si="1"/>
        <v>151.579360323529</v>
      </c>
      <c r="AC8" s="45">
        <v>7.06</v>
      </c>
      <c r="AD8" s="77">
        <f t="shared" si="2"/>
        <v>1070.15028388412</v>
      </c>
      <c r="AE8" s="77">
        <f t="shared" si="3"/>
        <v>2030.94542800176</v>
      </c>
      <c r="AF8" s="77">
        <f t="shared" si="4"/>
        <v>311.054571998235</v>
      </c>
    </row>
    <row r="9" s="2" customFormat="1" spans="1:32">
      <c r="A9" s="20"/>
      <c r="B9" s="21"/>
      <c r="C9" s="22">
        <v>240718000030</v>
      </c>
      <c r="D9" s="23">
        <v>45498</v>
      </c>
      <c r="E9" s="23" t="s">
        <v>47</v>
      </c>
      <c r="F9" s="21" t="s">
        <v>48</v>
      </c>
      <c r="G9" s="21" t="s">
        <v>80</v>
      </c>
      <c r="H9" s="24">
        <v>0.2438</v>
      </c>
      <c r="I9" s="24">
        <v>26.5</v>
      </c>
      <c r="J9" s="44">
        <v>606.5</v>
      </c>
      <c r="K9" s="45"/>
      <c r="L9" s="46"/>
      <c r="M9" s="47"/>
      <c r="N9" s="46"/>
      <c r="O9" s="21"/>
      <c r="P9" s="48">
        <f t="shared" si="10"/>
        <v>606.5</v>
      </c>
      <c r="Q9" s="79"/>
      <c r="R9" s="79"/>
      <c r="S9" s="77">
        <f t="shared" si="5"/>
        <v>220.413126470588</v>
      </c>
      <c r="T9" s="77">
        <f t="shared" si="6"/>
        <v>2.15117647058824</v>
      </c>
      <c r="U9" s="77">
        <f t="shared" si="7"/>
        <v>4.12308823529412</v>
      </c>
      <c r="V9" s="77"/>
      <c r="W9" s="77"/>
      <c r="X9" s="78">
        <f t="shared" si="0"/>
        <v>226.687391176471</v>
      </c>
      <c r="Y9" s="93">
        <f t="shared" si="8"/>
        <v>37.6826243235294</v>
      </c>
      <c r="Z9" s="93"/>
      <c r="AA9" s="93">
        <f t="shared" si="9"/>
        <v>0.126919411764706</v>
      </c>
      <c r="AB9" s="93">
        <f t="shared" si="1"/>
        <v>37.8095437352941</v>
      </c>
      <c r="AC9" s="45">
        <v>7.06</v>
      </c>
      <c r="AD9" s="77">
        <f t="shared" si="2"/>
        <v>266.935378771176</v>
      </c>
      <c r="AE9" s="77">
        <f t="shared" si="3"/>
        <v>493.622769947647</v>
      </c>
      <c r="AF9" s="77">
        <f t="shared" si="4"/>
        <v>112.877230052353</v>
      </c>
    </row>
    <row r="10" s="2" customFormat="1" spans="1:32">
      <c r="A10" s="20"/>
      <c r="B10" s="21"/>
      <c r="C10" s="22">
        <v>240719000002</v>
      </c>
      <c r="D10" s="23">
        <v>45498</v>
      </c>
      <c r="E10" s="23" t="s">
        <v>47</v>
      </c>
      <c r="F10" s="21" t="s">
        <v>48</v>
      </c>
      <c r="G10" s="21" t="s">
        <v>93</v>
      </c>
      <c r="H10" s="24">
        <v>0.8911</v>
      </c>
      <c r="I10" s="24">
        <v>332</v>
      </c>
      <c r="J10" s="44">
        <v>2500</v>
      </c>
      <c r="K10" s="45"/>
      <c r="L10" s="46"/>
      <c r="M10" s="47"/>
      <c r="N10" s="46"/>
      <c r="O10" s="21"/>
      <c r="P10" s="48">
        <f t="shared" si="10"/>
        <v>2500</v>
      </c>
      <c r="Q10" s="79"/>
      <c r="R10" s="79"/>
      <c r="S10" s="77">
        <f t="shared" si="5"/>
        <v>805.619922058824</v>
      </c>
      <c r="T10" s="77">
        <f t="shared" si="6"/>
        <v>7.86264705882353</v>
      </c>
      <c r="U10" s="77">
        <f t="shared" si="7"/>
        <v>15.0700735294118</v>
      </c>
      <c r="V10" s="77"/>
      <c r="W10" s="77"/>
      <c r="X10" s="78">
        <f t="shared" si="0"/>
        <v>828.552642647059</v>
      </c>
      <c r="Y10" s="93">
        <f t="shared" si="8"/>
        <v>137.731692102941</v>
      </c>
      <c r="Z10" s="93">
        <v>41.3</v>
      </c>
      <c r="AA10" s="93">
        <f t="shared" si="9"/>
        <v>0.463896176470588</v>
      </c>
      <c r="AB10" s="93">
        <f t="shared" si="1"/>
        <v>179.495588279412</v>
      </c>
      <c r="AC10" s="45">
        <v>7.06</v>
      </c>
      <c r="AD10" s="77">
        <f t="shared" si="2"/>
        <v>1267.23885325265</v>
      </c>
      <c r="AE10" s="77">
        <f t="shared" si="3"/>
        <v>2095.79149589971</v>
      </c>
      <c r="AF10" s="77">
        <f t="shared" si="4"/>
        <v>404.208504100294</v>
      </c>
    </row>
    <row r="11" s="2" customFormat="1" spans="1:32">
      <c r="A11" s="20"/>
      <c r="B11" s="21"/>
      <c r="C11" s="22">
        <v>240719000036</v>
      </c>
      <c r="D11" s="23">
        <v>45498</v>
      </c>
      <c r="E11" s="23" t="s">
        <v>55</v>
      </c>
      <c r="F11" s="21" t="s">
        <v>56</v>
      </c>
      <c r="G11" s="21" t="s">
        <v>58</v>
      </c>
      <c r="H11" s="24">
        <v>1.8646</v>
      </c>
      <c r="I11" s="24">
        <v>213</v>
      </c>
      <c r="J11" s="44">
        <v>4300.07</v>
      </c>
      <c r="K11" s="45"/>
      <c r="L11" s="46"/>
      <c r="M11" s="47"/>
      <c r="N11" s="46"/>
      <c r="O11" s="21"/>
      <c r="P11" s="48">
        <f t="shared" si="10"/>
        <v>4300.07</v>
      </c>
      <c r="Q11" s="79"/>
      <c r="R11" s="79"/>
      <c r="S11" s="77">
        <f t="shared" si="5"/>
        <v>1685.73550294118</v>
      </c>
      <c r="T11" s="77">
        <f t="shared" si="6"/>
        <v>16.4523529411765</v>
      </c>
      <c r="U11" s="77">
        <f t="shared" si="7"/>
        <v>31.5336764705882</v>
      </c>
      <c r="V11" s="77"/>
      <c r="W11" s="77"/>
      <c r="X11" s="78">
        <f t="shared" si="0"/>
        <v>1733.72153235294</v>
      </c>
      <c r="Y11" s="93">
        <f t="shared" si="8"/>
        <v>288.199431147059</v>
      </c>
      <c r="Z11" s="93"/>
      <c r="AA11" s="93">
        <f t="shared" si="9"/>
        <v>0.970688823529412</v>
      </c>
      <c r="AB11" s="93">
        <f t="shared" si="1"/>
        <v>289.170119970588</v>
      </c>
      <c r="AC11" s="45">
        <v>7.06</v>
      </c>
      <c r="AD11" s="77">
        <f t="shared" si="2"/>
        <v>2041.54104699235</v>
      </c>
      <c r="AE11" s="77">
        <f t="shared" si="3"/>
        <v>3775.26257934529</v>
      </c>
      <c r="AF11" s="77">
        <f t="shared" si="4"/>
        <v>524.807420654705</v>
      </c>
    </row>
    <row r="12" s="2" customFormat="1" spans="1:32">
      <c r="A12" s="20"/>
      <c r="B12" s="21"/>
      <c r="C12" s="22">
        <v>240720000015</v>
      </c>
      <c r="D12" s="23">
        <v>45498</v>
      </c>
      <c r="E12" s="23" t="s">
        <v>55</v>
      </c>
      <c r="F12" s="21" t="s">
        <v>56</v>
      </c>
      <c r="G12" s="21" t="s">
        <v>58</v>
      </c>
      <c r="H12" s="24">
        <v>0.3673</v>
      </c>
      <c r="I12" s="24">
        <v>57</v>
      </c>
      <c r="J12" s="44">
        <v>880.38</v>
      </c>
      <c r="K12" s="45"/>
      <c r="L12" s="46"/>
      <c r="M12" s="47"/>
      <c r="N12" s="46"/>
      <c r="O12" s="21"/>
      <c r="P12" s="48">
        <f t="shared" si="10"/>
        <v>880.38</v>
      </c>
      <c r="Q12" s="79"/>
      <c r="R12" s="79"/>
      <c r="S12" s="77">
        <f t="shared" si="5"/>
        <v>332.066207352941</v>
      </c>
      <c r="T12" s="77">
        <f t="shared" si="6"/>
        <v>3.24088235294118</v>
      </c>
      <c r="U12" s="77">
        <f t="shared" si="7"/>
        <v>6.21169117647059</v>
      </c>
      <c r="V12" s="77"/>
      <c r="W12" s="77"/>
      <c r="X12" s="78">
        <f t="shared" si="0"/>
        <v>341.518780882353</v>
      </c>
      <c r="Y12" s="93">
        <f t="shared" si="8"/>
        <v>56.7712383676471</v>
      </c>
      <c r="Z12" s="93"/>
      <c r="AA12" s="93">
        <f t="shared" si="9"/>
        <v>0.191212058823529</v>
      </c>
      <c r="AB12" s="93">
        <f t="shared" si="1"/>
        <v>56.9624504264706</v>
      </c>
      <c r="AC12" s="45">
        <v>7.06</v>
      </c>
      <c r="AD12" s="77">
        <f t="shared" si="2"/>
        <v>402.154900010882</v>
      </c>
      <c r="AE12" s="77">
        <f t="shared" si="3"/>
        <v>743.673680893235</v>
      </c>
      <c r="AF12" s="77">
        <f t="shared" si="4"/>
        <v>136.706319106765</v>
      </c>
    </row>
    <row r="13" s="2" customFormat="1" spans="1:32">
      <c r="A13" s="20"/>
      <c r="B13" s="21"/>
      <c r="C13" s="22">
        <v>240724000014</v>
      </c>
      <c r="D13" s="23">
        <v>45498</v>
      </c>
      <c r="E13" s="23" t="s">
        <v>47</v>
      </c>
      <c r="F13" s="21" t="s">
        <v>48</v>
      </c>
      <c r="G13" s="21" t="s">
        <v>70</v>
      </c>
      <c r="H13" s="24">
        <v>0.2732</v>
      </c>
      <c r="I13" s="24">
        <v>264</v>
      </c>
      <c r="J13" s="44">
        <v>894</v>
      </c>
      <c r="K13" s="45"/>
      <c r="L13" s="46"/>
      <c r="M13" s="47"/>
      <c r="N13" s="46"/>
      <c r="O13" s="21"/>
      <c r="P13" s="48">
        <f t="shared" si="10"/>
        <v>894</v>
      </c>
      <c r="Q13" s="79"/>
      <c r="R13" s="79"/>
      <c r="S13" s="77">
        <f t="shared" si="5"/>
        <v>246.992888235294</v>
      </c>
      <c r="T13" s="77">
        <f t="shared" si="6"/>
        <v>2.41058823529412</v>
      </c>
      <c r="U13" s="77">
        <f t="shared" si="7"/>
        <v>4.62029411764706</v>
      </c>
      <c r="V13" s="77"/>
      <c r="W13" s="77"/>
      <c r="X13" s="78">
        <f t="shared" si="0"/>
        <v>254.023770588235</v>
      </c>
      <c r="Y13" s="93">
        <f t="shared" si="8"/>
        <v>42.2267964117647</v>
      </c>
      <c r="Z13" s="93"/>
      <c r="AA13" s="93">
        <f t="shared" si="9"/>
        <v>0.142224705882353</v>
      </c>
      <c r="AB13" s="93">
        <f t="shared" si="1"/>
        <v>42.3690211176471</v>
      </c>
      <c r="AC13" s="45">
        <v>7.06</v>
      </c>
      <c r="AD13" s="77">
        <f t="shared" si="2"/>
        <v>299.125289090588</v>
      </c>
      <c r="AE13" s="77">
        <f t="shared" si="3"/>
        <v>553.149059678824</v>
      </c>
      <c r="AF13" s="77">
        <f t="shared" si="4"/>
        <v>340.850940321176</v>
      </c>
    </row>
    <row r="14" s="2" customFormat="1" spans="1:32">
      <c r="A14" s="20"/>
      <c r="B14" s="21"/>
      <c r="C14" s="22">
        <v>240724000017</v>
      </c>
      <c r="D14" s="23">
        <v>45498</v>
      </c>
      <c r="E14" s="23" t="s">
        <v>94</v>
      </c>
      <c r="F14" s="21" t="s">
        <v>95</v>
      </c>
      <c r="G14" s="21" t="s">
        <v>96</v>
      </c>
      <c r="H14" s="24">
        <v>0.2991</v>
      </c>
      <c r="I14" s="24">
        <v>1311</v>
      </c>
      <c r="J14" s="48"/>
      <c r="K14" s="50">
        <v>1137000</v>
      </c>
      <c r="L14" s="46"/>
      <c r="M14" s="47">
        <f>SUM(K14/N14)</f>
        <v>1689.70129291128</v>
      </c>
      <c r="N14" s="51">
        <v>672.9</v>
      </c>
      <c r="O14" s="21">
        <v>7.06</v>
      </c>
      <c r="P14" s="48">
        <f>SUM(N14*O14)</f>
        <v>4750.674</v>
      </c>
      <c r="Q14" s="79"/>
      <c r="R14" s="79"/>
      <c r="S14" s="77">
        <f t="shared" si="5"/>
        <v>270.408392647059</v>
      </c>
      <c r="T14" s="77">
        <f t="shared" si="6"/>
        <v>2.63911764705882</v>
      </c>
      <c r="U14" s="77">
        <f t="shared" si="7"/>
        <v>5.05830882352941</v>
      </c>
      <c r="V14" s="80">
        <v>210</v>
      </c>
      <c r="W14" s="77">
        <v>330</v>
      </c>
      <c r="X14" s="78">
        <f t="shared" si="0"/>
        <v>818.105819117647</v>
      </c>
      <c r="Y14" s="93">
        <f t="shared" si="8"/>
        <v>46.2299956323529</v>
      </c>
      <c r="Z14" s="93"/>
      <c r="AA14" s="93">
        <f t="shared" si="9"/>
        <v>0.155707941176471</v>
      </c>
      <c r="AB14" s="93">
        <f t="shared" si="1"/>
        <v>46.3857035735294</v>
      </c>
      <c r="AC14" s="45">
        <v>7.06</v>
      </c>
      <c r="AD14" s="77">
        <f t="shared" si="2"/>
        <v>327.483067229118</v>
      </c>
      <c r="AE14" s="77">
        <f t="shared" si="3"/>
        <v>1145.58888634676</v>
      </c>
      <c r="AF14" s="77">
        <f t="shared" si="4"/>
        <v>3605.08511365324</v>
      </c>
    </row>
    <row r="15" s="2" customFormat="1" spans="1:32">
      <c r="A15" s="20"/>
      <c r="B15" s="21"/>
      <c r="C15" s="22">
        <v>240724000022</v>
      </c>
      <c r="D15" s="23">
        <v>45498</v>
      </c>
      <c r="E15" s="23" t="s">
        <v>52</v>
      </c>
      <c r="F15" s="21" t="s">
        <v>52</v>
      </c>
      <c r="G15" s="21" t="s">
        <v>86</v>
      </c>
      <c r="H15" s="24">
        <v>6.0843</v>
      </c>
      <c r="I15" s="24">
        <v>633</v>
      </c>
      <c r="J15" s="44">
        <v>12265.92</v>
      </c>
      <c r="K15" s="45"/>
      <c r="L15" s="46"/>
      <c r="M15" s="47"/>
      <c r="N15" s="52"/>
      <c r="O15" s="24"/>
      <c r="P15" s="53">
        <f t="shared" ref="P15:P17" si="11">SUBTOTAL(9,J15)</f>
        <v>12265.92</v>
      </c>
      <c r="Q15" s="79"/>
      <c r="R15" s="79"/>
      <c r="S15" s="77">
        <f t="shared" si="5"/>
        <v>5500.654575</v>
      </c>
      <c r="T15" s="77">
        <f t="shared" si="6"/>
        <v>53.685</v>
      </c>
      <c r="U15" s="77">
        <f t="shared" si="7"/>
        <v>102.89625</v>
      </c>
      <c r="V15" s="77"/>
      <c r="W15" s="77"/>
      <c r="X15" s="78">
        <f t="shared" si="0"/>
        <v>5657.235825</v>
      </c>
      <c r="Y15" s="93">
        <f t="shared" si="8"/>
        <v>940.41177675</v>
      </c>
      <c r="Z15" s="93"/>
      <c r="AA15" s="93">
        <f t="shared" si="9"/>
        <v>3.167415</v>
      </c>
      <c r="AB15" s="93">
        <f t="shared" si="1"/>
        <v>943.57919175</v>
      </c>
      <c r="AC15" s="45">
        <v>7.06</v>
      </c>
      <c r="AD15" s="77">
        <f t="shared" si="2"/>
        <v>6661.669093755</v>
      </c>
      <c r="AE15" s="77">
        <f t="shared" si="3"/>
        <v>12318.904918755</v>
      </c>
      <c r="AF15" s="77">
        <f t="shared" si="4"/>
        <v>-52.9849187550008</v>
      </c>
    </row>
    <row r="16" s="2" customFormat="1" spans="1:32">
      <c r="A16" s="20"/>
      <c r="B16" s="21"/>
      <c r="C16" s="22">
        <v>240724000024</v>
      </c>
      <c r="D16" s="23">
        <v>45498</v>
      </c>
      <c r="E16" s="23" t="s">
        <v>52</v>
      </c>
      <c r="F16" s="21" t="s">
        <v>52</v>
      </c>
      <c r="G16" s="21" t="s">
        <v>86</v>
      </c>
      <c r="H16" s="24">
        <v>0.6352</v>
      </c>
      <c r="I16" s="24">
        <v>38</v>
      </c>
      <c r="J16" s="44">
        <v>1280.59</v>
      </c>
      <c r="K16" s="45"/>
      <c r="L16" s="46"/>
      <c r="M16" s="47"/>
      <c r="N16" s="52"/>
      <c r="O16" s="24"/>
      <c r="P16" s="53">
        <f t="shared" si="11"/>
        <v>1280.59</v>
      </c>
      <c r="Q16" s="79"/>
      <c r="R16" s="79"/>
      <c r="S16" s="77">
        <f t="shared" si="5"/>
        <v>574.267505882353</v>
      </c>
      <c r="T16" s="77">
        <f t="shared" si="6"/>
        <v>5.60470588235294</v>
      </c>
      <c r="U16" s="77">
        <f t="shared" si="7"/>
        <v>10.7423529411765</v>
      </c>
      <c r="V16" s="77"/>
      <c r="W16" s="77"/>
      <c r="X16" s="78">
        <f t="shared" si="0"/>
        <v>590.614564705882</v>
      </c>
      <c r="Y16" s="93">
        <f t="shared" si="8"/>
        <v>98.1788472941176</v>
      </c>
      <c r="Z16" s="93"/>
      <c r="AA16" s="93">
        <f t="shared" si="9"/>
        <v>0.330677647058823</v>
      </c>
      <c r="AB16" s="93">
        <f t="shared" si="1"/>
        <v>98.5095249411765</v>
      </c>
      <c r="AC16" s="45">
        <v>7.06</v>
      </c>
      <c r="AD16" s="77">
        <f t="shared" si="2"/>
        <v>695.477246084706</v>
      </c>
      <c r="AE16" s="77">
        <f t="shared" si="3"/>
        <v>1286.09181079059</v>
      </c>
      <c r="AF16" s="77">
        <f t="shared" si="4"/>
        <v>-5.50181079058825</v>
      </c>
    </row>
    <row r="17" s="2" customFormat="1" spans="1:32">
      <c r="A17" s="20"/>
      <c r="B17" s="21"/>
      <c r="C17" s="22">
        <v>240724000025</v>
      </c>
      <c r="D17" s="23">
        <v>45498</v>
      </c>
      <c r="E17" s="25" t="s">
        <v>76</v>
      </c>
      <c r="F17" s="21" t="s">
        <v>77</v>
      </c>
      <c r="G17" s="21" t="s">
        <v>78</v>
      </c>
      <c r="H17" s="24">
        <v>24.4728</v>
      </c>
      <c r="I17" s="24">
        <v>3060</v>
      </c>
      <c r="J17" s="44">
        <v>57259.8</v>
      </c>
      <c r="K17" s="45"/>
      <c r="L17" s="46"/>
      <c r="M17" s="47"/>
      <c r="N17" s="46"/>
      <c r="O17" s="21"/>
      <c r="P17" s="48">
        <f t="shared" si="11"/>
        <v>57259.8</v>
      </c>
      <c r="Q17" s="79"/>
      <c r="R17" s="79"/>
      <c r="S17" s="77">
        <f t="shared" si="5"/>
        <v>22125.2106705882</v>
      </c>
      <c r="T17" s="77">
        <f t="shared" si="6"/>
        <v>215.936470588235</v>
      </c>
      <c r="U17" s="77">
        <f t="shared" si="7"/>
        <v>413.878235294118</v>
      </c>
      <c r="V17" s="77"/>
      <c r="W17" s="77"/>
      <c r="X17" s="78">
        <f t="shared" si="0"/>
        <v>22755.0253764706</v>
      </c>
      <c r="Y17" s="93">
        <f t="shared" si="8"/>
        <v>3782.60594152941</v>
      </c>
      <c r="Z17" s="93"/>
      <c r="AA17" s="93">
        <f t="shared" si="9"/>
        <v>12.7402517647059</v>
      </c>
      <c r="AB17" s="93">
        <f t="shared" si="1"/>
        <v>3795.34619329412</v>
      </c>
      <c r="AC17" s="45">
        <v>7.06</v>
      </c>
      <c r="AD17" s="77">
        <f t="shared" si="2"/>
        <v>26795.1441246565</v>
      </c>
      <c r="AE17" s="77">
        <f t="shared" si="3"/>
        <v>49550.1695011271</v>
      </c>
      <c r="AF17" s="77">
        <f t="shared" si="4"/>
        <v>7709.63049887295</v>
      </c>
    </row>
    <row r="18" s="2" customFormat="1" spans="1:32">
      <c r="A18" s="20"/>
      <c r="B18" s="21"/>
      <c r="C18" s="22">
        <v>240724000026</v>
      </c>
      <c r="D18" s="23">
        <v>45498</v>
      </c>
      <c r="E18" s="25" t="s">
        <v>83</v>
      </c>
      <c r="F18" s="21" t="s">
        <v>84</v>
      </c>
      <c r="G18" s="21" t="s">
        <v>97</v>
      </c>
      <c r="H18" s="24">
        <v>15.7603</v>
      </c>
      <c r="I18" s="24">
        <v>8373</v>
      </c>
      <c r="J18" s="48"/>
      <c r="K18" s="50">
        <v>8696280.67</v>
      </c>
      <c r="L18" s="46"/>
      <c r="M18" s="47">
        <f>SUM(K18/N18)</f>
        <v>1710.99730255107</v>
      </c>
      <c r="N18" s="54">
        <v>5082.58</v>
      </c>
      <c r="O18" s="21">
        <v>7.12</v>
      </c>
      <c r="P18" s="48">
        <f>SUM(N18*O18)</f>
        <v>36187.9696</v>
      </c>
      <c r="Q18" s="79"/>
      <c r="R18" s="79"/>
      <c r="S18" s="77">
        <f t="shared" si="5"/>
        <v>14248.4700455882</v>
      </c>
      <c r="T18" s="77">
        <f t="shared" si="6"/>
        <v>139.061470588235</v>
      </c>
      <c r="U18" s="77">
        <f t="shared" si="7"/>
        <v>266.534485294118</v>
      </c>
      <c r="V18" s="77"/>
      <c r="W18" s="77"/>
      <c r="X18" s="78">
        <f t="shared" si="0"/>
        <v>14654.0660014706</v>
      </c>
      <c r="Y18" s="93">
        <f t="shared" si="8"/>
        <v>2435.96991027941</v>
      </c>
      <c r="Z18" s="93">
        <v>217.7</v>
      </c>
      <c r="AA18" s="93">
        <f t="shared" si="9"/>
        <v>8.20462676470588</v>
      </c>
      <c r="AB18" s="93">
        <f t="shared" si="1"/>
        <v>2661.87453704412</v>
      </c>
      <c r="AC18" s="45">
        <v>7.06</v>
      </c>
      <c r="AD18" s="77">
        <f t="shared" si="2"/>
        <v>18792.8342315315</v>
      </c>
      <c r="AE18" s="77">
        <f t="shared" si="3"/>
        <v>33446.9002330021</v>
      </c>
      <c r="AF18" s="77">
        <f t="shared" si="4"/>
        <v>2741.06936699794</v>
      </c>
    </row>
    <row r="19" s="2" customFormat="1" spans="1:32">
      <c r="A19" s="20"/>
      <c r="B19" s="21"/>
      <c r="C19" s="22">
        <v>240724000044</v>
      </c>
      <c r="D19" s="23">
        <v>45498</v>
      </c>
      <c r="E19" s="23" t="s">
        <v>52</v>
      </c>
      <c r="F19" s="21" t="s">
        <v>52</v>
      </c>
      <c r="G19" s="21" t="s">
        <v>71</v>
      </c>
      <c r="H19" s="24">
        <v>20.87</v>
      </c>
      <c r="I19" s="24">
        <v>2559.5</v>
      </c>
      <c r="J19" s="44">
        <v>34224.71</v>
      </c>
      <c r="K19" s="45"/>
      <c r="L19" s="46"/>
      <c r="M19" s="47"/>
      <c r="N19" s="54"/>
      <c r="O19" s="21"/>
      <c r="P19" s="48">
        <f t="shared" ref="P19:P24" si="12">SUBTOTAL(9,J19)</f>
        <v>34224.71</v>
      </c>
      <c r="Q19" s="79"/>
      <c r="R19" s="79"/>
      <c r="S19" s="77">
        <f t="shared" si="5"/>
        <v>18868.0145588235</v>
      </c>
      <c r="T19" s="77">
        <f t="shared" si="6"/>
        <v>184.147058823529</v>
      </c>
      <c r="U19" s="77">
        <f t="shared" si="7"/>
        <v>352.948529411765</v>
      </c>
      <c r="V19" s="77"/>
      <c r="W19" s="77"/>
      <c r="X19" s="78">
        <f t="shared" si="0"/>
        <v>19405.1101470588</v>
      </c>
      <c r="Y19" s="93">
        <f t="shared" si="8"/>
        <v>3225.74392794118</v>
      </c>
      <c r="Z19" s="93"/>
      <c r="AA19" s="93">
        <f t="shared" si="9"/>
        <v>10.8646764705882</v>
      </c>
      <c r="AB19" s="93">
        <f t="shared" si="1"/>
        <v>3236.60860441176</v>
      </c>
      <c r="AC19" s="45">
        <v>7.06</v>
      </c>
      <c r="AD19" s="77">
        <f t="shared" si="2"/>
        <v>22850.4567471471</v>
      </c>
      <c r="AE19" s="77">
        <f t="shared" si="3"/>
        <v>42255.5668942059</v>
      </c>
      <c r="AF19" s="77">
        <f t="shared" si="4"/>
        <v>-8030.85689420588</v>
      </c>
    </row>
    <row r="20" s="2" customFormat="1" spans="1:32">
      <c r="A20" s="20"/>
      <c r="B20" s="21"/>
      <c r="C20" s="22">
        <v>240724000046</v>
      </c>
      <c r="D20" s="23">
        <v>45498</v>
      </c>
      <c r="E20" s="23" t="s">
        <v>52</v>
      </c>
      <c r="F20" s="21" t="s">
        <v>52</v>
      </c>
      <c r="G20" s="21" t="s">
        <v>86</v>
      </c>
      <c r="H20" s="24">
        <v>0.6621</v>
      </c>
      <c r="I20" s="24">
        <v>270</v>
      </c>
      <c r="J20" s="44">
        <v>1334.81</v>
      </c>
      <c r="K20" s="45"/>
      <c r="L20" s="46"/>
      <c r="M20" s="47"/>
      <c r="N20" s="52"/>
      <c r="O20" s="24"/>
      <c r="P20" s="53">
        <f t="shared" si="12"/>
        <v>1334.81</v>
      </c>
      <c r="Q20" s="79"/>
      <c r="R20" s="79"/>
      <c r="S20" s="77">
        <f t="shared" si="5"/>
        <v>598.587083823529</v>
      </c>
      <c r="T20" s="77">
        <f t="shared" si="6"/>
        <v>5.84205882352941</v>
      </c>
      <c r="U20" s="77">
        <f t="shared" si="7"/>
        <v>11.1972794117647</v>
      </c>
      <c r="V20" s="77"/>
      <c r="W20" s="77"/>
      <c r="X20" s="78">
        <f t="shared" si="0"/>
        <v>615.626422058824</v>
      </c>
      <c r="Y20" s="93">
        <f t="shared" si="8"/>
        <v>102.336610191176</v>
      </c>
      <c r="Z20" s="93"/>
      <c r="AA20" s="93">
        <f t="shared" si="9"/>
        <v>0.344681470588235</v>
      </c>
      <c r="AB20" s="93">
        <f t="shared" si="1"/>
        <v>102.681291661765</v>
      </c>
      <c r="AC20" s="45">
        <v>7.06</v>
      </c>
      <c r="AD20" s="77">
        <f t="shared" si="2"/>
        <v>724.929919132059</v>
      </c>
      <c r="AE20" s="77">
        <f t="shared" si="3"/>
        <v>1340.55634119088</v>
      </c>
      <c r="AF20" s="77">
        <f t="shared" si="4"/>
        <v>-5.7463411908825</v>
      </c>
    </row>
    <row r="21" s="2" customFormat="1" spans="1:32">
      <c r="A21" s="20"/>
      <c r="B21" s="21"/>
      <c r="C21" s="22">
        <v>240724000047</v>
      </c>
      <c r="D21" s="23">
        <v>45498</v>
      </c>
      <c r="E21" s="23" t="s">
        <v>52</v>
      </c>
      <c r="F21" s="21" t="s">
        <v>52</v>
      </c>
      <c r="G21" s="21" t="s">
        <v>86</v>
      </c>
      <c r="H21" s="24">
        <v>0.2282</v>
      </c>
      <c r="I21" s="24">
        <v>54</v>
      </c>
      <c r="J21" s="44">
        <v>460.08</v>
      </c>
      <c r="K21" s="45"/>
      <c r="L21" s="46"/>
      <c r="M21" s="47"/>
      <c r="N21" s="52"/>
      <c r="O21" s="24"/>
      <c r="P21" s="53">
        <f t="shared" si="12"/>
        <v>460.08</v>
      </c>
      <c r="Q21" s="79"/>
      <c r="R21" s="79"/>
      <c r="S21" s="77">
        <f t="shared" si="5"/>
        <v>206.309579411765</v>
      </c>
      <c r="T21" s="77">
        <f t="shared" si="6"/>
        <v>2.01352941176471</v>
      </c>
      <c r="U21" s="77">
        <f t="shared" si="7"/>
        <v>3.85926470588235</v>
      </c>
      <c r="V21" s="77"/>
      <c r="W21" s="77"/>
      <c r="X21" s="78">
        <f t="shared" si="0"/>
        <v>212.182373529412</v>
      </c>
      <c r="Y21" s="93">
        <f t="shared" si="8"/>
        <v>35.2714309705882</v>
      </c>
      <c r="Z21" s="93"/>
      <c r="AA21" s="93">
        <f t="shared" si="9"/>
        <v>0.118798235294118</v>
      </c>
      <c r="AB21" s="93">
        <f t="shared" si="1"/>
        <v>35.3902292058823</v>
      </c>
      <c r="AC21" s="45">
        <v>7.06</v>
      </c>
      <c r="AD21" s="77">
        <f t="shared" si="2"/>
        <v>249.855018193529</v>
      </c>
      <c r="AE21" s="77">
        <f t="shared" si="3"/>
        <v>462.037391722941</v>
      </c>
      <c r="AF21" s="77">
        <f t="shared" si="4"/>
        <v>-1.95739172294111</v>
      </c>
    </row>
    <row r="22" s="2" customFormat="1" spans="1:32">
      <c r="A22" s="20"/>
      <c r="B22" s="21"/>
      <c r="C22" s="22">
        <v>240724000048</v>
      </c>
      <c r="D22" s="23">
        <v>45498</v>
      </c>
      <c r="E22" s="23" t="s">
        <v>52</v>
      </c>
      <c r="F22" s="21" t="s">
        <v>52</v>
      </c>
      <c r="G22" s="21" t="s">
        <v>86</v>
      </c>
      <c r="H22" s="24">
        <v>3.0687</v>
      </c>
      <c r="I22" s="24">
        <v>528</v>
      </c>
      <c r="J22" s="44">
        <v>6208.07</v>
      </c>
      <c r="K22" s="45"/>
      <c r="L22" s="46"/>
      <c r="M22" s="47"/>
      <c r="N22" s="52"/>
      <c r="O22" s="24"/>
      <c r="P22" s="53">
        <f t="shared" si="12"/>
        <v>6208.07</v>
      </c>
      <c r="Q22" s="79"/>
      <c r="R22" s="79"/>
      <c r="S22" s="77">
        <f t="shared" si="5"/>
        <v>2774.33043970588</v>
      </c>
      <c r="T22" s="77">
        <f t="shared" si="6"/>
        <v>27.0767647058824</v>
      </c>
      <c r="U22" s="77">
        <f t="shared" si="7"/>
        <v>51.8971323529412</v>
      </c>
      <c r="V22" s="77"/>
      <c r="W22" s="77"/>
      <c r="X22" s="78">
        <f t="shared" si="0"/>
        <v>2853.30433676471</v>
      </c>
      <c r="Y22" s="93">
        <f t="shared" si="8"/>
        <v>474.309553985294</v>
      </c>
      <c r="Z22" s="93"/>
      <c r="AA22" s="93">
        <f t="shared" si="9"/>
        <v>1.59752911764706</v>
      </c>
      <c r="AB22" s="93">
        <f t="shared" si="1"/>
        <v>475.907083102941</v>
      </c>
      <c r="AC22" s="45">
        <v>7.06</v>
      </c>
      <c r="AD22" s="77">
        <f t="shared" si="2"/>
        <v>3359.90400670676</v>
      </c>
      <c r="AE22" s="77">
        <f t="shared" si="3"/>
        <v>6213.20834347147</v>
      </c>
      <c r="AF22" s="77">
        <f t="shared" si="4"/>
        <v>-5.13834347147167</v>
      </c>
    </row>
    <row r="23" s="2" customFormat="1" spans="1:32">
      <c r="A23" s="20"/>
      <c r="B23" s="21"/>
      <c r="C23" s="22">
        <v>240724000054</v>
      </c>
      <c r="D23" s="23">
        <v>45498</v>
      </c>
      <c r="E23" s="23" t="s">
        <v>52</v>
      </c>
      <c r="F23" s="21" t="s">
        <v>52</v>
      </c>
      <c r="G23" s="21" t="s">
        <v>68</v>
      </c>
      <c r="H23" s="26">
        <v>2.7</v>
      </c>
      <c r="I23" s="26">
        <v>992.8</v>
      </c>
      <c r="J23" s="44">
        <v>6294.95</v>
      </c>
      <c r="K23" s="45"/>
      <c r="L23" s="46"/>
      <c r="M23" s="47"/>
      <c r="N23" s="46"/>
      <c r="O23" s="21"/>
      <c r="P23" s="48">
        <f t="shared" si="12"/>
        <v>6294.95</v>
      </c>
      <c r="Q23" s="79"/>
      <c r="R23" s="79"/>
      <c r="S23" s="77">
        <f t="shared" si="5"/>
        <v>2440.99852941177</v>
      </c>
      <c r="T23" s="77">
        <f t="shared" si="6"/>
        <v>23.8235294117647</v>
      </c>
      <c r="U23" s="77">
        <f t="shared" si="7"/>
        <v>45.6617647058824</v>
      </c>
      <c r="V23" s="77"/>
      <c r="W23" s="77"/>
      <c r="X23" s="78">
        <f t="shared" si="0"/>
        <v>2510.48382352941</v>
      </c>
      <c r="Y23" s="93">
        <f t="shared" si="8"/>
        <v>417.321926470588</v>
      </c>
      <c r="Z23" s="93"/>
      <c r="AA23" s="93">
        <f t="shared" si="9"/>
        <v>1.40558823529412</v>
      </c>
      <c r="AB23" s="93">
        <f t="shared" si="1"/>
        <v>418.727514705882</v>
      </c>
      <c r="AC23" s="45">
        <v>7.06</v>
      </c>
      <c r="AD23" s="77">
        <f t="shared" si="2"/>
        <v>2956.21625382353</v>
      </c>
      <c r="AE23" s="77">
        <f t="shared" si="3"/>
        <v>5466.70007735294</v>
      </c>
      <c r="AF23" s="77">
        <f t="shared" si="4"/>
        <v>828.249922647058</v>
      </c>
    </row>
    <row r="24" s="2" customFormat="1" spans="1:32">
      <c r="A24" s="20"/>
      <c r="B24" s="21"/>
      <c r="C24" s="22">
        <v>240725000032</v>
      </c>
      <c r="D24" s="23">
        <v>45498</v>
      </c>
      <c r="E24" s="23" t="s">
        <v>52</v>
      </c>
      <c r="F24" s="21" t="s">
        <v>52</v>
      </c>
      <c r="G24" s="21" t="s">
        <v>86</v>
      </c>
      <c r="H24" s="24">
        <v>0.3976</v>
      </c>
      <c r="I24" s="24">
        <v>178</v>
      </c>
      <c r="J24" s="44">
        <v>807.14</v>
      </c>
      <c r="K24" s="45"/>
      <c r="L24" s="46"/>
      <c r="M24" s="47"/>
      <c r="N24" s="52"/>
      <c r="O24" s="21"/>
      <c r="P24" s="48">
        <f t="shared" si="12"/>
        <v>807.14</v>
      </c>
      <c r="Q24" s="81"/>
      <c r="R24" s="81"/>
      <c r="S24" s="77">
        <f t="shared" si="5"/>
        <v>359.459635294118</v>
      </c>
      <c r="T24" s="77">
        <f t="shared" si="6"/>
        <v>3.50823529411765</v>
      </c>
      <c r="U24" s="77">
        <f t="shared" si="7"/>
        <v>6.72411764705882</v>
      </c>
      <c r="V24" s="77"/>
      <c r="W24" s="77"/>
      <c r="X24" s="78">
        <f t="shared" si="0"/>
        <v>369.691988235294</v>
      </c>
      <c r="Y24" s="93">
        <f t="shared" si="8"/>
        <v>61.4545177647059</v>
      </c>
      <c r="Z24" s="93"/>
      <c r="AA24" s="93">
        <f t="shared" si="9"/>
        <v>0.206985882352941</v>
      </c>
      <c r="AB24" s="93">
        <f t="shared" si="1"/>
        <v>61.6615036470588</v>
      </c>
      <c r="AC24" s="45">
        <v>7.06</v>
      </c>
      <c r="AD24" s="77">
        <f t="shared" si="2"/>
        <v>435.330215748235</v>
      </c>
      <c r="AE24" s="77">
        <f t="shared" si="3"/>
        <v>805.022203983529</v>
      </c>
      <c r="AF24" s="77">
        <f t="shared" si="4"/>
        <v>2.11779601647061</v>
      </c>
    </row>
    <row r="25" ht="15.75" spans="1:32">
      <c r="A25" s="27" t="s">
        <v>14</v>
      </c>
      <c r="B25" s="28"/>
      <c r="C25" s="28"/>
      <c r="D25" s="28"/>
      <c r="E25" s="28"/>
      <c r="F25" s="28"/>
      <c r="G25" s="28"/>
      <c r="H25" s="28">
        <f>SUM(H5:H24)</f>
        <v>80.8462</v>
      </c>
      <c r="I25" s="28">
        <f>SUM(I5:I24)</f>
        <v>19674.35</v>
      </c>
      <c r="J25" s="28">
        <f>SUM(J4:J4)</f>
        <v>0</v>
      </c>
      <c r="K25" s="55"/>
      <c r="L25" s="56"/>
      <c r="M25" s="55"/>
      <c r="N25" s="55">
        <f t="shared" ref="N25:Q25" si="13">SUM(N4:N4)</f>
        <v>0</v>
      </c>
      <c r="O25" s="28"/>
      <c r="P25" s="28">
        <f t="shared" si="13"/>
        <v>0</v>
      </c>
      <c r="Q25" s="28">
        <f t="shared" si="13"/>
        <v>0</v>
      </c>
      <c r="R25" s="28"/>
      <c r="S25" s="28"/>
      <c r="T25" s="28"/>
      <c r="U25" s="28"/>
      <c r="V25" s="28"/>
      <c r="W25" s="28"/>
      <c r="X25" s="82">
        <f>SUM(X4:X4)</f>
        <v>0</v>
      </c>
      <c r="Y25" s="56"/>
      <c r="Z25" s="56"/>
      <c r="AA25" s="56"/>
      <c r="AB25" s="56"/>
      <c r="AC25" s="55"/>
      <c r="AD25" s="28">
        <f>SUM(AD4:AD4)</f>
        <v>0</v>
      </c>
      <c r="AE25" s="28"/>
      <c r="AF25" s="94">
        <f>SUM(AF5:AF24)</f>
        <v>9409.10831344764</v>
      </c>
    </row>
    <row r="26" customFormat="1" spans="4:29">
      <c r="D26" s="3"/>
      <c r="E26" s="3"/>
      <c r="K26" s="4"/>
      <c r="L26" s="5"/>
      <c r="M26" s="4"/>
      <c r="X26" s="7"/>
      <c r="Y26" s="5"/>
      <c r="Z26" s="5"/>
      <c r="AA26" s="5"/>
      <c r="AB26" s="5"/>
      <c r="AC26" s="4"/>
    </row>
    <row r="27" customFormat="1" spans="4:29">
      <c r="D27" s="3"/>
      <c r="E27" s="3"/>
      <c r="K27" s="4"/>
      <c r="L27" s="5"/>
      <c r="M27" s="4"/>
      <c r="X27" s="7"/>
      <c r="Y27" s="5"/>
      <c r="Z27" s="5"/>
      <c r="AA27" s="5"/>
      <c r="AB27" s="5"/>
      <c r="AC27" s="4"/>
    </row>
    <row r="28" customFormat="1" spans="4:29">
      <c r="D28" s="3"/>
      <c r="E28" s="3"/>
      <c r="K28" s="4"/>
      <c r="L28" s="5"/>
      <c r="M28" s="4"/>
      <c r="X28" s="7"/>
      <c r="Y28" s="5"/>
      <c r="Z28" s="5"/>
      <c r="AA28" s="5"/>
      <c r="AB28" s="5"/>
      <c r="AC28" s="4"/>
    </row>
    <row r="29" customFormat="1" spans="4:29">
      <c r="D29" s="3"/>
      <c r="E29" s="3"/>
      <c r="K29" s="4"/>
      <c r="L29" s="5"/>
      <c r="M29" s="4"/>
      <c r="X29" s="7"/>
      <c r="Y29" s="5"/>
      <c r="Z29" s="5"/>
      <c r="AA29" s="5"/>
      <c r="AB29" s="5"/>
      <c r="AC29" s="4"/>
    </row>
    <row r="30" customFormat="1" spans="4:29">
      <c r="D30" s="3"/>
      <c r="E30" s="3"/>
      <c r="K30" s="4"/>
      <c r="L30" s="5"/>
      <c r="M30" s="4"/>
      <c r="X30" s="7"/>
      <c r="Y30" s="5"/>
      <c r="Z30" s="5"/>
      <c r="AA30" s="5"/>
      <c r="AB30" s="5"/>
      <c r="AC30" s="4"/>
    </row>
    <row r="31" customFormat="1" spans="4:29">
      <c r="D31" s="3"/>
      <c r="E31" s="3"/>
      <c r="K31" s="4"/>
      <c r="L31" s="5"/>
      <c r="M31" s="4"/>
      <c r="X31" s="7"/>
      <c r="Y31" s="5"/>
      <c r="Z31" s="5"/>
      <c r="AA31" s="5"/>
      <c r="AB31" s="5"/>
      <c r="AC31" s="4"/>
    </row>
    <row r="32" customFormat="1" spans="4:29">
      <c r="D32" s="3"/>
      <c r="E32" s="3"/>
      <c r="K32" s="4"/>
      <c r="L32" s="5"/>
      <c r="M32" s="4"/>
      <c r="X32" s="7"/>
      <c r="Y32" s="5"/>
      <c r="Z32" s="5"/>
      <c r="AA32" s="5"/>
      <c r="AB32" s="5"/>
      <c r="AC32" s="4"/>
    </row>
    <row r="33" customFormat="1" spans="4:29">
      <c r="D33" s="3"/>
      <c r="E33" s="3"/>
      <c r="K33" s="4"/>
      <c r="L33" s="5"/>
      <c r="M33" s="4"/>
      <c r="X33" s="7"/>
      <c r="Y33" s="5"/>
      <c r="Z33" s="5"/>
      <c r="AA33" s="5"/>
      <c r="AB33" s="5"/>
      <c r="AC33" s="4"/>
    </row>
    <row r="34" customFormat="1" spans="4:29">
      <c r="D34" s="3"/>
      <c r="E34" s="3"/>
      <c r="K34" s="4"/>
      <c r="L34" s="5"/>
      <c r="M34" s="4"/>
      <c r="X34" s="7"/>
      <c r="Y34" s="5"/>
      <c r="Z34" s="5"/>
      <c r="AA34" s="5"/>
      <c r="AB34" s="5"/>
      <c r="AC34" s="4"/>
    </row>
    <row r="35" customFormat="1" spans="4:29">
      <c r="D35" s="3"/>
      <c r="E35" s="3"/>
      <c r="K35" s="4"/>
      <c r="L35" s="5"/>
      <c r="M35" s="4"/>
      <c r="X35" s="7"/>
      <c r="Y35" s="5"/>
      <c r="Z35" s="5"/>
      <c r="AA35" s="5"/>
      <c r="AB35" s="5"/>
      <c r="AC35" s="4"/>
    </row>
    <row r="36" customFormat="1" spans="4:29">
      <c r="D36" s="3"/>
      <c r="E36" s="3"/>
      <c r="K36" s="4"/>
      <c r="L36" s="5"/>
      <c r="M36" s="4"/>
      <c r="X36" s="7"/>
      <c r="Y36" s="5"/>
      <c r="Z36" s="5"/>
      <c r="AA36" s="5"/>
      <c r="AB36" s="5"/>
      <c r="AC36" s="4"/>
    </row>
    <row r="37" customFormat="1" spans="4:29">
      <c r="D37" s="3"/>
      <c r="E37" s="3"/>
      <c r="K37" s="4"/>
      <c r="L37" s="5"/>
      <c r="M37" s="4"/>
      <c r="X37" s="7"/>
      <c r="Y37" s="5"/>
      <c r="Z37" s="5"/>
      <c r="AA37" s="5"/>
      <c r="AB37" s="5"/>
      <c r="AC37" s="4"/>
    </row>
    <row r="38" customFormat="1" spans="4:29">
      <c r="D38" s="3"/>
      <c r="E38" s="3"/>
      <c r="K38" s="4"/>
      <c r="L38" s="5"/>
      <c r="M38" s="4"/>
      <c r="X38" s="7"/>
      <c r="Y38" s="5"/>
      <c r="Z38" s="5"/>
      <c r="AA38" s="5"/>
      <c r="AB38" s="5"/>
      <c r="AC38" s="4"/>
    </row>
    <row r="39" customFormat="1" spans="4:29">
      <c r="D39" s="3"/>
      <c r="E39" s="3"/>
      <c r="K39" s="4"/>
      <c r="L39" s="5"/>
      <c r="M39" s="4"/>
      <c r="X39" s="7"/>
      <c r="Y39" s="5"/>
      <c r="Z39" s="5"/>
      <c r="AA39" s="5"/>
      <c r="AB39" s="5"/>
      <c r="AC39" s="4"/>
    </row>
    <row r="40" customFormat="1" spans="4:29">
      <c r="D40" s="3"/>
      <c r="E40" s="3"/>
      <c r="K40" s="4"/>
      <c r="L40" s="5"/>
      <c r="M40" s="4"/>
      <c r="X40" s="7"/>
      <c r="Y40" s="5"/>
      <c r="Z40" s="5"/>
      <c r="AA40" s="5"/>
      <c r="AB40" s="5"/>
      <c r="AC40" s="4"/>
    </row>
    <row r="41" customFormat="1" spans="4:29">
      <c r="D41" s="3"/>
      <c r="E41" s="3"/>
      <c r="K41" s="4"/>
      <c r="L41" s="5"/>
      <c r="M41" s="4"/>
      <c r="X41" s="7"/>
      <c r="Y41" s="5"/>
      <c r="Z41" s="5"/>
      <c r="AA41" s="5"/>
      <c r="AB41" s="5"/>
      <c r="AC41" s="4"/>
    </row>
  </sheetData>
  <autoFilter xmlns:etc="http://www.wps.cn/officeDocument/2017/etCustomData" ref="A3:AF25" etc:filterBottomFollowUsedRange="0">
    <extLst/>
  </autoFilter>
  <mergeCells count="21">
    <mergeCell ref="A1:AF1"/>
    <mergeCell ref="J3:P3"/>
    <mergeCell ref="R3:V3"/>
    <mergeCell ref="Y3:AD3"/>
    <mergeCell ref="A3:A4"/>
    <mergeCell ref="A5:A24"/>
    <mergeCell ref="B3:B4"/>
    <mergeCell ref="B5:B24"/>
    <mergeCell ref="C3:C4"/>
    <mergeCell ref="D3:D4"/>
    <mergeCell ref="E3:E4"/>
    <mergeCell ref="F3:F4"/>
    <mergeCell ref="G3:G4"/>
    <mergeCell ref="H3:H4"/>
    <mergeCell ref="I3:I4"/>
    <mergeCell ref="Q3:Q4"/>
    <mergeCell ref="Q5:Q24"/>
    <mergeCell ref="R5:R24"/>
    <mergeCell ref="W3:W4"/>
    <mergeCell ref="X3:X4"/>
    <mergeCell ref="AF3:AF4"/>
  </mergeCells>
  <pageMargins left="0.75" right="0.75" top="1" bottom="1" header="0.5" footer="0.5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总表</vt:lpstr>
      <vt:lpstr>总表 (2)</vt:lpstr>
      <vt:lpstr>JOB070344</vt:lpstr>
      <vt:lpstr>JOB070349</vt:lpstr>
      <vt:lpstr>JOB070360</vt:lpstr>
      <vt:lpstr>JOB070370</vt:lpstr>
      <vt:lpstr>JOB070375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2020-12-16T06:30:00Z</dcterms:created>
  <dcterms:modified xsi:type="dcterms:W3CDTF">2025-07-28T08:47:47Z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5B5154A60FF74DFC8ED3EF61905B62BC</vt:lpwstr>
  </property>
  <property fmtid="{D5CDD505-2E9C-101B-9397-08002B2CF9AE}" pid="4" name="commondata">
    <vt:lpwstr>eyJoZGlkIjoiYTYxNDVjYTE0NTdmMWZiNThiMzQ1NGY2ZWQwODMwZTQifQ==</vt:lpwstr>
  </property>
</Properties>
</file>