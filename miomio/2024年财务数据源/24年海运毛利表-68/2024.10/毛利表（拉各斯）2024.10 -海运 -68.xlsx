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60" activeTab="10"/>
  </bookViews>
  <sheets>
    <sheet name="总表 " sheetId="3" r:id="rId1"/>
    <sheet name="总表  (2)" sheetId="4" r:id="rId2"/>
    <sheet name="JOB100358" sheetId="5" r:id="rId3"/>
    <sheet name="JOB100359" sheetId="6" r:id="rId4"/>
    <sheet name="JOB100360" sheetId="7" r:id="rId5"/>
    <sheet name="JOB100361" sheetId="8" r:id="rId6"/>
    <sheet name="JOB100362" sheetId="9" r:id="rId7"/>
    <sheet name="JOB100331" sheetId="10" r:id="rId8"/>
    <sheet name="JOB100363" sheetId="11" r:id="rId9"/>
    <sheet name="JOB100364" sheetId="12" r:id="rId10"/>
    <sheet name="JOB100365" sheetId="13" r:id="rId11"/>
    <sheet name="JOB100366" sheetId="14" r:id="rId12"/>
    <sheet name="JOB120359" sheetId="15" r:id="rId13"/>
  </sheets>
  <definedNames>
    <definedName name="_xlnm._FilterDatabase" localSheetId="0" hidden="1">'总表 '!$A$2:$C$176</definedName>
    <definedName name="_xlnm._FilterDatabase" localSheetId="1" hidden="1">'总表  (2)'!$A$2:$AF$176</definedName>
    <definedName name="_xlnm._FilterDatabase" localSheetId="2" hidden="1">'JOB100358'!$A$3:$AF$26</definedName>
    <definedName name="_xlnm._FilterDatabase" localSheetId="3" hidden="1">'JOB100359'!$A$3:$AF$15</definedName>
    <definedName name="_xlnm._FilterDatabase" localSheetId="4" hidden="1">'JOB100360'!$A$3:$AF$15</definedName>
    <definedName name="_xlnm._FilterDatabase" localSheetId="5" hidden="1">'JOB100361'!$A$3:$AF$23</definedName>
    <definedName name="_xlnm._FilterDatabase" localSheetId="6" hidden="1">'JOB100362'!$A$3:$AF$26</definedName>
    <definedName name="_xlnm._FilterDatabase" localSheetId="7" hidden="1">'JOB100331'!$A$3:$AF$31</definedName>
    <definedName name="_xlnm._FilterDatabase" localSheetId="8" hidden="1">'JOB100363'!$A$3:$AF$30</definedName>
    <definedName name="_xlnm._FilterDatabase" localSheetId="9" hidden="1">'JOB100364'!$A$3:$AF$25</definedName>
    <definedName name="_xlnm._FilterDatabase" localSheetId="10" hidden="1">'JOB100365'!$A$3:$AF$14</definedName>
    <definedName name="_xlnm._FilterDatabase" localSheetId="11" hidden="1">'JOB100366'!$A$2:$AF$15</definedName>
    <definedName name="_xlnm._FilterDatabase" localSheetId="12" hidden="1">'JOB120359'!$A$2:$AF$5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J4" authorId="0">
      <text>
        <r>
          <rPr>
            <sz val="9"/>
            <rFont val="宋体"/>
            <charset val="134"/>
          </rPr>
          <t xml:space="preserve">到付USD210.82转预付1549.3
</t>
        </r>
      </text>
    </comment>
    <comment ref="J7" authorId="0">
      <text>
        <r>
          <rPr>
            <sz val="9"/>
            <rFont val="宋体"/>
            <charset val="134"/>
          </rPr>
          <t xml:space="preserve">到付USD63.01转预付468.7.
</t>
        </r>
      </text>
    </comment>
    <comment ref="J8" authorId="0">
      <text>
        <r>
          <rPr>
            <sz val="9"/>
            <rFont val="宋体"/>
            <charset val="134"/>
          </rPr>
          <t xml:space="preserve">到付USD476.3转预付3500.8.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到付USD2476.52转预付17401.3
</t>
        </r>
      </text>
    </comment>
    <comment ref="J14" authorId="0">
      <text>
        <r>
          <rPr>
            <sz val="9"/>
            <rFont val="宋体"/>
            <charset val="134"/>
          </rPr>
          <t xml:space="preserve">到付USD328.6转预付2382.35
</t>
        </r>
      </text>
    </comment>
    <comment ref="J15" authorId="0">
      <text>
        <r>
          <rPr>
            <sz val="9"/>
            <rFont val="宋体"/>
            <charset val="134"/>
          </rPr>
          <t xml:space="preserve">到付USD482.3转预付3879.
</t>
        </r>
      </text>
    </comment>
    <comment ref="J16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J18" authorId="0">
      <text>
        <r>
          <rPr>
            <sz val="9"/>
            <rFont val="宋体"/>
            <charset val="134"/>
          </rPr>
          <t xml:space="preserve">到付USD479.87转预付3441.
</t>
        </r>
      </text>
    </comment>
    <comment ref="J21" authorId="0">
      <text>
        <r>
          <rPr>
            <sz val="9"/>
            <rFont val="宋体"/>
            <charset val="134"/>
          </rPr>
          <t xml:space="preserve">到付USD92.9转预付678.17
</t>
        </r>
      </text>
    </comment>
    <comment ref="J23" authorId="0">
      <text>
        <r>
          <rPr>
            <sz val="9"/>
            <rFont val="宋体"/>
            <charset val="134"/>
          </rPr>
          <t xml:space="preserve">到付USD4043.23转预付29515.58
</t>
        </r>
      </text>
    </comment>
    <comment ref="J24" authorId="0">
      <text>
        <r>
          <rPr>
            <sz val="9"/>
            <rFont val="宋体"/>
            <charset val="134"/>
          </rPr>
          <t xml:space="preserve">到付USD838.8转预付6123.24
</t>
        </r>
      </text>
    </comment>
    <comment ref="J27" authorId="0">
      <text>
        <r>
          <rPr>
            <sz val="9"/>
            <rFont val="宋体"/>
            <charset val="134"/>
          </rPr>
          <t xml:space="preserve">到付USD2840转=预付20732
</t>
        </r>
      </text>
    </comment>
    <comment ref="J28" authorId="0">
      <text>
        <r>
          <rPr>
            <sz val="9"/>
            <rFont val="宋体"/>
            <charset val="134"/>
          </rPr>
          <t xml:space="preserve">到付USD2476.52转预付17401.3
</t>
        </r>
      </text>
    </comment>
    <comment ref="J31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J32" authorId="0">
      <text>
        <r>
          <rPr>
            <sz val="9"/>
            <rFont val="宋体"/>
            <charset val="134"/>
          </rPr>
          <t xml:space="preserve">到付USD1286.74转预付9341.73
</t>
        </r>
      </text>
    </comment>
    <comment ref="J34" authorId="0">
      <text>
        <r>
          <rPr>
            <sz val="9"/>
            <rFont val="宋体"/>
            <charset val="134"/>
          </rPr>
          <t xml:space="preserve">到付USD3917.96转预付28601.11
</t>
        </r>
      </text>
    </comment>
    <comment ref="J36" authorId="0">
      <text>
        <r>
          <rPr>
            <sz val="9"/>
            <rFont val="宋体"/>
            <charset val="134"/>
          </rPr>
          <t xml:space="preserve">到付USD1486转预付10847.8
</t>
        </r>
      </text>
    </comment>
    <comment ref="J38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J41" authorId="0">
      <text>
        <r>
          <rPr>
            <sz val="9"/>
            <rFont val="宋体"/>
            <charset val="134"/>
          </rPr>
          <t xml:space="preserve">到付USD4556.51转预付33080.26
</t>
        </r>
      </text>
    </comment>
    <comment ref="J44" authorId="0">
      <text>
        <r>
          <rPr>
            <sz val="9"/>
            <rFont val="宋体"/>
            <charset val="134"/>
          </rPr>
          <t xml:space="preserve">到付USD25.59转预付186.81
</t>
        </r>
      </text>
    </comment>
    <comment ref="V45" authorId="0">
      <text>
        <r>
          <rPr>
            <b/>
            <sz val="9"/>
            <rFont val="宋体"/>
            <charset val="134"/>
          </rPr>
          <t>800元叉车费用</t>
        </r>
        <r>
          <rPr>
            <sz val="9"/>
            <rFont val="宋体"/>
            <charset val="134"/>
          </rPr>
          <t xml:space="preserve">
</t>
        </r>
      </text>
    </comment>
    <comment ref="J47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J48" authorId="0">
      <text>
        <r>
          <rPr>
            <sz val="9"/>
            <rFont val="宋体"/>
            <charset val="134"/>
          </rPr>
          <t xml:space="preserve">到付USD259.28转预付3329.79.
</t>
        </r>
      </text>
    </comment>
    <comment ref="J49" authorId="0">
      <text>
        <r>
          <rPr>
            <sz val="9"/>
            <rFont val="宋体"/>
            <charset val="134"/>
          </rPr>
          <t xml:space="preserve">到付USD150.02转预付1095.15
</t>
        </r>
      </text>
    </comment>
    <comment ref="J50" authorId="0">
      <text>
        <r>
          <rPr>
            <sz val="9"/>
            <rFont val="宋体"/>
            <charset val="134"/>
          </rPr>
          <t xml:space="preserve">预付148.17转预付1163.
</t>
        </r>
      </text>
    </comment>
    <comment ref="J51" authorId="0">
      <text>
        <r>
          <rPr>
            <sz val="9"/>
            <rFont val="宋体"/>
            <charset val="134"/>
          </rPr>
          <t xml:space="preserve">到付USD28.56转预付223.3
</t>
        </r>
      </text>
    </comment>
    <comment ref="J52" authorId="0">
      <text>
        <r>
          <rPr>
            <sz val="9"/>
            <rFont val="宋体"/>
            <charset val="134"/>
          </rPr>
          <t>到付USD164.3转预付1191.18.</t>
        </r>
      </text>
    </comment>
    <comment ref="J53" authorId="0">
      <text>
        <r>
          <rPr>
            <sz val="9"/>
            <rFont val="宋体"/>
            <charset val="134"/>
          </rPr>
          <t>到付USD42.7转预付309.58.</t>
        </r>
      </text>
    </comment>
    <comment ref="J54" authorId="0">
      <text>
        <r>
          <rPr>
            <sz val="9"/>
            <rFont val="宋体"/>
            <charset val="134"/>
          </rPr>
          <t xml:space="preserve">到付USD3011.82转预付21865.81
</t>
        </r>
      </text>
    </comment>
    <comment ref="J55" authorId="0">
      <text>
        <r>
          <rPr>
            <sz val="9"/>
            <rFont val="宋体"/>
            <charset val="134"/>
          </rPr>
          <t xml:space="preserve">到付USD174.49转预付1266.8
</t>
        </r>
      </text>
    </comment>
    <comment ref="J56" authorId="0">
      <text>
        <r>
          <rPr>
            <sz val="9"/>
            <rFont val="宋体"/>
            <charset val="134"/>
          </rPr>
          <t xml:space="preserve">到付USD4841.94转预付35152.53
</t>
        </r>
      </text>
    </comment>
    <comment ref="J59" authorId="0">
      <text>
        <r>
          <rPr>
            <sz val="9"/>
            <rFont val="宋体"/>
            <charset val="134"/>
          </rPr>
          <t xml:space="preserve">到付USD758.85转预付5539.61
</t>
        </r>
      </text>
    </comment>
    <comment ref="J62" authorId="0">
      <text>
        <r>
          <rPr>
            <sz val="9"/>
            <rFont val="宋体"/>
            <charset val="134"/>
          </rPr>
          <t xml:space="preserve">到付USD696.72转预付5086.06
</t>
        </r>
      </text>
    </comment>
    <comment ref="J63" authorId="0">
      <text>
        <r>
          <rPr>
            <sz val="9"/>
            <rFont val="宋体"/>
            <charset val="134"/>
          </rPr>
          <t xml:space="preserve">预付148.17转预付1163.
</t>
        </r>
      </text>
    </comment>
    <comment ref="J64" authorId="0">
      <text>
        <r>
          <rPr>
            <sz val="9"/>
            <rFont val="宋体"/>
            <charset val="134"/>
          </rPr>
          <t xml:space="preserve">到付USD12286.2转预付89521
</t>
        </r>
      </text>
    </comment>
    <comment ref="J65" authorId="0">
      <text>
        <r>
          <rPr>
            <sz val="9"/>
            <rFont val="宋体"/>
            <charset val="134"/>
          </rPr>
          <t xml:space="preserve">到付USD44.57转预付344.
</t>
        </r>
      </text>
    </comment>
    <comment ref="J66" authorId="0">
      <text>
        <r>
          <rPr>
            <sz val="9"/>
            <rFont val="宋体"/>
            <charset val="134"/>
          </rPr>
          <t xml:space="preserve">到付USD969.6转预付7039.3
</t>
        </r>
      </text>
    </comment>
    <comment ref="J67" authorId="0">
      <text>
        <r>
          <rPr>
            <sz val="9"/>
            <rFont val="宋体"/>
            <charset val="134"/>
          </rPr>
          <t xml:space="preserve">到付USD468.58转预付3453.03
</t>
        </r>
      </text>
    </comment>
    <comment ref="J74" authorId="0">
      <text>
        <r>
          <rPr>
            <b/>
            <sz val="9"/>
            <rFont val="宋体"/>
            <charset val="134"/>
          </rPr>
          <t>24/12微信支付代垫运费7012.80元</t>
        </r>
      </text>
    </comment>
    <comment ref="N82" authorId="0">
      <text>
        <r>
          <rPr>
            <sz val="9"/>
            <rFont val="宋体"/>
            <charset val="134"/>
          </rPr>
          <t>已支付27.47欠18.6</t>
        </r>
      </text>
    </comment>
    <comment ref="J86" authorId="0">
      <text>
        <r>
          <rPr>
            <sz val="9"/>
            <rFont val="宋体"/>
            <charset val="134"/>
          </rPr>
          <t xml:space="preserve">到付USD1728转预付12614.4
</t>
        </r>
      </text>
    </comment>
    <comment ref="J87" authorId="0">
      <text>
        <r>
          <rPr>
            <sz val="9"/>
            <rFont val="宋体"/>
            <charset val="134"/>
          </rPr>
          <t xml:space="preserve">到付USD486.5转预付3551.45
</t>
        </r>
      </text>
    </comment>
    <comment ref="J90" authorId="0">
      <text>
        <r>
          <rPr>
            <sz val="9"/>
            <rFont val="宋体"/>
            <charset val="134"/>
          </rPr>
          <t xml:space="preserve">到付USD12286.2转预付89521
</t>
        </r>
      </text>
    </comment>
    <comment ref="J91" authorId="0">
      <text>
        <r>
          <rPr>
            <sz val="9"/>
            <rFont val="宋体"/>
            <charset val="134"/>
          </rPr>
          <t xml:space="preserve">预付726.4转预付5051.6
</t>
        </r>
      </text>
    </comment>
    <comment ref="J92" authorId="0">
      <text>
        <r>
          <rPr>
            <sz val="9"/>
            <rFont val="宋体"/>
            <charset val="134"/>
          </rPr>
          <t xml:space="preserve">到付USD770.12转预付5660.38.
</t>
        </r>
      </text>
    </comment>
    <comment ref="J93" authorId="0">
      <text>
        <r>
          <rPr>
            <sz val="9"/>
            <rFont val="宋体"/>
            <charset val="134"/>
          </rPr>
          <t xml:space="preserve">到付USD191.31转预付1396.56.
</t>
        </r>
      </text>
    </comment>
    <comment ref="J95" authorId="0">
      <text>
        <r>
          <rPr>
            <sz val="9"/>
            <rFont val="宋体"/>
            <charset val="134"/>
          </rPr>
          <t xml:space="preserve">到付USD205.46转预付1502.2
</t>
        </r>
      </text>
    </comment>
    <comment ref="J96" authorId="0">
      <text>
        <r>
          <rPr>
            <sz val="9"/>
            <rFont val="宋体"/>
            <charset val="134"/>
          </rPr>
          <t xml:space="preserve">到付USD1365.6转预付9968.88
</t>
        </r>
      </text>
    </comment>
    <comment ref="J97" authorId="0">
      <text>
        <r>
          <rPr>
            <sz val="9"/>
            <rFont val="宋体"/>
            <charset val="134"/>
          </rPr>
          <t xml:space="preserve">到付USD2110.39转预付16400.
</t>
        </r>
      </text>
    </comment>
    <comment ref="J104" authorId="0">
      <text>
        <r>
          <rPr>
            <sz val="9"/>
            <rFont val="宋体"/>
            <charset val="134"/>
          </rPr>
          <t xml:space="preserve">到付USD217.75转预付1773.41.
</t>
        </r>
      </text>
    </comment>
    <comment ref="J107" authorId="0">
      <text>
        <r>
          <rPr>
            <sz val="9"/>
            <rFont val="宋体"/>
            <charset val="134"/>
          </rPr>
          <t>到付USD1566.6转预付11415.02.</t>
        </r>
      </text>
    </comment>
    <comment ref="J108" authorId="0">
      <text>
        <r>
          <rPr>
            <sz val="9"/>
            <rFont val="宋体"/>
            <charset val="134"/>
          </rPr>
          <t xml:space="preserve">到付USD385.73转预付2812.99.
</t>
        </r>
      </text>
    </comment>
    <comment ref="J110" authorId="0">
      <text>
        <r>
          <rPr>
            <sz val="9"/>
            <rFont val="宋体"/>
            <charset val="134"/>
          </rPr>
          <t xml:space="preserve">到付USD12286.2转预付89521
</t>
        </r>
      </text>
    </comment>
    <comment ref="J111" authorId="0">
      <text>
        <r>
          <rPr>
            <sz val="9"/>
            <rFont val="宋体"/>
            <charset val="134"/>
          </rPr>
          <t xml:space="preserve">到付USD1728转预付12614.4
</t>
        </r>
      </text>
    </comment>
    <comment ref="J113" authorId="0">
      <text>
        <r>
          <rPr>
            <sz val="9"/>
            <rFont val="宋体"/>
            <charset val="134"/>
          </rPr>
          <t xml:space="preserve">到付USD232.06转预付1819.
</t>
        </r>
      </text>
    </comment>
    <comment ref="J116" authorId="0">
      <text>
        <r>
          <rPr>
            <sz val="9"/>
            <rFont val="宋体"/>
            <charset val="134"/>
          </rPr>
          <t xml:space="preserve">到付USD7832.22转预付57160.
</t>
        </r>
      </text>
    </comment>
    <comment ref="J118" authorId="0">
      <text>
        <r>
          <rPr>
            <sz val="9"/>
            <rFont val="宋体"/>
            <charset val="134"/>
          </rPr>
          <t xml:space="preserve">到付USD378.49转预付2950.46.
</t>
        </r>
      </text>
    </comment>
    <comment ref="J120" authorId="0">
      <text>
        <r>
          <rPr>
            <sz val="9"/>
            <rFont val="宋体"/>
            <charset val="134"/>
          </rPr>
          <t xml:space="preserve">到付USD21.74转预付397.5
</t>
        </r>
      </text>
    </comment>
    <comment ref="J122" authorId="0">
      <text>
        <r>
          <rPr>
            <sz val="9"/>
            <rFont val="宋体"/>
            <charset val="134"/>
          </rPr>
          <t xml:space="preserve">到付USD81.13转预付595.4.
</t>
        </r>
      </text>
    </comment>
    <comment ref="J125" authorId="0">
      <text>
        <r>
          <rPr>
            <sz val="9"/>
            <rFont val="宋体"/>
            <charset val="134"/>
          </rPr>
          <t xml:space="preserve">到付USD132.9转预付1201.
</t>
        </r>
      </text>
    </comment>
    <comment ref="J127" authorId="0">
      <text>
        <r>
          <rPr>
            <sz val="9"/>
            <rFont val="宋体"/>
            <charset val="134"/>
          </rPr>
          <t xml:space="preserve">到付USD77.55转预付489.22
</t>
        </r>
      </text>
    </comment>
    <comment ref="J133" authorId="0">
      <text>
        <r>
          <rPr>
            <sz val="9"/>
            <rFont val="宋体"/>
            <charset val="134"/>
          </rPr>
          <t xml:space="preserve">到付USD2812.74转预付20686.
</t>
        </r>
      </text>
    </comment>
    <comment ref="J135" authorId="0">
      <text>
        <r>
          <rPr>
            <sz val="9"/>
            <rFont val="宋体"/>
            <charset val="134"/>
          </rPr>
          <t xml:space="preserve">到付USD1868.3转预付13408.72.
</t>
        </r>
      </text>
    </comment>
    <comment ref="J136" authorId="0">
      <text>
        <r>
          <rPr>
            <sz val="9"/>
            <rFont val="宋体"/>
            <charset val="134"/>
          </rPr>
          <t xml:space="preserve">到付USD182.7转预付1326.75.
</t>
        </r>
      </text>
    </comment>
    <comment ref="J137" authorId="0">
      <text>
        <r>
          <rPr>
            <sz val="9"/>
            <rFont val="宋体"/>
            <charset val="134"/>
          </rPr>
          <t xml:space="preserve">到付USD2812.74转预付20686.
</t>
        </r>
      </text>
    </comment>
    <comment ref="J138" authorId="0">
      <text>
        <r>
          <rPr>
            <sz val="9"/>
            <rFont val="宋体"/>
            <charset val="134"/>
          </rPr>
          <t>到付USD532.5转预付3860.6.</t>
        </r>
      </text>
    </comment>
    <comment ref="J143" authorId="0">
      <text>
        <r>
          <rPr>
            <sz val="9"/>
            <rFont val="宋体"/>
            <charset val="134"/>
          </rPr>
          <t xml:space="preserve">到付USD30转预付220.5.
</t>
        </r>
      </text>
    </comment>
    <comment ref="J144" authorId="0">
      <text>
        <r>
          <rPr>
            <sz val="9"/>
            <rFont val="宋体"/>
            <charset val="134"/>
          </rPr>
          <t xml:space="preserve">到付USD297.95转预付2175.03.
</t>
        </r>
      </text>
    </comment>
    <comment ref="J147" authorId="0">
      <text>
        <r>
          <rPr>
            <sz val="9"/>
            <rFont val="宋体"/>
            <charset val="134"/>
          </rPr>
          <t xml:space="preserve">到付USD482.97转预付3525.68
</t>
        </r>
      </text>
    </comment>
    <comment ref="J148" authorId="0">
      <text>
        <r>
          <rPr>
            <sz val="9"/>
            <rFont val="宋体"/>
            <charset val="134"/>
          </rPr>
          <t xml:space="preserve">到付USD356.4转预付2601.72
</t>
        </r>
      </text>
    </comment>
    <comment ref="J154" authorId="0">
      <text>
        <r>
          <rPr>
            <sz val="9"/>
            <rFont val="宋体"/>
            <charset val="134"/>
          </rPr>
          <t xml:space="preserve">到付USD4210.86转预付30739.28
</t>
        </r>
      </text>
    </comment>
    <comment ref="J155" authorId="0">
      <text>
        <r>
          <rPr>
            <sz val="9"/>
            <rFont val="宋体"/>
            <charset val="134"/>
          </rPr>
          <t xml:space="preserve">到付USD1212.84转预付8910.
</t>
        </r>
      </text>
    </comment>
    <comment ref="J159" authorId="0">
      <text>
        <r>
          <rPr>
            <sz val="9"/>
            <rFont val="宋体"/>
            <charset val="134"/>
          </rPr>
          <t xml:space="preserve">到付USD14.73转预付107.53
</t>
        </r>
      </text>
    </comment>
    <comment ref="J161" authorId="0">
      <text>
        <r>
          <rPr>
            <sz val="9"/>
            <rFont val="宋体"/>
            <charset val="134"/>
          </rPr>
          <t xml:space="preserve">到付USD171.45转预付1251.59
</t>
        </r>
      </text>
    </comment>
    <comment ref="J162" authorId="0">
      <text>
        <r>
          <rPr>
            <sz val="9"/>
            <rFont val="宋体"/>
            <charset val="134"/>
          </rPr>
          <t xml:space="preserve">到付USD552.83转预付4035.66
</t>
        </r>
      </text>
    </comment>
    <comment ref="J163" authorId="0">
      <text>
        <r>
          <rPr>
            <sz val="9"/>
            <rFont val="宋体"/>
            <charset val="134"/>
          </rPr>
          <t xml:space="preserve">到付USD5707.56转预付41664.19
</t>
        </r>
      </text>
    </comment>
    <comment ref="N164" authorId="0">
      <text>
        <r>
          <rPr>
            <sz val="9"/>
            <rFont val="宋体"/>
            <charset val="134"/>
          </rPr>
          <t xml:space="preserve">预付4825.14转到付USD678.64.
</t>
        </r>
      </text>
    </comment>
    <comment ref="N165" authorId="0">
      <text>
        <r>
          <rPr>
            <sz val="9"/>
            <rFont val="宋体"/>
            <charset val="134"/>
          </rPr>
          <t xml:space="preserve">预付477.2转到付USD67.11
</t>
        </r>
      </text>
    </comment>
    <comment ref="J170" authorId="0">
      <text>
        <r>
          <rPr>
            <sz val="9"/>
            <rFont val="宋体"/>
            <charset val="134"/>
          </rPr>
          <t xml:space="preserve">到付USD1725.37转预付13095.
</t>
        </r>
      </text>
    </comment>
    <comment ref="J172" authorId="0">
      <text>
        <r>
          <rPr>
            <sz val="9"/>
            <rFont val="宋体"/>
            <charset val="134"/>
          </rPr>
          <t xml:space="preserve">到付USD20.4转预付150.
</t>
        </r>
      </text>
    </comment>
    <comment ref="J174" authorId="0">
      <text>
        <r>
          <rPr>
            <sz val="9"/>
            <rFont val="宋体"/>
            <charset val="134"/>
          </rPr>
          <t xml:space="preserve">到付USD5960.11转预付43508.8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到付USD210.82转预付1549.3
</t>
        </r>
      </text>
    </comment>
    <comment ref="J8" authorId="0">
      <text>
        <r>
          <rPr>
            <sz val="9"/>
            <rFont val="宋体"/>
            <charset val="134"/>
          </rPr>
          <t xml:space="preserve">到付USD63.01转预付468.7.
</t>
        </r>
      </text>
    </comment>
    <comment ref="J9" authorId="0">
      <text>
        <r>
          <rPr>
            <sz val="9"/>
            <rFont val="宋体"/>
            <charset val="134"/>
          </rPr>
          <t xml:space="preserve">到付USD476.3转预付3500.8.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到付USD2476.52转预付17401.3
</t>
        </r>
      </text>
    </comment>
    <comment ref="J15" authorId="0">
      <text>
        <r>
          <rPr>
            <sz val="9"/>
            <rFont val="宋体"/>
            <charset val="134"/>
          </rPr>
          <t xml:space="preserve">到付USD328.6转预付2382.35
</t>
        </r>
      </text>
    </comment>
    <comment ref="J16" authorId="0">
      <text>
        <r>
          <rPr>
            <sz val="9"/>
            <rFont val="宋体"/>
            <charset val="134"/>
          </rPr>
          <t xml:space="preserve">到付USD482.3转预付3879.
</t>
        </r>
      </text>
    </comment>
    <comment ref="J17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J19" authorId="0">
      <text>
        <r>
          <rPr>
            <sz val="9"/>
            <rFont val="宋体"/>
            <charset val="134"/>
          </rPr>
          <t xml:space="preserve">到付USD479.87转预付3441.
</t>
        </r>
      </text>
    </comment>
    <comment ref="J22" authorId="0">
      <text>
        <r>
          <rPr>
            <sz val="9"/>
            <rFont val="宋体"/>
            <charset val="134"/>
          </rPr>
          <t xml:space="preserve">到付USD92.9转预付678.17
</t>
        </r>
      </text>
    </comment>
    <comment ref="J24" authorId="0">
      <text>
        <r>
          <rPr>
            <sz val="9"/>
            <rFont val="宋体"/>
            <charset val="134"/>
          </rPr>
          <t xml:space="preserve">到付USD4043.23转预付29515.58
</t>
        </r>
      </text>
    </comment>
    <comment ref="J25" authorId="0">
      <text>
        <r>
          <rPr>
            <sz val="9"/>
            <rFont val="宋体"/>
            <charset val="134"/>
          </rPr>
          <t xml:space="preserve">到付USD838.8转预付6123.24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J7" authorId="0">
      <text>
        <r>
          <rPr>
            <sz val="9"/>
            <rFont val="宋体"/>
            <charset val="134"/>
          </rPr>
          <t xml:space="preserve">到付USD2840转=预付20732
</t>
        </r>
      </text>
    </comment>
    <comment ref="J8" authorId="0">
      <text>
        <r>
          <rPr>
            <sz val="9"/>
            <rFont val="宋体"/>
            <charset val="134"/>
          </rPr>
          <t xml:space="preserve">到付USD2476.52转预付17401.3
</t>
        </r>
      </text>
    </comment>
    <comment ref="J11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到付USD1286.74转预付9341.73
</t>
        </r>
      </text>
    </comment>
    <comment ref="J14" authorId="0">
      <text>
        <r>
          <rPr>
            <sz val="9"/>
            <rFont val="宋体"/>
            <charset val="134"/>
          </rPr>
          <t xml:space="preserve">到付USD3917.96转预付28601.11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J6" authorId="0">
      <text>
        <r>
          <rPr>
            <sz val="9"/>
            <rFont val="宋体"/>
            <charset val="134"/>
          </rPr>
          <t xml:space="preserve">到付USD1486转预付10847.8
</t>
        </r>
      </text>
    </comment>
    <comment ref="J8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到付USD4556.51转预付33080.26
</t>
        </r>
      </text>
    </comment>
    <comment ref="J14" authorId="0">
      <text>
        <r>
          <rPr>
            <sz val="9"/>
            <rFont val="宋体"/>
            <charset val="134"/>
          </rPr>
          <t xml:space="preserve">到付USD25.59转预付186.81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V5" authorId="0">
      <text>
        <r>
          <rPr>
            <b/>
            <sz val="9"/>
            <rFont val="宋体"/>
            <charset val="134"/>
          </rPr>
          <t>800元叉车费用</t>
        </r>
        <r>
          <rPr>
            <sz val="9"/>
            <rFont val="宋体"/>
            <charset val="134"/>
          </rPr>
          <t xml:space="preserve">
</t>
        </r>
      </text>
    </comment>
    <comment ref="J7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J8" authorId="0">
      <text>
        <r>
          <rPr>
            <sz val="9"/>
            <rFont val="宋体"/>
            <charset val="134"/>
          </rPr>
          <t xml:space="preserve">到付USD259.28转预付3329.79.
</t>
        </r>
      </text>
    </comment>
    <comment ref="J9" authorId="0">
      <text>
        <r>
          <rPr>
            <sz val="9"/>
            <rFont val="宋体"/>
            <charset val="134"/>
          </rPr>
          <t xml:space="preserve">到付USD150.02转预付1095.15
</t>
        </r>
      </text>
    </comment>
    <comment ref="J10" authorId="0">
      <text>
        <r>
          <rPr>
            <sz val="9"/>
            <rFont val="宋体"/>
            <charset val="134"/>
          </rPr>
          <t xml:space="preserve">预付148.17转预付1163.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到付USD28.56转预付223.3
</t>
        </r>
      </text>
    </comment>
    <comment ref="J12" authorId="0">
      <text>
        <r>
          <rPr>
            <sz val="9"/>
            <rFont val="宋体"/>
            <charset val="134"/>
          </rPr>
          <t>到付USD164.3转预付1191.18.</t>
        </r>
      </text>
    </comment>
    <comment ref="J13" authorId="0">
      <text>
        <r>
          <rPr>
            <sz val="9"/>
            <rFont val="宋体"/>
            <charset val="134"/>
          </rPr>
          <t>到付USD42.7转预付309.58.</t>
        </r>
      </text>
    </comment>
    <comment ref="J14" authorId="0">
      <text>
        <r>
          <rPr>
            <sz val="9"/>
            <rFont val="宋体"/>
            <charset val="134"/>
          </rPr>
          <t xml:space="preserve">到付USD3011.82转预付21865.81
</t>
        </r>
      </text>
    </comment>
    <comment ref="J15" authorId="0">
      <text>
        <r>
          <rPr>
            <sz val="9"/>
            <rFont val="宋体"/>
            <charset val="134"/>
          </rPr>
          <t xml:space="preserve">到付USD174.49转预付1266.8
</t>
        </r>
      </text>
    </comment>
    <comment ref="J16" authorId="0">
      <text>
        <r>
          <rPr>
            <sz val="9"/>
            <rFont val="宋体"/>
            <charset val="134"/>
          </rPr>
          <t xml:space="preserve">到付USD4841.94转预付35152.53
</t>
        </r>
      </text>
    </comment>
    <comment ref="J19" authorId="0">
      <text>
        <r>
          <rPr>
            <sz val="9"/>
            <rFont val="宋体"/>
            <charset val="134"/>
          </rPr>
          <t xml:space="preserve">到付USD758.85转预付5539.61
</t>
        </r>
      </text>
    </comment>
    <comment ref="J22" authorId="0">
      <text>
        <r>
          <rPr>
            <sz val="9"/>
            <rFont val="宋体"/>
            <charset val="134"/>
          </rPr>
          <t xml:space="preserve">到付USD696.72转预付5086.06
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J6" authorId="0">
      <text>
        <r>
          <rPr>
            <sz val="9"/>
            <rFont val="宋体"/>
            <charset val="134"/>
          </rPr>
          <t xml:space="preserve">到付USD12286.2转预付89521
</t>
        </r>
      </text>
    </comment>
    <comment ref="J7" authorId="0">
      <text>
        <r>
          <rPr>
            <sz val="9"/>
            <rFont val="宋体"/>
            <charset val="134"/>
          </rPr>
          <t xml:space="preserve">预付726.4转预付5051.6
</t>
        </r>
      </text>
    </comment>
    <comment ref="J8" authorId="0">
      <text>
        <r>
          <rPr>
            <sz val="9"/>
            <rFont val="宋体"/>
            <charset val="134"/>
          </rPr>
          <t xml:space="preserve">到付USD770.12转预付5660.38.
</t>
        </r>
      </text>
    </comment>
    <comment ref="J9" authorId="0">
      <text>
        <r>
          <rPr>
            <sz val="9"/>
            <rFont val="宋体"/>
            <charset val="134"/>
          </rPr>
          <t xml:space="preserve">到付USD191.31转预付1396.56.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到付USD205.46转预付1502.2
</t>
        </r>
      </text>
    </comment>
    <comment ref="J12" authorId="0">
      <text>
        <r>
          <rPr>
            <sz val="9"/>
            <rFont val="宋体"/>
            <charset val="134"/>
          </rPr>
          <t xml:space="preserve">到付USD1365.6转预付9968.88
</t>
        </r>
      </text>
    </comment>
    <comment ref="J13" authorId="0">
      <text>
        <r>
          <rPr>
            <sz val="9"/>
            <rFont val="宋体"/>
            <charset val="134"/>
          </rPr>
          <t xml:space="preserve">到付USD2110.39转预付16400.
</t>
        </r>
      </text>
    </comment>
    <comment ref="J20" authorId="0">
      <text>
        <r>
          <rPr>
            <sz val="9"/>
            <rFont val="宋体"/>
            <charset val="134"/>
          </rPr>
          <t xml:space="preserve">到付USD217.75转预付1773.41.
</t>
        </r>
      </text>
    </comment>
    <comment ref="J23" authorId="0">
      <text>
        <r>
          <rPr>
            <sz val="9"/>
            <rFont val="宋体"/>
            <charset val="134"/>
          </rPr>
          <t>到付USD1566.6转预付11415.02.</t>
        </r>
      </text>
    </comment>
    <comment ref="J24" authorId="0">
      <text>
        <r>
          <rPr>
            <sz val="9"/>
            <rFont val="宋体"/>
            <charset val="134"/>
          </rPr>
          <t xml:space="preserve">到付USD385.73转预付2812.99.
</t>
        </r>
      </text>
    </comment>
  </commentList>
</comments>
</file>

<file path=xl/comments7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预付148.17转预付1163.
</t>
        </r>
      </text>
    </comment>
    <comment ref="J6" authorId="0">
      <text>
        <r>
          <rPr>
            <sz val="9"/>
            <rFont val="宋体"/>
            <charset val="134"/>
          </rPr>
          <t xml:space="preserve">到付USD12286.2转预付89521
</t>
        </r>
      </text>
    </comment>
    <comment ref="J7" authorId="0">
      <text>
        <r>
          <rPr>
            <sz val="9"/>
            <rFont val="宋体"/>
            <charset val="134"/>
          </rPr>
          <t xml:space="preserve">到付USD44.57转预付344.
</t>
        </r>
      </text>
    </comment>
    <comment ref="J8" authorId="0">
      <text>
        <r>
          <rPr>
            <sz val="9"/>
            <rFont val="宋体"/>
            <charset val="134"/>
          </rPr>
          <t xml:space="preserve">到付USD969.6转预付7039.3
</t>
        </r>
      </text>
    </comment>
    <comment ref="J9" authorId="0">
      <text>
        <r>
          <rPr>
            <sz val="9"/>
            <rFont val="宋体"/>
            <charset val="134"/>
          </rPr>
          <t xml:space="preserve">到付USD468.58转预付3453.03
</t>
        </r>
      </text>
    </comment>
    <comment ref="J16" authorId="0">
      <text>
        <r>
          <rPr>
            <b/>
            <sz val="9"/>
            <rFont val="宋体"/>
            <charset val="134"/>
          </rPr>
          <t>24/12微信支付代垫运费7012.80元</t>
        </r>
      </text>
    </comment>
    <comment ref="N24" authorId="0">
      <text>
        <r>
          <rPr>
            <sz val="9"/>
            <rFont val="宋体"/>
            <charset val="134"/>
          </rPr>
          <t>已支付27.47欠18.6</t>
        </r>
      </text>
    </comment>
    <comment ref="J28" authorId="0">
      <text>
        <r>
          <rPr>
            <sz val="9"/>
            <rFont val="宋体"/>
            <charset val="134"/>
          </rPr>
          <t xml:space="preserve">到付USD1728转预付12614.4
</t>
        </r>
      </text>
    </comment>
    <comment ref="J29" authorId="0">
      <text>
        <r>
          <rPr>
            <sz val="9"/>
            <rFont val="宋体"/>
            <charset val="134"/>
          </rPr>
          <t xml:space="preserve">到付USD486.5转预付3551.45
</t>
        </r>
      </text>
    </comment>
  </commentList>
</comments>
</file>

<file path=xl/comments8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到付USD12286.2转预付89521
</t>
        </r>
      </text>
    </comment>
    <comment ref="J6" authorId="0">
      <text>
        <r>
          <rPr>
            <sz val="9"/>
            <rFont val="宋体"/>
            <charset val="134"/>
          </rPr>
          <t xml:space="preserve">到付USD1728转预付12614.4
</t>
        </r>
      </text>
    </comment>
    <comment ref="J8" authorId="0">
      <text>
        <r>
          <rPr>
            <sz val="9"/>
            <rFont val="宋体"/>
            <charset val="134"/>
          </rPr>
          <t xml:space="preserve">到付USD232.06转预付1819.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到付USD7832.22转预付57160.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到付USD378.49转预付2950.46.
</t>
        </r>
      </text>
    </comment>
    <comment ref="J15" authorId="0">
      <text>
        <r>
          <rPr>
            <sz val="9"/>
            <rFont val="宋体"/>
            <charset val="134"/>
          </rPr>
          <t xml:space="preserve">到付USD21.74转预付397.5
</t>
        </r>
      </text>
    </comment>
    <comment ref="J17" authorId="0">
      <text>
        <r>
          <rPr>
            <sz val="9"/>
            <rFont val="宋体"/>
            <charset val="134"/>
          </rPr>
          <t xml:space="preserve">到付USD81.13转预付595.4.
</t>
        </r>
      </text>
    </comment>
    <comment ref="J20" authorId="0">
      <text>
        <r>
          <rPr>
            <sz val="9"/>
            <rFont val="宋体"/>
            <charset val="134"/>
          </rPr>
          <t xml:space="preserve">到付USD132.9转预付1201.
</t>
        </r>
      </text>
    </comment>
    <comment ref="J22" authorId="0">
      <text>
        <r>
          <rPr>
            <sz val="9"/>
            <rFont val="宋体"/>
            <charset val="134"/>
          </rPr>
          <t xml:space="preserve">到付USD77.55转预付489.22
</t>
        </r>
      </text>
    </comment>
    <comment ref="J28" authorId="0">
      <text>
        <r>
          <rPr>
            <sz val="9"/>
            <rFont val="宋体"/>
            <charset val="134"/>
          </rPr>
          <t xml:space="preserve">到付USD2812.74转预付20686.
</t>
        </r>
      </text>
    </comment>
  </commentList>
</comments>
</file>

<file path=xl/comments9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到付USD1868.3转预付13408.72.
</t>
        </r>
      </text>
    </comment>
    <comment ref="J6" authorId="0">
      <text>
        <r>
          <rPr>
            <sz val="9"/>
            <rFont val="宋体"/>
            <charset val="134"/>
          </rPr>
          <t xml:space="preserve">到付USD182.7转预付1326.75.
</t>
        </r>
      </text>
    </comment>
    <comment ref="J7" authorId="0">
      <text>
        <r>
          <rPr>
            <sz val="9"/>
            <rFont val="宋体"/>
            <charset val="134"/>
          </rPr>
          <t xml:space="preserve">到付USD2812.74转预付20686.
</t>
        </r>
      </text>
    </comment>
    <comment ref="J8" authorId="0">
      <text>
        <r>
          <rPr>
            <sz val="9"/>
            <rFont val="宋体"/>
            <charset val="134"/>
          </rPr>
          <t>到付USD532.5转预付3860.6.</t>
        </r>
      </text>
    </comment>
    <comment ref="J13" authorId="0">
      <text>
        <r>
          <rPr>
            <sz val="9"/>
            <rFont val="宋体"/>
            <charset val="134"/>
          </rPr>
          <t xml:space="preserve">到付USD30转预付220.5.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到付USD297.95转预付2175.03.
</t>
        </r>
      </text>
    </comment>
    <comment ref="J17" authorId="0">
      <text>
        <r>
          <rPr>
            <sz val="9"/>
            <rFont val="宋体"/>
            <charset val="134"/>
          </rPr>
          <t xml:space="preserve">到付USD482.97转预付3525.68
</t>
        </r>
      </text>
    </comment>
    <comment ref="J18" authorId="0">
      <text>
        <r>
          <rPr>
            <sz val="9"/>
            <rFont val="宋体"/>
            <charset val="134"/>
          </rPr>
          <t xml:space="preserve">到付USD356.4转预付2601.72
</t>
        </r>
      </text>
    </comment>
    <comment ref="J24" authorId="0">
      <text>
        <r>
          <rPr>
            <sz val="9"/>
            <rFont val="宋体"/>
            <charset val="134"/>
          </rPr>
          <t xml:space="preserve">到付USD4210.86转预付30739.28
</t>
        </r>
      </text>
    </comment>
  </commentList>
</comments>
</file>

<file path=xl/comments10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到付USD1212.84转预付8910.
</t>
        </r>
      </text>
    </comment>
    <comment ref="J9" authorId="0">
      <text>
        <r>
          <rPr>
            <sz val="9"/>
            <rFont val="宋体"/>
            <charset val="134"/>
          </rPr>
          <t xml:space="preserve">到付USD14.73转预付107.53
</t>
        </r>
      </text>
    </comment>
    <comment ref="J11" authorId="0">
      <text>
        <r>
          <rPr>
            <sz val="9"/>
            <rFont val="宋体"/>
            <charset val="134"/>
          </rPr>
          <t xml:space="preserve">到付USD171.45转预付1251.59
</t>
        </r>
      </text>
    </comment>
    <comment ref="J12" authorId="0">
      <text>
        <r>
          <rPr>
            <sz val="9"/>
            <rFont val="宋体"/>
            <charset val="134"/>
          </rPr>
          <t xml:space="preserve">到付USD552.83转预付4035.66
</t>
        </r>
      </text>
    </comment>
    <comment ref="J13" authorId="0">
      <text>
        <r>
          <rPr>
            <sz val="9"/>
            <rFont val="宋体"/>
            <charset val="134"/>
          </rPr>
          <t xml:space="preserve">到付USD5707.56转预付41664.19
</t>
        </r>
      </text>
    </comment>
  </commentList>
</comments>
</file>

<file path=xl/comments11.xml><?xml version="1.0" encoding="utf-8"?>
<comments xmlns="http://schemas.openxmlformats.org/spreadsheetml/2006/main">
  <authors>
    <author>30993</author>
  </authors>
  <commentList>
    <comment ref="N4" authorId="0">
      <text>
        <r>
          <rPr>
            <sz val="9"/>
            <rFont val="宋体"/>
            <charset val="134"/>
          </rPr>
          <t xml:space="preserve">预付4825.14转到付USD678.64.
</t>
        </r>
      </text>
    </comment>
    <comment ref="N5" authorId="0">
      <text>
        <r>
          <rPr>
            <sz val="9"/>
            <rFont val="宋体"/>
            <charset val="134"/>
          </rPr>
          <t xml:space="preserve">预付477.2转到付USD67.11
</t>
        </r>
      </text>
    </comment>
    <comment ref="J10" authorId="0">
      <text>
        <r>
          <rPr>
            <sz val="9"/>
            <rFont val="宋体"/>
            <charset val="134"/>
          </rPr>
          <t xml:space="preserve">到付USD1725.37转预付13095.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到付USD20.4转预付150.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到付USD5960.11转预付43508.8
</t>
        </r>
      </text>
    </comment>
  </commentList>
</comments>
</file>

<file path=xl/sharedStrings.xml><?xml version="1.0" encoding="utf-8"?>
<sst xmlns="http://schemas.openxmlformats.org/spreadsheetml/2006/main" count="1601" uniqueCount="146">
  <si>
    <t>2024年10月份LOS毛利表（海运）</t>
  </si>
  <si>
    <t>JOB</t>
  </si>
  <si>
    <t>集装编号 </t>
  </si>
  <si>
    <t>利润</t>
  </si>
  <si>
    <t>JOB100358</t>
  </si>
  <si>
    <t>COLL004182</t>
  </si>
  <si>
    <t>JOB100359</t>
  </si>
  <si>
    <t>COLL004278</t>
  </si>
  <si>
    <t>JOB100360</t>
  </si>
  <si>
    <t>COLL004247</t>
  </si>
  <si>
    <t>JOB100361</t>
  </si>
  <si>
    <t>COLL004248</t>
  </si>
  <si>
    <t>JOB100331</t>
  </si>
  <si>
    <t>COLL004195</t>
  </si>
  <si>
    <t>JOB100362</t>
  </si>
  <si>
    <t>COLL004260</t>
  </si>
  <si>
    <t>JOB100363</t>
  </si>
  <si>
    <t>COLL004265</t>
  </si>
  <si>
    <t>JOB100364</t>
  </si>
  <si>
    <t>COLL004268</t>
  </si>
  <si>
    <t>JOB100365</t>
  </si>
  <si>
    <t>COLL004270</t>
  </si>
  <si>
    <t>JOB100366</t>
  </si>
  <si>
    <t>COLL004269</t>
  </si>
  <si>
    <t>JOB120359</t>
  </si>
  <si>
    <t>COLL004280</t>
  </si>
  <si>
    <t>合计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</si>
  <si>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</si>
  <si>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</si>
  <si>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</si>
  <si>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</si>
  <si>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</si>
  <si>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</si>
  <si>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</si>
  <si>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</si>
  <si>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</si>
  <si>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</si>
  <si>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</si>
  <si>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</si>
  <si>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</si>
  <si>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</si>
  <si>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</si>
  <si>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</si>
  <si>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</si>
  <si>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</si>
  <si>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</si>
  <si>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</si>
  <si>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</si>
  <si>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</si>
  <si>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</si>
  <si>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</si>
  <si>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</si>
  <si>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</si>
  <si>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</si>
  <si>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</si>
  <si>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</si>
  <si>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</si>
  <si>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</si>
  <si>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</si>
  <si>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吕沛霖</t>
  </si>
  <si>
    <t>喵喵速运-Layne</t>
  </si>
  <si>
    <t>MA ZONG</t>
  </si>
  <si>
    <t>登凯=36617
赛捷=1660
 拖车费=1670
杂费=499
过磅费=69</t>
  </si>
  <si>
    <t>黄颖</t>
  </si>
  <si>
    <t>ying</t>
  </si>
  <si>
    <t>Gao Hui</t>
  </si>
  <si>
    <t>MISS Huang</t>
  </si>
  <si>
    <t>YA</t>
  </si>
  <si>
    <t>baikaibo</t>
  </si>
  <si>
    <t>朱小飞</t>
  </si>
  <si>
    <t>Isabel Zhu</t>
  </si>
  <si>
    <t>Wu Jiao Xing</t>
  </si>
  <si>
    <t>Bruce</t>
  </si>
  <si>
    <t>WYLB</t>
  </si>
  <si>
    <t>Sam.Pao</t>
  </si>
  <si>
    <t>Yusky</t>
  </si>
  <si>
    <t>Halifa Success</t>
  </si>
  <si>
    <t>ShanShan</t>
  </si>
  <si>
    <t>Arni</t>
  </si>
  <si>
    <t>ChenGaoHong</t>
  </si>
  <si>
    <t>Lin Bao Zhen</t>
  </si>
  <si>
    <t>Joy</t>
  </si>
  <si>
    <t>陆总</t>
  </si>
  <si>
    <t>陆梓龙</t>
  </si>
  <si>
    <t>xiantian</t>
  </si>
  <si>
    <t>罗珮文</t>
  </si>
  <si>
    <t>Shirley</t>
  </si>
  <si>
    <t>xinlong</t>
  </si>
  <si>
    <t>leoluang</t>
  </si>
  <si>
    <t>登凯=39001
赛捷=1660</t>
  </si>
  <si>
    <t>苏慧琪</t>
  </si>
  <si>
    <t>KAY</t>
  </si>
  <si>
    <t>OKECHUKWU</t>
  </si>
  <si>
    <t>ABDUL</t>
  </si>
  <si>
    <t>SKY JET</t>
  </si>
  <si>
    <t>登凯=36901
赛捷=2800  
拖车费=1670
杂费=497
过磅费=65</t>
  </si>
  <si>
    <t>jizong</t>
  </si>
  <si>
    <t>240929000011（补单）</t>
  </si>
  <si>
    <t>luk</t>
  </si>
  <si>
    <t>登凯=37199
赛捷=1500 
拖车费=1670
杂费=495
过磅费=50</t>
  </si>
  <si>
    <t>无人</t>
  </si>
  <si>
    <t>dejare James</t>
  </si>
  <si>
    <t>ALH RAKIM</t>
  </si>
  <si>
    <t>Mr wang</t>
  </si>
  <si>
    <t>Nura</t>
  </si>
  <si>
    <t>登凯=37296
赛捷=2800 
拖车费=1670
杂费=61
过磅费=68</t>
  </si>
  <si>
    <t>Sunday Adelena</t>
  </si>
  <si>
    <t>lihongye</t>
  </si>
  <si>
    <t>jiangnan</t>
  </si>
  <si>
    <t>Bella</t>
  </si>
  <si>
    <t>Bella Chan</t>
  </si>
  <si>
    <t>zhang long ting</t>
  </si>
  <si>
    <t>WENXIAOBING</t>
  </si>
  <si>
    <t>Nick Wang</t>
  </si>
  <si>
    <t>MU SHI SHI</t>
  </si>
  <si>
    <t>James</t>
  </si>
  <si>
    <t>登凯=38748
赛捷=1160
拖车费=1670
杂费=61
过磅费=67</t>
  </si>
  <si>
    <t>Wuchengxing</t>
  </si>
  <si>
    <t>MaiKaiNian</t>
  </si>
  <si>
    <t>Wole Rasak</t>
  </si>
  <si>
    <t>zhong zi xin</t>
  </si>
  <si>
    <t>Sue</t>
  </si>
  <si>
    <t>liufang</t>
  </si>
  <si>
    <t>Shuaibu musa</t>
  </si>
  <si>
    <t>Ife Oyelami</t>
  </si>
  <si>
    <t>登凯=41870
陆总=3000  
拖车费=1670
杂费=61
过磅费=69</t>
  </si>
  <si>
    <t>fanglijuan</t>
  </si>
  <si>
    <t>Mailmail Abv sales person 1</t>
  </si>
  <si>
    <t>Pedoski</t>
  </si>
  <si>
    <t>WangJianHua</t>
  </si>
  <si>
    <t>AiGeLi</t>
  </si>
  <si>
    <t>zhounengquan</t>
  </si>
  <si>
    <t>FENG</t>
  </si>
  <si>
    <t>登凯=43830
赛捷=1480 
拖车费=1670
杂费=539
过磅费=67</t>
  </si>
  <si>
    <t>mazhiwei</t>
  </si>
  <si>
    <t>WANG</t>
  </si>
  <si>
    <t>JunYue hotel</t>
  </si>
  <si>
    <t>登凯=43830
赛捷=2960 
拖车费=1670
杂费=623
过磅费=69</t>
  </si>
  <si>
    <t>Ka Ka 4分部</t>
  </si>
  <si>
    <t>登凯=43830
赛捷=1160 
拖车费=1670
杂费=633
过磅费=69</t>
  </si>
  <si>
    <t>Hu Hai Liang</t>
  </si>
  <si>
    <t>Luxre Fashions</t>
  </si>
  <si>
    <t>Ariel</t>
  </si>
  <si>
    <t>登凯=44060
陆总=2500
拖车费=1670
杂费=101
过磅费=68</t>
  </si>
  <si>
    <t>PSL表</t>
  </si>
  <si>
    <t>体积cbm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</si>
</sst>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44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2"/>
      <name val="Microsoft JhengHei"/>
      <charset val="134"/>
    </font>
    <font>
      <b/>
      <sz val="10"/>
      <color theme="1"/>
      <name val="宋体"/>
      <charset val="134"/>
      <scheme val="minor"/>
    </font>
    <font>
      <sz val="10"/>
      <color rgb="FF000000"/>
      <name val="Microsoft JhengHei"/>
      <charset val="134"/>
    </font>
    <font>
      <sz val="10"/>
      <color theme="1"/>
      <name val="宋体"/>
      <charset val="134"/>
      <scheme val="minor"/>
    </font>
    <font>
      <sz val="10"/>
      <name val="Microsoft JhengHei"/>
      <charset val="134"/>
    </font>
    <font>
      <sz val="10"/>
      <color rgb="FFFF0000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13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3" fillId="10" borderId="13" applyNumberFormat="0" applyAlignment="0" applyProtection="0">
      <alignment vertical="center"/>
    </xf>
    <xf numFmtId="0" fontId="34" fillId="11" borderId="15" applyNumberFormat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7" fontId="2" fillId="0" borderId="0" xfId="0" applyNumberFormat="1" applyFont="1">
      <alignment vertical="center"/>
    </xf>
    <xf numFmtId="7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5" fillId="2" borderId="2" xfId="1" applyNumberFormat="1" applyFont="1" applyFill="1" applyBorder="1" applyAlignment="1">
      <alignment horizontal="center" vertical="center"/>
    </xf>
    <xf numFmtId="180" fontId="6" fillId="2" borderId="2" xfId="1" applyNumberFormat="1" applyFont="1" applyFill="1" applyBorder="1" applyAlignment="1">
      <alignment horizontal="center" vertical="center"/>
    </xf>
    <xf numFmtId="180" fontId="6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0" fontId="6" fillId="2" borderId="3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181" fontId="2" fillId="0" borderId="2" xfId="0" applyNumberFormat="1" applyFont="1" applyFill="1" applyBorder="1" applyAlignment="1">
      <alignment vertical="center"/>
    </xf>
    <xf numFmtId="58" fontId="2" fillId="0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82" fontId="1" fillId="4" borderId="4" xfId="0" applyNumberFormat="1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177" fontId="1" fillId="4" borderId="5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horizontal="center" vertical="center"/>
    </xf>
    <xf numFmtId="182" fontId="9" fillId="0" borderId="6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vertical="center"/>
    </xf>
    <xf numFmtId="182" fontId="4" fillId="4" borderId="2" xfId="0" applyNumberFormat="1" applyFont="1" applyFill="1" applyBorder="1" applyAlignment="1">
      <alignment horizontal="right" vertical="center"/>
    </xf>
    <xf numFmtId="176" fontId="10" fillId="4" borderId="2" xfId="0" applyNumberFormat="1" applyFont="1" applyFill="1" applyBorder="1" applyAlignment="1">
      <alignment horizontal="center" vertical="center" wrapText="1"/>
    </xf>
    <xf numFmtId="177" fontId="10" fillId="4" borderId="2" xfId="0" applyNumberFormat="1" applyFont="1" applyFill="1" applyBorder="1" applyAlignment="1">
      <alignment horizontal="center" vertical="center" wrapText="1"/>
    </xf>
    <xf numFmtId="177" fontId="4" fillId="4" borderId="2" xfId="0" applyNumberFormat="1" applyFont="1" applyFill="1" applyBorder="1" applyAlignment="1">
      <alignment horizontal="center" vertical="center" wrapText="1"/>
    </xf>
    <xf numFmtId="0" fontId="11" fillId="4" borderId="2" xfId="0" applyNumberFormat="1" applyFont="1" applyFill="1" applyBorder="1" applyAlignment="1">
      <alignment horizontal="center" vertical="center"/>
    </xf>
    <xf numFmtId="182" fontId="12" fillId="0" borderId="2" xfId="0" applyNumberFormat="1" applyFont="1" applyFill="1" applyBorder="1" applyAlignment="1">
      <alignment horizontal="right" vertical="center"/>
    </xf>
    <xf numFmtId="182" fontId="13" fillId="2" borderId="2" xfId="0" applyNumberFormat="1" applyFont="1" applyFill="1" applyBorder="1" applyAlignment="1">
      <alignment vertical="center"/>
    </xf>
    <xf numFmtId="176" fontId="13" fillId="0" borderId="0" xfId="0" applyNumberFormat="1" applyFont="1" applyFill="1" applyBorder="1" applyAlignment="1">
      <alignment vertical="center"/>
    </xf>
    <xf numFmtId="177" fontId="7" fillId="2" borderId="2" xfId="0" applyNumberFormat="1" applyFont="1" applyFill="1" applyBorder="1" applyAlignment="1">
      <alignment vertical="center"/>
    </xf>
    <xf numFmtId="176" fontId="13" fillId="4" borderId="2" xfId="0" applyNumberFormat="1" applyFont="1" applyFill="1" applyBorder="1" applyAlignment="1">
      <alignment horizontal="center" vertical="center"/>
    </xf>
    <xf numFmtId="177" fontId="13" fillId="4" borderId="2" xfId="0" applyNumberFormat="1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182" fontId="7" fillId="2" borderId="2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176" fontId="0" fillId="0" borderId="2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7" fontId="14" fillId="0" borderId="0" xfId="0" applyNumberFormat="1" applyFont="1" applyFill="1" applyAlignment="1">
      <alignment horizontal="center" vertical="center"/>
    </xf>
    <xf numFmtId="182" fontId="1" fillId="5" borderId="1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82" fontId="4" fillId="6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2" fontId="11" fillId="0" borderId="8" xfId="0" applyNumberFormat="1" applyFont="1" applyFill="1" applyBorder="1" applyAlignment="1">
      <alignment horizontal="center" vertical="center" wrapText="1"/>
    </xf>
    <xf numFmtId="7" fontId="14" fillId="4" borderId="1" xfId="0" applyNumberFormat="1" applyFont="1" applyFill="1" applyBorder="1" applyAlignment="1">
      <alignment horizontal="center" vertical="center" wrapText="1"/>
    </xf>
    <xf numFmtId="182" fontId="1" fillId="5" borderId="3" xfId="0" applyNumberFormat="1" applyFont="1" applyFill="1" applyBorder="1" applyAlignment="1">
      <alignment horizontal="center" vertical="center"/>
    </xf>
    <xf numFmtId="183" fontId="15" fillId="6" borderId="2" xfId="4" applyNumberFormat="1" applyFont="1" applyFill="1" applyBorder="1" applyAlignment="1">
      <alignment horizontal="center" vertical="center"/>
    </xf>
    <xf numFmtId="182" fontId="12" fillId="6" borderId="2" xfId="4" applyNumberFormat="1" applyFont="1" applyFill="1" applyBorder="1" applyAlignment="1">
      <alignment horizontal="center" vertical="center"/>
    </xf>
    <xf numFmtId="183" fontId="12" fillId="0" borderId="2" xfId="4" applyNumberFormat="1" applyFont="1" applyFill="1" applyBorder="1" applyAlignment="1">
      <alignment horizontal="center" vertical="center"/>
    </xf>
    <xf numFmtId="182" fontId="12" fillId="0" borderId="2" xfId="4" applyNumberFormat="1" applyFont="1" applyFill="1" applyBorder="1" applyAlignment="1">
      <alignment horizontal="center" vertical="center"/>
    </xf>
    <xf numFmtId="182" fontId="11" fillId="0" borderId="9" xfId="0" applyNumberFormat="1" applyFont="1" applyFill="1" applyBorder="1" applyAlignment="1">
      <alignment horizontal="center" vertical="center" wrapText="1"/>
    </xf>
    <xf numFmtId="7" fontId="14" fillId="4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/>
    </xf>
    <xf numFmtId="182" fontId="2" fillId="0" borderId="2" xfId="0" applyNumberFormat="1" applyFont="1" applyFill="1" applyBorder="1" applyAlignment="1">
      <alignment vertical="center" wrapText="1"/>
    </xf>
    <xf numFmtId="182" fontId="2" fillId="0" borderId="2" xfId="0" applyNumberFormat="1" applyFont="1" applyFill="1" applyBorder="1" applyAlignment="1">
      <alignment vertical="center"/>
    </xf>
    <xf numFmtId="7" fontId="2" fillId="0" borderId="2" xfId="0" applyNumberFormat="1" applyFont="1" applyBorder="1" applyAlignment="1">
      <alignment vertical="center"/>
    </xf>
    <xf numFmtId="7" fontId="3" fillId="0" borderId="0" xfId="0" applyNumberFormat="1" applyFont="1" applyAlignment="1">
      <alignment horizontal="center" vertical="center"/>
    </xf>
    <xf numFmtId="177" fontId="11" fillId="4" borderId="2" xfId="0" applyNumberFormat="1" applyFont="1" applyFill="1" applyBorder="1" applyAlignment="1">
      <alignment horizontal="center" vertical="center"/>
    </xf>
    <xf numFmtId="176" fontId="11" fillId="4" borderId="2" xfId="0" applyNumberFormat="1" applyFont="1" applyFill="1" applyBorder="1" applyAlignment="1">
      <alignment horizontal="center" vertical="center"/>
    </xf>
    <xf numFmtId="182" fontId="11" fillId="5" borderId="1" xfId="0" applyNumberFormat="1" applyFont="1" applyFill="1" applyBorder="1" applyAlignment="1">
      <alignment horizontal="center" vertical="center"/>
    </xf>
    <xf numFmtId="7" fontId="1" fillId="7" borderId="1" xfId="0" applyNumberFormat="1" applyFont="1" applyFill="1" applyBorder="1" applyAlignment="1">
      <alignment horizontal="center" vertical="center"/>
    </xf>
    <xf numFmtId="177" fontId="16" fillId="4" borderId="2" xfId="0" applyNumberFormat="1" applyFont="1" applyFill="1" applyBorder="1" applyAlignment="1">
      <alignment vertical="center" wrapText="1"/>
    </xf>
    <xf numFmtId="177" fontId="11" fillId="4" borderId="2" xfId="0" applyNumberFormat="1" applyFont="1" applyFill="1" applyBorder="1" applyAlignment="1">
      <alignment horizontal="right" vertical="center"/>
    </xf>
    <xf numFmtId="176" fontId="14" fillId="4" borderId="2" xfId="0" applyNumberFormat="1" applyFont="1" applyFill="1" applyBorder="1" applyAlignment="1">
      <alignment horizontal="center" vertical="center"/>
    </xf>
    <xf numFmtId="182" fontId="11" fillId="4" borderId="2" xfId="0" applyNumberFormat="1" applyFont="1" applyFill="1" applyBorder="1" applyAlignment="1">
      <alignment horizontal="center" vertical="center"/>
    </xf>
    <xf numFmtId="182" fontId="11" fillId="5" borderId="2" xfId="0" applyNumberFormat="1" applyFont="1" applyFill="1" applyBorder="1" applyAlignment="1">
      <alignment horizontal="center" vertical="center"/>
    </xf>
    <xf numFmtId="7" fontId="1" fillId="7" borderId="7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vertical="center"/>
    </xf>
    <xf numFmtId="176" fontId="2" fillId="0" borderId="2" xfId="0" applyNumberFormat="1" applyFont="1" applyFill="1" applyBorder="1" applyAlignment="1">
      <alignment vertical="center"/>
    </xf>
    <xf numFmtId="7" fontId="17" fillId="4" borderId="2" xfId="0" applyNumberFormat="1" applyFont="1" applyFill="1" applyBorder="1">
      <alignment vertical="center"/>
    </xf>
    <xf numFmtId="0" fontId="7" fillId="4" borderId="2" xfId="0" applyFont="1" applyFill="1" applyBorder="1" applyAlignment="1">
      <alignment vertical="center"/>
    </xf>
    <xf numFmtId="182" fontId="7" fillId="4" borderId="2" xfId="0" applyNumberFormat="1" applyFont="1" applyFill="1" applyBorder="1" applyAlignment="1">
      <alignment vertical="center"/>
    </xf>
    <xf numFmtId="176" fontId="13" fillId="0" borderId="2" xfId="0" applyNumberFormat="1" applyFont="1" applyFill="1" applyBorder="1" applyAlignment="1">
      <alignment vertical="center"/>
    </xf>
    <xf numFmtId="177" fontId="13" fillId="2" borderId="2" xfId="0" applyNumberFormat="1" applyFont="1" applyFill="1" applyBorder="1" applyAlignment="1">
      <alignment vertical="center"/>
    </xf>
    <xf numFmtId="177" fontId="7" fillId="4" borderId="2" xfId="0" applyNumberFormat="1" applyFont="1" applyFill="1" applyBorder="1" applyAlignment="1">
      <alignment vertical="center"/>
    </xf>
    <xf numFmtId="182" fontId="2" fillId="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/>
    </xf>
    <xf numFmtId="182" fontId="2" fillId="0" borderId="7" xfId="0" applyNumberFormat="1" applyFont="1" applyFill="1" applyBorder="1" applyAlignment="1">
      <alignment horizontal="center" vertical="center"/>
    </xf>
    <xf numFmtId="177" fontId="2" fillId="4" borderId="2" xfId="0" applyNumberFormat="1" applyFont="1" applyFill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177" fontId="19" fillId="4" borderId="2" xfId="0" applyNumberFormat="1" applyFont="1" applyFill="1" applyBorder="1" applyAlignment="1">
      <alignment vertical="center"/>
    </xf>
    <xf numFmtId="182" fontId="20" fillId="0" borderId="2" xfId="0" applyNumberFormat="1" applyFont="1" applyBorder="1" applyAlignment="1">
      <alignment vertical="center"/>
    </xf>
    <xf numFmtId="182" fontId="0" fillId="0" borderId="2" xfId="0" applyNumberFormat="1" applyBorder="1" applyAlignment="1">
      <alignment vertical="center"/>
    </xf>
    <xf numFmtId="182" fontId="17" fillId="4" borderId="2" xfId="0" applyNumberFormat="1" applyFont="1" applyFill="1" applyBorder="1">
      <alignment vertical="center"/>
    </xf>
    <xf numFmtId="182" fontId="13" fillId="4" borderId="2" xfId="0" applyNumberFormat="1" applyFont="1" applyFill="1" applyBorder="1" applyAlignment="1">
      <alignment vertical="center"/>
    </xf>
    <xf numFmtId="182" fontId="2" fillId="4" borderId="2" xfId="0" applyNumberFormat="1" applyFont="1" applyFill="1" applyBorder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vertical="center"/>
    </xf>
    <xf numFmtId="0" fontId="19" fillId="4" borderId="2" xfId="0" applyFont="1" applyFill="1" applyBorder="1" applyAlignment="1">
      <alignment vertical="center"/>
    </xf>
    <xf numFmtId="177" fontId="19" fillId="2" borderId="2" xfId="0" applyNumberFormat="1" applyFont="1" applyFill="1" applyBorder="1" applyAlignment="1">
      <alignment vertical="center"/>
    </xf>
    <xf numFmtId="182" fontId="19" fillId="2" borderId="2" xfId="0" applyNumberFormat="1" applyFont="1" applyFill="1" applyBorder="1" applyAlignment="1">
      <alignment vertical="center"/>
    </xf>
    <xf numFmtId="182" fontId="19" fillId="4" borderId="2" xfId="0" applyNumberFormat="1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181" fontId="2" fillId="4" borderId="2" xfId="0" applyNumberFormat="1" applyFont="1" applyFill="1" applyBorder="1" applyAlignment="1">
      <alignment vertical="center"/>
    </xf>
    <xf numFmtId="177" fontId="21" fillId="2" borderId="2" xfId="0" applyNumberFormat="1" applyFont="1" applyFill="1" applyBorder="1" applyAlignment="1">
      <alignment vertical="center"/>
    </xf>
    <xf numFmtId="176" fontId="22" fillId="4" borderId="2" xfId="0" applyNumberFormat="1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182" fontId="21" fillId="2" borderId="2" xfId="0" applyNumberFormat="1" applyFont="1" applyFill="1" applyBorder="1" applyAlignment="1">
      <alignment vertical="center"/>
    </xf>
    <xf numFmtId="177" fontId="13" fillId="0" borderId="2" xfId="0" applyNumberFormat="1" applyFont="1" applyFill="1" applyBorder="1" applyAlignment="1">
      <alignment vertical="center"/>
    </xf>
    <xf numFmtId="182" fontId="13" fillId="0" borderId="2" xfId="0" applyNumberFormat="1" applyFont="1" applyFill="1" applyBorder="1" applyAlignment="1">
      <alignment vertical="center"/>
    </xf>
    <xf numFmtId="7" fontId="0" fillId="0" borderId="0" xfId="0" applyNumberFormat="1" applyAlignment="1">
      <alignment horizontal="center" vertical="center"/>
    </xf>
    <xf numFmtId="7" fontId="17" fillId="4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6"/>
  <sheetViews>
    <sheetView zoomScale="110" zoomScaleNormal="110" workbookViewId="0">
      <pane xSplit="2" ySplit="3" topLeftCell="C103" activePane="bottomRight" state="frozen"/>
      <selection/>
      <selection pane="topRight"/>
      <selection pane="bottomLeft"/>
      <selection pane="bottomRight" activeCell="C89" sqref="C89:C109"/>
    </sheetView>
  </sheetViews>
  <sheetFormatPr defaultColWidth="9" defaultRowHeight="13.5" outlineLevelCol="2"/>
  <cols>
    <col min="1" max="1" width="15.3416666666667" customWidth="1"/>
    <col min="2" max="2" width="15.225" customWidth="1"/>
    <col min="3" max="3" width="20.3416666666667" style="119" customWidth="1"/>
  </cols>
  <sheetData>
    <row r="1" ht="31" customHeight="1" spans="1:3">
      <c r="A1" s="9" t="s">
        <v>0</v>
      </c>
      <c r="B1" s="9"/>
      <c r="C1" s="74"/>
    </row>
    <row r="2" s="1" customFormat="1" ht="23" customHeight="1" spans="1:3">
      <c r="A2" s="10" t="s">
        <v>1</v>
      </c>
      <c r="B2" s="11" t="s">
        <v>2</v>
      </c>
      <c r="C2" s="78" t="s">
        <v>3</v>
      </c>
    </row>
    <row r="3" s="1" customFormat="1" ht="27" customHeight="1" spans="1:3">
      <c r="A3" s="16"/>
      <c r="B3" s="17"/>
      <c r="C3" s="84"/>
    </row>
    <row r="4" s="2" customFormat="1" ht="5" customHeight="1" spans="1:3">
      <c r="A4" s="20" t="s">
        <v>4</v>
      </c>
      <c r="B4" s="21" t="s">
        <v>5</v>
      </c>
      <c r="C4" s="93">
        <f>SUM('JOB100358'!AF26)</f>
        <v>19174.5555727022</v>
      </c>
    </row>
    <row r="5" s="2" customFormat="1" ht="5" customHeight="1" spans="1:3">
      <c r="A5" s="20"/>
      <c r="B5" s="21"/>
      <c r="C5" s="95"/>
    </row>
    <row r="6" s="2" customFormat="1" ht="5" customHeight="1" spans="1:3">
      <c r="A6" s="20"/>
      <c r="B6" s="21"/>
      <c r="C6" s="95"/>
    </row>
    <row r="7" s="2" customFormat="1" ht="5" customHeight="1" spans="1:3">
      <c r="A7" s="20"/>
      <c r="B7" s="21"/>
      <c r="C7" s="95"/>
    </row>
    <row r="8" s="2" customFormat="1" ht="5" customHeight="1" spans="1:3">
      <c r="A8" s="20"/>
      <c r="B8" s="21"/>
      <c r="C8" s="95"/>
    </row>
    <row r="9" s="2" customFormat="1" ht="5" customHeight="1" spans="1:3">
      <c r="A9" s="20"/>
      <c r="B9" s="21"/>
      <c r="C9" s="95"/>
    </row>
    <row r="10" s="2" customFormat="1" ht="5" customHeight="1" spans="1:3">
      <c r="A10" s="20"/>
      <c r="B10" s="21"/>
      <c r="C10" s="95"/>
    </row>
    <row r="11" s="2" customFormat="1" ht="5" customHeight="1" spans="1:3">
      <c r="A11" s="20"/>
      <c r="B11" s="21"/>
      <c r="C11" s="95"/>
    </row>
    <row r="12" s="2" customFormat="1" ht="5" customHeight="1" spans="1:3">
      <c r="A12" s="20"/>
      <c r="B12" s="21"/>
      <c r="C12" s="95"/>
    </row>
    <row r="13" s="2" customFormat="1" ht="5" customHeight="1" spans="1:3">
      <c r="A13" s="20"/>
      <c r="B13" s="21"/>
      <c r="C13" s="95"/>
    </row>
    <row r="14" s="2" customFormat="1" ht="5" customHeight="1" spans="1:3">
      <c r="A14" s="20"/>
      <c r="B14" s="21"/>
      <c r="C14" s="95"/>
    </row>
    <row r="15" s="2" customFormat="1" ht="5" customHeight="1" spans="1:3">
      <c r="A15" s="20"/>
      <c r="B15" s="21"/>
      <c r="C15" s="95"/>
    </row>
    <row r="16" s="2" customFormat="1" ht="5" customHeight="1" spans="1:3">
      <c r="A16" s="20"/>
      <c r="B16" s="21"/>
      <c r="C16" s="95"/>
    </row>
    <row r="17" s="2" customFormat="1" ht="5" customHeight="1" spans="1:3">
      <c r="A17" s="20"/>
      <c r="B17" s="21"/>
      <c r="C17" s="95"/>
    </row>
    <row r="18" s="2" customFormat="1" ht="5" customHeight="1" spans="1:3">
      <c r="A18" s="20"/>
      <c r="B18" s="21"/>
      <c r="C18" s="95"/>
    </row>
    <row r="19" s="2" customFormat="1" ht="5" customHeight="1" spans="1:3">
      <c r="A19" s="20"/>
      <c r="B19" s="21"/>
      <c r="C19" s="95"/>
    </row>
    <row r="20" s="2" customFormat="1" ht="5" customHeight="1" spans="1:3">
      <c r="A20" s="20"/>
      <c r="B20" s="21"/>
      <c r="C20" s="95"/>
    </row>
    <row r="21" s="2" customFormat="1" ht="5" customHeight="1" spans="1:3">
      <c r="A21" s="20"/>
      <c r="B21" s="21"/>
      <c r="C21" s="95"/>
    </row>
    <row r="22" s="2" customFormat="1" ht="5" customHeight="1" spans="1:3">
      <c r="A22" s="20"/>
      <c r="B22" s="21"/>
      <c r="C22" s="95"/>
    </row>
    <row r="23" s="2" customFormat="1" ht="5" customHeight="1" spans="1:3">
      <c r="A23" s="20"/>
      <c r="B23" s="21"/>
      <c r="C23" s="95"/>
    </row>
    <row r="24" s="2" customFormat="1" ht="5" customHeight="1" spans="1:3">
      <c r="A24" s="20"/>
      <c r="B24" s="21"/>
      <c r="C24" s="96"/>
    </row>
    <row r="25" s="2" customFormat="1" ht="5" customHeight="1" spans="1:3">
      <c r="A25" s="20" t="s">
        <v>6</v>
      </c>
      <c r="B25" s="21" t="s">
        <v>7</v>
      </c>
      <c r="C25" s="93">
        <f>SUM('JOB100359'!AF15)</f>
        <v>12918.367225967</v>
      </c>
    </row>
    <row r="26" s="2" customFormat="1" ht="5" customHeight="1" spans="1:3">
      <c r="A26" s="20"/>
      <c r="B26" s="21"/>
      <c r="C26" s="95"/>
    </row>
    <row r="27" s="2" customFormat="1" ht="5" customHeight="1" spans="1:3">
      <c r="A27" s="20"/>
      <c r="B27" s="21"/>
      <c r="C27" s="95"/>
    </row>
    <row r="28" s="2" customFormat="1" ht="5" customHeight="1" spans="1:3">
      <c r="A28" s="20"/>
      <c r="B28" s="21"/>
      <c r="C28" s="95"/>
    </row>
    <row r="29" s="2" customFormat="1" ht="5" customHeight="1" spans="1:3">
      <c r="A29" s="20"/>
      <c r="B29" s="21"/>
      <c r="C29" s="95"/>
    </row>
    <row r="30" s="2" customFormat="1" ht="5" customHeight="1" spans="1:3">
      <c r="A30" s="20"/>
      <c r="B30" s="21"/>
      <c r="C30" s="95"/>
    </row>
    <row r="31" s="2" customFormat="1" ht="5" customHeight="1" spans="1:3">
      <c r="A31" s="20"/>
      <c r="B31" s="21"/>
      <c r="C31" s="95"/>
    </row>
    <row r="32" s="2" customFormat="1" ht="5" customHeight="1" spans="1:3">
      <c r="A32" s="20"/>
      <c r="B32" s="21"/>
      <c r="C32" s="95"/>
    </row>
    <row r="33" s="2" customFormat="1" ht="5" customHeight="1" spans="1:3">
      <c r="A33" s="20"/>
      <c r="B33" s="21"/>
      <c r="C33" s="95"/>
    </row>
    <row r="34" s="2" customFormat="1" ht="5" customHeight="1" spans="1:3">
      <c r="A34" s="20"/>
      <c r="B34" s="21"/>
      <c r="C34" s="96"/>
    </row>
    <row r="35" s="2" customFormat="1" ht="5" customHeight="1" spans="1:3">
      <c r="A35" s="20" t="s">
        <v>8</v>
      </c>
      <c r="B35" s="21" t="s">
        <v>9</v>
      </c>
      <c r="C35" s="93">
        <f>SUM('JOB100360'!AF15)</f>
        <v>21765.368270487</v>
      </c>
    </row>
    <row r="36" s="2" customFormat="1" ht="5" customHeight="1" spans="1:3">
      <c r="A36" s="20"/>
      <c r="B36" s="21"/>
      <c r="C36" s="95"/>
    </row>
    <row r="37" s="2" customFormat="1" ht="5" customHeight="1" spans="1:3">
      <c r="A37" s="20"/>
      <c r="B37" s="21"/>
      <c r="C37" s="95"/>
    </row>
    <row r="38" s="2" customFormat="1" ht="5" customHeight="1" spans="1:3">
      <c r="A38" s="20"/>
      <c r="B38" s="21"/>
      <c r="C38" s="95"/>
    </row>
    <row r="39" s="2" customFormat="1" ht="5" customHeight="1" spans="1:3">
      <c r="A39" s="20"/>
      <c r="B39" s="21"/>
      <c r="C39" s="95"/>
    </row>
    <row r="40" s="2" customFormat="1" ht="5" customHeight="1" spans="1:3">
      <c r="A40" s="20"/>
      <c r="B40" s="21"/>
      <c r="C40" s="95"/>
    </row>
    <row r="41" s="2" customFormat="1" ht="5" customHeight="1" spans="1:3">
      <c r="A41" s="20"/>
      <c r="B41" s="21"/>
      <c r="C41" s="95"/>
    </row>
    <row r="42" s="2" customFormat="1" ht="5" customHeight="1" spans="1:3">
      <c r="A42" s="20"/>
      <c r="B42" s="21"/>
      <c r="C42" s="95"/>
    </row>
    <row r="43" s="2" customFormat="1" ht="5" customHeight="1" spans="1:3">
      <c r="A43" s="20"/>
      <c r="B43" s="21"/>
      <c r="C43" s="95"/>
    </row>
    <row r="44" s="2" customFormat="1" ht="5" customHeight="1" spans="1:3">
      <c r="A44" s="20"/>
      <c r="B44" s="21"/>
      <c r="C44" s="96"/>
    </row>
    <row r="45" s="2" customFormat="1" ht="5" customHeight="1" spans="1:3">
      <c r="A45" s="20" t="s">
        <v>10</v>
      </c>
      <c r="B45" s="21" t="s">
        <v>11</v>
      </c>
      <c r="C45" s="93">
        <f>SUM('JOB100361'!AF23)</f>
        <v>-2488.99011443522</v>
      </c>
    </row>
    <row r="46" s="2" customFormat="1" ht="5" customHeight="1" spans="1:3">
      <c r="A46" s="20"/>
      <c r="B46" s="21"/>
      <c r="C46" s="95"/>
    </row>
    <row r="47" s="2" customFormat="1" ht="5" customHeight="1" spans="1:3">
      <c r="A47" s="20"/>
      <c r="B47" s="21"/>
      <c r="C47" s="95"/>
    </row>
    <row r="48" s="2" customFormat="1" ht="5" customHeight="1" spans="1:3">
      <c r="A48" s="20"/>
      <c r="B48" s="21"/>
      <c r="C48" s="95"/>
    </row>
    <row r="49" s="2" customFormat="1" ht="5" customHeight="1" spans="1:3">
      <c r="A49" s="20"/>
      <c r="B49" s="21"/>
      <c r="C49" s="95"/>
    </row>
    <row r="50" s="2" customFormat="1" ht="5" customHeight="1" spans="1:3">
      <c r="A50" s="20"/>
      <c r="B50" s="21"/>
      <c r="C50" s="95"/>
    </row>
    <row r="51" s="2" customFormat="1" ht="5" customHeight="1" spans="1:3">
      <c r="A51" s="20"/>
      <c r="B51" s="21"/>
      <c r="C51" s="95"/>
    </row>
    <row r="52" s="2" customFormat="1" ht="5" customHeight="1" spans="1:3">
      <c r="A52" s="20"/>
      <c r="B52" s="21"/>
      <c r="C52" s="95"/>
    </row>
    <row r="53" s="2" customFormat="1" ht="5" customHeight="1" spans="1:3">
      <c r="A53" s="20"/>
      <c r="B53" s="21"/>
      <c r="C53" s="95"/>
    </row>
    <row r="54" s="2" customFormat="1" ht="5" customHeight="1" spans="1:3">
      <c r="A54" s="20"/>
      <c r="B54" s="21"/>
      <c r="C54" s="95"/>
    </row>
    <row r="55" s="2" customFormat="1" ht="5" customHeight="1" spans="1:3">
      <c r="A55" s="20"/>
      <c r="B55" s="21"/>
      <c r="C55" s="95"/>
    </row>
    <row r="56" s="2" customFormat="1" ht="5" customHeight="1" spans="1:3">
      <c r="A56" s="20"/>
      <c r="B56" s="21"/>
      <c r="C56" s="95"/>
    </row>
    <row r="57" s="2" customFormat="1" ht="5" customHeight="1" spans="1:3">
      <c r="A57" s="20"/>
      <c r="B57" s="21"/>
      <c r="C57" s="95"/>
    </row>
    <row r="58" s="2" customFormat="1" ht="5" customHeight="1" spans="1:3">
      <c r="A58" s="20"/>
      <c r="B58" s="21"/>
      <c r="C58" s="95"/>
    </row>
    <row r="59" s="2" customFormat="1" ht="5" customHeight="1" spans="1:3">
      <c r="A59" s="20"/>
      <c r="B59" s="21"/>
      <c r="C59" s="95"/>
    </row>
    <row r="60" s="2" customFormat="1" ht="5" customHeight="1" spans="1:3">
      <c r="A60" s="20"/>
      <c r="B60" s="21"/>
      <c r="C60" s="95"/>
    </row>
    <row r="61" s="2" customFormat="1" ht="5" customHeight="1" spans="1:3">
      <c r="A61" s="20"/>
      <c r="B61" s="21"/>
      <c r="C61" s="95"/>
    </row>
    <row r="62" s="2" customFormat="1" ht="5" customHeight="1" spans="1:3">
      <c r="A62" s="20"/>
      <c r="B62" s="21"/>
      <c r="C62" s="96"/>
    </row>
    <row r="63" s="2" customFormat="1" ht="5" customHeight="1" spans="1:3">
      <c r="A63" s="105" t="s">
        <v>12</v>
      </c>
      <c r="B63" s="106" t="s">
        <v>13</v>
      </c>
      <c r="C63" s="93">
        <f>SUM('JOB100331'!AF31)</f>
        <v>15990.2895927303</v>
      </c>
    </row>
    <row r="64" s="2" customFormat="1" ht="5" customHeight="1" spans="1:3">
      <c r="A64" s="105"/>
      <c r="B64" s="106"/>
      <c r="C64" s="95"/>
    </row>
    <row r="65" s="2" customFormat="1" ht="5" customHeight="1" spans="1:3">
      <c r="A65" s="105"/>
      <c r="B65" s="106"/>
      <c r="C65" s="95"/>
    </row>
    <row r="66" s="2" customFormat="1" ht="5" customHeight="1" spans="1:3">
      <c r="A66" s="105"/>
      <c r="B66" s="106"/>
      <c r="C66" s="95"/>
    </row>
    <row r="67" s="2" customFormat="1" ht="5" customHeight="1" spans="1:3">
      <c r="A67" s="105"/>
      <c r="B67" s="106"/>
      <c r="C67" s="95"/>
    </row>
    <row r="68" s="2" customFormat="1" ht="5" customHeight="1" spans="1:3">
      <c r="A68" s="105"/>
      <c r="B68" s="106"/>
      <c r="C68" s="95"/>
    </row>
    <row r="69" s="2" customFormat="1" ht="5" customHeight="1" spans="1:3">
      <c r="A69" s="105"/>
      <c r="B69" s="106"/>
      <c r="C69" s="95"/>
    </row>
    <row r="70" s="2" customFormat="1" ht="5" customHeight="1" spans="1:3">
      <c r="A70" s="105"/>
      <c r="B70" s="106"/>
      <c r="C70" s="95"/>
    </row>
    <row r="71" s="2" customFormat="1" ht="5" customHeight="1" spans="1:3">
      <c r="A71" s="105"/>
      <c r="B71" s="106"/>
      <c r="C71" s="95"/>
    </row>
    <row r="72" s="2" customFormat="1" ht="5" customHeight="1" spans="1:3">
      <c r="A72" s="105"/>
      <c r="B72" s="106"/>
      <c r="C72" s="95"/>
    </row>
    <row r="73" s="2" customFormat="1" ht="5" customHeight="1" spans="1:3">
      <c r="A73" s="105"/>
      <c r="B73" s="106"/>
      <c r="C73" s="95"/>
    </row>
    <row r="74" s="2" customFormat="1" ht="5" customHeight="1" spans="1:3">
      <c r="A74" s="105"/>
      <c r="B74" s="106"/>
      <c r="C74" s="95"/>
    </row>
    <row r="75" s="2" customFormat="1" ht="5" customHeight="1" spans="1:3">
      <c r="A75" s="105"/>
      <c r="B75" s="106"/>
      <c r="C75" s="95"/>
    </row>
    <row r="76" s="2" customFormat="1" ht="5" customHeight="1" spans="1:3">
      <c r="A76" s="105"/>
      <c r="B76" s="106"/>
      <c r="C76" s="95"/>
    </row>
    <row r="77" s="2" customFormat="1" ht="5" customHeight="1" spans="1:3">
      <c r="A77" s="105"/>
      <c r="B77" s="106"/>
      <c r="C77" s="95"/>
    </row>
    <row r="78" s="2" customFormat="1" ht="5" customHeight="1" spans="1:3">
      <c r="A78" s="105"/>
      <c r="B78" s="106"/>
      <c r="C78" s="95"/>
    </row>
    <row r="79" s="2" customFormat="1" ht="5" customHeight="1" spans="1:3">
      <c r="A79" s="105"/>
      <c r="B79" s="106"/>
      <c r="C79" s="95"/>
    </row>
    <row r="80" s="2" customFormat="1" ht="5" customHeight="1" spans="1:3">
      <c r="A80" s="105"/>
      <c r="B80" s="106"/>
      <c r="C80" s="95"/>
    </row>
    <row r="81" s="2" customFormat="1" ht="5" customHeight="1" spans="1:3">
      <c r="A81" s="105"/>
      <c r="B81" s="106"/>
      <c r="C81" s="95"/>
    </row>
    <row r="82" s="2" customFormat="1" ht="5" customHeight="1" spans="1:3">
      <c r="A82" s="105"/>
      <c r="B82" s="106"/>
      <c r="C82" s="95"/>
    </row>
    <row r="83" s="2" customFormat="1" ht="5" customHeight="1" spans="1:3">
      <c r="A83" s="105"/>
      <c r="B83" s="106"/>
      <c r="C83" s="95"/>
    </row>
    <row r="84" s="2" customFormat="1" ht="5" customHeight="1" spans="1:3">
      <c r="A84" s="105"/>
      <c r="B84" s="106"/>
      <c r="C84" s="95"/>
    </row>
    <row r="85" s="2" customFormat="1" ht="5" customHeight="1" spans="1:3">
      <c r="A85" s="105"/>
      <c r="B85" s="106"/>
      <c r="C85" s="95"/>
    </row>
    <row r="86" s="2" customFormat="1" ht="5" customHeight="1" spans="1:3">
      <c r="A86" s="105"/>
      <c r="B86" s="106"/>
      <c r="C86" s="95"/>
    </row>
    <row r="87" s="2" customFormat="1" ht="5" customHeight="1" spans="1:3">
      <c r="A87" s="105"/>
      <c r="B87" s="106"/>
      <c r="C87" s="95"/>
    </row>
    <row r="88" s="2" customFormat="1" ht="5" customHeight="1" spans="1:3">
      <c r="A88" s="105"/>
      <c r="B88" s="106"/>
      <c r="C88" s="96"/>
    </row>
    <row r="89" s="2" customFormat="1" ht="5" customHeight="1" spans="1:3">
      <c r="A89" s="105" t="s">
        <v>14</v>
      </c>
      <c r="B89" s="106" t="s">
        <v>15</v>
      </c>
      <c r="C89" s="93">
        <f>SUM('JOB100362'!AF26)</f>
        <v>9117.60771252471</v>
      </c>
    </row>
    <row r="90" s="2" customFormat="1" ht="5" customHeight="1" spans="1:3">
      <c r="A90" s="105"/>
      <c r="B90" s="106"/>
      <c r="C90" s="95"/>
    </row>
    <row r="91" s="2" customFormat="1" ht="5" customHeight="1" spans="1:3">
      <c r="A91" s="105"/>
      <c r="B91" s="106"/>
      <c r="C91" s="95"/>
    </row>
    <row r="92" s="2" customFormat="1" ht="5" customHeight="1" spans="1:3">
      <c r="A92" s="105"/>
      <c r="B92" s="106"/>
      <c r="C92" s="95"/>
    </row>
    <row r="93" s="2" customFormat="1" ht="5" customHeight="1" spans="1:3">
      <c r="A93" s="105"/>
      <c r="B93" s="106"/>
      <c r="C93" s="95"/>
    </row>
    <row r="94" s="2" customFormat="1" ht="5" customHeight="1" spans="1:3">
      <c r="A94" s="105"/>
      <c r="B94" s="106"/>
      <c r="C94" s="95"/>
    </row>
    <row r="95" s="2" customFormat="1" ht="5" customHeight="1" spans="1:3">
      <c r="A95" s="105"/>
      <c r="B95" s="106"/>
      <c r="C95" s="95"/>
    </row>
    <row r="96" s="2" customFormat="1" ht="5" customHeight="1" spans="1:3">
      <c r="A96" s="105"/>
      <c r="B96" s="106"/>
      <c r="C96" s="95"/>
    </row>
    <row r="97" s="2" customFormat="1" ht="5" customHeight="1" spans="1:3">
      <c r="A97" s="105"/>
      <c r="B97" s="106"/>
      <c r="C97" s="95"/>
    </row>
    <row r="98" s="2" customFormat="1" ht="5" customHeight="1" spans="1:3">
      <c r="A98" s="105"/>
      <c r="B98" s="106"/>
      <c r="C98" s="95"/>
    </row>
    <row r="99" s="2" customFormat="1" ht="5" customHeight="1" spans="1:3">
      <c r="A99" s="105"/>
      <c r="B99" s="106"/>
      <c r="C99" s="95"/>
    </row>
    <row r="100" s="2" customFormat="1" ht="5" customHeight="1" spans="1:3">
      <c r="A100" s="105"/>
      <c r="B100" s="106"/>
      <c r="C100" s="95"/>
    </row>
    <row r="101" s="2" customFormat="1" ht="5" customHeight="1" spans="1:3">
      <c r="A101" s="105"/>
      <c r="B101" s="106"/>
      <c r="C101" s="95"/>
    </row>
    <row r="102" s="2" customFormat="1" ht="5" customHeight="1" spans="1:3">
      <c r="A102" s="105"/>
      <c r="B102" s="106"/>
      <c r="C102" s="95"/>
    </row>
    <row r="103" s="2" customFormat="1" ht="5" customHeight="1" spans="1:3">
      <c r="A103" s="105"/>
      <c r="B103" s="106"/>
      <c r="C103" s="95"/>
    </row>
    <row r="104" s="2" customFormat="1" ht="5" customHeight="1" spans="1:3">
      <c r="A104" s="105"/>
      <c r="B104" s="106"/>
      <c r="C104" s="95"/>
    </row>
    <row r="105" s="2" customFormat="1" ht="5" customHeight="1" spans="1:3">
      <c r="A105" s="105"/>
      <c r="B105" s="106"/>
      <c r="C105" s="95"/>
    </row>
    <row r="106" s="2" customFormat="1" ht="5" customHeight="1" spans="1:3">
      <c r="A106" s="105"/>
      <c r="B106" s="106"/>
      <c r="C106" s="95"/>
    </row>
    <row r="107" s="2" customFormat="1" ht="5" customHeight="1" spans="1:3">
      <c r="A107" s="105"/>
      <c r="B107" s="106"/>
      <c r="C107" s="95"/>
    </row>
    <row r="108" s="2" customFormat="1" ht="5" customHeight="1" spans="1:3">
      <c r="A108" s="105"/>
      <c r="B108" s="106"/>
      <c r="C108" s="95"/>
    </row>
    <row r="109" s="2" customFormat="1" ht="5" customHeight="1" spans="1:3">
      <c r="A109" s="105"/>
      <c r="B109" s="106"/>
      <c r="C109" s="96"/>
    </row>
    <row r="110" s="2" customFormat="1" ht="5" customHeight="1" spans="1:3">
      <c r="A110" s="20" t="s">
        <v>16</v>
      </c>
      <c r="B110" s="21" t="s">
        <v>17</v>
      </c>
      <c r="C110" s="93">
        <f>SUM('JOB100363'!AF30)</f>
        <v>36506.3690866129</v>
      </c>
    </row>
    <row r="111" s="2" customFormat="1" ht="5" customHeight="1" spans="1:3">
      <c r="A111" s="20"/>
      <c r="B111" s="21"/>
      <c r="C111" s="95"/>
    </row>
    <row r="112" s="2" customFormat="1" ht="5" customHeight="1" spans="1:3">
      <c r="A112" s="20"/>
      <c r="B112" s="21"/>
      <c r="C112" s="95"/>
    </row>
    <row r="113" s="2" customFormat="1" ht="5" customHeight="1" spans="1:3">
      <c r="A113" s="20"/>
      <c r="B113" s="21"/>
      <c r="C113" s="95"/>
    </row>
    <row r="114" s="2" customFormat="1" ht="5" customHeight="1" spans="1:3">
      <c r="A114" s="20"/>
      <c r="B114" s="21"/>
      <c r="C114" s="95"/>
    </row>
    <row r="115" s="2" customFormat="1" ht="5" customHeight="1" spans="1:3">
      <c r="A115" s="20"/>
      <c r="B115" s="21"/>
      <c r="C115" s="95"/>
    </row>
    <row r="116" s="2" customFormat="1" ht="5" customHeight="1" spans="1:3">
      <c r="A116" s="20"/>
      <c r="B116" s="21"/>
      <c r="C116" s="95"/>
    </row>
    <row r="117" s="2" customFormat="1" ht="5" customHeight="1" spans="1:3">
      <c r="A117" s="20"/>
      <c r="B117" s="21"/>
      <c r="C117" s="95"/>
    </row>
    <row r="118" s="2" customFormat="1" ht="5" customHeight="1" spans="1:3">
      <c r="A118" s="20"/>
      <c r="B118" s="21"/>
      <c r="C118" s="95"/>
    </row>
    <row r="119" s="2" customFormat="1" ht="5" customHeight="1" spans="1:3">
      <c r="A119" s="20"/>
      <c r="B119" s="21"/>
      <c r="C119" s="95"/>
    </row>
    <row r="120" s="2" customFormat="1" ht="5" customHeight="1" spans="1:3">
      <c r="A120" s="20"/>
      <c r="B120" s="21"/>
      <c r="C120" s="95"/>
    </row>
    <row r="121" s="2" customFormat="1" ht="5" customHeight="1" spans="1:3">
      <c r="A121" s="20"/>
      <c r="B121" s="21"/>
      <c r="C121" s="95"/>
    </row>
    <row r="122" s="2" customFormat="1" ht="5" customHeight="1" spans="1:3">
      <c r="A122" s="20"/>
      <c r="B122" s="21"/>
      <c r="C122" s="95"/>
    </row>
    <row r="123" s="2" customFormat="1" ht="5" customHeight="1" spans="1:3">
      <c r="A123" s="20"/>
      <c r="B123" s="21"/>
      <c r="C123" s="95"/>
    </row>
    <row r="124" s="2" customFormat="1" ht="5" customHeight="1" spans="1:3">
      <c r="A124" s="20"/>
      <c r="B124" s="21"/>
      <c r="C124" s="95"/>
    </row>
    <row r="125" s="2" customFormat="1" ht="5" customHeight="1" spans="1:3">
      <c r="A125" s="20"/>
      <c r="B125" s="21"/>
      <c r="C125" s="95"/>
    </row>
    <row r="126" s="2" customFormat="1" ht="5" customHeight="1" spans="1:3">
      <c r="A126" s="20"/>
      <c r="B126" s="21"/>
      <c r="C126" s="95"/>
    </row>
    <row r="127" s="2" customFormat="1" ht="5" customHeight="1" spans="1:3">
      <c r="A127" s="20"/>
      <c r="B127" s="21"/>
      <c r="C127" s="95"/>
    </row>
    <row r="128" s="2" customFormat="1" ht="5" customHeight="1" spans="1:3">
      <c r="A128" s="20"/>
      <c r="B128" s="21"/>
      <c r="C128" s="95"/>
    </row>
    <row r="129" s="2" customFormat="1" ht="5" customHeight="1" spans="1:3">
      <c r="A129" s="20"/>
      <c r="B129" s="21"/>
      <c r="C129" s="95"/>
    </row>
    <row r="130" s="2" customFormat="1" ht="5" customHeight="1" spans="1:3">
      <c r="A130" s="20"/>
      <c r="B130" s="21"/>
      <c r="C130" s="95"/>
    </row>
    <row r="131" s="2" customFormat="1" ht="5" customHeight="1" spans="1:3">
      <c r="A131" s="20"/>
      <c r="B131" s="21"/>
      <c r="C131" s="95"/>
    </row>
    <row r="132" s="2" customFormat="1" ht="5" customHeight="1" spans="1:3">
      <c r="A132" s="20"/>
      <c r="B132" s="21"/>
      <c r="C132" s="95"/>
    </row>
    <row r="133" s="2" customFormat="1" ht="5" customHeight="1" spans="1:3">
      <c r="A133" s="20"/>
      <c r="B133" s="21"/>
      <c r="C133" s="95"/>
    </row>
    <row r="134" s="2" customFormat="1" ht="5" customHeight="1" spans="1:3">
      <c r="A134" s="20"/>
      <c r="B134" s="21"/>
      <c r="C134" s="96"/>
    </row>
    <row r="135" s="2" customFormat="1" ht="5" customHeight="1" spans="1:3">
      <c r="A135" s="20" t="s">
        <v>18</v>
      </c>
      <c r="B135" s="21" t="s">
        <v>19</v>
      </c>
      <c r="C135" s="93">
        <f>SUM('JOB100364'!AF25)</f>
        <v>15930.0876678089</v>
      </c>
    </row>
    <row r="136" s="2" customFormat="1" ht="5" customHeight="1" spans="1:3">
      <c r="A136" s="20"/>
      <c r="B136" s="21"/>
      <c r="C136" s="95"/>
    </row>
    <row r="137" s="2" customFormat="1" ht="5" customHeight="1" spans="1:3">
      <c r="A137" s="20"/>
      <c r="B137" s="21"/>
      <c r="C137" s="95"/>
    </row>
    <row r="138" s="2" customFormat="1" ht="5" customHeight="1" spans="1:3">
      <c r="A138" s="20"/>
      <c r="B138" s="21"/>
      <c r="C138" s="95"/>
    </row>
    <row r="139" s="2" customFormat="1" ht="5" customHeight="1" spans="1:3">
      <c r="A139" s="20"/>
      <c r="B139" s="21"/>
      <c r="C139" s="95"/>
    </row>
    <row r="140" s="2" customFormat="1" ht="5" customHeight="1" spans="1:3">
      <c r="A140" s="20"/>
      <c r="B140" s="21"/>
      <c r="C140" s="95"/>
    </row>
    <row r="141" s="2" customFormat="1" ht="5" customHeight="1" spans="1:3">
      <c r="A141" s="20"/>
      <c r="B141" s="21"/>
      <c r="C141" s="95"/>
    </row>
    <row r="142" s="2" customFormat="1" ht="5" customHeight="1" spans="1:3">
      <c r="A142" s="20"/>
      <c r="B142" s="21"/>
      <c r="C142" s="95"/>
    </row>
    <row r="143" s="2" customFormat="1" ht="5" customHeight="1" spans="1:3">
      <c r="A143" s="20"/>
      <c r="B143" s="21"/>
      <c r="C143" s="95"/>
    </row>
    <row r="144" s="2" customFormat="1" ht="5" customHeight="1" spans="1:3">
      <c r="A144" s="20"/>
      <c r="B144" s="21"/>
      <c r="C144" s="95"/>
    </row>
    <row r="145" s="2" customFormat="1" ht="5" customHeight="1" spans="1:3">
      <c r="A145" s="20"/>
      <c r="B145" s="21"/>
      <c r="C145" s="95"/>
    </row>
    <row r="146" s="2" customFormat="1" ht="5" customHeight="1" spans="1:3">
      <c r="A146" s="20"/>
      <c r="B146" s="21"/>
      <c r="C146" s="95"/>
    </row>
    <row r="147" s="2" customFormat="1" ht="5" customHeight="1" spans="1:3">
      <c r="A147" s="20"/>
      <c r="B147" s="21"/>
      <c r="C147" s="95"/>
    </row>
    <row r="148" s="2" customFormat="1" ht="5" customHeight="1" spans="1:3">
      <c r="A148" s="20"/>
      <c r="B148" s="21"/>
      <c r="C148" s="95"/>
    </row>
    <row r="149" s="2" customFormat="1" ht="5" customHeight="1" spans="1:3">
      <c r="A149" s="20"/>
      <c r="B149" s="21"/>
      <c r="C149" s="95"/>
    </row>
    <row r="150" s="2" customFormat="1" ht="5" customHeight="1" spans="1:3">
      <c r="A150" s="20"/>
      <c r="B150" s="21"/>
      <c r="C150" s="95"/>
    </row>
    <row r="151" s="2" customFormat="1" ht="5" customHeight="1" spans="1:3">
      <c r="A151" s="20"/>
      <c r="B151" s="21"/>
      <c r="C151" s="95"/>
    </row>
    <row r="152" s="2" customFormat="1" ht="5" customHeight="1" spans="1:3">
      <c r="A152" s="20"/>
      <c r="B152" s="21"/>
      <c r="C152" s="95"/>
    </row>
    <row r="153" s="2" customFormat="1" ht="5" customHeight="1" spans="1:3">
      <c r="A153" s="20"/>
      <c r="B153" s="21"/>
      <c r="C153" s="95"/>
    </row>
    <row r="154" s="2" customFormat="1" ht="5" customHeight="1" spans="1:3">
      <c r="A154" s="20"/>
      <c r="B154" s="21"/>
      <c r="C154" s="96"/>
    </row>
    <row r="155" s="2" customFormat="1" ht="5" customHeight="1" spans="1:3">
      <c r="A155" s="20" t="s">
        <v>20</v>
      </c>
      <c r="B155" s="21" t="s">
        <v>21</v>
      </c>
      <c r="C155" s="93">
        <f>SUM('JOB100365'!AF14)</f>
        <v>-6520.68697894569</v>
      </c>
    </row>
    <row r="156" s="2" customFormat="1" ht="5" customHeight="1" spans="1:3">
      <c r="A156" s="20"/>
      <c r="B156" s="21"/>
      <c r="C156" s="95"/>
    </row>
    <row r="157" s="2" customFormat="1" ht="5" customHeight="1" spans="1:3">
      <c r="A157" s="20"/>
      <c r="B157" s="21"/>
      <c r="C157" s="95"/>
    </row>
    <row r="158" s="2" customFormat="1" ht="5" customHeight="1" spans="1:3">
      <c r="A158" s="20"/>
      <c r="B158" s="21"/>
      <c r="C158" s="95"/>
    </row>
    <row r="159" s="2" customFormat="1" ht="5" customHeight="1" spans="1:3">
      <c r="A159" s="20"/>
      <c r="B159" s="21"/>
      <c r="C159" s="95"/>
    </row>
    <row r="160" s="2" customFormat="1" ht="5" customHeight="1" spans="1:3">
      <c r="A160" s="20"/>
      <c r="B160" s="21"/>
      <c r="C160" s="95"/>
    </row>
    <row r="161" s="2" customFormat="1" ht="5" customHeight="1" spans="1:3">
      <c r="A161" s="20"/>
      <c r="B161" s="21"/>
      <c r="C161" s="95"/>
    </row>
    <row r="162" s="2" customFormat="1" ht="5" customHeight="1" spans="1:3">
      <c r="A162" s="20"/>
      <c r="B162" s="21"/>
      <c r="C162" s="95"/>
    </row>
    <row r="163" s="2" customFormat="1" ht="5" customHeight="1" spans="1:3">
      <c r="A163" s="20"/>
      <c r="B163" s="21"/>
      <c r="C163" s="96"/>
    </row>
    <row r="164" s="2" customFormat="1" ht="5" customHeight="1" spans="1:3">
      <c r="A164" s="20" t="s">
        <v>22</v>
      </c>
      <c r="B164" s="21" t="s">
        <v>23</v>
      </c>
      <c r="C164" s="93">
        <f>SUM('JOB100366'!AF15)</f>
        <v>-1425.43216635296</v>
      </c>
    </row>
    <row r="165" s="2" customFormat="1" ht="5" customHeight="1" spans="1:3">
      <c r="A165" s="20"/>
      <c r="B165" s="21"/>
      <c r="C165" s="95"/>
    </row>
    <row r="166" s="2" customFormat="1" ht="5" customHeight="1" spans="1:3">
      <c r="A166" s="20"/>
      <c r="B166" s="21"/>
      <c r="C166" s="95"/>
    </row>
    <row r="167" s="2" customFormat="1" ht="5" customHeight="1" spans="1:3">
      <c r="A167" s="20"/>
      <c r="B167" s="21"/>
      <c r="C167" s="95"/>
    </row>
    <row r="168" s="2" customFormat="1" ht="5" customHeight="1" spans="1:3">
      <c r="A168" s="20"/>
      <c r="B168" s="21"/>
      <c r="C168" s="95"/>
    </row>
    <row r="169" s="2" customFormat="1" ht="5" customHeight="1" spans="1:3">
      <c r="A169" s="20"/>
      <c r="B169" s="21"/>
      <c r="C169" s="95"/>
    </row>
    <row r="170" s="2" customFormat="1" ht="5" customHeight="1" spans="1:3">
      <c r="A170" s="20"/>
      <c r="B170" s="21"/>
      <c r="C170" s="95"/>
    </row>
    <row r="171" s="2" customFormat="1" ht="5" customHeight="1" spans="1:3">
      <c r="A171" s="20"/>
      <c r="B171" s="21"/>
      <c r="C171" s="95"/>
    </row>
    <row r="172" s="2" customFormat="1" ht="5" customHeight="1" spans="1:3">
      <c r="A172" s="20"/>
      <c r="B172" s="21"/>
      <c r="C172" s="95"/>
    </row>
    <row r="173" s="2" customFormat="1" ht="5" customHeight="1" spans="1:3">
      <c r="A173" s="20"/>
      <c r="B173" s="21"/>
      <c r="C173" s="95"/>
    </row>
    <row r="174" s="2" customFormat="1" ht="5" customHeight="1" spans="1:3">
      <c r="A174" s="20"/>
      <c r="B174" s="21"/>
      <c r="C174" s="96"/>
    </row>
    <row r="175" s="2" customFormat="1" spans="1:3">
      <c r="A175" s="20" t="s">
        <v>24</v>
      </c>
      <c r="B175" s="21" t="s">
        <v>25</v>
      </c>
      <c r="C175" s="70">
        <f>SUM('JOB120359'!AF5)</f>
        <v>11665.491</v>
      </c>
    </row>
    <row r="176" ht="15.75" spans="1:3">
      <c r="A176" s="25" t="s">
        <v>26</v>
      </c>
      <c r="B176" s="26"/>
      <c r="C176" s="120">
        <f>SUM(C3:C175)</f>
        <v>132633.026869099</v>
      </c>
    </row>
  </sheetData>
  <autoFilter xmlns:etc="http://www.wps.cn/officeDocument/2017/etCustomData" ref="A2:C176" etc:filterBottomFollowUsedRange="0">
    <extLst/>
  </autoFilter>
  <mergeCells count="34">
    <mergeCell ref="A1:C1"/>
    <mergeCell ref="A2:A3"/>
    <mergeCell ref="A4:A24"/>
    <mergeCell ref="A25:A34"/>
    <mergeCell ref="A35:A44"/>
    <mergeCell ref="A45:A62"/>
    <mergeCell ref="A63:A88"/>
    <mergeCell ref="A89:A109"/>
    <mergeCell ref="A110:A134"/>
    <mergeCell ref="A135:A154"/>
    <mergeCell ref="A155:A163"/>
    <mergeCell ref="A164:A174"/>
    <mergeCell ref="B2:B3"/>
    <mergeCell ref="B4:B24"/>
    <mergeCell ref="B25:B34"/>
    <mergeCell ref="B35:B44"/>
    <mergeCell ref="B45:B62"/>
    <mergeCell ref="B63:B88"/>
    <mergeCell ref="B89:B109"/>
    <mergeCell ref="B110:B134"/>
    <mergeCell ref="B135:B154"/>
    <mergeCell ref="B155:B163"/>
    <mergeCell ref="B164:B174"/>
    <mergeCell ref="C2:C3"/>
    <mergeCell ref="C4:C24"/>
    <mergeCell ref="C25:C34"/>
    <mergeCell ref="C35:C44"/>
    <mergeCell ref="C45:C62"/>
    <mergeCell ref="C63:C88"/>
    <mergeCell ref="C89:C109"/>
    <mergeCell ref="C110:C134"/>
    <mergeCell ref="C135:C154"/>
    <mergeCell ref="C155:C163"/>
    <mergeCell ref="C164:C17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92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4"/>
    </row>
    <row r="2" s="1" customFormat="1" ht="23" customHeight="1" spans="1:32">
      <c r="A2" s="10" t="s">
        <v>1</v>
      </c>
      <c r="B2" s="11" t="s">
        <v>2</v>
      </c>
      <c r="C2" s="12" t="s">
        <v>27</v>
      </c>
      <c r="D2" s="13" t="s">
        <v>28</v>
      </c>
      <c r="E2" s="14" t="s">
        <v>29</v>
      </c>
      <c r="F2" s="15" t="s">
        <v>30</v>
      </c>
      <c r="G2" s="15" t="s">
        <v>31</v>
      </c>
      <c r="H2" s="15" t="s">
        <v>32</v>
      </c>
      <c r="I2" s="15" t="s">
        <v>33</v>
      </c>
      <c r="J2" s="30" t="s">
        <v>34</v>
      </c>
      <c r="K2" s="31"/>
      <c r="L2" s="32"/>
      <c r="M2" s="31"/>
      <c r="N2" s="32"/>
      <c r="O2" s="33"/>
      <c r="P2" s="34"/>
      <c r="Q2" s="55" t="s">
        <v>35</v>
      </c>
      <c r="R2" s="56" t="s">
        <v>36</v>
      </c>
      <c r="S2" s="57"/>
      <c r="T2" s="58"/>
      <c r="U2" s="59"/>
      <c r="V2" s="60"/>
      <c r="W2" s="61" t="s">
        <v>37</v>
      </c>
      <c r="X2" s="62" t="s">
        <v>38</v>
      </c>
      <c r="Y2" s="75" t="s">
        <v>39</v>
      </c>
      <c r="Z2" s="75"/>
      <c r="AA2" s="75"/>
      <c r="AB2" s="75"/>
      <c r="AC2" s="76"/>
      <c r="AD2" s="75"/>
      <c r="AE2" s="77" t="s">
        <v>40</v>
      </c>
      <c r="AF2" s="78" t="s">
        <v>3</v>
      </c>
    </row>
    <row r="3" s="1" customFormat="1" ht="27" customHeight="1" spans="1:32">
      <c r="A3" s="16"/>
      <c r="B3" s="17"/>
      <c r="C3" s="12"/>
      <c r="D3" s="13"/>
      <c r="E3" s="18"/>
      <c r="F3" s="19"/>
      <c r="G3" s="19"/>
      <c r="H3" s="19"/>
      <c r="I3" s="35"/>
      <c r="J3" s="36" t="s">
        <v>41</v>
      </c>
      <c r="K3" s="37" t="s">
        <v>42</v>
      </c>
      <c r="L3" s="38" t="s">
        <v>43</v>
      </c>
      <c r="M3" s="37" t="s">
        <v>44</v>
      </c>
      <c r="N3" s="39" t="s">
        <v>45</v>
      </c>
      <c r="O3" s="40" t="s">
        <v>46</v>
      </c>
      <c r="P3" s="41" t="s">
        <v>47</v>
      </c>
      <c r="Q3" s="63"/>
      <c r="R3" s="64" t="s">
        <v>48</v>
      </c>
      <c r="S3" s="65" t="s">
        <v>49</v>
      </c>
      <c r="T3" s="66" t="s">
        <v>50</v>
      </c>
      <c r="U3" s="67" t="s">
        <v>51</v>
      </c>
      <c r="V3" s="66" t="s">
        <v>52</v>
      </c>
      <c r="W3" s="68"/>
      <c r="X3" s="69"/>
      <c r="Y3" s="79" t="s">
        <v>53</v>
      </c>
      <c r="Z3" s="79" t="s">
        <v>54</v>
      </c>
      <c r="AA3" s="79" t="s">
        <v>55</v>
      </c>
      <c r="AB3" s="80" t="s">
        <v>56</v>
      </c>
      <c r="AC3" s="81" t="s">
        <v>57</v>
      </c>
      <c r="AD3" s="82" t="s">
        <v>47</v>
      </c>
      <c r="AE3" s="83" t="s">
        <v>58</v>
      </c>
      <c r="AF3" s="84"/>
    </row>
    <row r="4" s="2" customFormat="1" spans="1:32">
      <c r="A4" s="20" t="s">
        <v>4</v>
      </c>
      <c r="B4" s="21" t="s">
        <v>5</v>
      </c>
      <c r="C4" s="22">
        <v>240907000011</v>
      </c>
      <c r="D4" s="23">
        <v>45563</v>
      </c>
      <c r="E4" s="23" t="s">
        <v>59</v>
      </c>
      <c r="F4" s="21" t="s">
        <v>60</v>
      </c>
      <c r="G4" s="21" t="s">
        <v>61</v>
      </c>
      <c r="H4" s="88">
        <v>0.4074</v>
      </c>
      <c r="I4" s="88">
        <v>404</v>
      </c>
      <c r="J4" s="42">
        <v>1549.3</v>
      </c>
      <c r="K4" s="86"/>
      <c r="L4" s="44"/>
      <c r="M4" s="45"/>
      <c r="N4" s="92"/>
      <c r="O4" s="21"/>
      <c r="P4" s="48">
        <f t="shared" ref="P4:P8" si="0">SUBTOTAL(9,J4)</f>
        <v>1549.3</v>
      </c>
      <c r="Q4" s="93">
        <f>SUM(P4:P24)</f>
        <v>163992.93964578</v>
      </c>
      <c r="R4" s="94" t="s">
        <v>62</v>
      </c>
      <c r="S4" s="72">
        <f>SUM(40515/68)*H4</f>
        <v>242.732514705882</v>
      </c>
      <c r="T4" s="72"/>
      <c r="U4" s="72">
        <f>SUM(2200/68)*H4</f>
        <v>13.1805882352941</v>
      </c>
      <c r="V4" s="72"/>
      <c r="W4" s="72"/>
      <c r="X4" s="72">
        <f>SUM(S4:W4)</f>
        <v>255.913102941176</v>
      </c>
      <c r="Y4" s="85">
        <f>SUM(10381.23/68)*H4</f>
        <v>62.1957809117647</v>
      </c>
      <c r="Z4" s="97">
        <v>48.54</v>
      </c>
      <c r="AA4" s="85"/>
      <c r="AB4" s="85">
        <f>SUM(Y4:AA4)</f>
        <v>110.735780911765</v>
      </c>
      <c r="AC4" s="86">
        <v>7.23</v>
      </c>
      <c r="AD4" s="72">
        <f>SUM(AB4*AC4)</f>
        <v>800.619695992059</v>
      </c>
      <c r="AE4" s="72">
        <f>SUM(X4+AD4)</f>
        <v>1056.53279893323</v>
      </c>
      <c r="AF4" s="72">
        <f>SUM(P4-AE4)</f>
        <v>492.76720106677</v>
      </c>
    </row>
    <row r="5" s="2" customFormat="1" spans="1:32">
      <c r="A5" s="20"/>
      <c r="B5" s="21"/>
      <c r="C5" s="22">
        <v>240909000011</v>
      </c>
      <c r="D5" s="23">
        <v>45563</v>
      </c>
      <c r="E5" s="23" t="s">
        <v>63</v>
      </c>
      <c r="F5" s="21" t="s">
        <v>64</v>
      </c>
      <c r="G5" s="21" t="s">
        <v>64</v>
      </c>
      <c r="H5" s="88">
        <v>0.036</v>
      </c>
      <c r="I5" s="88">
        <v>12</v>
      </c>
      <c r="J5" s="48"/>
      <c r="K5" s="90">
        <v>87324</v>
      </c>
      <c r="L5" s="44"/>
      <c r="M5" s="45">
        <f t="shared" ref="M5:M10" si="1">SUM(K5/N5)</f>
        <v>5916.25936094047</v>
      </c>
      <c r="N5" s="46">
        <v>14.760002</v>
      </c>
      <c r="O5" s="21">
        <v>7.24</v>
      </c>
      <c r="P5" s="48">
        <f t="shared" ref="P5:P10" si="2">SUM(N5*O5)</f>
        <v>106.86241448</v>
      </c>
      <c r="Q5" s="95"/>
      <c r="R5" s="95"/>
      <c r="S5" s="72">
        <f t="shared" ref="S5:S24" si="3">SUM(40515/68)*H5</f>
        <v>21.4491176470588</v>
      </c>
      <c r="T5" s="72"/>
      <c r="U5" s="72">
        <f t="shared" ref="U5:U24" si="4">SUM(2200/68)*H5</f>
        <v>1.16470588235294</v>
      </c>
      <c r="V5" s="72"/>
      <c r="W5" s="72"/>
      <c r="X5" s="72">
        <f t="shared" ref="X5:X24" si="5">SUM(S5:W5)</f>
        <v>22.6138235294118</v>
      </c>
      <c r="Y5" s="85">
        <f t="shared" ref="Y5:Y24" si="6">SUM(10381.23/68)*H5</f>
        <v>5.49594529411765</v>
      </c>
      <c r="Z5" s="97">
        <v>0.54</v>
      </c>
      <c r="AA5" s="85"/>
      <c r="AB5" s="85">
        <f t="shared" ref="AB5:AB36" si="7">SUM(Y5:AA5)</f>
        <v>6.03594529411765</v>
      </c>
      <c r="AC5" s="86">
        <v>7.23</v>
      </c>
      <c r="AD5" s="72">
        <f t="shared" ref="AD5:AD25" si="8">SUM(AB5*AC5)</f>
        <v>43.6398844764706</v>
      </c>
      <c r="AE5" s="72">
        <f t="shared" ref="AE5:AE25" si="9">SUM(X5+AD5)</f>
        <v>66.2537080058824</v>
      </c>
      <c r="AF5" s="72">
        <f t="shared" ref="AF5:AF24" si="10">SUM(P5-AE5)</f>
        <v>40.6087064741176</v>
      </c>
    </row>
    <row r="6" s="2" customFormat="1" spans="1:32">
      <c r="A6" s="20"/>
      <c r="B6" s="21"/>
      <c r="C6" s="22">
        <v>240915000027</v>
      </c>
      <c r="D6" s="23">
        <v>45563</v>
      </c>
      <c r="E6" s="23" t="s">
        <v>59</v>
      </c>
      <c r="F6" s="21" t="s">
        <v>60</v>
      </c>
      <c r="G6" s="21" t="s">
        <v>65</v>
      </c>
      <c r="H6" s="88">
        <v>0.554</v>
      </c>
      <c r="I6" s="88">
        <v>177</v>
      </c>
      <c r="J6" s="118">
        <v>1986.97</v>
      </c>
      <c r="K6" s="86"/>
      <c r="L6" s="44"/>
      <c r="M6" s="45"/>
      <c r="N6" s="44"/>
      <c r="O6" s="21"/>
      <c r="P6" s="48">
        <f>SUM(J6)</f>
        <v>1986.97</v>
      </c>
      <c r="Q6" s="95"/>
      <c r="R6" s="95"/>
      <c r="S6" s="72">
        <f t="shared" si="3"/>
        <v>330.078088235294</v>
      </c>
      <c r="T6" s="72"/>
      <c r="U6" s="72">
        <f t="shared" si="4"/>
        <v>17.9235294117647</v>
      </c>
      <c r="V6" s="72">
        <v>60</v>
      </c>
      <c r="W6" s="72"/>
      <c r="X6" s="72">
        <f t="shared" si="5"/>
        <v>408.001617647059</v>
      </c>
      <c r="Y6" s="85">
        <f t="shared" si="6"/>
        <v>84.5764914705882</v>
      </c>
      <c r="Z6" s="97">
        <v>83.97</v>
      </c>
      <c r="AA6" s="97"/>
      <c r="AB6" s="85">
        <f t="shared" si="7"/>
        <v>168.546491470588</v>
      </c>
      <c r="AC6" s="86">
        <v>7.23</v>
      </c>
      <c r="AD6" s="72">
        <f t="shared" si="8"/>
        <v>1218.59113333235</v>
      </c>
      <c r="AE6" s="72">
        <f t="shared" si="9"/>
        <v>1626.59275097941</v>
      </c>
      <c r="AF6" s="72">
        <f t="shared" si="10"/>
        <v>360.37724902059</v>
      </c>
    </row>
    <row r="7" s="2" customFormat="1" spans="1:32">
      <c r="A7" s="20"/>
      <c r="B7" s="21"/>
      <c r="C7" s="22">
        <v>240919000042</v>
      </c>
      <c r="D7" s="23">
        <v>45563</v>
      </c>
      <c r="E7" s="23" t="s">
        <v>63</v>
      </c>
      <c r="F7" s="21" t="s">
        <v>64</v>
      </c>
      <c r="G7" s="21" t="s">
        <v>66</v>
      </c>
      <c r="H7" s="88">
        <v>0.2211</v>
      </c>
      <c r="I7" s="88">
        <v>118</v>
      </c>
      <c r="J7" s="42">
        <v>468.7</v>
      </c>
      <c r="K7" s="86"/>
      <c r="L7" s="44"/>
      <c r="M7" s="45"/>
      <c r="N7" s="92"/>
      <c r="O7" s="21"/>
      <c r="P7" s="48">
        <f t="shared" si="0"/>
        <v>468.7</v>
      </c>
      <c r="Q7" s="95"/>
      <c r="R7" s="95"/>
      <c r="S7" s="72">
        <f t="shared" si="3"/>
        <v>131.733330882353</v>
      </c>
      <c r="T7" s="72"/>
      <c r="U7" s="72">
        <f t="shared" si="4"/>
        <v>7.15323529411765</v>
      </c>
      <c r="V7" s="72"/>
      <c r="W7" s="72"/>
      <c r="X7" s="72">
        <f t="shared" si="5"/>
        <v>138.886566176471</v>
      </c>
      <c r="Y7" s="85">
        <f t="shared" si="6"/>
        <v>33.7542640147059</v>
      </c>
      <c r="Z7" s="85"/>
      <c r="AA7" s="85"/>
      <c r="AB7" s="85">
        <f t="shared" si="7"/>
        <v>33.7542640147059</v>
      </c>
      <c r="AC7" s="86">
        <v>7.23</v>
      </c>
      <c r="AD7" s="72">
        <f t="shared" si="8"/>
        <v>244.043328826324</v>
      </c>
      <c r="AE7" s="72">
        <f t="shared" si="9"/>
        <v>382.929895002795</v>
      </c>
      <c r="AF7" s="72">
        <f t="shared" si="10"/>
        <v>85.770104997205</v>
      </c>
    </row>
    <row r="8" s="2" customFormat="1" spans="1:32">
      <c r="A8" s="20"/>
      <c r="B8" s="21"/>
      <c r="C8" s="22">
        <v>240920000027</v>
      </c>
      <c r="D8" s="23">
        <v>45563</v>
      </c>
      <c r="E8" s="23" t="s">
        <v>59</v>
      </c>
      <c r="F8" s="21" t="s">
        <v>60</v>
      </c>
      <c r="G8" s="21" t="s">
        <v>67</v>
      </c>
      <c r="H8" s="88">
        <v>1.1252</v>
      </c>
      <c r="I8" s="88">
        <v>111</v>
      </c>
      <c r="J8" s="42">
        <v>3500.8</v>
      </c>
      <c r="K8" s="86"/>
      <c r="L8" s="44"/>
      <c r="M8" s="45"/>
      <c r="N8" s="92"/>
      <c r="O8" s="21"/>
      <c r="P8" s="48">
        <f t="shared" si="0"/>
        <v>3500.8</v>
      </c>
      <c r="Q8" s="95"/>
      <c r="R8" s="95"/>
      <c r="S8" s="72">
        <f t="shared" si="3"/>
        <v>670.404088235294</v>
      </c>
      <c r="T8" s="72"/>
      <c r="U8" s="72">
        <f t="shared" si="4"/>
        <v>36.4035294117647</v>
      </c>
      <c r="V8" s="72"/>
      <c r="W8" s="72"/>
      <c r="X8" s="72">
        <f t="shared" si="5"/>
        <v>706.807617647059</v>
      </c>
      <c r="Y8" s="85">
        <f t="shared" si="6"/>
        <v>171.778823470588</v>
      </c>
      <c r="Z8" s="85">
        <v>8.31</v>
      </c>
      <c r="AA8" s="85">
        <v>117.69</v>
      </c>
      <c r="AB8" s="85">
        <f t="shared" si="7"/>
        <v>297.778823470588</v>
      </c>
      <c r="AC8" s="86">
        <v>7.23</v>
      </c>
      <c r="AD8" s="72">
        <f t="shared" si="8"/>
        <v>2152.94089369235</v>
      </c>
      <c r="AE8" s="72">
        <f t="shared" si="9"/>
        <v>2859.74851133941</v>
      </c>
      <c r="AF8" s="72">
        <f t="shared" si="10"/>
        <v>641.05148866059</v>
      </c>
    </row>
    <row r="9" s="2" customFormat="1" spans="1:32">
      <c r="A9" s="20"/>
      <c r="B9" s="21"/>
      <c r="C9" s="22">
        <v>240920000030</v>
      </c>
      <c r="D9" s="23">
        <v>45563</v>
      </c>
      <c r="E9" s="23" t="s">
        <v>63</v>
      </c>
      <c r="F9" s="21" t="s">
        <v>64</v>
      </c>
      <c r="G9" s="21" t="s">
        <v>68</v>
      </c>
      <c r="H9" s="88">
        <v>0.319</v>
      </c>
      <c r="I9" s="88">
        <v>321</v>
      </c>
      <c r="J9" s="48"/>
      <c r="K9" s="90">
        <v>385317</v>
      </c>
      <c r="L9" s="44"/>
      <c r="M9" s="45">
        <f t="shared" si="1"/>
        <v>1767.34703238235</v>
      </c>
      <c r="N9" s="46">
        <v>218.02</v>
      </c>
      <c r="O9" s="21">
        <v>7.24</v>
      </c>
      <c r="P9" s="48">
        <f t="shared" si="2"/>
        <v>1578.4648</v>
      </c>
      <c r="Q9" s="95"/>
      <c r="R9" s="95"/>
      <c r="S9" s="72">
        <f t="shared" si="3"/>
        <v>190.063014705882</v>
      </c>
      <c r="T9" s="72"/>
      <c r="U9" s="72">
        <f t="shared" si="4"/>
        <v>10.3205882352941</v>
      </c>
      <c r="V9" s="72"/>
      <c r="W9" s="72"/>
      <c r="X9" s="72">
        <f t="shared" si="5"/>
        <v>200.383602941176</v>
      </c>
      <c r="Y9" s="85">
        <f t="shared" si="6"/>
        <v>48.7001819117647</v>
      </c>
      <c r="Z9" s="97">
        <v>85.03</v>
      </c>
      <c r="AA9" s="85"/>
      <c r="AB9" s="85">
        <f t="shared" si="7"/>
        <v>133.730181911765</v>
      </c>
      <c r="AC9" s="86">
        <v>7.23</v>
      </c>
      <c r="AD9" s="72">
        <f t="shared" si="8"/>
        <v>966.869215222059</v>
      </c>
      <c r="AE9" s="72">
        <f t="shared" si="9"/>
        <v>1167.25281816323</v>
      </c>
      <c r="AF9" s="72">
        <f t="shared" si="10"/>
        <v>411.21198183677</v>
      </c>
    </row>
    <row r="10" s="2" customFormat="1" spans="1:32">
      <c r="A10" s="20"/>
      <c r="B10" s="21"/>
      <c r="C10" s="22">
        <v>240923000009</v>
      </c>
      <c r="D10" s="23">
        <v>45563</v>
      </c>
      <c r="E10" s="23" t="s">
        <v>69</v>
      </c>
      <c r="F10" s="21" t="s">
        <v>70</v>
      </c>
      <c r="G10" s="21" t="s">
        <v>71</v>
      </c>
      <c r="H10" s="88">
        <v>0.5281</v>
      </c>
      <c r="I10" s="88">
        <v>104.5</v>
      </c>
      <c r="J10" s="48"/>
      <c r="K10" s="90">
        <v>313621.07</v>
      </c>
      <c r="L10" s="44"/>
      <c r="M10" s="45">
        <f t="shared" si="1"/>
        <v>1855.85590010391</v>
      </c>
      <c r="N10" s="46">
        <v>168.98999</v>
      </c>
      <c r="O10" s="21">
        <v>7.26</v>
      </c>
      <c r="P10" s="48">
        <f t="shared" si="2"/>
        <v>1226.8673274</v>
      </c>
      <c r="Q10" s="95"/>
      <c r="R10" s="95"/>
      <c r="S10" s="72">
        <f t="shared" si="3"/>
        <v>314.646639705882</v>
      </c>
      <c r="T10" s="72"/>
      <c r="U10" s="72">
        <f t="shared" si="4"/>
        <v>17.0855882352941</v>
      </c>
      <c r="V10" s="72"/>
      <c r="W10" s="72"/>
      <c r="X10" s="72">
        <f t="shared" si="5"/>
        <v>331.732227941176</v>
      </c>
      <c r="Y10" s="85">
        <f t="shared" si="6"/>
        <v>80.6224641617647</v>
      </c>
      <c r="Z10" s="85"/>
      <c r="AA10" s="85"/>
      <c r="AB10" s="85">
        <f t="shared" si="7"/>
        <v>80.6224641617647</v>
      </c>
      <c r="AC10" s="86">
        <v>7.23</v>
      </c>
      <c r="AD10" s="72">
        <f t="shared" si="8"/>
        <v>582.900415889559</v>
      </c>
      <c r="AE10" s="72">
        <f t="shared" si="9"/>
        <v>914.632643830735</v>
      </c>
      <c r="AF10" s="72">
        <f t="shared" si="10"/>
        <v>312.234683569265</v>
      </c>
    </row>
    <row r="11" s="2" customFormat="1" spans="1:32">
      <c r="A11" s="20"/>
      <c r="B11" s="21"/>
      <c r="C11" s="22">
        <v>240923000035</v>
      </c>
      <c r="D11" s="23">
        <v>45547</v>
      </c>
      <c r="E11" s="23" t="s">
        <v>63</v>
      </c>
      <c r="F11" s="21" t="s">
        <v>64</v>
      </c>
      <c r="G11" s="21" t="s">
        <v>72</v>
      </c>
      <c r="H11" s="88">
        <v>1.0584</v>
      </c>
      <c r="I11" s="88">
        <v>465</v>
      </c>
      <c r="J11" s="42">
        <v>2082</v>
      </c>
      <c r="K11" s="86"/>
      <c r="L11" s="44"/>
      <c r="M11" s="45"/>
      <c r="N11" s="97"/>
      <c r="O11" s="21"/>
      <c r="P11" s="48">
        <f t="shared" ref="P11:P17" si="11">SUBTOTAL(9,J11)</f>
        <v>2082</v>
      </c>
      <c r="Q11" s="95"/>
      <c r="R11" s="95"/>
      <c r="S11" s="72">
        <f t="shared" si="3"/>
        <v>630.604058823529</v>
      </c>
      <c r="T11" s="72"/>
      <c r="U11" s="72">
        <f t="shared" si="4"/>
        <v>34.2423529411765</v>
      </c>
      <c r="V11" s="72"/>
      <c r="W11" s="72"/>
      <c r="X11" s="72">
        <f t="shared" si="5"/>
        <v>664.846411764706</v>
      </c>
      <c r="Y11" s="85">
        <f t="shared" si="6"/>
        <v>161.580791647059</v>
      </c>
      <c r="Z11" s="85"/>
      <c r="AA11" s="85"/>
      <c r="AB11" s="85">
        <f t="shared" si="7"/>
        <v>161.580791647059</v>
      </c>
      <c r="AC11" s="86">
        <v>7.23</v>
      </c>
      <c r="AD11" s="72">
        <f t="shared" si="8"/>
        <v>1168.22912360824</v>
      </c>
      <c r="AE11" s="72">
        <f t="shared" si="9"/>
        <v>1833.07553537294</v>
      </c>
      <c r="AF11" s="72">
        <f t="shared" si="10"/>
        <v>248.92446462706</v>
      </c>
    </row>
    <row r="12" s="2" customFormat="1" spans="1:32">
      <c r="A12" s="20"/>
      <c r="B12" s="21"/>
      <c r="C12" s="22">
        <v>240923000047</v>
      </c>
      <c r="D12" s="23">
        <v>45563</v>
      </c>
      <c r="E12" s="23" t="s">
        <v>59</v>
      </c>
      <c r="F12" s="21" t="s">
        <v>60</v>
      </c>
      <c r="G12" s="21" t="s">
        <v>73</v>
      </c>
      <c r="H12" s="88">
        <v>0.8</v>
      </c>
      <c r="I12" s="88">
        <v>197</v>
      </c>
      <c r="J12" s="48"/>
      <c r="K12" s="90">
        <v>390880</v>
      </c>
      <c r="L12" s="44"/>
      <c r="M12" s="45">
        <f>SUM(K12/N12)</f>
        <v>1744.99976629467</v>
      </c>
      <c r="N12" s="46">
        <v>224.00003</v>
      </c>
      <c r="O12" s="21">
        <v>7.21</v>
      </c>
      <c r="P12" s="48">
        <f>SUM(N12*O12)</f>
        <v>1615.0402163</v>
      </c>
      <c r="Q12" s="95"/>
      <c r="R12" s="95"/>
      <c r="S12" s="72">
        <f t="shared" si="3"/>
        <v>476.647058823529</v>
      </c>
      <c r="T12" s="72"/>
      <c r="U12" s="72">
        <f t="shared" si="4"/>
        <v>25.8823529411765</v>
      </c>
      <c r="V12" s="72"/>
      <c r="W12" s="72"/>
      <c r="X12" s="72">
        <f t="shared" si="5"/>
        <v>502.529411764706</v>
      </c>
      <c r="Y12" s="85">
        <f t="shared" si="6"/>
        <v>122.132117647059</v>
      </c>
      <c r="Z12" s="85"/>
      <c r="AA12" s="85"/>
      <c r="AB12" s="85">
        <f t="shared" si="7"/>
        <v>122.132117647059</v>
      </c>
      <c r="AC12" s="86">
        <v>7.23</v>
      </c>
      <c r="AD12" s="72">
        <f t="shared" si="8"/>
        <v>883.015210588235</v>
      </c>
      <c r="AE12" s="72">
        <f t="shared" si="9"/>
        <v>1385.54462235294</v>
      </c>
      <c r="AF12" s="72">
        <f t="shared" si="10"/>
        <v>229.49559394706</v>
      </c>
    </row>
    <row r="13" s="2" customFormat="1" spans="1:32">
      <c r="A13" s="20"/>
      <c r="B13" s="21"/>
      <c r="C13" s="22">
        <v>240924000001</v>
      </c>
      <c r="D13" s="23">
        <v>45563</v>
      </c>
      <c r="E13" s="23" t="s">
        <v>74</v>
      </c>
      <c r="F13" s="21" t="s">
        <v>74</v>
      </c>
      <c r="G13" s="21" t="s">
        <v>75</v>
      </c>
      <c r="H13" s="88">
        <v>8.51</v>
      </c>
      <c r="I13" s="88">
        <v>209</v>
      </c>
      <c r="J13" s="42">
        <v>14859.77</v>
      </c>
      <c r="K13" s="86"/>
      <c r="L13" s="44"/>
      <c r="M13" s="45"/>
      <c r="N13" s="92"/>
      <c r="O13" s="21"/>
      <c r="P13" s="48">
        <f t="shared" si="11"/>
        <v>14859.77</v>
      </c>
      <c r="Q13" s="95"/>
      <c r="R13" s="95"/>
      <c r="S13" s="72">
        <f t="shared" si="3"/>
        <v>5070.33308823529</v>
      </c>
      <c r="T13" s="72"/>
      <c r="U13" s="72">
        <f t="shared" si="4"/>
        <v>275.323529411765</v>
      </c>
      <c r="V13" s="72"/>
      <c r="W13" s="72"/>
      <c r="X13" s="72">
        <f t="shared" si="5"/>
        <v>5345.65661764706</v>
      </c>
      <c r="Y13" s="85">
        <f t="shared" si="6"/>
        <v>1299.18040147059</v>
      </c>
      <c r="Z13" s="85"/>
      <c r="AA13" s="85"/>
      <c r="AB13" s="85">
        <f t="shared" si="7"/>
        <v>1299.18040147059</v>
      </c>
      <c r="AC13" s="86">
        <v>7.23</v>
      </c>
      <c r="AD13" s="72">
        <f t="shared" si="8"/>
        <v>9393.07430263235</v>
      </c>
      <c r="AE13" s="72">
        <f t="shared" si="9"/>
        <v>14738.7309202794</v>
      </c>
      <c r="AF13" s="72">
        <f t="shared" si="10"/>
        <v>121.0390797206</v>
      </c>
    </row>
    <row r="14" s="2" customFormat="1" spans="1:32">
      <c r="A14" s="20"/>
      <c r="B14" s="21"/>
      <c r="C14" s="22">
        <v>240925000028</v>
      </c>
      <c r="D14" s="23">
        <v>45563</v>
      </c>
      <c r="E14" s="23" t="s">
        <v>69</v>
      </c>
      <c r="F14" s="21" t="s">
        <v>70</v>
      </c>
      <c r="G14" s="21" t="s">
        <v>76</v>
      </c>
      <c r="H14" s="88">
        <v>1.2354</v>
      </c>
      <c r="I14" s="88">
        <v>125</v>
      </c>
      <c r="J14" s="42">
        <v>2382.35</v>
      </c>
      <c r="K14" s="86"/>
      <c r="L14" s="44"/>
      <c r="M14" s="45"/>
      <c r="N14" s="92"/>
      <c r="O14" s="21"/>
      <c r="P14" s="48">
        <f t="shared" si="11"/>
        <v>2382.35</v>
      </c>
      <c r="Q14" s="95"/>
      <c r="R14" s="95"/>
      <c r="S14" s="72">
        <f t="shared" si="3"/>
        <v>736.062220588235</v>
      </c>
      <c r="T14" s="72"/>
      <c r="U14" s="72">
        <f t="shared" si="4"/>
        <v>39.9688235294118</v>
      </c>
      <c r="V14" s="72"/>
      <c r="W14" s="72"/>
      <c r="X14" s="72">
        <f t="shared" si="5"/>
        <v>776.031044117647</v>
      </c>
      <c r="Y14" s="85">
        <f t="shared" si="6"/>
        <v>188.602522676471</v>
      </c>
      <c r="Z14" s="85"/>
      <c r="AA14" s="85"/>
      <c r="AB14" s="85">
        <f t="shared" si="7"/>
        <v>188.602522676471</v>
      </c>
      <c r="AC14" s="86">
        <v>7.23</v>
      </c>
      <c r="AD14" s="72">
        <f t="shared" si="8"/>
        <v>1363.59623895088</v>
      </c>
      <c r="AE14" s="72">
        <f t="shared" si="9"/>
        <v>2139.62728306853</v>
      </c>
      <c r="AF14" s="72">
        <f t="shared" si="10"/>
        <v>242.72271693147</v>
      </c>
    </row>
    <row r="15" s="2" customFormat="1" spans="1:32">
      <c r="A15" s="20"/>
      <c r="B15" s="21"/>
      <c r="C15" s="22">
        <v>240926000027</v>
      </c>
      <c r="D15" s="23">
        <v>45563</v>
      </c>
      <c r="E15" s="23" t="s">
        <v>74</v>
      </c>
      <c r="F15" s="21" t="s">
        <v>74</v>
      </c>
      <c r="G15" s="21" t="s">
        <v>77</v>
      </c>
      <c r="H15" s="88">
        <v>1.555</v>
      </c>
      <c r="I15" s="88">
        <v>237</v>
      </c>
      <c r="J15" s="42">
        <v>3879</v>
      </c>
      <c r="K15" s="86"/>
      <c r="L15" s="44"/>
      <c r="M15" s="45"/>
      <c r="N15" s="92"/>
      <c r="O15" s="21"/>
      <c r="P15" s="48">
        <f t="shared" si="11"/>
        <v>3879</v>
      </c>
      <c r="Q15" s="95"/>
      <c r="R15" s="95"/>
      <c r="S15" s="72">
        <f t="shared" si="3"/>
        <v>926.482720588235</v>
      </c>
      <c r="T15" s="72"/>
      <c r="U15" s="72">
        <f t="shared" si="4"/>
        <v>50.3088235294118</v>
      </c>
      <c r="V15" s="72"/>
      <c r="W15" s="72"/>
      <c r="X15" s="72">
        <f t="shared" si="5"/>
        <v>976.791544117647</v>
      </c>
      <c r="Y15" s="85">
        <f t="shared" si="6"/>
        <v>237.394303676471</v>
      </c>
      <c r="Z15" s="97">
        <v>36.85</v>
      </c>
      <c r="AA15" s="85"/>
      <c r="AB15" s="85">
        <f t="shared" si="7"/>
        <v>274.244303676471</v>
      </c>
      <c r="AC15" s="86">
        <v>7.23</v>
      </c>
      <c r="AD15" s="72">
        <f t="shared" si="8"/>
        <v>1982.78631558088</v>
      </c>
      <c r="AE15" s="72">
        <f t="shared" si="9"/>
        <v>2959.57785969853</v>
      </c>
      <c r="AF15" s="72">
        <f t="shared" si="10"/>
        <v>919.42214030147</v>
      </c>
    </row>
    <row r="16" s="2" customFormat="1" spans="1:32">
      <c r="A16" s="20"/>
      <c r="B16" s="21"/>
      <c r="C16" s="22">
        <v>240924000057</v>
      </c>
      <c r="D16" s="23">
        <v>45564</v>
      </c>
      <c r="E16" s="23" t="s">
        <v>74</v>
      </c>
      <c r="F16" s="21" t="s">
        <v>74</v>
      </c>
      <c r="G16" s="21" t="s">
        <v>78</v>
      </c>
      <c r="H16" s="88">
        <v>5.543</v>
      </c>
      <c r="I16" s="88">
        <v>3101</v>
      </c>
      <c r="J16" s="42">
        <v>12233</v>
      </c>
      <c r="K16" s="86"/>
      <c r="L16" s="44"/>
      <c r="M16" s="45"/>
      <c r="N16" s="92"/>
      <c r="O16" s="21"/>
      <c r="P16" s="48">
        <f t="shared" si="11"/>
        <v>12233</v>
      </c>
      <c r="Q16" s="95"/>
      <c r="R16" s="95"/>
      <c r="S16" s="72">
        <f t="shared" si="3"/>
        <v>3302.56830882353</v>
      </c>
      <c r="T16" s="72"/>
      <c r="U16" s="72">
        <f t="shared" si="4"/>
        <v>179.332352941176</v>
      </c>
      <c r="V16" s="72"/>
      <c r="W16" s="72"/>
      <c r="X16" s="72">
        <f t="shared" si="5"/>
        <v>3481.90066176471</v>
      </c>
      <c r="Y16" s="85">
        <f t="shared" si="6"/>
        <v>846.222910147059</v>
      </c>
      <c r="Z16" s="85"/>
      <c r="AA16" s="85"/>
      <c r="AB16" s="85">
        <f t="shared" si="7"/>
        <v>846.222910147059</v>
      </c>
      <c r="AC16" s="86">
        <v>7.23</v>
      </c>
      <c r="AD16" s="72">
        <f t="shared" si="8"/>
        <v>6118.19164036323</v>
      </c>
      <c r="AE16" s="72">
        <f t="shared" si="9"/>
        <v>9600.09230212794</v>
      </c>
      <c r="AF16" s="72">
        <f t="shared" si="10"/>
        <v>2632.90769787206</v>
      </c>
    </row>
    <row r="17" s="2" customFormat="1" spans="1:32">
      <c r="A17" s="20"/>
      <c r="B17" s="21"/>
      <c r="C17" s="22">
        <v>240906000023</v>
      </c>
      <c r="D17" s="23">
        <v>45559</v>
      </c>
      <c r="E17" s="23" t="s">
        <v>74</v>
      </c>
      <c r="F17" s="21" t="s">
        <v>74</v>
      </c>
      <c r="G17" s="21" t="s">
        <v>79</v>
      </c>
      <c r="H17" s="88">
        <v>33.5175</v>
      </c>
      <c r="I17" s="88">
        <v>8313</v>
      </c>
      <c r="J17" s="89">
        <v>68845</v>
      </c>
      <c r="K17" s="86"/>
      <c r="L17" s="113"/>
      <c r="M17" s="114"/>
      <c r="N17" s="92"/>
      <c r="O17" s="115"/>
      <c r="P17" s="116">
        <f t="shared" si="11"/>
        <v>68845</v>
      </c>
      <c r="Q17" s="95"/>
      <c r="R17" s="95"/>
      <c r="S17" s="72">
        <f t="shared" si="3"/>
        <v>19970.0222426471</v>
      </c>
      <c r="T17" s="72"/>
      <c r="U17" s="72">
        <f t="shared" si="4"/>
        <v>1084.38970588235</v>
      </c>
      <c r="V17" s="72"/>
      <c r="W17" s="72"/>
      <c r="X17" s="72">
        <f t="shared" si="5"/>
        <v>21054.4119485294</v>
      </c>
      <c r="Y17" s="85">
        <f t="shared" si="6"/>
        <v>5116.95406654412</v>
      </c>
      <c r="Z17" s="85"/>
      <c r="AA17" s="85"/>
      <c r="AB17" s="85">
        <f t="shared" si="7"/>
        <v>5116.95406654412</v>
      </c>
      <c r="AC17" s="86">
        <v>7.23</v>
      </c>
      <c r="AD17" s="72">
        <f t="shared" si="8"/>
        <v>36995.577901114</v>
      </c>
      <c r="AE17" s="72">
        <f t="shared" si="9"/>
        <v>58049.9898496434</v>
      </c>
      <c r="AF17" s="72">
        <f t="shared" si="10"/>
        <v>10795.0101503566</v>
      </c>
    </row>
    <row r="18" s="2" customFormat="1" spans="1:32">
      <c r="A18" s="20"/>
      <c r="B18" s="21"/>
      <c r="C18" s="22">
        <v>240927000007</v>
      </c>
      <c r="D18" s="23">
        <v>45563</v>
      </c>
      <c r="E18" s="23" t="s">
        <v>63</v>
      </c>
      <c r="F18" s="21" t="s">
        <v>64</v>
      </c>
      <c r="G18" s="21" t="s">
        <v>66</v>
      </c>
      <c r="H18" s="88">
        <v>1.745</v>
      </c>
      <c r="I18" s="88">
        <v>656</v>
      </c>
      <c r="J18" s="42">
        <v>3441</v>
      </c>
      <c r="K18" s="86"/>
      <c r="L18" s="44"/>
      <c r="M18" s="45"/>
      <c r="N18" s="92"/>
      <c r="O18" s="21"/>
      <c r="P18" s="48">
        <f t="shared" ref="P18:P24" si="12">SUBTOTAL(9,J18)</f>
        <v>3441</v>
      </c>
      <c r="Q18" s="95"/>
      <c r="R18" s="95"/>
      <c r="S18" s="72">
        <f t="shared" si="3"/>
        <v>1039.68639705882</v>
      </c>
      <c r="T18" s="72"/>
      <c r="U18" s="72">
        <f t="shared" si="4"/>
        <v>56.4558823529412</v>
      </c>
      <c r="V18" s="72"/>
      <c r="W18" s="72"/>
      <c r="X18" s="72">
        <f t="shared" si="5"/>
        <v>1096.14227941176</v>
      </c>
      <c r="Y18" s="85">
        <f t="shared" si="6"/>
        <v>266.400681617647</v>
      </c>
      <c r="Z18" s="85"/>
      <c r="AA18" s="85"/>
      <c r="AB18" s="85">
        <f t="shared" si="7"/>
        <v>266.400681617647</v>
      </c>
      <c r="AC18" s="86">
        <v>7.23</v>
      </c>
      <c r="AD18" s="72">
        <f t="shared" si="8"/>
        <v>1926.07692809559</v>
      </c>
      <c r="AE18" s="72">
        <f t="shared" si="9"/>
        <v>3022.21920750735</v>
      </c>
      <c r="AF18" s="72">
        <f t="shared" si="10"/>
        <v>418.78079249265</v>
      </c>
    </row>
    <row r="19" s="2" customFormat="1" spans="1:32">
      <c r="A19" s="20"/>
      <c r="B19" s="21"/>
      <c r="C19" s="22">
        <v>240927000017</v>
      </c>
      <c r="D19" s="23">
        <v>45563</v>
      </c>
      <c r="E19" s="23" t="s">
        <v>69</v>
      </c>
      <c r="F19" s="21" t="s">
        <v>70</v>
      </c>
      <c r="G19" s="21" t="s">
        <v>80</v>
      </c>
      <c r="H19" s="88">
        <v>1.1235</v>
      </c>
      <c r="I19" s="88">
        <v>241</v>
      </c>
      <c r="J19" s="48"/>
      <c r="K19" s="90">
        <v>594820.8</v>
      </c>
      <c r="L19" s="44"/>
      <c r="M19" s="45">
        <f t="shared" ref="M17:M20" si="13">SUM(K19/N19)</f>
        <v>1891.02133899085</v>
      </c>
      <c r="N19" s="46">
        <v>314.55002</v>
      </c>
      <c r="O19" s="21">
        <v>7.26</v>
      </c>
      <c r="P19" s="48">
        <f t="shared" ref="P17:P20" si="14">SUM(N19*O19)</f>
        <v>2283.6331452</v>
      </c>
      <c r="Q19" s="95"/>
      <c r="R19" s="95"/>
      <c r="S19" s="72">
        <f t="shared" si="3"/>
        <v>669.391213235294</v>
      </c>
      <c r="T19" s="72"/>
      <c r="U19" s="72">
        <f t="shared" si="4"/>
        <v>36.3485294117647</v>
      </c>
      <c r="V19" s="72"/>
      <c r="W19" s="72"/>
      <c r="X19" s="72">
        <f t="shared" si="5"/>
        <v>705.739742647059</v>
      </c>
      <c r="Y19" s="85">
        <f t="shared" si="6"/>
        <v>171.519292720588</v>
      </c>
      <c r="Z19" s="85"/>
      <c r="AA19" s="85"/>
      <c r="AB19" s="85">
        <f t="shared" si="7"/>
        <v>171.519292720588</v>
      </c>
      <c r="AC19" s="86">
        <v>7.23</v>
      </c>
      <c r="AD19" s="72">
        <f t="shared" si="8"/>
        <v>1240.08448636985</v>
      </c>
      <c r="AE19" s="72">
        <f t="shared" si="9"/>
        <v>1945.82422901691</v>
      </c>
      <c r="AF19" s="72">
        <f t="shared" si="10"/>
        <v>337.80891618309</v>
      </c>
    </row>
    <row r="20" s="2" customFormat="1" spans="1:32">
      <c r="A20" s="20"/>
      <c r="B20" s="21"/>
      <c r="C20" s="22">
        <v>240927000029</v>
      </c>
      <c r="D20" s="23">
        <v>45563</v>
      </c>
      <c r="E20" s="23" t="s">
        <v>69</v>
      </c>
      <c r="F20" s="21" t="s">
        <v>70</v>
      </c>
      <c r="G20" s="21" t="s">
        <v>81</v>
      </c>
      <c r="H20" s="88">
        <v>1.7289</v>
      </c>
      <c r="I20" s="88">
        <v>1316</v>
      </c>
      <c r="J20" s="48"/>
      <c r="K20" s="90">
        <v>1061222.4</v>
      </c>
      <c r="L20" s="44"/>
      <c r="M20" s="45">
        <f t="shared" si="13"/>
        <v>1612.7994117449</v>
      </c>
      <c r="N20" s="46">
        <v>658.00024</v>
      </c>
      <c r="O20" s="21">
        <v>7.26</v>
      </c>
      <c r="P20" s="48">
        <f t="shared" si="14"/>
        <v>4777.0817424</v>
      </c>
      <c r="Q20" s="95"/>
      <c r="R20" s="95"/>
      <c r="S20" s="72">
        <f t="shared" si="3"/>
        <v>1030.093875</v>
      </c>
      <c r="T20" s="72"/>
      <c r="U20" s="72">
        <f t="shared" si="4"/>
        <v>55.935</v>
      </c>
      <c r="V20" s="72"/>
      <c r="W20" s="72"/>
      <c r="X20" s="72">
        <f t="shared" si="5"/>
        <v>1086.028875</v>
      </c>
      <c r="Y20" s="85">
        <f t="shared" si="6"/>
        <v>263.94277275</v>
      </c>
      <c r="Z20" s="97">
        <v>7.97</v>
      </c>
      <c r="AA20" s="85"/>
      <c r="AB20" s="85">
        <f t="shared" si="7"/>
        <v>271.91277275</v>
      </c>
      <c r="AC20" s="86">
        <v>7.23</v>
      </c>
      <c r="AD20" s="72">
        <f t="shared" si="8"/>
        <v>1965.9293469825</v>
      </c>
      <c r="AE20" s="72">
        <f t="shared" si="9"/>
        <v>3051.9582219825</v>
      </c>
      <c r="AF20" s="72">
        <f t="shared" si="10"/>
        <v>1725.1235204175</v>
      </c>
    </row>
    <row r="21" s="2" customFormat="1" spans="1:32">
      <c r="A21" s="20"/>
      <c r="B21" s="21"/>
      <c r="C21" s="22">
        <v>240921000019</v>
      </c>
      <c r="D21" s="23">
        <v>45563</v>
      </c>
      <c r="E21" s="23" t="s">
        <v>82</v>
      </c>
      <c r="F21" s="21" t="s">
        <v>83</v>
      </c>
      <c r="G21" s="21" t="s">
        <v>84</v>
      </c>
      <c r="H21" s="88">
        <v>0.3318</v>
      </c>
      <c r="I21" s="88">
        <v>185</v>
      </c>
      <c r="J21" s="42">
        <v>678.17</v>
      </c>
      <c r="K21" s="86"/>
      <c r="L21" s="44"/>
      <c r="M21" s="45"/>
      <c r="N21" s="97"/>
      <c r="O21" s="21"/>
      <c r="P21" s="48">
        <f t="shared" si="12"/>
        <v>678.17</v>
      </c>
      <c r="Q21" s="95"/>
      <c r="R21" s="95"/>
      <c r="S21" s="72">
        <f t="shared" si="3"/>
        <v>197.689367647059</v>
      </c>
      <c r="T21" s="72"/>
      <c r="U21" s="72">
        <f t="shared" si="4"/>
        <v>10.7347058823529</v>
      </c>
      <c r="V21" s="72"/>
      <c r="W21" s="72"/>
      <c r="X21" s="72">
        <f t="shared" si="5"/>
        <v>208.424073529412</v>
      </c>
      <c r="Y21" s="85">
        <f t="shared" si="6"/>
        <v>50.6542957941176</v>
      </c>
      <c r="Z21" s="85"/>
      <c r="AA21" s="85"/>
      <c r="AB21" s="85">
        <f t="shared" si="7"/>
        <v>50.6542957941176</v>
      </c>
      <c r="AC21" s="86">
        <v>7.23</v>
      </c>
      <c r="AD21" s="72">
        <f t="shared" si="8"/>
        <v>366.230558591471</v>
      </c>
      <c r="AE21" s="72">
        <f t="shared" si="9"/>
        <v>574.654632120883</v>
      </c>
      <c r="AF21" s="72">
        <f t="shared" si="10"/>
        <v>103.515367879117</v>
      </c>
    </row>
    <row r="22" s="2" customFormat="1" spans="1:32">
      <c r="A22" s="20"/>
      <c r="B22" s="21"/>
      <c r="C22" s="22">
        <v>240927000032</v>
      </c>
      <c r="D22" s="23">
        <v>45563</v>
      </c>
      <c r="E22" s="23" t="s">
        <v>85</v>
      </c>
      <c r="F22" s="21" t="s">
        <v>86</v>
      </c>
      <c r="G22" s="21" t="s">
        <v>75</v>
      </c>
      <c r="H22" s="88">
        <v>0.4929</v>
      </c>
      <c r="I22" s="88">
        <v>47.1</v>
      </c>
      <c r="J22" s="42">
        <v>860.11</v>
      </c>
      <c r="K22" s="86"/>
      <c r="L22" s="44"/>
      <c r="M22" s="45"/>
      <c r="N22" s="92"/>
      <c r="O22" s="21"/>
      <c r="P22" s="48">
        <f t="shared" si="12"/>
        <v>860.11</v>
      </c>
      <c r="Q22" s="95"/>
      <c r="R22" s="95"/>
      <c r="S22" s="72">
        <f t="shared" si="3"/>
        <v>293.674169117647</v>
      </c>
      <c r="T22" s="72"/>
      <c r="U22" s="72">
        <f t="shared" si="4"/>
        <v>15.9467647058824</v>
      </c>
      <c r="V22" s="72"/>
      <c r="W22" s="72"/>
      <c r="X22" s="72">
        <f t="shared" si="5"/>
        <v>309.620933823529</v>
      </c>
      <c r="Y22" s="85">
        <f t="shared" si="6"/>
        <v>75.2486509852941</v>
      </c>
      <c r="Z22" s="85"/>
      <c r="AA22" s="85"/>
      <c r="AB22" s="85">
        <f t="shared" si="7"/>
        <v>75.2486509852941</v>
      </c>
      <c r="AC22" s="86">
        <v>7.23</v>
      </c>
      <c r="AD22" s="72">
        <f t="shared" si="8"/>
        <v>544.047746623677</v>
      </c>
      <c r="AE22" s="72">
        <f t="shared" si="9"/>
        <v>853.668680447206</v>
      </c>
      <c r="AF22" s="72">
        <f t="shared" si="10"/>
        <v>6.44131955279397</v>
      </c>
    </row>
    <row r="23" s="2" customFormat="1" spans="1:32">
      <c r="A23" s="20"/>
      <c r="B23" s="21"/>
      <c r="C23" s="22">
        <v>240927000070</v>
      </c>
      <c r="D23" s="23">
        <v>45563</v>
      </c>
      <c r="E23" s="23" t="s">
        <v>82</v>
      </c>
      <c r="F23" s="21" t="s">
        <v>83</v>
      </c>
      <c r="G23" s="21" t="s">
        <v>87</v>
      </c>
      <c r="H23" s="88">
        <v>17.4127</v>
      </c>
      <c r="I23" s="88">
        <v>10650</v>
      </c>
      <c r="J23" s="42">
        <v>29515.58</v>
      </c>
      <c r="K23" s="86"/>
      <c r="L23" s="44"/>
      <c r="M23" s="45"/>
      <c r="N23" s="92"/>
      <c r="O23" s="21"/>
      <c r="P23" s="48">
        <f t="shared" si="12"/>
        <v>29515.58</v>
      </c>
      <c r="Q23" s="95"/>
      <c r="R23" s="95"/>
      <c r="S23" s="72">
        <f t="shared" si="3"/>
        <v>10374.6403014706</v>
      </c>
      <c r="T23" s="72"/>
      <c r="U23" s="72">
        <f t="shared" si="4"/>
        <v>563.352058823529</v>
      </c>
      <c r="V23" s="72"/>
      <c r="W23" s="72"/>
      <c r="X23" s="72">
        <f t="shared" si="5"/>
        <v>10937.9923602941</v>
      </c>
      <c r="Y23" s="85">
        <f t="shared" si="6"/>
        <v>2658.31240619118</v>
      </c>
      <c r="Z23" s="97">
        <v>85.88</v>
      </c>
      <c r="AA23" s="85"/>
      <c r="AB23" s="85">
        <f t="shared" si="7"/>
        <v>2744.19240619118</v>
      </c>
      <c r="AC23" s="86">
        <v>7.23</v>
      </c>
      <c r="AD23" s="72">
        <f t="shared" si="8"/>
        <v>19840.5110967622</v>
      </c>
      <c r="AE23" s="72">
        <f t="shared" ref="AE23:AE34" si="15">SUM(X23+AD23)</f>
        <v>30778.5034570563</v>
      </c>
      <c r="AF23" s="72">
        <f t="shared" si="10"/>
        <v>-1262.9234570563</v>
      </c>
    </row>
    <row r="24" s="2" customFormat="1" spans="1:32">
      <c r="A24" s="20"/>
      <c r="B24" s="21"/>
      <c r="C24" s="22">
        <v>240928000018</v>
      </c>
      <c r="D24" s="23">
        <v>45563</v>
      </c>
      <c r="E24" s="23" t="s">
        <v>82</v>
      </c>
      <c r="F24" s="21" t="s">
        <v>83</v>
      </c>
      <c r="G24" s="21" t="s">
        <v>88</v>
      </c>
      <c r="H24" s="88">
        <v>3.3552</v>
      </c>
      <c r="I24" s="88">
        <v>1105</v>
      </c>
      <c r="J24" s="42">
        <v>6123.24</v>
      </c>
      <c r="K24" s="86"/>
      <c r="L24" s="44"/>
      <c r="M24" s="45"/>
      <c r="N24" s="92"/>
      <c r="O24" s="21"/>
      <c r="P24" s="48">
        <f t="shared" si="12"/>
        <v>6123.24</v>
      </c>
      <c r="Q24" s="96"/>
      <c r="R24" s="96"/>
      <c r="S24" s="72">
        <f t="shared" si="3"/>
        <v>1999.05776470588</v>
      </c>
      <c r="T24" s="72"/>
      <c r="U24" s="72">
        <f t="shared" si="4"/>
        <v>108.550588235294</v>
      </c>
      <c r="V24" s="72"/>
      <c r="W24" s="72"/>
      <c r="X24" s="72">
        <f t="shared" ref="X24:X34" si="16">SUM(S24:W24)</f>
        <v>2107.60835294118</v>
      </c>
      <c r="Y24" s="85">
        <f t="shared" si="6"/>
        <v>512.222101411765</v>
      </c>
      <c r="Z24" s="85"/>
      <c r="AA24" s="85"/>
      <c r="AB24" s="85">
        <f t="shared" si="7"/>
        <v>512.222101411765</v>
      </c>
      <c r="AC24" s="86">
        <v>7.23</v>
      </c>
      <c r="AD24" s="72">
        <f t="shared" ref="AD24:AD34" si="17">SUM(AB24*AC24)</f>
        <v>3703.36579320706</v>
      </c>
      <c r="AE24" s="72">
        <f t="shared" si="15"/>
        <v>5810.97414614824</v>
      </c>
      <c r="AF24" s="72">
        <f t="shared" ref="AF24:AF34" si="18">SUM(P24-AE24)</f>
        <v>312.26585385176</v>
      </c>
    </row>
    <row r="25" s="2" customFormat="1" spans="1:32">
      <c r="A25" s="20" t="s">
        <v>6</v>
      </c>
      <c r="B25" s="21" t="s">
        <v>7</v>
      </c>
      <c r="C25" s="22">
        <v>240919000034</v>
      </c>
      <c r="D25" s="23">
        <v>45563</v>
      </c>
      <c r="E25" s="23" t="s">
        <v>69</v>
      </c>
      <c r="F25" s="21" t="s">
        <v>70</v>
      </c>
      <c r="G25" s="21" t="s">
        <v>71</v>
      </c>
      <c r="H25" s="88">
        <v>0.8132</v>
      </c>
      <c r="I25" s="88">
        <v>104</v>
      </c>
      <c r="J25" s="48"/>
      <c r="K25" s="90">
        <v>607758.93</v>
      </c>
      <c r="L25" s="44"/>
      <c r="M25" s="45">
        <f>SUM(K25/N25)</f>
        <v>1737</v>
      </c>
      <c r="N25" s="46">
        <v>349.89</v>
      </c>
      <c r="O25" s="21">
        <v>7.26</v>
      </c>
      <c r="P25" s="48">
        <f>SUM(N25*O25)</f>
        <v>2540.2014</v>
      </c>
      <c r="Q25" s="93">
        <f>SUM(P25:P34)</f>
        <v>148903.0014</v>
      </c>
      <c r="R25" s="94" t="s">
        <v>89</v>
      </c>
      <c r="S25" s="72">
        <f>SUM(40661/68)*H25</f>
        <v>486.257723529412</v>
      </c>
      <c r="T25" s="72">
        <f>SUM(94.72/68)*H25</f>
        <v>1.13273976470588</v>
      </c>
      <c r="U25" s="72">
        <f>SUM(2000/68)*H25</f>
        <v>23.9176470588235</v>
      </c>
      <c r="V25" s="72">
        <v>420</v>
      </c>
      <c r="W25" s="72"/>
      <c r="X25" s="72">
        <f t="shared" si="16"/>
        <v>931.308110352941</v>
      </c>
      <c r="Y25" s="85">
        <f>SUM(10381.24/68)*H25</f>
        <v>124.147417176471</v>
      </c>
      <c r="Z25" s="85"/>
      <c r="AA25" s="85"/>
      <c r="AB25" s="85">
        <f t="shared" si="7"/>
        <v>124.147417176471</v>
      </c>
      <c r="AC25" s="86">
        <v>7.24</v>
      </c>
      <c r="AD25" s="72">
        <f t="shared" si="17"/>
        <v>898.82730035765</v>
      </c>
      <c r="AE25" s="72">
        <f t="shared" si="15"/>
        <v>1830.13541071059</v>
      </c>
      <c r="AF25" s="72">
        <f t="shared" si="18"/>
        <v>710.06598928941</v>
      </c>
    </row>
    <row r="26" s="2" customFormat="1" spans="1:32">
      <c r="A26" s="20"/>
      <c r="B26" s="21"/>
      <c r="C26" s="22">
        <v>240921000009</v>
      </c>
      <c r="D26" s="23">
        <v>45563</v>
      </c>
      <c r="E26" s="23" t="s">
        <v>90</v>
      </c>
      <c r="F26" s="21" t="s">
        <v>91</v>
      </c>
      <c r="G26" s="21" t="s">
        <v>92</v>
      </c>
      <c r="H26" s="88">
        <v>0.075</v>
      </c>
      <c r="I26" s="88">
        <v>19</v>
      </c>
      <c r="J26" s="42">
        <v>318</v>
      </c>
      <c r="K26" s="86"/>
      <c r="L26" s="44"/>
      <c r="M26" s="45"/>
      <c r="N26" s="92"/>
      <c r="O26" s="21"/>
      <c r="P26" s="48">
        <f>SUM(J26)</f>
        <v>318</v>
      </c>
      <c r="Q26" s="95"/>
      <c r="R26" s="95"/>
      <c r="S26" s="72">
        <f t="shared" ref="S26:S34" si="19">SUM(40661/68)*H26</f>
        <v>44.8466911764706</v>
      </c>
      <c r="T26" s="72">
        <f t="shared" ref="T26:T34" si="20">SUM(94.72/68)*H26</f>
        <v>0.104470588235294</v>
      </c>
      <c r="U26" s="72">
        <f t="shared" ref="U26:U34" si="21">SUM(2000/68)*H26</f>
        <v>2.20588235294118</v>
      </c>
      <c r="V26" s="72"/>
      <c r="W26" s="72"/>
      <c r="X26" s="72">
        <f t="shared" si="16"/>
        <v>47.1570441176471</v>
      </c>
      <c r="Y26" s="85">
        <f t="shared" ref="Y26:Y35" si="22">SUM(10381.24/68)*H26</f>
        <v>11.4498970588235</v>
      </c>
      <c r="Z26" s="85"/>
      <c r="AA26" s="85"/>
      <c r="AB26" s="85">
        <f t="shared" si="7"/>
        <v>11.4498970588235</v>
      </c>
      <c r="AC26" s="86">
        <v>7.24</v>
      </c>
      <c r="AD26" s="72">
        <f t="shared" si="17"/>
        <v>82.8972547058821</v>
      </c>
      <c r="AE26" s="72">
        <f t="shared" si="15"/>
        <v>130.054298823529</v>
      </c>
      <c r="AF26" s="72">
        <f t="shared" si="18"/>
        <v>187.945701176471</v>
      </c>
    </row>
    <row r="27" s="2" customFormat="1" spans="1:32">
      <c r="A27" s="20"/>
      <c r="B27" s="21"/>
      <c r="C27" s="22">
        <v>240921000019</v>
      </c>
      <c r="D27" s="23">
        <v>45563</v>
      </c>
      <c r="E27" s="23" t="s">
        <v>82</v>
      </c>
      <c r="F27" s="21" t="s">
        <v>83</v>
      </c>
      <c r="G27" s="21" t="s">
        <v>84</v>
      </c>
      <c r="H27" s="88">
        <v>10.1452</v>
      </c>
      <c r="I27" s="88">
        <v>2149.35</v>
      </c>
      <c r="J27" s="42">
        <v>20732</v>
      </c>
      <c r="K27" s="86"/>
      <c r="L27" s="44"/>
      <c r="M27" s="45"/>
      <c r="N27" s="97"/>
      <c r="O27" s="21"/>
      <c r="P27" s="48">
        <f t="shared" ref="P27:P34" si="23">SUBTOTAL(9,J27)</f>
        <v>20732</v>
      </c>
      <c r="Q27" s="95"/>
      <c r="R27" s="95"/>
      <c r="S27" s="72">
        <f t="shared" si="19"/>
        <v>6066.38201764706</v>
      </c>
      <c r="T27" s="72">
        <f t="shared" si="20"/>
        <v>14.1316668235294</v>
      </c>
      <c r="U27" s="72">
        <f t="shared" si="21"/>
        <v>298.388235294118</v>
      </c>
      <c r="V27" s="104">
        <f>SUM(450+350)</f>
        <v>800</v>
      </c>
      <c r="W27" s="72"/>
      <c r="X27" s="72">
        <f t="shared" si="16"/>
        <v>7178.90191976471</v>
      </c>
      <c r="Y27" s="85">
        <f t="shared" si="22"/>
        <v>1548.81994188235</v>
      </c>
      <c r="Z27" s="85"/>
      <c r="AA27" s="85"/>
      <c r="AB27" s="85">
        <f t="shared" si="7"/>
        <v>1548.81994188235</v>
      </c>
      <c r="AC27" s="86">
        <v>7.24</v>
      </c>
      <c r="AD27" s="72">
        <f t="shared" si="17"/>
        <v>11213.4563792282</v>
      </c>
      <c r="AE27" s="72">
        <f t="shared" si="15"/>
        <v>18392.3582989929</v>
      </c>
      <c r="AF27" s="72">
        <f t="shared" si="18"/>
        <v>2339.6417010071</v>
      </c>
    </row>
    <row r="28" s="2" customFormat="1" spans="1:32">
      <c r="A28" s="20"/>
      <c r="B28" s="21"/>
      <c r="C28" s="22">
        <v>240923000035</v>
      </c>
      <c r="D28" s="23">
        <v>45563</v>
      </c>
      <c r="E28" s="23" t="s">
        <v>63</v>
      </c>
      <c r="F28" s="21" t="s">
        <v>64</v>
      </c>
      <c r="G28" s="21" t="s">
        <v>72</v>
      </c>
      <c r="H28" s="88">
        <v>7.0714</v>
      </c>
      <c r="I28" s="88">
        <v>3083</v>
      </c>
      <c r="J28" s="42">
        <v>13913.3</v>
      </c>
      <c r="K28" s="86"/>
      <c r="L28" s="44"/>
      <c r="M28" s="45"/>
      <c r="N28" s="92"/>
      <c r="O28" s="21"/>
      <c r="P28" s="48">
        <f t="shared" si="23"/>
        <v>13913.3</v>
      </c>
      <c r="Q28" s="95"/>
      <c r="R28" s="95"/>
      <c r="S28" s="72">
        <f t="shared" si="19"/>
        <v>4228.38522647059</v>
      </c>
      <c r="T28" s="72">
        <f t="shared" si="20"/>
        <v>9.85004423529412</v>
      </c>
      <c r="U28" s="72">
        <f t="shared" si="21"/>
        <v>207.982352941176</v>
      </c>
      <c r="V28" s="72"/>
      <c r="W28" s="72"/>
      <c r="X28" s="72">
        <f t="shared" si="16"/>
        <v>4446.21762364706</v>
      </c>
      <c r="Y28" s="85">
        <f t="shared" si="22"/>
        <v>1079.55736082353</v>
      </c>
      <c r="Z28" s="85"/>
      <c r="AA28" s="85"/>
      <c r="AB28" s="85">
        <f t="shared" si="7"/>
        <v>1079.55736082353</v>
      </c>
      <c r="AC28" s="86">
        <v>7.24</v>
      </c>
      <c r="AD28" s="72">
        <f t="shared" si="17"/>
        <v>7815.99529236236</v>
      </c>
      <c r="AE28" s="72">
        <f t="shared" si="15"/>
        <v>12262.2129160094</v>
      </c>
      <c r="AF28" s="72">
        <f t="shared" si="18"/>
        <v>1651.0870839906</v>
      </c>
    </row>
    <row r="29" s="2" customFormat="1" spans="1:32">
      <c r="A29" s="20"/>
      <c r="B29" s="21"/>
      <c r="C29" s="22">
        <v>240906000023</v>
      </c>
      <c r="D29" s="23">
        <v>45559</v>
      </c>
      <c r="E29" s="23" t="s">
        <v>74</v>
      </c>
      <c r="F29" s="21" t="s">
        <v>74</v>
      </c>
      <c r="G29" s="21" t="s">
        <v>79</v>
      </c>
      <c r="H29" s="88">
        <v>24.9775</v>
      </c>
      <c r="I29" s="88">
        <v>6522</v>
      </c>
      <c r="J29" s="89">
        <v>51303</v>
      </c>
      <c r="K29" s="86"/>
      <c r="L29" s="113"/>
      <c r="M29" s="114"/>
      <c r="N29" s="92"/>
      <c r="O29" s="115"/>
      <c r="P29" s="116">
        <f t="shared" si="23"/>
        <v>51303</v>
      </c>
      <c r="Q29" s="95"/>
      <c r="R29" s="95"/>
      <c r="S29" s="72">
        <f t="shared" si="19"/>
        <v>14935.4430514706</v>
      </c>
      <c r="T29" s="72">
        <f t="shared" si="20"/>
        <v>34.7921882352941</v>
      </c>
      <c r="U29" s="72">
        <f t="shared" si="21"/>
        <v>734.632352941176</v>
      </c>
      <c r="V29" s="72"/>
      <c r="W29" s="72"/>
      <c r="X29" s="72">
        <f t="shared" si="16"/>
        <v>15704.8675926471</v>
      </c>
      <c r="Y29" s="85">
        <f t="shared" si="22"/>
        <v>3813.19738382353</v>
      </c>
      <c r="Z29" s="85"/>
      <c r="AA29" s="85"/>
      <c r="AB29" s="85">
        <f t="shared" si="7"/>
        <v>3813.19738382353</v>
      </c>
      <c r="AC29" s="86">
        <v>7.24</v>
      </c>
      <c r="AD29" s="72">
        <f t="shared" si="17"/>
        <v>27607.5490588824</v>
      </c>
      <c r="AE29" s="72">
        <f t="shared" si="15"/>
        <v>43312.4166515295</v>
      </c>
      <c r="AF29" s="72">
        <f t="shared" si="18"/>
        <v>7990.5833484705</v>
      </c>
    </row>
    <row r="30" s="2" customFormat="1" spans="1:32">
      <c r="A30" s="20"/>
      <c r="B30" s="21"/>
      <c r="C30" s="22">
        <v>240919000020</v>
      </c>
      <c r="D30" s="23">
        <v>45564</v>
      </c>
      <c r="E30" s="23" t="s">
        <v>59</v>
      </c>
      <c r="F30" s="21" t="s">
        <v>60</v>
      </c>
      <c r="G30" s="21" t="s">
        <v>93</v>
      </c>
      <c r="H30" s="88">
        <v>1.06</v>
      </c>
      <c r="I30" s="88">
        <v>594</v>
      </c>
      <c r="J30" s="42">
        <v>2180</v>
      </c>
      <c r="K30" s="86"/>
      <c r="L30" s="44"/>
      <c r="M30" s="45"/>
      <c r="N30" s="92"/>
      <c r="O30" s="21"/>
      <c r="P30" s="48">
        <f t="shared" si="23"/>
        <v>2180</v>
      </c>
      <c r="Q30" s="95"/>
      <c r="R30" s="95"/>
      <c r="S30" s="72">
        <f t="shared" si="19"/>
        <v>633.833235294118</v>
      </c>
      <c r="T30" s="72">
        <f t="shared" si="20"/>
        <v>1.47651764705882</v>
      </c>
      <c r="U30" s="72">
        <f t="shared" si="21"/>
        <v>31.1764705882353</v>
      </c>
      <c r="V30" s="72"/>
      <c r="W30" s="72"/>
      <c r="X30" s="72">
        <f t="shared" si="16"/>
        <v>666.486223529412</v>
      </c>
      <c r="Y30" s="85">
        <f t="shared" si="22"/>
        <v>161.825211764706</v>
      </c>
      <c r="Z30" s="85"/>
      <c r="AA30" s="85"/>
      <c r="AB30" s="85">
        <f t="shared" si="7"/>
        <v>161.825211764706</v>
      </c>
      <c r="AC30" s="86">
        <v>7.24</v>
      </c>
      <c r="AD30" s="72">
        <f t="shared" si="17"/>
        <v>1171.61453317647</v>
      </c>
      <c r="AE30" s="72">
        <f t="shared" si="15"/>
        <v>1838.10075670588</v>
      </c>
      <c r="AF30" s="72">
        <f t="shared" si="18"/>
        <v>341.89924329412</v>
      </c>
    </row>
    <row r="31" s="2" customFormat="1" spans="1:32">
      <c r="A31" s="20"/>
      <c r="B31" s="21"/>
      <c r="C31" s="22">
        <v>240924000057</v>
      </c>
      <c r="D31" s="23">
        <v>45564</v>
      </c>
      <c r="E31" s="23" t="s">
        <v>74</v>
      </c>
      <c r="F31" s="21" t="s">
        <v>74</v>
      </c>
      <c r="G31" s="21" t="s">
        <v>78</v>
      </c>
      <c r="H31" s="88">
        <v>5.543</v>
      </c>
      <c r="I31" s="88">
        <v>3097</v>
      </c>
      <c r="J31" s="42">
        <v>12233</v>
      </c>
      <c r="K31" s="86"/>
      <c r="L31" s="44"/>
      <c r="M31" s="45"/>
      <c r="N31" s="92"/>
      <c r="O31" s="21"/>
      <c r="P31" s="48">
        <f t="shared" si="23"/>
        <v>12233</v>
      </c>
      <c r="Q31" s="95"/>
      <c r="R31" s="95"/>
      <c r="S31" s="72">
        <f t="shared" si="19"/>
        <v>3314.46945588235</v>
      </c>
      <c r="T31" s="72">
        <f t="shared" si="20"/>
        <v>7.72107294117647</v>
      </c>
      <c r="U31" s="72">
        <f t="shared" si="21"/>
        <v>163.029411764706</v>
      </c>
      <c r="V31" s="72"/>
      <c r="W31" s="72"/>
      <c r="X31" s="72">
        <f t="shared" si="16"/>
        <v>3485.21994058824</v>
      </c>
      <c r="Y31" s="85">
        <f t="shared" si="22"/>
        <v>846.223725294118</v>
      </c>
      <c r="Z31" s="85"/>
      <c r="AA31" s="85"/>
      <c r="AB31" s="85">
        <f t="shared" si="7"/>
        <v>846.223725294118</v>
      </c>
      <c r="AC31" s="86">
        <v>7.24</v>
      </c>
      <c r="AD31" s="72">
        <f t="shared" si="17"/>
        <v>6126.65977112941</v>
      </c>
      <c r="AE31" s="72">
        <f t="shared" si="15"/>
        <v>9611.87971171765</v>
      </c>
      <c r="AF31" s="72">
        <f t="shared" si="18"/>
        <v>2621.12028828235</v>
      </c>
    </row>
    <row r="32" s="2" customFormat="1" spans="1:32">
      <c r="A32" s="20"/>
      <c r="B32" s="21"/>
      <c r="C32" s="22">
        <v>240928000023</v>
      </c>
      <c r="D32" s="23">
        <v>45564</v>
      </c>
      <c r="E32" s="23" t="s">
        <v>74</v>
      </c>
      <c r="F32" s="21" t="s">
        <v>74</v>
      </c>
      <c r="G32" s="21" t="s">
        <v>94</v>
      </c>
      <c r="H32" s="88">
        <v>6.37</v>
      </c>
      <c r="I32" s="88">
        <v>908.5</v>
      </c>
      <c r="J32" s="42">
        <v>9341.73</v>
      </c>
      <c r="K32" s="86"/>
      <c r="L32" s="44"/>
      <c r="M32" s="45"/>
      <c r="N32" s="46"/>
      <c r="O32" s="21"/>
      <c r="P32" s="48">
        <f t="shared" si="23"/>
        <v>9341.73</v>
      </c>
      <c r="Q32" s="95"/>
      <c r="R32" s="95"/>
      <c r="S32" s="72">
        <f t="shared" si="19"/>
        <v>3808.97897058824</v>
      </c>
      <c r="T32" s="72">
        <f t="shared" si="20"/>
        <v>8.87303529411765</v>
      </c>
      <c r="U32" s="72">
        <f t="shared" si="21"/>
        <v>187.352941176471</v>
      </c>
      <c r="V32" s="72"/>
      <c r="W32" s="72"/>
      <c r="X32" s="72">
        <f t="shared" si="16"/>
        <v>4005.20494705882</v>
      </c>
      <c r="Y32" s="85">
        <f t="shared" si="22"/>
        <v>972.477923529412</v>
      </c>
      <c r="Z32" s="85"/>
      <c r="AA32" s="85"/>
      <c r="AB32" s="85">
        <f t="shared" si="7"/>
        <v>972.477923529412</v>
      </c>
      <c r="AC32" s="86">
        <v>7.24</v>
      </c>
      <c r="AD32" s="72">
        <f t="shared" si="17"/>
        <v>7040.74016635294</v>
      </c>
      <c r="AE32" s="72">
        <f t="shared" ref="AE32:AE44" si="24">SUM(X32+AD32)</f>
        <v>11045.9451134118</v>
      </c>
      <c r="AF32" s="72">
        <f t="shared" si="18"/>
        <v>-1704.2151134118</v>
      </c>
    </row>
    <row r="33" s="2" customFormat="1" spans="1:32">
      <c r="A33" s="20"/>
      <c r="B33" s="21"/>
      <c r="C33" s="22">
        <v>240927000032</v>
      </c>
      <c r="D33" s="23">
        <v>45563</v>
      </c>
      <c r="E33" s="23" t="s">
        <v>85</v>
      </c>
      <c r="F33" s="21" t="s">
        <v>86</v>
      </c>
      <c r="G33" s="21" t="s">
        <v>75</v>
      </c>
      <c r="H33" s="88">
        <v>4.4364</v>
      </c>
      <c r="I33" s="88">
        <v>423.9</v>
      </c>
      <c r="J33" s="42">
        <v>7740.66</v>
      </c>
      <c r="K33" s="86"/>
      <c r="L33" s="44"/>
      <c r="M33" s="45"/>
      <c r="N33" s="92"/>
      <c r="O33" s="21"/>
      <c r="P33" s="48">
        <f t="shared" si="23"/>
        <v>7740.66</v>
      </c>
      <c r="Q33" s="95"/>
      <c r="R33" s="95"/>
      <c r="S33" s="72">
        <f t="shared" si="19"/>
        <v>2652.77147647059</v>
      </c>
      <c r="T33" s="72">
        <f t="shared" si="20"/>
        <v>6.17964423529412</v>
      </c>
      <c r="U33" s="72">
        <f t="shared" si="21"/>
        <v>130.482352941176</v>
      </c>
      <c r="V33" s="72"/>
      <c r="W33" s="72"/>
      <c r="X33" s="72">
        <f t="shared" si="16"/>
        <v>2789.43347364706</v>
      </c>
      <c r="Y33" s="85">
        <f t="shared" si="22"/>
        <v>677.284310823529</v>
      </c>
      <c r="Z33" s="85"/>
      <c r="AA33" s="85"/>
      <c r="AB33" s="85">
        <f t="shared" si="7"/>
        <v>677.284310823529</v>
      </c>
      <c r="AC33" s="86">
        <v>7.24</v>
      </c>
      <c r="AD33" s="72">
        <f t="shared" ref="AD33:AD44" si="25">SUM(AB33*AC33)</f>
        <v>4903.53841036235</v>
      </c>
      <c r="AE33" s="72">
        <f t="shared" si="24"/>
        <v>7692.97188400941</v>
      </c>
      <c r="AF33" s="72">
        <f t="shared" si="18"/>
        <v>47.6881159905897</v>
      </c>
    </row>
    <row r="34" s="2" customFormat="1" spans="1:32">
      <c r="A34" s="20"/>
      <c r="B34" s="21"/>
      <c r="C34" s="22">
        <v>240927000071</v>
      </c>
      <c r="D34" s="23">
        <v>45563</v>
      </c>
      <c r="E34" s="23" t="s">
        <v>82</v>
      </c>
      <c r="F34" s="21" t="s">
        <v>83</v>
      </c>
      <c r="G34" s="21" t="s">
        <v>87</v>
      </c>
      <c r="H34" s="88">
        <v>16.8732</v>
      </c>
      <c r="I34" s="88">
        <v>10470</v>
      </c>
      <c r="J34" s="42">
        <v>28601.11</v>
      </c>
      <c r="K34" s="86"/>
      <c r="L34" s="44"/>
      <c r="M34" s="45"/>
      <c r="N34" s="92"/>
      <c r="O34" s="21"/>
      <c r="P34" s="48">
        <f t="shared" si="23"/>
        <v>28601.11</v>
      </c>
      <c r="Q34" s="96"/>
      <c r="R34" s="96"/>
      <c r="S34" s="72">
        <f t="shared" si="19"/>
        <v>10089.4291941176</v>
      </c>
      <c r="T34" s="72">
        <f t="shared" si="20"/>
        <v>23.5033750588235</v>
      </c>
      <c r="U34" s="72">
        <f t="shared" si="21"/>
        <v>496.270588235294</v>
      </c>
      <c r="V34" s="72"/>
      <c r="W34" s="72"/>
      <c r="X34" s="72">
        <f t="shared" ref="X34:X44" si="26">SUM(S34:W34)</f>
        <v>10609.2031574118</v>
      </c>
      <c r="Y34" s="85">
        <f t="shared" si="22"/>
        <v>2575.95204070588</v>
      </c>
      <c r="Z34" s="97">
        <v>84.18</v>
      </c>
      <c r="AA34" s="85"/>
      <c r="AB34" s="85">
        <f t="shared" si="7"/>
        <v>2660.13204070588</v>
      </c>
      <c r="AC34" s="86">
        <v>7.24</v>
      </c>
      <c r="AD34" s="72">
        <f t="shared" si="25"/>
        <v>19259.3559747106</v>
      </c>
      <c r="AE34" s="72">
        <f t="shared" si="24"/>
        <v>29868.5591321224</v>
      </c>
      <c r="AF34" s="72">
        <f t="shared" si="18"/>
        <v>-1267.4491321224</v>
      </c>
    </row>
    <row r="35" s="2" customFormat="1" spans="1:32">
      <c r="A35" s="20" t="s">
        <v>8</v>
      </c>
      <c r="B35" s="21" t="s">
        <v>9</v>
      </c>
      <c r="C35" s="22">
        <v>240918000046</v>
      </c>
      <c r="D35" s="23">
        <v>45564</v>
      </c>
      <c r="E35" s="23" t="s">
        <v>69</v>
      </c>
      <c r="F35" s="21" t="s">
        <v>70</v>
      </c>
      <c r="G35" s="21" t="s">
        <v>80</v>
      </c>
      <c r="H35" s="88">
        <v>11.5853</v>
      </c>
      <c r="I35" s="88">
        <v>3144</v>
      </c>
      <c r="J35" s="48"/>
      <c r="K35" s="90">
        <v>7151961.6</v>
      </c>
      <c r="L35" s="44"/>
      <c r="M35" s="45">
        <f>SUM(K35/N35)</f>
        <v>1754.97071376897</v>
      </c>
      <c r="N35" s="46">
        <v>4075.2598</v>
      </c>
      <c r="O35" s="21">
        <v>7.26</v>
      </c>
      <c r="P35" s="48">
        <f>SUM(N35*O35)</f>
        <v>29586.386148</v>
      </c>
      <c r="Q35" s="93">
        <f>SUM(P35:P44)</f>
        <v>153384.0135658</v>
      </c>
      <c r="R35" s="94" t="s">
        <v>95</v>
      </c>
      <c r="S35" s="72">
        <f>SUM(41933/68)*H35</f>
        <v>7144.21154264706</v>
      </c>
      <c r="T35" s="72"/>
      <c r="U35" s="72">
        <f>SUM(1400/68)*H35</f>
        <v>238.520882352941</v>
      </c>
      <c r="V35" s="104">
        <v>150</v>
      </c>
      <c r="W35" s="72"/>
      <c r="X35" s="72">
        <f t="shared" si="26"/>
        <v>7532.732425</v>
      </c>
      <c r="Y35" s="85">
        <f t="shared" si="22"/>
        <v>1768.67323194118</v>
      </c>
      <c r="Z35" s="85"/>
      <c r="AA35" s="85"/>
      <c r="AB35" s="85">
        <f t="shared" si="7"/>
        <v>1768.67323194118</v>
      </c>
      <c r="AC35" s="86">
        <v>7.24</v>
      </c>
      <c r="AD35" s="72">
        <f t="shared" si="25"/>
        <v>12805.1941992541</v>
      </c>
      <c r="AE35" s="72">
        <f t="shared" si="24"/>
        <v>20337.9266242541</v>
      </c>
      <c r="AF35" s="72">
        <f t="shared" ref="AF35:AF44" si="27">SUM(P35-AE35)</f>
        <v>9248.4595237459</v>
      </c>
    </row>
    <row r="36" s="2" customFormat="1" spans="1:32">
      <c r="A36" s="20"/>
      <c r="B36" s="21"/>
      <c r="C36" s="22">
        <v>240919000028</v>
      </c>
      <c r="D36" s="23">
        <v>45564</v>
      </c>
      <c r="E36" s="23" t="s">
        <v>82</v>
      </c>
      <c r="F36" s="21" t="s">
        <v>83</v>
      </c>
      <c r="G36" s="21" t="s">
        <v>96</v>
      </c>
      <c r="H36" s="88">
        <v>4.5828</v>
      </c>
      <c r="I36" s="88">
        <v>3750</v>
      </c>
      <c r="J36" s="42">
        <v>10847.8</v>
      </c>
      <c r="K36" s="86"/>
      <c r="L36" s="44"/>
      <c r="M36" s="45"/>
      <c r="N36" s="92"/>
      <c r="O36" s="21"/>
      <c r="P36" s="48">
        <f t="shared" ref="P36:P39" si="28">SUBTOTAL(9,J36)</f>
        <v>10847.8</v>
      </c>
      <c r="Q36" s="95"/>
      <c r="R36" s="95"/>
      <c r="S36" s="72">
        <f t="shared" ref="S36:S44" si="29">SUM(41933/68)*H36</f>
        <v>2826.03753529412</v>
      </c>
      <c r="T36" s="72"/>
      <c r="U36" s="72">
        <f t="shared" ref="U36:U44" si="30">SUM(1400/68)*H36</f>
        <v>94.3517647058824</v>
      </c>
      <c r="V36" s="72"/>
      <c r="W36" s="72"/>
      <c r="X36" s="72">
        <f t="shared" si="26"/>
        <v>2920.3893</v>
      </c>
      <c r="Y36" s="85">
        <f t="shared" ref="Y36:Y45" si="31">SUM(10381.24/68)*H36</f>
        <v>699.634509882353</v>
      </c>
      <c r="Z36" s="85"/>
      <c r="AA36" s="85"/>
      <c r="AB36" s="85">
        <f t="shared" si="7"/>
        <v>699.634509882353</v>
      </c>
      <c r="AC36" s="86">
        <v>7.24</v>
      </c>
      <c r="AD36" s="72">
        <f t="shared" si="25"/>
        <v>5065.35385154824</v>
      </c>
      <c r="AE36" s="72">
        <f t="shared" si="24"/>
        <v>7985.74315154824</v>
      </c>
      <c r="AF36" s="72">
        <f t="shared" si="27"/>
        <v>2862.05684845176</v>
      </c>
    </row>
    <row r="37" s="2" customFormat="1" spans="1:32">
      <c r="A37" s="20"/>
      <c r="B37" s="21"/>
      <c r="C37" s="22">
        <v>240906000023</v>
      </c>
      <c r="D37" s="23">
        <v>45559</v>
      </c>
      <c r="E37" s="23" t="s">
        <v>74</v>
      </c>
      <c r="F37" s="21" t="s">
        <v>74</v>
      </c>
      <c r="G37" s="21" t="s">
        <v>79</v>
      </c>
      <c r="H37" s="88">
        <v>17.6195</v>
      </c>
      <c r="I37" s="88">
        <v>5514</v>
      </c>
      <c r="J37" s="89">
        <v>36190</v>
      </c>
      <c r="K37" s="86"/>
      <c r="L37" s="113"/>
      <c r="M37" s="114"/>
      <c r="N37" s="92"/>
      <c r="O37" s="115"/>
      <c r="P37" s="116">
        <f t="shared" si="28"/>
        <v>36190</v>
      </c>
      <c r="Q37" s="95"/>
      <c r="R37" s="95"/>
      <c r="S37" s="72">
        <f t="shared" si="29"/>
        <v>10865.2719632353</v>
      </c>
      <c r="T37" s="72"/>
      <c r="U37" s="72">
        <f t="shared" si="30"/>
        <v>362.754411764706</v>
      </c>
      <c r="V37" s="72"/>
      <c r="W37" s="72"/>
      <c r="X37" s="72">
        <f t="shared" si="26"/>
        <v>11228.026375</v>
      </c>
      <c r="Y37" s="85">
        <f t="shared" si="31"/>
        <v>2689.88614970588</v>
      </c>
      <c r="Z37" s="85"/>
      <c r="AA37" s="85"/>
      <c r="AB37" s="85">
        <f t="shared" ref="AB37:AB68" si="32">SUM(Y37:AA37)</f>
        <v>2689.88614970588</v>
      </c>
      <c r="AC37" s="86">
        <v>7.24</v>
      </c>
      <c r="AD37" s="72">
        <f t="shared" si="25"/>
        <v>19474.7757238706</v>
      </c>
      <c r="AE37" s="72">
        <f t="shared" si="24"/>
        <v>30702.8020988706</v>
      </c>
      <c r="AF37" s="72">
        <f t="shared" si="27"/>
        <v>5487.1979011294</v>
      </c>
    </row>
    <row r="38" s="2" customFormat="1" spans="1:32">
      <c r="A38" s="20"/>
      <c r="B38" s="21"/>
      <c r="C38" s="22">
        <v>240924000057</v>
      </c>
      <c r="D38" s="23">
        <v>45564</v>
      </c>
      <c r="E38" s="23" t="s">
        <v>74</v>
      </c>
      <c r="F38" s="21" t="s">
        <v>74</v>
      </c>
      <c r="G38" s="21" t="s">
        <v>78</v>
      </c>
      <c r="H38" s="88">
        <v>4.4869</v>
      </c>
      <c r="I38" s="88">
        <v>2510.11</v>
      </c>
      <c r="J38" s="42">
        <v>9902</v>
      </c>
      <c r="K38" s="86"/>
      <c r="L38" s="44"/>
      <c r="M38" s="45"/>
      <c r="N38" s="92"/>
      <c r="O38" s="21"/>
      <c r="P38" s="48">
        <f t="shared" si="28"/>
        <v>9902</v>
      </c>
      <c r="Q38" s="95"/>
      <c r="R38" s="95"/>
      <c r="S38" s="72">
        <f t="shared" si="29"/>
        <v>2766.89967205882</v>
      </c>
      <c r="T38" s="72"/>
      <c r="U38" s="72">
        <f t="shared" si="30"/>
        <v>92.3773529411765</v>
      </c>
      <c r="V38" s="72"/>
      <c r="W38" s="72"/>
      <c r="X38" s="72">
        <f t="shared" si="26"/>
        <v>2859.277025</v>
      </c>
      <c r="Y38" s="85">
        <f t="shared" si="31"/>
        <v>684.993908176471</v>
      </c>
      <c r="Z38" s="85"/>
      <c r="AA38" s="85"/>
      <c r="AB38" s="85">
        <f t="shared" si="32"/>
        <v>684.993908176471</v>
      </c>
      <c r="AC38" s="86">
        <v>7.24</v>
      </c>
      <c r="AD38" s="72">
        <f t="shared" si="25"/>
        <v>4959.35589519765</v>
      </c>
      <c r="AE38" s="72">
        <f t="shared" si="24"/>
        <v>7818.63292019765</v>
      </c>
      <c r="AF38" s="72">
        <f t="shared" si="27"/>
        <v>2083.36707980235</v>
      </c>
    </row>
    <row r="39" s="2" customFormat="1" spans="1:32">
      <c r="A39" s="20"/>
      <c r="B39" s="21"/>
      <c r="C39" s="22">
        <v>240919000020</v>
      </c>
      <c r="D39" s="23">
        <v>45564</v>
      </c>
      <c r="E39" s="23" t="s">
        <v>59</v>
      </c>
      <c r="F39" s="21" t="s">
        <v>60</v>
      </c>
      <c r="G39" s="21" t="s">
        <v>93</v>
      </c>
      <c r="H39" s="88">
        <v>3.887</v>
      </c>
      <c r="I39" s="88">
        <v>1821.5</v>
      </c>
      <c r="J39" s="42">
        <v>8001.8</v>
      </c>
      <c r="K39" s="86"/>
      <c r="L39" s="44"/>
      <c r="M39" s="45"/>
      <c r="N39" s="92"/>
      <c r="O39" s="21"/>
      <c r="P39" s="48">
        <f t="shared" si="28"/>
        <v>8001.8</v>
      </c>
      <c r="Q39" s="95"/>
      <c r="R39" s="95"/>
      <c r="S39" s="72">
        <f t="shared" si="29"/>
        <v>2396.96427941176</v>
      </c>
      <c r="T39" s="72"/>
      <c r="U39" s="72">
        <f t="shared" si="30"/>
        <v>80.0264705882353</v>
      </c>
      <c r="V39" s="72"/>
      <c r="W39" s="72"/>
      <c r="X39" s="72">
        <f t="shared" si="26"/>
        <v>2476.99075</v>
      </c>
      <c r="Y39" s="85">
        <f t="shared" si="31"/>
        <v>593.409998235294</v>
      </c>
      <c r="Z39" s="85"/>
      <c r="AA39" s="85"/>
      <c r="AB39" s="85">
        <f t="shared" si="32"/>
        <v>593.409998235294</v>
      </c>
      <c r="AC39" s="86">
        <v>7.24</v>
      </c>
      <c r="AD39" s="72">
        <f t="shared" si="25"/>
        <v>4296.28838722353</v>
      </c>
      <c r="AE39" s="72">
        <f t="shared" si="24"/>
        <v>6773.27913722353</v>
      </c>
      <c r="AF39" s="72">
        <f t="shared" si="27"/>
        <v>1228.52086277647</v>
      </c>
    </row>
    <row r="40" s="2" customFormat="1" spans="1:32">
      <c r="A40" s="20"/>
      <c r="B40" s="21"/>
      <c r="C40" s="22">
        <v>240929000009</v>
      </c>
      <c r="D40" s="23">
        <v>45564</v>
      </c>
      <c r="E40" s="23" t="s">
        <v>69</v>
      </c>
      <c r="F40" s="21" t="s">
        <v>70</v>
      </c>
      <c r="G40" s="21" t="s">
        <v>81</v>
      </c>
      <c r="H40" s="88">
        <v>6.7645</v>
      </c>
      <c r="I40" s="88">
        <v>2500</v>
      </c>
      <c r="J40" s="48"/>
      <c r="K40" s="90">
        <v>3821265</v>
      </c>
      <c r="L40" s="44"/>
      <c r="M40" s="45">
        <f>SUM(K40/N40)</f>
        <v>1883.32429768359</v>
      </c>
      <c r="N40" s="117">
        <v>2029</v>
      </c>
      <c r="O40" s="21">
        <v>7.26</v>
      </c>
      <c r="P40" s="48">
        <f>SUM(N40*O40)</f>
        <v>14730.54</v>
      </c>
      <c r="Q40" s="95"/>
      <c r="R40" s="95"/>
      <c r="S40" s="72">
        <f t="shared" si="29"/>
        <v>4171.40850735294</v>
      </c>
      <c r="T40" s="72"/>
      <c r="U40" s="72">
        <f t="shared" si="30"/>
        <v>139.269117647059</v>
      </c>
      <c r="V40" s="72"/>
      <c r="W40" s="72"/>
      <c r="X40" s="72">
        <f t="shared" si="26"/>
        <v>4310.677625</v>
      </c>
      <c r="Y40" s="85">
        <f t="shared" si="31"/>
        <v>1032.70438205882</v>
      </c>
      <c r="Z40" s="85"/>
      <c r="AA40" s="85"/>
      <c r="AB40" s="85">
        <f t="shared" si="32"/>
        <v>1032.70438205882</v>
      </c>
      <c r="AC40" s="86">
        <v>7.24</v>
      </c>
      <c r="AD40" s="72">
        <f t="shared" si="25"/>
        <v>7476.77972610588</v>
      </c>
      <c r="AE40" s="72">
        <f t="shared" si="24"/>
        <v>11787.4573511059</v>
      </c>
      <c r="AF40" s="72">
        <f t="shared" si="27"/>
        <v>2943.0826488941</v>
      </c>
    </row>
    <row r="41" s="2" customFormat="1" spans="1:32">
      <c r="A41" s="20"/>
      <c r="B41" s="21"/>
      <c r="C41" s="22">
        <v>240928000023</v>
      </c>
      <c r="D41" s="23">
        <v>45564</v>
      </c>
      <c r="E41" s="23" t="s">
        <v>74</v>
      </c>
      <c r="F41" s="21" t="s">
        <v>74</v>
      </c>
      <c r="G41" s="21" t="s">
        <v>94</v>
      </c>
      <c r="H41" s="88">
        <v>22.557</v>
      </c>
      <c r="I41" s="88">
        <v>3296</v>
      </c>
      <c r="J41" s="42">
        <v>33080.26</v>
      </c>
      <c r="K41" s="86"/>
      <c r="L41" s="44"/>
      <c r="M41" s="45"/>
      <c r="N41" s="46"/>
      <c r="O41" s="21"/>
      <c r="P41" s="48">
        <f t="shared" ref="P41:P56" si="33">SUBTOTAL(9,J41)</f>
        <v>33080.26</v>
      </c>
      <c r="Q41" s="95"/>
      <c r="R41" s="95"/>
      <c r="S41" s="72">
        <f t="shared" si="29"/>
        <v>13910.0394264706</v>
      </c>
      <c r="T41" s="72"/>
      <c r="U41" s="72">
        <f t="shared" si="30"/>
        <v>464.408823529412</v>
      </c>
      <c r="V41" s="72"/>
      <c r="W41" s="72"/>
      <c r="X41" s="72">
        <f t="shared" si="26"/>
        <v>14374.44825</v>
      </c>
      <c r="Y41" s="85">
        <f t="shared" si="31"/>
        <v>3443.67103941176</v>
      </c>
      <c r="Z41" s="85"/>
      <c r="AA41" s="85"/>
      <c r="AB41" s="85">
        <f t="shared" si="32"/>
        <v>3443.67103941176</v>
      </c>
      <c r="AC41" s="86">
        <v>7.24</v>
      </c>
      <c r="AD41" s="72">
        <f t="shared" si="25"/>
        <v>24932.1783253412</v>
      </c>
      <c r="AE41" s="72">
        <f t="shared" si="24"/>
        <v>39306.6265753412</v>
      </c>
      <c r="AF41" s="72">
        <f t="shared" si="27"/>
        <v>-6226.3665753412</v>
      </c>
    </row>
    <row r="42" s="2" customFormat="1" spans="1:32">
      <c r="A42" s="20"/>
      <c r="B42" s="21"/>
      <c r="C42" s="22">
        <v>240929000010</v>
      </c>
      <c r="D42" s="23">
        <v>45564</v>
      </c>
      <c r="E42" s="23" t="s">
        <v>69</v>
      </c>
      <c r="F42" s="21" t="s">
        <v>70</v>
      </c>
      <c r="G42" s="21" t="s">
        <v>81</v>
      </c>
      <c r="H42" s="88">
        <v>1.3975</v>
      </c>
      <c r="I42" s="88">
        <v>377</v>
      </c>
      <c r="J42" s="48"/>
      <c r="K42" s="90">
        <v>790272</v>
      </c>
      <c r="L42" s="44"/>
      <c r="M42" s="45">
        <f t="shared" ref="M42:M45" si="34">SUM(K42/N42)</f>
        <v>1885.10076677395</v>
      </c>
      <c r="N42" s="46">
        <v>419.22003</v>
      </c>
      <c r="O42" s="21">
        <v>7.26</v>
      </c>
      <c r="P42" s="48">
        <f t="shared" ref="P42:P45" si="35">SUM(N42*O42)</f>
        <v>3043.5374178</v>
      </c>
      <c r="Q42" s="95"/>
      <c r="R42" s="95"/>
      <c r="S42" s="72">
        <f t="shared" si="29"/>
        <v>861.78481617647</v>
      </c>
      <c r="T42" s="72"/>
      <c r="U42" s="72">
        <f t="shared" si="30"/>
        <v>28.7720588235294</v>
      </c>
      <c r="V42" s="72"/>
      <c r="W42" s="72"/>
      <c r="X42" s="72">
        <f t="shared" si="26"/>
        <v>890.556875</v>
      </c>
      <c r="Y42" s="85">
        <f t="shared" si="31"/>
        <v>213.349748529412</v>
      </c>
      <c r="Z42" s="85">
        <v>9.86</v>
      </c>
      <c r="AA42" s="85"/>
      <c r="AB42" s="85">
        <f t="shared" si="32"/>
        <v>223.209748529412</v>
      </c>
      <c r="AC42" s="86">
        <v>7.24</v>
      </c>
      <c r="AD42" s="72">
        <f t="shared" si="25"/>
        <v>1616.03857935294</v>
      </c>
      <c r="AE42" s="72">
        <f t="shared" si="24"/>
        <v>2506.59545435294</v>
      </c>
      <c r="AF42" s="72">
        <f t="shared" si="27"/>
        <v>536.94196344706</v>
      </c>
    </row>
    <row r="43" s="2" customFormat="1" spans="1:32">
      <c r="A43" s="20"/>
      <c r="B43" s="21"/>
      <c r="C43" s="22" t="s">
        <v>97</v>
      </c>
      <c r="D43" s="23">
        <v>45564</v>
      </c>
      <c r="E43" s="23" t="s">
        <v>69</v>
      </c>
      <c r="F43" s="21" t="s">
        <v>70</v>
      </c>
      <c r="G43" s="21" t="s">
        <v>81</v>
      </c>
      <c r="H43" s="88">
        <v>2.4334</v>
      </c>
      <c r="I43" s="88">
        <v>2340</v>
      </c>
      <c r="J43" s="48"/>
      <c r="K43" s="90">
        <v>1822400</v>
      </c>
      <c r="L43" s="44"/>
      <c r="M43" s="45">
        <f t="shared" si="34"/>
        <v>1700</v>
      </c>
      <c r="N43" s="46">
        <v>1072</v>
      </c>
      <c r="O43" s="21">
        <v>7.29</v>
      </c>
      <c r="P43" s="48">
        <f t="shared" si="35"/>
        <v>7814.88</v>
      </c>
      <c r="Q43" s="95"/>
      <c r="R43" s="95"/>
      <c r="S43" s="72">
        <f t="shared" si="29"/>
        <v>1500.58473823529</v>
      </c>
      <c r="T43" s="72"/>
      <c r="U43" s="72">
        <f t="shared" si="30"/>
        <v>50.0994117647059</v>
      </c>
      <c r="V43" s="72"/>
      <c r="W43" s="72"/>
      <c r="X43" s="72">
        <f t="shared" ref="X43:X62" si="36">SUM(S43:W43)</f>
        <v>1550.68415</v>
      </c>
      <c r="Y43" s="85">
        <f t="shared" si="31"/>
        <v>371.495726705882</v>
      </c>
      <c r="Z43" s="85"/>
      <c r="AA43" s="85"/>
      <c r="AB43" s="85">
        <f t="shared" si="32"/>
        <v>371.495726705882</v>
      </c>
      <c r="AC43" s="86">
        <v>7.24</v>
      </c>
      <c r="AD43" s="72">
        <f t="shared" ref="AD43:AD62" si="37">SUM(AB43*AC43)</f>
        <v>2689.62906135059</v>
      </c>
      <c r="AE43" s="72">
        <f t="shared" si="24"/>
        <v>4240.31321135059</v>
      </c>
      <c r="AF43" s="72">
        <f t="shared" si="27"/>
        <v>3574.56678864941</v>
      </c>
    </row>
    <row r="44" s="2" customFormat="1" spans="1:32">
      <c r="A44" s="20"/>
      <c r="B44" s="21"/>
      <c r="C44" s="22">
        <v>240929000057</v>
      </c>
      <c r="D44" s="23">
        <v>45564</v>
      </c>
      <c r="E44" s="23" t="s">
        <v>82</v>
      </c>
      <c r="F44" s="21" t="s">
        <v>83</v>
      </c>
      <c r="G44" s="21" t="s">
        <v>98</v>
      </c>
      <c r="H44" s="111">
        <v>0.0914</v>
      </c>
      <c r="I44" s="88">
        <v>64</v>
      </c>
      <c r="J44" s="42">
        <v>186.81</v>
      </c>
      <c r="K44" s="86"/>
      <c r="L44" s="44"/>
      <c r="M44" s="45"/>
      <c r="N44" s="92"/>
      <c r="O44" s="21"/>
      <c r="P44" s="48">
        <f t="shared" si="33"/>
        <v>186.81</v>
      </c>
      <c r="Q44" s="96"/>
      <c r="R44" s="96"/>
      <c r="S44" s="72">
        <f t="shared" si="29"/>
        <v>56.3628852941176</v>
      </c>
      <c r="T44" s="72"/>
      <c r="U44" s="72">
        <f t="shared" si="30"/>
        <v>1.88176470588235</v>
      </c>
      <c r="V44" s="72"/>
      <c r="W44" s="72"/>
      <c r="X44" s="72">
        <f t="shared" si="36"/>
        <v>58.24465</v>
      </c>
      <c r="Y44" s="85">
        <f t="shared" si="31"/>
        <v>13.9536078823529</v>
      </c>
      <c r="Z44" s="85"/>
      <c r="AA44" s="85"/>
      <c r="AB44" s="85">
        <f t="shared" si="32"/>
        <v>13.9536078823529</v>
      </c>
      <c r="AC44" s="86">
        <v>7.24</v>
      </c>
      <c r="AD44" s="72">
        <f t="shared" si="37"/>
        <v>101.024121068235</v>
      </c>
      <c r="AE44" s="72">
        <f t="shared" ref="AE44:AE62" si="38">SUM(X44+AD44)</f>
        <v>159.268771068235</v>
      </c>
      <c r="AF44" s="72">
        <f t="shared" ref="AF44:AF62" si="39">SUM(P44-AE44)</f>
        <v>27.541228931765</v>
      </c>
    </row>
    <row r="45" s="2" customFormat="1" spans="1:32">
      <c r="A45" s="20" t="s">
        <v>10</v>
      </c>
      <c r="B45" s="21" t="s">
        <v>11</v>
      </c>
      <c r="C45" s="112">
        <v>240906000023</v>
      </c>
      <c r="D45" s="23">
        <v>45564</v>
      </c>
      <c r="E45" s="23" t="s">
        <v>74</v>
      </c>
      <c r="F45" s="21" t="s">
        <v>74</v>
      </c>
      <c r="G45" s="21" t="s">
        <v>79</v>
      </c>
      <c r="H45" s="88">
        <v>11.9955</v>
      </c>
      <c r="I45" s="88">
        <v>4372</v>
      </c>
      <c r="J45" s="89">
        <v>24695</v>
      </c>
      <c r="K45" s="86"/>
      <c r="L45" s="113"/>
      <c r="M45" s="114"/>
      <c r="N45" s="92"/>
      <c r="O45" s="115"/>
      <c r="P45" s="116">
        <f t="shared" si="33"/>
        <v>24695</v>
      </c>
      <c r="Q45" s="93">
        <f>SUM(P45:P62)</f>
        <v>122040.478</v>
      </c>
      <c r="R45" s="94" t="s">
        <v>99</v>
      </c>
      <c r="S45" s="72">
        <f>SUM(40914/68)*H45</f>
        <v>7217.41010294118</v>
      </c>
      <c r="T45" s="72"/>
      <c r="U45" s="72">
        <f>SUM(1000/68)*H45</f>
        <v>176.404411764706</v>
      </c>
      <c r="V45" s="104">
        <f>SUM(800+800)</f>
        <v>1600</v>
      </c>
      <c r="W45" s="72"/>
      <c r="X45" s="72">
        <f t="shared" si="36"/>
        <v>8993.81451470588</v>
      </c>
      <c r="Y45" s="85">
        <f t="shared" si="31"/>
        <v>1831.29653558824</v>
      </c>
      <c r="Z45" s="85"/>
      <c r="AA45" s="85">
        <f>SUM(114.28/68)*H45</f>
        <v>20.1594961764706</v>
      </c>
      <c r="AB45" s="85">
        <f t="shared" si="32"/>
        <v>1851.45603176471</v>
      </c>
      <c r="AC45" s="86">
        <v>7.27</v>
      </c>
      <c r="AD45" s="72">
        <f t="shared" si="37"/>
        <v>13460.0853509294</v>
      </c>
      <c r="AE45" s="72">
        <f t="shared" si="38"/>
        <v>22453.8998656353</v>
      </c>
      <c r="AF45" s="72">
        <f t="shared" si="39"/>
        <v>2241.1001343647</v>
      </c>
    </row>
    <row r="46" s="2" customFormat="1" spans="1:32">
      <c r="A46" s="20"/>
      <c r="B46" s="21"/>
      <c r="C46" s="112">
        <v>240919000020</v>
      </c>
      <c r="D46" s="23">
        <v>45564</v>
      </c>
      <c r="E46" s="23" t="s">
        <v>59</v>
      </c>
      <c r="F46" s="21" t="s">
        <v>60</v>
      </c>
      <c r="G46" s="21" t="s">
        <v>93</v>
      </c>
      <c r="H46" s="88">
        <v>1.4136</v>
      </c>
      <c r="I46" s="88">
        <v>664.5</v>
      </c>
      <c r="J46" s="42">
        <v>2907</v>
      </c>
      <c r="K46" s="86"/>
      <c r="L46" s="44"/>
      <c r="M46" s="45"/>
      <c r="N46" s="92"/>
      <c r="O46" s="21"/>
      <c r="P46" s="48">
        <f t="shared" si="33"/>
        <v>2907</v>
      </c>
      <c r="Q46" s="95"/>
      <c r="R46" s="95"/>
      <c r="S46" s="72">
        <f t="shared" ref="S46:S62" si="40">SUM(40914/68)*H46</f>
        <v>850.529858823529</v>
      </c>
      <c r="T46" s="72"/>
      <c r="U46" s="72">
        <f t="shared" ref="U46:U62" si="41">SUM(1000/68)*H46</f>
        <v>20.7882352941176</v>
      </c>
      <c r="V46" s="72"/>
      <c r="W46" s="72"/>
      <c r="X46" s="72">
        <f t="shared" si="36"/>
        <v>871.318094117647</v>
      </c>
      <c r="Y46" s="85">
        <f t="shared" ref="Y46:Y62" si="42">SUM(10381.24/68)*H46</f>
        <v>215.807659764706</v>
      </c>
      <c r="Z46" s="85"/>
      <c r="AA46" s="85">
        <f t="shared" ref="AA46:AA62" si="43">SUM(114.28/68)*H46</f>
        <v>2.37567952941176</v>
      </c>
      <c r="AB46" s="85">
        <f t="shared" si="32"/>
        <v>218.183339294118</v>
      </c>
      <c r="AC46" s="86">
        <v>7.27</v>
      </c>
      <c r="AD46" s="72">
        <f t="shared" si="37"/>
        <v>1586.19287666824</v>
      </c>
      <c r="AE46" s="72">
        <f t="shared" si="38"/>
        <v>2457.51097078588</v>
      </c>
      <c r="AF46" s="72">
        <f t="shared" si="39"/>
        <v>449.48902921412</v>
      </c>
    </row>
    <row r="47" s="2" customFormat="1" spans="1:32">
      <c r="A47" s="20"/>
      <c r="B47" s="21"/>
      <c r="C47" s="112">
        <v>240924000057</v>
      </c>
      <c r="D47" s="23">
        <v>45564</v>
      </c>
      <c r="E47" s="23" t="s">
        <v>74</v>
      </c>
      <c r="F47" s="21" t="s">
        <v>74</v>
      </c>
      <c r="G47" s="21" t="s">
        <v>78</v>
      </c>
      <c r="H47" s="88">
        <v>1.1877</v>
      </c>
      <c r="I47" s="88">
        <v>664.44</v>
      </c>
      <c r="J47" s="42">
        <v>2625</v>
      </c>
      <c r="K47" s="86"/>
      <c r="L47" s="44"/>
      <c r="M47" s="45"/>
      <c r="N47" s="92"/>
      <c r="O47" s="21"/>
      <c r="P47" s="48">
        <f t="shared" si="33"/>
        <v>2625</v>
      </c>
      <c r="Q47" s="95"/>
      <c r="R47" s="95"/>
      <c r="S47" s="72">
        <f t="shared" si="40"/>
        <v>714.611144117647</v>
      </c>
      <c r="T47" s="72"/>
      <c r="U47" s="72">
        <f t="shared" si="41"/>
        <v>17.4661764705882</v>
      </c>
      <c r="V47" s="72"/>
      <c r="W47" s="72"/>
      <c r="X47" s="72">
        <f t="shared" si="36"/>
        <v>732.077320588235</v>
      </c>
      <c r="Y47" s="85">
        <f t="shared" si="42"/>
        <v>181.320569823529</v>
      </c>
      <c r="Z47" s="85"/>
      <c r="AA47" s="85">
        <f t="shared" si="43"/>
        <v>1.99603464705882</v>
      </c>
      <c r="AB47" s="85">
        <f t="shared" si="32"/>
        <v>183.316604470588</v>
      </c>
      <c r="AC47" s="86">
        <v>7.27</v>
      </c>
      <c r="AD47" s="72">
        <f t="shared" si="37"/>
        <v>1332.71171450118</v>
      </c>
      <c r="AE47" s="72">
        <f t="shared" si="38"/>
        <v>2064.78903508941</v>
      </c>
      <c r="AF47" s="72">
        <f t="shared" si="39"/>
        <v>560.21096491059</v>
      </c>
    </row>
    <row r="48" s="2" customFormat="1" spans="1:32">
      <c r="A48" s="20"/>
      <c r="B48" s="21"/>
      <c r="C48" s="112">
        <v>240925000034</v>
      </c>
      <c r="D48" s="23">
        <v>45564</v>
      </c>
      <c r="E48" s="23" t="s">
        <v>100</v>
      </c>
      <c r="F48" s="21" t="s">
        <v>101</v>
      </c>
      <c r="G48" s="21" t="s">
        <v>102</v>
      </c>
      <c r="H48" s="88">
        <v>0.8264</v>
      </c>
      <c r="I48" s="88">
        <v>605</v>
      </c>
      <c r="J48" s="42">
        <v>3329.79</v>
      </c>
      <c r="K48" s="86"/>
      <c r="L48" s="44"/>
      <c r="M48" s="45"/>
      <c r="N48" s="92"/>
      <c r="O48" s="21"/>
      <c r="P48" s="48">
        <f t="shared" si="33"/>
        <v>3329.79</v>
      </c>
      <c r="Q48" s="95"/>
      <c r="R48" s="95"/>
      <c r="S48" s="72">
        <f t="shared" si="40"/>
        <v>497.225435294118</v>
      </c>
      <c r="T48" s="72"/>
      <c r="U48" s="72">
        <f t="shared" si="41"/>
        <v>12.1529411764706</v>
      </c>
      <c r="V48" s="72"/>
      <c r="W48" s="72"/>
      <c r="X48" s="72">
        <f t="shared" si="36"/>
        <v>509.378376470588</v>
      </c>
      <c r="Y48" s="85">
        <f t="shared" si="42"/>
        <v>126.162599058824</v>
      </c>
      <c r="Z48" s="97">
        <v>194.84</v>
      </c>
      <c r="AA48" s="85">
        <f t="shared" si="43"/>
        <v>1.38883811764706</v>
      </c>
      <c r="AB48" s="85">
        <f t="shared" si="32"/>
        <v>322.391437176471</v>
      </c>
      <c r="AC48" s="86">
        <v>7.27</v>
      </c>
      <c r="AD48" s="72">
        <f t="shared" si="37"/>
        <v>2343.78574827294</v>
      </c>
      <c r="AE48" s="72">
        <f t="shared" si="38"/>
        <v>2853.16412474353</v>
      </c>
      <c r="AF48" s="72">
        <f t="shared" si="39"/>
        <v>476.62587525647</v>
      </c>
    </row>
    <row r="49" s="2" customFormat="1" spans="1:32">
      <c r="A49" s="20"/>
      <c r="B49" s="21"/>
      <c r="C49" s="112">
        <v>240926000001</v>
      </c>
      <c r="D49" s="23">
        <v>45564</v>
      </c>
      <c r="E49" s="23" t="s">
        <v>82</v>
      </c>
      <c r="F49" s="21" t="s">
        <v>83</v>
      </c>
      <c r="G49" s="21" t="s">
        <v>96</v>
      </c>
      <c r="H49" s="88">
        <v>0.5358</v>
      </c>
      <c r="I49" s="88">
        <v>276</v>
      </c>
      <c r="J49" s="42">
        <v>1095.15</v>
      </c>
      <c r="K49" s="86"/>
      <c r="L49" s="44"/>
      <c r="M49" s="45"/>
      <c r="N49" s="92"/>
      <c r="O49" s="21"/>
      <c r="P49" s="48">
        <f t="shared" si="33"/>
        <v>1095.15</v>
      </c>
      <c r="Q49" s="95"/>
      <c r="R49" s="95"/>
      <c r="S49" s="72">
        <f t="shared" si="40"/>
        <v>322.378252941176</v>
      </c>
      <c r="T49" s="72"/>
      <c r="U49" s="72">
        <f t="shared" si="41"/>
        <v>7.87941176470588</v>
      </c>
      <c r="V49" s="72"/>
      <c r="W49" s="72"/>
      <c r="X49" s="72">
        <f t="shared" si="36"/>
        <v>330.257664705882</v>
      </c>
      <c r="Y49" s="85">
        <f t="shared" si="42"/>
        <v>81.7980645882353</v>
      </c>
      <c r="Z49" s="85"/>
      <c r="AA49" s="85">
        <f t="shared" si="43"/>
        <v>0.900459176470588</v>
      </c>
      <c r="AB49" s="85">
        <f t="shared" si="32"/>
        <v>82.6985237647059</v>
      </c>
      <c r="AC49" s="86">
        <v>7.27</v>
      </c>
      <c r="AD49" s="72">
        <f t="shared" si="37"/>
        <v>601.218267769412</v>
      </c>
      <c r="AE49" s="72">
        <f t="shared" si="38"/>
        <v>931.475932475294</v>
      </c>
      <c r="AF49" s="72">
        <f t="shared" si="39"/>
        <v>163.674067524706</v>
      </c>
    </row>
    <row r="50" s="2" customFormat="1" spans="1:32">
      <c r="A50" s="20"/>
      <c r="B50" s="21"/>
      <c r="C50" s="112">
        <v>240919000043</v>
      </c>
      <c r="D50" s="23">
        <v>45564</v>
      </c>
      <c r="E50" s="23" t="s">
        <v>63</v>
      </c>
      <c r="F50" s="21" t="s">
        <v>64</v>
      </c>
      <c r="G50" s="21" t="s">
        <v>103</v>
      </c>
      <c r="H50" s="88">
        <v>0.4921</v>
      </c>
      <c r="I50" s="88">
        <v>109</v>
      </c>
      <c r="J50" s="42">
        <v>1159</v>
      </c>
      <c r="K50" s="86"/>
      <c r="L50" s="44"/>
      <c r="M50" s="45"/>
      <c r="N50" s="92"/>
      <c r="O50" s="21"/>
      <c r="P50" s="48">
        <f t="shared" si="33"/>
        <v>1159</v>
      </c>
      <c r="Q50" s="95"/>
      <c r="R50" s="95"/>
      <c r="S50" s="72">
        <f t="shared" si="40"/>
        <v>296.084991176471</v>
      </c>
      <c r="T50" s="72"/>
      <c r="U50" s="72">
        <f t="shared" si="41"/>
        <v>7.23676470588235</v>
      </c>
      <c r="V50" s="72"/>
      <c r="W50" s="72"/>
      <c r="X50" s="72">
        <f t="shared" si="36"/>
        <v>303.321755882353</v>
      </c>
      <c r="Y50" s="85">
        <f t="shared" si="42"/>
        <v>75.1265912352941</v>
      </c>
      <c r="Z50" s="85"/>
      <c r="AA50" s="85">
        <f t="shared" si="43"/>
        <v>0.827017470588235</v>
      </c>
      <c r="AB50" s="85">
        <f t="shared" si="32"/>
        <v>75.9536087058823</v>
      </c>
      <c r="AC50" s="86">
        <v>7.27</v>
      </c>
      <c r="AD50" s="72">
        <f t="shared" si="37"/>
        <v>552.182735291765</v>
      </c>
      <c r="AE50" s="72">
        <f t="shared" si="38"/>
        <v>855.504491174118</v>
      </c>
      <c r="AF50" s="72">
        <f t="shared" si="39"/>
        <v>303.495508825882</v>
      </c>
    </row>
    <row r="51" s="2" customFormat="1" spans="1:32">
      <c r="A51" s="20"/>
      <c r="B51" s="21"/>
      <c r="C51" s="112">
        <v>240926000008</v>
      </c>
      <c r="D51" s="23">
        <v>45564</v>
      </c>
      <c r="E51" s="23" t="s">
        <v>63</v>
      </c>
      <c r="F51" s="21" t="s">
        <v>64</v>
      </c>
      <c r="G51" s="21" t="s">
        <v>104</v>
      </c>
      <c r="H51" s="88">
        <v>0.102</v>
      </c>
      <c r="I51" s="88">
        <v>67</v>
      </c>
      <c r="J51" s="42">
        <v>223.3</v>
      </c>
      <c r="K51" s="86"/>
      <c r="L51" s="44"/>
      <c r="M51" s="45"/>
      <c r="N51" s="92"/>
      <c r="O51" s="21"/>
      <c r="P51" s="48">
        <f t="shared" si="33"/>
        <v>223.3</v>
      </c>
      <c r="Q51" s="95"/>
      <c r="R51" s="95"/>
      <c r="S51" s="72">
        <f t="shared" si="40"/>
        <v>61.371</v>
      </c>
      <c r="T51" s="72"/>
      <c r="U51" s="72">
        <f t="shared" si="41"/>
        <v>1.5</v>
      </c>
      <c r="V51" s="72"/>
      <c r="W51" s="72"/>
      <c r="X51" s="72">
        <f t="shared" si="36"/>
        <v>62.871</v>
      </c>
      <c r="Y51" s="85">
        <f t="shared" si="42"/>
        <v>15.57186</v>
      </c>
      <c r="Z51" s="85"/>
      <c r="AA51" s="85">
        <f t="shared" si="43"/>
        <v>0.17142</v>
      </c>
      <c r="AB51" s="85">
        <f t="shared" si="32"/>
        <v>15.74328</v>
      </c>
      <c r="AC51" s="86">
        <v>7.27</v>
      </c>
      <c r="AD51" s="72">
        <f t="shared" si="37"/>
        <v>114.4536456</v>
      </c>
      <c r="AE51" s="72">
        <f t="shared" si="38"/>
        <v>177.3246456</v>
      </c>
      <c r="AF51" s="72">
        <f t="shared" si="39"/>
        <v>45.9753544</v>
      </c>
    </row>
    <row r="52" s="2" customFormat="1" spans="1:32">
      <c r="A52" s="20"/>
      <c r="B52" s="21"/>
      <c r="C52" s="112">
        <v>240928000014</v>
      </c>
      <c r="D52" s="23">
        <v>45564</v>
      </c>
      <c r="E52" s="23" t="s">
        <v>69</v>
      </c>
      <c r="F52" s="21" t="s">
        <v>70</v>
      </c>
      <c r="G52" s="21" t="s">
        <v>76</v>
      </c>
      <c r="H52" s="88">
        <v>0.6152</v>
      </c>
      <c r="I52" s="88">
        <v>107</v>
      </c>
      <c r="J52" s="42">
        <v>1191.18</v>
      </c>
      <c r="K52" s="86"/>
      <c r="L52" s="44"/>
      <c r="M52" s="45"/>
      <c r="N52" s="92"/>
      <c r="O52" s="21"/>
      <c r="P52" s="48">
        <f t="shared" si="33"/>
        <v>1191.18</v>
      </c>
      <c r="Q52" s="95"/>
      <c r="R52" s="95"/>
      <c r="S52" s="72">
        <f t="shared" si="40"/>
        <v>370.151364705882</v>
      </c>
      <c r="T52" s="72"/>
      <c r="U52" s="72">
        <f t="shared" si="41"/>
        <v>9.04705882352941</v>
      </c>
      <c r="V52" s="72"/>
      <c r="W52" s="72"/>
      <c r="X52" s="72">
        <f t="shared" si="36"/>
        <v>379.198423529412</v>
      </c>
      <c r="Y52" s="85">
        <f t="shared" si="42"/>
        <v>93.9196889411765</v>
      </c>
      <c r="Z52" s="85"/>
      <c r="AA52" s="85">
        <f t="shared" si="43"/>
        <v>1.03389788235294</v>
      </c>
      <c r="AB52" s="85">
        <f t="shared" si="32"/>
        <v>94.9535868235294</v>
      </c>
      <c r="AC52" s="86">
        <v>7.27</v>
      </c>
      <c r="AD52" s="72">
        <f t="shared" si="37"/>
        <v>690.312576207059</v>
      </c>
      <c r="AE52" s="72">
        <f t="shared" si="38"/>
        <v>1069.51099973647</v>
      </c>
      <c r="AF52" s="72">
        <f t="shared" si="39"/>
        <v>121.66900026353</v>
      </c>
    </row>
    <row r="53" s="2" customFormat="1" spans="1:32">
      <c r="A53" s="20"/>
      <c r="B53" s="21"/>
      <c r="C53" s="112">
        <v>240928000015</v>
      </c>
      <c r="D53" s="23">
        <v>45564</v>
      </c>
      <c r="E53" s="23" t="s">
        <v>69</v>
      </c>
      <c r="F53" s="21" t="s">
        <v>70</v>
      </c>
      <c r="G53" s="21" t="s">
        <v>76</v>
      </c>
      <c r="H53" s="88">
        <v>0.1359</v>
      </c>
      <c r="I53" s="88">
        <v>19.5</v>
      </c>
      <c r="J53" s="42">
        <v>309.58</v>
      </c>
      <c r="K53" s="86"/>
      <c r="L53" s="44"/>
      <c r="M53" s="45"/>
      <c r="N53" s="92"/>
      <c r="O53" s="21"/>
      <c r="P53" s="48">
        <f t="shared" si="33"/>
        <v>309.58</v>
      </c>
      <c r="Q53" s="95"/>
      <c r="R53" s="95"/>
      <c r="S53" s="72">
        <f t="shared" si="40"/>
        <v>81.7678323529412</v>
      </c>
      <c r="T53" s="72"/>
      <c r="U53" s="72">
        <f t="shared" si="41"/>
        <v>1.99852941176471</v>
      </c>
      <c r="V53" s="72"/>
      <c r="W53" s="72"/>
      <c r="X53" s="72">
        <f t="shared" si="36"/>
        <v>83.7663617647059</v>
      </c>
      <c r="Y53" s="85">
        <f t="shared" si="42"/>
        <v>20.7472134705882</v>
      </c>
      <c r="Z53" s="85"/>
      <c r="AA53" s="85">
        <f t="shared" si="43"/>
        <v>0.228391941176471</v>
      </c>
      <c r="AB53" s="85">
        <f t="shared" si="32"/>
        <v>20.9756054117647</v>
      </c>
      <c r="AC53" s="86">
        <v>7.27</v>
      </c>
      <c r="AD53" s="72">
        <f t="shared" si="37"/>
        <v>152.492651343529</v>
      </c>
      <c r="AE53" s="72">
        <f t="shared" si="38"/>
        <v>236.259013108235</v>
      </c>
      <c r="AF53" s="72">
        <f t="shared" si="39"/>
        <v>73.320986891765</v>
      </c>
    </row>
    <row r="54" s="2" customFormat="1" spans="1:32">
      <c r="A54" s="20"/>
      <c r="B54" s="21"/>
      <c r="C54" s="112">
        <v>240929000070</v>
      </c>
      <c r="D54" s="23">
        <v>45564</v>
      </c>
      <c r="E54" s="23" t="s">
        <v>74</v>
      </c>
      <c r="F54" s="21" t="s">
        <v>74</v>
      </c>
      <c r="G54" s="21" t="s">
        <v>94</v>
      </c>
      <c r="H54" s="88">
        <v>14.91</v>
      </c>
      <c r="I54" s="88">
        <v>1595</v>
      </c>
      <c r="J54" s="42">
        <v>21865.81</v>
      </c>
      <c r="K54" s="86"/>
      <c r="L54" s="44"/>
      <c r="M54" s="45"/>
      <c r="N54" s="46"/>
      <c r="O54" s="21"/>
      <c r="P54" s="48">
        <f t="shared" si="33"/>
        <v>21865.81</v>
      </c>
      <c r="Q54" s="95"/>
      <c r="R54" s="95"/>
      <c r="S54" s="72">
        <f t="shared" si="40"/>
        <v>8970.99617647059</v>
      </c>
      <c r="T54" s="72"/>
      <c r="U54" s="72">
        <f t="shared" si="41"/>
        <v>219.264705882353</v>
      </c>
      <c r="V54" s="72"/>
      <c r="W54" s="72"/>
      <c r="X54" s="72">
        <f t="shared" si="36"/>
        <v>9190.26088235294</v>
      </c>
      <c r="Y54" s="85">
        <f t="shared" si="42"/>
        <v>2276.23953529412</v>
      </c>
      <c r="Z54" s="85"/>
      <c r="AA54" s="85">
        <f t="shared" si="43"/>
        <v>25.0575705882353</v>
      </c>
      <c r="AB54" s="85">
        <f t="shared" si="32"/>
        <v>2301.29710588235</v>
      </c>
      <c r="AC54" s="86">
        <v>7.27</v>
      </c>
      <c r="AD54" s="72">
        <f t="shared" si="37"/>
        <v>16730.4299597647</v>
      </c>
      <c r="AE54" s="72">
        <f t="shared" si="38"/>
        <v>25920.6908421176</v>
      </c>
      <c r="AF54" s="72">
        <f t="shared" si="39"/>
        <v>-4054.8808421176</v>
      </c>
    </row>
    <row r="55" s="2" customFormat="1" spans="1:32">
      <c r="A55" s="20"/>
      <c r="B55" s="21"/>
      <c r="C55" s="112">
        <v>240928000023</v>
      </c>
      <c r="D55" s="23">
        <v>45564</v>
      </c>
      <c r="E55" s="23" t="s">
        <v>74</v>
      </c>
      <c r="F55" s="21" t="s">
        <v>74</v>
      </c>
      <c r="G55" s="21" t="s">
        <v>94</v>
      </c>
      <c r="H55" s="88">
        <v>0.8638</v>
      </c>
      <c r="I55" s="88">
        <v>110</v>
      </c>
      <c r="J55" s="42">
        <v>1266.8</v>
      </c>
      <c r="K55" s="86"/>
      <c r="L55" s="44"/>
      <c r="M55" s="45"/>
      <c r="N55" s="46"/>
      <c r="O55" s="21"/>
      <c r="P55" s="48">
        <f t="shared" si="33"/>
        <v>1266.8</v>
      </c>
      <c r="Q55" s="95"/>
      <c r="R55" s="95"/>
      <c r="S55" s="72">
        <f t="shared" si="40"/>
        <v>519.728135294118</v>
      </c>
      <c r="T55" s="72"/>
      <c r="U55" s="72">
        <f t="shared" si="41"/>
        <v>12.7029411764706</v>
      </c>
      <c r="V55" s="72"/>
      <c r="W55" s="72"/>
      <c r="X55" s="72">
        <f t="shared" si="36"/>
        <v>532.431076470588</v>
      </c>
      <c r="Y55" s="85">
        <f t="shared" si="42"/>
        <v>131.872281058824</v>
      </c>
      <c r="Z55" s="97"/>
      <c r="AA55" s="85">
        <f t="shared" si="43"/>
        <v>1.45169211764706</v>
      </c>
      <c r="AB55" s="85">
        <f t="shared" si="32"/>
        <v>133.323973176471</v>
      </c>
      <c r="AC55" s="86">
        <v>7.27</v>
      </c>
      <c r="AD55" s="72">
        <f t="shared" si="37"/>
        <v>969.265284992941</v>
      </c>
      <c r="AE55" s="72">
        <f t="shared" si="38"/>
        <v>1501.69636146353</v>
      </c>
      <c r="AF55" s="72">
        <f t="shared" si="39"/>
        <v>-234.89636146353</v>
      </c>
    </row>
    <row r="56" s="2" customFormat="1" spans="1:32">
      <c r="A56" s="20"/>
      <c r="B56" s="21"/>
      <c r="C56" s="112">
        <v>240929000001</v>
      </c>
      <c r="D56" s="23">
        <v>45564</v>
      </c>
      <c r="E56" s="23" t="s">
        <v>74</v>
      </c>
      <c r="F56" s="21" t="s">
        <v>74</v>
      </c>
      <c r="G56" s="21" t="s">
        <v>94</v>
      </c>
      <c r="H56" s="88">
        <v>23.97</v>
      </c>
      <c r="I56" s="88">
        <v>2873</v>
      </c>
      <c r="J56" s="42">
        <v>35152.53</v>
      </c>
      <c r="K56" s="86"/>
      <c r="L56" s="44"/>
      <c r="M56" s="45"/>
      <c r="N56" s="46"/>
      <c r="O56" s="21"/>
      <c r="P56" s="48">
        <f t="shared" si="33"/>
        <v>35152.53</v>
      </c>
      <c r="Q56" s="95"/>
      <c r="R56" s="95"/>
      <c r="S56" s="72">
        <f t="shared" si="40"/>
        <v>14422.185</v>
      </c>
      <c r="T56" s="72"/>
      <c r="U56" s="72">
        <f t="shared" si="41"/>
        <v>352.5</v>
      </c>
      <c r="V56" s="72"/>
      <c r="W56" s="72"/>
      <c r="X56" s="72">
        <f t="shared" si="36"/>
        <v>14774.685</v>
      </c>
      <c r="Y56" s="85">
        <f t="shared" si="42"/>
        <v>3659.3871</v>
      </c>
      <c r="Z56" s="97"/>
      <c r="AA56" s="85">
        <f t="shared" si="43"/>
        <v>40.2837</v>
      </c>
      <c r="AB56" s="85">
        <f t="shared" si="32"/>
        <v>3699.6708</v>
      </c>
      <c r="AC56" s="86">
        <v>7.27</v>
      </c>
      <c r="AD56" s="72">
        <f t="shared" si="37"/>
        <v>26896.606716</v>
      </c>
      <c r="AE56" s="72">
        <f t="shared" si="38"/>
        <v>41671.291716</v>
      </c>
      <c r="AF56" s="72">
        <f t="shared" si="39"/>
        <v>-6518.761716</v>
      </c>
    </row>
    <row r="57" s="2" customFormat="1" spans="1:32">
      <c r="A57" s="20"/>
      <c r="B57" s="21"/>
      <c r="C57" s="112">
        <v>240929000009</v>
      </c>
      <c r="D57" s="23">
        <v>45564</v>
      </c>
      <c r="E57" s="23" t="s">
        <v>69</v>
      </c>
      <c r="F57" s="21" t="s">
        <v>70</v>
      </c>
      <c r="G57" s="21" t="s">
        <v>81</v>
      </c>
      <c r="H57" s="88">
        <v>6.006</v>
      </c>
      <c r="I57" s="88">
        <v>2236</v>
      </c>
      <c r="J57" s="48"/>
      <c r="K57" s="90">
        <v>3392789.4</v>
      </c>
      <c r="L57" s="44"/>
      <c r="M57" s="45">
        <f>SUM(K57/N57)</f>
        <v>1883</v>
      </c>
      <c r="N57" s="117">
        <v>1801.8</v>
      </c>
      <c r="O57" s="21">
        <v>7.26</v>
      </c>
      <c r="P57" s="48">
        <f>SUM(N57*O57)</f>
        <v>13081.068</v>
      </c>
      <c r="Q57" s="95"/>
      <c r="R57" s="95"/>
      <c r="S57" s="72">
        <f t="shared" si="40"/>
        <v>3613.66888235294</v>
      </c>
      <c r="T57" s="72"/>
      <c r="U57" s="72">
        <f t="shared" si="41"/>
        <v>88.3235294117647</v>
      </c>
      <c r="V57" s="72"/>
      <c r="W57" s="72"/>
      <c r="X57" s="72">
        <f t="shared" si="36"/>
        <v>3701.99241176471</v>
      </c>
      <c r="Y57" s="85">
        <f t="shared" si="42"/>
        <v>916.907756470588</v>
      </c>
      <c r="Z57" s="97">
        <v>72.87</v>
      </c>
      <c r="AA57" s="85">
        <f t="shared" si="43"/>
        <v>10.0936129411765</v>
      </c>
      <c r="AB57" s="85">
        <f t="shared" si="32"/>
        <v>999.871369411765</v>
      </c>
      <c r="AC57" s="86">
        <v>7.27</v>
      </c>
      <c r="AD57" s="72">
        <f t="shared" si="37"/>
        <v>7269.06485562353</v>
      </c>
      <c r="AE57" s="72">
        <f t="shared" si="38"/>
        <v>10971.0572673882</v>
      </c>
      <c r="AF57" s="72">
        <f t="shared" si="39"/>
        <v>2110.0107326118</v>
      </c>
    </row>
    <row r="58" s="2" customFormat="1" spans="1:32">
      <c r="A58" s="20"/>
      <c r="B58" s="21"/>
      <c r="C58" s="112">
        <v>240929000042</v>
      </c>
      <c r="D58" s="23">
        <v>45564</v>
      </c>
      <c r="E58" s="23" t="s">
        <v>85</v>
      </c>
      <c r="F58" s="21" t="s">
        <v>86</v>
      </c>
      <c r="G58" s="21" t="s">
        <v>75</v>
      </c>
      <c r="H58" s="88">
        <v>0.3433</v>
      </c>
      <c r="I58" s="88">
        <v>125</v>
      </c>
      <c r="J58" s="42">
        <v>643.9</v>
      </c>
      <c r="K58" s="86"/>
      <c r="L58" s="44"/>
      <c r="M58" s="45"/>
      <c r="N58" s="92"/>
      <c r="O58" s="21"/>
      <c r="P58" s="48">
        <f t="shared" ref="P58:P67" si="44">SUBTOTAL(9,J58)</f>
        <v>643.9</v>
      </c>
      <c r="Q58" s="95"/>
      <c r="R58" s="95"/>
      <c r="S58" s="72">
        <f t="shared" si="40"/>
        <v>206.555532352941</v>
      </c>
      <c r="T58" s="72"/>
      <c r="U58" s="72">
        <f t="shared" si="41"/>
        <v>5.04852941176471</v>
      </c>
      <c r="V58" s="72"/>
      <c r="W58" s="72"/>
      <c r="X58" s="72">
        <f t="shared" si="36"/>
        <v>211.604061764706</v>
      </c>
      <c r="Y58" s="85">
        <f t="shared" si="42"/>
        <v>52.4099954705882</v>
      </c>
      <c r="Z58" s="85"/>
      <c r="AA58" s="85">
        <f t="shared" si="43"/>
        <v>0.576945941176471</v>
      </c>
      <c r="AB58" s="85">
        <f t="shared" si="32"/>
        <v>52.9869414117647</v>
      </c>
      <c r="AC58" s="86">
        <v>7.27</v>
      </c>
      <c r="AD58" s="72">
        <f t="shared" si="37"/>
        <v>385.215064063529</v>
      </c>
      <c r="AE58" s="72">
        <f t="shared" si="38"/>
        <v>596.819125828235</v>
      </c>
      <c r="AF58" s="72">
        <f t="shared" si="39"/>
        <v>47.080874171765</v>
      </c>
    </row>
    <row r="59" s="2" customFormat="1" spans="1:32">
      <c r="A59" s="20"/>
      <c r="B59" s="21"/>
      <c r="C59" s="112">
        <v>240921000019</v>
      </c>
      <c r="D59" s="23">
        <v>45547</v>
      </c>
      <c r="E59" s="23" t="s">
        <v>82</v>
      </c>
      <c r="F59" s="21" t="s">
        <v>83</v>
      </c>
      <c r="G59" s="21" t="s">
        <v>84</v>
      </c>
      <c r="H59" s="88">
        <v>2.7091</v>
      </c>
      <c r="I59" s="88">
        <v>1182</v>
      </c>
      <c r="J59" s="42">
        <v>5539.61</v>
      </c>
      <c r="K59" s="86"/>
      <c r="L59" s="44"/>
      <c r="M59" s="45"/>
      <c r="N59" s="97"/>
      <c r="O59" s="21"/>
      <c r="P59" s="48">
        <f t="shared" si="44"/>
        <v>5539.61</v>
      </c>
      <c r="Q59" s="95"/>
      <c r="R59" s="95"/>
      <c r="S59" s="72">
        <f t="shared" si="40"/>
        <v>1630.00172647059</v>
      </c>
      <c r="T59" s="72"/>
      <c r="U59" s="72">
        <f t="shared" si="41"/>
        <v>39.8397058823529</v>
      </c>
      <c r="V59" s="72"/>
      <c r="W59" s="72"/>
      <c r="X59" s="72">
        <f t="shared" si="36"/>
        <v>1669.84143235294</v>
      </c>
      <c r="Y59" s="85">
        <f t="shared" si="42"/>
        <v>413.585548294118</v>
      </c>
      <c r="Z59" s="85"/>
      <c r="AA59" s="85">
        <f t="shared" si="43"/>
        <v>4.55288158823529</v>
      </c>
      <c r="AB59" s="85">
        <f t="shared" si="32"/>
        <v>418.138429882353</v>
      </c>
      <c r="AC59" s="86">
        <v>7.27</v>
      </c>
      <c r="AD59" s="72">
        <f t="shared" si="37"/>
        <v>3039.86638524471</v>
      </c>
      <c r="AE59" s="72">
        <f t="shared" si="38"/>
        <v>4709.70781759765</v>
      </c>
      <c r="AF59" s="72">
        <f t="shared" si="39"/>
        <v>829.902182402349</v>
      </c>
    </row>
    <row r="60" s="2" customFormat="1" spans="1:32">
      <c r="A60" s="20"/>
      <c r="B60" s="21"/>
      <c r="C60" s="112">
        <v>240929000044</v>
      </c>
      <c r="D60" s="23">
        <v>45564</v>
      </c>
      <c r="E60" s="23" t="s">
        <v>85</v>
      </c>
      <c r="F60" s="21" t="s">
        <v>86</v>
      </c>
      <c r="G60" s="21" t="s">
        <v>75</v>
      </c>
      <c r="H60" s="88">
        <v>0.701</v>
      </c>
      <c r="I60" s="88">
        <v>79</v>
      </c>
      <c r="J60" s="42">
        <v>1314.85</v>
      </c>
      <c r="K60" s="86"/>
      <c r="L60" s="44"/>
      <c r="M60" s="45"/>
      <c r="N60" s="92"/>
      <c r="O60" s="21"/>
      <c r="P60" s="48">
        <f t="shared" si="44"/>
        <v>1314.85</v>
      </c>
      <c r="Q60" s="95"/>
      <c r="R60" s="95"/>
      <c r="S60" s="72">
        <f t="shared" si="40"/>
        <v>421.775205882353</v>
      </c>
      <c r="T60" s="72"/>
      <c r="U60" s="72">
        <f t="shared" si="41"/>
        <v>10.3088235294118</v>
      </c>
      <c r="V60" s="72"/>
      <c r="W60" s="72"/>
      <c r="X60" s="72">
        <f t="shared" si="36"/>
        <v>432.084029411765</v>
      </c>
      <c r="Y60" s="85">
        <f t="shared" si="42"/>
        <v>107.018371176471</v>
      </c>
      <c r="Z60" s="85"/>
      <c r="AA60" s="85">
        <f t="shared" si="43"/>
        <v>1.17809235294118</v>
      </c>
      <c r="AB60" s="85">
        <f t="shared" si="32"/>
        <v>108.196463529412</v>
      </c>
      <c r="AC60" s="86">
        <v>7.27</v>
      </c>
      <c r="AD60" s="72">
        <f t="shared" si="37"/>
        <v>786.588289858823</v>
      </c>
      <c r="AE60" s="72">
        <f t="shared" si="38"/>
        <v>1218.67231927059</v>
      </c>
      <c r="AF60" s="72">
        <f t="shared" si="39"/>
        <v>96.17768072941</v>
      </c>
    </row>
    <row r="61" s="2" customFormat="1" spans="1:32">
      <c r="A61" s="20"/>
      <c r="B61" s="21"/>
      <c r="C61" s="112">
        <v>240929000045</v>
      </c>
      <c r="D61" s="23">
        <v>45564</v>
      </c>
      <c r="E61" s="23" t="s">
        <v>85</v>
      </c>
      <c r="F61" s="21" t="s">
        <v>86</v>
      </c>
      <c r="G61" s="21" t="s">
        <v>75</v>
      </c>
      <c r="H61" s="88">
        <v>0.2958</v>
      </c>
      <c r="I61" s="88">
        <v>34</v>
      </c>
      <c r="J61" s="42">
        <v>554.85</v>
      </c>
      <c r="K61" s="86"/>
      <c r="L61" s="44"/>
      <c r="M61" s="45"/>
      <c r="N61" s="92"/>
      <c r="O61" s="21"/>
      <c r="P61" s="48">
        <f t="shared" si="44"/>
        <v>554.85</v>
      </c>
      <c r="Q61" s="95"/>
      <c r="R61" s="95"/>
      <c r="S61" s="72">
        <f t="shared" si="40"/>
        <v>177.9759</v>
      </c>
      <c r="T61" s="72"/>
      <c r="U61" s="72">
        <f t="shared" si="41"/>
        <v>4.35</v>
      </c>
      <c r="V61" s="72"/>
      <c r="W61" s="72"/>
      <c r="X61" s="72">
        <f t="shared" si="36"/>
        <v>182.3259</v>
      </c>
      <c r="Y61" s="85">
        <f t="shared" si="42"/>
        <v>45.158394</v>
      </c>
      <c r="Z61" s="85"/>
      <c r="AA61" s="85">
        <f t="shared" si="43"/>
        <v>0.497118</v>
      </c>
      <c r="AB61" s="85">
        <f t="shared" si="32"/>
        <v>45.655512</v>
      </c>
      <c r="AC61" s="86">
        <v>7.27</v>
      </c>
      <c r="AD61" s="72">
        <f t="shared" si="37"/>
        <v>331.91557224</v>
      </c>
      <c r="AE61" s="72">
        <f t="shared" si="38"/>
        <v>514.24147224</v>
      </c>
      <c r="AF61" s="72">
        <f t="shared" si="39"/>
        <v>40.60852776</v>
      </c>
    </row>
    <row r="62" s="2" customFormat="1" spans="1:32">
      <c r="A62" s="20"/>
      <c r="B62" s="21"/>
      <c r="C62" s="112">
        <v>240929000053</v>
      </c>
      <c r="D62" s="23">
        <v>45564</v>
      </c>
      <c r="E62" s="23" t="s">
        <v>82</v>
      </c>
      <c r="F62" s="21" t="s">
        <v>83</v>
      </c>
      <c r="G62" s="21" t="s">
        <v>96</v>
      </c>
      <c r="H62" s="88">
        <v>2.4883</v>
      </c>
      <c r="I62" s="88">
        <v>449.5</v>
      </c>
      <c r="J62" s="42">
        <v>5086.06</v>
      </c>
      <c r="K62" s="86"/>
      <c r="L62" s="44"/>
      <c r="M62" s="45"/>
      <c r="N62" s="92"/>
      <c r="O62" s="21"/>
      <c r="P62" s="48">
        <f t="shared" si="44"/>
        <v>5086.06</v>
      </c>
      <c r="Q62" s="96"/>
      <c r="R62" s="96"/>
      <c r="S62" s="72">
        <f t="shared" si="40"/>
        <v>1497.15156176471</v>
      </c>
      <c r="T62" s="72"/>
      <c r="U62" s="72">
        <f t="shared" si="41"/>
        <v>36.5926470588235</v>
      </c>
      <c r="V62" s="72"/>
      <c r="W62" s="72"/>
      <c r="X62" s="72">
        <f t="shared" ref="X62:X88" si="45">SUM(S62:W62)</f>
        <v>1533.74420882353</v>
      </c>
      <c r="Y62" s="85">
        <f t="shared" si="42"/>
        <v>379.877051352941</v>
      </c>
      <c r="Z62" s="85"/>
      <c r="AA62" s="85">
        <f t="shared" si="43"/>
        <v>4.18180770588235</v>
      </c>
      <c r="AB62" s="85">
        <f t="shared" si="32"/>
        <v>384.058859058824</v>
      </c>
      <c r="AC62" s="86">
        <v>7.27</v>
      </c>
      <c r="AD62" s="72">
        <f t="shared" ref="AD62:AD88" si="46">SUM(AB62*AC62)</f>
        <v>2792.10790535765</v>
      </c>
      <c r="AE62" s="72">
        <f t="shared" ref="AE62:AE88" si="47">SUM(X62+AD62)</f>
        <v>4325.85211418118</v>
      </c>
      <c r="AF62" s="72">
        <f t="shared" ref="AF62:AF88" si="48">SUM(P62-AE62)</f>
        <v>760.207885818821</v>
      </c>
    </row>
    <row r="63" s="2" customFormat="1" spans="1:32">
      <c r="A63" s="105" t="s">
        <v>12</v>
      </c>
      <c r="B63" s="106" t="s">
        <v>13</v>
      </c>
      <c r="C63" s="22">
        <v>240919000043</v>
      </c>
      <c r="D63" s="23">
        <v>45580</v>
      </c>
      <c r="E63" s="23" t="s">
        <v>63</v>
      </c>
      <c r="F63" s="106" t="s">
        <v>64</v>
      </c>
      <c r="G63" s="106" t="s">
        <v>103</v>
      </c>
      <c r="H63" s="107">
        <v>0.0017</v>
      </c>
      <c r="I63" s="107">
        <v>5.5</v>
      </c>
      <c r="J63" s="42">
        <v>4</v>
      </c>
      <c r="K63" s="86"/>
      <c r="L63" s="108"/>
      <c r="M63" s="45"/>
      <c r="N63" s="99"/>
      <c r="O63" s="21"/>
      <c r="P63" s="48">
        <f t="shared" si="44"/>
        <v>4</v>
      </c>
      <c r="Q63" s="93">
        <f>SUM(P63:P88)</f>
        <v>140734.060642</v>
      </c>
      <c r="R63" s="94" t="s">
        <v>105</v>
      </c>
      <c r="S63" s="72">
        <f>SUM(40096/68)*H63</f>
        <v>1.0024</v>
      </c>
      <c r="T63" s="72"/>
      <c r="U63" s="72">
        <f>SUM(2100/68)*H63</f>
        <v>0.0525</v>
      </c>
      <c r="V63" s="72"/>
      <c r="W63" s="72"/>
      <c r="X63" s="72">
        <f t="shared" si="45"/>
        <v>1.0549</v>
      </c>
      <c r="Y63" s="85">
        <f>SUM(10477.84/68)*H63</f>
        <v>0.261946</v>
      </c>
      <c r="Z63" s="85"/>
      <c r="AA63" s="85">
        <f>SUM(222.57/68)*H63</f>
        <v>0.00556425</v>
      </c>
      <c r="AB63" s="85">
        <f t="shared" si="32"/>
        <v>0.26751025</v>
      </c>
      <c r="AC63" s="86">
        <v>7.27</v>
      </c>
      <c r="AD63" s="72">
        <f t="shared" si="46"/>
        <v>1.9447995175</v>
      </c>
      <c r="AE63" s="72">
        <f t="shared" si="47"/>
        <v>2.9996995175</v>
      </c>
      <c r="AF63" s="72">
        <f t="shared" si="48"/>
        <v>1.0003004825</v>
      </c>
    </row>
    <row r="64" s="2" customFormat="1" spans="1:32">
      <c r="A64" s="105"/>
      <c r="B64" s="106"/>
      <c r="C64" s="22">
        <v>240926000032</v>
      </c>
      <c r="D64" s="23">
        <v>45580</v>
      </c>
      <c r="E64" s="23" t="s">
        <v>63</v>
      </c>
      <c r="F64" s="106" t="s">
        <v>64</v>
      </c>
      <c r="G64" s="106" t="s">
        <v>106</v>
      </c>
      <c r="H64" s="107">
        <v>17.4746</v>
      </c>
      <c r="I64" s="107">
        <v>13114</v>
      </c>
      <c r="J64" s="42">
        <v>35735</v>
      </c>
      <c r="K64" s="86"/>
      <c r="L64" s="108"/>
      <c r="M64" s="45"/>
      <c r="N64" s="99"/>
      <c r="O64" s="21"/>
      <c r="P64" s="48">
        <f t="shared" si="44"/>
        <v>35735</v>
      </c>
      <c r="Q64" s="95"/>
      <c r="R64" s="95"/>
      <c r="S64" s="72">
        <f t="shared" ref="S64:S88" si="49">SUM(40096/68)*H64</f>
        <v>10303.8464941176</v>
      </c>
      <c r="T64" s="72"/>
      <c r="U64" s="72">
        <f t="shared" ref="U64:U88" si="50">SUM(2100/68)*H64</f>
        <v>539.656764705882</v>
      </c>
      <c r="V64" s="72"/>
      <c r="W64" s="72"/>
      <c r="X64" s="72">
        <f t="shared" si="45"/>
        <v>10843.5032588235</v>
      </c>
      <c r="Y64" s="85">
        <f t="shared" ref="Y64:Y88" si="51">SUM(10477.84/68)*H64</f>
        <v>2692.58915976471</v>
      </c>
      <c r="Z64" s="85"/>
      <c r="AA64" s="85">
        <f t="shared" ref="AA64:AA88" si="52">SUM(222.57/68)*H64</f>
        <v>57.1959076764706</v>
      </c>
      <c r="AB64" s="85">
        <f t="shared" si="32"/>
        <v>2749.78506744118</v>
      </c>
      <c r="AC64" s="86">
        <v>7.27</v>
      </c>
      <c r="AD64" s="72">
        <f t="shared" si="46"/>
        <v>19990.9374402974</v>
      </c>
      <c r="AE64" s="72">
        <f t="shared" si="47"/>
        <v>30834.4406991209</v>
      </c>
      <c r="AF64" s="72">
        <f t="shared" si="48"/>
        <v>4900.5593008791</v>
      </c>
    </row>
    <row r="65" s="2" customFormat="1" spans="1:32">
      <c r="A65" s="105"/>
      <c r="B65" s="106"/>
      <c r="C65" s="22">
        <v>240926000037</v>
      </c>
      <c r="D65" s="23">
        <v>45580</v>
      </c>
      <c r="E65" s="23" t="s">
        <v>63</v>
      </c>
      <c r="F65" s="106" t="s">
        <v>64</v>
      </c>
      <c r="G65" s="106" t="s">
        <v>107</v>
      </c>
      <c r="H65" s="107">
        <v>0.1237</v>
      </c>
      <c r="I65" s="107">
        <v>33</v>
      </c>
      <c r="J65" s="42">
        <v>344</v>
      </c>
      <c r="K65" s="86"/>
      <c r="L65" s="108"/>
      <c r="M65" s="45"/>
      <c r="N65" s="99"/>
      <c r="O65" s="21"/>
      <c r="P65" s="48">
        <f t="shared" si="44"/>
        <v>344</v>
      </c>
      <c r="Q65" s="95"/>
      <c r="R65" s="95"/>
      <c r="S65" s="72">
        <f t="shared" si="49"/>
        <v>72.9393411764706</v>
      </c>
      <c r="T65" s="72"/>
      <c r="U65" s="72">
        <f t="shared" si="50"/>
        <v>3.82014705882353</v>
      </c>
      <c r="V65" s="72"/>
      <c r="W65" s="72"/>
      <c r="X65" s="72">
        <f t="shared" si="45"/>
        <v>76.7594882352941</v>
      </c>
      <c r="Y65" s="85">
        <f t="shared" si="51"/>
        <v>19.0604236470588</v>
      </c>
      <c r="Z65" s="85"/>
      <c r="AA65" s="85">
        <f t="shared" si="52"/>
        <v>0.404881014705882</v>
      </c>
      <c r="AB65" s="85">
        <f t="shared" si="32"/>
        <v>19.4653046617647</v>
      </c>
      <c r="AC65" s="86">
        <v>7.27</v>
      </c>
      <c r="AD65" s="72">
        <f t="shared" si="46"/>
        <v>141.512764891029</v>
      </c>
      <c r="AE65" s="72">
        <f t="shared" si="47"/>
        <v>218.272253126324</v>
      </c>
      <c r="AF65" s="72">
        <f t="shared" si="48"/>
        <v>125.727746873676</v>
      </c>
    </row>
    <row r="66" s="2" customFormat="1" spans="1:32">
      <c r="A66" s="105"/>
      <c r="B66" s="106"/>
      <c r="C66" s="22">
        <v>240929000070</v>
      </c>
      <c r="D66" s="23">
        <v>45580</v>
      </c>
      <c r="E66" s="23" t="s">
        <v>74</v>
      </c>
      <c r="F66" s="106" t="s">
        <v>74</v>
      </c>
      <c r="G66" s="106" t="s">
        <v>94</v>
      </c>
      <c r="H66" s="107">
        <v>4.8</v>
      </c>
      <c r="I66" s="107">
        <v>799</v>
      </c>
      <c r="J66" s="42">
        <v>7039.3</v>
      </c>
      <c r="K66" s="86"/>
      <c r="L66" s="108"/>
      <c r="M66" s="45"/>
      <c r="N66" s="46"/>
      <c r="O66" s="21"/>
      <c r="P66" s="48">
        <f t="shared" si="44"/>
        <v>7039.3</v>
      </c>
      <c r="Q66" s="95"/>
      <c r="R66" s="95"/>
      <c r="S66" s="72">
        <f t="shared" si="49"/>
        <v>2830.30588235294</v>
      </c>
      <c r="T66" s="72"/>
      <c r="U66" s="72">
        <f t="shared" si="50"/>
        <v>148.235294117647</v>
      </c>
      <c r="V66" s="72"/>
      <c r="W66" s="72"/>
      <c r="X66" s="72">
        <f t="shared" si="45"/>
        <v>2978.54117647059</v>
      </c>
      <c r="Y66" s="85">
        <f t="shared" si="51"/>
        <v>739.612235294118</v>
      </c>
      <c r="Z66" s="85"/>
      <c r="AA66" s="85">
        <f t="shared" si="52"/>
        <v>15.7108235294118</v>
      </c>
      <c r="AB66" s="85">
        <f t="shared" si="32"/>
        <v>755.323058823529</v>
      </c>
      <c r="AC66" s="86">
        <v>7.27</v>
      </c>
      <c r="AD66" s="72">
        <f t="shared" si="46"/>
        <v>5491.19863764706</v>
      </c>
      <c r="AE66" s="72">
        <f t="shared" si="47"/>
        <v>8469.73981411765</v>
      </c>
      <c r="AF66" s="72">
        <f t="shared" si="48"/>
        <v>-1430.43981411765</v>
      </c>
    </row>
    <row r="67" s="2" customFormat="1" spans="1:32">
      <c r="A67" s="105"/>
      <c r="B67" s="106"/>
      <c r="C67" s="22">
        <v>240930000017</v>
      </c>
      <c r="D67" s="23">
        <v>45580</v>
      </c>
      <c r="E67" s="23" t="s">
        <v>63</v>
      </c>
      <c r="F67" s="106" t="s">
        <v>64</v>
      </c>
      <c r="G67" s="106" t="s">
        <v>108</v>
      </c>
      <c r="H67" s="107">
        <v>1.6158</v>
      </c>
      <c r="I67" s="107">
        <v>511</v>
      </c>
      <c r="J67" s="42">
        <v>3453.03</v>
      </c>
      <c r="K67" s="86"/>
      <c r="L67" s="108"/>
      <c r="M67" s="45"/>
      <c r="N67" s="99"/>
      <c r="O67" s="21"/>
      <c r="P67" s="48">
        <f t="shared" si="44"/>
        <v>3453.03</v>
      </c>
      <c r="Q67" s="95"/>
      <c r="R67" s="95"/>
      <c r="S67" s="72">
        <f t="shared" si="49"/>
        <v>952.751717647059</v>
      </c>
      <c r="T67" s="72"/>
      <c r="U67" s="72">
        <f t="shared" si="50"/>
        <v>49.8997058823529</v>
      </c>
      <c r="V67" s="72"/>
      <c r="W67" s="72"/>
      <c r="X67" s="72">
        <f t="shared" si="45"/>
        <v>1002.65142352941</v>
      </c>
      <c r="Y67" s="85">
        <f t="shared" si="51"/>
        <v>248.971968705882</v>
      </c>
      <c r="Z67" s="85"/>
      <c r="AA67" s="85">
        <f t="shared" si="52"/>
        <v>5.28865597058823</v>
      </c>
      <c r="AB67" s="85">
        <f t="shared" si="32"/>
        <v>254.260624676471</v>
      </c>
      <c r="AC67" s="86">
        <v>7.27</v>
      </c>
      <c r="AD67" s="72">
        <f t="shared" si="46"/>
        <v>1848.47474139794</v>
      </c>
      <c r="AE67" s="72">
        <f t="shared" si="47"/>
        <v>2851.12616492735</v>
      </c>
      <c r="AF67" s="72">
        <f t="shared" si="48"/>
        <v>601.90383507265</v>
      </c>
    </row>
    <row r="68" s="2" customFormat="1" spans="1:32">
      <c r="A68" s="105"/>
      <c r="B68" s="106"/>
      <c r="C68" s="22">
        <v>241005000004</v>
      </c>
      <c r="D68" s="23">
        <v>45580</v>
      </c>
      <c r="E68" s="23" t="s">
        <v>69</v>
      </c>
      <c r="F68" s="106" t="s">
        <v>70</v>
      </c>
      <c r="G68" s="106" t="s">
        <v>81</v>
      </c>
      <c r="H68" s="107">
        <v>0.5915</v>
      </c>
      <c r="I68" s="107">
        <v>456</v>
      </c>
      <c r="J68" s="109"/>
      <c r="K68" s="90">
        <v>359040</v>
      </c>
      <c r="L68" s="108"/>
      <c r="M68" s="45">
        <f t="shared" ref="M68:M70" si="53">SUM(K68/N68)</f>
        <v>1700</v>
      </c>
      <c r="N68" s="46">
        <v>211.2</v>
      </c>
      <c r="O68" s="21">
        <v>7.29</v>
      </c>
      <c r="P68" s="48">
        <f t="shared" ref="P68:P70" si="54">SUM(N68*O68)</f>
        <v>1539.648</v>
      </c>
      <c r="Q68" s="95"/>
      <c r="R68" s="95"/>
      <c r="S68" s="72">
        <f t="shared" si="49"/>
        <v>348.776235294118</v>
      </c>
      <c r="T68" s="72"/>
      <c r="U68" s="72">
        <f t="shared" si="50"/>
        <v>18.2669117647059</v>
      </c>
      <c r="V68" s="72"/>
      <c r="W68" s="72"/>
      <c r="X68" s="72">
        <f t="shared" si="45"/>
        <v>367.043147058824</v>
      </c>
      <c r="Y68" s="85">
        <f t="shared" si="51"/>
        <v>91.1417994117647</v>
      </c>
      <c r="Z68" s="85">
        <v>11.56</v>
      </c>
      <c r="AA68" s="85">
        <f t="shared" si="52"/>
        <v>1.93603169117647</v>
      </c>
      <c r="AB68" s="85">
        <f t="shared" si="32"/>
        <v>104.637831102941</v>
      </c>
      <c r="AC68" s="86">
        <v>7.27</v>
      </c>
      <c r="AD68" s="72">
        <f t="shared" si="46"/>
        <v>760.717032118382</v>
      </c>
      <c r="AE68" s="72">
        <f t="shared" si="47"/>
        <v>1127.76017917721</v>
      </c>
      <c r="AF68" s="72">
        <f t="shared" si="48"/>
        <v>411.88782082279</v>
      </c>
    </row>
    <row r="69" s="2" customFormat="1" spans="1:32">
      <c r="A69" s="105"/>
      <c r="B69" s="106"/>
      <c r="C69" s="22">
        <v>241006000007</v>
      </c>
      <c r="D69" s="23">
        <v>45580</v>
      </c>
      <c r="E69" s="23" t="s">
        <v>63</v>
      </c>
      <c r="F69" s="106" t="s">
        <v>64</v>
      </c>
      <c r="G69" s="106" t="s">
        <v>66</v>
      </c>
      <c r="H69" s="107">
        <v>0.0493</v>
      </c>
      <c r="I69" s="107">
        <v>24</v>
      </c>
      <c r="J69" s="109"/>
      <c r="K69" s="90">
        <v>42685.5</v>
      </c>
      <c r="L69" s="108"/>
      <c r="M69" s="45">
        <f t="shared" si="53"/>
        <v>1576.85629848541</v>
      </c>
      <c r="N69" s="46">
        <v>27.07</v>
      </c>
      <c r="O69" s="21">
        <v>7.27</v>
      </c>
      <c r="P69" s="48">
        <f t="shared" si="54"/>
        <v>196.7989</v>
      </c>
      <c r="Q69" s="95"/>
      <c r="R69" s="95"/>
      <c r="S69" s="72">
        <f t="shared" si="49"/>
        <v>29.0696</v>
      </c>
      <c r="T69" s="72"/>
      <c r="U69" s="72">
        <f t="shared" si="50"/>
        <v>1.5225</v>
      </c>
      <c r="V69" s="72"/>
      <c r="W69" s="72"/>
      <c r="X69" s="72">
        <f t="shared" si="45"/>
        <v>30.5921</v>
      </c>
      <c r="Y69" s="85">
        <f t="shared" si="51"/>
        <v>7.596434</v>
      </c>
      <c r="Z69" s="85"/>
      <c r="AA69" s="85">
        <f t="shared" si="52"/>
        <v>0.16136325</v>
      </c>
      <c r="AB69" s="85">
        <f t="shared" ref="AB69:AB100" si="55">SUM(Y69:AA69)</f>
        <v>7.75779725</v>
      </c>
      <c r="AC69" s="86">
        <v>7.27</v>
      </c>
      <c r="AD69" s="72">
        <f t="shared" si="46"/>
        <v>56.3991860075</v>
      </c>
      <c r="AE69" s="72">
        <f t="shared" si="47"/>
        <v>86.9912860075</v>
      </c>
      <c r="AF69" s="72">
        <f t="shared" si="48"/>
        <v>109.8076139925</v>
      </c>
    </row>
    <row r="70" s="2" customFormat="1" spans="1:32">
      <c r="A70" s="105"/>
      <c r="B70" s="106"/>
      <c r="C70" s="22">
        <v>241007000009</v>
      </c>
      <c r="D70" s="23">
        <v>45580</v>
      </c>
      <c r="E70" s="23" t="s">
        <v>69</v>
      </c>
      <c r="F70" s="106" t="s">
        <v>70</v>
      </c>
      <c r="G70" s="106" t="s">
        <v>81</v>
      </c>
      <c r="H70" s="107">
        <v>0.0252</v>
      </c>
      <c r="I70" s="107">
        <v>13</v>
      </c>
      <c r="J70" s="109"/>
      <c r="K70" s="90">
        <v>54400</v>
      </c>
      <c r="L70" s="108"/>
      <c r="M70" s="45">
        <f t="shared" si="53"/>
        <v>1700</v>
      </c>
      <c r="N70" s="46">
        <v>32</v>
      </c>
      <c r="O70" s="21">
        <v>7.29</v>
      </c>
      <c r="P70" s="48">
        <f t="shared" si="54"/>
        <v>233.28</v>
      </c>
      <c r="Q70" s="95"/>
      <c r="R70" s="95"/>
      <c r="S70" s="72">
        <f t="shared" si="49"/>
        <v>14.8591058823529</v>
      </c>
      <c r="T70" s="72"/>
      <c r="U70" s="72">
        <f t="shared" si="50"/>
        <v>0.778235294117647</v>
      </c>
      <c r="V70" s="72"/>
      <c r="W70" s="72"/>
      <c r="X70" s="72">
        <f t="shared" si="45"/>
        <v>15.6373411764706</v>
      </c>
      <c r="Y70" s="85">
        <f t="shared" si="51"/>
        <v>3.88296423529412</v>
      </c>
      <c r="Z70" s="85"/>
      <c r="AA70" s="85">
        <f t="shared" si="52"/>
        <v>0.0824818235294118</v>
      </c>
      <c r="AB70" s="85">
        <f t="shared" si="55"/>
        <v>3.96544605882353</v>
      </c>
      <c r="AC70" s="86">
        <v>7.27</v>
      </c>
      <c r="AD70" s="72">
        <f t="shared" si="46"/>
        <v>28.8287928476471</v>
      </c>
      <c r="AE70" s="72">
        <f t="shared" si="47"/>
        <v>44.4661340241176</v>
      </c>
      <c r="AF70" s="72">
        <f t="shared" si="48"/>
        <v>188.813865975882</v>
      </c>
    </row>
    <row r="71" s="2" customFormat="1" spans="1:32">
      <c r="A71" s="105"/>
      <c r="B71" s="106"/>
      <c r="C71" s="22">
        <v>241008000098</v>
      </c>
      <c r="D71" s="23">
        <v>45580</v>
      </c>
      <c r="E71" s="23" t="s">
        <v>109</v>
      </c>
      <c r="F71" s="106" t="s">
        <v>110</v>
      </c>
      <c r="G71" s="106" t="s">
        <v>111</v>
      </c>
      <c r="H71" s="107">
        <v>0.0392</v>
      </c>
      <c r="I71" s="107">
        <v>27</v>
      </c>
      <c r="J71" s="42">
        <v>88.47</v>
      </c>
      <c r="K71" s="86"/>
      <c r="L71" s="108"/>
      <c r="M71" s="45"/>
      <c r="N71" s="99"/>
      <c r="O71" s="21"/>
      <c r="P71" s="48">
        <f>SUBTOTAL(9,J71)</f>
        <v>88.47</v>
      </c>
      <c r="Q71" s="95"/>
      <c r="R71" s="95"/>
      <c r="S71" s="72">
        <f t="shared" si="49"/>
        <v>23.1141647058824</v>
      </c>
      <c r="T71" s="72"/>
      <c r="U71" s="72">
        <f t="shared" si="50"/>
        <v>1.21058823529412</v>
      </c>
      <c r="V71" s="72"/>
      <c r="W71" s="72"/>
      <c r="X71" s="72">
        <f t="shared" si="45"/>
        <v>24.3247529411765</v>
      </c>
      <c r="Y71" s="85">
        <f t="shared" si="51"/>
        <v>6.04016658823529</v>
      </c>
      <c r="Z71" s="85"/>
      <c r="AA71" s="85">
        <f t="shared" si="52"/>
        <v>0.128305058823529</v>
      </c>
      <c r="AB71" s="85">
        <f t="shared" si="55"/>
        <v>6.16847164705882</v>
      </c>
      <c r="AC71" s="86">
        <v>7.27</v>
      </c>
      <c r="AD71" s="72">
        <f t="shared" si="46"/>
        <v>44.8447888741176</v>
      </c>
      <c r="AE71" s="72">
        <f t="shared" si="47"/>
        <v>69.1695418152941</v>
      </c>
      <c r="AF71" s="72">
        <f t="shared" si="48"/>
        <v>19.3004581847059</v>
      </c>
    </row>
    <row r="72" s="2" customFormat="1" spans="1:32">
      <c r="A72" s="105"/>
      <c r="B72" s="106"/>
      <c r="C72" s="22">
        <v>241009000020</v>
      </c>
      <c r="D72" s="23">
        <v>45580</v>
      </c>
      <c r="E72" s="23" t="s">
        <v>85</v>
      </c>
      <c r="F72" s="106" t="s">
        <v>86</v>
      </c>
      <c r="G72" s="106" t="s">
        <v>75</v>
      </c>
      <c r="H72" s="107">
        <v>19.5527</v>
      </c>
      <c r="I72" s="107">
        <v>2326</v>
      </c>
      <c r="J72" s="42">
        <v>4260.86</v>
      </c>
      <c r="K72" s="90">
        <v>6737482</v>
      </c>
      <c r="L72" s="108"/>
      <c r="M72" s="45">
        <f t="shared" ref="M72:M74" si="56">SUM(K72/N72)</f>
        <v>1544.99991974005</v>
      </c>
      <c r="N72" s="46">
        <v>4360.83</v>
      </c>
      <c r="O72" s="21">
        <v>7.24</v>
      </c>
      <c r="P72" s="48">
        <f>SUM(N72*O72)+J72</f>
        <v>35833.2692</v>
      </c>
      <c r="Q72" s="95"/>
      <c r="R72" s="95"/>
      <c r="S72" s="72">
        <f t="shared" si="49"/>
        <v>11529.1920470588</v>
      </c>
      <c r="T72" s="72"/>
      <c r="U72" s="72">
        <f t="shared" si="50"/>
        <v>603.833382352941</v>
      </c>
      <c r="V72" s="72"/>
      <c r="W72" s="72"/>
      <c r="X72" s="72">
        <f t="shared" si="45"/>
        <v>12133.0254294118</v>
      </c>
      <c r="Y72" s="85">
        <f t="shared" si="51"/>
        <v>3012.79503188235</v>
      </c>
      <c r="Z72" s="85"/>
      <c r="AA72" s="85">
        <f t="shared" si="52"/>
        <v>63.9977123382353</v>
      </c>
      <c r="AB72" s="85">
        <f t="shared" si="55"/>
        <v>3076.79274422059</v>
      </c>
      <c r="AC72" s="86">
        <v>7.27</v>
      </c>
      <c r="AD72" s="72">
        <f t="shared" si="46"/>
        <v>22368.2832504837</v>
      </c>
      <c r="AE72" s="72">
        <f t="shared" si="47"/>
        <v>34501.3086798954</v>
      </c>
      <c r="AF72" s="72">
        <f t="shared" si="48"/>
        <v>1331.9605201046</v>
      </c>
    </row>
    <row r="73" s="2" customFormat="1" spans="1:32">
      <c r="A73" s="105"/>
      <c r="B73" s="106"/>
      <c r="C73" s="22">
        <v>241009000046</v>
      </c>
      <c r="D73" s="23">
        <v>45580</v>
      </c>
      <c r="E73" s="23" t="s">
        <v>90</v>
      </c>
      <c r="F73" s="106" t="s">
        <v>91</v>
      </c>
      <c r="G73" s="106" t="s">
        <v>112</v>
      </c>
      <c r="H73" s="107">
        <v>0.0717</v>
      </c>
      <c r="I73" s="107">
        <v>25</v>
      </c>
      <c r="J73" s="110"/>
      <c r="K73" s="90">
        <v>37653</v>
      </c>
      <c r="L73" s="108"/>
      <c r="M73" s="45">
        <f t="shared" si="56"/>
        <v>1637.08695652174</v>
      </c>
      <c r="N73" s="91">
        <v>23</v>
      </c>
      <c r="O73" s="21">
        <v>7.27</v>
      </c>
      <c r="P73" s="48">
        <f t="shared" ref="P73:P82" si="57">SUM(N73*O73)</f>
        <v>167.21</v>
      </c>
      <c r="Q73" s="95"/>
      <c r="R73" s="95"/>
      <c r="S73" s="72">
        <f t="shared" si="49"/>
        <v>42.2776941176471</v>
      </c>
      <c r="T73" s="72"/>
      <c r="U73" s="72">
        <f t="shared" si="50"/>
        <v>2.21426470588235</v>
      </c>
      <c r="V73" s="72"/>
      <c r="W73" s="72"/>
      <c r="X73" s="72">
        <f t="shared" si="45"/>
        <v>44.4919588235294</v>
      </c>
      <c r="Y73" s="85">
        <f t="shared" si="51"/>
        <v>11.0479577647059</v>
      </c>
      <c r="Z73" s="85"/>
      <c r="AA73" s="85">
        <f t="shared" si="52"/>
        <v>0.234680426470588</v>
      </c>
      <c r="AB73" s="85">
        <f t="shared" si="55"/>
        <v>11.2826381911765</v>
      </c>
      <c r="AC73" s="86">
        <v>7.27</v>
      </c>
      <c r="AD73" s="72">
        <f t="shared" si="46"/>
        <v>82.0247796498529</v>
      </c>
      <c r="AE73" s="72">
        <f t="shared" si="47"/>
        <v>126.516738473382</v>
      </c>
      <c r="AF73" s="72">
        <f t="shared" si="48"/>
        <v>40.693261526618</v>
      </c>
    </row>
    <row r="74" s="2" customFormat="1" spans="1:32">
      <c r="A74" s="105"/>
      <c r="B74" s="106"/>
      <c r="C74" s="22">
        <v>241010000043</v>
      </c>
      <c r="D74" s="23">
        <v>45580</v>
      </c>
      <c r="E74" s="23" t="s">
        <v>69</v>
      </c>
      <c r="F74" s="106" t="s">
        <v>70</v>
      </c>
      <c r="G74" s="106" t="s">
        <v>81</v>
      </c>
      <c r="H74" s="107">
        <v>1.9259</v>
      </c>
      <c r="I74" s="107">
        <v>967</v>
      </c>
      <c r="J74" s="109">
        <v>-7012.8</v>
      </c>
      <c r="K74" s="90">
        <v>2705720</v>
      </c>
      <c r="L74" s="108"/>
      <c r="M74" s="45">
        <f t="shared" si="56"/>
        <v>1700</v>
      </c>
      <c r="N74" s="46">
        <v>1591.6</v>
      </c>
      <c r="O74" s="21">
        <v>7.29</v>
      </c>
      <c r="P74" s="48">
        <f>SUM(N74*O74)+J74</f>
        <v>4589.964</v>
      </c>
      <c r="Q74" s="95"/>
      <c r="R74" s="95"/>
      <c r="S74" s="72">
        <f t="shared" si="49"/>
        <v>1135.60127058824</v>
      </c>
      <c r="T74" s="72"/>
      <c r="U74" s="72">
        <f t="shared" si="50"/>
        <v>59.4763235294118</v>
      </c>
      <c r="V74" s="72"/>
      <c r="W74" s="72"/>
      <c r="X74" s="72">
        <f t="shared" si="45"/>
        <v>1195.07759411765</v>
      </c>
      <c r="Y74" s="85">
        <f t="shared" si="51"/>
        <v>296.754000823529</v>
      </c>
      <c r="Z74" s="85">
        <v>37.74</v>
      </c>
      <c r="AA74" s="85">
        <f t="shared" si="52"/>
        <v>6.30364063235294</v>
      </c>
      <c r="AB74" s="85">
        <f t="shared" si="55"/>
        <v>340.797641455882</v>
      </c>
      <c r="AC74" s="86">
        <v>7.27</v>
      </c>
      <c r="AD74" s="72">
        <f t="shared" si="46"/>
        <v>2477.59885338426</v>
      </c>
      <c r="AE74" s="72">
        <f t="shared" si="47"/>
        <v>3672.67644750191</v>
      </c>
      <c r="AF74" s="72">
        <f t="shared" si="48"/>
        <v>917.28755249809</v>
      </c>
    </row>
    <row r="75" s="2" customFormat="1" spans="1:32">
      <c r="A75" s="105"/>
      <c r="B75" s="106"/>
      <c r="C75" s="22">
        <v>241010000044</v>
      </c>
      <c r="D75" s="23">
        <v>45580</v>
      </c>
      <c r="E75" s="23" t="s">
        <v>74</v>
      </c>
      <c r="F75" s="106" t="s">
        <v>74</v>
      </c>
      <c r="G75" s="106" t="s">
        <v>113</v>
      </c>
      <c r="H75" s="107">
        <v>0.294</v>
      </c>
      <c r="I75" s="107">
        <v>17</v>
      </c>
      <c r="J75" s="42">
        <v>919.8</v>
      </c>
      <c r="K75" s="86"/>
      <c r="L75" s="108"/>
      <c r="M75" s="45"/>
      <c r="N75" s="99"/>
      <c r="O75" s="21"/>
      <c r="P75" s="48">
        <f>SUBTOTAL(9,J75)</f>
        <v>919.8</v>
      </c>
      <c r="Q75" s="95"/>
      <c r="R75" s="95"/>
      <c r="S75" s="72">
        <f t="shared" si="49"/>
        <v>173.356235294118</v>
      </c>
      <c r="T75" s="72"/>
      <c r="U75" s="72">
        <f t="shared" si="50"/>
        <v>9.07941176470588</v>
      </c>
      <c r="V75" s="72"/>
      <c r="W75" s="72"/>
      <c r="X75" s="72">
        <f t="shared" si="45"/>
        <v>182.435647058824</v>
      </c>
      <c r="Y75" s="85">
        <f t="shared" si="51"/>
        <v>45.3012494117647</v>
      </c>
      <c r="Z75" s="85">
        <v>73.03</v>
      </c>
      <c r="AA75" s="85">
        <f t="shared" si="52"/>
        <v>0.962287941176471</v>
      </c>
      <c r="AB75" s="85">
        <f t="shared" si="55"/>
        <v>119.293537352941</v>
      </c>
      <c r="AC75" s="86">
        <v>7.27</v>
      </c>
      <c r="AD75" s="72">
        <f t="shared" si="46"/>
        <v>867.264016555882</v>
      </c>
      <c r="AE75" s="72">
        <f t="shared" si="47"/>
        <v>1049.69966361471</v>
      </c>
      <c r="AF75" s="72">
        <f t="shared" si="48"/>
        <v>-129.89966361471</v>
      </c>
    </row>
    <row r="76" s="2" customFormat="1" spans="1:32">
      <c r="A76" s="105"/>
      <c r="B76" s="106"/>
      <c r="C76" s="22">
        <v>241011000029</v>
      </c>
      <c r="D76" s="23">
        <v>45580</v>
      </c>
      <c r="E76" s="23" t="s">
        <v>85</v>
      </c>
      <c r="F76" s="106" t="s">
        <v>86</v>
      </c>
      <c r="G76" s="106" t="s">
        <v>75</v>
      </c>
      <c r="H76" s="107">
        <v>1.2962</v>
      </c>
      <c r="I76" s="107">
        <v>139</v>
      </c>
      <c r="J76" s="109"/>
      <c r="K76" s="90">
        <v>506590</v>
      </c>
      <c r="L76" s="108"/>
      <c r="M76" s="45">
        <f t="shared" ref="M76:M82" si="58">SUM(K76/N76)</f>
        <v>1544.99984750984</v>
      </c>
      <c r="N76" s="46">
        <v>327.89</v>
      </c>
      <c r="O76" s="21">
        <v>7.24</v>
      </c>
      <c r="P76" s="48">
        <f t="shared" si="57"/>
        <v>2373.9236</v>
      </c>
      <c r="Q76" s="95"/>
      <c r="R76" s="95"/>
      <c r="S76" s="72">
        <f t="shared" si="49"/>
        <v>764.300517647059</v>
      </c>
      <c r="T76" s="72"/>
      <c r="U76" s="72">
        <f t="shared" si="50"/>
        <v>40.0297058823529</v>
      </c>
      <c r="V76" s="72"/>
      <c r="W76" s="72"/>
      <c r="X76" s="72">
        <f t="shared" si="45"/>
        <v>804.330223529412</v>
      </c>
      <c r="Y76" s="85">
        <f t="shared" si="51"/>
        <v>199.726120705882</v>
      </c>
      <c r="Z76" s="85"/>
      <c r="AA76" s="85">
        <f t="shared" si="52"/>
        <v>4.24257697058824</v>
      </c>
      <c r="AB76" s="85">
        <f t="shared" si="55"/>
        <v>203.968697676471</v>
      </c>
      <c r="AC76" s="86">
        <v>7.27</v>
      </c>
      <c r="AD76" s="72">
        <f t="shared" si="46"/>
        <v>1482.85243210794</v>
      </c>
      <c r="AE76" s="72">
        <f t="shared" si="47"/>
        <v>2287.18265563735</v>
      </c>
      <c r="AF76" s="72">
        <f t="shared" si="48"/>
        <v>86.7409443626502</v>
      </c>
    </row>
    <row r="77" s="2" customFormat="1" spans="1:32">
      <c r="A77" s="105"/>
      <c r="B77" s="106"/>
      <c r="C77" s="22">
        <v>241011000030</v>
      </c>
      <c r="D77" s="23">
        <v>45580</v>
      </c>
      <c r="E77" s="23" t="s">
        <v>85</v>
      </c>
      <c r="F77" s="106" t="s">
        <v>86</v>
      </c>
      <c r="G77" s="106" t="s">
        <v>75</v>
      </c>
      <c r="H77" s="107">
        <v>0.4329</v>
      </c>
      <c r="I77" s="107">
        <v>53</v>
      </c>
      <c r="J77" s="109"/>
      <c r="K77" s="90">
        <v>169208</v>
      </c>
      <c r="L77" s="108"/>
      <c r="M77" s="45">
        <f t="shared" si="58"/>
        <v>1544.99634769905</v>
      </c>
      <c r="N77" s="46">
        <v>109.52</v>
      </c>
      <c r="O77" s="21">
        <v>7.24</v>
      </c>
      <c r="P77" s="48">
        <f t="shared" si="57"/>
        <v>792.9248</v>
      </c>
      <c r="Q77" s="95"/>
      <c r="R77" s="95"/>
      <c r="S77" s="72">
        <f t="shared" si="49"/>
        <v>255.258211764706</v>
      </c>
      <c r="T77" s="72"/>
      <c r="U77" s="72">
        <f t="shared" si="50"/>
        <v>13.3689705882353</v>
      </c>
      <c r="V77" s="72"/>
      <c r="W77" s="72"/>
      <c r="X77" s="72">
        <f t="shared" si="45"/>
        <v>268.627182352941</v>
      </c>
      <c r="Y77" s="85">
        <f t="shared" si="51"/>
        <v>66.7037784705882</v>
      </c>
      <c r="Z77" s="85"/>
      <c r="AA77" s="85">
        <f t="shared" si="52"/>
        <v>1.41691989705882</v>
      </c>
      <c r="AB77" s="85">
        <f t="shared" si="55"/>
        <v>68.1206983676471</v>
      </c>
      <c r="AC77" s="86">
        <v>7.27</v>
      </c>
      <c r="AD77" s="72">
        <f t="shared" si="46"/>
        <v>495.237477132794</v>
      </c>
      <c r="AE77" s="72">
        <f t="shared" si="47"/>
        <v>763.864659485735</v>
      </c>
      <c r="AF77" s="72">
        <f t="shared" si="48"/>
        <v>29.060140514265</v>
      </c>
    </row>
    <row r="78" s="2" customFormat="1" spans="1:32">
      <c r="A78" s="105"/>
      <c r="B78" s="106"/>
      <c r="C78" s="22">
        <v>241011000031</v>
      </c>
      <c r="D78" s="23">
        <v>45580</v>
      </c>
      <c r="E78" s="23" t="s">
        <v>85</v>
      </c>
      <c r="F78" s="106" t="s">
        <v>86</v>
      </c>
      <c r="G78" s="106" t="s">
        <v>75</v>
      </c>
      <c r="H78" s="107">
        <v>0.539</v>
      </c>
      <c r="I78" s="107">
        <v>103</v>
      </c>
      <c r="J78" s="109"/>
      <c r="K78" s="90">
        <v>210691</v>
      </c>
      <c r="L78" s="108"/>
      <c r="M78" s="45">
        <f t="shared" si="58"/>
        <v>1544.99523355577</v>
      </c>
      <c r="N78" s="46">
        <v>136.37</v>
      </c>
      <c r="O78" s="21">
        <v>7.24</v>
      </c>
      <c r="P78" s="48">
        <f t="shared" si="57"/>
        <v>987.3188</v>
      </c>
      <c r="Q78" s="95"/>
      <c r="R78" s="95"/>
      <c r="S78" s="72">
        <f t="shared" si="49"/>
        <v>317.819764705882</v>
      </c>
      <c r="T78" s="72"/>
      <c r="U78" s="72">
        <f t="shared" si="50"/>
        <v>16.6455882352941</v>
      </c>
      <c r="V78" s="72"/>
      <c r="W78" s="72"/>
      <c r="X78" s="72">
        <f t="shared" si="45"/>
        <v>334.465352941176</v>
      </c>
      <c r="Y78" s="85">
        <f t="shared" si="51"/>
        <v>83.0522905882353</v>
      </c>
      <c r="Z78" s="85"/>
      <c r="AA78" s="85">
        <f t="shared" si="52"/>
        <v>1.76419455882353</v>
      </c>
      <c r="AB78" s="85">
        <f t="shared" si="55"/>
        <v>84.8164851470588</v>
      </c>
      <c r="AC78" s="86">
        <v>7.27</v>
      </c>
      <c r="AD78" s="72">
        <f t="shared" si="46"/>
        <v>616.615847019118</v>
      </c>
      <c r="AE78" s="72">
        <f t="shared" si="47"/>
        <v>951.081199960294</v>
      </c>
      <c r="AF78" s="72">
        <f t="shared" si="48"/>
        <v>36.237600039706</v>
      </c>
    </row>
    <row r="79" s="2" customFormat="1" spans="1:32">
      <c r="A79" s="105"/>
      <c r="B79" s="106"/>
      <c r="C79" s="22">
        <v>241011000032</v>
      </c>
      <c r="D79" s="23">
        <v>45580</v>
      </c>
      <c r="E79" s="23" t="s">
        <v>85</v>
      </c>
      <c r="F79" s="106" t="s">
        <v>86</v>
      </c>
      <c r="G79" s="106" t="s">
        <v>75</v>
      </c>
      <c r="H79" s="107">
        <v>6.1972</v>
      </c>
      <c r="I79" s="107">
        <v>617</v>
      </c>
      <c r="J79" s="109"/>
      <c r="K79" s="90">
        <v>2557147</v>
      </c>
      <c r="L79" s="108"/>
      <c r="M79" s="45">
        <f t="shared" si="58"/>
        <v>1630.99997448719</v>
      </c>
      <c r="N79" s="46">
        <v>1567.84</v>
      </c>
      <c r="O79" s="21">
        <v>7.35</v>
      </c>
      <c r="P79" s="48">
        <f t="shared" si="57"/>
        <v>11523.624</v>
      </c>
      <c r="Q79" s="95"/>
      <c r="R79" s="95"/>
      <c r="S79" s="72">
        <f t="shared" si="49"/>
        <v>3654.16075294118</v>
      </c>
      <c r="T79" s="72"/>
      <c r="U79" s="72">
        <f t="shared" si="50"/>
        <v>191.384117647059</v>
      </c>
      <c r="V79" s="72"/>
      <c r="W79" s="72"/>
      <c r="X79" s="72">
        <f t="shared" si="45"/>
        <v>3845.54487058823</v>
      </c>
      <c r="Y79" s="85">
        <f t="shared" si="51"/>
        <v>954.901030117647</v>
      </c>
      <c r="Z79" s="85"/>
      <c r="AA79" s="85">
        <f t="shared" si="52"/>
        <v>20.2839824117647</v>
      </c>
      <c r="AB79" s="85">
        <f t="shared" si="55"/>
        <v>975.185012529412</v>
      </c>
      <c r="AC79" s="86">
        <v>7.27</v>
      </c>
      <c r="AD79" s="72">
        <f t="shared" si="46"/>
        <v>7089.59504108882</v>
      </c>
      <c r="AE79" s="72">
        <f t="shared" si="47"/>
        <v>10935.1399116771</v>
      </c>
      <c r="AF79" s="72">
        <f t="shared" si="48"/>
        <v>588.484088322897</v>
      </c>
    </row>
    <row r="80" s="2" customFormat="1" spans="1:32">
      <c r="A80" s="105"/>
      <c r="B80" s="106"/>
      <c r="C80" s="22">
        <v>241011000033</v>
      </c>
      <c r="D80" s="23">
        <v>45580</v>
      </c>
      <c r="E80" s="23" t="s">
        <v>85</v>
      </c>
      <c r="F80" s="106" t="s">
        <v>86</v>
      </c>
      <c r="G80" s="106" t="s">
        <v>75</v>
      </c>
      <c r="H80" s="107">
        <v>0.2995</v>
      </c>
      <c r="I80" s="107">
        <v>33</v>
      </c>
      <c r="J80" s="109"/>
      <c r="K80" s="90">
        <v>117080</v>
      </c>
      <c r="L80" s="108"/>
      <c r="M80" s="45">
        <f t="shared" si="58"/>
        <v>1544.9986803906</v>
      </c>
      <c r="N80" s="46">
        <v>75.78</v>
      </c>
      <c r="O80" s="21">
        <v>7.24</v>
      </c>
      <c r="P80" s="48">
        <f t="shared" si="57"/>
        <v>548.6472</v>
      </c>
      <c r="Q80" s="95"/>
      <c r="R80" s="95"/>
      <c r="S80" s="72">
        <f t="shared" si="49"/>
        <v>176.599294117647</v>
      </c>
      <c r="T80" s="72"/>
      <c r="U80" s="72">
        <f t="shared" si="50"/>
        <v>9.24926470588235</v>
      </c>
      <c r="V80" s="72"/>
      <c r="W80" s="72"/>
      <c r="X80" s="72">
        <f t="shared" si="45"/>
        <v>185.848558823529</v>
      </c>
      <c r="Y80" s="85">
        <f t="shared" si="51"/>
        <v>46.1487217647059</v>
      </c>
      <c r="Z80" s="85"/>
      <c r="AA80" s="85">
        <f t="shared" si="52"/>
        <v>0.980289926470588</v>
      </c>
      <c r="AB80" s="85">
        <f t="shared" si="55"/>
        <v>47.1290116911765</v>
      </c>
      <c r="AC80" s="86">
        <v>7.27</v>
      </c>
      <c r="AD80" s="72">
        <f t="shared" si="46"/>
        <v>342.627914994853</v>
      </c>
      <c r="AE80" s="72">
        <f t="shared" si="47"/>
        <v>528.476473818382</v>
      </c>
      <c r="AF80" s="72">
        <f t="shared" si="48"/>
        <v>20.170726181618</v>
      </c>
    </row>
    <row r="81" s="2" customFormat="1" spans="1:32">
      <c r="A81" s="105"/>
      <c r="B81" s="106"/>
      <c r="C81" s="22">
        <v>241011000034</v>
      </c>
      <c r="D81" s="23">
        <v>45580</v>
      </c>
      <c r="E81" s="23" t="s">
        <v>85</v>
      </c>
      <c r="F81" s="106" t="s">
        <v>86</v>
      </c>
      <c r="G81" s="106" t="s">
        <v>75</v>
      </c>
      <c r="H81" s="107">
        <v>0.1865</v>
      </c>
      <c r="I81" s="107">
        <v>30</v>
      </c>
      <c r="J81" s="109"/>
      <c r="K81" s="90">
        <v>72893</v>
      </c>
      <c r="L81" s="108"/>
      <c r="M81" s="45">
        <f t="shared" si="58"/>
        <v>1544.99788045782</v>
      </c>
      <c r="N81" s="46">
        <v>47.18</v>
      </c>
      <c r="O81" s="21">
        <v>7.24</v>
      </c>
      <c r="P81" s="48">
        <f t="shared" si="57"/>
        <v>341.5832</v>
      </c>
      <c r="Q81" s="95"/>
      <c r="R81" s="95"/>
      <c r="S81" s="72">
        <f t="shared" si="49"/>
        <v>109.969176470588</v>
      </c>
      <c r="T81" s="72"/>
      <c r="U81" s="72">
        <f t="shared" si="50"/>
        <v>5.75955882352941</v>
      </c>
      <c r="V81" s="72"/>
      <c r="W81" s="72"/>
      <c r="X81" s="72">
        <f t="shared" si="45"/>
        <v>115.728735294118</v>
      </c>
      <c r="Y81" s="85">
        <f t="shared" si="51"/>
        <v>28.7370170588235</v>
      </c>
      <c r="Z81" s="85"/>
      <c r="AA81" s="85">
        <f t="shared" si="52"/>
        <v>0.610430955882353</v>
      </c>
      <c r="AB81" s="85">
        <f t="shared" si="55"/>
        <v>29.3474480147059</v>
      </c>
      <c r="AC81" s="86">
        <v>7.27</v>
      </c>
      <c r="AD81" s="72">
        <f t="shared" si="46"/>
        <v>213.355947066912</v>
      </c>
      <c r="AE81" s="72">
        <f t="shared" si="47"/>
        <v>329.084682361029</v>
      </c>
      <c r="AF81" s="72">
        <f t="shared" si="48"/>
        <v>12.498517638971</v>
      </c>
    </row>
    <row r="82" s="2" customFormat="1" spans="1:32">
      <c r="A82" s="105"/>
      <c r="B82" s="106"/>
      <c r="C82" s="22">
        <v>241011000035</v>
      </c>
      <c r="D82" s="23">
        <v>45580</v>
      </c>
      <c r="E82" s="23" t="s">
        <v>85</v>
      </c>
      <c r="F82" s="106" t="s">
        <v>86</v>
      </c>
      <c r="G82" s="106" t="s">
        <v>75</v>
      </c>
      <c r="H82" s="107">
        <v>0.1821</v>
      </c>
      <c r="I82" s="107">
        <v>17</v>
      </c>
      <c r="J82" s="109"/>
      <c r="K82" s="90">
        <v>72792.6</v>
      </c>
      <c r="L82" s="108"/>
      <c r="M82" s="45">
        <f t="shared" si="58"/>
        <v>1580.04341219883</v>
      </c>
      <c r="N82" s="46">
        <v>46.07</v>
      </c>
      <c r="O82" s="21">
        <v>7.24</v>
      </c>
      <c r="P82" s="48">
        <f t="shared" si="57"/>
        <v>333.5468</v>
      </c>
      <c r="Q82" s="95"/>
      <c r="R82" s="95"/>
      <c r="S82" s="72">
        <f t="shared" si="49"/>
        <v>107.374729411765</v>
      </c>
      <c r="T82" s="72"/>
      <c r="U82" s="72">
        <f t="shared" si="50"/>
        <v>5.62367647058824</v>
      </c>
      <c r="V82" s="72"/>
      <c r="W82" s="72"/>
      <c r="X82" s="72">
        <f t="shared" si="45"/>
        <v>112.998405882353</v>
      </c>
      <c r="Y82" s="85">
        <f t="shared" si="51"/>
        <v>28.0590391764706</v>
      </c>
      <c r="Z82" s="85"/>
      <c r="AA82" s="85">
        <f t="shared" si="52"/>
        <v>0.596029367647059</v>
      </c>
      <c r="AB82" s="85">
        <f t="shared" si="55"/>
        <v>28.6550685441177</v>
      </c>
      <c r="AC82" s="86">
        <v>7.27</v>
      </c>
      <c r="AD82" s="72">
        <f t="shared" si="46"/>
        <v>208.322348315735</v>
      </c>
      <c r="AE82" s="72">
        <f t="shared" si="47"/>
        <v>321.320754198088</v>
      </c>
      <c r="AF82" s="72">
        <f t="shared" si="48"/>
        <v>12.226045801912</v>
      </c>
    </row>
    <row r="83" s="2" customFormat="1" spans="1:32">
      <c r="A83" s="105"/>
      <c r="B83" s="106"/>
      <c r="C83" s="22">
        <v>241015000033</v>
      </c>
      <c r="D83" s="23">
        <v>45580</v>
      </c>
      <c r="E83" s="23" t="s">
        <v>59</v>
      </c>
      <c r="F83" s="106" t="s">
        <v>60</v>
      </c>
      <c r="G83" s="106" t="s">
        <v>114</v>
      </c>
      <c r="H83" s="107">
        <v>0.138</v>
      </c>
      <c r="I83" s="107">
        <v>26</v>
      </c>
      <c r="J83" s="42">
        <v>356</v>
      </c>
      <c r="K83" s="86"/>
      <c r="L83" s="108"/>
      <c r="M83" s="45"/>
      <c r="N83" s="99"/>
      <c r="O83" s="21"/>
      <c r="P83" s="48">
        <f t="shared" ref="P83:P87" si="59">SUBTOTAL(9,J83)</f>
        <v>356</v>
      </c>
      <c r="Q83" s="95"/>
      <c r="R83" s="95"/>
      <c r="S83" s="72">
        <f t="shared" si="49"/>
        <v>81.3712941176471</v>
      </c>
      <c r="T83" s="72"/>
      <c r="U83" s="72">
        <f t="shared" si="50"/>
        <v>4.26176470588235</v>
      </c>
      <c r="V83" s="72"/>
      <c r="W83" s="72"/>
      <c r="X83" s="72">
        <f t="shared" si="45"/>
        <v>85.6330588235294</v>
      </c>
      <c r="Y83" s="85">
        <f t="shared" si="51"/>
        <v>21.2638517647059</v>
      </c>
      <c r="Z83" s="85"/>
      <c r="AA83" s="85">
        <f t="shared" si="52"/>
        <v>0.451686176470588</v>
      </c>
      <c r="AB83" s="85">
        <f t="shared" si="55"/>
        <v>21.7155379411765</v>
      </c>
      <c r="AC83" s="86">
        <v>7.27</v>
      </c>
      <c r="AD83" s="72">
        <f t="shared" si="46"/>
        <v>157.871960832353</v>
      </c>
      <c r="AE83" s="72">
        <f t="shared" si="47"/>
        <v>243.505019655882</v>
      </c>
      <c r="AF83" s="72">
        <f t="shared" si="48"/>
        <v>112.494980344118</v>
      </c>
    </row>
    <row r="84" s="2" customFormat="1" spans="1:32">
      <c r="A84" s="105"/>
      <c r="B84" s="106"/>
      <c r="C84" s="22">
        <v>241005000007</v>
      </c>
      <c r="D84" s="23">
        <v>45580</v>
      </c>
      <c r="E84" s="23" t="s">
        <v>63</v>
      </c>
      <c r="F84" s="106" t="s">
        <v>64</v>
      </c>
      <c r="G84" s="106" t="s">
        <v>66</v>
      </c>
      <c r="H84" s="107">
        <v>1.7993</v>
      </c>
      <c r="I84" s="107">
        <v>702.27</v>
      </c>
      <c r="J84" s="109"/>
      <c r="K84" s="90">
        <v>830610</v>
      </c>
      <c r="L84" s="108"/>
      <c r="M84" s="45">
        <f t="shared" ref="M84:M88" si="60">SUM(K84/N84)</f>
        <v>1678</v>
      </c>
      <c r="N84" s="46">
        <v>495</v>
      </c>
      <c r="O84" s="21">
        <v>7.27</v>
      </c>
      <c r="P84" s="48">
        <f t="shared" ref="P84:P88" si="61">SUM(N84*O84)</f>
        <v>3598.65</v>
      </c>
      <c r="Q84" s="95"/>
      <c r="R84" s="95"/>
      <c r="S84" s="72">
        <f t="shared" si="49"/>
        <v>1060.95195294118</v>
      </c>
      <c r="T84" s="72"/>
      <c r="U84" s="72">
        <f t="shared" si="50"/>
        <v>55.5666176470588</v>
      </c>
      <c r="V84" s="72"/>
      <c r="W84" s="72"/>
      <c r="X84" s="72">
        <f t="shared" si="45"/>
        <v>1116.51857058824</v>
      </c>
      <c r="Y84" s="85">
        <f t="shared" si="51"/>
        <v>277.246728117647</v>
      </c>
      <c r="Z84" s="85"/>
      <c r="AA84" s="85">
        <f t="shared" si="52"/>
        <v>5.88926766176471</v>
      </c>
      <c r="AB84" s="85">
        <f t="shared" si="55"/>
        <v>283.135995779412</v>
      </c>
      <c r="AC84" s="86">
        <v>7.27</v>
      </c>
      <c r="AD84" s="72">
        <f t="shared" si="46"/>
        <v>2058.39868931632</v>
      </c>
      <c r="AE84" s="72">
        <f t="shared" si="47"/>
        <v>3174.91725990456</v>
      </c>
      <c r="AF84" s="72">
        <f t="shared" si="48"/>
        <v>423.73274009544</v>
      </c>
    </row>
    <row r="85" s="2" customFormat="1" spans="1:32">
      <c r="A85" s="105"/>
      <c r="B85" s="106"/>
      <c r="C85" s="22">
        <v>241012000013</v>
      </c>
      <c r="D85" s="23">
        <v>45580</v>
      </c>
      <c r="E85" s="23" t="s">
        <v>63</v>
      </c>
      <c r="F85" s="106" t="s">
        <v>64</v>
      </c>
      <c r="G85" s="106" t="s">
        <v>72</v>
      </c>
      <c r="H85" s="107">
        <v>4.6667</v>
      </c>
      <c r="I85" s="107">
        <v>1862</v>
      </c>
      <c r="J85" s="109"/>
      <c r="K85" s="90">
        <v>2104240.8</v>
      </c>
      <c r="L85" s="108"/>
      <c r="M85" s="45">
        <f t="shared" si="60"/>
        <v>1639.65989366183</v>
      </c>
      <c r="N85" s="46">
        <v>1283.3398</v>
      </c>
      <c r="O85" s="21">
        <v>7.29</v>
      </c>
      <c r="P85" s="48">
        <f t="shared" si="61"/>
        <v>9355.547142</v>
      </c>
      <c r="Q85" s="95"/>
      <c r="R85" s="95"/>
      <c r="S85" s="72">
        <f t="shared" si="49"/>
        <v>2751.70592941176</v>
      </c>
      <c r="T85" s="72"/>
      <c r="U85" s="72">
        <f t="shared" si="50"/>
        <v>144.118676470588</v>
      </c>
      <c r="V85" s="72"/>
      <c r="W85" s="72"/>
      <c r="X85" s="72">
        <f t="shared" si="45"/>
        <v>2895.82460588235</v>
      </c>
      <c r="Y85" s="85">
        <f t="shared" si="51"/>
        <v>719.072587176471</v>
      </c>
      <c r="Z85" s="85"/>
      <c r="AA85" s="85">
        <f t="shared" si="52"/>
        <v>15.2745208676471</v>
      </c>
      <c r="AB85" s="85">
        <f t="shared" si="55"/>
        <v>734.347108044118</v>
      </c>
      <c r="AC85" s="86">
        <v>7.27</v>
      </c>
      <c r="AD85" s="72">
        <f t="shared" si="46"/>
        <v>5338.70347548074</v>
      </c>
      <c r="AE85" s="72">
        <f t="shared" si="47"/>
        <v>8234.52808136309</v>
      </c>
      <c r="AF85" s="72">
        <f t="shared" si="48"/>
        <v>1121.01906063691</v>
      </c>
    </row>
    <row r="86" s="2" customFormat="1" spans="1:32">
      <c r="A86" s="105"/>
      <c r="B86" s="106"/>
      <c r="C86" s="22">
        <v>241007000001</v>
      </c>
      <c r="D86" s="23">
        <v>45580</v>
      </c>
      <c r="E86" s="23" t="s">
        <v>82</v>
      </c>
      <c r="F86" s="106" t="s">
        <v>83</v>
      </c>
      <c r="G86" s="106" t="s">
        <v>96</v>
      </c>
      <c r="H86" s="107">
        <v>5.4</v>
      </c>
      <c r="I86" s="107">
        <v>3863.5</v>
      </c>
      <c r="J86" s="42">
        <v>12614.4</v>
      </c>
      <c r="K86" s="86"/>
      <c r="L86" s="108"/>
      <c r="M86" s="45"/>
      <c r="N86" s="99"/>
      <c r="O86" s="21"/>
      <c r="P86" s="48">
        <f t="shared" si="59"/>
        <v>12614.4</v>
      </c>
      <c r="Q86" s="95"/>
      <c r="R86" s="95"/>
      <c r="S86" s="72">
        <f t="shared" si="49"/>
        <v>3184.09411764706</v>
      </c>
      <c r="T86" s="72"/>
      <c r="U86" s="72">
        <f t="shared" si="50"/>
        <v>166.764705882353</v>
      </c>
      <c r="V86" s="72"/>
      <c r="W86" s="72"/>
      <c r="X86" s="72">
        <f t="shared" si="45"/>
        <v>3350.85882352941</v>
      </c>
      <c r="Y86" s="85">
        <f t="shared" si="51"/>
        <v>832.063764705882</v>
      </c>
      <c r="Z86" s="85"/>
      <c r="AA86" s="85">
        <f t="shared" si="52"/>
        <v>17.6746764705882</v>
      </c>
      <c r="AB86" s="85">
        <f t="shared" si="55"/>
        <v>849.738441176471</v>
      </c>
      <c r="AC86" s="86">
        <v>7.27</v>
      </c>
      <c r="AD86" s="72">
        <f t="shared" si="46"/>
        <v>6177.59846735294</v>
      </c>
      <c r="AE86" s="72">
        <f t="shared" si="47"/>
        <v>9528.45729088235</v>
      </c>
      <c r="AF86" s="72">
        <f t="shared" si="48"/>
        <v>3085.94270911765</v>
      </c>
    </row>
    <row r="87" s="2" customFormat="1" spans="1:32">
      <c r="A87" s="105"/>
      <c r="B87" s="106"/>
      <c r="C87" s="22">
        <v>241014000047</v>
      </c>
      <c r="D87" s="23">
        <v>45580</v>
      </c>
      <c r="E87" s="23" t="s">
        <v>82</v>
      </c>
      <c r="F87" s="106" t="s">
        <v>83</v>
      </c>
      <c r="G87" s="106" t="s">
        <v>98</v>
      </c>
      <c r="H87" s="107">
        <v>1.7401</v>
      </c>
      <c r="I87" s="107">
        <v>1028</v>
      </c>
      <c r="J87" s="42">
        <v>3551.45</v>
      </c>
      <c r="K87" s="86"/>
      <c r="L87" s="108"/>
      <c r="M87" s="45"/>
      <c r="N87" s="99"/>
      <c r="O87" s="21"/>
      <c r="P87" s="48">
        <f t="shared" si="59"/>
        <v>3551.45</v>
      </c>
      <c r="Q87" s="95"/>
      <c r="R87" s="95"/>
      <c r="S87" s="72">
        <f t="shared" si="49"/>
        <v>1026.04484705882</v>
      </c>
      <c r="T87" s="72"/>
      <c r="U87" s="72">
        <f t="shared" si="50"/>
        <v>53.7383823529412</v>
      </c>
      <c r="V87" s="104">
        <v>150</v>
      </c>
      <c r="W87" s="72"/>
      <c r="X87" s="72">
        <f t="shared" si="45"/>
        <v>1229.78322941176</v>
      </c>
      <c r="Y87" s="85">
        <f t="shared" si="51"/>
        <v>268.124843882353</v>
      </c>
      <c r="Z87" s="85"/>
      <c r="AA87" s="85">
        <f t="shared" si="52"/>
        <v>5.69550083823529</v>
      </c>
      <c r="AB87" s="85">
        <f t="shared" si="55"/>
        <v>273.820344720588</v>
      </c>
      <c r="AC87" s="86">
        <v>7.27</v>
      </c>
      <c r="AD87" s="72">
        <f t="shared" si="46"/>
        <v>1990.67390611868</v>
      </c>
      <c r="AE87" s="72">
        <f t="shared" si="47"/>
        <v>3220.45713553044</v>
      </c>
      <c r="AF87" s="72">
        <f t="shared" si="48"/>
        <v>330.99286446956</v>
      </c>
    </row>
    <row r="88" s="2" customFormat="1" spans="1:32">
      <c r="A88" s="105"/>
      <c r="B88" s="106"/>
      <c r="C88" s="22">
        <v>241015000035</v>
      </c>
      <c r="D88" s="23">
        <v>45580</v>
      </c>
      <c r="E88" s="23" t="s">
        <v>85</v>
      </c>
      <c r="F88" s="106" t="s">
        <v>86</v>
      </c>
      <c r="G88" s="106" t="s">
        <v>115</v>
      </c>
      <c r="H88" s="107">
        <v>0.6634</v>
      </c>
      <c r="I88" s="107">
        <v>185</v>
      </c>
      <c r="J88" s="109"/>
      <c r="K88" s="86"/>
      <c r="L88" s="108"/>
      <c r="M88" s="45">
        <f t="shared" si="60"/>
        <v>0</v>
      </c>
      <c r="N88" s="99">
        <v>592.5</v>
      </c>
      <c r="O88" s="21">
        <v>7.11</v>
      </c>
      <c r="P88" s="48">
        <f t="shared" si="61"/>
        <v>4212.675</v>
      </c>
      <c r="Q88" s="96"/>
      <c r="R88" s="96"/>
      <c r="S88" s="72">
        <f t="shared" si="49"/>
        <v>391.171858823529</v>
      </c>
      <c r="T88" s="72"/>
      <c r="U88" s="72">
        <f t="shared" si="50"/>
        <v>20.4873529411765</v>
      </c>
      <c r="V88" s="72"/>
      <c r="W88" s="72"/>
      <c r="X88" s="72">
        <f t="shared" ref="X88:X109" si="62">SUM(S88:W88)</f>
        <v>411.659211764706</v>
      </c>
      <c r="Y88" s="85">
        <f t="shared" si="51"/>
        <v>102.220574352941</v>
      </c>
      <c r="Z88" s="85"/>
      <c r="AA88" s="85">
        <f t="shared" si="52"/>
        <v>2.17136673529412</v>
      </c>
      <c r="AB88" s="85">
        <f t="shared" si="55"/>
        <v>104.391941088235</v>
      </c>
      <c r="AC88" s="86">
        <v>7.27</v>
      </c>
      <c r="AD88" s="72">
        <f t="shared" ref="AD88:AD109" si="63">SUM(AB88*AC88)</f>
        <v>758.929411711471</v>
      </c>
      <c r="AE88" s="72">
        <f t="shared" si="47"/>
        <v>1170.58862347618</v>
      </c>
      <c r="AF88" s="72">
        <f t="shared" ref="AF88:AF109" si="64">SUM(P88-AE88)</f>
        <v>3042.08637652382</v>
      </c>
    </row>
    <row r="89" s="2" customFormat="1" spans="1:32">
      <c r="A89" s="105" t="s">
        <v>14</v>
      </c>
      <c r="B89" s="106" t="s">
        <v>15</v>
      </c>
      <c r="C89" s="22">
        <v>240926000039</v>
      </c>
      <c r="D89" s="23">
        <v>45583</v>
      </c>
      <c r="E89" s="23" t="s">
        <v>74</v>
      </c>
      <c r="F89" s="106" t="s">
        <v>74</v>
      </c>
      <c r="G89" s="106" t="s">
        <v>77</v>
      </c>
      <c r="H89" s="107">
        <v>0.3</v>
      </c>
      <c r="I89" s="107">
        <v>65</v>
      </c>
      <c r="J89" s="42">
        <v>772</v>
      </c>
      <c r="K89" s="86"/>
      <c r="L89" s="108"/>
      <c r="M89" s="45"/>
      <c r="N89" s="99"/>
      <c r="O89" s="21"/>
      <c r="P89" s="48">
        <f t="shared" ref="P89:P93" si="65">SUBTOTAL(9,J89)</f>
        <v>772</v>
      </c>
      <c r="Q89" s="93">
        <f>SUM(P89:P109)</f>
        <v>135484.8624727</v>
      </c>
      <c r="R89" s="94" t="s">
        <v>116</v>
      </c>
      <c r="S89" s="72">
        <f>SUM(41706/68)*H89</f>
        <v>183.997058823529</v>
      </c>
      <c r="T89" s="72">
        <f>SUM(99.72/68)*H89</f>
        <v>0.439941176470588</v>
      </c>
      <c r="U89" s="72">
        <f>SUM(1500/68)*H89</f>
        <v>6.61764705882353</v>
      </c>
      <c r="V89" s="72"/>
      <c r="W89" s="72"/>
      <c r="X89" s="72">
        <f t="shared" si="62"/>
        <v>191.054647058824</v>
      </c>
      <c r="Y89" s="85">
        <f>SUM(10523.89/68)*H89</f>
        <v>46.4289264705882</v>
      </c>
      <c r="Z89" s="97">
        <v>14.39</v>
      </c>
      <c r="AA89" s="85"/>
      <c r="AB89" s="85">
        <f t="shared" si="55"/>
        <v>60.8189264705882</v>
      </c>
      <c r="AC89" s="86">
        <v>7.28</v>
      </c>
      <c r="AD89" s="72">
        <f t="shared" si="63"/>
        <v>442.761784705882</v>
      </c>
      <c r="AE89" s="72">
        <f t="shared" ref="AE89:AE109" si="66">SUM(X89+AD89)</f>
        <v>633.816431764706</v>
      </c>
      <c r="AF89" s="72">
        <f t="shared" si="64"/>
        <v>138.183568235294</v>
      </c>
    </row>
    <row r="90" s="2" customFormat="1" spans="1:32">
      <c r="A90" s="105"/>
      <c r="B90" s="106"/>
      <c r="C90" s="22">
        <v>240926000032</v>
      </c>
      <c r="D90" s="23">
        <v>45580</v>
      </c>
      <c r="E90" s="23" t="s">
        <v>63</v>
      </c>
      <c r="F90" s="106" t="s">
        <v>64</v>
      </c>
      <c r="G90" s="106" t="s">
        <v>106</v>
      </c>
      <c r="H90" s="107">
        <v>7.5159</v>
      </c>
      <c r="I90" s="107">
        <v>6108</v>
      </c>
      <c r="J90" s="42">
        <v>15370</v>
      </c>
      <c r="K90" s="86"/>
      <c r="L90" s="108"/>
      <c r="M90" s="45"/>
      <c r="N90" s="99"/>
      <c r="O90" s="21"/>
      <c r="P90" s="48">
        <f t="shared" si="65"/>
        <v>15370</v>
      </c>
      <c r="Q90" s="95"/>
      <c r="R90" s="95"/>
      <c r="S90" s="72">
        <f t="shared" ref="S90:S109" si="67">SUM(41706/68)*H90</f>
        <v>4609.67831470588</v>
      </c>
      <c r="T90" s="72">
        <f t="shared" ref="T90:T109" si="68">SUM(99.72/68)*H90</f>
        <v>11.0218462941176</v>
      </c>
      <c r="U90" s="72">
        <f t="shared" ref="U90:U109" si="69">SUM(1500/68)*H90</f>
        <v>165.791911764706</v>
      </c>
      <c r="V90" s="72"/>
      <c r="W90" s="72"/>
      <c r="X90" s="72">
        <f t="shared" si="62"/>
        <v>4786.49207276471</v>
      </c>
      <c r="Y90" s="85">
        <f t="shared" ref="Y90:Y110" si="70">SUM(10523.89/68)*H90</f>
        <v>1163.18389486765</v>
      </c>
      <c r="Z90" s="85"/>
      <c r="AA90" s="85"/>
      <c r="AB90" s="85">
        <f t="shared" si="55"/>
        <v>1163.18389486765</v>
      </c>
      <c r="AC90" s="86">
        <v>7.28</v>
      </c>
      <c r="AD90" s="72">
        <f t="shared" si="63"/>
        <v>8467.97875463647</v>
      </c>
      <c r="AE90" s="72">
        <f t="shared" si="66"/>
        <v>13254.4708274012</v>
      </c>
      <c r="AF90" s="72">
        <f t="shared" si="64"/>
        <v>2115.5291725988</v>
      </c>
    </row>
    <row r="91" s="2" customFormat="1" spans="1:32">
      <c r="A91" s="105"/>
      <c r="B91" s="106"/>
      <c r="C91" s="22">
        <v>241008000045</v>
      </c>
      <c r="D91" s="23">
        <v>45580</v>
      </c>
      <c r="E91" s="23" t="s">
        <v>63</v>
      </c>
      <c r="F91" s="106" t="s">
        <v>64</v>
      </c>
      <c r="G91" s="106" t="s">
        <v>117</v>
      </c>
      <c r="H91" s="107">
        <v>1.3298</v>
      </c>
      <c r="I91" s="107">
        <v>142</v>
      </c>
      <c r="J91" s="42">
        <v>2841</v>
      </c>
      <c r="K91" s="86"/>
      <c r="L91" s="108"/>
      <c r="M91" s="45"/>
      <c r="N91" s="99"/>
      <c r="O91" s="21"/>
      <c r="P91" s="48">
        <f t="shared" si="65"/>
        <v>2841</v>
      </c>
      <c r="Q91" s="95"/>
      <c r="R91" s="95"/>
      <c r="S91" s="72">
        <f t="shared" si="67"/>
        <v>815.597629411765</v>
      </c>
      <c r="T91" s="72">
        <f t="shared" si="68"/>
        <v>1.95011258823529</v>
      </c>
      <c r="U91" s="72">
        <f t="shared" si="69"/>
        <v>29.3338235294118</v>
      </c>
      <c r="V91" s="72"/>
      <c r="W91" s="72"/>
      <c r="X91" s="72">
        <f t="shared" si="62"/>
        <v>846.881565529412</v>
      </c>
      <c r="Y91" s="85">
        <f t="shared" si="70"/>
        <v>205.803954735294</v>
      </c>
      <c r="Z91" s="85"/>
      <c r="AA91" s="85"/>
      <c r="AB91" s="85">
        <f t="shared" si="55"/>
        <v>205.803954735294</v>
      </c>
      <c r="AC91" s="86">
        <v>7.28</v>
      </c>
      <c r="AD91" s="72">
        <f t="shared" si="63"/>
        <v>1498.25279047294</v>
      </c>
      <c r="AE91" s="72">
        <f t="shared" si="66"/>
        <v>2345.13435600235</v>
      </c>
      <c r="AF91" s="72">
        <f t="shared" si="64"/>
        <v>495.86564399765</v>
      </c>
    </row>
    <row r="92" s="2" customFormat="1" spans="1:32">
      <c r="A92" s="105"/>
      <c r="B92" s="106"/>
      <c r="C92" s="22">
        <v>240927000028</v>
      </c>
      <c r="D92" s="23">
        <v>45583</v>
      </c>
      <c r="E92" s="23" t="s">
        <v>59</v>
      </c>
      <c r="F92" s="106" t="s">
        <v>60</v>
      </c>
      <c r="G92" s="106" t="s">
        <v>61</v>
      </c>
      <c r="H92" s="107">
        <v>1.7904</v>
      </c>
      <c r="I92" s="107">
        <v>1841</v>
      </c>
      <c r="J92" s="42">
        <v>5660.38</v>
      </c>
      <c r="K92" s="86"/>
      <c r="L92" s="108"/>
      <c r="M92" s="45"/>
      <c r="N92" s="99"/>
      <c r="O92" s="21"/>
      <c r="P92" s="48">
        <f t="shared" si="65"/>
        <v>5660.38</v>
      </c>
      <c r="Q92" s="95"/>
      <c r="R92" s="95"/>
      <c r="S92" s="72">
        <f t="shared" si="67"/>
        <v>1098.09444705882</v>
      </c>
      <c r="T92" s="72">
        <f t="shared" si="68"/>
        <v>2.62556894117647</v>
      </c>
      <c r="U92" s="72">
        <f t="shared" si="69"/>
        <v>39.4941176470588</v>
      </c>
      <c r="V92" s="104">
        <v>450</v>
      </c>
      <c r="W92" s="72"/>
      <c r="X92" s="72">
        <f t="shared" si="62"/>
        <v>1590.21413364706</v>
      </c>
      <c r="Y92" s="85">
        <f t="shared" si="70"/>
        <v>277.087833176471</v>
      </c>
      <c r="Z92" s="97">
        <v>68</v>
      </c>
      <c r="AA92" s="85"/>
      <c r="AB92" s="85">
        <f t="shared" si="55"/>
        <v>345.087833176471</v>
      </c>
      <c r="AC92" s="86">
        <v>7.28</v>
      </c>
      <c r="AD92" s="72">
        <f t="shared" si="63"/>
        <v>2512.23942552471</v>
      </c>
      <c r="AE92" s="72">
        <f t="shared" si="66"/>
        <v>4102.45355917176</v>
      </c>
      <c r="AF92" s="72">
        <f t="shared" si="64"/>
        <v>1557.92644082824</v>
      </c>
    </row>
    <row r="93" s="2" customFormat="1" spans="1:32">
      <c r="A93" s="105"/>
      <c r="B93" s="106"/>
      <c r="C93" s="22">
        <v>241008000110</v>
      </c>
      <c r="D93" s="23">
        <v>45583</v>
      </c>
      <c r="E93" s="23" t="s">
        <v>74</v>
      </c>
      <c r="F93" s="106" t="s">
        <v>74</v>
      </c>
      <c r="G93" s="106" t="s">
        <v>118</v>
      </c>
      <c r="H93" s="107">
        <v>0.1724</v>
      </c>
      <c r="I93" s="107">
        <v>432</v>
      </c>
      <c r="J93" s="42">
        <v>1396.56</v>
      </c>
      <c r="K93" s="86"/>
      <c r="L93" s="108"/>
      <c r="M93" s="45"/>
      <c r="N93" s="99"/>
      <c r="O93" s="21"/>
      <c r="P93" s="48">
        <f t="shared" si="65"/>
        <v>1396.56</v>
      </c>
      <c r="Q93" s="95"/>
      <c r="R93" s="95"/>
      <c r="S93" s="72">
        <f t="shared" si="67"/>
        <v>105.736976470588</v>
      </c>
      <c r="T93" s="72">
        <f t="shared" si="68"/>
        <v>0.252819529411765</v>
      </c>
      <c r="U93" s="72">
        <f t="shared" si="69"/>
        <v>3.80294117647059</v>
      </c>
      <c r="V93" s="72"/>
      <c r="W93" s="72"/>
      <c r="X93" s="72">
        <f t="shared" si="62"/>
        <v>109.792737176471</v>
      </c>
      <c r="Y93" s="85">
        <f t="shared" si="70"/>
        <v>26.6811564117647</v>
      </c>
      <c r="Z93" s="85"/>
      <c r="AA93" s="85"/>
      <c r="AB93" s="85">
        <f t="shared" si="55"/>
        <v>26.6811564117647</v>
      </c>
      <c r="AC93" s="86">
        <v>7.28</v>
      </c>
      <c r="AD93" s="72">
        <f t="shared" si="63"/>
        <v>194.238818677647</v>
      </c>
      <c r="AE93" s="72">
        <f t="shared" si="66"/>
        <v>304.031555854118</v>
      </c>
      <c r="AF93" s="72">
        <f t="shared" si="64"/>
        <v>1092.52844414588</v>
      </c>
    </row>
    <row r="94" s="2" customFormat="1" spans="1:32">
      <c r="A94" s="105"/>
      <c r="B94" s="106"/>
      <c r="C94" s="22">
        <v>241005000007</v>
      </c>
      <c r="D94" s="23">
        <v>45580</v>
      </c>
      <c r="E94" s="23" t="s">
        <v>63</v>
      </c>
      <c r="F94" s="106" t="s">
        <v>64</v>
      </c>
      <c r="G94" s="106" t="s">
        <v>66</v>
      </c>
      <c r="H94" s="107">
        <v>1.7287</v>
      </c>
      <c r="I94" s="107">
        <v>674.73</v>
      </c>
      <c r="J94" s="109"/>
      <c r="K94" s="90">
        <v>797943.5</v>
      </c>
      <c r="L94" s="108"/>
      <c r="M94" s="45">
        <f t="shared" ref="M94:M103" si="71">SUM(K94/N94)</f>
        <v>1679.17403198653</v>
      </c>
      <c r="N94" s="46">
        <v>475.2</v>
      </c>
      <c r="O94" s="21">
        <v>7.27</v>
      </c>
      <c r="P94" s="48">
        <f t="shared" ref="P94:P103" si="72">SUM(N94*O94)</f>
        <v>3454.704</v>
      </c>
      <c r="Q94" s="95"/>
      <c r="R94" s="95"/>
      <c r="S94" s="72">
        <f t="shared" si="67"/>
        <v>1060.25238529412</v>
      </c>
      <c r="T94" s="72">
        <f t="shared" si="68"/>
        <v>2.53508770588235</v>
      </c>
      <c r="U94" s="72">
        <f t="shared" si="69"/>
        <v>38.1330882352941</v>
      </c>
      <c r="V94" s="72"/>
      <c r="W94" s="72"/>
      <c r="X94" s="72">
        <f t="shared" si="62"/>
        <v>1100.92056123529</v>
      </c>
      <c r="Y94" s="85">
        <f t="shared" si="70"/>
        <v>267.538950632353</v>
      </c>
      <c r="Z94" s="85"/>
      <c r="AA94" s="85"/>
      <c r="AB94" s="85">
        <f t="shared" si="55"/>
        <v>267.538950632353</v>
      </c>
      <c r="AC94" s="86">
        <v>7.28</v>
      </c>
      <c r="AD94" s="72">
        <f t="shared" si="63"/>
        <v>1947.68356060353</v>
      </c>
      <c r="AE94" s="72">
        <f t="shared" si="66"/>
        <v>3048.60412183882</v>
      </c>
      <c r="AF94" s="72">
        <f t="shared" si="64"/>
        <v>406.09987816118</v>
      </c>
    </row>
    <row r="95" s="2" customFormat="1" spans="1:32">
      <c r="A95" s="105"/>
      <c r="B95" s="106"/>
      <c r="C95" s="22">
        <v>241009000019</v>
      </c>
      <c r="D95" s="23">
        <v>45583</v>
      </c>
      <c r="E95" s="23" t="s">
        <v>63</v>
      </c>
      <c r="F95" s="106" t="s">
        <v>64</v>
      </c>
      <c r="G95" s="106" t="s">
        <v>119</v>
      </c>
      <c r="H95" s="107">
        <v>0.7338</v>
      </c>
      <c r="I95" s="107">
        <v>73</v>
      </c>
      <c r="J95" s="42">
        <v>1502.2</v>
      </c>
      <c r="K95" s="86"/>
      <c r="L95" s="108"/>
      <c r="M95" s="45"/>
      <c r="N95" s="99"/>
      <c r="O95" s="21"/>
      <c r="P95" s="48">
        <f t="shared" ref="P95:P97" si="73">SUBTOTAL(9,J95)</f>
        <v>1502.2</v>
      </c>
      <c r="Q95" s="95"/>
      <c r="R95" s="95"/>
      <c r="S95" s="72">
        <f t="shared" si="67"/>
        <v>450.056805882353</v>
      </c>
      <c r="T95" s="72">
        <f t="shared" si="68"/>
        <v>1.07609611764706</v>
      </c>
      <c r="U95" s="72">
        <f t="shared" si="69"/>
        <v>16.1867647058824</v>
      </c>
      <c r="V95" s="72"/>
      <c r="W95" s="72"/>
      <c r="X95" s="72">
        <f t="shared" si="62"/>
        <v>467.319666705882</v>
      </c>
      <c r="Y95" s="85">
        <f t="shared" si="70"/>
        <v>113.565154147059</v>
      </c>
      <c r="Z95" s="97">
        <v>3.45</v>
      </c>
      <c r="AA95" s="85"/>
      <c r="AB95" s="85">
        <f t="shared" si="55"/>
        <v>117.015154147059</v>
      </c>
      <c r="AC95" s="86">
        <v>7.28</v>
      </c>
      <c r="AD95" s="72">
        <f t="shared" si="63"/>
        <v>851.870322190588</v>
      </c>
      <c r="AE95" s="72">
        <f t="shared" si="66"/>
        <v>1319.18998889647</v>
      </c>
      <c r="AF95" s="72">
        <f t="shared" si="64"/>
        <v>183.01001110353</v>
      </c>
    </row>
    <row r="96" s="2" customFormat="1" spans="1:32">
      <c r="A96" s="105"/>
      <c r="B96" s="106"/>
      <c r="C96" s="22">
        <v>241009000033</v>
      </c>
      <c r="D96" s="23">
        <v>45583</v>
      </c>
      <c r="E96" s="23" t="s">
        <v>82</v>
      </c>
      <c r="F96" s="106" t="s">
        <v>83</v>
      </c>
      <c r="G96" s="106" t="s">
        <v>88</v>
      </c>
      <c r="H96" s="111">
        <v>5.69</v>
      </c>
      <c r="I96" s="107">
        <v>3984</v>
      </c>
      <c r="J96" s="42">
        <v>9968.88</v>
      </c>
      <c r="K96" s="86"/>
      <c r="L96" s="108"/>
      <c r="M96" s="45"/>
      <c r="N96" s="99"/>
      <c r="O96" s="21"/>
      <c r="P96" s="48">
        <f t="shared" si="73"/>
        <v>9968.88</v>
      </c>
      <c r="Q96" s="95"/>
      <c r="R96" s="95"/>
      <c r="S96" s="72">
        <f t="shared" si="67"/>
        <v>3489.81088235294</v>
      </c>
      <c r="T96" s="72">
        <f t="shared" si="68"/>
        <v>8.34421764705882</v>
      </c>
      <c r="U96" s="72">
        <f t="shared" si="69"/>
        <v>125.514705882353</v>
      </c>
      <c r="V96" s="72"/>
      <c r="W96" s="72"/>
      <c r="X96" s="72">
        <f t="shared" si="62"/>
        <v>3623.66980588235</v>
      </c>
      <c r="Y96" s="85">
        <f t="shared" si="70"/>
        <v>880.601972058824</v>
      </c>
      <c r="Z96" s="85"/>
      <c r="AA96" s="85"/>
      <c r="AB96" s="85">
        <f t="shared" si="55"/>
        <v>880.601972058824</v>
      </c>
      <c r="AC96" s="86">
        <v>7.28</v>
      </c>
      <c r="AD96" s="72">
        <f t="shared" si="63"/>
        <v>6410.78235658824</v>
      </c>
      <c r="AE96" s="72">
        <f t="shared" si="66"/>
        <v>10034.4521624706</v>
      </c>
      <c r="AF96" s="72">
        <f t="shared" si="64"/>
        <v>-65.5721624706002</v>
      </c>
    </row>
    <row r="97" s="2" customFormat="1" spans="1:32">
      <c r="A97" s="105"/>
      <c r="B97" s="106"/>
      <c r="C97" s="22">
        <v>241010000022</v>
      </c>
      <c r="D97" s="23">
        <v>45583</v>
      </c>
      <c r="E97" s="23" t="s">
        <v>109</v>
      </c>
      <c r="F97" s="106" t="s">
        <v>110</v>
      </c>
      <c r="G97" s="106" t="s">
        <v>120</v>
      </c>
      <c r="H97" s="107">
        <v>5.5556</v>
      </c>
      <c r="I97" s="107">
        <v>5276</v>
      </c>
      <c r="J97" s="42">
        <v>16400</v>
      </c>
      <c r="K97" s="86"/>
      <c r="L97" s="108"/>
      <c r="M97" s="45"/>
      <c r="N97" s="99"/>
      <c r="O97" s="21"/>
      <c r="P97" s="48">
        <f t="shared" si="73"/>
        <v>16400</v>
      </c>
      <c r="Q97" s="95"/>
      <c r="R97" s="95"/>
      <c r="S97" s="72">
        <f t="shared" si="67"/>
        <v>3407.3802</v>
      </c>
      <c r="T97" s="72">
        <f t="shared" si="68"/>
        <v>8.147124</v>
      </c>
      <c r="U97" s="72">
        <f t="shared" si="69"/>
        <v>122.55</v>
      </c>
      <c r="V97" s="72"/>
      <c r="W97" s="72"/>
      <c r="X97" s="72">
        <f t="shared" si="62"/>
        <v>3538.077324</v>
      </c>
      <c r="Y97" s="85">
        <f t="shared" si="70"/>
        <v>859.801813</v>
      </c>
      <c r="Z97" s="97">
        <v>138.17</v>
      </c>
      <c r="AA97" s="85"/>
      <c r="AB97" s="85">
        <f t="shared" si="55"/>
        <v>997.971813</v>
      </c>
      <c r="AC97" s="86">
        <v>7.28</v>
      </c>
      <c r="AD97" s="72">
        <f t="shared" si="63"/>
        <v>7265.23479864</v>
      </c>
      <c r="AE97" s="72">
        <f t="shared" si="66"/>
        <v>10803.31212264</v>
      </c>
      <c r="AF97" s="72">
        <f t="shared" si="64"/>
        <v>5596.68787736</v>
      </c>
    </row>
    <row r="98" s="2" customFormat="1" spans="1:32">
      <c r="A98" s="105"/>
      <c r="B98" s="106"/>
      <c r="C98" s="22">
        <v>241012000025</v>
      </c>
      <c r="D98" s="23">
        <v>45583</v>
      </c>
      <c r="E98" s="23" t="s">
        <v>59</v>
      </c>
      <c r="F98" s="106" t="s">
        <v>60</v>
      </c>
      <c r="G98" s="106" t="s">
        <v>121</v>
      </c>
      <c r="H98" s="107">
        <v>0.9445</v>
      </c>
      <c r="I98" s="107">
        <v>434</v>
      </c>
      <c r="J98" s="109"/>
      <c r="K98" s="90">
        <v>559350</v>
      </c>
      <c r="L98" s="108"/>
      <c r="M98" s="45">
        <f t="shared" si="71"/>
        <v>1650</v>
      </c>
      <c r="N98" s="46">
        <v>339</v>
      </c>
      <c r="O98" s="21">
        <v>7.29</v>
      </c>
      <c r="P98" s="48">
        <f t="shared" si="72"/>
        <v>2471.31</v>
      </c>
      <c r="Q98" s="95"/>
      <c r="R98" s="95"/>
      <c r="S98" s="72">
        <f t="shared" si="67"/>
        <v>579.284073529412</v>
      </c>
      <c r="T98" s="72">
        <f t="shared" si="68"/>
        <v>1.38508147058824</v>
      </c>
      <c r="U98" s="72">
        <f t="shared" si="69"/>
        <v>20.8345588235294</v>
      </c>
      <c r="V98" s="72"/>
      <c r="W98" s="72"/>
      <c r="X98" s="72">
        <f t="shared" si="62"/>
        <v>601.503713823529</v>
      </c>
      <c r="Y98" s="85">
        <f t="shared" si="70"/>
        <v>146.173736838235</v>
      </c>
      <c r="Z98" s="85"/>
      <c r="AA98" s="85"/>
      <c r="AB98" s="85">
        <f t="shared" si="55"/>
        <v>146.173736838235</v>
      </c>
      <c r="AC98" s="86">
        <v>7.28</v>
      </c>
      <c r="AD98" s="72">
        <f t="shared" si="63"/>
        <v>1064.14480418235</v>
      </c>
      <c r="AE98" s="72">
        <f t="shared" si="66"/>
        <v>1665.64851800588</v>
      </c>
      <c r="AF98" s="72">
        <f t="shared" si="64"/>
        <v>805.66148199412</v>
      </c>
    </row>
    <row r="99" s="2" customFormat="1" spans="1:32">
      <c r="A99" s="105"/>
      <c r="B99" s="106"/>
      <c r="C99" s="22">
        <v>241012000031</v>
      </c>
      <c r="D99" s="23">
        <v>45583</v>
      </c>
      <c r="E99" s="23" t="s">
        <v>63</v>
      </c>
      <c r="F99" s="106" t="s">
        <v>64</v>
      </c>
      <c r="G99" s="106" t="s">
        <v>122</v>
      </c>
      <c r="H99" s="107">
        <v>2.0788</v>
      </c>
      <c r="I99" s="107">
        <v>174</v>
      </c>
      <c r="J99" s="109"/>
      <c r="K99" s="90">
        <v>1322400</v>
      </c>
      <c r="L99" s="108"/>
      <c r="M99" s="45">
        <f t="shared" si="71"/>
        <v>1675.81199072373</v>
      </c>
      <c r="N99" s="46">
        <v>789.11</v>
      </c>
      <c r="O99" s="21">
        <v>7.29</v>
      </c>
      <c r="P99" s="48">
        <f t="shared" si="72"/>
        <v>5752.6119</v>
      </c>
      <c r="Q99" s="95"/>
      <c r="R99" s="95"/>
      <c r="S99" s="72">
        <f t="shared" si="67"/>
        <v>1274.97695294118</v>
      </c>
      <c r="T99" s="72">
        <f t="shared" si="68"/>
        <v>3.04849905882353</v>
      </c>
      <c r="U99" s="72">
        <f t="shared" si="69"/>
        <v>45.8558823529412</v>
      </c>
      <c r="V99" s="104">
        <v>240</v>
      </c>
      <c r="W99" s="72"/>
      <c r="X99" s="72">
        <f t="shared" si="62"/>
        <v>1563.88133435294</v>
      </c>
      <c r="Y99" s="85">
        <f t="shared" si="70"/>
        <v>321.721507823529</v>
      </c>
      <c r="Z99" s="85"/>
      <c r="AA99" s="85"/>
      <c r="AB99" s="85">
        <f t="shared" si="55"/>
        <v>321.721507823529</v>
      </c>
      <c r="AC99" s="86">
        <v>7.28</v>
      </c>
      <c r="AD99" s="72">
        <f t="shared" si="63"/>
        <v>2342.13257695529</v>
      </c>
      <c r="AE99" s="72">
        <f t="shared" si="66"/>
        <v>3906.01391130824</v>
      </c>
      <c r="AF99" s="72">
        <f t="shared" si="64"/>
        <v>1846.59798869176</v>
      </c>
    </row>
    <row r="100" s="2" customFormat="1" spans="1:32">
      <c r="A100" s="105"/>
      <c r="B100" s="106"/>
      <c r="C100" s="22">
        <v>241014000064</v>
      </c>
      <c r="D100" s="23">
        <v>45583</v>
      </c>
      <c r="E100" s="23" t="s">
        <v>90</v>
      </c>
      <c r="F100" s="106" t="s">
        <v>91</v>
      </c>
      <c r="G100" s="106" t="s">
        <v>112</v>
      </c>
      <c r="H100" s="107">
        <v>0.1024</v>
      </c>
      <c r="I100" s="107">
        <v>35</v>
      </c>
      <c r="J100" s="110"/>
      <c r="K100" s="90">
        <v>71551</v>
      </c>
      <c r="L100" s="108"/>
      <c r="M100" s="45">
        <f t="shared" si="71"/>
        <v>1690.31419796834</v>
      </c>
      <c r="N100" s="91">
        <v>42.33</v>
      </c>
      <c r="O100" s="21">
        <v>7.27</v>
      </c>
      <c r="P100" s="48">
        <f t="shared" si="72"/>
        <v>307.7391</v>
      </c>
      <c r="Q100" s="95"/>
      <c r="R100" s="95"/>
      <c r="S100" s="72">
        <f t="shared" si="67"/>
        <v>62.8043294117647</v>
      </c>
      <c r="T100" s="72">
        <f t="shared" si="68"/>
        <v>0.150166588235294</v>
      </c>
      <c r="U100" s="72">
        <f t="shared" si="69"/>
        <v>2.25882352941176</v>
      </c>
      <c r="V100" s="72"/>
      <c r="W100" s="72"/>
      <c r="X100" s="72">
        <f t="shared" si="62"/>
        <v>65.2133195294118</v>
      </c>
      <c r="Y100" s="85">
        <f t="shared" si="70"/>
        <v>15.8477402352941</v>
      </c>
      <c r="Z100" s="85"/>
      <c r="AA100" s="85"/>
      <c r="AB100" s="85">
        <f t="shared" si="55"/>
        <v>15.8477402352941</v>
      </c>
      <c r="AC100" s="86">
        <v>7.28</v>
      </c>
      <c r="AD100" s="72">
        <f t="shared" si="63"/>
        <v>115.371548912941</v>
      </c>
      <c r="AE100" s="72">
        <f t="shared" si="66"/>
        <v>180.584868442353</v>
      </c>
      <c r="AF100" s="72">
        <f t="shared" si="64"/>
        <v>127.154231557647</v>
      </c>
    </row>
    <row r="101" s="2" customFormat="1" spans="1:32">
      <c r="A101" s="105"/>
      <c r="B101" s="106"/>
      <c r="C101" s="22">
        <v>241015000036</v>
      </c>
      <c r="D101" s="23">
        <v>45583</v>
      </c>
      <c r="E101" s="23" t="s">
        <v>85</v>
      </c>
      <c r="F101" s="106" t="s">
        <v>86</v>
      </c>
      <c r="G101" s="106" t="s">
        <v>75</v>
      </c>
      <c r="H101" s="107">
        <v>1.1644</v>
      </c>
      <c r="I101" s="107">
        <v>178</v>
      </c>
      <c r="J101" s="109"/>
      <c r="K101" s="90">
        <v>480476</v>
      </c>
      <c r="L101" s="108"/>
      <c r="M101" s="45">
        <f t="shared" si="71"/>
        <v>1630.99901558098</v>
      </c>
      <c r="N101" s="46">
        <v>294.59</v>
      </c>
      <c r="O101" s="21">
        <v>7.35</v>
      </c>
      <c r="P101" s="48">
        <f t="shared" si="72"/>
        <v>2165.2365</v>
      </c>
      <c r="Q101" s="95"/>
      <c r="R101" s="95"/>
      <c r="S101" s="72">
        <f t="shared" si="67"/>
        <v>714.153917647059</v>
      </c>
      <c r="T101" s="72">
        <f t="shared" si="68"/>
        <v>1.70755835294118</v>
      </c>
      <c r="U101" s="72">
        <f t="shared" si="69"/>
        <v>25.6852941176471</v>
      </c>
      <c r="V101" s="72"/>
      <c r="W101" s="72"/>
      <c r="X101" s="72">
        <f t="shared" si="62"/>
        <v>741.546770117647</v>
      </c>
      <c r="Y101" s="85">
        <f t="shared" si="70"/>
        <v>180.206139941176</v>
      </c>
      <c r="Z101" s="85"/>
      <c r="AA101" s="85"/>
      <c r="AB101" s="85">
        <f t="shared" ref="AB101:AB132" si="74">SUM(Y101:AA101)</f>
        <v>180.206139941176</v>
      </c>
      <c r="AC101" s="86">
        <v>7.28</v>
      </c>
      <c r="AD101" s="72">
        <f t="shared" si="63"/>
        <v>1311.90069877176</v>
      </c>
      <c r="AE101" s="72">
        <f t="shared" si="66"/>
        <v>2053.44746888941</v>
      </c>
      <c r="AF101" s="72">
        <f t="shared" si="64"/>
        <v>111.789031110589</v>
      </c>
    </row>
    <row r="102" s="2" customFormat="1" spans="1:32">
      <c r="A102" s="105"/>
      <c r="B102" s="106"/>
      <c r="C102" s="22">
        <v>241015000037</v>
      </c>
      <c r="D102" s="23">
        <v>45583</v>
      </c>
      <c r="E102" s="23" t="s">
        <v>85</v>
      </c>
      <c r="F102" s="106" t="s">
        <v>86</v>
      </c>
      <c r="G102" s="106" t="s">
        <v>75</v>
      </c>
      <c r="H102" s="107">
        <v>1.8977</v>
      </c>
      <c r="I102" s="107">
        <v>816</v>
      </c>
      <c r="J102" s="109"/>
      <c r="K102" s="90">
        <v>783075</v>
      </c>
      <c r="L102" s="108"/>
      <c r="M102" s="45">
        <f t="shared" si="71"/>
        <v>1630.99850037491</v>
      </c>
      <c r="N102" s="46">
        <v>480.12</v>
      </c>
      <c r="O102" s="21">
        <v>7.35</v>
      </c>
      <c r="P102" s="48">
        <f t="shared" si="72"/>
        <v>3528.882</v>
      </c>
      <c r="Q102" s="95"/>
      <c r="R102" s="95"/>
      <c r="S102" s="72">
        <f t="shared" si="67"/>
        <v>1163.90406176471</v>
      </c>
      <c r="T102" s="72">
        <f t="shared" si="68"/>
        <v>2.78292123529412</v>
      </c>
      <c r="U102" s="72">
        <f t="shared" si="69"/>
        <v>41.8610294117647</v>
      </c>
      <c r="V102" s="72"/>
      <c r="W102" s="72"/>
      <c r="X102" s="72">
        <f t="shared" si="62"/>
        <v>1208.54801241176</v>
      </c>
      <c r="Y102" s="85">
        <f t="shared" si="70"/>
        <v>293.693912544118</v>
      </c>
      <c r="Z102" s="85"/>
      <c r="AA102" s="85"/>
      <c r="AB102" s="85">
        <f t="shared" si="74"/>
        <v>293.693912544118</v>
      </c>
      <c r="AC102" s="86">
        <v>7.28</v>
      </c>
      <c r="AD102" s="72">
        <f t="shared" si="63"/>
        <v>2138.09168332118</v>
      </c>
      <c r="AE102" s="72">
        <f t="shared" si="66"/>
        <v>3346.63969573294</v>
      </c>
      <c r="AF102" s="72">
        <f t="shared" si="64"/>
        <v>182.24230426706</v>
      </c>
    </row>
    <row r="103" s="2" customFormat="1" spans="1:32">
      <c r="A103" s="105"/>
      <c r="B103" s="106"/>
      <c r="C103" s="22">
        <v>241015000040</v>
      </c>
      <c r="D103" s="23">
        <v>45583</v>
      </c>
      <c r="E103" s="23" t="s">
        <v>85</v>
      </c>
      <c r="F103" s="106" t="s">
        <v>86</v>
      </c>
      <c r="G103" s="106" t="s">
        <v>75</v>
      </c>
      <c r="H103" s="107">
        <v>1.7374</v>
      </c>
      <c r="I103" s="107">
        <v>1047</v>
      </c>
      <c r="J103" s="109"/>
      <c r="K103" s="90">
        <v>716971</v>
      </c>
      <c r="L103" s="108"/>
      <c r="M103" s="45">
        <f t="shared" si="71"/>
        <v>1630.99934029437</v>
      </c>
      <c r="N103" s="46">
        <v>439.59</v>
      </c>
      <c r="O103" s="21">
        <v>7.35</v>
      </c>
      <c r="P103" s="48">
        <f t="shared" si="72"/>
        <v>3230.9865</v>
      </c>
      <c r="Q103" s="95"/>
      <c r="R103" s="95"/>
      <c r="S103" s="72">
        <f t="shared" si="67"/>
        <v>1065.5883</v>
      </c>
      <c r="T103" s="72">
        <f t="shared" si="68"/>
        <v>2.547846</v>
      </c>
      <c r="U103" s="72">
        <f t="shared" si="69"/>
        <v>38.325</v>
      </c>
      <c r="V103" s="72"/>
      <c r="W103" s="72"/>
      <c r="X103" s="72">
        <f t="shared" si="62"/>
        <v>1106.461146</v>
      </c>
      <c r="Y103" s="85">
        <f t="shared" si="70"/>
        <v>268.8853895</v>
      </c>
      <c r="Z103" s="85"/>
      <c r="AA103" s="85"/>
      <c r="AB103" s="85">
        <f t="shared" si="74"/>
        <v>268.8853895</v>
      </c>
      <c r="AC103" s="86">
        <v>7.28</v>
      </c>
      <c r="AD103" s="72">
        <f t="shared" si="63"/>
        <v>1957.48563556</v>
      </c>
      <c r="AE103" s="72">
        <f t="shared" si="66"/>
        <v>3063.94678156</v>
      </c>
      <c r="AF103" s="72">
        <f t="shared" si="64"/>
        <v>167.039718439999</v>
      </c>
    </row>
    <row r="104" s="2" customFormat="1" spans="1:32">
      <c r="A104" s="105"/>
      <c r="B104" s="106"/>
      <c r="C104" s="22">
        <v>241015000046</v>
      </c>
      <c r="D104" s="23">
        <v>45583</v>
      </c>
      <c r="E104" s="23" t="s">
        <v>109</v>
      </c>
      <c r="F104" s="106" t="s">
        <v>110</v>
      </c>
      <c r="G104" s="106" t="s">
        <v>123</v>
      </c>
      <c r="H104" s="107">
        <v>0.5175</v>
      </c>
      <c r="I104" s="107">
        <v>333</v>
      </c>
      <c r="J104" s="42">
        <v>1773.41</v>
      </c>
      <c r="K104" s="86"/>
      <c r="L104" s="108"/>
      <c r="M104" s="45"/>
      <c r="N104" s="99"/>
      <c r="O104" s="21"/>
      <c r="P104" s="48">
        <f t="shared" ref="P104:P113" si="75">SUBTOTAL(9,J104)</f>
        <v>1773.41</v>
      </c>
      <c r="Q104" s="95"/>
      <c r="R104" s="95"/>
      <c r="S104" s="72">
        <f t="shared" si="67"/>
        <v>317.394926470588</v>
      </c>
      <c r="T104" s="72">
        <f t="shared" si="68"/>
        <v>0.758898529411765</v>
      </c>
      <c r="U104" s="72">
        <f t="shared" si="69"/>
        <v>11.4154411764706</v>
      </c>
      <c r="V104" s="72"/>
      <c r="W104" s="72"/>
      <c r="X104" s="72">
        <f t="shared" si="62"/>
        <v>329.569266176471</v>
      </c>
      <c r="Y104" s="85">
        <f t="shared" si="70"/>
        <v>80.0898981617647</v>
      </c>
      <c r="Z104" s="85"/>
      <c r="AA104" s="85"/>
      <c r="AB104" s="85">
        <f t="shared" si="74"/>
        <v>80.0898981617647</v>
      </c>
      <c r="AC104" s="86">
        <v>7.28</v>
      </c>
      <c r="AD104" s="72">
        <f t="shared" si="63"/>
        <v>583.054458617647</v>
      </c>
      <c r="AE104" s="72">
        <f t="shared" si="66"/>
        <v>912.623724794118</v>
      </c>
      <c r="AF104" s="72">
        <f t="shared" si="64"/>
        <v>860.786275205882</v>
      </c>
    </row>
    <row r="105" s="2" customFormat="1" spans="1:32">
      <c r="A105" s="105"/>
      <c r="B105" s="106"/>
      <c r="C105" s="22">
        <v>241016000013</v>
      </c>
      <c r="D105" s="23">
        <v>45583</v>
      </c>
      <c r="E105" s="23" t="s">
        <v>69</v>
      </c>
      <c r="F105" s="106" t="s">
        <v>70</v>
      </c>
      <c r="G105" s="106" t="s">
        <v>80</v>
      </c>
      <c r="H105" s="107">
        <v>0.4631</v>
      </c>
      <c r="I105" s="107">
        <v>128</v>
      </c>
      <c r="J105" s="109"/>
      <c r="K105" s="90">
        <v>239700</v>
      </c>
      <c r="L105" s="108"/>
      <c r="M105" s="45">
        <f>SUM(K105/N105)</f>
        <v>1725.32930252645</v>
      </c>
      <c r="N105" s="46">
        <v>138.93</v>
      </c>
      <c r="O105" s="21">
        <v>7.26</v>
      </c>
      <c r="P105" s="48">
        <f>SUM(N105*O105)</f>
        <v>1008.6318</v>
      </c>
      <c r="Q105" s="95"/>
      <c r="R105" s="95"/>
      <c r="S105" s="72">
        <f t="shared" si="67"/>
        <v>284.030126470588</v>
      </c>
      <c r="T105" s="72">
        <f t="shared" si="68"/>
        <v>0.679122529411765</v>
      </c>
      <c r="U105" s="72">
        <f t="shared" si="69"/>
        <v>10.2154411764706</v>
      </c>
      <c r="V105" s="72"/>
      <c r="W105" s="72"/>
      <c r="X105" s="72">
        <f t="shared" si="62"/>
        <v>294.924690176471</v>
      </c>
      <c r="Y105" s="85">
        <f t="shared" si="70"/>
        <v>71.6707861617647</v>
      </c>
      <c r="Z105" s="85"/>
      <c r="AA105" s="85"/>
      <c r="AB105" s="85">
        <f t="shared" si="74"/>
        <v>71.6707861617647</v>
      </c>
      <c r="AC105" s="86">
        <v>7.28</v>
      </c>
      <c r="AD105" s="72">
        <f t="shared" si="63"/>
        <v>521.763323257647</v>
      </c>
      <c r="AE105" s="72">
        <f t="shared" si="66"/>
        <v>816.688013434118</v>
      </c>
      <c r="AF105" s="72">
        <f t="shared" si="64"/>
        <v>191.943786565882</v>
      </c>
    </row>
    <row r="106" s="2" customFormat="1" spans="1:32">
      <c r="A106" s="105"/>
      <c r="B106" s="106"/>
      <c r="C106" s="22">
        <v>241017000017</v>
      </c>
      <c r="D106" s="23">
        <v>45583</v>
      </c>
      <c r="E106" s="23" t="s">
        <v>69</v>
      </c>
      <c r="F106" s="106" t="s">
        <v>70</v>
      </c>
      <c r="G106" s="106" t="s">
        <v>124</v>
      </c>
      <c r="H106" s="107">
        <v>0.2251</v>
      </c>
      <c r="I106" s="107">
        <v>53</v>
      </c>
      <c r="J106" s="109"/>
      <c r="K106" s="90">
        <v>130000</v>
      </c>
      <c r="L106" s="108"/>
      <c r="M106" s="45">
        <f>SUM(K106/N106)</f>
        <v>1862.99772671285</v>
      </c>
      <c r="N106" s="46">
        <v>69.78001</v>
      </c>
      <c r="O106" s="21">
        <v>7.27</v>
      </c>
      <c r="P106" s="48">
        <f>SUM(N106*O106)</f>
        <v>507.3006727</v>
      </c>
      <c r="Q106" s="95"/>
      <c r="R106" s="95"/>
      <c r="S106" s="72">
        <f t="shared" si="67"/>
        <v>138.059126470588</v>
      </c>
      <c r="T106" s="72">
        <f t="shared" si="68"/>
        <v>0.330102529411765</v>
      </c>
      <c r="U106" s="72">
        <f t="shared" si="69"/>
        <v>4.96544117647059</v>
      </c>
      <c r="V106" s="72"/>
      <c r="W106" s="72"/>
      <c r="X106" s="72">
        <f t="shared" si="62"/>
        <v>143.354670176471</v>
      </c>
      <c r="Y106" s="85">
        <f t="shared" si="70"/>
        <v>34.8371711617647</v>
      </c>
      <c r="Z106" s="85"/>
      <c r="AA106" s="85"/>
      <c r="AB106" s="85">
        <f t="shared" si="74"/>
        <v>34.8371711617647</v>
      </c>
      <c r="AC106" s="86">
        <v>7.28</v>
      </c>
      <c r="AD106" s="72">
        <f t="shared" si="63"/>
        <v>253.614606057647</v>
      </c>
      <c r="AE106" s="72">
        <f t="shared" si="66"/>
        <v>396.969276234118</v>
      </c>
      <c r="AF106" s="72">
        <f t="shared" si="64"/>
        <v>110.331396465882</v>
      </c>
    </row>
    <row r="107" s="2" customFormat="1" spans="1:32">
      <c r="A107" s="105"/>
      <c r="B107" s="106"/>
      <c r="C107" s="22">
        <v>241017000030</v>
      </c>
      <c r="D107" s="23">
        <v>45583</v>
      </c>
      <c r="E107" s="23" t="s">
        <v>69</v>
      </c>
      <c r="F107" s="106" t="s">
        <v>70</v>
      </c>
      <c r="G107" s="106" t="s">
        <v>76</v>
      </c>
      <c r="H107" s="107">
        <v>5.595</v>
      </c>
      <c r="I107" s="107">
        <v>600</v>
      </c>
      <c r="J107" s="42">
        <v>11415.02</v>
      </c>
      <c r="K107" s="86"/>
      <c r="L107" s="108"/>
      <c r="M107" s="45"/>
      <c r="N107" s="99"/>
      <c r="O107" s="21"/>
      <c r="P107" s="48">
        <f t="shared" si="75"/>
        <v>11415.02</v>
      </c>
      <c r="Q107" s="95"/>
      <c r="R107" s="95"/>
      <c r="S107" s="72">
        <f t="shared" si="67"/>
        <v>3431.54514705882</v>
      </c>
      <c r="T107" s="72">
        <f t="shared" si="68"/>
        <v>8.20490294117647</v>
      </c>
      <c r="U107" s="72">
        <f t="shared" si="69"/>
        <v>123.419117647059</v>
      </c>
      <c r="V107" s="72"/>
      <c r="W107" s="72"/>
      <c r="X107" s="72">
        <f t="shared" si="62"/>
        <v>3563.16916764706</v>
      </c>
      <c r="Y107" s="85">
        <f t="shared" si="70"/>
        <v>865.89947867647</v>
      </c>
      <c r="Z107" s="85"/>
      <c r="AA107" s="85"/>
      <c r="AB107" s="85">
        <f t="shared" si="74"/>
        <v>865.89947867647</v>
      </c>
      <c r="AC107" s="86">
        <v>7.28</v>
      </c>
      <c r="AD107" s="72">
        <f t="shared" si="63"/>
        <v>6303.74820476471</v>
      </c>
      <c r="AE107" s="72">
        <f t="shared" si="66"/>
        <v>9866.91737241176</v>
      </c>
      <c r="AF107" s="72">
        <f t="shared" si="64"/>
        <v>1548.10262758824</v>
      </c>
    </row>
    <row r="108" s="2" customFormat="1" spans="1:32">
      <c r="A108" s="105"/>
      <c r="B108" s="106"/>
      <c r="C108" s="22">
        <v>241017000044</v>
      </c>
      <c r="D108" s="23">
        <v>45583</v>
      </c>
      <c r="E108" s="23" t="s">
        <v>69</v>
      </c>
      <c r="F108" s="106" t="s">
        <v>70</v>
      </c>
      <c r="G108" s="106" t="s">
        <v>76</v>
      </c>
      <c r="H108" s="107">
        <v>1.3776</v>
      </c>
      <c r="I108" s="107">
        <v>251</v>
      </c>
      <c r="J108" s="42">
        <v>2812.99</v>
      </c>
      <c r="K108" s="86"/>
      <c r="L108" s="108"/>
      <c r="M108" s="45"/>
      <c r="N108" s="99"/>
      <c r="O108" s="21"/>
      <c r="P108" s="48">
        <f t="shared" si="75"/>
        <v>2812.99</v>
      </c>
      <c r="Q108" s="95"/>
      <c r="R108" s="95"/>
      <c r="S108" s="72">
        <f t="shared" si="67"/>
        <v>844.914494117647</v>
      </c>
      <c r="T108" s="72">
        <f t="shared" si="68"/>
        <v>2.02020988235294</v>
      </c>
      <c r="U108" s="72">
        <f t="shared" si="69"/>
        <v>30.3882352941176</v>
      </c>
      <c r="V108" s="72"/>
      <c r="W108" s="72"/>
      <c r="X108" s="72">
        <f t="shared" si="62"/>
        <v>877.322939294118</v>
      </c>
      <c r="Y108" s="85">
        <f t="shared" si="70"/>
        <v>213.201630352941</v>
      </c>
      <c r="Z108" s="85"/>
      <c r="AA108" s="85"/>
      <c r="AB108" s="85">
        <f t="shared" si="74"/>
        <v>213.201630352941</v>
      </c>
      <c r="AC108" s="86">
        <v>7.28</v>
      </c>
      <c r="AD108" s="72">
        <f t="shared" si="63"/>
        <v>1552.10786896941</v>
      </c>
      <c r="AE108" s="72">
        <f t="shared" si="66"/>
        <v>2429.43080826353</v>
      </c>
      <c r="AF108" s="72">
        <f t="shared" si="64"/>
        <v>383.55919173647</v>
      </c>
    </row>
    <row r="109" s="2" customFormat="1" spans="1:32">
      <c r="A109" s="105"/>
      <c r="B109" s="106"/>
      <c r="C109" s="22">
        <v>241017000060</v>
      </c>
      <c r="D109" s="23">
        <v>45583</v>
      </c>
      <c r="E109" s="23" t="s">
        <v>85</v>
      </c>
      <c r="F109" s="106" t="s">
        <v>86</v>
      </c>
      <c r="G109" s="106" t="s">
        <v>94</v>
      </c>
      <c r="H109" s="107">
        <v>29.42</v>
      </c>
      <c r="I109" s="107">
        <v>3712</v>
      </c>
      <c r="J109" s="42">
        <v>43145.02</v>
      </c>
      <c r="K109" s="86"/>
      <c r="L109" s="108"/>
      <c r="M109" s="45"/>
      <c r="N109" s="46"/>
      <c r="O109" s="21"/>
      <c r="P109" s="48">
        <f t="shared" si="75"/>
        <v>43145.02</v>
      </c>
      <c r="Q109" s="96"/>
      <c r="R109" s="96"/>
      <c r="S109" s="72">
        <f t="shared" si="67"/>
        <v>18043.9782352941</v>
      </c>
      <c r="T109" s="72">
        <f t="shared" si="68"/>
        <v>43.1435647058824</v>
      </c>
      <c r="U109" s="72">
        <f t="shared" si="69"/>
        <v>648.970588235294</v>
      </c>
      <c r="V109" s="72"/>
      <c r="W109" s="72"/>
      <c r="X109" s="72">
        <f t="shared" ref="X109:X134" si="76">SUM(S109:W109)</f>
        <v>18736.0923882353</v>
      </c>
      <c r="Y109" s="85">
        <f t="shared" si="70"/>
        <v>4553.13005588235</v>
      </c>
      <c r="Z109" s="85"/>
      <c r="AA109" s="85"/>
      <c r="AB109" s="85">
        <f t="shared" si="74"/>
        <v>4553.13005588235</v>
      </c>
      <c r="AC109" s="86">
        <v>7.28</v>
      </c>
      <c r="AD109" s="72">
        <f t="shared" si="63"/>
        <v>33146.7868068235</v>
      </c>
      <c r="AE109" s="72">
        <f t="shared" ref="AE109:AE134" si="77">SUM(X109+AD109)</f>
        <v>51882.8791950588</v>
      </c>
      <c r="AF109" s="72">
        <f t="shared" ref="AF109:AF134" si="78">SUM(P109-AE109)</f>
        <v>-8737.8591950588</v>
      </c>
    </row>
    <row r="110" s="2" customFormat="1" spans="1:32">
      <c r="A110" s="20" t="s">
        <v>16</v>
      </c>
      <c r="B110" s="21" t="s">
        <v>17</v>
      </c>
      <c r="C110" s="22">
        <v>240926000032</v>
      </c>
      <c r="D110" s="23">
        <v>45587</v>
      </c>
      <c r="E110" s="23" t="s">
        <v>63</v>
      </c>
      <c r="F110" s="21" t="s">
        <v>64</v>
      </c>
      <c r="G110" s="21" t="s">
        <v>106</v>
      </c>
      <c r="H110" s="88">
        <v>18.7805</v>
      </c>
      <c r="I110" s="88">
        <v>11775</v>
      </c>
      <c r="J110" s="42">
        <v>38416</v>
      </c>
      <c r="K110" s="86"/>
      <c r="L110" s="44"/>
      <c r="M110" s="45"/>
      <c r="N110" s="92"/>
      <c r="O110" s="21"/>
      <c r="P110" s="48">
        <f t="shared" si="75"/>
        <v>38416</v>
      </c>
      <c r="Q110" s="93">
        <f>SUM(P110:P134)</f>
        <v>184202.9507362</v>
      </c>
      <c r="R110" s="94" t="s">
        <v>125</v>
      </c>
      <c r="S110" s="72">
        <f>SUM(46670/68)*H110</f>
        <v>12889.4990441176</v>
      </c>
      <c r="T110" s="72"/>
      <c r="U110" s="72">
        <f>SUM(1300/68)*H110</f>
        <v>359.038970588235</v>
      </c>
      <c r="V110" s="104">
        <v>800</v>
      </c>
      <c r="W110" s="72"/>
      <c r="X110" s="72">
        <f t="shared" si="76"/>
        <v>14048.5380147059</v>
      </c>
      <c r="Y110" s="85">
        <f t="shared" si="70"/>
        <v>2906.52817860294</v>
      </c>
      <c r="Z110" s="85"/>
      <c r="AA110" s="85"/>
      <c r="AB110" s="85">
        <f t="shared" si="74"/>
        <v>2906.52817860294</v>
      </c>
      <c r="AC110" s="86">
        <v>7.28</v>
      </c>
      <c r="AD110" s="72">
        <f t="shared" ref="AD110:AD134" si="79">SUM(AB110*AC110)</f>
        <v>21159.5251402294</v>
      </c>
      <c r="AE110" s="72">
        <f t="shared" si="77"/>
        <v>35208.0631549353</v>
      </c>
      <c r="AF110" s="72">
        <f t="shared" si="78"/>
        <v>3207.9368450647</v>
      </c>
    </row>
    <row r="111" s="2" customFormat="1" spans="1:32">
      <c r="A111" s="20"/>
      <c r="B111" s="21"/>
      <c r="C111" s="22">
        <v>241007000001</v>
      </c>
      <c r="D111" s="23">
        <v>45587</v>
      </c>
      <c r="E111" s="23" t="s">
        <v>82</v>
      </c>
      <c r="F111" s="21" t="s">
        <v>83</v>
      </c>
      <c r="G111" s="21" t="s">
        <v>96</v>
      </c>
      <c r="H111" s="88">
        <v>5.4</v>
      </c>
      <c r="I111" s="88">
        <v>3863.5</v>
      </c>
      <c r="J111" s="42">
        <v>12614.4</v>
      </c>
      <c r="K111" s="86"/>
      <c r="L111" s="44"/>
      <c r="M111" s="45"/>
      <c r="N111" s="92"/>
      <c r="O111" s="21"/>
      <c r="P111" s="48">
        <f t="shared" si="75"/>
        <v>12614.4</v>
      </c>
      <c r="Q111" s="95"/>
      <c r="R111" s="95"/>
      <c r="S111" s="72">
        <f t="shared" ref="S111:S134" si="80">SUM(46670/68)*H111</f>
        <v>3706.14705882353</v>
      </c>
      <c r="T111" s="72"/>
      <c r="U111" s="72">
        <f t="shared" ref="U111:U134" si="81">SUM(1300/68)*H111</f>
        <v>103.235294117647</v>
      </c>
      <c r="V111" s="72"/>
      <c r="W111" s="72"/>
      <c r="X111" s="72">
        <f t="shared" si="76"/>
        <v>3809.38235294118</v>
      </c>
      <c r="Y111" s="85">
        <f t="shared" ref="Y111:Y134" si="82">SUM(10523.89/68)*H111</f>
        <v>835.720676470588</v>
      </c>
      <c r="Z111" s="85"/>
      <c r="AA111" s="85"/>
      <c r="AB111" s="85">
        <f t="shared" si="74"/>
        <v>835.720676470588</v>
      </c>
      <c r="AC111" s="86">
        <v>7.28</v>
      </c>
      <c r="AD111" s="72">
        <f t="shared" si="79"/>
        <v>6084.04652470588</v>
      </c>
      <c r="AE111" s="72">
        <f t="shared" si="77"/>
        <v>9893.42887764706</v>
      </c>
      <c r="AF111" s="72">
        <f t="shared" si="78"/>
        <v>2720.97112235294</v>
      </c>
    </row>
    <row r="112" s="2" customFormat="1" spans="1:32">
      <c r="A112" s="20"/>
      <c r="B112" s="21"/>
      <c r="C112" s="22">
        <v>241008000045</v>
      </c>
      <c r="D112" s="23">
        <v>45587</v>
      </c>
      <c r="E112" s="23" t="s">
        <v>63</v>
      </c>
      <c r="F112" s="21" t="s">
        <v>64</v>
      </c>
      <c r="G112" s="21" t="s">
        <v>117</v>
      </c>
      <c r="H112" s="88">
        <v>1.0343</v>
      </c>
      <c r="I112" s="88">
        <v>87</v>
      </c>
      <c r="J112" s="42">
        <v>2210.6</v>
      </c>
      <c r="K112" s="86"/>
      <c r="L112" s="44"/>
      <c r="M112" s="45"/>
      <c r="N112" s="92"/>
      <c r="O112" s="21"/>
      <c r="P112" s="48">
        <f t="shared" si="75"/>
        <v>2210.6</v>
      </c>
      <c r="Q112" s="95"/>
      <c r="R112" s="95"/>
      <c r="S112" s="72">
        <f t="shared" si="80"/>
        <v>709.864426470588</v>
      </c>
      <c r="T112" s="72"/>
      <c r="U112" s="72">
        <f t="shared" si="81"/>
        <v>19.7733823529412</v>
      </c>
      <c r="V112" s="104">
        <v>300</v>
      </c>
      <c r="W112" s="72"/>
      <c r="X112" s="72">
        <f t="shared" si="76"/>
        <v>1029.63780882353</v>
      </c>
      <c r="Y112" s="85">
        <f t="shared" si="82"/>
        <v>160.071462161765</v>
      </c>
      <c r="Z112" s="85"/>
      <c r="AA112" s="85"/>
      <c r="AB112" s="85">
        <f t="shared" si="74"/>
        <v>160.071462161765</v>
      </c>
      <c r="AC112" s="86">
        <v>7.28</v>
      </c>
      <c r="AD112" s="72">
        <f t="shared" si="79"/>
        <v>1165.32024453765</v>
      </c>
      <c r="AE112" s="72">
        <f t="shared" si="77"/>
        <v>2194.95805336118</v>
      </c>
      <c r="AF112" s="72">
        <f t="shared" si="78"/>
        <v>15.6419466388197</v>
      </c>
    </row>
    <row r="113" s="2" customFormat="1" spans="1:32">
      <c r="A113" s="20"/>
      <c r="B113" s="21"/>
      <c r="C113" s="22">
        <v>241011000009</v>
      </c>
      <c r="D113" s="23">
        <v>45587</v>
      </c>
      <c r="E113" s="23" t="s">
        <v>63</v>
      </c>
      <c r="F113" s="21" t="s">
        <v>64</v>
      </c>
      <c r="G113" s="21" t="s">
        <v>126</v>
      </c>
      <c r="H113" s="88">
        <v>0.7032</v>
      </c>
      <c r="I113" s="88">
        <v>282</v>
      </c>
      <c r="J113" s="42">
        <v>1819</v>
      </c>
      <c r="K113" s="86"/>
      <c r="L113" s="44"/>
      <c r="M113" s="45"/>
      <c r="N113" s="92"/>
      <c r="O113" s="21"/>
      <c r="P113" s="48">
        <f t="shared" si="75"/>
        <v>1819</v>
      </c>
      <c r="Q113" s="95"/>
      <c r="R113" s="95"/>
      <c r="S113" s="72">
        <f t="shared" si="80"/>
        <v>482.622705882353</v>
      </c>
      <c r="T113" s="72"/>
      <c r="U113" s="72">
        <f t="shared" si="81"/>
        <v>13.4435294117647</v>
      </c>
      <c r="V113" s="72"/>
      <c r="W113" s="72"/>
      <c r="X113" s="72">
        <f t="shared" si="76"/>
        <v>496.066235294118</v>
      </c>
      <c r="Y113" s="85">
        <f t="shared" si="82"/>
        <v>108.829403647059</v>
      </c>
      <c r="Z113" s="85"/>
      <c r="AA113" s="85"/>
      <c r="AB113" s="85">
        <f t="shared" si="74"/>
        <v>108.829403647059</v>
      </c>
      <c r="AC113" s="86">
        <v>7.28</v>
      </c>
      <c r="AD113" s="72">
        <f t="shared" si="79"/>
        <v>792.278058550588</v>
      </c>
      <c r="AE113" s="72">
        <f t="shared" si="77"/>
        <v>1288.34429384471</v>
      </c>
      <c r="AF113" s="72">
        <f t="shared" si="78"/>
        <v>530.65570615529</v>
      </c>
    </row>
    <row r="114" s="2" customFormat="1" spans="1:32">
      <c r="A114" s="20"/>
      <c r="B114" s="21"/>
      <c r="C114" s="22">
        <v>241011000052</v>
      </c>
      <c r="D114" s="23">
        <v>45587</v>
      </c>
      <c r="E114" s="23" t="s">
        <v>100</v>
      </c>
      <c r="F114" s="21" t="s">
        <v>127</v>
      </c>
      <c r="G114" s="21" t="s">
        <v>128</v>
      </c>
      <c r="H114" s="88">
        <v>1.5798</v>
      </c>
      <c r="I114" s="88">
        <v>199</v>
      </c>
      <c r="J114" s="48"/>
      <c r="K114" s="90">
        <v>795789</v>
      </c>
      <c r="L114" s="44"/>
      <c r="M114" s="45">
        <f>SUM(K114/N114)</f>
        <v>1736.999607107</v>
      </c>
      <c r="N114" s="46">
        <v>458.14</v>
      </c>
      <c r="O114" s="21">
        <v>7.28</v>
      </c>
      <c r="P114" s="48">
        <f>SUM(N114*O114)</f>
        <v>3335.2592</v>
      </c>
      <c r="Q114" s="95"/>
      <c r="R114" s="95"/>
      <c r="S114" s="72">
        <f t="shared" si="80"/>
        <v>1084.25391176471</v>
      </c>
      <c r="T114" s="72"/>
      <c r="U114" s="72">
        <f t="shared" si="81"/>
        <v>30.2020588235294</v>
      </c>
      <c r="V114" s="72"/>
      <c r="W114" s="72"/>
      <c r="X114" s="72">
        <f t="shared" si="76"/>
        <v>1114.45597058824</v>
      </c>
      <c r="Y114" s="85">
        <f t="shared" si="82"/>
        <v>244.494726794118</v>
      </c>
      <c r="Z114" s="85"/>
      <c r="AA114" s="85"/>
      <c r="AB114" s="85">
        <f t="shared" si="74"/>
        <v>244.494726794118</v>
      </c>
      <c r="AC114" s="86">
        <v>7.28</v>
      </c>
      <c r="AD114" s="72">
        <f t="shared" si="79"/>
        <v>1779.92161106118</v>
      </c>
      <c r="AE114" s="72">
        <f t="shared" si="77"/>
        <v>2894.37758164941</v>
      </c>
      <c r="AF114" s="72">
        <f t="shared" si="78"/>
        <v>440.88161835059</v>
      </c>
    </row>
    <row r="115" s="2" customFormat="1" spans="1:32">
      <c r="A115" s="20"/>
      <c r="B115" s="21"/>
      <c r="C115" s="22">
        <v>241015000012</v>
      </c>
      <c r="D115" s="23">
        <v>45587</v>
      </c>
      <c r="E115" s="23" t="s">
        <v>74</v>
      </c>
      <c r="F115" s="21" t="s">
        <v>74</v>
      </c>
      <c r="G115" s="21" t="s">
        <v>129</v>
      </c>
      <c r="H115" s="88">
        <v>0.4173</v>
      </c>
      <c r="I115" s="88">
        <v>209</v>
      </c>
      <c r="J115" s="42">
        <v>914</v>
      </c>
      <c r="K115" s="86"/>
      <c r="L115" s="44"/>
      <c r="M115" s="45"/>
      <c r="N115" s="92"/>
      <c r="O115" s="21"/>
      <c r="P115" s="48">
        <f t="shared" ref="P115:P118" si="83">SUBTOTAL(9,J115)</f>
        <v>914</v>
      </c>
      <c r="Q115" s="95"/>
      <c r="R115" s="95"/>
      <c r="S115" s="72">
        <f t="shared" si="80"/>
        <v>286.402808823529</v>
      </c>
      <c r="T115" s="72"/>
      <c r="U115" s="72">
        <f t="shared" si="81"/>
        <v>7.97779411764706</v>
      </c>
      <c r="V115" s="72"/>
      <c r="W115" s="72"/>
      <c r="X115" s="72">
        <f t="shared" si="76"/>
        <v>294.380602941177</v>
      </c>
      <c r="Y115" s="85">
        <f t="shared" si="82"/>
        <v>64.5826367205882</v>
      </c>
      <c r="Z115" s="85"/>
      <c r="AA115" s="85"/>
      <c r="AB115" s="85">
        <f t="shared" si="74"/>
        <v>64.5826367205882</v>
      </c>
      <c r="AC115" s="86">
        <v>7.28</v>
      </c>
      <c r="AD115" s="72">
        <f t="shared" si="79"/>
        <v>470.161595325882</v>
      </c>
      <c r="AE115" s="72">
        <f t="shared" si="77"/>
        <v>764.542198267059</v>
      </c>
      <c r="AF115" s="72">
        <f t="shared" si="78"/>
        <v>149.457801732941</v>
      </c>
    </row>
    <row r="116" s="2" customFormat="1" spans="1:32">
      <c r="A116" s="20"/>
      <c r="B116" s="21"/>
      <c r="C116" s="22">
        <v>241015000013</v>
      </c>
      <c r="D116" s="23">
        <v>45587</v>
      </c>
      <c r="E116" s="23" t="s">
        <v>74</v>
      </c>
      <c r="F116" s="21" t="s">
        <v>74</v>
      </c>
      <c r="G116" s="21" t="s">
        <v>130</v>
      </c>
      <c r="H116" s="88">
        <v>18.4906</v>
      </c>
      <c r="I116" s="88">
        <v>7082</v>
      </c>
      <c r="J116" s="42">
        <v>57160</v>
      </c>
      <c r="K116" s="86"/>
      <c r="L116" s="44"/>
      <c r="M116" s="45"/>
      <c r="N116" s="92"/>
      <c r="O116" s="21"/>
      <c r="P116" s="48">
        <f t="shared" si="83"/>
        <v>57160</v>
      </c>
      <c r="Q116" s="95"/>
      <c r="R116" s="95"/>
      <c r="S116" s="72">
        <f t="shared" si="80"/>
        <v>12690.5338529412</v>
      </c>
      <c r="T116" s="72"/>
      <c r="U116" s="72">
        <f t="shared" si="81"/>
        <v>353.496764705882</v>
      </c>
      <c r="V116" s="72"/>
      <c r="W116" s="72"/>
      <c r="X116" s="72">
        <f t="shared" si="76"/>
        <v>13044.0306176471</v>
      </c>
      <c r="Y116" s="85">
        <f t="shared" si="82"/>
        <v>2861.66235932353</v>
      </c>
      <c r="Z116" s="97">
        <v>777.2</v>
      </c>
      <c r="AA116" s="85"/>
      <c r="AB116" s="85">
        <f t="shared" si="74"/>
        <v>3638.86235932353</v>
      </c>
      <c r="AC116" s="86">
        <v>7.28</v>
      </c>
      <c r="AD116" s="72">
        <f t="shared" si="79"/>
        <v>26490.9179758753</v>
      </c>
      <c r="AE116" s="72">
        <f t="shared" si="77"/>
        <v>39534.9485935224</v>
      </c>
      <c r="AF116" s="72">
        <f t="shared" si="78"/>
        <v>17625.0514064776</v>
      </c>
    </row>
    <row r="117" s="2" customFormat="1" spans="1:32">
      <c r="A117" s="20"/>
      <c r="B117" s="21"/>
      <c r="C117" s="22">
        <v>241015000033</v>
      </c>
      <c r="D117" s="23">
        <v>45587</v>
      </c>
      <c r="E117" s="23" t="s">
        <v>59</v>
      </c>
      <c r="F117" s="21" t="s">
        <v>60</v>
      </c>
      <c r="G117" s="21" t="s">
        <v>114</v>
      </c>
      <c r="H117" s="88">
        <v>6.7059</v>
      </c>
      <c r="I117" s="88">
        <v>796</v>
      </c>
      <c r="J117" s="42">
        <v>17295.8</v>
      </c>
      <c r="K117" s="86"/>
      <c r="L117" s="44"/>
      <c r="M117" s="45"/>
      <c r="N117" s="92"/>
      <c r="O117" s="21"/>
      <c r="P117" s="48">
        <f t="shared" si="83"/>
        <v>17295.8</v>
      </c>
      <c r="Q117" s="95"/>
      <c r="R117" s="95"/>
      <c r="S117" s="72">
        <f t="shared" si="80"/>
        <v>4602.41695588235</v>
      </c>
      <c r="T117" s="72"/>
      <c r="U117" s="72">
        <f t="shared" si="81"/>
        <v>128.201029411765</v>
      </c>
      <c r="V117" s="104">
        <v>300</v>
      </c>
      <c r="W117" s="72"/>
      <c r="X117" s="72">
        <f t="shared" si="76"/>
        <v>5030.61798529412</v>
      </c>
      <c r="Y117" s="85">
        <f t="shared" si="82"/>
        <v>1037.82579339706</v>
      </c>
      <c r="Z117" s="97">
        <v>299.37</v>
      </c>
      <c r="AA117" s="85"/>
      <c r="AB117" s="85">
        <f t="shared" si="74"/>
        <v>1337.19579339706</v>
      </c>
      <c r="AC117" s="86">
        <v>7.28</v>
      </c>
      <c r="AD117" s="72">
        <f t="shared" si="79"/>
        <v>9734.78537593059</v>
      </c>
      <c r="AE117" s="72">
        <f t="shared" si="77"/>
        <v>14765.4033612247</v>
      </c>
      <c r="AF117" s="72">
        <f t="shared" si="78"/>
        <v>2530.3966387753</v>
      </c>
    </row>
    <row r="118" s="2" customFormat="1" spans="1:32">
      <c r="A118" s="20"/>
      <c r="B118" s="21"/>
      <c r="C118" s="22">
        <v>241016000053</v>
      </c>
      <c r="D118" s="23">
        <v>45587</v>
      </c>
      <c r="E118" s="23" t="s">
        <v>69</v>
      </c>
      <c r="F118" s="21" t="s">
        <v>70</v>
      </c>
      <c r="G118" s="21" t="s">
        <v>76</v>
      </c>
      <c r="H118" s="88">
        <v>1.2066</v>
      </c>
      <c r="I118" s="88">
        <v>116</v>
      </c>
      <c r="J118" s="42">
        <v>2950.46</v>
      </c>
      <c r="K118" s="86"/>
      <c r="L118" s="44"/>
      <c r="M118" s="45"/>
      <c r="N118" s="92"/>
      <c r="O118" s="21"/>
      <c r="P118" s="48">
        <f t="shared" si="83"/>
        <v>2950.46</v>
      </c>
      <c r="Q118" s="95"/>
      <c r="R118" s="95"/>
      <c r="S118" s="72">
        <f t="shared" si="80"/>
        <v>828.117970588235</v>
      </c>
      <c r="T118" s="72"/>
      <c r="U118" s="72">
        <f t="shared" si="81"/>
        <v>23.0673529411765</v>
      </c>
      <c r="V118" s="104">
        <v>300</v>
      </c>
      <c r="W118" s="72"/>
      <c r="X118" s="72">
        <f t="shared" si="76"/>
        <v>1151.18532352941</v>
      </c>
      <c r="Y118" s="85">
        <f t="shared" si="82"/>
        <v>186.737142264706</v>
      </c>
      <c r="Z118" s="85"/>
      <c r="AA118" s="85"/>
      <c r="AB118" s="85">
        <f t="shared" si="74"/>
        <v>186.737142264706</v>
      </c>
      <c r="AC118" s="86">
        <v>7.28</v>
      </c>
      <c r="AD118" s="72">
        <f t="shared" si="79"/>
        <v>1359.44639568706</v>
      </c>
      <c r="AE118" s="72">
        <f t="shared" si="77"/>
        <v>2510.63171921647</v>
      </c>
      <c r="AF118" s="72">
        <f t="shared" si="78"/>
        <v>439.82828078353</v>
      </c>
    </row>
    <row r="119" s="2" customFormat="1" spans="1:32">
      <c r="A119" s="20"/>
      <c r="B119" s="21"/>
      <c r="C119" s="22">
        <v>241017000056</v>
      </c>
      <c r="D119" s="23">
        <v>45587</v>
      </c>
      <c r="E119" s="23" t="s">
        <v>69</v>
      </c>
      <c r="F119" s="21" t="s">
        <v>70</v>
      </c>
      <c r="G119" s="21" t="s">
        <v>80</v>
      </c>
      <c r="H119" s="88">
        <v>8.013</v>
      </c>
      <c r="I119" s="88">
        <v>788</v>
      </c>
      <c r="J119" s="48"/>
      <c r="K119" s="90">
        <v>4131000</v>
      </c>
      <c r="L119" s="44"/>
      <c r="M119" s="45">
        <f t="shared" ref="M119:M124" si="84">SUM(K119/N119)</f>
        <v>1700</v>
      </c>
      <c r="N119" s="46">
        <v>2430</v>
      </c>
      <c r="O119" s="21">
        <v>7.26</v>
      </c>
      <c r="P119" s="48">
        <f t="shared" ref="P119:P124" si="85">SUM(N119*O119)</f>
        <v>17641.8</v>
      </c>
      <c r="Q119" s="95"/>
      <c r="R119" s="95"/>
      <c r="S119" s="72">
        <f t="shared" si="80"/>
        <v>5499.51044117647</v>
      </c>
      <c r="T119" s="72"/>
      <c r="U119" s="72">
        <f t="shared" si="81"/>
        <v>153.189705882353</v>
      </c>
      <c r="V119" s="72"/>
      <c r="W119" s="72"/>
      <c r="X119" s="72">
        <f t="shared" si="76"/>
        <v>5652.70014705882</v>
      </c>
      <c r="Y119" s="85">
        <f t="shared" si="82"/>
        <v>1240.11662602941</v>
      </c>
      <c r="Z119" s="85"/>
      <c r="AA119" s="85"/>
      <c r="AB119" s="85">
        <f t="shared" si="74"/>
        <v>1240.11662602941</v>
      </c>
      <c r="AC119" s="86">
        <v>7.28</v>
      </c>
      <c r="AD119" s="72">
        <f t="shared" si="79"/>
        <v>9028.04903749412</v>
      </c>
      <c r="AE119" s="72">
        <f t="shared" si="77"/>
        <v>14680.7491845529</v>
      </c>
      <c r="AF119" s="72">
        <f t="shared" si="78"/>
        <v>2961.0508154471</v>
      </c>
    </row>
    <row r="120" s="2" customFormat="1" spans="1:32">
      <c r="A120" s="20"/>
      <c r="B120" s="21"/>
      <c r="C120" s="22">
        <v>241018000013</v>
      </c>
      <c r="D120" s="23">
        <v>45587</v>
      </c>
      <c r="E120" s="23" t="s">
        <v>63</v>
      </c>
      <c r="F120" s="21" t="s">
        <v>64</v>
      </c>
      <c r="G120" s="21" t="s">
        <v>131</v>
      </c>
      <c r="H120" s="88">
        <v>0.0116</v>
      </c>
      <c r="I120" s="88">
        <v>31</v>
      </c>
      <c r="J120" s="42">
        <v>397.5</v>
      </c>
      <c r="K120" s="86"/>
      <c r="L120" s="44"/>
      <c r="M120" s="45"/>
      <c r="N120" s="92"/>
      <c r="O120" s="21"/>
      <c r="P120" s="48">
        <f t="shared" ref="P120:P123" si="86">SUBTOTAL(9,J120)</f>
        <v>397.5</v>
      </c>
      <c r="Q120" s="95"/>
      <c r="R120" s="95"/>
      <c r="S120" s="72">
        <f t="shared" si="80"/>
        <v>7.96135294117647</v>
      </c>
      <c r="T120" s="72"/>
      <c r="U120" s="72">
        <f t="shared" si="81"/>
        <v>0.221764705882353</v>
      </c>
      <c r="V120" s="72"/>
      <c r="W120" s="104">
        <v>62</v>
      </c>
      <c r="X120" s="72">
        <f t="shared" si="76"/>
        <v>70.1831176470588</v>
      </c>
      <c r="Y120" s="85">
        <f t="shared" si="82"/>
        <v>1.79525182352941</v>
      </c>
      <c r="Z120" s="97">
        <v>13.24</v>
      </c>
      <c r="AA120" s="85"/>
      <c r="AB120" s="85">
        <f t="shared" si="74"/>
        <v>15.0352518235294</v>
      </c>
      <c r="AC120" s="86">
        <v>7.28</v>
      </c>
      <c r="AD120" s="72">
        <f t="shared" si="79"/>
        <v>109.456633275294</v>
      </c>
      <c r="AE120" s="72">
        <f t="shared" si="77"/>
        <v>179.639750922353</v>
      </c>
      <c r="AF120" s="72">
        <f t="shared" si="78"/>
        <v>217.860249077647</v>
      </c>
    </row>
    <row r="121" s="2" customFormat="1" spans="1:32">
      <c r="A121" s="20"/>
      <c r="B121" s="21"/>
      <c r="C121" s="22">
        <v>241018000027</v>
      </c>
      <c r="D121" s="23">
        <v>45587</v>
      </c>
      <c r="E121" s="23" t="s">
        <v>69</v>
      </c>
      <c r="F121" s="21" t="s">
        <v>70</v>
      </c>
      <c r="G121" s="21" t="s">
        <v>81</v>
      </c>
      <c r="H121" s="88">
        <v>1.3662</v>
      </c>
      <c r="I121" s="88">
        <v>373</v>
      </c>
      <c r="J121" s="48"/>
      <c r="K121" s="90">
        <v>745280</v>
      </c>
      <c r="L121" s="44"/>
      <c r="M121" s="45">
        <f t="shared" si="84"/>
        <v>1700</v>
      </c>
      <c r="N121" s="46">
        <v>438.4</v>
      </c>
      <c r="O121" s="21">
        <v>7.29</v>
      </c>
      <c r="P121" s="48">
        <f t="shared" si="85"/>
        <v>3195.936</v>
      </c>
      <c r="Q121" s="95"/>
      <c r="R121" s="95"/>
      <c r="S121" s="72">
        <f t="shared" si="80"/>
        <v>937.655205882353</v>
      </c>
      <c r="T121" s="72"/>
      <c r="U121" s="72">
        <f t="shared" si="81"/>
        <v>26.1185294117647</v>
      </c>
      <c r="V121" s="72"/>
      <c r="W121" s="72"/>
      <c r="X121" s="72">
        <f t="shared" si="76"/>
        <v>963.773735294118</v>
      </c>
      <c r="Y121" s="85">
        <f t="shared" si="82"/>
        <v>211.437331147059</v>
      </c>
      <c r="Z121" s="97">
        <v>12.09</v>
      </c>
      <c r="AA121" s="85"/>
      <c r="AB121" s="85">
        <f t="shared" si="74"/>
        <v>223.527331147059</v>
      </c>
      <c r="AC121" s="86">
        <v>7.28</v>
      </c>
      <c r="AD121" s="72">
        <f t="shared" si="79"/>
        <v>1627.27897075059</v>
      </c>
      <c r="AE121" s="72">
        <f t="shared" si="77"/>
        <v>2591.05270604471</v>
      </c>
      <c r="AF121" s="72">
        <f t="shared" si="78"/>
        <v>604.88329395529</v>
      </c>
    </row>
    <row r="122" s="2" customFormat="1" spans="1:32">
      <c r="A122" s="20"/>
      <c r="B122" s="21"/>
      <c r="C122" s="22">
        <v>241018000032</v>
      </c>
      <c r="D122" s="23">
        <v>45587</v>
      </c>
      <c r="E122" s="23" t="s">
        <v>63</v>
      </c>
      <c r="F122" s="21" t="s">
        <v>64</v>
      </c>
      <c r="G122" s="21" t="s">
        <v>117</v>
      </c>
      <c r="H122" s="88">
        <v>0.2617</v>
      </c>
      <c r="I122" s="88">
        <v>43</v>
      </c>
      <c r="J122" s="42">
        <v>595.4</v>
      </c>
      <c r="K122" s="86"/>
      <c r="L122" s="44"/>
      <c r="M122" s="45"/>
      <c r="N122" s="92"/>
      <c r="O122" s="21"/>
      <c r="P122" s="48">
        <f t="shared" si="86"/>
        <v>595.4</v>
      </c>
      <c r="Q122" s="95"/>
      <c r="R122" s="95"/>
      <c r="S122" s="72">
        <f t="shared" si="80"/>
        <v>179.610867647059</v>
      </c>
      <c r="T122" s="72"/>
      <c r="U122" s="72">
        <f t="shared" si="81"/>
        <v>5.00308823529412</v>
      </c>
      <c r="V122" s="72"/>
      <c r="W122" s="72"/>
      <c r="X122" s="72">
        <f t="shared" si="76"/>
        <v>184.613955882353</v>
      </c>
      <c r="Y122" s="85">
        <f t="shared" si="82"/>
        <v>40.5015001911765</v>
      </c>
      <c r="Z122" s="85"/>
      <c r="AA122" s="85"/>
      <c r="AB122" s="85">
        <f t="shared" si="74"/>
        <v>40.5015001911765</v>
      </c>
      <c r="AC122" s="86">
        <v>7.28</v>
      </c>
      <c r="AD122" s="72">
        <f t="shared" si="79"/>
        <v>294.850921391765</v>
      </c>
      <c r="AE122" s="72">
        <f t="shared" si="77"/>
        <v>479.464877274118</v>
      </c>
      <c r="AF122" s="72">
        <f t="shared" si="78"/>
        <v>115.935122725882</v>
      </c>
    </row>
    <row r="123" s="2" customFormat="1" spans="1:32">
      <c r="A123" s="20"/>
      <c r="B123" s="21"/>
      <c r="C123" s="22">
        <v>241018000040</v>
      </c>
      <c r="D123" s="23">
        <v>45587</v>
      </c>
      <c r="E123" s="23" t="s">
        <v>109</v>
      </c>
      <c r="F123" s="21" t="s">
        <v>110</v>
      </c>
      <c r="G123" s="21" t="s">
        <v>111</v>
      </c>
      <c r="H123" s="88">
        <v>0.072</v>
      </c>
      <c r="I123" s="88">
        <v>11</v>
      </c>
      <c r="J123" s="42">
        <v>153.3</v>
      </c>
      <c r="K123" s="86"/>
      <c r="L123" s="44"/>
      <c r="M123" s="45"/>
      <c r="N123" s="92"/>
      <c r="O123" s="21"/>
      <c r="P123" s="48">
        <f t="shared" si="86"/>
        <v>153.3</v>
      </c>
      <c r="Q123" s="95"/>
      <c r="R123" s="95"/>
      <c r="S123" s="72">
        <f t="shared" si="80"/>
        <v>49.4152941176471</v>
      </c>
      <c r="T123" s="72"/>
      <c r="U123" s="72">
        <f t="shared" si="81"/>
        <v>1.37647058823529</v>
      </c>
      <c r="V123" s="72"/>
      <c r="W123" s="72"/>
      <c r="X123" s="72">
        <f t="shared" si="76"/>
        <v>50.7917647058824</v>
      </c>
      <c r="Y123" s="85">
        <f t="shared" si="82"/>
        <v>11.1429423529412</v>
      </c>
      <c r="Z123" s="85"/>
      <c r="AA123" s="85"/>
      <c r="AB123" s="85">
        <f t="shared" si="74"/>
        <v>11.1429423529412</v>
      </c>
      <c r="AC123" s="86">
        <v>7.28</v>
      </c>
      <c r="AD123" s="72">
        <f t="shared" si="79"/>
        <v>81.1206203294117</v>
      </c>
      <c r="AE123" s="72">
        <f t="shared" si="77"/>
        <v>131.912385035294</v>
      </c>
      <c r="AF123" s="72">
        <f t="shared" si="78"/>
        <v>21.387614964706</v>
      </c>
    </row>
    <row r="124" s="2" customFormat="1" spans="1:32">
      <c r="A124" s="20"/>
      <c r="B124" s="21"/>
      <c r="C124" s="22">
        <v>241019000014</v>
      </c>
      <c r="D124" s="23">
        <v>45587</v>
      </c>
      <c r="E124" s="23" t="s">
        <v>63</v>
      </c>
      <c r="F124" s="21" t="s">
        <v>64</v>
      </c>
      <c r="G124" s="21" t="s">
        <v>66</v>
      </c>
      <c r="H124" s="88">
        <v>0.1797</v>
      </c>
      <c r="I124" s="88">
        <v>75</v>
      </c>
      <c r="J124" s="48"/>
      <c r="K124" s="90">
        <v>98978.4</v>
      </c>
      <c r="L124" s="44"/>
      <c r="M124" s="45">
        <f t="shared" si="84"/>
        <v>1867.16433367962</v>
      </c>
      <c r="N124" s="46">
        <v>53.01001</v>
      </c>
      <c r="O124" s="21">
        <v>7.27</v>
      </c>
      <c r="P124" s="48">
        <f t="shared" si="85"/>
        <v>385.3827727</v>
      </c>
      <c r="Q124" s="95"/>
      <c r="R124" s="95"/>
      <c r="S124" s="72">
        <f t="shared" si="80"/>
        <v>123.332338235294</v>
      </c>
      <c r="T124" s="72"/>
      <c r="U124" s="72">
        <f t="shared" si="81"/>
        <v>3.43544117647059</v>
      </c>
      <c r="V124" s="72"/>
      <c r="W124" s="72"/>
      <c r="X124" s="72">
        <f t="shared" si="76"/>
        <v>126.767779411765</v>
      </c>
      <c r="Y124" s="85">
        <f t="shared" si="82"/>
        <v>27.8109269558824</v>
      </c>
      <c r="Z124" s="85"/>
      <c r="AA124" s="85"/>
      <c r="AB124" s="85">
        <f t="shared" si="74"/>
        <v>27.8109269558824</v>
      </c>
      <c r="AC124" s="86">
        <v>7.28</v>
      </c>
      <c r="AD124" s="72">
        <f t="shared" si="79"/>
        <v>202.463548238824</v>
      </c>
      <c r="AE124" s="72">
        <f t="shared" si="77"/>
        <v>329.231327650588</v>
      </c>
      <c r="AF124" s="72">
        <f t="shared" si="78"/>
        <v>56.151445049412</v>
      </c>
    </row>
    <row r="125" s="2" customFormat="1" spans="1:32">
      <c r="A125" s="20"/>
      <c r="B125" s="21"/>
      <c r="C125" s="22">
        <v>241021000038</v>
      </c>
      <c r="D125" s="23">
        <v>45587</v>
      </c>
      <c r="E125" s="23" t="s">
        <v>109</v>
      </c>
      <c r="F125" s="21" t="s">
        <v>110</v>
      </c>
      <c r="G125" s="21" t="s">
        <v>132</v>
      </c>
      <c r="H125" s="88">
        <v>0.443</v>
      </c>
      <c r="I125" s="88">
        <v>70</v>
      </c>
      <c r="J125" s="42">
        <v>1201</v>
      </c>
      <c r="K125" s="86"/>
      <c r="L125" s="44"/>
      <c r="M125" s="45"/>
      <c r="N125" s="92"/>
      <c r="O125" s="21"/>
      <c r="P125" s="48">
        <f>SUBTOTAL(9,J125)</f>
        <v>1201</v>
      </c>
      <c r="Q125" s="95"/>
      <c r="R125" s="95"/>
      <c r="S125" s="72">
        <f t="shared" si="80"/>
        <v>304.041323529412</v>
      </c>
      <c r="T125" s="72"/>
      <c r="U125" s="72">
        <f t="shared" si="81"/>
        <v>8.46911764705882</v>
      </c>
      <c r="V125" s="72"/>
      <c r="W125" s="72"/>
      <c r="X125" s="72">
        <f t="shared" si="76"/>
        <v>312.510441176471</v>
      </c>
      <c r="Y125" s="85">
        <f t="shared" si="82"/>
        <v>68.5600480882353</v>
      </c>
      <c r="Z125" s="85"/>
      <c r="AA125" s="85"/>
      <c r="AB125" s="85">
        <f t="shared" si="74"/>
        <v>68.5600480882353</v>
      </c>
      <c r="AC125" s="86">
        <v>7.28</v>
      </c>
      <c r="AD125" s="72">
        <f t="shared" si="79"/>
        <v>499.117150082353</v>
      </c>
      <c r="AE125" s="72">
        <f t="shared" si="77"/>
        <v>811.627591258824</v>
      </c>
      <c r="AF125" s="72">
        <f t="shared" si="78"/>
        <v>389.372408741176</v>
      </c>
    </row>
    <row r="126" s="2" customFormat="1" spans="1:32">
      <c r="A126" s="20"/>
      <c r="B126" s="21"/>
      <c r="C126" s="22">
        <v>241021000046</v>
      </c>
      <c r="D126" s="23">
        <v>45587</v>
      </c>
      <c r="E126" s="23" t="s">
        <v>63</v>
      </c>
      <c r="F126" s="21" t="s">
        <v>64</v>
      </c>
      <c r="G126" s="21" t="s">
        <v>72</v>
      </c>
      <c r="H126" s="88">
        <v>2.7577</v>
      </c>
      <c r="I126" s="88">
        <v>1156</v>
      </c>
      <c r="J126" s="48"/>
      <c r="K126" s="90">
        <v>1342546</v>
      </c>
      <c r="L126" s="44"/>
      <c r="M126" s="45">
        <f t="shared" ref="M126:M132" si="87">SUM(K126/N126)</f>
        <v>1678.60204559877</v>
      </c>
      <c r="N126" s="46">
        <v>799.80005</v>
      </c>
      <c r="O126" s="21">
        <v>7.27</v>
      </c>
      <c r="P126" s="48">
        <f t="shared" ref="P126:P132" si="88">SUM(N126*O126)</f>
        <v>5814.5463635</v>
      </c>
      <c r="Q126" s="95"/>
      <c r="R126" s="95"/>
      <c r="S126" s="72">
        <f t="shared" si="80"/>
        <v>1892.67439705882</v>
      </c>
      <c r="T126" s="72"/>
      <c r="U126" s="72">
        <f t="shared" si="81"/>
        <v>52.7207352941176</v>
      </c>
      <c r="V126" s="72"/>
      <c r="W126" s="72"/>
      <c r="X126" s="72">
        <f t="shared" si="76"/>
        <v>1945.39513235294</v>
      </c>
      <c r="Y126" s="85">
        <f t="shared" si="82"/>
        <v>426.790168426471</v>
      </c>
      <c r="Z126" s="85"/>
      <c r="AA126" s="85"/>
      <c r="AB126" s="85">
        <f t="shared" si="74"/>
        <v>426.790168426471</v>
      </c>
      <c r="AC126" s="86">
        <v>7.28</v>
      </c>
      <c r="AD126" s="72">
        <f t="shared" si="79"/>
        <v>3107.03242614471</v>
      </c>
      <c r="AE126" s="72">
        <f t="shared" si="77"/>
        <v>5052.42755849765</v>
      </c>
      <c r="AF126" s="72">
        <f t="shared" si="78"/>
        <v>762.118805002349</v>
      </c>
    </row>
    <row r="127" s="2" customFormat="1" spans="1:32">
      <c r="A127" s="20"/>
      <c r="B127" s="21"/>
      <c r="C127" s="22">
        <v>241021000062</v>
      </c>
      <c r="D127" s="23">
        <v>45587</v>
      </c>
      <c r="E127" s="23" t="s">
        <v>69</v>
      </c>
      <c r="F127" s="21" t="s">
        <v>70</v>
      </c>
      <c r="G127" s="21" t="s">
        <v>76</v>
      </c>
      <c r="H127" s="88">
        <v>0.2357</v>
      </c>
      <c r="I127" s="88">
        <v>19</v>
      </c>
      <c r="J127" s="42">
        <v>489.22</v>
      </c>
      <c r="K127" s="86"/>
      <c r="L127" s="44"/>
      <c r="M127" s="45"/>
      <c r="N127" s="92"/>
      <c r="O127" s="21"/>
      <c r="P127" s="48">
        <f>SUBTOTAL(9,J127)</f>
        <v>489.22</v>
      </c>
      <c r="Q127" s="95"/>
      <c r="R127" s="95"/>
      <c r="S127" s="72">
        <f t="shared" si="80"/>
        <v>161.766455882353</v>
      </c>
      <c r="T127" s="72"/>
      <c r="U127" s="72">
        <f t="shared" si="81"/>
        <v>4.50602941176471</v>
      </c>
      <c r="V127" s="72"/>
      <c r="W127" s="72"/>
      <c r="X127" s="72">
        <f t="shared" si="76"/>
        <v>166.272485294118</v>
      </c>
      <c r="Y127" s="85">
        <f t="shared" si="82"/>
        <v>36.4776598970588</v>
      </c>
      <c r="Z127" s="85"/>
      <c r="AA127" s="85"/>
      <c r="AB127" s="85">
        <f t="shared" si="74"/>
        <v>36.4776598970588</v>
      </c>
      <c r="AC127" s="86">
        <v>7.28</v>
      </c>
      <c r="AD127" s="72">
        <f t="shared" si="79"/>
        <v>265.557364050588</v>
      </c>
      <c r="AE127" s="72">
        <f t="shared" si="77"/>
        <v>431.829849344706</v>
      </c>
      <c r="AF127" s="72">
        <f t="shared" si="78"/>
        <v>57.390150655294</v>
      </c>
    </row>
    <row r="128" s="2" customFormat="1" spans="1:32">
      <c r="A128" s="20"/>
      <c r="B128" s="21"/>
      <c r="C128" s="22">
        <v>241022000014</v>
      </c>
      <c r="D128" s="23">
        <v>45587</v>
      </c>
      <c r="E128" s="23" t="s">
        <v>85</v>
      </c>
      <c r="F128" s="21" t="s">
        <v>86</v>
      </c>
      <c r="G128" s="21" t="s">
        <v>75</v>
      </c>
      <c r="H128" s="88">
        <v>0.168</v>
      </c>
      <c r="I128" s="88">
        <v>64</v>
      </c>
      <c r="J128" s="48"/>
      <c r="K128" s="90">
        <v>67947.46</v>
      </c>
      <c r="L128" s="44"/>
      <c r="M128" s="45">
        <f t="shared" ref="M128:M130" si="89">SUM(K128/N128)</f>
        <v>1631</v>
      </c>
      <c r="N128" s="46">
        <v>41.66</v>
      </c>
      <c r="O128" s="21">
        <v>7.35</v>
      </c>
      <c r="P128" s="48">
        <f t="shared" ref="P128:P130" si="90">SUM(N128*O128)</f>
        <v>306.201</v>
      </c>
      <c r="Q128" s="95"/>
      <c r="R128" s="95"/>
      <c r="S128" s="72">
        <f t="shared" si="80"/>
        <v>115.302352941176</v>
      </c>
      <c r="T128" s="72"/>
      <c r="U128" s="72">
        <f t="shared" si="81"/>
        <v>3.21176470588235</v>
      </c>
      <c r="V128" s="72"/>
      <c r="W128" s="72"/>
      <c r="X128" s="72">
        <f t="shared" si="76"/>
        <v>118.514117647059</v>
      </c>
      <c r="Y128" s="85">
        <f t="shared" si="82"/>
        <v>26.0001988235294</v>
      </c>
      <c r="Z128" s="85"/>
      <c r="AA128" s="85"/>
      <c r="AB128" s="85">
        <f t="shared" si="74"/>
        <v>26.0001988235294</v>
      </c>
      <c r="AC128" s="86">
        <v>7.28</v>
      </c>
      <c r="AD128" s="72">
        <f t="shared" si="79"/>
        <v>189.281447435294</v>
      </c>
      <c r="AE128" s="72">
        <f t="shared" si="77"/>
        <v>307.795565082353</v>
      </c>
      <c r="AF128" s="72">
        <f t="shared" si="78"/>
        <v>-1.59456508235303</v>
      </c>
    </row>
    <row r="129" s="2" customFormat="1" spans="1:32">
      <c r="A129" s="20"/>
      <c r="B129" s="21"/>
      <c r="C129" s="22">
        <v>241022000015</v>
      </c>
      <c r="D129" s="23">
        <v>45587</v>
      </c>
      <c r="E129" s="23" t="s">
        <v>85</v>
      </c>
      <c r="F129" s="21" t="s">
        <v>86</v>
      </c>
      <c r="G129" s="21" t="s">
        <v>75</v>
      </c>
      <c r="H129" s="88">
        <v>0.145</v>
      </c>
      <c r="I129" s="88">
        <v>27</v>
      </c>
      <c r="J129" s="48"/>
      <c r="K129" s="90">
        <v>58650.76</v>
      </c>
      <c r="L129" s="44"/>
      <c r="M129" s="45">
        <f t="shared" si="89"/>
        <v>1631</v>
      </c>
      <c r="N129" s="46">
        <v>35.96</v>
      </c>
      <c r="O129" s="21">
        <v>7.35</v>
      </c>
      <c r="P129" s="48">
        <f t="shared" si="90"/>
        <v>264.306</v>
      </c>
      <c r="Q129" s="95"/>
      <c r="R129" s="95"/>
      <c r="S129" s="72">
        <f t="shared" si="80"/>
        <v>99.5169117647059</v>
      </c>
      <c r="T129" s="72"/>
      <c r="U129" s="72">
        <f t="shared" si="81"/>
        <v>2.77205882352941</v>
      </c>
      <c r="V129" s="72"/>
      <c r="W129" s="72"/>
      <c r="X129" s="72">
        <f t="shared" si="76"/>
        <v>102.288970588235</v>
      </c>
      <c r="Y129" s="85">
        <f t="shared" si="82"/>
        <v>22.4406477941176</v>
      </c>
      <c r="Z129" s="85"/>
      <c r="AA129" s="85"/>
      <c r="AB129" s="85">
        <f t="shared" si="74"/>
        <v>22.4406477941176</v>
      </c>
      <c r="AC129" s="86">
        <v>7.28</v>
      </c>
      <c r="AD129" s="72">
        <f t="shared" si="79"/>
        <v>163.367915941176</v>
      </c>
      <c r="AE129" s="72">
        <f t="shared" si="77"/>
        <v>265.656886529412</v>
      </c>
      <c r="AF129" s="72">
        <f t="shared" si="78"/>
        <v>-1.35088652941204</v>
      </c>
    </row>
    <row r="130" s="2" customFormat="1" spans="1:32">
      <c r="A130" s="20"/>
      <c r="B130" s="21"/>
      <c r="C130" s="22">
        <v>241022000016</v>
      </c>
      <c r="D130" s="23">
        <v>45587</v>
      </c>
      <c r="E130" s="23" t="s">
        <v>85</v>
      </c>
      <c r="F130" s="21" t="s">
        <v>86</v>
      </c>
      <c r="G130" s="21" t="s">
        <v>75</v>
      </c>
      <c r="H130" s="88">
        <v>0.3529</v>
      </c>
      <c r="I130" s="88">
        <v>36</v>
      </c>
      <c r="J130" s="48"/>
      <c r="K130" s="90">
        <v>142761.43</v>
      </c>
      <c r="L130" s="44"/>
      <c r="M130" s="45">
        <f t="shared" si="89"/>
        <v>1631</v>
      </c>
      <c r="N130" s="46">
        <v>87.53</v>
      </c>
      <c r="O130" s="21">
        <v>7.35</v>
      </c>
      <c r="P130" s="48">
        <f t="shared" si="90"/>
        <v>643.3455</v>
      </c>
      <c r="Q130" s="95"/>
      <c r="R130" s="95"/>
      <c r="S130" s="72">
        <f t="shared" si="80"/>
        <v>242.203573529412</v>
      </c>
      <c r="T130" s="72"/>
      <c r="U130" s="72">
        <f t="shared" si="81"/>
        <v>6.74661764705882</v>
      </c>
      <c r="V130" s="72"/>
      <c r="W130" s="72"/>
      <c r="X130" s="72">
        <f t="shared" si="76"/>
        <v>248.950191176471</v>
      </c>
      <c r="Y130" s="85">
        <f t="shared" si="82"/>
        <v>54.6158938382353</v>
      </c>
      <c r="Z130" s="85"/>
      <c r="AA130" s="85"/>
      <c r="AB130" s="85">
        <f t="shared" si="74"/>
        <v>54.6158938382353</v>
      </c>
      <c r="AC130" s="86">
        <v>7.28</v>
      </c>
      <c r="AD130" s="72">
        <f t="shared" si="79"/>
        <v>397.603707142353</v>
      </c>
      <c r="AE130" s="72">
        <f t="shared" si="77"/>
        <v>646.553898318823</v>
      </c>
      <c r="AF130" s="72">
        <f t="shared" si="78"/>
        <v>-3.20839831882301</v>
      </c>
    </row>
    <row r="131" s="2" customFormat="1" spans="1:32">
      <c r="A131" s="20"/>
      <c r="B131" s="21"/>
      <c r="C131" s="22">
        <v>241017000051</v>
      </c>
      <c r="D131" s="23">
        <v>45593</v>
      </c>
      <c r="E131" s="23" t="s">
        <v>69</v>
      </c>
      <c r="F131" s="21" t="s">
        <v>70</v>
      </c>
      <c r="G131" s="21" t="s">
        <v>80</v>
      </c>
      <c r="H131" s="88">
        <v>3.59</v>
      </c>
      <c r="I131" s="88">
        <v>279</v>
      </c>
      <c r="J131" s="48"/>
      <c r="K131" s="90">
        <v>2138600</v>
      </c>
      <c r="L131" s="44"/>
      <c r="M131" s="45">
        <f t="shared" si="87"/>
        <v>1700</v>
      </c>
      <c r="N131" s="46">
        <v>1258</v>
      </c>
      <c r="O131" s="21">
        <v>7.26</v>
      </c>
      <c r="P131" s="48">
        <f t="shared" si="88"/>
        <v>9133.08</v>
      </c>
      <c r="Q131" s="95"/>
      <c r="R131" s="95"/>
      <c r="S131" s="72">
        <f t="shared" si="80"/>
        <v>2463.90147058824</v>
      </c>
      <c r="T131" s="72"/>
      <c r="U131" s="72">
        <f t="shared" si="81"/>
        <v>68.6323529411765</v>
      </c>
      <c r="V131" s="72"/>
      <c r="W131" s="72"/>
      <c r="X131" s="72">
        <f t="shared" si="76"/>
        <v>2532.53382352941</v>
      </c>
      <c r="Y131" s="85">
        <f t="shared" si="82"/>
        <v>555.599486764706</v>
      </c>
      <c r="Z131" s="85"/>
      <c r="AA131" s="85"/>
      <c r="AB131" s="85">
        <f t="shared" si="74"/>
        <v>555.599486764706</v>
      </c>
      <c r="AC131" s="86">
        <v>7.28</v>
      </c>
      <c r="AD131" s="72">
        <f t="shared" si="79"/>
        <v>4044.76426364706</v>
      </c>
      <c r="AE131" s="72">
        <f t="shared" si="77"/>
        <v>6577.29808717647</v>
      </c>
      <c r="AF131" s="72">
        <f t="shared" si="78"/>
        <v>2555.78191282353</v>
      </c>
    </row>
    <row r="132" s="2" customFormat="1" spans="1:32">
      <c r="A132" s="20"/>
      <c r="B132" s="21"/>
      <c r="C132" s="22">
        <v>241019000010</v>
      </c>
      <c r="D132" s="23">
        <v>45593</v>
      </c>
      <c r="E132" s="23" t="s">
        <v>63</v>
      </c>
      <c r="F132" s="21" t="s">
        <v>64</v>
      </c>
      <c r="G132" s="21" t="s">
        <v>66</v>
      </c>
      <c r="H132" s="88">
        <v>0.5263</v>
      </c>
      <c r="I132" s="88">
        <v>165</v>
      </c>
      <c r="J132" s="48"/>
      <c r="K132" s="90">
        <v>257287</v>
      </c>
      <c r="L132" s="44"/>
      <c r="M132" s="45">
        <f t="shared" si="87"/>
        <v>1652.87806758319</v>
      </c>
      <c r="N132" s="46">
        <v>155.66</v>
      </c>
      <c r="O132" s="21">
        <v>7.29</v>
      </c>
      <c r="P132" s="48">
        <f t="shared" si="88"/>
        <v>1134.7614</v>
      </c>
      <c r="Q132" s="95"/>
      <c r="R132" s="95"/>
      <c r="S132" s="72">
        <f t="shared" si="80"/>
        <v>361.212073529412</v>
      </c>
      <c r="T132" s="72"/>
      <c r="U132" s="72">
        <f t="shared" si="81"/>
        <v>10.0616176470588</v>
      </c>
      <c r="V132" s="72"/>
      <c r="W132" s="72"/>
      <c r="X132" s="72">
        <f t="shared" si="76"/>
        <v>371.273691176471</v>
      </c>
      <c r="Y132" s="85">
        <f t="shared" si="82"/>
        <v>81.4518133382353</v>
      </c>
      <c r="Z132" s="85"/>
      <c r="AA132" s="85"/>
      <c r="AB132" s="85">
        <f t="shared" si="74"/>
        <v>81.4518133382353</v>
      </c>
      <c r="AC132" s="86">
        <v>7.28</v>
      </c>
      <c r="AD132" s="72">
        <f t="shared" si="79"/>
        <v>592.969201102353</v>
      </c>
      <c r="AE132" s="72">
        <f t="shared" si="77"/>
        <v>964.242892278823</v>
      </c>
      <c r="AF132" s="72">
        <f t="shared" si="78"/>
        <v>170.518507721177</v>
      </c>
    </row>
    <row r="133" s="2" customFormat="1" spans="1:32">
      <c r="A133" s="20"/>
      <c r="B133" s="21"/>
      <c r="C133" s="22">
        <v>241014000059</v>
      </c>
      <c r="D133" s="23">
        <v>45593</v>
      </c>
      <c r="E133" s="23" t="s">
        <v>63</v>
      </c>
      <c r="F133" s="21" t="s">
        <v>64</v>
      </c>
      <c r="G133" s="21" t="s">
        <v>106</v>
      </c>
      <c r="H133" s="88">
        <v>2.7811</v>
      </c>
      <c r="I133" s="88">
        <v>410</v>
      </c>
      <c r="J133" s="42">
        <v>6035</v>
      </c>
      <c r="K133" s="86"/>
      <c r="L133" s="44"/>
      <c r="M133" s="45"/>
      <c r="N133" s="92"/>
      <c r="O133" s="21"/>
      <c r="P133" s="48">
        <f t="shared" ref="P133:P138" si="91">SUBTOTAL(9,J133)</f>
        <v>6035</v>
      </c>
      <c r="Q133" s="95"/>
      <c r="R133" s="95"/>
      <c r="S133" s="72">
        <f t="shared" si="80"/>
        <v>1908.73436764706</v>
      </c>
      <c r="T133" s="72"/>
      <c r="U133" s="72">
        <f t="shared" si="81"/>
        <v>53.1680882352941</v>
      </c>
      <c r="V133" s="72"/>
      <c r="W133" s="72"/>
      <c r="X133" s="72">
        <f t="shared" si="76"/>
        <v>1961.90245588235</v>
      </c>
      <c r="Y133" s="85">
        <f t="shared" si="82"/>
        <v>430.411624691176</v>
      </c>
      <c r="Z133" s="85"/>
      <c r="AA133" s="85"/>
      <c r="AB133" s="85">
        <f t="shared" ref="AB133:AB163" si="92">SUM(Y133:AA133)</f>
        <v>430.411624691176</v>
      </c>
      <c r="AC133" s="86">
        <v>7.28</v>
      </c>
      <c r="AD133" s="72">
        <f t="shared" si="79"/>
        <v>3133.39662775176</v>
      </c>
      <c r="AE133" s="72">
        <f t="shared" si="77"/>
        <v>5095.29908363412</v>
      </c>
      <c r="AF133" s="72">
        <f t="shared" si="78"/>
        <v>939.70091636588</v>
      </c>
    </row>
    <row r="134" s="2" customFormat="1" spans="1:32">
      <c r="A134" s="20"/>
      <c r="B134" s="21"/>
      <c r="C134" s="22">
        <v>241022000017</v>
      </c>
      <c r="D134" s="23">
        <v>45587</v>
      </c>
      <c r="E134" s="23" t="s">
        <v>85</v>
      </c>
      <c r="F134" s="21" t="s">
        <v>86</v>
      </c>
      <c r="G134" s="21" t="s">
        <v>75</v>
      </c>
      <c r="H134" s="88">
        <v>0.053</v>
      </c>
      <c r="I134" s="88">
        <v>9</v>
      </c>
      <c r="J134" s="48"/>
      <c r="K134" s="90">
        <v>21447.65</v>
      </c>
      <c r="L134" s="44"/>
      <c r="M134" s="45">
        <f>SUM(K134/N134)</f>
        <v>1631</v>
      </c>
      <c r="N134" s="46">
        <v>13.15</v>
      </c>
      <c r="O134" s="21">
        <v>7.35</v>
      </c>
      <c r="P134" s="48">
        <f>SUM(N134*O134)</f>
        <v>96.6525</v>
      </c>
      <c r="Q134" s="96"/>
      <c r="R134" s="96"/>
      <c r="S134" s="72">
        <f t="shared" si="80"/>
        <v>36.3751470588235</v>
      </c>
      <c r="T134" s="72"/>
      <c r="U134" s="72">
        <f t="shared" si="81"/>
        <v>1.01323529411765</v>
      </c>
      <c r="V134" s="72"/>
      <c r="W134" s="72"/>
      <c r="X134" s="72">
        <f t="shared" ref="X134:X154" si="93">SUM(S134:W134)</f>
        <v>37.3883823529412</v>
      </c>
      <c r="Y134" s="85">
        <f t="shared" si="82"/>
        <v>8.20244367647059</v>
      </c>
      <c r="Z134" s="85"/>
      <c r="AA134" s="85"/>
      <c r="AB134" s="85">
        <f t="shared" si="92"/>
        <v>8.20244367647059</v>
      </c>
      <c r="AC134" s="86">
        <v>7.28</v>
      </c>
      <c r="AD134" s="72">
        <f t="shared" si="79"/>
        <v>59.7137899647059</v>
      </c>
      <c r="AE134" s="72">
        <f t="shared" ref="AE134:AE154" si="94">SUM(X134+AD134)</f>
        <v>97.102172317647</v>
      </c>
      <c r="AF134" s="72">
        <f t="shared" ref="AF134:AF154" si="95">SUM(P134-AE134)</f>
        <v>-0.449672317647</v>
      </c>
    </row>
    <row r="135" s="2" customFormat="1" spans="1:32">
      <c r="A135" s="20" t="s">
        <v>18</v>
      </c>
      <c r="B135" s="21" t="s">
        <v>19</v>
      </c>
      <c r="C135" s="22">
        <v>241009000018</v>
      </c>
      <c r="D135" s="23">
        <v>45593</v>
      </c>
      <c r="E135" s="23" t="s">
        <v>63</v>
      </c>
      <c r="F135" s="21" t="s">
        <v>64</v>
      </c>
      <c r="G135" s="21" t="s">
        <v>119</v>
      </c>
      <c r="H135" s="88">
        <v>5.4554</v>
      </c>
      <c r="I135" s="88">
        <v>1522</v>
      </c>
      <c r="J135" s="42">
        <v>13408.72</v>
      </c>
      <c r="K135" s="86"/>
      <c r="L135" s="44"/>
      <c r="M135" s="45"/>
      <c r="N135" s="92"/>
      <c r="O135" s="21"/>
      <c r="P135" s="48">
        <f t="shared" si="91"/>
        <v>13408.72</v>
      </c>
      <c r="Q135" s="93">
        <f>SUM(P135:P154)</f>
        <v>150424.7374</v>
      </c>
      <c r="R135" s="94" t="s">
        <v>133</v>
      </c>
      <c r="S135" s="72">
        <f>SUM(47586/68)*H135</f>
        <v>3817.65682941176</v>
      </c>
      <c r="T135" s="72"/>
      <c r="U135" s="72">
        <f>SUM(1900/68)*H135</f>
        <v>152.430294117647</v>
      </c>
      <c r="V135" s="72"/>
      <c r="W135" s="72"/>
      <c r="X135" s="72">
        <f t="shared" si="93"/>
        <v>3970.08712352941</v>
      </c>
      <c r="Y135" s="85">
        <f>SUM(11133.9/68)*H135</f>
        <v>893.233500882353</v>
      </c>
      <c r="Z135" s="97">
        <v>59.22</v>
      </c>
      <c r="AA135" s="85"/>
      <c r="AB135" s="85">
        <f t="shared" si="92"/>
        <v>952.453500882353</v>
      </c>
      <c r="AC135" s="86">
        <v>7.3</v>
      </c>
      <c r="AD135" s="72">
        <f t="shared" ref="AD135:AD154" si="96">SUM(AB135*AC135)</f>
        <v>6952.91055644118</v>
      </c>
      <c r="AE135" s="72">
        <f t="shared" si="94"/>
        <v>10922.9976799706</v>
      </c>
      <c r="AF135" s="72">
        <f t="shared" si="95"/>
        <v>2485.7223200294</v>
      </c>
    </row>
    <row r="136" s="2" customFormat="1" spans="1:32">
      <c r="A136" s="20"/>
      <c r="B136" s="21"/>
      <c r="C136" s="22">
        <v>241014000044</v>
      </c>
      <c r="D136" s="23">
        <v>45593</v>
      </c>
      <c r="E136" s="23" t="s">
        <v>63</v>
      </c>
      <c r="F136" s="21" t="s">
        <v>64</v>
      </c>
      <c r="G136" s="21" t="s">
        <v>104</v>
      </c>
      <c r="H136" s="88">
        <v>0.6091</v>
      </c>
      <c r="I136" s="88">
        <v>363</v>
      </c>
      <c r="J136" s="42">
        <v>1326.75</v>
      </c>
      <c r="K136" s="86"/>
      <c r="L136" s="44"/>
      <c r="M136" s="45"/>
      <c r="N136" s="92"/>
      <c r="O136" s="21"/>
      <c r="P136" s="48">
        <f t="shared" si="91"/>
        <v>1326.75</v>
      </c>
      <c r="Q136" s="95"/>
      <c r="R136" s="95"/>
      <c r="S136" s="72">
        <f t="shared" ref="S136:S154" si="97">SUM(47586/68)*H136</f>
        <v>426.244597058824</v>
      </c>
      <c r="T136" s="72"/>
      <c r="U136" s="72">
        <f t="shared" ref="U136:U154" si="98">SUM(1900/68)*H136</f>
        <v>17.0189705882353</v>
      </c>
      <c r="V136" s="72"/>
      <c r="W136" s="72"/>
      <c r="X136" s="72">
        <f t="shared" si="93"/>
        <v>443.263567647059</v>
      </c>
      <c r="Y136" s="85">
        <f t="shared" ref="Y136:Y155" si="99">SUM(11133.9/68)*H136</f>
        <v>99.7302719117647</v>
      </c>
      <c r="Z136" s="85"/>
      <c r="AA136" s="85"/>
      <c r="AB136" s="85">
        <f t="shared" si="92"/>
        <v>99.7302719117647</v>
      </c>
      <c r="AC136" s="86">
        <v>7.3</v>
      </c>
      <c r="AD136" s="72">
        <f t="shared" si="96"/>
        <v>728.030984955882</v>
      </c>
      <c r="AE136" s="72">
        <f t="shared" si="94"/>
        <v>1171.29455260294</v>
      </c>
      <c r="AF136" s="72">
        <f t="shared" si="95"/>
        <v>155.45544739706</v>
      </c>
    </row>
    <row r="137" s="2" customFormat="1" spans="1:32">
      <c r="A137" s="20"/>
      <c r="B137" s="21"/>
      <c r="C137" s="22">
        <v>241014000059</v>
      </c>
      <c r="D137" s="23">
        <v>45593</v>
      </c>
      <c r="E137" s="23" t="s">
        <v>63</v>
      </c>
      <c r="F137" s="21" t="s">
        <v>64</v>
      </c>
      <c r="G137" s="21" t="s">
        <v>106</v>
      </c>
      <c r="H137" s="88">
        <v>6.7537</v>
      </c>
      <c r="I137" s="88">
        <v>2221</v>
      </c>
      <c r="J137" s="42">
        <v>14651</v>
      </c>
      <c r="K137" s="86"/>
      <c r="L137" s="44"/>
      <c r="M137" s="45"/>
      <c r="N137" s="92"/>
      <c r="O137" s="21"/>
      <c r="P137" s="48">
        <f t="shared" si="91"/>
        <v>14651</v>
      </c>
      <c r="Q137" s="95"/>
      <c r="R137" s="95"/>
      <c r="S137" s="72">
        <f t="shared" si="97"/>
        <v>4726.19953235294</v>
      </c>
      <c r="T137" s="72"/>
      <c r="U137" s="72">
        <f t="shared" si="98"/>
        <v>188.706323529412</v>
      </c>
      <c r="V137" s="72"/>
      <c r="W137" s="72"/>
      <c r="X137" s="72">
        <f t="shared" si="93"/>
        <v>4914.90585588235</v>
      </c>
      <c r="Y137" s="85">
        <f t="shared" si="99"/>
        <v>1105.80912397059</v>
      </c>
      <c r="Z137" s="85"/>
      <c r="AA137" s="85"/>
      <c r="AB137" s="85">
        <f t="shared" si="92"/>
        <v>1105.80912397059</v>
      </c>
      <c r="AC137" s="86">
        <v>7.3</v>
      </c>
      <c r="AD137" s="72">
        <f t="shared" si="96"/>
        <v>8072.40660498529</v>
      </c>
      <c r="AE137" s="72">
        <f t="shared" si="94"/>
        <v>12987.3124608676</v>
      </c>
      <c r="AF137" s="72">
        <f t="shared" si="95"/>
        <v>1663.6875391324</v>
      </c>
    </row>
    <row r="138" s="2" customFormat="1" spans="1:32">
      <c r="A138" s="20"/>
      <c r="B138" s="21"/>
      <c r="C138" s="22">
        <v>241016000027</v>
      </c>
      <c r="D138" s="23">
        <v>45593</v>
      </c>
      <c r="E138" s="23" t="s">
        <v>63</v>
      </c>
      <c r="F138" s="21" t="s">
        <v>64</v>
      </c>
      <c r="G138" s="21" t="s">
        <v>119</v>
      </c>
      <c r="H138" s="88">
        <v>1.4941</v>
      </c>
      <c r="I138" s="88">
        <v>1016</v>
      </c>
      <c r="J138" s="42">
        <v>3860.6</v>
      </c>
      <c r="K138" s="86"/>
      <c r="L138" s="44"/>
      <c r="M138" s="45"/>
      <c r="N138" s="92"/>
      <c r="O138" s="21"/>
      <c r="P138" s="48">
        <f t="shared" si="91"/>
        <v>3860.6</v>
      </c>
      <c r="Q138" s="95"/>
      <c r="R138" s="95"/>
      <c r="S138" s="72">
        <f t="shared" si="97"/>
        <v>1045.56239117647</v>
      </c>
      <c r="T138" s="72"/>
      <c r="U138" s="72">
        <f t="shared" si="98"/>
        <v>41.7469117647059</v>
      </c>
      <c r="V138" s="72"/>
      <c r="W138" s="72"/>
      <c r="X138" s="72">
        <f t="shared" si="93"/>
        <v>1087.30930294118</v>
      </c>
      <c r="Y138" s="85">
        <f t="shared" si="99"/>
        <v>244.634705735294</v>
      </c>
      <c r="Z138" s="97">
        <v>16.25</v>
      </c>
      <c r="AA138" s="85"/>
      <c r="AB138" s="85">
        <f t="shared" si="92"/>
        <v>260.884705735294</v>
      </c>
      <c r="AC138" s="86">
        <v>7.3</v>
      </c>
      <c r="AD138" s="72">
        <f t="shared" si="96"/>
        <v>1904.45835186765</v>
      </c>
      <c r="AE138" s="72">
        <f t="shared" si="94"/>
        <v>2991.76765480882</v>
      </c>
      <c r="AF138" s="72">
        <f t="shared" si="95"/>
        <v>868.83234519118</v>
      </c>
    </row>
    <row r="139" s="2" customFormat="1" spans="1:32">
      <c r="A139" s="20"/>
      <c r="B139" s="21"/>
      <c r="C139" s="22">
        <v>241016000054</v>
      </c>
      <c r="D139" s="23">
        <v>45593</v>
      </c>
      <c r="E139" s="23" t="s">
        <v>100</v>
      </c>
      <c r="F139" s="21" t="s">
        <v>101</v>
      </c>
      <c r="G139" s="21" t="s">
        <v>102</v>
      </c>
      <c r="H139" s="88">
        <v>1.8336</v>
      </c>
      <c r="I139" s="88">
        <v>260</v>
      </c>
      <c r="J139" s="48"/>
      <c r="K139" s="86"/>
      <c r="L139" s="44"/>
      <c r="M139" s="45">
        <f t="shared" ref="M139:M142" si="100">SUM(K139/N139)</f>
        <v>0</v>
      </c>
      <c r="N139" s="92">
        <v>550.08</v>
      </c>
      <c r="O139" s="21">
        <v>7.11</v>
      </c>
      <c r="P139" s="48">
        <f t="shared" ref="P139:P142" si="101">SUM(N139*O139)</f>
        <v>3911.0688</v>
      </c>
      <c r="Q139" s="95"/>
      <c r="R139" s="95"/>
      <c r="S139" s="72">
        <f t="shared" si="97"/>
        <v>1283.14249411765</v>
      </c>
      <c r="T139" s="72"/>
      <c r="U139" s="72">
        <f t="shared" si="98"/>
        <v>51.2329411764706</v>
      </c>
      <c r="V139" s="72"/>
      <c r="W139" s="72"/>
      <c r="X139" s="72">
        <f t="shared" si="93"/>
        <v>1334.37543529412</v>
      </c>
      <c r="Y139" s="85">
        <f t="shared" si="99"/>
        <v>300.222338823529</v>
      </c>
      <c r="Z139" s="85"/>
      <c r="AA139" s="85"/>
      <c r="AB139" s="85">
        <f t="shared" si="92"/>
        <v>300.222338823529</v>
      </c>
      <c r="AC139" s="86">
        <v>7.3</v>
      </c>
      <c r="AD139" s="72">
        <f t="shared" si="96"/>
        <v>2191.62307341176</v>
      </c>
      <c r="AE139" s="72">
        <f t="shared" si="94"/>
        <v>3525.99850870588</v>
      </c>
      <c r="AF139" s="72">
        <f t="shared" si="95"/>
        <v>385.07029129412</v>
      </c>
    </row>
    <row r="140" s="2" customFormat="1" spans="1:32">
      <c r="A140" s="20"/>
      <c r="B140" s="21"/>
      <c r="C140" s="22">
        <v>241017000021</v>
      </c>
      <c r="D140" s="23">
        <v>45593</v>
      </c>
      <c r="E140" s="23" t="s">
        <v>59</v>
      </c>
      <c r="F140" s="21" t="s">
        <v>60</v>
      </c>
      <c r="G140" s="21" t="s">
        <v>61</v>
      </c>
      <c r="H140" s="88">
        <v>4.4844</v>
      </c>
      <c r="I140" s="88">
        <v>764</v>
      </c>
      <c r="J140" s="103">
        <v>10328.9</v>
      </c>
      <c r="K140" s="86"/>
      <c r="L140" s="44"/>
      <c r="M140" s="45"/>
      <c r="N140" s="44"/>
      <c r="O140" s="21"/>
      <c r="P140" s="48">
        <f>SUM(J140)</f>
        <v>10328.9</v>
      </c>
      <c r="Q140" s="95"/>
      <c r="R140" s="95"/>
      <c r="S140" s="72">
        <f t="shared" si="97"/>
        <v>3138.15674117647</v>
      </c>
      <c r="T140" s="72"/>
      <c r="U140" s="72">
        <f t="shared" si="98"/>
        <v>125.299411764706</v>
      </c>
      <c r="V140" s="72"/>
      <c r="W140" s="72"/>
      <c r="X140" s="72">
        <f t="shared" si="93"/>
        <v>3263.45615294118</v>
      </c>
      <c r="Y140" s="85">
        <f t="shared" si="99"/>
        <v>734.247958235294</v>
      </c>
      <c r="Z140" s="97">
        <v>109.73</v>
      </c>
      <c r="AA140" s="85"/>
      <c r="AB140" s="85">
        <f t="shared" si="92"/>
        <v>843.977958235294</v>
      </c>
      <c r="AC140" s="86">
        <v>7.3</v>
      </c>
      <c r="AD140" s="72">
        <f t="shared" si="96"/>
        <v>6161.03909511765</v>
      </c>
      <c r="AE140" s="72">
        <f t="shared" si="94"/>
        <v>9424.49524805882</v>
      </c>
      <c r="AF140" s="72">
        <f t="shared" si="95"/>
        <v>904.40475194118</v>
      </c>
    </row>
    <row r="141" s="2" customFormat="1" spans="1:32">
      <c r="A141" s="20"/>
      <c r="B141" s="21"/>
      <c r="C141" s="22">
        <v>241017000051</v>
      </c>
      <c r="D141" s="23">
        <v>45593</v>
      </c>
      <c r="E141" s="23" t="s">
        <v>69</v>
      </c>
      <c r="F141" s="21" t="s">
        <v>70</v>
      </c>
      <c r="G141" s="21" t="s">
        <v>80</v>
      </c>
      <c r="H141" s="88">
        <v>3.273</v>
      </c>
      <c r="I141" s="88">
        <v>2588</v>
      </c>
      <c r="J141" s="48"/>
      <c r="K141" s="90">
        <v>1949050</v>
      </c>
      <c r="L141" s="44"/>
      <c r="M141" s="45">
        <f t="shared" si="100"/>
        <v>1700</v>
      </c>
      <c r="N141" s="46">
        <v>1146.5</v>
      </c>
      <c r="O141" s="21">
        <v>7.26</v>
      </c>
      <c r="P141" s="48">
        <f t="shared" si="101"/>
        <v>8323.59</v>
      </c>
      <c r="Q141" s="95"/>
      <c r="R141" s="95"/>
      <c r="S141" s="72">
        <f t="shared" si="97"/>
        <v>2290.42614705882</v>
      </c>
      <c r="T141" s="72"/>
      <c r="U141" s="72">
        <f t="shared" si="98"/>
        <v>91.4514705882353</v>
      </c>
      <c r="V141" s="72"/>
      <c r="W141" s="72"/>
      <c r="X141" s="72">
        <f t="shared" si="93"/>
        <v>2381.87761764706</v>
      </c>
      <c r="Y141" s="85">
        <f t="shared" si="99"/>
        <v>535.900804411765</v>
      </c>
      <c r="Z141" s="85"/>
      <c r="AA141" s="85"/>
      <c r="AB141" s="85">
        <f t="shared" si="92"/>
        <v>535.900804411765</v>
      </c>
      <c r="AC141" s="86">
        <v>7.3</v>
      </c>
      <c r="AD141" s="72">
        <f t="shared" si="96"/>
        <v>3912.07587220588</v>
      </c>
      <c r="AE141" s="72">
        <f t="shared" si="94"/>
        <v>6293.95348985294</v>
      </c>
      <c r="AF141" s="72">
        <f t="shared" si="95"/>
        <v>2029.63651014706</v>
      </c>
    </row>
    <row r="142" s="2" customFormat="1" spans="1:32">
      <c r="A142" s="20"/>
      <c r="B142" s="21"/>
      <c r="C142" s="22">
        <v>241019000010</v>
      </c>
      <c r="D142" s="23">
        <v>45593</v>
      </c>
      <c r="E142" s="23" t="s">
        <v>63</v>
      </c>
      <c r="F142" s="21" t="s">
        <v>64</v>
      </c>
      <c r="G142" s="21" t="s">
        <v>66</v>
      </c>
      <c r="H142" s="88">
        <v>1.4386</v>
      </c>
      <c r="I142" s="88">
        <v>615</v>
      </c>
      <c r="J142" s="48"/>
      <c r="K142" s="90">
        <v>703277</v>
      </c>
      <c r="L142" s="44"/>
      <c r="M142" s="45">
        <f t="shared" si="100"/>
        <v>1652.86375708007</v>
      </c>
      <c r="N142" s="46">
        <v>425.49</v>
      </c>
      <c r="O142" s="21">
        <v>7.29</v>
      </c>
      <c r="P142" s="48">
        <f t="shared" si="101"/>
        <v>3101.8221</v>
      </c>
      <c r="Q142" s="95"/>
      <c r="R142" s="95"/>
      <c r="S142" s="72">
        <f t="shared" si="97"/>
        <v>1006.72381764706</v>
      </c>
      <c r="T142" s="72"/>
      <c r="U142" s="72">
        <f t="shared" si="98"/>
        <v>40.1961764705882</v>
      </c>
      <c r="V142" s="72"/>
      <c r="W142" s="72"/>
      <c r="X142" s="72">
        <f t="shared" si="93"/>
        <v>1046.91999411765</v>
      </c>
      <c r="Y142" s="85">
        <f t="shared" si="99"/>
        <v>235.547478529412</v>
      </c>
      <c r="Z142" s="85"/>
      <c r="AA142" s="85"/>
      <c r="AB142" s="85">
        <f t="shared" si="92"/>
        <v>235.547478529412</v>
      </c>
      <c r="AC142" s="86">
        <v>7.3</v>
      </c>
      <c r="AD142" s="72">
        <f t="shared" si="96"/>
        <v>1719.49659326471</v>
      </c>
      <c r="AE142" s="72">
        <f t="shared" si="94"/>
        <v>2766.41658738235</v>
      </c>
      <c r="AF142" s="72">
        <f t="shared" si="95"/>
        <v>335.40551261765</v>
      </c>
    </row>
    <row r="143" s="2" customFormat="1" spans="1:32">
      <c r="A143" s="20"/>
      <c r="B143" s="21"/>
      <c r="C143" s="22">
        <v>241021000039</v>
      </c>
      <c r="D143" s="23">
        <v>45593</v>
      </c>
      <c r="E143" s="23" t="s">
        <v>63</v>
      </c>
      <c r="F143" s="21" t="s">
        <v>64</v>
      </c>
      <c r="G143" s="21" t="s">
        <v>134</v>
      </c>
      <c r="H143" s="88">
        <v>0.075</v>
      </c>
      <c r="I143" s="88">
        <v>11</v>
      </c>
      <c r="J143" s="42">
        <v>220.5</v>
      </c>
      <c r="K143" s="86"/>
      <c r="L143" s="44"/>
      <c r="M143" s="45"/>
      <c r="N143" s="92"/>
      <c r="O143" s="21"/>
      <c r="P143" s="48">
        <f t="shared" ref="P143:P151" si="102">SUBTOTAL(9,J143)</f>
        <v>220.5</v>
      </c>
      <c r="Q143" s="95"/>
      <c r="R143" s="95"/>
      <c r="S143" s="72">
        <f t="shared" si="97"/>
        <v>52.4845588235294</v>
      </c>
      <c r="T143" s="72"/>
      <c r="U143" s="72">
        <f t="shared" si="98"/>
        <v>2.09558823529412</v>
      </c>
      <c r="V143" s="72"/>
      <c r="W143" s="72"/>
      <c r="X143" s="72">
        <f t="shared" si="93"/>
        <v>54.5801470588235</v>
      </c>
      <c r="Y143" s="85">
        <f t="shared" si="99"/>
        <v>12.2800367647059</v>
      </c>
      <c r="Z143" s="85"/>
      <c r="AA143" s="85"/>
      <c r="AB143" s="85">
        <f t="shared" si="92"/>
        <v>12.2800367647059</v>
      </c>
      <c r="AC143" s="86">
        <v>7.3</v>
      </c>
      <c r="AD143" s="72">
        <f t="shared" si="96"/>
        <v>89.6442683823529</v>
      </c>
      <c r="AE143" s="72">
        <f t="shared" si="94"/>
        <v>144.224415441176</v>
      </c>
      <c r="AF143" s="72">
        <f t="shared" si="95"/>
        <v>76.275584558824</v>
      </c>
    </row>
    <row r="144" s="2" customFormat="1" spans="1:32">
      <c r="A144" s="20"/>
      <c r="B144" s="21"/>
      <c r="C144" s="22">
        <v>241021000069</v>
      </c>
      <c r="D144" s="23">
        <v>45593</v>
      </c>
      <c r="E144" s="23" t="s">
        <v>74</v>
      </c>
      <c r="F144" s="21" t="s">
        <v>74</v>
      </c>
      <c r="G144" s="21" t="s">
        <v>118</v>
      </c>
      <c r="H144" s="88">
        <v>0.9189</v>
      </c>
      <c r="I144" s="88">
        <v>373</v>
      </c>
      <c r="J144" s="42">
        <v>2175.03</v>
      </c>
      <c r="K144" s="86"/>
      <c r="L144" s="44"/>
      <c r="M144" s="45"/>
      <c r="N144" s="92"/>
      <c r="O144" s="21"/>
      <c r="P144" s="48">
        <f t="shared" si="102"/>
        <v>2175.03</v>
      </c>
      <c r="Q144" s="95"/>
      <c r="R144" s="95"/>
      <c r="S144" s="72">
        <f t="shared" si="97"/>
        <v>643.040814705882</v>
      </c>
      <c r="T144" s="72"/>
      <c r="U144" s="72">
        <f t="shared" si="98"/>
        <v>25.6751470588235</v>
      </c>
      <c r="V144" s="72">
        <v>96</v>
      </c>
      <c r="W144" s="72"/>
      <c r="X144" s="72">
        <f t="shared" si="93"/>
        <v>764.715961764706</v>
      </c>
      <c r="Y144" s="85">
        <f t="shared" si="99"/>
        <v>150.455010441176</v>
      </c>
      <c r="Z144" s="85"/>
      <c r="AA144" s="85"/>
      <c r="AB144" s="85">
        <f t="shared" si="92"/>
        <v>150.455010441176</v>
      </c>
      <c r="AC144" s="86">
        <v>7.3</v>
      </c>
      <c r="AD144" s="72">
        <f t="shared" si="96"/>
        <v>1098.32157622059</v>
      </c>
      <c r="AE144" s="72">
        <f t="shared" si="94"/>
        <v>1863.03753798529</v>
      </c>
      <c r="AF144" s="72">
        <f t="shared" si="95"/>
        <v>311.99246201471</v>
      </c>
    </row>
    <row r="145" s="2" customFormat="1" spans="1:32">
      <c r="A145" s="20"/>
      <c r="B145" s="21"/>
      <c r="C145" s="22">
        <v>241023000007</v>
      </c>
      <c r="D145" s="23">
        <v>45593</v>
      </c>
      <c r="E145" s="23" t="s">
        <v>69</v>
      </c>
      <c r="F145" s="21" t="s">
        <v>70</v>
      </c>
      <c r="G145" s="21" t="s">
        <v>124</v>
      </c>
      <c r="H145" s="88">
        <v>0.0575</v>
      </c>
      <c r="I145" s="88">
        <v>26</v>
      </c>
      <c r="J145" s="48"/>
      <c r="K145" s="90">
        <v>54219</v>
      </c>
      <c r="L145" s="44"/>
      <c r="M145" s="45">
        <f>SUM(K145/N145)</f>
        <v>1643</v>
      </c>
      <c r="N145" s="46">
        <v>33</v>
      </c>
      <c r="O145" s="21">
        <v>7.29</v>
      </c>
      <c r="P145" s="48">
        <f>SUM(N145*O145)</f>
        <v>240.57</v>
      </c>
      <c r="Q145" s="95"/>
      <c r="R145" s="95"/>
      <c r="S145" s="72">
        <f t="shared" si="97"/>
        <v>40.2381617647059</v>
      </c>
      <c r="T145" s="72"/>
      <c r="U145" s="72">
        <f t="shared" si="98"/>
        <v>1.60661764705882</v>
      </c>
      <c r="V145" s="72"/>
      <c r="W145" s="72"/>
      <c r="X145" s="72">
        <f t="shared" si="93"/>
        <v>41.8447794117647</v>
      </c>
      <c r="Y145" s="85">
        <f t="shared" si="99"/>
        <v>9.41469485294118</v>
      </c>
      <c r="Z145" s="85"/>
      <c r="AA145" s="85"/>
      <c r="AB145" s="85">
        <f t="shared" si="92"/>
        <v>9.41469485294118</v>
      </c>
      <c r="AC145" s="86">
        <v>7.3</v>
      </c>
      <c r="AD145" s="72">
        <f t="shared" si="96"/>
        <v>68.7272724264706</v>
      </c>
      <c r="AE145" s="72">
        <f t="shared" si="94"/>
        <v>110.572051838235</v>
      </c>
      <c r="AF145" s="72">
        <f t="shared" si="95"/>
        <v>129.997948161765</v>
      </c>
    </row>
    <row r="146" s="2" customFormat="1" spans="1:32">
      <c r="A146" s="20"/>
      <c r="B146" s="21"/>
      <c r="C146" s="22">
        <v>241023000026</v>
      </c>
      <c r="D146" s="23">
        <v>45593</v>
      </c>
      <c r="E146" s="23" t="s">
        <v>63</v>
      </c>
      <c r="F146" s="21" t="s">
        <v>64</v>
      </c>
      <c r="G146" s="21" t="s">
        <v>72</v>
      </c>
      <c r="H146" s="88">
        <v>2.1367</v>
      </c>
      <c r="I146" s="88">
        <v>934</v>
      </c>
      <c r="J146" s="48"/>
      <c r="K146" s="90">
        <v>1025772</v>
      </c>
      <c r="L146" s="44"/>
      <c r="M146" s="45">
        <f>SUM(K146/N146)</f>
        <v>1652.87141475991</v>
      </c>
      <c r="N146" s="46">
        <v>620.6</v>
      </c>
      <c r="O146" s="21">
        <v>7.29</v>
      </c>
      <c r="P146" s="48">
        <f>SUM(N146*O146)</f>
        <v>4524.174</v>
      </c>
      <c r="Q146" s="95"/>
      <c r="R146" s="95"/>
      <c r="S146" s="72">
        <f t="shared" si="97"/>
        <v>1495.25009117647</v>
      </c>
      <c r="T146" s="72"/>
      <c r="U146" s="72">
        <f t="shared" si="98"/>
        <v>59.7019117647059</v>
      </c>
      <c r="V146" s="72"/>
      <c r="W146" s="72"/>
      <c r="X146" s="72">
        <f t="shared" si="93"/>
        <v>1554.95200294118</v>
      </c>
      <c r="Y146" s="85">
        <f t="shared" si="99"/>
        <v>349.850060735294</v>
      </c>
      <c r="Z146" s="85"/>
      <c r="AA146" s="85"/>
      <c r="AB146" s="85">
        <f t="shared" si="92"/>
        <v>349.850060735294</v>
      </c>
      <c r="AC146" s="86">
        <v>7.3</v>
      </c>
      <c r="AD146" s="72">
        <f t="shared" si="96"/>
        <v>2553.90544336765</v>
      </c>
      <c r="AE146" s="72">
        <f t="shared" si="94"/>
        <v>4108.85744630882</v>
      </c>
      <c r="AF146" s="72">
        <f t="shared" si="95"/>
        <v>415.31655369118</v>
      </c>
    </row>
    <row r="147" s="2" customFormat="1" spans="1:32">
      <c r="A147" s="20"/>
      <c r="B147" s="21"/>
      <c r="C147" s="22">
        <v>241023000028</v>
      </c>
      <c r="D147" s="23">
        <v>45593</v>
      </c>
      <c r="E147" s="23" t="s">
        <v>82</v>
      </c>
      <c r="F147" s="21" t="s">
        <v>83</v>
      </c>
      <c r="G147" s="21" t="s">
        <v>98</v>
      </c>
      <c r="H147" s="88">
        <v>1.7499</v>
      </c>
      <c r="I147" s="88">
        <v>398</v>
      </c>
      <c r="J147" s="42">
        <v>3525.68</v>
      </c>
      <c r="K147" s="86"/>
      <c r="L147" s="44"/>
      <c r="M147" s="45"/>
      <c r="N147" s="92"/>
      <c r="O147" s="21"/>
      <c r="P147" s="48">
        <f t="shared" si="102"/>
        <v>3525.68</v>
      </c>
      <c r="Q147" s="95"/>
      <c r="R147" s="95"/>
      <c r="S147" s="72">
        <f t="shared" si="97"/>
        <v>1224.56972647059</v>
      </c>
      <c r="T147" s="72"/>
      <c r="U147" s="72">
        <f t="shared" si="98"/>
        <v>48.8942647058824</v>
      </c>
      <c r="V147" s="72"/>
      <c r="W147" s="72"/>
      <c r="X147" s="72">
        <f t="shared" si="93"/>
        <v>1273.46399117647</v>
      </c>
      <c r="Y147" s="85">
        <f t="shared" si="99"/>
        <v>286.517817794118</v>
      </c>
      <c r="Z147" s="85"/>
      <c r="AA147" s="85"/>
      <c r="AB147" s="85">
        <f t="shared" si="92"/>
        <v>286.517817794118</v>
      </c>
      <c r="AC147" s="86">
        <v>7.3</v>
      </c>
      <c r="AD147" s="72">
        <f t="shared" si="96"/>
        <v>2091.58006989706</v>
      </c>
      <c r="AE147" s="72">
        <f t="shared" si="94"/>
        <v>3365.04406107353</v>
      </c>
      <c r="AF147" s="72">
        <f t="shared" si="95"/>
        <v>160.63593892647</v>
      </c>
    </row>
    <row r="148" s="2" customFormat="1" spans="1:32">
      <c r="A148" s="20"/>
      <c r="B148" s="21"/>
      <c r="C148" s="22">
        <v>241023000030</v>
      </c>
      <c r="D148" s="23">
        <v>45593</v>
      </c>
      <c r="E148" s="23" t="s">
        <v>82</v>
      </c>
      <c r="F148" s="21" t="s">
        <v>83</v>
      </c>
      <c r="G148" s="21" t="s">
        <v>135</v>
      </c>
      <c r="H148" s="88">
        <v>1.32</v>
      </c>
      <c r="I148" s="88">
        <v>1000</v>
      </c>
      <c r="J148" s="42">
        <v>2601.72</v>
      </c>
      <c r="K148" s="86"/>
      <c r="L148" s="44"/>
      <c r="M148" s="45"/>
      <c r="N148" s="92"/>
      <c r="O148" s="21"/>
      <c r="P148" s="48">
        <f t="shared" si="102"/>
        <v>2601.72</v>
      </c>
      <c r="Q148" s="95"/>
      <c r="R148" s="95"/>
      <c r="S148" s="72">
        <f t="shared" si="97"/>
        <v>923.728235294118</v>
      </c>
      <c r="T148" s="72"/>
      <c r="U148" s="72">
        <f t="shared" si="98"/>
        <v>36.8823529411765</v>
      </c>
      <c r="V148" s="72"/>
      <c r="W148" s="72"/>
      <c r="X148" s="72">
        <f t="shared" si="93"/>
        <v>960.610588235294</v>
      </c>
      <c r="Y148" s="85">
        <f t="shared" si="99"/>
        <v>216.128647058824</v>
      </c>
      <c r="Z148" s="85"/>
      <c r="AA148" s="85"/>
      <c r="AB148" s="85">
        <f t="shared" si="92"/>
        <v>216.128647058824</v>
      </c>
      <c r="AC148" s="86">
        <v>7.3</v>
      </c>
      <c r="AD148" s="72">
        <f t="shared" si="96"/>
        <v>1577.73912352941</v>
      </c>
      <c r="AE148" s="72">
        <f t="shared" si="94"/>
        <v>2538.34971176471</v>
      </c>
      <c r="AF148" s="72">
        <f t="shared" si="95"/>
        <v>63.37028823529</v>
      </c>
    </row>
    <row r="149" s="2" customFormat="1" spans="1:32">
      <c r="A149" s="20"/>
      <c r="B149" s="21"/>
      <c r="C149" s="22">
        <v>241023000035</v>
      </c>
      <c r="D149" s="23">
        <v>45593</v>
      </c>
      <c r="E149" s="23" t="s">
        <v>74</v>
      </c>
      <c r="F149" s="21" t="s">
        <v>74</v>
      </c>
      <c r="G149" s="21" t="s">
        <v>136</v>
      </c>
      <c r="H149" s="88">
        <v>1.2483</v>
      </c>
      <c r="I149" s="88">
        <v>347</v>
      </c>
      <c r="J149" s="42">
        <v>2824</v>
      </c>
      <c r="K149" s="86"/>
      <c r="L149" s="44"/>
      <c r="M149" s="45"/>
      <c r="N149" s="92"/>
      <c r="O149" s="21"/>
      <c r="P149" s="48">
        <f t="shared" si="102"/>
        <v>2824</v>
      </c>
      <c r="Q149" s="95"/>
      <c r="R149" s="95"/>
      <c r="S149" s="72">
        <f t="shared" si="97"/>
        <v>873.552997058824</v>
      </c>
      <c r="T149" s="72"/>
      <c r="U149" s="72">
        <f t="shared" si="98"/>
        <v>34.8789705882353</v>
      </c>
      <c r="V149" s="72"/>
      <c r="W149" s="72"/>
      <c r="X149" s="72">
        <f t="shared" si="93"/>
        <v>908.431967647059</v>
      </c>
      <c r="Y149" s="85">
        <f t="shared" si="99"/>
        <v>204.388931911765</v>
      </c>
      <c r="Z149" s="85"/>
      <c r="AA149" s="85"/>
      <c r="AB149" s="85">
        <f t="shared" si="92"/>
        <v>204.388931911765</v>
      </c>
      <c r="AC149" s="86">
        <v>7.3</v>
      </c>
      <c r="AD149" s="72">
        <f t="shared" si="96"/>
        <v>1492.03920295588</v>
      </c>
      <c r="AE149" s="72">
        <f t="shared" si="94"/>
        <v>2400.47117060294</v>
      </c>
      <c r="AF149" s="72">
        <f t="shared" si="95"/>
        <v>423.52882939706</v>
      </c>
    </row>
    <row r="150" s="2" customFormat="1" spans="1:32">
      <c r="A150" s="20"/>
      <c r="B150" s="21"/>
      <c r="C150" s="22">
        <v>241024000016</v>
      </c>
      <c r="D150" s="23">
        <v>45593</v>
      </c>
      <c r="E150" s="23" t="s">
        <v>69</v>
      </c>
      <c r="F150" s="21" t="s">
        <v>70</v>
      </c>
      <c r="G150" s="21" t="s">
        <v>76</v>
      </c>
      <c r="H150" s="88">
        <v>0.1931</v>
      </c>
      <c r="I150" s="88">
        <v>24</v>
      </c>
      <c r="J150" s="42">
        <v>410.48</v>
      </c>
      <c r="K150" s="86"/>
      <c r="L150" s="44"/>
      <c r="M150" s="45"/>
      <c r="N150" s="92"/>
      <c r="O150" s="21"/>
      <c r="P150" s="48">
        <f t="shared" si="102"/>
        <v>410.48</v>
      </c>
      <c r="Q150" s="95"/>
      <c r="R150" s="95"/>
      <c r="S150" s="72">
        <f t="shared" si="97"/>
        <v>135.130244117647</v>
      </c>
      <c r="T150" s="72"/>
      <c r="U150" s="72">
        <f t="shared" si="98"/>
        <v>5.39544117647059</v>
      </c>
      <c r="V150" s="72"/>
      <c r="W150" s="72"/>
      <c r="X150" s="72">
        <f t="shared" si="93"/>
        <v>140.525685294118</v>
      </c>
      <c r="Y150" s="85">
        <f t="shared" si="99"/>
        <v>31.6170013235294</v>
      </c>
      <c r="Z150" s="85"/>
      <c r="AA150" s="85"/>
      <c r="AB150" s="85">
        <f t="shared" si="92"/>
        <v>31.6170013235294</v>
      </c>
      <c r="AC150" s="86">
        <v>7.3</v>
      </c>
      <c r="AD150" s="72">
        <f t="shared" si="96"/>
        <v>230.804109661765</v>
      </c>
      <c r="AE150" s="72">
        <f t="shared" si="94"/>
        <v>371.329794955882</v>
      </c>
      <c r="AF150" s="72">
        <f t="shared" si="95"/>
        <v>39.150205044118</v>
      </c>
    </row>
    <row r="151" s="2" customFormat="1" spans="1:32">
      <c r="A151" s="20"/>
      <c r="B151" s="21"/>
      <c r="C151" s="22">
        <v>241025000059</v>
      </c>
      <c r="D151" s="23">
        <v>45593</v>
      </c>
      <c r="E151" s="23" t="s">
        <v>69</v>
      </c>
      <c r="F151" s="21" t="s">
        <v>70</v>
      </c>
      <c r="G151" s="21" t="s">
        <v>76</v>
      </c>
      <c r="H151" s="88">
        <v>2.2221</v>
      </c>
      <c r="I151" s="88">
        <v>248</v>
      </c>
      <c r="J151" s="42">
        <v>4576.85</v>
      </c>
      <c r="K151" s="86"/>
      <c r="L151" s="44"/>
      <c r="M151" s="45"/>
      <c r="N151" s="92"/>
      <c r="O151" s="21"/>
      <c r="P151" s="48">
        <f t="shared" si="102"/>
        <v>4576.85</v>
      </c>
      <c r="Q151" s="95"/>
      <c r="R151" s="95"/>
      <c r="S151" s="72">
        <f t="shared" si="97"/>
        <v>1555.01250882353</v>
      </c>
      <c r="T151" s="72"/>
      <c r="U151" s="72">
        <f t="shared" si="98"/>
        <v>62.0880882352941</v>
      </c>
      <c r="V151" s="72"/>
      <c r="W151" s="72"/>
      <c r="X151" s="72">
        <f t="shared" si="93"/>
        <v>1617.10059705882</v>
      </c>
      <c r="Y151" s="85">
        <f t="shared" si="99"/>
        <v>363.832929264706</v>
      </c>
      <c r="Z151" s="85"/>
      <c r="AA151" s="85"/>
      <c r="AB151" s="85">
        <f t="shared" si="92"/>
        <v>363.832929264706</v>
      </c>
      <c r="AC151" s="86">
        <v>7.3</v>
      </c>
      <c r="AD151" s="72">
        <f t="shared" si="96"/>
        <v>2655.98038363235</v>
      </c>
      <c r="AE151" s="72">
        <f t="shared" si="94"/>
        <v>4273.08098069118</v>
      </c>
      <c r="AF151" s="72">
        <f t="shared" si="95"/>
        <v>303.76901930882</v>
      </c>
    </row>
    <row r="152" s="2" customFormat="1" spans="1:32">
      <c r="A152" s="20"/>
      <c r="B152" s="21"/>
      <c r="C152" s="22">
        <v>241026000019</v>
      </c>
      <c r="D152" s="23">
        <v>45595</v>
      </c>
      <c r="E152" s="23" t="s">
        <v>63</v>
      </c>
      <c r="F152" s="21" t="s">
        <v>64</v>
      </c>
      <c r="G152" s="21" t="s">
        <v>66</v>
      </c>
      <c r="H152" s="88">
        <v>0.3084</v>
      </c>
      <c r="I152" s="88">
        <v>117</v>
      </c>
      <c r="J152" s="48"/>
      <c r="K152" s="90">
        <v>150985</v>
      </c>
      <c r="L152" s="44"/>
      <c r="M152" s="45">
        <f t="shared" ref="M152:M157" si="103">SUM(K152/N152)</f>
        <v>1652.8188286809</v>
      </c>
      <c r="N152" s="46">
        <v>91.35</v>
      </c>
      <c r="O152" s="21">
        <v>7.29</v>
      </c>
      <c r="P152" s="48">
        <f t="shared" ref="P152:P157" si="104">SUM(N152*O152)</f>
        <v>665.9415</v>
      </c>
      <c r="Q152" s="95"/>
      <c r="R152" s="95"/>
      <c r="S152" s="72">
        <f t="shared" si="97"/>
        <v>215.816505882353</v>
      </c>
      <c r="T152" s="72"/>
      <c r="U152" s="72">
        <f t="shared" si="98"/>
        <v>8.61705882352941</v>
      </c>
      <c r="V152" s="72"/>
      <c r="W152" s="72"/>
      <c r="X152" s="72">
        <f t="shared" si="93"/>
        <v>224.433564705882</v>
      </c>
      <c r="Y152" s="85">
        <f t="shared" si="99"/>
        <v>50.4955111764706</v>
      </c>
      <c r="Z152" s="85"/>
      <c r="AA152" s="85"/>
      <c r="AB152" s="85">
        <f t="shared" si="92"/>
        <v>50.4955111764706</v>
      </c>
      <c r="AC152" s="86">
        <v>7.3</v>
      </c>
      <c r="AD152" s="72">
        <f t="shared" si="96"/>
        <v>368.617231588235</v>
      </c>
      <c r="AE152" s="72">
        <f t="shared" si="94"/>
        <v>593.050796294118</v>
      </c>
      <c r="AF152" s="72">
        <f t="shared" si="95"/>
        <v>72.8907037058819</v>
      </c>
    </row>
    <row r="153" s="2" customFormat="1" spans="1:32">
      <c r="A153" s="20"/>
      <c r="B153" s="21"/>
      <c r="C153" s="22">
        <v>241028000021</v>
      </c>
      <c r="D153" s="23">
        <v>45593</v>
      </c>
      <c r="E153" s="23" t="s">
        <v>85</v>
      </c>
      <c r="F153" s="21" t="s">
        <v>86</v>
      </c>
      <c r="G153" s="21" t="s">
        <v>75</v>
      </c>
      <c r="H153" s="88">
        <v>19.7914</v>
      </c>
      <c r="I153" s="88">
        <v>1519</v>
      </c>
      <c r="J153" s="48"/>
      <c r="K153" s="90">
        <v>8739687.36</v>
      </c>
      <c r="L153" s="44"/>
      <c r="M153" s="45">
        <f t="shared" si="103"/>
        <v>1635.55214210724</v>
      </c>
      <c r="N153" s="46">
        <v>5343.57</v>
      </c>
      <c r="O153" s="21">
        <v>7.3</v>
      </c>
      <c r="P153" s="48">
        <f t="shared" si="104"/>
        <v>39008.061</v>
      </c>
      <c r="Q153" s="95"/>
      <c r="R153" s="95"/>
      <c r="S153" s="72">
        <f t="shared" si="97"/>
        <v>13849.9053</v>
      </c>
      <c r="T153" s="72"/>
      <c r="U153" s="72">
        <f t="shared" si="98"/>
        <v>552.995</v>
      </c>
      <c r="V153" s="72"/>
      <c r="W153" s="72"/>
      <c r="X153" s="72">
        <f t="shared" si="93"/>
        <v>14402.9003</v>
      </c>
      <c r="Y153" s="85">
        <f t="shared" si="99"/>
        <v>3240.521595</v>
      </c>
      <c r="Z153" s="85"/>
      <c r="AA153" s="85"/>
      <c r="AB153" s="85">
        <f t="shared" si="92"/>
        <v>3240.521595</v>
      </c>
      <c r="AC153" s="86">
        <v>7.3</v>
      </c>
      <c r="AD153" s="72">
        <f t="shared" si="96"/>
        <v>23655.8076435</v>
      </c>
      <c r="AE153" s="72">
        <f t="shared" si="94"/>
        <v>38058.7079435</v>
      </c>
      <c r="AF153" s="72">
        <f t="shared" si="95"/>
        <v>949.353056499996</v>
      </c>
    </row>
    <row r="154" s="2" customFormat="1" spans="1:32">
      <c r="A154" s="20"/>
      <c r="B154" s="21"/>
      <c r="C154" s="22">
        <v>241031000026</v>
      </c>
      <c r="D154" s="23">
        <v>45593</v>
      </c>
      <c r="E154" s="23" t="s">
        <v>82</v>
      </c>
      <c r="F154" s="21" t="s">
        <v>83</v>
      </c>
      <c r="G154" s="21" t="s">
        <v>87</v>
      </c>
      <c r="H154" s="88">
        <v>13.3255</v>
      </c>
      <c r="I154" s="88">
        <v>13006</v>
      </c>
      <c r="J154" s="42">
        <v>30739.28</v>
      </c>
      <c r="K154" s="86"/>
      <c r="L154" s="44"/>
      <c r="M154" s="45"/>
      <c r="N154" s="92"/>
      <c r="O154" s="21"/>
      <c r="P154" s="48">
        <f t="shared" ref="P154:P163" si="105">SUBTOTAL(9,J154)</f>
        <v>30739.28</v>
      </c>
      <c r="Q154" s="96"/>
      <c r="R154" s="96"/>
      <c r="S154" s="72">
        <f t="shared" si="97"/>
        <v>9325.10651470588</v>
      </c>
      <c r="T154" s="72"/>
      <c r="U154" s="72">
        <f t="shared" si="98"/>
        <v>372.330147058824</v>
      </c>
      <c r="V154" s="72"/>
      <c r="W154" s="72"/>
      <c r="X154" s="72">
        <f t="shared" ref="X154:X163" si="106">SUM(S154:W154)</f>
        <v>9697.4366617647</v>
      </c>
      <c r="Y154" s="85">
        <f t="shared" si="99"/>
        <v>2181.83506544118</v>
      </c>
      <c r="Z154" s="97">
        <v>131.35</v>
      </c>
      <c r="AA154" s="85"/>
      <c r="AB154" s="85">
        <f t="shared" si="92"/>
        <v>2313.18506544118</v>
      </c>
      <c r="AC154" s="86">
        <v>7.3</v>
      </c>
      <c r="AD154" s="72">
        <f t="shared" ref="AD154:AD163" si="107">SUM(AB154*AC154)</f>
        <v>16886.2509777206</v>
      </c>
      <c r="AE154" s="72">
        <f t="shared" ref="AE154:AE163" si="108">SUM(X154+AD154)</f>
        <v>26583.6876394853</v>
      </c>
      <c r="AF154" s="72">
        <f t="shared" ref="AF154:AF163" si="109">SUM(P154-AE154)</f>
        <v>4155.5923605147</v>
      </c>
    </row>
    <row r="155" s="2" customFormat="1" spans="1:32">
      <c r="A155" s="20" t="s">
        <v>20</v>
      </c>
      <c r="B155" s="21" t="s">
        <v>21</v>
      </c>
      <c r="C155" s="22">
        <v>241011000005</v>
      </c>
      <c r="D155" s="23">
        <v>45595</v>
      </c>
      <c r="E155" s="23" t="s">
        <v>63</v>
      </c>
      <c r="F155" s="21" t="s">
        <v>64</v>
      </c>
      <c r="G155" s="21" t="s">
        <v>68</v>
      </c>
      <c r="H155" s="88">
        <v>3.1875</v>
      </c>
      <c r="I155" s="88">
        <v>2044</v>
      </c>
      <c r="J155" s="42">
        <v>8910</v>
      </c>
      <c r="K155" s="86"/>
      <c r="L155" s="44"/>
      <c r="M155" s="45"/>
      <c r="N155" s="92"/>
      <c r="O155" s="21"/>
      <c r="P155" s="48">
        <f t="shared" si="105"/>
        <v>8910</v>
      </c>
      <c r="Q155" s="93">
        <f>SUM(P155:P163)</f>
        <v>133755.6735</v>
      </c>
      <c r="R155" s="94" t="s">
        <v>137</v>
      </c>
      <c r="S155" s="72">
        <f>SUM(49152/68)*H155</f>
        <v>2304</v>
      </c>
      <c r="T155" s="72"/>
      <c r="U155" s="72">
        <f>SUM(1400/68)*H155</f>
        <v>65.625</v>
      </c>
      <c r="V155" s="72"/>
      <c r="W155" s="72"/>
      <c r="X155" s="72">
        <f t="shared" si="106"/>
        <v>2369.625</v>
      </c>
      <c r="Y155" s="85">
        <f t="shared" si="99"/>
        <v>521.9015625</v>
      </c>
      <c r="Z155" s="85"/>
      <c r="AA155" s="85">
        <f>SUM(69.17/68)*H155</f>
        <v>3.24234375</v>
      </c>
      <c r="AB155" s="85">
        <f t="shared" si="92"/>
        <v>525.14390625</v>
      </c>
      <c r="AC155" s="86">
        <v>7.3</v>
      </c>
      <c r="AD155" s="72">
        <f t="shared" si="107"/>
        <v>3833.550515625</v>
      </c>
      <c r="AE155" s="72">
        <f t="shared" si="108"/>
        <v>6203.175515625</v>
      </c>
      <c r="AF155" s="72">
        <f t="shared" si="109"/>
        <v>2706.824484375</v>
      </c>
    </row>
    <row r="156" s="2" customFormat="1" spans="1:32">
      <c r="A156" s="20"/>
      <c r="B156" s="21"/>
      <c r="C156" s="22">
        <v>241028000024</v>
      </c>
      <c r="D156" s="23">
        <v>45595</v>
      </c>
      <c r="E156" s="23" t="s">
        <v>63</v>
      </c>
      <c r="F156" s="21" t="s">
        <v>64</v>
      </c>
      <c r="G156" s="21" t="s">
        <v>72</v>
      </c>
      <c r="H156" s="88">
        <v>1.5107</v>
      </c>
      <c r="I156" s="88">
        <v>646</v>
      </c>
      <c r="J156" s="48"/>
      <c r="K156" s="90">
        <v>706092</v>
      </c>
      <c r="L156" s="44"/>
      <c r="M156" s="45">
        <f t="shared" si="103"/>
        <v>1654.9677721786</v>
      </c>
      <c r="N156" s="46">
        <v>426.65</v>
      </c>
      <c r="O156" s="21">
        <v>7.29</v>
      </c>
      <c r="P156" s="48">
        <f t="shared" si="104"/>
        <v>3110.2785</v>
      </c>
      <c r="Q156" s="95"/>
      <c r="R156" s="95"/>
      <c r="S156" s="72">
        <f t="shared" ref="S156:S163" si="110">SUM(49152/68)*H156</f>
        <v>1091.96950588235</v>
      </c>
      <c r="T156" s="72"/>
      <c r="U156" s="72">
        <f t="shared" ref="U156:U163" si="111">SUM(1400/68)*H156</f>
        <v>31.1026470588235</v>
      </c>
      <c r="V156" s="72"/>
      <c r="W156" s="72"/>
      <c r="X156" s="72">
        <f t="shared" si="106"/>
        <v>1123.07215294118</v>
      </c>
      <c r="Y156" s="85">
        <f t="shared" ref="Y156:Y163" si="112">SUM(11133.9/68)*H156</f>
        <v>247.352687205882</v>
      </c>
      <c r="Z156" s="85"/>
      <c r="AA156" s="85">
        <f t="shared" ref="AA156:AA163" si="113">SUM(69.17/68)*H156</f>
        <v>1.53669292647059</v>
      </c>
      <c r="AB156" s="85">
        <f t="shared" si="92"/>
        <v>248.889380132353</v>
      </c>
      <c r="AC156" s="86">
        <v>7.3</v>
      </c>
      <c r="AD156" s="72">
        <f t="shared" si="107"/>
        <v>1816.89247496618</v>
      </c>
      <c r="AE156" s="72">
        <f t="shared" si="108"/>
        <v>2939.96462790735</v>
      </c>
      <c r="AF156" s="72">
        <f t="shared" si="109"/>
        <v>170.31387209265</v>
      </c>
    </row>
    <row r="157" s="2" customFormat="1" spans="1:32">
      <c r="A157" s="20"/>
      <c r="B157" s="21"/>
      <c r="C157" s="22">
        <v>241017000025</v>
      </c>
      <c r="D157" s="23">
        <v>45595</v>
      </c>
      <c r="E157" s="23" t="s">
        <v>59</v>
      </c>
      <c r="F157" s="21" t="s">
        <v>60</v>
      </c>
      <c r="G157" s="21" t="s">
        <v>93</v>
      </c>
      <c r="H157" s="88">
        <v>1.8596</v>
      </c>
      <c r="I157" s="88">
        <v>2312</v>
      </c>
      <c r="J157" s="48"/>
      <c r="K157" s="90">
        <v>1660291</v>
      </c>
      <c r="L157" s="44"/>
      <c r="M157" s="45">
        <f t="shared" si="103"/>
        <v>1730.10055749492</v>
      </c>
      <c r="N157" s="46">
        <v>959.65</v>
      </c>
      <c r="O157" s="21">
        <v>7.3</v>
      </c>
      <c r="P157" s="48">
        <f t="shared" si="104"/>
        <v>7005.445</v>
      </c>
      <c r="Q157" s="95"/>
      <c r="R157" s="95"/>
      <c r="S157" s="72">
        <f t="shared" si="110"/>
        <v>1344.16263529412</v>
      </c>
      <c r="T157" s="72"/>
      <c r="U157" s="72">
        <f t="shared" si="111"/>
        <v>38.2858823529412</v>
      </c>
      <c r="V157" s="72"/>
      <c r="W157" s="72"/>
      <c r="X157" s="72">
        <f t="shared" si="106"/>
        <v>1382.44851764706</v>
      </c>
      <c r="Y157" s="85">
        <f t="shared" si="112"/>
        <v>304.479418235294</v>
      </c>
      <c r="Z157" s="97">
        <v>31.41</v>
      </c>
      <c r="AA157" s="85">
        <f t="shared" si="113"/>
        <v>1.89159605882353</v>
      </c>
      <c r="AB157" s="85">
        <f t="shared" si="92"/>
        <v>337.781014294118</v>
      </c>
      <c r="AC157" s="86">
        <v>7.3</v>
      </c>
      <c r="AD157" s="72">
        <f t="shared" si="107"/>
        <v>2465.80140434706</v>
      </c>
      <c r="AE157" s="72">
        <f t="shared" si="108"/>
        <v>3848.24992199412</v>
      </c>
      <c r="AF157" s="72">
        <f t="shared" si="109"/>
        <v>3157.19507800588</v>
      </c>
    </row>
    <row r="158" s="2" customFormat="1" spans="1:32">
      <c r="A158" s="20"/>
      <c r="B158" s="21"/>
      <c r="C158" s="22">
        <v>241025000020</v>
      </c>
      <c r="D158" s="23">
        <v>45595</v>
      </c>
      <c r="E158" s="23" t="s">
        <v>109</v>
      </c>
      <c r="F158" s="21" t="s">
        <v>110</v>
      </c>
      <c r="G158" s="21" t="s">
        <v>111</v>
      </c>
      <c r="H158" s="88">
        <v>0.054</v>
      </c>
      <c r="I158" s="88">
        <v>11</v>
      </c>
      <c r="J158" s="42">
        <v>118</v>
      </c>
      <c r="K158" s="86"/>
      <c r="L158" s="44"/>
      <c r="M158" s="45"/>
      <c r="N158" s="92"/>
      <c r="O158" s="21"/>
      <c r="P158" s="48">
        <f t="shared" si="105"/>
        <v>118</v>
      </c>
      <c r="Q158" s="95"/>
      <c r="R158" s="95"/>
      <c r="S158" s="72">
        <f t="shared" si="110"/>
        <v>39.0324705882353</v>
      </c>
      <c r="T158" s="72"/>
      <c r="U158" s="72">
        <f t="shared" si="111"/>
        <v>1.11176470588235</v>
      </c>
      <c r="V158" s="72"/>
      <c r="W158" s="72"/>
      <c r="X158" s="72">
        <f t="shared" si="106"/>
        <v>40.1442352941176</v>
      </c>
      <c r="Y158" s="85">
        <f t="shared" si="112"/>
        <v>8.84162647058823</v>
      </c>
      <c r="Z158" s="85"/>
      <c r="AA158" s="85">
        <f t="shared" si="113"/>
        <v>0.0549291176470588</v>
      </c>
      <c r="AB158" s="85">
        <f t="shared" si="92"/>
        <v>8.89655558823529</v>
      </c>
      <c r="AC158" s="86">
        <v>7.3</v>
      </c>
      <c r="AD158" s="72">
        <f t="shared" si="107"/>
        <v>64.9448557941176</v>
      </c>
      <c r="AE158" s="72">
        <f t="shared" si="108"/>
        <v>105.089091088235</v>
      </c>
      <c r="AF158" s="72">
        <f t="shared" si="109"/>
        <v>12.910908911765</v>
      </c>
    </row>
    <row r="159" s="2" customFormat="1" spans="1:32">
      <c r="A159" s="20"/>
      <c r="B159" s="21"/>
      <c r="C159" s="22">
        <v>241029000029</v>
      </c>
      <c r="D159" s="23">
        <v>45595</v>
      </c>
      <c r="E159" s="23" t="s">
        <v>82</v>
      </c>
      <c r="F159" s="21" t="s">
        <v>83</v>
      </c>
      <c r="G159" s="21" t="s">
        <v>96</v>
      </c>
      <c r="H159" s="88">
        <v>0.0491</v>
      </c>
      <c r="I159" s="88">
        <v>12</v>
      </c>
      <c r="J159" s="42">
        <v>107.53</v>
      </c>
      <c r="K159" s="86"/>
      <c r="L159" s="44"/>
      <c r="M159" s="45"/>
      <c r="N159" s="92"/>
      <c r="O159" s="21"/>
      <c r="P159" s="48">
        <f t="shared" si="105"/>
        <v>107.53</v>
      </c>
      <c r="Q159" s="95"/>
      <c r="R159" s="95"/>
      <c r="S159" s="72">
        <f t="shared" si="110"/>
        <v>35.4906352941176</v>
      </c>
      <c r="T159" s="72"/>
      <c r="U159" s="72">
        <f t="shared" si="111"/>
        <v>1.01088235294118</v>
      </c>
      <c r="V159" s="72"/>
      <c r="W159" s="72"/>
      <c r="X159" s="72">
        <f t="shared" si="106"/>
        <v>36.5015176470588</v>
      </c>
      <c r="Y159" s="85">
        <f t="shared" si="112"/>
        <v>8.03933073529412</v>
      </c>
      <c r="Z159" s="85"/>
      <c r="AA159" s="85">
        <f t="shared" si="113"/>
        <v>0.0499448088235294</v>
      </c>
      <c r="AB159" s="85">
        <f t="shared" ref="AB159:AB175" si="114">SUM(Y159:AA159)</f>
        <v>8.08927554411765</v>
      </c>
      <c r="AC159" s="86">
        <v>7.3</v>
      </c>
      <c r="AD159" s="72">
        <f t="shared" si="107"/>
        <v>59.0517114720588</v>
      </c>
      <c r="AE159" s="72">
        <f t="shared" si="108"/>
        <v>95.5532291191176</v>
      </c>
      <c r="AF159" s="72">
        <f t="shared" si="109"/>
        <v>11.9767708808824</v>
      </c>
    </row>
    <row r="160" s="2" customFormat="1" spans="1:32">
      <c r="A160" s="20"/>
      <c r="B160" s="21"/>
      <c r="C160" s="22">
        <v>241030000038</v>
      </c>
      <c r="D160" s="23">
        <v>45595</v>
      </c>
      <c r="E160" s="23" t="s">
        <v>85</v>
      </c>
      <c r="F160" s="21" t="s">
        <v>86</v>
      </c>
      <c r="G160" s="21" t="s">
        <v>94</v>
      </c>
      <c r="H160" s="88">
        <v>43.89</v>
      </c>
      <c r="I160" s="88">
        <v>5168</v>
      </c>
      <c r="J160" s="42">
        <v>67551.98</v>
      </c>
      <c r="K160" s="86"/>
      <c r="L160" s="44"/>
      <c r="M160" s="45"/>
      <c r="N160" s="46"/>
      <c r="O160" s="21"/>
      <c r="P160" s="48">
        <f t="shared" si="105"/>
        <v>67551.98</v>
      </c>
      <c r="Q160" s="95"/>
      <c r="R160" s="95"/>
      <c r="S160" s="72">
        <f t="shared" si="110"/>
        <v>31724.7247058824</v>
      </c>
      <c r="T160" s="72"/>
      <c r="U160" s="72">
        <f t="shared" si="111"/>
        <v>903.617647058824</v>
      </c>
      <c r="V160" s="72"/>
      <c r="W160" s="72"/>
      <c r="X160" s="72">
        <f t="shared" si="106"/>
        <v>32628.3423529412</v>
      </c>
      <c r="Y160" s="85">
        <f t="shared" si="112"/>
        <v>7186.27751470588</v>
      </c>
      <c r="Z160" s="97"/>
      <c r="AA160" s="85">
        <f t="shared" si="113"/>
        <v>44.6451661764706</v>
      </c>
      <c r="AB160" s="85">
        <f t="shared" si="114"/>
        <v>7230.92268088235</v>
      </c>
      <c r="AC160" s="86">
        <v>7.3</v>
      </c>
      <c r="AD160" s="72">
        <f t="shared" si="107"/>
        <v>52785.7355704412</v>
      </c>
      <c r="AE160" s="72">
        <f t="shared" si="108"/>
        <v>85414.0779233823</v>
      </c>
      <c r="AF160" s="72">
        <f t="shared" si="109"/>
        <v>-17862.0979233823</v>
      </c>
    </row>
    <row r="161" s="2" customFormat="1" spans="1:32">
      <c r="A161" s="20"/>
      <c r="B161" s="21"/>
      <c r="C161" s="22">
        <v>241030000040</v>
      </c>
      <c r="D161" s="23">
        <v>45595</v>
      </c>
      <c r="E161" s="23" t="s">
        <v>82</v>
      </c>
      <c r="F161" s="21" t="s">
        <v>83</v>
      </c>
      <c r="G161" s="21" t="s">
        <v>96</v>
      </c>
      <c r="H161" s="88">
        <v>0.635</v>
      </c>
      <c r="I161" s="88">
        <v>240</v>
      </c>
      <c r="J161" s="42">
        <v>1251.59</v>
      </c>
      <c r="K161" s="86"/>
      <c r="L161" s="44"/>
      <c r="M161" s="45"/>
      <c r="N161" s="92"/>
      <c r="O161" s="21"/>
      <c r="P161" s="48">
        <f t="shared" si="105"/>
        <v>1251.59</v>
      </c>
      <c r="Q161" s="95"/>
      <c r="R161" s="95"/>
      <c r="S161" s="72">
        <f t="shared" si="110"/>
        <v>458.992941176471</v>
      </c>
      <c r="T161" s="72"/>
      <c r="U161" s="72">
        <f t="shared" si="111"/>
        <v>13.0735294117647</v>
      </c>
      <c r="V161" s="72"/>
      <c r="W161" s="72"/>
      <c r="X161" s="72">
        <f t="shared" si="106"/>
        <v>472.066470588235</v>
      </c>
      <c r="Y161" s="85">
        <f t="shared" si="112"/>
        <v>103.970977941176</v>
      </c>
      <c r="Z161" s="85"/>
      <c r="AA161" s="85">
        <f t="shared" si="113"/>
        <v>0.645925735294118</v>
      </c>
      <c r="AB161" s="85">
        <f t="shared" si="114"/>
        <v>104.616903676471</v>
      </c>
      <c r="AC161" s="86">
        <v>7.3</v>
      </c>
      <c r="AD161" s="72">
        <f t="shared" si="107"/>
        <v>763.703396838235</v>
      </c>
      <c r="AE161" s="72">
        <f t="shared" si="108"/>
        <v>1235.76986742647</v>
      </c>
      <c r="AF161" s="72">
        <f t="shared" si="109"/>
        <v>15.8201325735299</v>
      </c>
    </row>
    <row r="162" s="2" customFormat="1" spans="1:32">
      <c r="A162" s="20"/>
      <c r="B162" s="21"/>
      <c r="C162" s="22">
        <v>241030000042</v>
      </c>
      <c r="D162" s="23">
        <v>45595</v>
      </c>
      <c r="E162" s="23" t="s">
        <v>82</v>
      </c>
      <c r="F162" s="21" t="s">
        <v>83</v>
      </c>
      <c r="G162" s="21" t="s">
        <v>96</v>
      </c>
      <c r="H162" s="88">
        <v>2.0475</v>
      </c>
      <c r="I162" s="88">
        <v>720</v>
      </c>
      <c r="J162" s="42">
        <v>4035.66</v>
      </c>
      <c r="K162" s="86"/>
      <c r="L162" s="44"/>
      <c r="M162" s="45"/>
      <c r="N162" s="99"/>
      <c r="O162" s="21"/>
      <c r="P162" s="48">
        <f t="shared" si="105"/>
        <v>4035.66</v>
      </c>
      <c r="Q162" s="95"/>
      <c r="R162" s="95"/>
      <c r="S162" s="72">
        <f t="shared" si="110"/>
        <v>1479.98117647059</v>
      </c>
      <c r="T162" s="72"/>
      <c r="U162" s="72">
        <f t="shared" si="111"/>
        <v>42.1544117647059</v>
      </c>
      <c r="V162" s="72"/>
      <c r="W162" s="72"/>
      <c r="X162" s="72">
        <f t="shared" si="106"/>
        <v>1522.13558823529</v>
      </c>
      <c r="Y162" s="85">
        <f t="shared" si="112"/>
        <v>335.245003676471</v>
      </c>
      <c r="Z162" s="85"/>
      <c r="AA162" s="85">
        <f t="shared" si="113"/>
        <v>2.08272904411765</v>
      </c>
      <c r="AB162" s="85">
        <f t="shared" si="114"/>
        <v>337.327732720588</v>
      </c>
      <c r="AC162" s="86">
        <v>7.3</v>
      </c>
      <c r="AD162" s="72">
        <f t="shared" si="107"/>
        <v>2462.49244886029</v>
      </c>
      <c r="AE162" s="72">
        <f t="shared" si="108"/>
        <v>3984.62803709559</v>
      </c>
      <c r="AF162" s="72">
        <f t="shared" ref="AF162:AF174" si="115">SUM(P162-AE162)</f>
        <v>51.0319629044097</v>
      </c>
    </row>
    <row r="163" s="2" customFormat="1" spans="1:32">
      <c r="A163" s="20"/>
      <c r="B163" s="21"/>
      <c r="C163" s="22">
        <v>241031000028</v>
      </c>
      <c r="D163" s="23">
        <v>45595</v>
      </c>
      <c r="E163" s="23" t="s">
        <v>82</v>
      </c>
      <c r="F163" s="21" t="s">
        <v>83</v>
      </c>
      <c r="G163" s="21" t="s">
        <v>87</v>
      </c>
      <c r="H163" s="88">
        <v>18.0619</v>
      </c>
      <c r="I163" s="88">
        <v>16900</v>
      </c>
      <c r="J163" s="42">
        <v>41665.19</v>
      </c>
      <c r="K163" s="86"/>
      <c r="L163" s="44"/>
      <c r="M163" s="45"/>
      <c r="N163" s="92"/>
      <c r="O163" s="21"/>
      <c r="P163" s="48">
        <f t="shared" si="105"/>
        <v>41665.19</v>
      </c>
      <c r="Q163" s="96"/>
      <c r="R163" s="96"/>
      <c r="S163" s="72">
        <f t="shared" si="110"/>
        <v>13055.5663058824</v>
      </c>
      <c r="T163" s="72"/>
      <c r="U163" s="72">
        <f t="shared" si="111"/>
        <v>371.862647058824</v>
      </c>
      <c r="V163" s="72"/>
      <c r="W163" s="72"/>
      <c r="X163" s="72">
        <f t="shared" ref="X163:X175" si="116">SUM(S163:W163)</f>
        <v>13427.4289529412</v>
      </c>
      <c r="Y163" s="85">
        <f t="shared" si="112"/>
        <v>2957.34394720588</v>
      </c>
      <c r="Z163" s="97">
        <v>178.04</v>
      </c>
      <c r="AA163" s="85">
        <f t="shared" si="113"/>
        <v>18.3726709264706</v>
      </c>
      <c r="AB163" s="85">
        <f t="shared" si="114"/>
        <v>3153.75661813235</v>
      </c>
      <c r="AC163" s="86">
        <v>7.3</v>
      </c>
      <c r="AD163" s="72">
        <f t="shared" ref="AD163:AD175" si="117">SUM(AB163*AC163)</f>
        <v>23022.4233123662</v>
      </c>
      <c r="AE163" s="72">
        <f t="shared" ref="AE163:AE175" si="118">SUM(X163+AD163)</f>
        <v>36449.8522653074</v>
      </c>
      <c r="AF163" s="72">
        <f t="shared" si="115"/>
        <v>5215.3377346926</v>
      </c>
    </row>
    <row r="164" s="2" customFormat="1" spans="1:32">
      <c r="A164" s="20" t="s">
        <v>22</v>
      </c>
      <c r="B164" s="21" t="s">
        <v>23</v>
      </c>
      <c r="C164" s="22">
        <v>241024000009</v>
      </c>
      <c r="D164" s="23">
        <v>45595</v>
      </c>
      <c r="E164" s="23" t="s">
        <v>59</v>
      </c>
      <c r="F164" s="21" t="s">
        <v>60</v>
      </c>
      <c r="G164" s="21" t="s">
        <v>138</v>
      </c>
      <c r="H164" s="88">
        <v>1.508</v>
      </c>
      <c r="I164" s="88">
        <v>508</v>
      </c>
      <c r="J164" s="89"/>
      <c r="K164" s="90">
        <v>1104957.06</v>
      </c>
      <c r="L164" s="44"/>
      <c r="M164" s="45">
        <f t="shared" ref="M164:M169" si="119">SUM(K164/N164)</f>
        <v>1669.42204024899</v>
      </c>
      <c r="N164" s="91">
        <v>661.88</v>
      </c>
      <c r="O164" s="21">
        <v>7.29</v>
      </c>
      <c r="P164" s="48">
        <f t="shared" ref="P164:P169" si="120">SUM(N164*O164)</f>
        <v>4825.1052</v>
      </c>
      <c r="Q164" s="93">
        <f>SUM(P164:P174)</f>
        <v>138920.739027</v>
      </c>
      <c r="R164" s="94" t="s">
        <v>139</v>
      </c>
      <c r="S164" s="72">
        <f>SUM(47362/68)*H164</f>
        <v>1050.322</v>
      </c>
      <c r="T164" s="72"/>
      <c r="U164" s="72">
        <f>SUM(2400/68)*H164</f>
        <v>53.2235294117647</v>
      </c>
      <c r="V164" s="72"/>
      <c r="W164" s="72"/>
      <c r="X164" s="72">
        <f t="shared" si="116"/>
        <v>1103.54552941176</v>
      </c>
      <c r="Y164" s="85">
        <f>SUM(10699.87/68)*H164</f>
        <v>237.285352352941</v>
      </c>
      <c r="Z164" s="85">
        <v>210.97</v>
      </c>
      <c r="AA164" s="85">
        <f>SUM(66.95/68)*H164</f>
        <v>1.48471470588235</v>
      </c>
      <c r="AB164" s="85">
        <f t="shared" si="114"/>
        <v>449.740067058824</v>
      </c>
      <c r="AC164" s="86">
        <v>7.3</v>
      </c>
      <c r="AD164" s="72">
        <f t="shared" si="117"/>
        <v>3283.10248952941</v>
      </c>
      <c r="AE164" s="72">
        <f t="shared" si="118"/>
        <v>4386.64801894118</v>
      </c>
      <c r="AF164" s="72">
        <f t="shared" si="115"/>
        <v>438.457181058823</v>
      </c>
    </row>
    <row r="165" s="2" customFormat="1" spans="1:32">
      <c r="A165" s="20"/>
      <c r="B165" s="21"/>
      <c r="C165" s="22">
        <v>241024000010</v>
      </c>
      <c r="D165" s="23">
        <v>45595</v>
      </c>
      <c r="E165" s="23" t="s">
        <v>59</v>
      </c>
      <c r="F165" s="21" t="s">
        <v>60</v>
      </c>
      <c r="G165" s="21" t="s">
        <v>138</v>
      </c>
      <c r="H165" s="88">
        <v>0.1128</v>
      </c>
      <c r="I165" s="88">
        <v>88</v>
      </c>
      <c r="J165" s="89"/>
      <c r="K165" s="90">
        <v>109278</v>
      </c>
      <c r="L165" s="44"/>
      <c r="M165" s="45">
        <f t="shared" si="119"/>
        <v>1669.38588450962</v>
      </c>
      <c r="N165" s="91">
        <v>65.46</v>
      </c>
      <c r="O165" s="21">
        <v>7.29</v>
      </c>
      <c r="P165" s="48">
        <f t="shared" si="120"/>
        <v>477.2034</v>
      </c>
      <c r="Q165" s="95"/>
      <c r="R165" s="95"/>
      <c r="S165" s="72">
        <f t="shared" ref="S165:S174" si="121">SUM(47362/68)*H165</f>
        <v>78.5652</v>
      </c>
      <c r="T165" s="72"/>
      <c r="U165" s="72">
        <f t="shared" ref="U165:U174" si="122">SUM(2400/68)*H165</f>
        <v>3.98117647058824</v>
      </c>
      <c r="V165" s="72"/>
      <c r="W165" s="72"/>
      <c r="X165" s="72">
        <f t="shared" si="116"/>
        <v>82.5463764705882</v>
      </c>
      <c r="Y165" s="85">
        <f t="shared" ref="Y165:Y174" si="123">SUM(10699.87/68)*H165</f>
        <v>17.7491961176471</v>
      </c>
      <c r="Z165" s="85">
        <v>28.12</v>
      </c>
      <c r="AA165" s="85">
        <f t="shared" ref="AA165:AA174" si="124">SUM(66.95/68)*H165</f>
        <v>0.111058235294118</v>
      </c>
      <c r="AB165" s="85">
        <f t="shared" si="114"/>
        <v>45.9802543529412</v>
      </c>
      <c r="AC165" s="86">
        <v>7.3</v>
      </c>
      <c r="AD165" s="72">
        <f t="shared" si="117"/>
        <v>335.655856776471</v>
      </c>
      <c r="AE165" s="72">
        <f t="shared" si="118"/>
        <v>418.202233247059</v>
      </c>
      <c r="AF165" s="72">
        <f t="shared" si="115"/>
        <v>59.0011667529411</v>
      </c>
    </row>
    <row r="166" s="2" customFormat="1" spans="1:32">
      <c r="A166" s="20"/>
      <c r="B166" s="21"/>
      <c r="C166" s="22">
        <v>241017000025</v>
      </c>
      <c r="D166" s="23">
        <v>45595</v>
      </c>
      <c r="E166" s="23" t="s">
        <v>59</v>
      </c>
      <c r="F166" s="21" t="s">
        <v>60</v>
      </c>
      <c r="G166" s="21" t="s">
        <v>93</v>
      </c>
      <c r="H166" s="88">
        <v>0.8826</v>
      </c>
      <c r="I166" s="88">
        <v>1102</v>
      </c>
      <c r="J166" s="48"/>
      <c r="K166" s="90">
        <v>788004</v>
      </c>
      <c r="L166" s="44"/>
      <c r="M166" s="45">
        <f t="shared" si="119"/>
        <v>1730.08979735219</v>
      </c>
      <c r="N166" s="46">
        <v>455.47</v>
      </c>
      <c r="O166" s="21">
        <v>7.3</v>
      </c>
      <c r="P166" s="48">
        <f t="shared" si="120"/>
        <v>3324.931</v>
      </c>
      <c r="Q166" s="95"/>
      <c r="R166" s="95"/>
      <c r="S166" s="72">
        <f t="shared" si="121"/>
        <v>614.7309</v>
      </c>
      <c r="T166" s="72"/>
      <c r="U166" s="72">
        <f t="shared" si="122"/>
        <v>31.1505882352941</v>
      </c>
      <c r="V166" s="72"/>
      <c r="W166" s="72"/>
      <c r="X166" s="72">
        <f t="shared" si="116"/>
        <v>645.881488235294</v>
      </c>
      <c r="Y166" s="85">
        <f t="shared" si="123"/>
        <v>138.878018558824</v>
      </c>
      <c r="Z166" s="85"/>
      <c r="AA166" s="85">
        <f t="shared" si="124"/>
        <v>0.868971617647059</v>
      </c>
      <c r="AB166" s="85">
        <f t="shared" si="114"/>
        <v>139.746990176471</v>
      </c>
      <c r="AC166" s="86">
        <v>7.3</v>
      </c>
      <c r="AD166" s="72">
        <f t="shared" si="117"/>
        <v>1020.15302828824</v>
      </c>
      <c r="AE166" s="72">
        <f t="shared" si="118"/>
        <v>1666.03451652353</v>
      </c>
      <c r="AF166" s="72">
        <f t="shared" si="115"/>
        <v>1658.89648347647</v>
      </c>
    </row>
    <row r="167" s="2" customFormat="1" spans="1:32">
      <c r="A167" s="20"/>
      <c r="B167" s="21"/>
      <c r="C167" s="22">
        <v>241026000019</v>
      </c>
      <c r="D167" s="23">
        <v>45595</v>
      </c>
      <c r="E167" s="23" t="s">
        <v>63</v>
      </c>
      <c r="F167" s="21" t="s">
        <v>64</v>
      </c>
      <c r="G167" s="21" t="s">
        <v>66</v>
      </c>
      <c r="H167" s="88">
        <v>0.8568</v>
      </c>
      <c r="I167" s="88">
        <v>325</v>
      </c>
      <c r="J167" s="48"/>
      <c r="K167" s="90">
        <v>419471</v>
      </c>
      <c r="L167" s="44"/>
      <c r="M167" s="45">
        <f t="shared" si="119"/>
        <v>1652.76201733649</v>
      </c>
      <c r="N167" s="46">
        <v>253.8</v>
      </c>
      <c r="O167" s="21">
        <v>7.29</v>
      </c>
      <c r="P167" s="48">
        <f t="shared" si="120"/>
        <v>1850.202</v>
      </c>
      <c r="Q167" s="95"/>
      <c r="R167" s="95"/>
      <c r="S167" s="72">
        <f t="shared" si="121"/>
        <v>596.7612</v>
      </c>
      <c r="T167" s="72"/>
      <c r="U167" s="72">
        <f t="shared" si="122"/>
        <v>30.24</v>
      </c>
      <c r="V167" s="72"/>
      <c r="W167" s="72"/>
      <c r="X167" s="72">
        <f t="shared" si="116"/>
        <v>627.0012</v>
      </c>
      <c r="Y167" s="85">
        <f t="shared" si="123"/>
        <v>134.818362</v>
      </c>
      <c r="Z167" s="85"/>
      <c r="AA167" s="85">
        <f t="shared" si="124"/>
        <v>0.84357</v>
      </c>
      <c r="AB167" s="85">
        <f t="shared" si="114"/>
        <v>135.661932</v>
      </c>
      <c r="AC167" s="86">
        <v>7.3</v>
      </c>
      <c r="AD167" s="72">
        <f t="shared" si="117"/>
        <v>990.3321036</v>
      </c>
      <c r="AE167" s="72">
        <f t="shared" si="118"/>
        <v>1617.3333036</v>
      </c>
      <c r="AF167" s="72">
        <f t="shared" si="115"/>
        <v>232.8686964</v>
      </c>
    </row>
    <row r="168" s="2" customFormat="1" spans="1:32">
      <c r="A168" s="20"/>
      <c r="B168" s="21"/>
      <c r="C168" s="22">
        <v>241026000022</v>
      </c>
      <c r="D168" s="23">
        <v>45595</v>
      </c>
      <c r="E168" s="23" t="s">
        <v>59</v>
      </c>
      <c r="F168" s="21" t="s">
        <v>60</v>
      </c>
      <c r="G168" s="21" t="s">
        <v>140</v>
      </c>
      <c r="H168" s="88">
        <v>1.1042</v>
      </c>
      <c r="I168" s="88">
        <v>1026</v>
      </c>
      <c r="J168" s="48"/>
      <c r="K168" s="90">
        <v>673554</v>
      </c>
      <c r="L168" s="44"/>
      <c r="M168" s="45">
        <f t="shared" si="119"/>
        <v>1580</v>
      </c>
      <c r="N168" s="46">
        <v>426.3</v>
      </c>
      <c r="O168" s="21">
        <v>7.29</v>
      </c>
      <c r="P168" s="48">
        <f t="shared" si="120"/>
        <v>3107.727</v>
      </c>
      <c r="Q168" s="95"/>
      <c r="R168" s="95"/>
      <c r="S168" s="72">
        <f t="shared" si="121"/>
        <v>769.0753</v>
      </c>
      <c r="T168" s="72"/>
      <c r="U168" s="72">
        <f t="shared" si="122"/>
        <v>38.9717647058824</v>
      </c>
      <c r="V168" s="72"/>
      <c r="W168" s="72"/>
      <c r="X168" s="72">
        <f t="shared" si="116"/>
        <v>808.047064705882</v>
      </c>
      <c r="Y168" s="85">
        <f t="shared" si="123"/>
        <v>173.747006676471</v>
      </c>
      <c r="Z168" s="85"/>
      <c r="AA168" s="85">
        <f t="shared" si="124"/>
        <v>1.08714985294118</v>
      </c>
      <c r="AB168" s="85">
        <f t="shared" si="114"/>
        <v>174.834156529412</v>
      </c>
      <c r="AC168" s="86">
        <v>7.3</v>
      </c>
      <c r="AD168" s="72">
        <f t="shared" si="117"/>
        <v>1276.28934266471</v>
      </c>
      <c r="AE168" s="72">
        <f t="shared" si="118"/>
        <v>2084.33640737059</v>
      </c>
      <c r="AF168" s="72">
        <f t="shared" si="115"/>
        <v>1023.39059262941</v>
      </c>
    </row>
    <row r="169" s="2" customFormat="1" spans="1:32">
      <c r="A169" s="20"/>
      <c r="B169" s="21"/>
      <c r="C169" s="22">
        <v>241027000001</v>
      </c>
      <c r="D169" s="23">
        <v>45595</v>
      </c>
      <c r="E169" s="23" t="s">
        <v>69</v>
      </c>
      <c r="F169" s="21" t="s">
        <v>70</v>
      </c>
      <c r="G169" s="21" t="s">
        <v>141</v>
      </c>
      <c r="H169" s="88">
        <v>0.7063</v>
      </c>
      <c r="I169" s="88">
        <v>119</v>
      </c>
      <c r="J169" s="48"/>
      <c r="K169" s="90">
        <v>368007</v>
      </c>
      <c r="L169" s="44"/>
      <c r="M169" s="45">
        <f t="shared" si="119"/>
        <v>1671.99916728756</v>
      </c>
      <c r="N169" s="46">
        <v>220.09999</v>
      </c>
      <c r="O169" s="21">
        <v>7.3</v>
      </c>
      <c r="P169" s="48">
        <f t="shared" si="120"/>
        <v>1606.729927</v>
      </c>
      <c r="Q169" s="95"/>
      <c r="R169" s="95"/>
      <c r="S169" s="72">
        <f t="shared" si="121"/>
        <v>491.93795</v>
      </c>
      <c r="T169" s="72"/>
      <c r="U169" s="72">
        <f t="shared" si="122"/>
        <v>24.9282352941177</v>
      </c>
      <c r="V169" s="72"/>
      <c r="W169" s="72"/>
      <c r="X169" s="72">
        <f t="shared" si="116"/>
        <v>516.866185294118</v>
      </c>
      <c r="Y169" s="85">
        <f t="shared" si="123"/>
        <v>111.137032073529</v>
      </c>
      <c r="Z169" s="85"/>
      <c r="AA169" s="85">
        <f t="shared" si="124"/>
        <v>0.695393897058824</v>
      </c>
      <c r="AB169" s="85">
        <f t="shared" si="114"/>
        <v>111.832425970588</v>
      </c>
      <c r="AC169" s="86">
        <v>7.3</v>
      </c>
      <c r="AD169" s="72">
        <f t="shared" si="117"/>
        <v>816.376709585294</v>
      </c>
      <c r="AE169" s="72">
        <f t="shared" si="118"/>
        <v>1333.24289487941</v>
      </c>
      <c r="AF169" s="72">
        <f t="shared" si="115"/>
        <v>273.487032120588</v>
      </c>
    </row>
    <row r="170" s="2" customFormat="1" spans="1:32">
      <c r="A170" s="20"/>
      <c r="B170" s="21"/>
      <c r="C170" s="22">
        <v>241027000012</v>
      </c>
      <c r="D170" s="23">
        <v>45595</v>
      </c>
      <c r="E170" s="23" t="s">
        <v>74</v>
      </c>
      <c r="F170" s="21" t="s">
        <v>74</v>
      </c>
      <c r="G170" s="21" t="s">
        <v>77</v>
      </c>
      <c r="H170" s="88">
        <v>5.2289</v>
      </c>
      <c r="I170" s="88">
        <v>1231</v>
      </c>
      <c r="J170" s="42">
        <v>13095</v>
      </c>
      <c r="K170" s="86"/>
      <c r="L170" s="44"/>
      <c r="M170" s="45"/>
      <c r="N170" s="92"/>
      <c r="O170" s="21"/>
      <c r="P170" s="48">
        <f t="shared" ref="P170:P174" si="125">SUBTOTAL(9,J170)</f>
        <v>13095</v>
      </c>
      <c r="Q170" s="95"/>
      <c r="R170" s="95"/>
      <c r="S170" s="72">
        <f t="shared" si="121"/>
        <v>3641.92885</v>
      </c>
      <c r="T170" s="72"/>
      <c r="U170" s="72">
        <f t="shared" si="122"/>
        <v>184.549411764706</v>
      </c>
      <c r="V170" s="72"/>
      <c r="W170" s="72"/>
      <c r="X170" s="72">
        <f t="shared" si="116"/>
        <v>3826.47826176471</v>
      </c>
      <c r="Y170" s="85">
        <f t="shared" si="123"/>
        <v>822.772797691177</v>
      </c>
      <c r="Z170" s="97">
        <v>48.69</v>
      </c>
      <c r="AA170" s="85">
        <f t="shared" si="124"/>
        <v>5.14815963235294</v>
      </c>
      <c r="AB170" s="85">
        <f t="shared" si="114"/>
        <v>876.61095732353</v>
      </c>
      <c r="AC170" s="86">
        <v>7.3</v>
      </c>
      <c r="AD170" s="72">
        <f t="shared" si="117"/>
        <v>6399.25998846177</v>
      </c>
      <c r="AE170" s="72">
        <f t="shared" si="118"/>
        <v>10225.7382502265</v>
      </c>
      <c r="AF170" s="72">
        <f t="shared" si="115"/>
        <v>2869.2617497735</v>
      </c>
    </row>
    <row r="171" s="2" customFormat="1" spans="1:32">
      <c r="A171" s="20"/>
      <c r="B171" s="21"/>
      <c r="C171" s="22">
        <v>241028000024</v>
      </c>
      <c r="D171" s="23">
        <v>45595</v>
      </c>
      <c r="E171" s="23" t="s">
        <v>63</v>
      </c>
      <c r="F171" s="21" t="s">
        <v>64</v>
      </c>
      <c r="G171" s="21" t="s">
        <v>72</v>
      </c>
      <c r="H171" s="88">
        <v>0.7664</v>
      </c>
      <c r="I171" s="88">
        <v>289</v>
      </c>
      <c r="J171" s="48"/>
      <c r="K171" s="90">
        <v>358212</v>
      </c>
      <c r="L171" s="44"/>
      <c r="M171" s="45">
        <f>SUM(K171/N171)</f>
        <v>1654.9410949411</v>
      </c>
      <c r="N171" s="46">
        <v>216.45</v>
      </c>
      <c r="O171" s="21">
        <v>7.29</v>
      </c>
      <c r="P171" s="48">
        <f>SUM(N171*O171)</f>
        <v>1577.9205</v>
      </c>
      <c r="Q171" s="95"/>
      <c r="R171" s="95"/>
      <c r="S171" s="72">
        <f t="shared" si="121"/>
        <v>533.7976</v>
      </c>
      <c r="T171" s="72"/>
      <c r="U171" s="72">
        <f t="shared" si="122"/>
        <v>27.0494117647059</v>
      </c>
      <c r="V171" s="72"/>
      <c r="W171" s="72"/>
      <c r="X171" s="72">
        <f t="shared" si="116"/>
        <v>560.847011764706</v>
      </c>
      <c r="Y171" s="85">
        <f t="shared" si="123"/>
        <v>120.593828941176</v>
      </c>
      <c r="Z171" s="85"/>
      <c r="AA171" s="85">
        <f t="shared" si="124"/>
        <v>0.754565882352941</v>
      </c>
      <c r="AB171" s="85">
        <f t="shared" si="114"/>
        <v>121.348394823529</v>
      </c>
      <c r="AC171" s="86">
        <v>7.3</v>
      </c>
      <c r="AD171" s="72">
        <f t="shared" si="117"/>
        <v>885.843282211765</v>
      </c>
      <c r="AE171" s="72">
        <f t="shared" si="118"/>
        <v>1446.69029397647</v>
      </c>
      <c r="AF171" s="72">
        <f t="shared" si="115"/>
        <v>131.230206023529</v>
      </c>
    </row>
    <row r="172" s="2" customFormat="1" spans="1:32">
      <c r="A172" s="20"/>
      <c r="B172" s="21"/>
      <c r="C172" s="22">
        <v>241029000041</v>
      </c>
      <c r="D172" s="23">
        <v>45595</v>
      </c>
      <c r="E172" s="23" t="s">
        <v>63</v>
      </c>
      <c r="F172" s="21" t="s">
        <v>64</v>
      </c>
      <c r="G172" s="21" t="s">
        <v>142</v>
      </c>
      <c r="H172" s="88">
        <v>0.0009</v>
      </c>
      <c r="I172" s="88">
        <v>1</v>
      </c>
      <c r="J172" s="42">
        <v>150</v>
      </c>
      <c r="K172" s="86"/>
      <c r="L172" s="44"/>
      <c r="M172" s="45"/>
      <c r="N172" s="92"/>
      <c r="O172" s="21"/>
      <c r="P172" s="48">
        <f t="shared" si="125"/>
        <v>150</v>
      </c>
      <c r="Q172" s="95"/>
      <c r="R172" s="95"/>
      <c r="S172" s="72">
        <f t="shared" si="121"/>
        <v>0.62685</v>
      </c>
      <c r="T172" s="72"/>
      <c r="U172" s="72">
        <f t="shared" si="122"/>
        <v>0.0317647058823529</v>
      </c>
      <c r="V172" s="72"/>
      <c r="W172" s="72"/>
      <c r="X172" s="72">
        <f t="shared" si="116"/>
        <v>0.658614705882353</v>
      </c>
      <c r="Y172" s="85">
        <f t="shared" si="123"/>
        <v>0.141615926470588</v>
      </c>
      <c r="Z172" s="85"/>
      <c r="AA172" s="85">
        <f t="shared" si="124"/>
        <v>0.000886102941176471</v>
      </c>
      <c r="AB172" s="85">
        <f t="shared" si="114"/>
        <v>0.142502029411765</v>
      </c>
      <c r="AC172" s="86">
        <v>7.3</v>
      </c>
      <c r="AD172" s="72">
        <f t="shared" si="117"/>
        <v>1.04026481470588</v>
      </c>
      <c r="AE172" s="72">
        <f t="shared" si="118"/>
        <v>1.69887952058824</v>
      </c>
      <c r="AF172" s="72">
        <f t="shared" si="115"/>
        <v>148.301120479412</v>
      </c>
    </row>
    <row r="173" s="2" customFormat="1" spans="1:32">
      <c r="A173" s="20"/>
      <c r="B173" s="21"/>
      <c r="C173" s="22">
        <v>241030000013</v>
      </c>
      <c r="D173" s="23">
        <v>45595</v>
      </c>
      <c r="E173" s="23" t="s">
        <v>85</v>
      </c>
      <c r="F173" s="21" t="s">
        <v>86</v>
      </c>
      <c r="G173" s="21" t="s">
        <v>94</v>
      </c>
      <c r="H173" s="88">
        <v>42.49</v>
      </c>
      <c r="I173" s="88">
        <v>4990</v>
      </c>
      <c r="J173" s="42">
        <v>65397.12</v>
      </c>
      <c r="K173" s="86"/>
      <c r="L173" s="44"/>
      <c r="M173" s="45"/>
      <c r="N173" s="46"/>
      <c r="O173" s="21"/>
      <c r="P173" s="48">
        <f t="shared" si="125"/>
        <v>65397.12</v>
      </c>
      <c r="Q173" s="95"/>
      <c r="R173" s="95"/>
      <c r="S173" s="72">
        <f t="shared" si="121"/>
        <v>29594.285</v>
      </c>
      <c r="T173" s="72"/>
      <c r="U173" s="72">
        <f t="shared" si="122"/>
        <v>1499.64705882353</v>
      </c>
      <c r="V173" s="72"/>
      <c r="W173" s="72"/>
      <c r="X173" s="72">
        <f t="shared" si="116"/>
        <v>31093.9320588235</v>
      </c>
      <c r="Y173" s="85">
        <f t="shared" si="123"/>
        <v>6685.84523970588</v>
      </c>
      <c r="Z173" s="97"/>
      <c r="AA173" s="85">
        <f t="shared" si="124"/>
        <v>41.8339044117647</v>
      </c>
      <c r="AB173" s="85">
        <f t="shared" si="114"/>
        <v>6727.67914411765</v>
      </c>
      <c r="AC173" s="86">
        <v>7.3</v>
      </c>
      <c r="AD173" s="72">
        <f t="shared" si="117"/>
        <v>49112.0577520588</v>
      </c>
      <c r="AE173" s="72">
        <f t="shared" si="118"/>
        <v>80205.9898108824</v>
      </c>
      <c r="AF173" s="72">
        <f t="shared" si="115"/>
        <v>-14808.8698108824</v>
      </c>
    </row>
    <row r="174" s="2" customFormat="1" spans="1:32">
      <c r="A174" s="20"/>
      <c r="B174" s="21"/>
      <c r="C174" s="22">
        <v>241031000027</v>
      </c>
      <c r="D174" s="23">
        <v>45595</v>
      </c>
      <c r="E174" s="23" t="s">
        <v>82</v>
      </c>
      <c r="F174" s="21" t="s">
        <v>83</v>
      </c>
      <c r="G174" s="21" t="s">
        <v>87</v>
      </c>
      <c r="H174" s="88">
        <v>18.8611</v>
      </c>
      <c r="I174" s="88">
        <v>18408</v>
      </c>
      <c r="J174" s="42">
        <v>43508.8</v>
      </c>
      <c r="K174" s="86"/>
      <c r="L174" s="44"/>
      <c r="M174" s="45"/>
      <c r="N174" s="92"/>
      <c r="O174" s="21"/>
      <c r="P174" s="48">
        <f t="shared" si="125"/>
        <v>43508.8</v>
      </c>
      <c r="Q174" s="96"/>
      <c r="R174" s="96"/>
      <c r="S174" s="72">
        <f t="shared" si="121"/>
        <v>13136.75615</v>
      </c>
      <c r="T174" s="72"/>
      <c r="U174" s="72">
        <f t="shared" si="122"/>
        <v>665.685882352941</v>
      </c>
      <c r="V174" s="72"/>
      <c r="W174" s="72"/>
      <c r="X174" s="72">
        <f t="shared" si="116"/>
        <v>13802.4420323529</v>
      </c>
      <c r="Y174" s="85">
        <f t="shared" si="123"/>
        <v>2967.81350083824</v>
      </c>
      <c r="Z174" s="97">
        <v>185.92</v>
      </c>
      <c r="AA174" s="85">
        <f t="shared" si="124"/>
        <v>18.5698624264706</v>
      </c>
      <c r="AB174" s="85">
        <f t="shared" si="114"/>
        <v>3172.30336326471</v>
      </c>
      <c r="AC174" s="86">
        <v>7.3</v>
      </c>
      <c r="AD174" s="72">
        <f t="shared" si="117"/>
        <v>23157.8145518324</v>
      </c>
      <c r="AE174" s="72">
        <f t="shared" si="118"/>
        <v>36960.2565841853</v>
      </c>
      <c r="AF174" s="72">
        <f t="shared" si="115"/>
        <v>6548.5434158147</v>
      </c>
    </row>
    <row r="175" s="2" customFormat="1" ht="67.5" spans="1:32">
      <c r="A175" s="20" t="s">
        <v>24</v>
      </c>
      <c r="B175" s="21" t="s">
        <v>25</v>
      </c>
      <c r="C175" s="22">
        <v>241120000026</v>
      </c>
      <c r="D175" s="23">
        <v>45592</v>
      </c>
      <c r="E175" s="23" t="s">
        <v>74</v>
      </c>
      <c r="F175" s="21" t="s">
        <v>74</v>
      </c>
      <c r="G175" s="21" t="s">
        <v>77</v>
      </c>
      <c r="H175" s="24">
        <v>68</v>
      </c>
      <c r="I175" s="24"/>
      <c r="J175" s="42">
        <v>50836</v>
      </c>
      <c r="K175" s="43">
        <v>21300000</v>
      </c>
      <c r="L175" s="44"/>
      <c r="M175" s="45">
        <f>SUM(K175/N175)</f>
        <v>1669.00039413484</v>
      </c>
      <c r="N175" s="46">
        <v>12762.13</v>
      </c>
      <c r="O175" s="47">
        <v>7.3</v>
      </c>
      <c r="P175" s="48">
        <f>SUM(N175*O175+J175)</f>
        <v>143999.549</v>
      </c>
      <c r="Q175" s="70">
        <f>SUM(P175)</f>
        <v>143999.549</v>
      </c>
      <c r="R175" s="71" t="s">
        <v>143</v>
      </c>
      <c r="S175" s="72">
        <v>48399</v>
      </c>
      <c r="T175" s="72"/>
      <c r="U175" s="72"/>
      <c r="V175" s="72"/>
      <c r="W175" s="72"/>
      <c r="X175" s="72">
        <f t="shared" si="116"/>
        <v>48399</v>
      </c>
      <c r="Y175" s="85">
        <v>11545.4</v>
      </c>
      <c r="Z175" s="85"/>
      <c r="AA175" s="85"/>
      <c r="AB175" s="85">
        <f t="shared" si="114"/>
        <v>11545.4</v>
      </c>
      <c r="AC175" s="86">
        <v>7.27</v>
      </c>
      <c r="AD175" s="72">
        <f t="shared" si="117"/>
        <v>83935.058</v>
      </c>
      <c r="AE175" s="72">
        <f t="shared" si="118"/>
        <v>132334.058</v>
      </c>
      <c r="AF175" s="72">
        <f>SUM(Q175-AE175)</f>
        <v>11665.491</v>
      </c>
    </row>
    <row r="176" ht="15.75" spans="1:32">
      <c r="A176" s="25" t="s">
        <v>26</v>
      </c>
      <c r="B176" s="26"/>
      <c r="C176" s="26"/>
      <c r="D176" s="26"/>
      <c r="E176" s="26"/>
      <c r="F176" s="26"/>
      <c r="G176" s="26"/>
      <c r="H176" s="26"/>
      <c r="I176" s="49"/>
      <c r="J176" s="26">
        <f>SUM(J3:J3)</f>
        <v>0</v>
      </c>
      <c r="K176" s="50"/>
      <c r="L176" s="51"/>
      <c r="M176" s="50"/>
      <c r="N176" s="50">
        <f t="shared" ref="N176:Q176" si="126">SUM(N3:N3)</f>
        <v>0</v>
      </c>
      <c r="O176" s="26"/>
      <c r="P176" s="26">
        <f t="shared" si="126"/>
        <v>0</v>
      </c>
      <c r="Q176" s="26">
        <f t="shared" si="126"/>
        <v>0</v>
      </c>
      <c r="R176" s="26"/>
      <c r="S176" s="26"/>
      <c r="T176" s="26"/>
      <c r="U176" s="26"/>
      <c r="V176" s="26"/>
      <c r="W176" s="26"/>
      <c r="X176" s="73">
        <f>SUM(X3:X3)</f>
        <v>0</v>
      </c>
      <c r="Y176" s="51"/>
      <c r="Z176" s="51"/>
      <c r="AA176" s="51"/>
      <c r="AB176" s="51"/>
      <c r="AC176" s="50"/>
      <c r="AD176" s="26">
        <f>SUM(AD3:AD3)</f>
        <v>0</v>
      </c>
      <c r="AE176" s="26"/>
      <c r="AF176" s="87">
        <f>SUM(AF3:AF175)</f>
        <v>132633.026869099</v>
      </c>
    </row>
    <row r="177" customFormat="1" spans="4:32">
      <c r="D177" s="3"/>
      <c r="E177" s="3"/>
      <c r="K177" s="4"/>
      <c r="L177" s="5"/>
      <c r="M177" s="4"/>
      <c r="X177" s="7"/>
      <c r="Y177" s="5"/>
      <c r="Z177" s="5"/>
      <c r="AA177" s="5"/>
      <c r="AB177" s="5"/>
      <c r="AC177" s="4"/>
      <c r="AF177" s="8"/>
    </row>
    <row r="178" customFormat="1" spans="4:32">
      <c r="D178" s="3"/>
      <c r="E178" s="3"/>
      <c r="K178" s="4"/>
      <c r="L178" s="5"/>
      <c r="M178" s="4"/>
      <c r="X178" s="7"/>
      <c r="Y178" s="5"/>
      <c r="Z178" s="5"/>
      <c r="AA178" s="5"/>
      <c r="AB178" s="5"/>
      <c r="AC178" s="4"/>
      <c r="AF178" s="8"/>
    </row>
    <row r="179" customFormat="1" spans="4:32">
      <c r="D179" s="3"/>
      <c r="E179" s="3"/>
      <c r="K179" s="4"/>
      <c r="L179" s="5"/>
      <c r="M179" s="4"/>
      <c r="X179" s="7"/>
      <c r="Y179" s="5"/>
      <c r="Z179" s="5"/>
      <c r="AA179" s="5"/>
      <c r="AB179" s="5"/>
      <c r="AC179" s="4"/>
      <c r="AF179" s="8"/>
    </row>
    <row r="180" customFormat="1" spans="4:32">
      <c r="D180" s="3"/>
      <c r="E180" s="3"/>
      <c r="K180" s="4"/>
      <c r="L180" s="5"/>
      <c r="M180" s="4"/>
      <c r="X180" s="7"/>
      <c r="Y180" s="5"/>
      <c r="Z180" s="5"/>
      <c r="AA180" s="5"/>
      <c r="AB180" s="5"/>
      <c r="AC180" s="4"/>
      <c r="AF180" s="8"/>
    </row>
    <row r="181" customFormat="1" spans="4:32">
      <c r="D181" s="3"/>
      <c r="E181" s="3"/>
      <c r="K181" s="4"/>
      <c r="L181" s="5"/>
      <c r="M181" s="4"/>
      <c r="X181" s="7"/>
      <c r="Y181" s="5"/>
      <c r="Z181" s="5"/>
      <c r="AA181" s="5"/>
      <c r="AB181" s="5"/>
      <c r="AC181" s="4"/>
      <c r="AF181" s="8"/>
    </row>
    <row r="182" customFormat="1" spans="4:32">
      <c r="D182" s="3"/>
      <c r="E182" s="3"/>
      <c r="K182" s="4"/>
      <c r="L182" s="5"/>
      <c r="M182" s="4"/>
      <c r="X182" s="7"/>
      <c r="Y182" s="5"/>
      <c r="Z182" s="5"/>
      <c r="AA182" s="5"/>
      <c r="AB182" s="5"/>
      <c r="AC182" s="4"/>
      <c r="AF182" s="8"/>
    </row>
    <row r="183" customFormat="1" spans="4:32">
      <c r="D183" s="3"/>
      <c r="E183" s="3"/>
      <c r="K183" s="4"/>
      <c r="L183" s="5"/>
      <c r="M183" s="4"/>
      <c r="X183" s="7"/>
      <c r="Y183" s="5"/>
      <c r="Z183" s="5"/>
      <c r="AA183" s="5"/>
      <c r="AB183" s="5"/>
      <c r="AC183" s="4"/>
      <c r="AF183" s="8"/>
    </row>
    <row r="184" customFormat="1" spans="4:32">
      <c r="D184" s="3"/>
      <c r="E184" s="3"/>
      <c r="K184" s="4"/>
      <c r="L184" s="5"/>
      <c r="M184" s="4"/>
      <c r="X184" s="7"/>
      <c r="Y184" s="5"/>
      <c r="Z184" s="5"/>
      <c r="AA184" s="5"/>
      <c r="AB184" s="5"/>
      <c r="AC184" s="4"/>
      <c r="AF184" s="8"/>
    </row>
    <row r="185" customFormat="1" spans="4:32">
      <c r="D185" s="3"/>
      <c r="E185" s="3"/>
      <c r="K185" s="4"/>
      <c r="L185" s="5"/>
      <c r="M185" s="4"/>
      <c r="X185" s="7"/>
      <c r="Y185" s="5"/>
      <c r="Z185" s="5"/>
      <c r="AA185" s="5"/>
      <c r="AB185" s="5"/>
      <c r="AC185" s="4"/>
      <c r="AF185" s="8"/>
    </row>
    <row r="186" customFormat="1" spans="4:32">
      <c r="D186" s="3"/>
      <c r="E186" s="3"/>
      <c r="K186" s="4"/>
      <c r="L186" s="5"/>
      <c r="M186" s="4"/>
      <c r="X186" s="7"/>
      <c r="Y186" s="5"/>
      <c r="Z186" s="5"/>
      <c r="AA186" s="5"/>
      <c r="AB186" s="5"/>
      <c r="AC186" s="4"/>
      <c r="AF186" s="8"/>
    </row>
    <row r="187" customFormat="1" spans="4:32">
      <c r="D187" s="3"/>
      <c r="E187" s="3"/>
      <c r="K187" s="4"/>
      <c r="L187" s="5"/>
      <c r="M187" s="4"/>
      <c r="X187" s="7"/>
      <c r="Y187" s="5"/>
      <c r="Z187" s="5"/>
      <c r="AA187" s="5"/>
      <c r="AB187" s="5"/>
      <c r="AC187" s="4"/>
      <c r="AF187" s="8"/>
    </row>
    <row r="188" customFormat="1" spans="4:32">
      <c r="D188" s="3"/>
      <c r="E188" s="3"/>
      <c r="K188" s="4"/>
      <c r="L188" s="5"/>
      <c r="M188" s="4"/>
      <c r="X188" s="7"/>
      <c r="Y188" s="5"/>
      <c r="Z188" s="5"/>
      <c r="AA188" s="5"/>
      <c r="AB188" s="5"/>
      <c r="AC188" s="4"/>
      <c r="AF188" s="8"/>
    </row>
    <row r="189" customFormat="1" spans="4:32">
      <c r="D189" s="3"/>
      <c r="E189" s="3"/>
      <c r="K189" s="4"/>
      <c r="L189" s="5"/>
      <c r="M189" s="4"/>
      <c r="X189" s="7"/>
      <c r="Y189" s="5"/>
      <c r="Z189" s="5"/>
      <c r="AA189" s="5"/>
      <c r="AB189" s="5"/>
      <c r="AC189" s="4"/>
      <c r="AF189" s="8"/>
    </row>
    <row r="190" customFormat="1" spans="4:32">
      <c r="D190" s="3"/>
      <c r="E190" s="3"/>
      <c r="K190" s="4"/>
      <c r="L190" s="5"/>
      <c r="M190" s="4"/>
      <c r="X190" s="7"/>
      <c r="Y190" s="5"/>
      <c r="Z190" s="5"/>
      <c r="AA190" s="5"/>
      <c r="AB190" s="5"/>
      <c r="AC190" s="4"/>
      <c r="AF190" s="8"/>
    </row>
    <row r="191" customFormat="1" spans="4:32">
      <c r="D191" s="3"/>
      <c r="E191" s="3"/>
      <c r="K191" s="4"/>
      <c r="L191" s="5"/>
      <c r="M191" s="4"/>
      <c r="X191" s="7"/>
      <c r="Y191" s="5"/>
      <c r="Z191" s="5"/>
      <c r="AA191" s="5"/>
      <c r="AB191" s="5"/>
      <c r="AC191" s="4"/>
      <c r="AF191" s="8"/>
    </row>
    <row r="192" customFormat="1" spans="4:32">
      <c r="D192" s="3"/>
      <c r="E192" s="3"/>
      <c r="K192" s="4"/>
      <c r="L192" s="5"/>
      <c r="M192" s="4"/>
      <c r="X192" s="7"/>
      <c r="Y192" s="5"/>
      <c r="Z192" s="5"/>
      <c r="AA192" s="5"/>
      <c r="AB192" s="5"/>
      <c r="AC192" s="4"/>
      <c r="AF192" s="8"/>
    </row>
  </sheetData>
  <autoFilter xmlns:etc="http://www.wps.cn/officeDocument/2017/etCustomData" ref="A2:AF176" etc:filterBottomFollowUsedRange="0">
    <extLst/>
  </autoFilter>
  <mergeCells count="57">
    <mergeCell ref="A1:AF1"/>
    <mergeCell ref="J2:P2"/>
    <mergeCell ref="R2:V2"/>
    <mergeCell ref="Y2:AD2"/>
    <mergeCell ref="A2:A3"/>
    <mergeCell ref="A4:A24"/>
    <mergeCell ref="A25:A34"/>
    <mergeCell ref="A35:A44"/>
    <mergeCell ref="A45:A62"/>
    <mergeCell ref="A63:A88"/>
    <mergeCell ref="A89:A109"/>
    <mergeCell ref="A110:A134"/>
    <mergeCell ref="A135:A154"/>
    <mergeCell ref="A155:A163"/>
    <mergeCell ref="A164:A174"/>
    <mergeCell ref="B2:B3"/>
    <mergeCell ref="B4:B24"/>
    <mergeCell ref="B25:B34"/>
    <mergeCell ref="B35:B44"/>
    <mergeCell ref="B45:B62"/>
    <mergeCell ref="B63:B88"/>
    <mergeCell ref="B89:B109"/>
    <mergeCell ref="B110:B134"/>
    <mergeCell ref="B135:B154"/>
    <mergeCell ref="B155:B163"/>
    <mergeCell ref="B164:B174"/>
    <mergeCell ref="C2:C3"/>
    <mergeCell ref="D2:D3"/>
    <mergeCell ref="E2:E3"/>
    <mergeCell ref="F2:F3"/>
    <mergeCell ref="G2:G3"/>
    <mergeCell ref="H2:H3"/>
    <mergeCell ref="I2:I3"/>
    <mergeCell ref="Q2:Q3"/>
    <mergeCell ref="Q4:Q24"/>
    <mergeCell ref="Q25:Q34"/>
    <mergeCell ref="Q35:Q44"/>
    <mergeCell ref="Q45:Q62"/>
    <mergeCell ref="Q63:Q88"/>
    <mergeCell ref="Q89:Q109"/>
    <mergeCell ref="Q110:Q134"/>
    <mergeCell ref="Q135:Q154"/>
    <mergeCell ref="Q155:Q163"/>
    <mergeCell ref="Q164:Q174"/>
    <mergeCell ref="R4:R24"/>
    <mergeCell ref="R25:R34"/>
    <mergeCell ref="R35:R44"/>
    <mergeCell ref="R45:R62"/>
    <mergeCell ref="R63:R88"/>
    <mergeCell ref="R89:R109"/>
    <mergeCell ref="R110:R134"/>
    <mergeCell ref="R135:R154"/>
    <mergeCell ref="R155:R163"/>
    <mergeCell ref="R164:R174"/>
    <mergeCell ref="W2:W3"/>
    <mergeCell ref="X2:X3"/>
    <mergeCell ref="AF2:AF3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4"/>
    </row>
    <row r="2" customFormat="1" ht="31" customHeight="1" spans="1:32">
      <c r="A2" s="98" t="s">
        <v>144</v>
      </c>
      <c r="B2" s="98" t="s">
        <v>145</v>
      </c>
      <c r="C2" s="98">
        <v>81.6001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5" t="s">
        <v>39</v>
      </c>
      <c r="Z3" s="75"/>
      <c r="AA3" s="75"/>
      <c r="AB3" s="75"/>
      <c r="AC3" s="76"/>
      <c r="AD3" s="75"/>
      <c r="AE3" s="77" t="s">
        <v>40</v>
      </c>
      <c r="AF3" s="78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9" t="s">
        <v>53</v>
      </c>
      <c r="Z4" s="79" t="s">
        <v>54</v>
      </c>
      <c r="AA4" s="79" t="s">
        <v>55</v>
      </c>
      <c r="AB4" s="80" t="s">
        <v>56</v>
      </c>
      <c r="AC4" s="81" t="s">
        <v>57</v>
      </c>
      <c r="AD4" s="82" t="s">
        <v>47</v>
      </c>
      <c r="AE4" s="83" t="s">
        <v>58</v>
      </c>
      <c r="AF4" s="84"/>
    </row>
    <row r="5" s="2" customFormat="1" spans="1:32">
      <c r="A5" s="20" t="s">
        <v>4</v>
      </c>
      <c r="B5" s="21" t="s">
        <v>5</v>
      </c>
      <c r="C5" s="22">
        <v>240907000011</v>
      </c>
      <c r="D5" s="23">
        <v>45563</v>
      </c>
      <c r="E5" s="23" t="s">
        <v>59</v>
      </c>
      <c r="F5" s="21" t="s">
        <v>60</v>
      </c>
      <c r="G5" s="21" t="s">
        <v>61</v>
      </c>
      <c r="H5" s="88">
        <v>0.4074</v>
      </c>
      <c r="I5" s="88">
        <v>404</v>
      </c>
      <c r="J5" s="42">
        <v>1549.3</v>
      </c>
      <c r="K5" s="86"/>
      <c r="L5" s="44"/>
      <c r="M5" s="45"/>
      <c r="N5" s="92"/>
      <c r="O5" s="21"/>
      <c r="P5" s="48">
        <f t="shared" ref="P5:P9" si="0">SUBTOTAL(9,J5)</f>
        <v>1549.3</v>
      </c>
      <c r="Q5" s="93">
        <f>SUM(P5:P25)</f>
        <v>163992.93964578</v>
      </c>
      <c r="R5" s="94" t="s">
        <v>62</v>
      </c>
      <c r="S5" s="72">
        <f>SUM(40515/68)*H5</f>
        <v>242.732514705882</v>
      </c>
      <c r="T5" s="72"/>
      <c r="U5" s="72">
        <f>SUM(2200/68)*H5</f>
        <v>13.1805882352941</v>
      </c>
      <c r="V5" s="72"/>
      <c r="W5" s="72"/>
      <c r="X5" s="72">
        <f t="shared" ref="X5:X68" si="1">SUM(S5:W5)</f>
        <v>255.913102941176</v>
      </c>
      <c r="Y5" s="85">
        <f>SUM(10381.23/68)*H5</f>
        <v>62.1957809117647</v>
      </c>
      <c r="Z5" s="97">
        <v>48.54</v>
      </c>
      <c r="AA5" s="85"/>
      <c r="AB5" s="85">
        <f t="shared" ref="AB5:AB68" si="2">SUM(Y5:AA5)</f>
        <v>110.735780911765</v>
      </c>
      <c r="AC5" s="86">
        <v>7.23</v>
      </c>
      <c r="AD5" s="72">
        <f t="shared" ref="AD5:AD68" si="3">SUM(AB5*AC5)</f>
        <v>800.619695992059</v>
      </c>
      <c r="AE5" s="72">
        <f t="shared" ref="AE5:AE68" si="4">SUM(X5+AD5)</f>
        <v>1056.53279893324</v>
      </c>
      <c r="AF5" s="72">
        <f t="shared" ref="AF5:AF68" si="5">SUM(P5-AE5)</f>
        <v>492.76720106676</v>
      </c>
    </row>
    <row r="6" s="2" customFormat="1" spans="1:32">
      <c r="A6" s="20"/>
      <c r="B6" s="21"/>
      <c r="C6" s="22">
        <v>240909000011</v>
      </c>
      <c r="D6" s="23">
        <v>45563</v>
      </c>
      <c r="E6" s="23" t="s">
        <v>63</v>
      </c>
      <c r="F6" s="21" t="s">
        <v>64</v>
      </c>
      <c r="G6" s="21" t="s">
        <v>64</v>
      </c>
      <c r="H6" s="88">
        <v>0.036</v>
      </c>
      <c r="I6" s="88">
        <v>12</v>
      </c>
      <c r="J6" s="48"/>
      <c r="K6" s="90">
        <v>87324</v>
      </c>
      <c r="L6" s="44"/>
      <c r="M6" s="45">
        <f t="shared" ref="M6:M11" si="6">SUM(K6/N6)</f>
        <v>5916.25936094047</v>
      </c>
      <c r="N6" s="46">
        <v>14.760002</v>
      </c>
      <c r="O6" s="21">
        <v>7.24</v>
      </c>
      <c r="P6" s="48">
        <f t="shared" ref="P6:P11" si="7">SUM(N6*O6)</f>
        <v>106.86241448</v>
      </c>
      <c r="Q6" s="95"/>
      <c r="R6" s="95"/>
      <c r="S6" s="72">
        <f t="shared" ref="S6:S25" si="8">SUM(40515/68)*H6</f>
        <v>21.4491176470588</v>
      </c>
      <c r="T6" s="72"/>
      <c r="U6" s="72">
        <f t="shared" ref="U6:U25" si="9">SUM(2200/68)*H6</f>
        <v>1.16470588235294</v>
      </c>
      <c r="V6" s="72"/>
      <c r="W6" s="72"/>
      <c r="X6" s="72">
        <f t="shared" si="1"/>
        <v>22.6138235294118</v>
      </c>
      <c r="Y6" s="85">
        <f t="shared" ref="Y6:Y25" si="10">SUM(10381.23/68)*H6</f>
        <v>5.49594529411765</v>
      </c>
      <c r="Z6" s="97">
        <v>0.54</v>
      </c>
      <c r="AA6" s="85"/>
      <c r="AB6" s="85">
        <f t="shared" si="2"/>
        <v>6.03594529411765</v>
      </c>
      <c r="AC6" s="86">
        <v>7.23</v>
      </c>
      <c r="AD6" s="72">
        <f t="shared" si="3"/>
        <v>43.6398844764706</v>
      </c>
      <c r="AE6" s="72">
        <f t="shared" si="4"/>
        <v>66.2537080058823</v>
      </c>
      <c r="AF6" s="72">
        <f t="shared" si="5"/>
        <v>40.6087064741177</v>
      </c>
    </row>
    <row r="7" s="2" customFormat="1" spans="1:32">
      <c r="A7" s="20"/>
      <c r="B7" s="21"/>
      <c r="C7" s="22">
        <v>240915000027</v>
      </c>
      <c r="D7" s="23">
        <v>45563</v>
      </c>
      <c r="E7" s="23" t="s">
        <v>59</v>
      </c>
      <c r="F7" s="21" t="s">
        <v>60</v>
      </c>
      <c r="G7" s="21" t="s">
        <v>65</v>
      </c>
      <c r="H7" s="88">
        <v>0.554</v>
      </c>
      <c r="I7" s="88">
        <v>177</v>
      </c>
      <c r="J7" s="118">
        <v>1986.97</v>
      </c>
      <c r="K7" s="86"/>
      <c r="L7" s="44"/>
      <c r="M7" s="45"/>
      <c r="N7" s="44"/>
      <c r="O7" s="21"/>
      <c r="P7" s="48">
        <f>SUM(J7)</f>
        <v>1986.97</v>
      </c>
      <c r="Q7" s="95"/>
      <c r="R7" s="95"/>
      <c r="S7" s="72">
        <f t="shared" si="8"/>
        <v>330.078088235294</v>
      </c>
      <c r="T7" s="72"/>
      <c r="U7" s="72">
        <f t="shared" si="9"/>
        <v>17.9235294117647</v>
      </c>
      <c r="V7" s="72">
        <v>60</v>
      </c>
      <c r="W7" s="72"/>
      <c r="X7" s="72">
        <f t="shared" si="1"/>
        <v>408.001617647059</v>
      </c>
      <c r="Y7" s="85">
        <f t="shared" si="10"/>
        <v>84.5764914705882</v>
      </c>
      <c r="Z7" s="97">
        <v>83.97</v>
      </c>
      <c r="AA7" s="97"/>
      <c r="AB7" s="85">
        <f t="shared" si="2"/>
        <v>168.546491470588</v>
      </c>
      <c r="AC7" s="86">
        <v>7.23</v>
      </c>
      <c r="AD7" s="72">
        <f t="shared" si="3"/>
        <v>1218.59113333235</v>
      </c>
      <c r="AE7" s="72">
        <f t="shared" si="4"/>
        <v>1626.59275097941</v>
      </c>
      <c r="AF7" s="72">
        <f t="shared" si="5"/>
        <v>360.37724902059</v>
      </c>
    </row>
    <row r="8" s="2" customFormat="1" spans="1:32">
      <c r="A8" s="20"/>
      <c r="B8" s="21"/>
      <c r="C8" s="22">
        <v>240919000042</v>
      </c>
      <c r="D8" s="23">
        <v>45563</v>
      </c>
      <c r="E8" s="23" t="s">
        <v>63</v>
      </c>
      <c r="F8" s="21" t="s">
        <v>64</v>
      </c>
      <c r="G8" s="21" t="s">
        <v>66</v>
      </c>
      <c r="H8" s="88">
        <v>0.2211</v>
      </c>
      <c r="I8" s="88">
        <v>118</v>
      </c>
      <c r="J8" s="42">
        <v>468.7</v>
      </c>
      <c r="K8" s="86"/>
      <c r="L8" s="44"/>
      <c r="M8" s="45"/>
      <c r="N8" s="92"/>
      <c r="O8" s="21"/>
      <c r="P8" s="48">
        <f t="shared" si="0"/>
        <v>468.7</v>
      </c>
      <c r="Q8" s="95"/>
      <c r="R8" s="95"/>
      <c r="S8" s="72">
        <f t="shared" si="8"/>
        <v>131.733330882353</v>
      </c>
      <c r="T8" s="72"/>
      <c r="U8" s="72">
        <f t="shared" si="9"/>
        <v>7.15323529411765</v>
      </c>
      <c r="V8" s="72"/>
      <c r="W8" s="72"/>
      <c r="X8" s="72">
        <f t="shared" si="1"/>
        <v>138.886566176471</v>
      </c>
      <c r="Y8" s="85">
        <f t="shared" si="10"/>
        <v>33.7542640147059</v>
      </c>
      <c r="Z8" s="85"/>
      <c r="AA8" s="85"/>
      <c r="AB8" s="85">
        <f t="shared" si="2"/>
        <v>33.7542640147059</v>
      </c>
      <c r="AC8" s="86">
        <v>7.23</v>
      </c>
      <c r="AD8" s="72">
        <f t="shared" si="3"/>
        <v>244.043328826324</v>
      </c>
      <c r="AE8" s="72">
        <f t="shared" si="4"/>
        <v>382.929895002794</v>
      </c>
      <c r="AF8" s="72">
        <f t="shared" si="5"/>
        <v>85.770104997206</v>
      </c>
    </row>
    <row r="9" s="2" customFormat="1" spans="1:32">
      <c r="A9" s="20"/>
      <c r="B9" s="21"/>
      <c r="C9" s="22">
        <v>240920000027</v>
      </c>
      <c r="D9" s="23">
        <v>45563</v>
      </c>
      <c r="E9" s="23" t="s">
        <v>59</v>
      </c>
      <c r="F9" s="21" t="s">
        <v>60</v>
      </c>
      <c r="G9" s="21" t="s">
        <v>67</v>
      </c>
      <c r="H9" s="88">
        <v>1.1252</v>
      </c>
      <c r="I9" s="88">
        <v>111</v>
      </c>
      <c r="J9" s="42">
        <v>3500.8</v>
      </c>
      <c r="K9" s="86"/>
      <c r="L9" s="44"/>
      <c r="M9" s="45"/>
      <c r="N9" s="92"/>
      <c r="O9" s="21"/>
      <c r="P9" s="48">
        <f t="shared" si="0"/>
        <v>3500.8</v>
      </c>
      <c r="Q9" s="95"/>
      <c r="R9" s="95"/>
      <c r="S9" s="72">
        <f t="shared" si="8"/>
        <v>670.404088235294</v>
      </c>
      <c r="T9" s="72"/>
      <c r="U9" s="72">
        <f t="shared" si="9"/>
        <v>36.4035294117647</v>
      </c>
      <c r="V9" s="72"/>
      <c r="W9" s="72"/>
      <c r="X9" s="72">
        <f t="shared" si="1"/>
        <v>706.807617647059</v>
      </c>
      <c r="Y9" s="85">
        <f t="shared" si="10"/>
        <v>171.778823470588</v>
      </c>
      <c r="Z9" s="85">
        <v>8.31</v>
      </c>
      <c r="AA9" s="85">
        <v>117.69</v>
      </c>
      <c r="AB9" s="85">
        <f t="shared" si="2"/>
        <v>297.778823470588</v>
      </c>
      <c r="AC9" s="86">
        <v>7.23</v>
      </c>
      <c r="AD9" s="72">
        <f t="shared" si="3"/>
        <v>2152.94089369235</v>
      </c>
      <c r="AE9" s="72">
        <f t="shared" si="4"/>
        <v>2859.74851133941</v>
      </c>
      <c r="AF9" s="72">
        <f t="shared" si="5"/>
        <v>641.05148866059</v>
      </c>
    </row>
    <row r="10" s="2" customFormat="1" spans="1:32">
      <c r="A10" s="20"/>
      <c r="B10" s="21"/>
      <c r="C10" s="22">
        <v>240920000030</v>
      </c>
      <c r="D10" s="23">
        <v>45563</v>
      </c>
      <c r="E10" s="23" t="s">
        <v>63</v>
      </c>
      <c r="F10" s="21" t="s">
        <v>64</v>
      </c>
      <c r="G10" s="21" t="s">
        <v>68</v>
      </c>
      <c r="H10" s="88">
        <v>0.319</v>
      </c>
      <c r="I10" s="88">
        <v>321</v>
      </c>
      <c r="J10" s="48"/>
      <c r="K10" s="90">
        <v>385317</v>
      </c>
      <c r="L10" s="44"/>
      <c r="M10" s="45">
        <f t="shared" si="6"/>
        <v>1767.34703238235</v>
      </c>
      <c r="N10" s="46">
        <v>218.02</v>
      </c>
      <c r="O10" s="21">
        <v>7.24</v>
      </c>
      <c r="P10" s="48">
        <f t="shared" si="7"/>
        <v>1578.4648</v>
      </c>
      <c r="Q10" s="95"/>
      <c r="R10" s="95"/>
      <c r="S10" s="72">
        <f t="shared" si="8"/>
        <v>190.063014705882</v>
      </c>
      <c r="T10" s="72"/>
      <c r="U10" s="72">
        <f t="shared" si="9"/>
        <v>10.3205882352941</v>
      </c>
      <c r="V10" s="72"/>
      <c r="W10" s="72"/>
      <c r="X10" s="72">
        <f t="shared" si="1"/>
        <v>200.383602941176</v>
      </c>
      <c r="Y10" s="85">
        <f t="shared" si="10"/>
        <v>48.7001819117647</v>
      </c>
      <c r="Z10" s="97">
        <v>85.03</v>
      </c>
      <c r="AA10" s="85"/>
      <c r="AB10" s="85">
        <f t="shared" si="2"/>
        <v>133.730181911765</v>
      </c>
      <c r="AC10" s="86">
        <v>7.23</v>
      </c>
      <c r="AD10" s="72">
        <f t="shared" si="3"/>
        <v>966.869215222059</v>
      </c>
      <c r="AE10" s="72">
        <f t="shared" si="4"/>
        <v>1167.25281816324</v>
      </c>
      <c r="AF10" s="72">
        <f t="shared" si="5"/>
        <v>411.21198183676</v>
      </c>
    </row>
    <row r="11" s="2" customFormat="1" spans="1:32">
      <c r="A11" s="20"/>
      <c r="B11" s="21"/>
      <c r="C11" s="22">
        <v>240923000009</v>
      </c>
      <c r="D11" s="23">
        <v>45563</v>
      </c>
      <c r="E11" s="23" t="s">
        <v>69</v>
      </c>
      <c r="F11" s="21" t="s">
        <v>70</v>
      </c>
      <c r="G11" s="21" t="s">
        <v>71</v>
      </c>
      <c r="H11" s="88">
        <v>0.5281</v>
      </c>
      <c r="I11" s="88">
        <v>104.5</v>
      </c>
      <c r="J11" s="48"/>
      <c r="K11" s="90">
        <v>313621.07</v>
      </c>
      <c r="L11" s="44"/>
      <c r="M11" s="45">
        <f t="shared" si="6"/>
        <v>1855.85590010391</v>
      </c>
      <c r="N11" s="46">
        <v>168.98999</v>
      </c>
      <c r="O11" s="21">
        <v>7.26</v>
      </c>
      <c r="P11" s="48">
        <f t="shared" si="7"/>
        <v>1226.8673274</v>
      </c>
      <c r="Q11" s="95"/>
      <c r="R11" s="95"/>
      <c r="S11" s="72">
        <f t="shared" si="8"/>
        <v>314.646639705882</v>
      </c>
      <c r="T11" s="72"/>
      <c r="U11" s="72">
        <f t="shared" si="9"/>
        <v>17.0855882352941</v>
      </c>
      <c r="V11" s="72"/>
      <c r="W11" s="72"/>
      <c r="X11" s="72">
        <f t="shared" si="1"/>
        <v>331.732227941176</v>
      </c>
      <c r="Y11" s="85">
        <f t="shared" si="10"/>
        <v>80.6224641617647</v>
      </c>
      <c r="Z11" s="85"/>
      <c r="AA11" s="85"/>
      <c r="AB11" s="85">
        <f t="shared" si="2"/>
        <v>80.6224641617647</v>
      </c>
      <c r="AC11" s="86">
        <v>7.23</v>
      </c>
      <c r="AD11" s="72">
        <f t="shared" si="3"/>
        <v>582.900415889559</v>
      </c>
      <c r="AE11" s="72">
        <f t="shared" si="4"/>
        <v>914.632643830735</v>
      </c>
      <c r="AF11" s="72">
        <f t="shared" si="5"/>
        <v>312.234683569265</v>
      </c>
    </row>
    <row r="12" s="2" customFormat="1" spans="1:32">
      <c r="A12" s="20"/>
      <c r="B12" s="21"/>
      <c r="C12" s="22">
        <v>240923000035</v>
      </c>
      <c r="D12" s="23">
        <v>45547</v>
      </c>
      <c r="E12" s="23" t="s">
        <v>63</v>
      </c>
      <c r="F12" s="21" t="s">
        <v>64</v>
      </c>
      <c r="G12" s="21" t="s">
        <v>72</v>
      </c>
      <c r="H12" s="88">
        <v>1.0584</v>
      </c>
      <c r="I12" s="88">
        <v>465</v>
      </c>
      <c r="J12" s="42">
        <v>2082</v>
      </c>
      <c r="K12" s="86"/>
      <c r="L12" s="44"/>
      <c r="M12" s="45"/>
      <c r="N12" s="97"/>
      <c r="O12" s="21"/>
      <c r="P12" s="48">
        <f t="shared" ref="P12:P18" si="11">SUBTOTAL(9,J12)</f>
        <v>2082</v>
      </c>
      <c r="Q12" s="95"/>
      <c r="R12" s="95"/>
      <c r="S12" s="72">
        <f t="shared" si="8"/>
        <v>630.604058823529</v>
      </c>
      <c r="T12" s="72"/>
      <c r="U12" s="72">
        <f t="shared" si="9"/>
        <v>34.2423529411765</v>
      </c>
      <c r="V12" s="72"/>
      <c r="W12" s="72"/>
      <c r="X12" s="72">
        <f t="shared" si="1"/>
        <v>664.846411764706</v>
      </c>
      <c r="Y12" s="85">
        <f t="shared" si="10"/>
        <v>161.580791647059</v>
      </c>
      <c r="Z12" s="85"/>
      <c r="AA12" s="85"/>
      <c r="AB12" s="85">
        <f t="shared" si="2"/>
        <v>161.580791647059</v>
      </c>
      <c r="AC12" s="86">
        <v>7.23</v>
      </c>
      <c r="AD12" s="72">
        <f t="shared" si="3"/>
        <v>1168.22912360824</v>
      </c>
      <c r="AE12" s="72">
        <f t="shared" si="4"/>
        <v>1833.07553537294</v>
      </c>
      <c r="AF12" s="72">
        <f t="shared" si="5"/>
        <v>248.92446462706</v>
      </c>
    </row>
    <row r="13" s="2" customFormat="1" spans="1:32">
      <c r="A13" s="20"/>
      <c r="B13" s="21"/>
      <c r="C13" s="22">
        <v>240923000047</v>
      </c>
      <c r="D13" s="23">
        <v>45563</v>
      </c>
      <c r="E13" s="23" t="s">
        <v>59</v>
      </c>
      <c r="F13" s="21" t="s">
        <v>60</v>
      </c>
      <c r="G13" s="21" t="s">
        <v>73</v>
      </c>
      <c r="H13" s="88">
        <v>0.8</v>
      </c>
      <c r="I13" s="88">
        <v>197</v>
      </c>
      <c r="J13" s="48"/>
      <c r="K13" s="90">
        <v>390880</v>
      </c>
      <c r="L13" s="44"/>
      <c r="M13" s="45">
        <f>SUM(K13/N13)</f>
        <v>1744.99976629467</v>
      </c>
      <c r="N13" s="46">
        <v>224.00003</v>
      </c>
      <c r="O13" s="21">
        <v>7.21</v>
      </c>
      <c r="P13" s="48">
        <f>SUM(N13*O13)</f>
        <v>1615.0402163</v>
      </c>
      <c r="Q13" s="95"/>
      <c r="R13" s="95"/>
      <c r="S13" s="72">
        <f t="shared" si="8"/>
        <v>476.647058823529</v>
      </c>
      <c r="T13" s="72"/>
      <c r="U13" s="72">
        <f t="shared" si="9"/>
        <v>25.8823529411765</v>
      </c>
      <c r="V13" s="72"/>
      <c r="W13" s="72"/>
      <c r="X13" s="72">
        <f t="shared" si="1"/>
        <v>502.529411764706</v>
      </c>
      <c r="Y13" s="85">
        <f t="shared" si="10"/>
        <v>122.132117647059</v>
      </c>
      <c r="Z13" s="85"/>
      <c r="AA13" s="85"/>
      <c r="AB13" s="85">
        <f t="shared" si="2"/>
        <v>122.132117647059</v>
      </c>
      <c r="AC13" s="86">
        <v>7.23</v>
      </c>
      <c r="AD13" s="72">
        <f t="shared" si="3"/>
        <v>883.015210588235</v>
      </c>
      <c r="AE13" s="72">
        <f t="shared" si="4"/>
        <v>1385.54462235294</v>
      </c>
      <c r="AF13" s="72">
        <f t="shared" si="5"/>
        <v>229.49559394706</v>
      </c>
    </row>
    <row r="14" s="2" customFormat="1" spans="1:32">
      <c r="A14" s="20"/>
      <c r="B14" s="21"/>
      <c r="C14" s="22">
        <v>240924000001</v>
      </c>
      <c r="D14" s="23">
        <v>45563</v>
      </c>
      <c r="E14" s="23" t="s">
        <v>74</v>
      </c>
      <c r="F14" s="21" t="s">
        <v>74</v>
      </c>
      <c r="G14" s="21" t="s">
        <v>75</v>
      </c>
      <c r="H14" s="88">
        <v>8.51</v>
      </c>
      <c r="I14" s="88">
        <v>209</v>
      </c>
      <c r="J14" s="42">
        <v>14859.77</v>
      </c>
      <c r="K14" s="86"/>
      <c r="L14" s="44"/>
      <c r="M14" s="45"/>
      <c r="N14" s="92"/>
      <c r="O14" s="21"/>
      <c r="P14" s="48">
        <f t="shared" si="11"/>
        <v>14859.77</v>
      </c>
      <c r="Q14" s="95"/>
      <c r="R14" s="95"/>
      <c r="S14" s="72">
        <f t="shared" si="8"/>
        <v>5070.33308823529</v>
      </c>
      <c r="T14" s="72"/>
      <c r="U14" s="72">
        <f t="shared" si="9"/>
        <v>275.323529411765</v>
      </c>
      <c r="V14" s="72"/>
      <c r="W14" s="72"/>
      <c r="X14" s="72">
        <f t="shared" si="1"/>
        <v>5345.65661764706</v>
      </c>
      <c r="Y14" s="85">
        <f t="shared" si="10"/>
        <v>1299.18040147059</v>
      </c>
      <c r="Z14" s="85"/>
      <c r="AA14" s="85"/>
      <c r="AB14" s="85">
        <f t="shared" si="2"/>
        <v>1299.18040147059</v>
      </c>
      <c r="AC14" s="86">
        <v>7.23</v>
      </c>
      <c r="AD14" s="72">
        <f t="shared" si="3"/>
        <v>9393.07430263235</v>
      </c>
      <c r="AE14" s="72">
        <f t="shared" si="4"/>
        <v>14738.7309202794</v>
      </c>
      <c r="AF14" s="72">
        <f t="shared" si="5"/>
        <v>121.0390797206</v>
      </c>
    </row>
    <row r="15" s="2" customFormat="1" spans="1:32">
      <c r="A15" s="20"/>
      <c r="B15" s="21"/>
      <c r="C15" s="22">
        <v>240925000028</v>
      </c>
      <c r="D15" s="23">
        <v>45563</v>
      </c>
      <c r="E15" s="23" t="s">
        <v>69</v>
      </c>
      <c r="F15" s="21" t="s">
        <v>70</v>
      </c>
      <c r="G15" s="21" t="s">
        <v>76</v>
      </c>
      <c r="H15" s="88">
        <v>1.2354</v>
      </c>
      <c r="I15" s="88">
        <v>125</v>
      </c>
      <c r="J15" s="42">
        <v>2382.35</v>
      </c>
      <c r="K15" s="86"/>
      <c r="L15" s="44"/>
      <c r="M15" s="45"/>
      <c r="N15" s="92"/>
      <c r="O15" s="21"/>
      <c r="P15" s="48">
        <f t="shared" si="11"/>
        <v>2382.35</v>
      </c>
      <c r="Q15" s="95"/>
      <c r="R15" s="95"/>
      <c r="S15" s="72">
        <f t="shared" si="8"/>
        <v>736.062220588235</v>
      </c>
      <c r="T15" s="72"/>
      <c r="U15" s="72">
        <f t="shared" si="9"/>
        <v>39.9688235294118</v>
      </c>
      <c r="V15" s="72"/>
      <c r="W15" s="72"/>
      <c r="X15" s="72">
        <f t="shared" si="1"/>
        <v>776.031044117647</v>
      </c>
      <c r="Y15" s="85">
        <f t="shared" si="10"/>
        <v>188.602522676471</v>
      </c>
      <c r="Z15" s="85"/>
      <c r="AA15" s="85"/>
      <c r="AB15" s="85">
        <f t="shared" si="2"/>
        <v>188.602522676471</v>
      </c>
      <c r="AC15" s="86">
        <v>7.23</v>
      </c>
      <c r="AD15" s="72">
        <f t="shared" si="3"/>
        <v>1363.59623895088</v>
      </c>
      <c r="AE15" s="72">
        <f t="shared" si="4"/>
        <v>2139.62728306853</v>
      </c>
      <c r="AF15" s="72">
        <f t="shared" si="5"/>
        <v>242.72271693147</v>
      </c>
    </row>
    <row r="16" s="2" customFormat="1" spans="1:32">
      <c r="A16" s="20"/>
      <c r="B16" s="21"/>
      <c r="C16" s="22">
        <v>240926000027</v>
      </c>
      <c r="D16" s="23">
        <v>45563</v>
      </c>
      <c r="E16" s="23" t="s">
        <v>74</v>
      </c>
      <c r="F16" s="21" t="s">
        <v>74</v>
      </c>
      <c r="G16" s="21" t="s">
        <v>77</v>
      </c>
      <c r="H16" s="88">
        <v>1.555</v>
      </c>
      <c r="I16" s="88">
        <v>237</v>
      </c>
      <c r="J16" s="42">
        <v>3879</v>
      </c>
      <c r="K16" s="86"/>
      <c r="L16" s="44"/>
      <c r="M16" s="45"/>
      <c r="N16" s="92"/>
      <c r="O16" s="21"/>
      <c r="P16" s="48">
        <f t="shared" si="11"/>
        <v>3879</v>
      </c>
      <c r="Q16" s="95"/>
      <c r="R16" s="95"/>
      <c r="S16" s="72">
        <f t="shared" si="8"/>
        <v>926.482720588235</v>
      </c>
      <c r="T16" s="72"/>
      <c r="U16" s="72">
        <f t="shared" si="9"/>
        <v>50.3088235294118</v>
      </c>
      <c r="V16" s="72"/>
      <c r="W16" s="72"/>
      <c r="X16" s="72">
        <f t="shared" si="1"/>
        <v>976.791544117647</v>
      </c>
      <c r="Y16" s="85">
        <f t="shared" si="10"/>
        <v>237.394303676471</v>
      </c>
      <c r="Z16" s="97">
        <v>36.85</v>
      </c>
      <c r="AA16" s="85"/>
      <c r="AB16" s="85">
        <f t="shared" si="2"/>
        <v>274.244303676471</v>
      </c>
      <c r="AC16" s="86">
        <v>7.23</v>
      </c>
      <c r="AD16" s="72">
        <f t="shared" si="3"/>
        <v>1982.78631558088</v>
      </c>
      <c r="AE16" s="72">
        <f t="shared" si="4"/>
        <v>2959.57785969853</v>
      </c>
      <c r="AF16" s="72">
        <f t="shared" si="5"/>
        <v>919.42214030147</v>
      </c>
    </row>
    <row r="17" s="2" customFormat="1" spans="1:32">
      <c r="A17" s="20"/>
      <c r="B17" s="21"/>
      <c r="C17" s="22">
        <v>240924000057</v>
      </c>
      <c r="D17" s="23">
        <v>45564</v>
      </c>
      <c r="E17" s="23" t="s">
        <v>74</v>
      </c>
      <c r="F17" s="21" t="s">
        <v>74</v>
      </c>
      <c r="G17" s="21" t="s">
        <v>78</v>
      </c>
      <c r="H17" s="88">
        <v>5.543</v>
      </c>
      <c r="I17" s="88">
        <v>3101</v>
      </c>
      <c r="J17" s="42">
        <v>12233</v>
      </c>
      <c r="K17" s="86"/>
      <c r="L17" s="44"/>
      <c r="M17" s="45"/>
      <c r="N17" s="92"/>
      <c r="O17" s="21"/>
      <c r="P17" s="48">
        <f t="shared" si="11"/>
        <v>12233</v>
      </c>
      <c r="Q17" s="95"/>
      <c r="R17" s="95"/>
      <c r="S17" s="72">
        <f t="shared" si="8"/>
        <v>3302.56830882353</v>
      </c>
      <c r="T17" s="72"/>
      <c r="U17" s="72">
        <f t="shared" si="9"/>
        <v>179.332352941176</v>
      </c>
      <c r="V17" s="72"/>
      <c r="W17" s="72"/>
      <c r="X17" s="72">
        <f t="shared" si="1"/>
        <v>3481.90066176471</v>
      </c>
      <c r="Y17" s="85">
        <f t="shared" si="10"/>
        <v>846.222910147059</v>
      </c>
      <c r="Z17" s="85"/>
      <c r="AA17" s="85"/>
      <c r="AB17" s="85">
        <f t="shared" si="2"/>
        <v>846.222910147059</v>
      </c>
      <c r="AC17" s="86">
        <v>7.23</v>
      </c>
      <c r="AD17" s="72">
        <f t="shared" si="3"/>
        <v>6118.19164036323</v>
      </c>
      <c r="AE17" s="72">
        <f t="shared" si="4"/>
        <v>9600.09230212794</v>
      </c>
      <c r="AF17" s="72">
        <f t="shared" si="5"/>
        <v>2632.90769787206</v>
      </c>
    </row>
    <row r="18" s="2" customFormat="1" spans="1:32">
      <c r="A18" s="20"/>
      <c r="B18" s="21"/>
      <c r="C18" s="22">
        <v>240906000023</v>
      </c>
      <c r="D18" s="23">
        <v>45559</v>
      </c>
      <c r="E18" s="23" t="s">
        <v>74</v>
      </c>
      <c r="F18" s="21" t="s">
        <v>74</v>
      </c>
      <c r="G18" s="21" t="s">
        <v>79</v>
      </c>
      <c r="H18" s="88">
        <v>33.5175</v>
      </c>
      <c r="I18" s="88">
        <v>8313</v>
      </c>
      <c r="J18" s="89">
        <v>68845</v>
      </c>
      <c r="K18" s="86"/>
      <c r="L18" s="113"/>
      <c r="M18" s="114"/>
      <c r="N18" s="92"/>
      <c r="O18" s="115"/>
      <c r="P18" s="116">
        <f t="shared" si="11"/>
        <v>68845</v>
      </c>
      <c r="Q18" s="95"/>
      <c r="R18" s="95"/>
      <c r="S18" s="72">
        <f t="shared" si="8"/>
        <v>19970.0222426471</v>
      </c>
      <c r="T18" s="72"/>
      <c r="U18" s="72">
        <f t="shared" si="9"/>
        <v>1084.38970588235</v>
      </c>
      <c r="V18" s="72"/>
      <c r="W18" s="72"/>
      <c r="X18" s="72">
        <f t="shared" si="1"/>
        <v>21054.4119485294</v>
      </c>
      <c r="Y18" s="85">
        <f t="shared" si="10"/>
        <v>5116.95406654412</v>
      </c>
      <c r="Z18" s="85"/>
      <c r="AA18" s="85"/>
      <c r="AB18" s="85">
        <f t="shared" si="2"/>
        <v>5116.95406654412</v>
      </c>
      <c r="AC18" s="86">
        <v>7.23</v>
      </c>
      <c r="AD18" s="72">
        <f t="shared" si="3"/>
        <v>36995.577901114</v>
      </c>
      <c r="AE18" s="72">
        <f t="shared" si="4"/>
        <v>58049.9898496434</v>
      </c>
      <c r="AF18" s="72">
        <f t="shared" si="5"/>
        <v>10795.0101503566</v>
      </c>
    </row>
    <row r="19" s="2" customFormat="1" spans="1:32">
      <c r="A19" s="20"/>
      <c r="B19" s="21"/>
      <c r="C19" s="22">
        <v>240927000007</v>
      </c>
      <c r="D19" s="23">
        <v>45563</v>
      </c>
      <c r="E19" s="23" t="s">
        <v>63</v>
      </c>
      <c r="F19" s="21" t="s">
        <v>64</v>
      </c>
      <c r="G19" s="21" t="s">
        <v>66</v>
      </c>
      <c r="H19" s="88">
        <v>1.745</v>
      </c>
      <c r="I19" s="88">
        <v>656</v>
      </c>
      <c r="J19" s="42">
        <v>3441</v>
      </c>
      <c r="K19" s="86"/>
      <c r="L19" s="44"/>
      <c r="M19" s="45"/>
      <c r="N19" s="92"/>
      <c r="O19" s="21"/>
      <c r="P19" s="48">
        <f t="shared" ref="P19:P25" si="12">SUBTOTAL(9,J19)</f>
        <v>3441</v>
      </c>
      <c r="Q19" s="95"/>
      <c r="R19" s="95"/>
      <c r="S19" s="72">
        <f t="shared" si="8"/>
        <v>1039.68639705882</v>
      </c>
      <c r="T19" s="72"/>
      <c r="U19" s="72">
        <f t="shared" si="9"/>
        <v>56.4558823529412</v>
      </c>
      <c r="V19" s="72"/>
      <c r="W19" s="72"/>
      <c r="X19" s="72">
        <f t="shared" si="1"/>
        <v>1096.14227941176</v>
      </c>
      <c r="Y19" s="85">
        <f t="shared" si="10"/>
        <v>266.400681617647</v>
      </c>
      <c r="Z19" s="85"/>
      <c r="AA19" s="85"/>
      <c r="AB19" s="85">
        <f t="shared" si="2"/>
        <v>266.400681617647</v>
      </c>
      <c r="AC19" s="86">
        <v>7.23</v>
      </c>
      <c r="AD19" s="72">
        <f t="shared" si="3"/>
        <v>1926.07692809559</v>
      </c>
      <c r="AE19" s="72">
        <f t="shared" si="4"/>
        <v>3022.21920750735</v>
      </c>
      <c r="AF19" s="72">
        <f t="shared" si="5"/>
        <v>418.78079249265</v>
      </c>
    </row>
    <row r="20" s="2" customFormat="1" spans="1:32">
      <c r="A20" s="20"/>
      <c r="B20" s="21"/>
      <c r="C20" s="22">
        <v>240927000017</v>
      </c>
      <c r="D20" s="23">
        <v>45563</v>
      </c>
      <c r="E20" s="23" t="s">
        <v>69</v>
      </c>
      <c r="F20" s="21" t="s">
        <v>70</v>
      </c>
      <c r="G20" s="21" t="s">
        <v>80</v>
      </c>
      <c r="H20" s="88">
        <v>1.1235</v>
      </c>
      <c r="I20" s="88">
        <v>241</v>
      </c>
      <c r="J20" s="48"/>
      <c r="K20" s="90">
        <v>594820.8</v>
      </c>
      <c r="L20" s="44"/>
      <c r="M20" s="45">
        <f t="shared" ref="M18:M21" si="13">SUM(K20/N20)</f>
        <v>1891.02133899085</v>
      </c>
      <c r="N20" s="46">
        <v>314.55002</v>
      </c>
      <c r="O20" s="21">
        <v>7.26</v>
      </c>
      <c r="P20" s="48">
        <f t="shared" ref="P18:P21" si="14">SUM(N20*O20)</f>
        <v>2283.6331452</v>
      </c>
      <c r="Q20" s="95"/>
      <c r="R20" s="95"/>
      <c r="S20" s="72">
        <f t="shared" si="8"/>
        <v>669.391213235294</v>
      </c>
      <c r="T20" s="72"/>
      <c r="U20" s="72">
        <f t="shared" si="9"/>
        <v>36.3485294117647</v>
      </c>
      <c r="V20" s="72"/>
      <c r="W20" s="72"/>
      <c r="X20" s="72">
        <f t="shared" si="1"/>
        <v>705.739742647059</v>
      </c>
      <c r="Y20" s="85">
        <f t="shared" si="10"/>
        <v>171.519292720588</v>
      </c>
      <c r="Z20" s="85"/>
      <c r="AA20" s="85"/>
      <c r="AB20" s="85">
        <f t="shared" si="2"/>
        <v>171.519292720588</v>
      </c>
      <c r="AC20" s="86">
        <v>7.23</v>
      </c>
      <c r="AD20" s="72">
        <f t="shared" si="3"/>
        <v>1240.08448636985</v>
      </c>
      <c r="AE20" s="72">
        <f t="shared" si="4"/>
        <v>1945.82422901691</v>
      </c>
      <c r="AF20" s="72">
        <f t="shared" si="5"/>
        <v>337.80891618309</v>
      </c>
    </row>
    <row r="21" s="2" customFormat="1" spans="1:32">
      <c r="A21" s="20"/>
      <c r="B21" s="21"/>
      <c r="C21" s="22">
        <v>240927000029</v>
      </c>
      <c r="D21" s="23">
        <v>45563</v>
      </c>
      <c r="E21" s="23" t="s">
        <v>69</v>
      </c>
      <c r="F21" s="21" t="s">
        <v>70</v>
      </c>
      <c r="G21" s="21" t="s">
        <v>81</v>
      </c>
      <c r="H21" s="88">
        <v>1.7289</v>
      </c>
      <c r="I21" s="88">
        <v>1316</v>
      </c>
      <c r="J21" s="48"/>
      <c r="K21" s="90">
        <v>1061222.4</v>
      </c>
      <c r="L21" s="44"/>
      <c r="M21" s="45">
        <f t="shared" si="13"/>
        <v>1612.7994117449</v>
      </c>
      <c r="N21" s="46">
        <v>658.00024</v>
      </c>
      <c r="O21" s="21">
        <v>7.26</v>
      </c>
      <c r="P21" s="48">
        <f t="shared" si="14"/>
        <v>4777.0817424</v>
      </c>
      <c r="Q21" s="95"/>
      <c r="R21" s="95"/>
      <c r="S21" s="72">
        <f t="shared" si="8"/>
        <v>1030.093875</v>
      </c>
      <c r="T21" s="72"/>
      <c r="U21" s="72">
        <f t="shared" si="9"/>
        <v>55.935</v>
      </c>
      <c r="V21" s="72"/>
      <c r="W21" s="72"/>
      <c r="X21" s="72">
        <f t="shared" si="1"/>
        <v>1086.028875</v>
      </c>
      <c r="Y21" s="85">
        <f t="shared" si="10"/>
        <v>263.94277275</v>
      </c>
      <c r="Z21" s="97">
        <v>7.97</v>
      </c>
      <c r="AA21" s="85"/>
      <c r="AB21" s="85">
        <f t="shared" si="2"/>
        <v>271.91277275</v>
      </c>
      <c r="AC21" s="86">
        <v>7.23</v>
      </c>
      <c r="AD21" s="72">
        <f t="shared" si="3"/>
        <v>1965.9293469825</v>
      </c>
      <c r="AE21" s="72">
        <f t="shared" si="4"/>
        <v>3051.9582219825</v>
      </c>
      <c r="AF21" s="72">
        <f t="shared" si="5"/>
        <v>1725.1235204175</v>
      </c>
    </row>
    <row r="22" s="2" customFormat="1" spans="1:32">
      <c r="A22" s="20"/>
      <c r="B22" s="21"/>
      <c r="C22" s="22">
        <v>240921000019</v>
      </c>
      <c r="D22" s="23">
        <v>45563</v>
      </c>
      <c r="E22" s="23" t="s">
        <v>82</v>
      </c>
      <c r="F22" s="21" t="s">
        <v>83</v>
      </c>
      <c r="G22" s="21" t="s">
        <v>84</v>
      </c>
      <c r="H22" s="88">
        <v>0.3318</v>
      </c>
      <c r="I22" s="88">
        <v>185</v>
      </c>
      <c r="J22" s="42">
        <v>678.17</v>
      </c>
      <c r="K22" s="86"/>
      <c r="L22" s="44"/>
      <c r="M22" s="45"/>
      <c r="N22" s="97"/>
      <c r="O22" s="21"/>
      <c r="P22" s="48">
        <f t="shared" si="12"/>
        <v>678.17</v>
      </c>
      <c r="Q22" s="95"/>
      <c r="R22" s="95"/>
      <c r="S22" s="72">
        <f t="shared" si="8"/>
        <v>197.689367647059</v>
      </c>
      <c r="T22" s="72"/>
      <c r="U22" s="72">
        <f t="shared" si="9"/>
        <v>10.7347058823529</v>
      </c>
      <c r="V22" s="72"/>
      <c r="W22" s="72"/>
      <c r="X22" s="72">
        <f t="shared" si="1"/>
        <v>208.424073529412</v>
      </c>
      <c r="Y22" s="85">
        <f t="shared" si="10"/>
        <v>50.6542957941176</v>
      </c>
      <c r="Z22" s="85"/>
      <c r="AA22" s="85"/>
      <c r="AB22" s="85">
        <f t="shared" si="2"/>
        <v>50.6542957941176</v>
      </c>
      <c r="AC22" s="86">
        <v>7.23</v>
      </c>
      <c r="AD22" s="72">
        <f t="shared" si="3"/>
        <v>366.230558591471</v>
      </c>
      <c r="AE22" s="72">
        <f t="shared" si="4"/>
        <v>574.654632120882</v>
      </c>
      <c r="AF22" s="72">
        <f t="shared" si="5"/>
        <v>103.515367879118</v>
      </c>
    </row>
    <row r="23" s="2" customFormat="1" spans="1:32">
      <c r="A23" s="20"/>
      <c r="B23" s="21"/>
      <c r="C23" s="22">
        <v>240927000032</v>
      </c>
      <c r="D23" s="23">
        <v>45563</v>
      </c>
      <c r="E23" s="23" t="s">
        <v>85</v>
      </c>
      <c r="F23" s="21" t="s">
        <v>86</v>
      </c>
      <c r="G23" s="21" t="s">
        <v>75</v>
      </c>
      <c r="H23" s="88">
        <v>0.4929</v>
      </c>
      <c r="I23" s="88">
        <v>47.1</v>
      </c>
      <c r="J23" s="42">
        <v>860.11</v>
      </c>
      <c r="K23" s="86"/>
      <c r="L23" s="44"/>
      <c r="M23" s="45"/>
      <c r="N23" s="92"/>
      <c r="O23" s="21"/>
      <c r="P23" s="48">
        <f t="shared" si="12"/>
        <v>860.11</v>
      </c>
      <c r="Q23" s="95"/>
      <c r="R23" s="95"/>
      <c r="S23" s="72">
        <f t="shared" si="8"/>
        <v>293.674169117647</v>
      </c>
      <c r="T23" s="72"/>
      <c r="U23" s="72">
        <f t="shared" si="9"/>
        <v>15.9467647058824</v>
      </c>
      <c r="V23" s="72"/>
      <c r="W23" s="72"/>
      <c r="X23" s="72">
        <f t="shared" si="1"/>
        <v>309.620933823529</v>
      </c>
      <c r="Y23" s="85">
        <f t="shared" si="10"/>
        <v>75.2486509852941</v>
      </c>
      <c r="Z23" s="85"/>
      <c r="AA23" s="85"/>
      <c r="AB23" s="85">
        <f t="shared" si="2"/>
        <v>75.2486509852941</v>
      </c>
      <c r="AC23" s="86">
        <v>7.23</v>
      </c>
      <c r="AD23" s="72">
        <f t="shared" si="3"/>
        <v>544.047746623677</v>
      </c>
      <c r="AE23" s="72">
        <f t="shared" si="4"/>
        <v>853.668680447206</v>
      </c>
      <c r="AF23" s="72">
        <f t="shared" si="5"/>
        <v>6.44131955279397</v>
      </c>
    </row>
    <row r="24" s="2" customFormat="1" spans="1:32">
      <c r="A24" s="20"/>
      <c r="B24" s="21"/>
      <c r="C24" s="22">
        <v>240927000070</v>
      </c>
      <c r="D24" s="23">
        <v>45563</v>
      </c>
      <c r="E24" s="23" t="s">
        <v>82</v>
      </c>
      <c r="F24" s="21" t="s">
        <v>83</v>
      </c>
      <c r="G24" s="21" t="s">
        <v>87</v>
      </c>
      <c r="H24" s="88">
        <v>17.4127</v>
      </c>
      <c r="I24" s="88">
        <v>10650</v>
      </c>
      <c r="J24" s="42">
        <v>29515.58</v>
      </c>
      <c r="K24" s="86"/>
      <c r="L24" s="44"/>
      <c r="M24" s="45"/>
      <c r="N24" s="92"/>
      <c r="O24" s="21"/>
      <c r="P24" s="48">
        <f t="shared" si="12"/>
        <v>29515.58</v>
      </c>
      <c r="Q24" s="95"/>
      <c r="R24" s="95"/>
      <c r="S24" s="72">
        <f t="shared" si="8"/>
        <v>10374.6403014706</v>
      </c>
      <c r="T24" s="72"/>
      <c r="U24" s="72">
        <f t="shared" si="9"/>
        <v>563.352058823529</v>
      </c>
      <c r="V24" s="72"/>
      <c r="W24" s="72"/>
      <c r="X24" s="72">
        <f t="shared" si="1"/>
        <v>10937.9923602941</v>
      </c>
      <c r="Y24" s="85">
        <f t="shared" si="10"/>
        <v>2658.31240619118</v>
      </c>
      <c r="Z24" s="97">
        <v>85.88</v>
      </c>
      <c r="AA24" s="85"/>
      <c r="AB24" s="85">
        <f t="shared" si="2"/>
        <v>2744.19240619118</v>
      </c>
      <c r="AC24" s="86">
        <v>7.23</v>
      </c>
      <c r="AD24" s="72">
        <f t="shared" si="3"/>
        <v>19840.5110967622</v>
      </c>
      <c r="AE24" s="72">
        <f t="shared" si="4"/>
        <v>30778.5034570563</v>
      </c>
      <c r="AF24" s="72">
        <f t="shared" si="5"/>
        <v>-1262.9234570563</v>
      </c>
    </row>
    <row r="25" s="2" customFormat="1" spans="1:32">
      <c r="A25" s="20"/>
      <c r="B25" s="21"/>
      <c r="C25" s="22">
        <v>240928000018</v>
      </c>
      <c r="D25" s="23">
        <v>45563</v>
      </c>
      <c r="E25" s="23" t="s">
        <v>82</v>
      </c>
      <c r="F25" s="21" t="s">
        <v>83</v>
      </c>
      <c r="G25" s="21" t="s">
        <v>88</v>
      </c>
      <c r="H25" s="88">
        <v>3.3552</v>
      </c>
      <c r="I25" s="88">
        <v>1105</v>
      </c>
      <c r="J25" s="42">
        <v>6123.24</v>
      </c>
      <c r="K25" s="86"/>
      <c r="L25" s="44"/>
      <c r="M25" s="45"/>
      <c r="N25" s="92"/>
      <c r="O25" s="21"/>
      <c r="P25" s="48">
        <f t="shared" si="12"/>
        <v>6123.24</v>
      </c>
      <c r="Q25" s="96"/>
      <c r="R25" s="96"/>
      <c r="S25" s="72">
        <f t="shared" si="8"/>
        <v>1999.05776470588</v>
      </c>
      <c r="T25" s="72"/>
      <c r="U25" s="72">
        <f t="shared" si="9"/>
        <v>108.550588235294</v>
      </c>
      <c r="V25" s="72"/>
      <c r="W25" s="72"/>
      <c r="X25" s="72">
        <f t="shared" si="1"/>
        <v>2107.60835294118</v>
      </c>
      <c r="Y25" s="85">
        <f t="shared" si="10"/>
        <v>512.222101411765</v>
      </c>
      <c r="Z25" s="85"/>
      <c r="AA25" s="85"/>
      <c r="AB25" s="85">
        <f t="shared" si="2"/>
        <v>512.222101411765</v>
      </c>
      <c r="AC25" s="86">
        <v>7.23</v>
      </c>
      <c r="AD25" s="72">
        <f t="shared" si="3"/>
        <v>3703.36579320706</v>
      </c>
      <c r="AE25" s="72">
        <f t="shared" si="4"/>
        <v>5810.97414614824</v>
      </c>
      <c r="AF25" s="72">
        <f t="shared" si="5"/>
        <v>312.26585385176</v>
      </c>
    </row>
    <row r="26" ht="15.75" spans="1:32">
      <c r="A26" s="25" t="s">
        <v>26</v>
      </c>
      <c r="B26" s="26"/>
      <c r="C26" s="26"/>
      <c r="D26" s="26"/>
      <c r="E26" s="26"/>
      <c r="F26" s="26"/>
      <c r="G26" s="26"/>
      <c r="H26" s="26"/>
      <c r="I26" s="49"/>
      <c r="J26" s="26">
        <f>SUM(J4:J4)</f>
        <v>0</v>
      </c>
      <c r="K26" s="50"/>
      <c r="L26" s="51"/>
      <c r="M26" s="50"/>
      <c r="N26" s="50">
        <f t="shared" ref="N26:Q26" si="15">SUM(N4:N4)</f>
        <v>0</v>
      </c>
      <c r="O26" s="26"/>
      <c r="P26" s="26">
        <f t="shared" si="15"/>
        <v>0</v>
      </c>
      <c r="Q26" s="26">
        <f t="shared" si="15"/>
        <v>0</v>
      </c>
      <c r="R26" s="26"/>
      <c r="S26" s="26"/>
      <c r="T26" s="26"/>
      <c r="U26" s="26"/>
      <c r="V26" s="26"/>
      <c r="W26" s="26"/>
      <c r="X26" s="73">
        <f>SUM(X4:X4)</f>
        <v>0</v>
      </c>
      <c r="Y26" s="51"/>
      <c r="Z26" s="51"/>
      <c r="AA26" s="51"/>
      <c r="AB26" s="51"/>
      <c r="AC26" s="50"/>
      <c r="AD26" s="26">
        <f>SUM(AD4:AD4)</f>
        <v>0</v>
      </c>
      <c r="AE26" s="26"/>
      <c r="AF26" s="87">
        <f>SUM(AF4:AF25)</f>
        <v>19174.5555727022</v>
      </c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  <row r="39" customFormat="1" spans="4:32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  <c r="AF39" s="8"/>
    </row>
    <row r="40" customFormat="1" spans="4:32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  <c r="AF40" s="8"/>
    </row>
    <row r="41" customFormat="1" spans="4:32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  <c r="AF41" s="8"/>
    </row>
    <row r="42" customFormat="1" spans="4:32">
      <c r="D42" s="3"/>
      <c r="E42" s="3"/>
      <c r="K42" s="4"/>
      <c r="L42" s="5"/>
      <c r="M42" s="4"/>
      <c r="X42" s="7"/>
      <c r="Y42" s="5"/>
      <c r="Z42" s="5"/>
      <c r="AA42" s="5"/>
      <c r="AB42" s="5"/>
      <c r="AC42" s="4"/>
      <c r="AF42" s="8"/>
    </row>
  </sheetData>
  <autoFilter xmlns:etc="http://www.wps.cn/officeDocument/2017/etCustomData" ref="A3:AF26" etc:filterBottomFollowUsedRange="0">
    <extLst/>
  </autoFilter>
  <mergeCells count="21">
    <mergeCell ref="A1:AF1"/>
    <mergeCell ref="J3:P3"/>
    <mergeCell ref="R3:V3"/>
    <mergeCell ref="Y3:AD3"/>
    <mergeCell ref="A3:A4"/>
    <mergeCell ref="A5:A25"/>
    <mergeCell ref="B3:B4"/>
    <mergeCell ref="B5:B25"/>
    <mergeCell ref="C3:C4"/>
    <mergeCell ref="D3:D4"/>
    <mergeCell ref="E3:E4"/>
    <mergeCell ref="F3:F4"/>
    <mergeCell ref="G3:G4"/>
    <mergeCell ref="H3:H4"/>
    <mergeCell ref="I3:I4"/>
    <mergeCell ref="Q3:Q4"/>
    <mergeCell ref="Q5:Q25"/>
    <mergeCell ref="R5:R25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1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4"/>
    </row>
    <row r="2" customFormat="1" ht="31" customHeight="1" spans="1:32">
      <c r="A2" s="98" t="s">
        <v>144</v>
      </c>
      <c r="B2" s="98" t="s">
        <v>145</v>
      </c>
      <c r="C2" s="98">
        <v>77.3653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5" t="s">
        <v>39</v>
      </c>
      <c r="Z3" s="75"/>
      <c r="AA3" s="75"/>
      <c r="AB3" s="75"/>
      <c r="AC3" s="76"/>
      <c r="AD3" s="75"/>
      <c r="AE3" s="77" t="s">
        <v>40</v>
      </c>
      <c r="AF3" s="78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9" t="s">
        <v>53</v>
      </c>
      <c r="Z4" s="79" t="s">
        <v>54</v>
      </c>
      <c r="AA4" s="79" t="s">
        <v>55</v>
      </c>
      <c r="AB4" s="80" t="s">
        <v>56</v>
      </c>
      <c r="AC4" s="81" t="s">
        <v>57</v>
      </c>
      <c r="AD4" s="82" t="s">
        <v>47</v>
      </c>
      <c r="AE4" s="83" t="s">
        <v>58</v>
      </c>
      <c r="AF4" s="84"/>
    </row>
    <row r="5" s="2" customFormat="1" spans="1:32">
      <c r="A5" s="20" t="s">
        <v>6</v>
      </c>
      <c r="B5" s="21" t="s">
        <v>7</v>
      </c>
      <c r="C5" s="22">
        <v>240919000034</v>
      </c>
      <c r="D5" s="23">
        <v>45563</v>
      </c>
      <c r="E5" s="23" t="s">
        <v>69</v>
      </c>
      <c r="F5" s="21" t="s">
        <v>70</v>
      </c>
      <c r="G5" s="21" t="s">
        <v>71</v>
      </c>
      <c r="H5" s="88">
        <v>0.8132</v>
      </c>
      <c r="I5" s="88">
        <v>104</v>
      </c>
      <c r="J5" s="48"/>
      <c r="K5" s="90">
        <v>607758.93</v>
      </c>
      <c r="L5" s="44"/>
      <c r="M5" s="45">
        <f>SUM(K5/N5)</f>
        <v>1737</v>
      </c>
      <c r="N5" s="46">
        <v>349.89</v>
      </c>
      <c r="O5" s="21">
        <v>7.26</v>
      </c>
      <c r="P5" s="48">
        <f>SUM(N5*O5)</f>
        <v>2540.2014</v>
      </c>
      <c r="Q5" s="93">
        <f>SUM(P5:P14)</f>
        <v>148903.0014</v>
      </c>
      <c r="R5" s="94" t="s">
        <v>89</v>
      </c>
      <c r="S5" s="72">
        <f>SUM(40661/68)*H5</f>
        <v>486.257723529412</v>
      </c>
      <c r="T5" s="72">
        <f>SUM(94.72/68)*H5</f>
        <v>1.13273976470588</v>
      </c>
      <c r="U5" s="72">
        <f>SUM(2000/68)*H5</f>
        <v>23.9176470588235</v>
      </c>
      <c r="V5" s="72">
        <v>420</v>
      </c>
      <c r="W5" s="72"/>
      <c r="X5" s="72">
        <f t="shared" ref="X5:X47" si="0">SUM(S5:W5)</f>
        <v>931.308110352941</v>
      </c>
      <c r="Y5" s="85">
        <f>SUM(10381.24/68)*H5</f>
        <v>124.147417176471</v>
      </c>
      <c r="Z5" s="85"/>
      <c r="AA5" s="85"/>
      <c r="AB5" s="85">
        <f t="shared" ref="AB5:AB47" si="1">SUM(Y5:AA5)</f>
        <v>124.147417176471</v>
      </c>
      <c r="AC5" s="86">
        <v>7.24</v>
      </c>
      <c r="AD5" s="72">
        <f t="shared" ref="AD5:AD47" si="2">SUM(AB5*AC5)</f>
        <v>898.827300357647</v>
      </c>
      <c r="AE5" s="72">
        <f t="shared" ref="AE5:AE47" si="3">SUM(X5+AD5)</f>
        <v>1830.13541071059</v>
      </c>
      <c r="AF5" s="72">
        <f t="shared" ref="AF5:AF47" si="4">SUM(P5-AE5)</f>
        <v>710.06598928941</v>
      </c>
    </row>
    <row r="6" s="2" customFormat="1" spans="1:32">
      <c r="A6" s="20"/>
      <c r="B6" s="21"/>
      <c r="C6" s="22">
        <v>240921000009</v>
      </c>
      <c r="D6" s="23">
        <v>45563</v>
      </c>
      <c r="E6" s="23" t="s">
        <v>90</v>
      </c>
      <c r="F6" s="21" t="s">
        <v>91</v>
      </c>
      <c r="G6" s="21" t="s">
        <v>92</v>
      </c>
      <c r="H6" s="88">
        <v>0.075</v>
      </c>
      <c r="I6" s="88">
        <v>19</v>
      </c>
      <c r="J6" s="42">
        <v>318</v>
      </c>
      <c r="K6" s="86"/>
      <c r="L6" s="44"/>
      <c r="M6" s="45"/>
      <c r="N6" s="92"/>
      <c r="O6" s="21"/>
      <c r="P6" s="48">
        <f>SUM(J6)</f>
        <v>318</v>
      </c>
      <c r="Q6" s="95"/>
      <c r="R6" s="95"/>
      <c r="S6" s="72">
        <f t="shared" ref="S6:S14" si="5">SUM(40661/68)*H6</f>
        <v>44.8466911764706</v>
      </c>
      <c r="T6" s="72">
        <f t="shared" ref="T6:T14" si="6">SUM(94.72/68)*H6</f>
        <v>0.104470588235294</v>
      </c>
      <c r="U6" s="72">
        <f t="shared" ref="U6:U14" si="7">SUM(2000/68)*H6</f>
        <v>2.20588235294118</v>
      </c>
      <c r="V6" s="72"/>
      <c r="W6" s="72"/>
      <c r="X6" s="72">
        <f t="shared" si="0"/>
        <v>47.1570441176471</v>
      </c>
      <c r="Y6" s="85">
        <f t="shared" ref="Y6:Y14" si="8">SUM(10381.24/68)*H6</f>
        <v>11.4498970588235</v>
      </c>
      <c r="Z6" s="85"/>
      <c r="AA6" s="85"/>
      <c r="AB6" s="85">
        <f t="shared" si="1"/>
        <v>11.4498970588235</v>
      </c>
      <c r="AC6" s="86">
        <v>7.24</v>
      </c>
      <c r="AD6" s="72">
        <f t="shared" si="2"/>
        <v>82.8972547058823</v>
      </c>
      <c r="AE6" s="72">
        <f t="shared" si="3"/>
        <v>130.054298823529</v>
      </c>
      <c r="AF6" s="72">
        <f t="shared" si="4"/>
        <v>187.945701176471</v>
      </c>
    </row>
    <row r="7" s="2" customFormat="1" spans="1:32">
      <c r="A7" s="20"/>
      <c r="B7" s="21"/>
      <c r="C7" s="22">
        <v>240921000019</v>
      </c>
      <c r="D7" s="23">
        <v>45563</v>
      </c>
      <c r="E7" s="23" t="s">
        <v>82</v>
      </c>
      <c r="F7" s="21" t="s">
        <v>83</v>
      </c>
      <c r="G7" s="21" t="s">
        <v>84</v>
      </c>
      <c r="H7" s="88">
        <v>10.1452</v>
      </c>
      <c r="I7" s="88">
        <v>2149.35</v>
      </c>
      <c r="J7" s="42">
        <v>20732</v>
      </c>
      <c r="K7" s="86"/>
      <c r="L7" s="44"/>
      <c r="M7" s="45"/>
      <c r="N7" s="97"/>
      <c r="O7" s="21"/>
      <c r="P7" s="48">
        <f t="shared" ref="P7:P14" si="9">SUBTOTAL(9,J7)</f>
        <v>20732</v>
      </c>
      <c r="Q7" s="95"/>
      <c r="R7" s="95"/>
      <c r="S7" s="72">
        <f t="shared" si="5"/>
        <v>6066.38201764706</v>
      </c>
      <c r="T7" s="72">
        <f t="shared" si="6"/>
        <v>14.1316668235294</v>
      </c>
      <c r="U7" s="72">
        <f t="shared" si="7"/>
        <v>298.388235294118</v>
      </c>
      <c r="V7" s="104">
        <f>SUM(450+350)</f>
        <v>800</v>
      </c>
      <c r="W7" s="72"/>
      <c r="X7" s="72">
        <f t="shared" si="0"/>
        <v>7178.90191976471</v>
      </c>
      <c r="Y7" s="85">
        <f t="shared" si="8"/>
        <v>1548.81994188235</v>
      </c>
      <c r="Z7" s="85"/>
      <c r="AA7" s="85"/>
      <c r="AB7" s="85">
        <f t="shared" si="1"/>
        <v>1548.81994188235</v>
      </c>
      <c r="AC7" s="86">
        <v>7.24</v>
      </c>
      <c r="AD7" s="72">
        <f t="shared" si="2"/>
        <v>11213.4563792282</v>
      </c>
      <c r="AE7" s="72">
        <f t="shared" si="3"/>
        <v>18392.3582989929</v>
      </c>
      <c r="AF7" s="72">
        <f t="shared" si="4"/>
        <v>2339.6417010071</v>
      </c>
    </row>
    <row r="8" s="2" customFormat="1" spans="1:32">
      <c r="A8" s="20"/>
      <c r="B8" s="21"/>
      <c r="C8" s="22">
        <v>240923000035</v>
      </c>
      <c r="D8" s="23">
        <v>45563</v>
      </c>
      <c r="E8" s="23" t="s">
        <v>63</v>
      </c>
      <c r="F8" s="21" t="s">
        <v>64</v>
      </c>
      <c r="G8" s="21" t="s">
        <v>72</v>
      </c>
      <c r="H8" s="88">
        <v>7.0714</v>
      </c>
      <c r="I8" s="88">
        <v>3083</v>
      </c>
      <c r="J8" s="42">
        <v>13913.3</v>
      </c>
      <c r="K8" s="86"/>
      <c r="L8" s="44"/>
      <c r="M8" s="45"/>
      <c r="N8" s="92"/>
      <c r="O8" s="21"/>
      <c r="P8" s="48">
        <f t="shared" si="9"/>
        <v>13913.3</v>
      </c>
      <c r="Q8" s="95"/>
      <c r="R8" s="95"/>
      <c r="S8" s="72">
        <f t="shared" si="5"/>
        <v>4228.38522647059</v>
      </c>
      <c r="T8" s="72">
        <f t="shared" si="6"/>
        <v>9.85004423529412</v>
      </c>
      <c r="U8" s="72">
        <f t="shared" si="7"/>
        <v>207.982352941176</v>
      </c>
      <c r="V8" s="72"/>
      <c r="W8" s="72"/>
      <c r="X8" s="72">
        <f t="shared" si="0"/>
        <v>4446.21762364706</v>
      </c>
      <c r="Y8" s="85">
        <f t="shared" si="8"/>
        <v>1079.55736082353</v>
      </c>
      <c r="Z8" s="85"/>
      <c r="AA8" s="85"/>
      <c r="AB8" s="85">
        <f t="shared" si="1"/>
        <v>1079.55736082353</v>
      </c>
      <c r="AC8" s="86">
        <v>7.24</v>
      </c>
      <c r="AD8" s="72">
        <f t="shared" si="2"/>
        <v>7815.99529236235</v>
      </c>
      <c r="AE8" s="72">
        <f t="shared" si="3"/>
        <v>12262.2129160094</v>
      </c>
      <c r="AF8" s="72">
        <f t="shared" si="4"/>
        <v>1651.0870839906</v>
      </c>
    </row>
    <row r="9" s="2" customFormat="1" spans="1:32">
      <c r="A9" s="20"/>
      <c r="B9" s="21"/>
      <c r="C9" s="22">
        <v>240906000023</v>
      </c>
      <c r="D9" s="23">
        <v>45559</v>
      </c>
      <c r="E9" s="23" t="s">
        <v>74</v>
      </c>
      <c r="F9" s="21" t="s">
        <v>74</v>
      </c>
      <c r="G9" s="21" t="s">
        <v>79</v>
      </c>
      <c r="H9" s="88">
        <v>24.9775</v>
      </c>
      <c r="I9" s="88">
        <v>6522</v>
      </c>
      <c r="J9" s="89">
        <v>51303</v>
      </c>
      <c r="K9" s="86"/>
      <c r="L9" s="113"/>
      <c r="M9" s="114"/>
      <c r="N9" s="92"/>
      <c r="O9" s="115"/>
      <c r="P9" s="116">
        <f t="shared" si="9"/>
        <v>51303</v>
      </c>
      <c r="Q9" s="95"/>
      <c r="R9" s="95"/>
      <c r="S9" s="72">
        <f t="shared" si="5"/>
        <v>14935.4430514706</v>
      </c>
      <c r="T9" s="72">
        <f t="shared" si="6"/>
        <v>34.7921882352941</v>
      </c>
      <c r="U9" s="72">
        <f t="shared" si="7"/>
        <v>734.632352941176</v>
      </c>
      <c r="V9" s="72"/>
      <c r="W9" s="72"/>
      <c r="X9" s="72">
        <f t="shared" si="0"/>
        <v>15704.8675926471</v>
      </c>
      <c r="Y9" s="85">
        <f t="shared" si="8"/>
        <v>3813.19738382353</v>
      </c>
      <c r="Z9" s="85"/>
      <c r="AA9" s="85"/>
      <c r="AB9" s="85">
        <f t="shared" si="1"/>
        <v>3813.19738382353</v>
      </c>
      <c r="AC9" s="86">
        <v>7.24</v>
      </c>
      <c r="AD9" s="72">
        <f t="shared" si="2"/>
        <v>27607.5490588824</v>
      </c>
      <c r="AE9" s="72">
        <f t="shared" si="3"/>
        <v>43312.4166515294</v>
      </c>
      <c r="AF9" s="72">
        <f t="shared" si="4"/>
        <v>7990.5833484706</v>
      </c>
    </row>
    <row r="10" s="2" customFormat="1" spans="1:32">
      <c r="A10" s="20"/>
      <c r="B10" s="21"/>
      <c r="C10" s="22">
        <v>240919000020</v>
      </c>
      <c r="D10" s="23">
        <v>45564</v>
      </c>
      <c r="E10" s="23" t="s">
        <v>59</v>
      </c>
      <c r="F10" s="21" t="s">
        <v>60</v>
      </c>
      <c r="G10" s="21" t="s">
        <v>93</v>
      </c>
      <c r="H10" s="88">
        <v>1.06</v>
      </c>
      <c r="I10" s="88">
        <v>594</v>
      </c>
      <c r="J10" s="42">
        <v>2180</v>
      </c>
      <c r="K10" s="86"/>
      <c r="L10" s="44"/>
      <c r="M10" s="45"/>
      <c r="N10" s="92"/>
      <c r="O10" s="21"/>
      <c r="P10" s="48">
        <f t="shared" si="9"/>
        <v>2180</v>
      </c>
      <c r="Q10" s="95"/>
      <c r="R10" s="95"/>
      <c r="S10" s="72">
        <f t="shared" si="5"/>
        <v>633.833235294118</v>
      </c>
      <c r="T10" s="72">
        <f t="shared" si="6"/>
        <v>1.47651764705882</v>
      </c>
      <c r="U10" s="72">
        <f t="shared" si="7"/>
        <v>31.1764705882353</v>
      </c>
      <c r="V10" s="72"/>
      <c r="W10" s="72"/>
      <c r="X10" s="72">
        <f t="shared" si="0"/>
        <v>666.486223529412</v>
      </c>
      <c r="Y10" s="85">
        <f t="shared" si="8"/>
        <v>161.825211764706</v>
      </c>
      <c r="Z10" s="85"/>
      <c r="AA10" s="85"/>
      <c r="AB10" s="85">
        <f t="shared" si="1"/>
        <v>161.825211764706</v>
      </c>
      <c r="AC10" s="86">
        <v>7.24</v>
      </c>
      <c r="AD10" s="72">
        <f t="shared" si="2"/>
        <v>1171.61453317647</v>
      </c>
      <c r="AE10" s="72">
        <f t="shared" si="3"/>
        <v>1838.10075670588</v>
      </c>
      <c r="AF10" s="72">
        <f t="shared" si="4"/>
        <v>341.89924329412</v>
      </c>
    </row>
    <row r="11" s="2" customFormat="1" spans="1:32">
      <c r="A11" s="20"/>
      <c r="B11" s="21"/>
      <c r="C11" s="22">
        <v>240924000057</v>
      </c>
      <c r="D11" s="23">
        <v>45564</v>
      </c>
      <c r="E11" s="23" t="s">
        <v>74</v>
      </c>
      <c r="F11" s="21" t="s">
        <v>74</v>
      </c>
      <c r="G11" s="21" t="s">
        <v>78</v>
      </c>
      <c r="H11" s="88">
        <v>5.543</v>
      </c>
      <c r="I11" s="88">
        <v>3097</v>
      </c>
      <c r="J11" s="42">
        <v>12233</v>
      </c>
      <c r="K11" s="86"/>
      <c r="L11" s="44"/>
      <c r="M11" s="45"/>
      <c r="N11" s="92"/>
      <c r="O11" s="21"/>
      <c r="P11" s="48">
        <f t="shared" si="9"/>
        <v>12233</v>
      </c>
      <c r="Q11" s="95"/>
      <c r="R11" s="95"/>
      <c r="S11" s="72">
        <f t="shared" si="5"/>
        <v>3314.46945588235</v>
      </c>
      <c r="T11" s="72">
        <f t="shared" si="6"/>
        <v>7.72107294117647</v>
      </c>
      <c r="U11" s="72">
        <f t="shared" si="7"/>
        <v>163.029411764706</v>
      </c>
      <c r="V11" s="72"/>
      <c r="W11" s="72"/>
      <c r="X11" s="72">
        <f t="shared" si="0"/>
        <v>3485.21994058824</v>
      </c>
      <c r="Y11" s="85">
        <f t="shared" si="8"/>
        <v>846.223725294118</v>
      </c>
      <c r="Z11" s="85"/>
      <c r="AA11" s="85"/>
      <c r="AB11" s="85">
        <f t="shared" si="1"/>
        <v>846.223725294118</v>
      </c>
      <c r="AC11" s="86">
        <v>7.24</v>
      </c>
      <c r="AD11" s="72">
        <f t="shared" si="2"/>
        <v>6126.65977112941</v>
      </c>
      <c r="AE11" s="72">
        <f t="shared" si="3"/>
        <v>9611.87971171765</v>
      </c>
      <c r="AF11" s="72">
        <f t="shared" si="4"/>
        <v>2621.12028828235</v>
      </c>
    </row>
    <row r="12" s="2" customFormat="1" spans="1:32">
      <c r="A12" s="20"/>
      <c r="B12" s="21"/>
      <c r="C12" s="22">
        <v>240928000023</v>
      </c>
      <c r="D12" s="23">
        <v>45564</v>
      </c>
      <c r="E12" s="23" t="s">
        <v>74</v>
      </c>
      <c r="F12" s="21" t="s">
        <v>74</v>
      </c>
      <c r="G12" s="21" t="s">
        <v>94</v>
      </c>
      <c r="H12" s="88">
        <v>6.37</v>
      </c>
      <c r="I12" s="88">
        <v>908.5</v>
      </c>
      <c r="J12" s="42">
        <v>9341.73</v>
      </c>
      <c r="K12" s="86"/>
      <c r="L12" s="44"/>
      <c r="M12" s="45"/>
      <c r="N12" s="46"/>
      <c r="O12" s="21"/>
      <c r="P12" s="48">
        <f t="shared" si="9"/>
        <v>9341.73</v>
      </c>
      <c r="Q12" s="95"/>
      <c r="R12" s="95"/>
      <c r="S12" s="72">
        <f t="shared" si="5"/>
        <v>3808.97897058824</v>
      </c>
      <c r="T12" s="72">
        <f t="shared" si="6"/>
        <v>8.87303529411765</v>
      </c>
      <c r="U12" s="72">
        <f t="shared" si="7"/>
        <v>187.352941176471</v>
      </c>
      <c r="V12" s="72"/>
      <c r="W12" s="72"/>
      <c r="X12" s="72">
        <f t="shared" si="0"/>
        <v>4005.20494705882</v>
      </c>
      <c r="Y12" s="85">
        <f t="shared" si="8"/>
        <v>972.477923529412</v>
      </c>
      <c r="Z12" s="85"/>
      <c r="AA12" s="85"/>
      <c r="AB12" s="85">
        <f t="shared" si="1"/>
        <v>972.477923529412</v>
      </c>
      <c r="AC12" s="86">
        <v>7.24</v>
      </c>
      <c r="AD12" s="72">
        <f t="shared" si="2"/>
        <v>7040.74016635294</v>
      </c>
      <c r="AE12" s="72">
        <f t="shared" si="3"/>
        <v>11045.9451134118</v>
      </c>
      <c r="AF12" s="72">
        <f t="shared" si="4"/>
        <v>-1704.2151134118</v>
      </c>
    </row>
    <row r="13" s="2" customFormat="1" spans="1:32">
      <c r="A13" s="20"/>
      <c r="B13" s="21"/>
      <c r="C13" s="22">
        <v>240927000032</v>
      </c>
      <c r="D13" s="23">
        <v>45563</v>
      </c>
      <c r="E13" s="23" t="s">
        <v>85</v>
      </c>
      <c r="F13" s="21" t="s">
        <v>86</v>
      </c>
      <c r="G13" s="21" t="s">
        <v>75</v>
      </c>
      <c r="H13" s="88">
        <v>4.4364</v>
      </c>
      <c r="I13" s="88">
        <v>423.9</v>
      </c>
      <c r="J13" s="42">
        <v>7740.66</v>
      </c>
      <c r="K13" s="86"/>
      <c r="L13" s="44"/>
      <c r="M13" s="45"/>
      <c r="N13" s="92"/>
      <c r="O13" s="21"/>
      <c r="P13" s="48">
        <f t="shared" si="9"/>
        <v>7740.66</v>
      </c>
      <c r="Q13" s="95"/>
      <c r="R13" s="95"/>
      <c r="S13" s="72">
        <f t="shared" si="5"/>
        <v>2652.77147647059</v>
      </c>
      <c r="T13" s="72">
        <f t="shared" si="6"/>
        <v>6.17964423529412</v>
      </c>
      <c r="U13" s="72">
        <f t="shared" si="7"/>
        <v>130.482352941176</v>
      </c>
      <c r="V13" s="72"/>
      <c r="W13" s="72"/>
      <c r="X13" s="72">
        <f t="shared" si="0"/>
        <v>2789.43347364706</v>
      </c>
      <c r="Y13" s="85">
        <f t="shared" si="8"/>
        <v>677.284310823529</v>
      </c>
      <c r="Z13" s="85"/>
      <c r="AA13" s="85"/>
      <c r="AB13" s="85">
        <f t="shared" si="1"/>
        <v>677.284310823529</v>
      </c>
      <c r="AC13" s="86">
        <v>7.24</v>
      </c>
      <c r="AD13" s="72">
        <f t="shared" si="2"/>
        <v>4903.53841036235</v>
      </c>
      <c r="AE13" s="72">
        <f t="shared" si="3"/>
        <v>7692.97188400941</v>
      </c>
      <c r="AF13" s="72">
        <f t="shared" si="4"/>
        <v>47.6881159905897</v>
      </c>
    </row>
    <row r="14" s="2" customFormat="1" spans="1:32">
      <c r="A14" s="20"/>
      <c r="B14" s="21"/>
      <c r="C14" s="22">
        <v>240927000071</v>
      </c>
      <c r="D14" s="23">
        <v>45563</v>
      </c>
      <c r="E14" s="23" t="s">
        <v>82</v>
      </c>
      <c r="F14" s="21" t="s">
        <v>83</v>
      </c>
      <c r="G14" s="21" t="s">
        <v>87</v>
      </c>
      <c r="H14" s="88">
        <v>16.8732</v>
      </c>
      <c r="I14" s="88">
        <v>10470</v>
      </c>
      <c r="J14" s="42">
        <v>28601.11</v>
      </c>
      <c r="K14" s="86"/>
      <c r="L14" s="44"/>
      <c r="M14" s="45"/>
      <c r="N14" s="92"/>
      <c r="O14" s="21"/>
      <c r="P14" s="48">
        <f t="shared" si="9"/>
        <v>28601.11</v>
      </c>
      <c r="Q14" s="96"/>
      <c r="R14" s="96"/>
      <c r="S14" s="72">
        <f t="shared" si="5"/>
        <v>10089.4291941176</v>
      </c>
      <c r="T14" s="72">
        <f t="shared" si="6"/>
        <v>23.5033750588235</v>
      </c>
      <c r="U14" s="72">
        <f t="shared" si="7"/>
        <v>496.270588235294</v>
      </c>
      <c r="V14" s="72"/>
      <c r="W14" s="72"/>
      <c r="X14" s="72">
        <f t="shared" si="0"/>
        <v>10609.2031574118</v>
      </c>
      <c r="Y14" s="85">
        <f t="shared" si="8"/>
        <v>2575.95204070588</v>
      </c>
      <c r="Z14" s="97">
        <v>84.18</v>
      </c>
      <c r="AA14" s="85"/>
      <c r="AB14" s="85">
        <f t="shared" si="1"/>
        <v>2660.13204070588</v>
      </c>
      <c r="AC14" s="86">
        <v>7.24</v>
      </c>
      <c r="AD14" s="72">
        <f t="shared" si="2"/>
        <v>19259.3559747106</v>
      </c>
      <c r="AE14" s="72">
        <f t="shared" si="3"/>
        <v>29868.5591321224</v>
      </c>
      <c r="AF14" s="72">
        <f t="shared" si="4"/>
        <v>-1267.4491321224</v>
      </c>
    </row>
    <row r="15" ht="15.75" spans="1:32">
      <c r="A15" s="25" t="s">
        <v>26</v>
      </c>
      <c r="B15" s="26"/>
      <c r="C15" s="26"/>
      <c r="D15" s="26"/>
      <c r="E15" s="26"/>
      <c r="F15" s="26"/>
      <c r="G15" s="26"/>
      <c r="H15" s="26"/>
      <c r="I15" s="49"/>
      <c r="J15" s="26">
        <f>SUM(J4:J4)</f>
        <v>0</v>
      </c>
      <c r="K15" s="50"/>
      <c r="L15" s="51"/>
      <c r="M15" s="50"/>
      <c r="N15" s="50">
        <f t="shared" ref="N15:Q15" si="10">SUM(N4:N4)</f>
        <v>0</v>
      </c>
      <c r="O15" s="26"/>
      <c r="P15" s="26">
        <f t="shared" si="10"/>
        <v>0</v>
      </c>
      <c r="Q15" s="26">
        <f t="shared" si="10"/>
        <v>0</v>
      </c>
      <c r="R15" s="26"/>
      <c r="S15" s="26"/>
      <c r="T15" s="26"/>
      <c r="U15" s="26"/>
      <c r="V15" s="26"/>
      <c r="W15" s="26"/>
      <c r="X15" s="73">
        <f>SUM(X4:X4)</f>
        <v>0</v>
      </c>
      <c r="Y15" s="51"/>
      <c r="Z15" s="51"/>
      <c r="AA15" s="51"/>
      <c r="AB15" s="51"/>
      <c r="AC15" s="50"/>
      <c r="AD15" s="26">
        <f>SUM(AD4:AD4)</f>
        <v>0</v>
      </c>
      <c r="AE15" s="26"/>
      <c r="AF15" s="87">
        <f>SUM(AF4:AF14)</f>
        <v>12918.367225967</v>
      </c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</sheetData>
  <autoFilter xmlns:etc="http://www.wps.cn/officeDocument/2017/etCustomData" ref="A3:AF15" etc:filterBottomFollowUsedRange="0">
    <extLst/>
  </autoFilter>
  <mergeCells count="21">
    <mergeCell ref="A1:AF1"/>
    <mergeCell ref="J3:P3"/>
    <mergeCell ref="R3:V3"/>
    <mergeCell ref="Y3:AD3"/>
    <mergeCell ref="A3:A4"/>
    <mergeCell ref="A5:A14"/>
    <mergeCell ref="B3:B4"/>
    <mergeCell ref="B5:B14"/>
    <mergeCell ref="C3:C4"/>
    <mergeCell ref="D3:D4"/>
    <mergeCell ref="E3:E4"/>
    <mergeCell ref="F3:F4"/>
    <mergeCell ref="G3:G4"/>
    <mergeCell ref="H3:H4"/>
    <mergeCell ref="I3:I4"/>
    <mergeCell ref="Q3:Q4"/>
    <mergeCell ref="Q5:Q14"/>
    <mergeCell ref="R5:R14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1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4"/>
    </row>
    <row r="2" customFormat="1" ht="31" customHeight="1" spans="1:32">
      <c r="A2" s="98" t="s">
        <v>144</v>
      </c>
      <c r="B2" s="98" t="s">
        <v>145</v>
      </c>
      <c r="C2" s="98">
        <v>75.3622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5" t="s">
        <v>39</v>
      </c>
      <c r="Z3" s="75"/>
      <c r="AA3" s="75"/>
      <c r="AB3" s="75"/>
      <c r="AC3" s="76"/>
      <c r="AD3" s="75"/>
      <c r="AE3" s="77" t="s">
        <v>40</v>
      </c>
      <c r="AF3" s="78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9" t="s">
        <v>53</v>
      </c>
      <c r="Z4" s="79" t="s">
        <v>54</v>
      </c>
      <c r="AA4" s="79" t="s">
        <v>55</v>
      </c>
      <c r="AB4" s="80" t="s">
        <v>56</v>
      </c>
      <c r="AC4" s="81" t="s">
        <v>57</v>
      </c>
      <c r="AD4" s="82" t="s">
        <v>47</v>
      </c>
      <c r="AE4" s="83" t="s">
        <v>58</v>
      </c>
      <c r="AF4" s="84"/>
    </row>
    <row r="5" s="2" customFormat="1" spans="1:32">
      <c r="A5" s="20" t="s">
        <v>8</v>
      </c>
      <c r="B5" s="21" t="s">
        <v>9</v>
      </c>
      <c r="C5" s="22">
        <v>240918000046</v>
      </c>
      <c r="D5" s="23">
        <v>45564</v>
      </c>
      <c r="E5" s="23" t="s">
        <v>69</v>
      </c>
      <c r="F5" s="21" t="s">
        <v>70</v>
      </c>
      <c r="G5" s="21" t="s">
        <v>80</v>
      </c>
      <c r="H5" s="88">
        <v>11.5853</v>
      </c>
      <c r="I5" s="88">
        <v>3144</v>
      </c>
      <c r="J5" s="48"/>
      <c r="K5" s="90">
        <v>7151961.6</v>
      </c>
      <c r="L5" s="44"/>
      <c r="M5" s="45">
        <f>SUM(K5/N5)</f>
        <v>1754.97071376897</v>
      </c>
      <c r="N5" s="46">
        <v>4075.2598</v>
      </c>
      <c r="O5" s="21">
        <v>7.26</v>
      </c>
      <c r="P5" s="48">
        <f>SUM(N5*O5)</f>
        <v>29586.386148</v>
      </c>
      <c r="Q5" s="93">
        <f>SUM(P5:P14)</f>
        <v>153384.0135658</v>
      </c>
      <c r="R5" s="94" t="s">
        <v>95</v>
      </c>
      <c r="S5" s="72">
        <f>SUM(41933/68)*H5</f>
        <v>7144.21154264706</v>
      </c>
      <c r="T5" s="72"/>
      <c r="U5" s="72">
        <f>SUM(1400/68)*H5</f>
        <v>238.520882352941</v>
      </c>
      <c r="V5" s="104">
        <v>150</v>
      </c>
      <c r="W5" s="72"/>
      <c r="X5" s="72">
        <f t="shared" ref="X5:X37" si="0">SUM(S5:W5)</f>
        <v>7532.732425</v>
      </c>
      <c r="Y5" s="85">
        <f>SUM(10381.24/68)*H5</f>
        <v>1768.67323194118</v>
      </c>
      <c r="Z5" s="85"/>
      <c r="AA5" s="85"/>
      <c r="AB5" s="85">
        <f t="shared" ref="AB5:AB37" si="1">SUM(Y5:AA5)</f>
        <v>1768.67323194118</v>
      </c>
      <c r="AC5" s="86">
        <v>7.24</v>
      </c>
      <c r="AD5" s="72">
        <f t="shared" ref="AD5:AD37" si="2">SUM(AB5*AC5)</f>
        <v>12805.1941992541</v>
      </c>
      <c r="AE5" s="72">
        <f t="shared" ref="AE5:AE37" si="3">SUM(X5+AD5)</f>
        <v>20337.9266242541</v>
      </c>
      <c r="AF5" s="72">
        <f t="shared" ref="AF5:AF37" si="4">SUM(P5-AE5)</f>
        <v>9248.4595237459</v>
      </c>
    </row>
    <row r="6" s="2" customFormat="1" spans="1:32">
      <c r="A6" s="20"/>
      <c r="B6" s="21"/>
      <c r="C6" s="22">
        <v>240919000028</v>
      </c>
      <c r="D6" s="23">
        <v>45564</v>
      </c>
      <c r="E6" s="23" t="s">
        <v>82</v>
      </c>
      <c r="F6" s="21" t="s">
        <v>83</v>
      </c>
      <c r="G6" s="21" t="s">
        <v>96</v>
      </c>
      <c r="H6" s="88">
        <v>4.5828</v>
      </c>
      <c r="I6" s="88">
        <v>3750</v>
      </c>
      <c r="J6" s="42">
        <v>10847.8</v>
      </c>
      <c r="K6" s="86"/>
      <c r="L6" s="44"/>
      <c r="M6" s="45"/>
      <c r="N6" s="92"/>
      <c r="O6" s="21"/>
      <c r="P6" s="48">
        <f t="shared" ref="P6:P9" si="5">SUBTOTAL(9,J6)</f>
        <v>10847.8</v>
      </c>
      <c r="Q6" s="95"/>
      <c r="R6" s="95"/>
      <c r="S6" s="72">
        <f t="shared" ref="S6:S14" si="6">SUM(41933/68)*H6</f>
        <v>2826.03753529412</v>
      </c>
      <c r="T6" s="72"/>
      <c r="U6" s="72">
        <f t="shared" ref="U6:U14" si="7">SUM(1400/68)*H6</f>
        <v>94.3517647058824</v>
      </c>
      <c r="V6" s="72"/>
      <c r="W6" s="72"/>
      <c r="X6" s="72">
        <f t="shared" si="0"/>
        <v>2920.3893</v>
      </c>
      <c r="Y6" s="85">
        <f t="shared" ref="Y6:Y14" si="8">SUM(10381.24/68)*H6</f>
        <v>699.634509882353</v>
      </c>
      <c r="Z6" s="85"/>
      <c r="AA6" s="85"/>
      <c r="AB6" s="85">
        <f t="shared" si="1"/>
        <v>699.634509882353</v>
      </c>
      <c r="AC6" s="86">
        <v>7.24</v>
      </c>
      <c r="AD6" s="72">
        <f t="shared" si="2"/>
        <v>5065.35385154824</v>
      </c>
      <c r="AE6" s="72">
        <f t="shared" si="3"/>
        <v>7985.74315154823</v>
      </c>
      <c r="AF6" s="72">
        <f t="shared" si="4"/>
        <v>2862.05684845177</v>
      </c>
    </row>
    <row r="7" s="2" customFormat="1" spans="1:32">
      <c r="A7" s="20"/>
      <c r="B7" s="21"/>
      <c r="C7" s="22">
        <v>240906000023</v>
      </c>
      <c r="D7" s="23">
        <v>45559</v>
      </c>
      <c r="E7" s="23" t="s">
        <v>74</v>
      </c>
      <c r="F7" s="21" t="s">
        <v>74</v>
      </c>
      <c r="G7" s="21" t="s">
        <v>79</v>
      </c>
      <c r="H7" s="88">
        <v>17.6195</v>
      </c>
      <c r="I7" s="88">
        <v>5514</v>
      </c>
      <c r="J7" s="89">
        <v>36190</v>
      </c>
      <c r="K7" s="86"/>
      <c r="L7" s="113"/>
      <c r="M7" s="114"/>
      <c r="N7" s="92"/>
      <c r="O7" s="115"/>
      <c r="P7" s="116">
        <f t="shared" si="5"/>
        <v>36190</v>
      </c>
      <c r="Q7" s="95"/>
      <c r="R7" s="95"/>
      <c r="S7" s="72">
        <f t="shared" si="6"/>
        <v>10865.2719632353</v>
      </c>
      <c r="T7" s="72"/>
      <c r="U7" s="72">
        <f t="shared" si="7"/>
        <v>362.754411764706</v>
      </c>
      <c r="V7" s="72"/>
      <c r="W7" s="72"/>
      <c r="X7" s="72">
        <f t="shared" si="0"/>
        <v>11228.026375</v>
      </c>
      <c r="Y7" s="85">
        <f t="shared" si="8"/>
        <v>2689.88614970588</v>
      </c>
      <c r="Z7" s="85"/>
      <c r="AA7" s="85"/>
      <c r="AB7" s="85">
        <f t="shared" si="1"/>
        <v>2689.88614970588</v>
      </c>
      <c r="AC7" s="86">
        <v>7.24</v>
      </c>
      <c r="AD7" s="72">
        <f t="shared" si="2"/>
        <v>19474.7757238706</v>
      </c>
      <c r="AE7" s="72">
        <f t="shared" si="3"/>
        <v>30702.8020988706</v>
      </c>
      <c r="AF7" s="72">
        <f t="shared" si="4"/>
        <v>5487.1979011294</v>
      </c>
    </row>
    <row r="8" s="2" customFormat="1" spans="1:32">
      <c r="A8" s="20"/>
      <c r="B8" s="21"/>
      <c r="C8" s="22">
        <v>240924000057</v>
      </c>
      <c r="D8" s="23">
        <v>45564</v>
      </c>
      <c r="E8" s="23" t="s">
        <v>74</v>
      </c>
      <c r="F8" s="21" t="s">
        <v>74</v>
      </c>
      <c r="G8" s="21" t="s">
        <v>78</v>
      </c>
      <c r="H8" s="88">
        <v>4.4869</v>
      </c>
      <c r="I8" s="88">
        <v>2510.11</v>
      </c>
      <c r="J8" s="42">
        <v>9902</v>
      </c>
      <c r="K8" s="86"/>
      <c r="L8" s="44"/>
      <c r="M8" s="45"/>
      <c r="N8" s="92"/>
      <c r="O8" s="21"/>
      <c r="P8" s="48">
        <f t="shared" si="5"/>
        <v>9902</v>
      </c>
      <c r="Q8" s="95"/>
      <c r="R8" s="95"/>
      <c r="S8" s="72">
        <f t="shared" si="6"/>
        <v>2766.89967205882</v>
      </c>
      <c r="T8" s="72"/>
      <c r="U8" s="72">
        <f t="shared" si="7"/>
        <v>92.3773529411765</v>
      </c>
      <c r="V8" s="72"/>
      <c r="W8" s="72"/>
      <c r="X8" s="72">
        <f t="shared" si="0"/>
        <v>2859.277025</v>
      </c>
      <c r="Y8" s="85">
        <f t="shared" si="8"/>
        <v>684.993908176471</v>
      </c>
      <c r="Z8" s="85"/>
      <c r="AA8" s="85"/>
      <c r="AB8" s="85">
        <f t="shared" si="1"/>
        <v>684.993908176471</v>
      </c>
      <c r="AC8" s="86">
        <v>7.24</v>
      </c>
      <c r="AD8" s="72">
        <f t="shared" si="2"/>
        <v>4959.35589519765</v>
      </c>
      <c r="AE8" s="72">
        <f t="shared" si="3"/>
        <v>7818.63292019765</v>
      </c>
      <c r="AF8" s="72">
        <f t="shared" si="4"/>
        <v>2083.36707980235</v>
      </c>
    </row>
    <row r="9" s="2" customFormat="1" spans="1:32">
      <c r="A9" s="20"/>
      <c r="B9" s="21"/>
      <c r="C9" s="22">
        <v>240919000020</v>
      </c>
      <c r="D9" s="23">
        <v>45564</v>
      </c>
      <c r="E9" s="23" t="s">
        <v>59</v>
      </c>
      <c r="F9" s="21" t="s">
        <v>60</v>
      </c>
      <c r="G9" s="21" t="s">
        <v>93</v>
      </c>
      <c r="H9" s="88">
        <v>3.887</v>
      </c>
      <c r="I9" s="88">
        <v>1821.5</v>
      </c>
      <c r="J9" s="42">
        <v>8001.8</v>
      </c>
      <c r="K9" s="86"/>
      <c r="L9" s="44"/>
      <c r="M9" s="45"/>
      <c r="N9" s="92"/>
      <c r="O9" s="21"/>
      <c r="P9" s="48">
        <f t="shared" si="5"/>
        <v>8001.8</v>
      </c>
      <c r="Q9" s="95"/>
      <c r="R9" s="95"/>
      <c r="S9" s="72">
        <f t="shared" si="6"/>
        <v>2396.96427941176</v>
      </c>
      <c r="T9" s="72"/>
      <c r="U9" s="72">
        <f t="shared" si="7"/>
        <v>80.0264705882353</v>
      </c>
      <c r="V9" s="72"/>
      <c r="W9" s="72"/>
      <c r="X9" s="72">
        <f t="shared" si="0"/>
        <v>2476.99075</v>
      </c>
      <c r="Y9" s="85">
        <f t="shared" si="8"/>
        <v>593.409998235294</v>
      </c>
      <c r="Z9" s="85"/>
      <c r="AA9" s="85"/>
      <c r="AB9" s="85">
        <f t="shared" si="1"/>
        <v>593.409998235294</v>
      </c>
      <c r="AC9" s="86">
        <v>7.24</v>
      </c>
      <c r="AD9" s="72">
        <f t="shared" si="2"/>
        <v>4296.28838722353</v>
      </c>
      <c r="AE9" s="72">
        <f t="shared" si="3"/>
        <v>6773.27913722353</v>
      </c>
      <c r="AF9" s="72">
        <f t="shared" si="4"/>
        <v>1228.52086277647</v>
      </c>
    </row>
    <row r="10" s="2" customFormat="1" spans="1:32">
      <c r="A10" s="20"/>
      <c r="B10" s="21"/>
      <c r="C10" s="22">
        <v>240929000009</v>
      </c>
      <c r="D10" s="23">
        <v>45564</v>
      </c>
      <c r="E10" s="23" t="s">
        <v>69</v>
      </c>
      <c r="F10" s="21" t="s">
        <v>70</v>
      </c>
      <c r="G10" s="21" t="s">
        <v>81</v>
      </c>
      <c r="H10" s="88">
        <v>6.7645</v>
      </c>
      <c r="I10" s="88">
        <v>2500</v>
      </c>
      <c r="J10" s="48"/>
      <c r="K10" s="90">
        <v>3821265</v>
      </c>
      <c r="L10" s="44"/>
      <c r="M10" s="45">
        <f>SUM(K10/N10)</f>
        <v>1883.32429768359</v>
      </c>
      <c r="N10" s="117">
        <v>2029</v>
      </c>
      <c r="O10" s="21">
        <v>7.26</v>
      </c>
      <c r="P10" s="48">
        <f>SUM(N10*O10)</f>
        <v>14730.54</v>
      </c>
      <c r="Q10" s="95"/>
      <c r="R10" s="95"/>
      <c r="S10" s="72">
        <f t="shared" si="6"/>
        <v>4171.40850735294</v>
      </c>
      <c r="T10" s="72"/>
      <c r="U10" s="72">
        <f t="shared" si="7"/>
        <v>139.269117647059</v>
      </c>
      <c r="V10" s="72"/>
      <c r="W10" s="72"/>
      <c r="X10" s="72">
        <f t="shared" si="0"/>
        <v>4310.677625</v>
      </c>
      <c r="Y10" s="85">
        <f t="shared" si="8"/>
        <v>1032.70438205882</v>
      </c>
      <c r="Z10" s="85"/>
      <c r="AA10" s="85"/>
      <c r="AB10" s="85">
        <f t="shared" si="1"/>
        <v>1032.70438205882</v>
      </c>
      <c r="AC10" s="86">
        <v>7.24</v>
      </c>
      <c r="AD10" s="72">
        <f t="shared" si="2"/>
        <v>7476.77972610588</v>
      </c>
      <c r="AE10" s="72">
        <f t="shared" si="3"/>
        <v>11787.4573511059</v>
      </c>
      <c r="AF10" s="72">
        <f t="shared" si="4"/>
        <v>2943.0826488941</v>
      </c>
    </row>
    <row r="11" s="2" customFormat="1" spans="1:32">
      <c r="A11" s="20"/>
      <c r="B11" s="21"/>
      <c r="C11" s="22">
        <v>240928000023</v>
      </c>
      <c r="D11" s="23">
        <v>45564</v>
      </c>
      <c r="E11" s="23" t="s">
        <v>74</v>
      </c>
      <c r="F11" s="21" t="s">
        <v>74</v>
      </c>
      <c r="G11" s="21" t="s">
        <v>94</v>
      </c>
      <c r="H11" s="88">
        <v>22.557</v>
      </c>
      <c r="I11" s="88">
        <v>3296</v>
      </c>
      <c r="J11" s="42">
        <v>33080.26</v>
      </c>
      <c r="K11" s="86"/>
      <c r="L11" s="44"/>
      <c r="M11" s="45"/>
      <c r="N11" s="46"/>
      <c r="O11" s="21"/>
      <c r="P11" s="48">
        <f>SUBTOTAL(9,J11)</f>
        <v>33080.26</v>
      </c>
      <c r="Q11" s="95"/>
      <c r="R11" s="95"/>
      <c r="S11" s="72">
        <f t="shared" si="6"/>
        <v>13910.0394264706</v>
      </c>
      <c r="T11" s="72"/>
      <c r="U11" s="72">
        <f t="shared" si="7"/>
        <v>464.408823529412</v>
      </c>
      <c r="V11" s="72"/>
      <c r="W11" s="72"/>
      <c r="X11" s="72">
        <f t="shared" si="0"/>
        <v>14374.44825</v>
      </c>
      <c r="Y11" s="85">
        <f t="shared" si="8"/>
        <v>3443.67103941176</v>
      </c>
      <c r="Z11" s="85"/>
      <c r="AA11" s="85"/>
      <c r="AB11" s="85">
        <f t="shared" si="1"/>
        <v>3443.67103941176</v>
      </c>
      <c r="AC11" s="86">
        <v>7.24</v>
      </c>
      <c r="AD11" s="72">
        <f t="shared" si="2"/>
        <v>24932.1783253412</v>
      </c>
      <c r="AE11" s="72">
        <f t="shared" si="3"/>
        <v>39306.6265753412</v>
      </c>
      <c r="AF11" s="72">
        <f t="shared" si="4"/>
        <v>-6226.3665753412</v>
      </c>
    </row>
    <row r="12" s="2" customFormat="1" spans="1:32">
      <c r="A12" s="20"/>
      <c r="B12" s="21"/>
      <c r="C12" s="22">
        <v>240929000010</v>
      </c>
      <c r="D12" s="23">
        <v>45564</v>
      </c>
      <c r="E12" s="23" t="s">
        <v>69</v>
      </c>
      <c r="F12" s="21" t="s">
        <v>70</v>
      </c>
      <c r="G12" s="21" t="s">
        <v>81</v>
      </c>
      <c r="H12" s="88">
        <v>1.3975</v>
      </c>
      <c r="I12" s="88">
        <v>377</v>
      </c>
      <c r="J12" s="48"/>
      <c r="K12" s="90">
        <v>790272</v>
      </c>
      <c r="L12" s="44"/>
      <c r="M12" s="45">
        <f>SUM(K12/N12)</f>
        <v>1885.10076677395</v>
      </c>
      <c r="N12" s="46">
        <v>419.22003</v>
      </c>
      <c r="O12" s="21">
        <v>7.26</v>
      </c>
      <c r="P12" s="48">
        <f>SUM(N12*O12)</f>
        <v>3043.5374178</v>
      </c>
      <c r="Q12" s="95"/>
      <c r="R12" s="95"/>
      <c r="S12" s="72">
        <f t="shared" si="6"/>
        <v>861.78481617647</v>
      </c>
      <c r="T12" s="72"/>
      <c r="U12" s="72">
        <f t="shared" si="7"/>
        <v>28.7720588235294</v>
      </c>
      <c r="V12" s="72"/>
      <c r="W12" s="72"/>
      <c r="X12" s="72">
        <f t="shared" si="0"/>
        <v>890.556875</v>
      </c>
      <c r="Y12" s="85">
        <f t="shared" si="8"/>
        <v>213.349748529412</v>
      </c>
      <c r="Z12" s="85">
        <v>9.86</v>
      </c>
      <c r="AA12" s="85"/>
      <c r="AB12" s="85">
        <f t="shared" si="1"/>
        <v>223.209748529412</v>
      </c>
      <c r="AC12" s="86">
        <v>7.24</v>
      </c>
      <c r="AD12" s="72">
        <f t="shared" si="2"/>
        <v>1616.03857935294</v>
      </c>
      <c r="AE12" s="72">
        <f t="shared" si="3"/>
        <v>2506.59545435294</v>
      </c>
      <c r="AF12" s="72">
        <f t="shared" si="4"/>
        <v>536.94196344706</v>
      </c>
    </row>
    <row r="13" s="2" customFormat="1" spans="1:32">
      <c r="A13" s="20"/>
      <c r="B13" s="21"/>
      <c r="C13" s="22" t="s">
        <v>97</v>
      </c>
      <c r="D13" s="23">
        <v>45564</v>
      </c>
      <c r="E13" s="23" t="s">
        <v>69</v>
      </c>
      <c r="F13" s="21" t="s">
        <v>70</v>
      </c>
      <c r="G13" s="21" t="s">
        <v>81</v>
      </c>
      <c r="H13" s="88">
        <v>2.4334</v>
      </c>
      <c r="I13" s="88">
        <v>2340</v>
      </c>
      <c r="J13" s="48"/>
      <c r="K13" s="90">
        <v>1822400</v>
      </c>
      <c r="L13" s="44"/>
      <c r="M13" s="45">
        <f>SUM(K13/N13)</f>
        <v>1700</v>
      </c>
      <c r="N13" s="46">
        <v>1072</v>
      </c>
      <c r="O13" s="21">
        <v>7.29</v>
      </c>
      <c r="P13" s="48">
        <f>SUM(N13*O13)</f>
        <v>7814.88</v>
      </c>
      <c r="Q13" s="95"/>
      <c r="R13" s="95"/>
      <c r="S13" s="72">
        <f t="shared" si="6"/>
        <v>1500.58473823529</v>
      </c>
      <c r="T13" s="72"/>
      <c r="U13" s="72">
        <f t="shared" si="7"/>
        <v>50.0994117647059</v>
      </c>
      <c r="V13" s="72"/>
      <c r="W13" s="72"/>
      <c r="X13" s="72">
        <f t="shared" si="0"/>
        <v>1550.68415</v>
      </c>
      <c r="Y13" s="85">
        <f t="shared" si="8"/>
        <v>371.495726705882</v>
      </c>
      <c r="Z13" s="85"/>
      <c r="AA13" s="85"/>
      <c r="AB13" s="85">
        <f t="shared" si="1"/>
        <v>371.495726705882</v>
      </c>
      <c r="AC13" s="86">
        <v>7.24</v>
      </c>
      <c r="AD13" s="72">
        <f t="shared" si="2"/>
        <v>2689.62906135059</v>
      </c>
      <c r="AE13" s="72">
        <f t="shared" si="3"/>
        <v>4240.31321135059</v>
      </c>
      <c r="AF13" s="72">
        <f t="shared" si="4"/>
        <v>3574.56678864941</v>
      </c>
    </row>
    <row r="14" s="2" customFormat="1" spans="1:32">
      <c r="A14" s="20"/>
      <c r="B14" s="21"/>
      <c r="C14" s="22">
        <v>240929000057</v>
      </c>
      <c r="D14" s="23">
        <v>45564</v>
      </c>
      <c r="E14" s="23" t="s">
        <v>82</v>
      </c>
      <c r="F14" s="21" t="s">
        <v>83</v>
      </c>
      <c r="G14" s="21" t="s">
        <v>98</v>
      </c>
      <c r="H14" s="111">
        <v>0.0914</v>
      </c>
      <c r="I14" s="88">
        <v>64</v>
      </c>
      <c r="J14" s="42">
        <v>186.81</v>
      </c>
      <c r="K14" s="86"/>
      <c r="L14" s="44"/>
      <c r="M14" s="45"/>
      <c r="N14" s="92"/>
      <c r="O14" s="21"/>
      <c r="P14" s="48">
        <f>SUBTOTAL(9,J14)</f>
        <v>186.81</v>
      </c>
      <c r="Q14" s="96"/>
      <c r="R14" s="96"/>
      <c r="S14" s="72">
        <f t="shared" si="6"/>
        <v>56.3628852941176</v>
      </c>
      <c r="T14" s="72"/>
      <c r="U14" s="72">
        <f t="shared" si="7"/>
        <v>1.88176470588235</v>
      </c>
      <c r="V14" s="72"/>
      <c r="W14" s="72"/>
      <c r="X14" s="72">
        <f t="shared" si="0"/>
        <v>58.24465</v>
      </c>
      <c r="Y14" s="85">
        <f t="shared" si="8"/>
        <v>13.9536078823529</v>
      </c>
      <c r="Z14" s="85"/>
      <c r="AA14" s="85"/>
      <c r="AB14" s="85">
        <f t="shared" si="1"/>
        <v>13.9536078823529</v>
      </c>
      <c r="AC14" s="86">
        <v>7.24</v>
      </c>
      <c r="AD14" s="72">
        <f t="shared" si="2"/>
        <v>101.024121068235</v>
      </c>
      <c r="AE14" s="72">
        <f t="shared" si="3"/>
        <v>159.268771068235</v>
      </c>
      <c r="AF14" s="72">
        <f t="shared" si="4"/>
        <v>27.541228931765</v>
      </c>
    </row>
    <row r="15" ht="15.75" spans="1:32">
      <c r="A15" s="25" t="s">
        <v>26</v>
      </c>
      <c r="B15" s="26"/>
      <c r="C15" s="26"/>
      <c r="D15" s="26"/>
      <c r="E15" s="26"/>
      <c r="F15" s="26"/>
      <c r="G15" s="26"/>
      <c r="H15" s="26"/>
      <c r="I15" s="49"/>
      <c r="J15" s="26">
        <f>SUM(J4:J4)</f>
        <v>0</v>
      </c>
      <c r="K15" s="50"/>
      <c r="L15" s="51"/>
      <c r="M15" s="50"/>
      <c r="N15" s="50">
        <f t="shared" ref="N15:Q15" si="9">SUM(N4:N4)</f>
        <v>0</v>
      </c>
      <c r="O15" s="26"/>
      <c r="P15" s="26">
        <f t="shared" si="9"/>
        <v>0</v>
      </c>
      <c r="Q15" s="26">
        <f t="shared" si="9"/>
        <v>0</v>
      </c>
      <c r="R15" s="26"/>
      <c r="S15" s="26"/>
      <c r="T15" s="26"/>
      <c r="U15" s="26"/>
      <c r="V15" s="26"/>
      <c r="W15" s="26"/>
      <c r="X15" s="73">
        <f>SUM(X4:X4)</f>
        <v>0</v>
      </c>
      <c r="Y15" s="51"/>
      <c r="Z15" s="51"/>
      <c r="AA15" s="51"/>
      <c r="AB15" s="51"/>
      <c r="AC15" s="50"/>
      <c r="AD15" s="26">
        <f>SUM(AD4:AD4)</f>
        <v>0</v>
      </c>
      <c r="AE15" s="26"/>
      <c r="AF15" s="87">
        <f>SUM(AF4:AF14)</f>
        <v>21765.368270487</v>
      </c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</sheetData>
  <autoFilter xmlns:etc="http://www.wps.cn/officeDocument/2017/etCustomData" ref="A3:AF15" etc:filterBottomFollowUsedRange="0">
    <extLst/>
  </autoFilter>
  <mergeCells count="21">
    <mergeCell ref="A1:AF1"/>
    <mergeCell ref="J3:P3"/>
    <mergeCell ref="R3:V3"/>
    <mergeCell ref="Y3:AD3"/>
    <mergeCell ref="A3:A4"/>
    <mergeCell ref="A5:A14"/>
    <mergeCell ref="B3:B4"/>
    <mergeCell ref="B5:B14"/>
    <mergeCell ref="C3:C4"/>
    <mergeCell ref="D3:D4"/>
    <mergeCell ref="E3:E4"/>
    <mergeCell ref="F3:F4"/>
    <mergeCell ref="G3:G4"/>
    <mergeCell ref="H3:H4"/>
    <mergeCell ref="I3:I4"/>
    <mergeCell ref="Q3:Q4"/>
    <mergeCell ref="Q5:Q14"/>
    <mergeCell ref="R5:R14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4"/>
    </row>
    <row r="2" customFormat="1" ht="31" customHeight="1" spans="1:32">
      <c r="A2" s="98" t="s">
        <v>144</v>
      </c>
      <c r="B2" s="98" t="s">
        <v>145</v>
      </c>
      <c r="C2" s="98">
        <v>69.5919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5" t="s">
        <v>39</v>
      </c>
      <c r="Z3" s="75"/>
      <c r="AA3" s="75"/>
      <c r="AB3" s="75"/>
      <c r="AC3" s="76"/>
      <c r="AD3" s="75"/>
      <c r="AE3" s="77" t="s">
        <v>40</v>
      </c>
      <c r="AF3" s="78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9" t="s">
        <v>53</v>
      </c>
      <c r="Z4" s="79" t="s">
        <v>54</v>
      </c>
      <c r="AA4" s="79" t="s">
        <v>55</v>
      </c>
      <c r="AB4" s="80" t="s">
        <v>56</v>
      </c>
      <c r="AC4" s="81" t="s">
        <v>57</v>
      </c>
      <c r="AD4" s="82" t="s">
        <v>47</v>
      </c>
      <c r="AE4" s="83" t="s">
        <v>58</v>
      </c>
      <c r="AF4" s="84"/>
    </row>
    <row r="5" s="2" customFormat="1" spans="1:32">
      <c r="A5" s="20" t="s">
        <v>10</v>
      </c>
      <c r="B5" s="21" t="s">
        <v>11</v>
      </c>
      <c r="C5" s="112">
        <v>240906000023</v>
      </c>
      <c r="D5" s="23">
        <v>45564</v>
      </c>
      <c r="E5" s="23" t="s">
        <v>74</v>
      </c>
      <c r="F5" s="21" t="s">
        <v>74</v>
      </c>
      <c r="G5" s="21" t="s">
        <v>79</v>
      </c>
      <c r="H5" s="88">
        <v>11.9955</v>
      </c>
      <c r="I5" s="88">
        <v>4372</v>
      </c>
      <c r="J5" s="89">
        <v>24695</v>
      </c>
      <c r="K5" s="86"/>
      <c r="L5" s="113"/>
      <c r="M5" s="114"/>
      <c r="N5" s="92"/>
      <c r="O5" s="115"/>
      <c r="P5" s="116">
        <f>SUBTOTAL(9,J5)</f>
        <v>24695</v>
      </c>
      <c r="Q5" s="93">
        <f>SUM(P5:P22)</f>
        <v>122040.478</v>
      </c>
      <c r="R5" s="94" t="s">
        <v>99</v>
      </c>
      <c r="S5" s="72">
        <f>SUM(40914/68)*H5</f>
        <v>7217.41010294118</v>
      </c>
      <c r="T5" s="72"/>
      <c r="U5" s="72">
        <f>SUM(1000/68)*H5</f>
        <v>176.404411764706</v>
      </c>
      <c r="V5" s="104">
        <f>SUM(800+800)</f>
        <v>1600</v>
      </c>
      <c r="W5" s="72"/>
      <c r="X5" s="72">
        <f t="shared" ref="X5:X27" si="0">SUM(S5:W5)</f>
        <v>8993.81451470588</v>
      </c>
      <c r="Y5" s="85">
        <f>SUM(10381.24/68)*H5</f>
        <v>1831.29653558824</v>
      </c>
      <c r="Z5" s="85"/>
      <c r="AA5" s="85">
        <f>SUM(114.28/68)*H5</f>
        <v>20.1594961764706</v>
      </c>
      <c r="AB5" s="85">
        <f t="shared" ref="AB5:AB27" si="1">SUM(Y5:AA5)</f>
        <v>1851.45603176471</v>
      </c>
      <c r="AC5" s="86">
        <v>7.27</v>
      </c>
      <c r="AD5" s="72">
        <f t="shared" ref="AD5:AD27" si="2">SUM(AB5*AC5)</f>
        <v>13460.0853509294</v>
      </c>
      <c r="AE5" s="72">
        <f t="shared" ref="AE5:AE27" si="3">SUM(X5+AD5)</f>
        <v>22453.8998656353</v>
      </c>
      <c r="AF5" s="72">
        <f t="shared" ref="AF5:AF27" si="4">SUM(P5-AE5)</f>
        <v>2241.1001343647</v>
      </c>
    </row>
    <row r="6" s="2" customFormat="1" spans="1:32">
      <c r="A6" s="20"/>
      <c r="B6" s="21"/>
      <c r="C6" s="112">
        <v>240919000020</v>
      </c>
      <c r="D6" s="23">
        <v>45564</v>
      </c>
      <c r="E6" s="23" t="s">
        <v>59</v>
      </c>
      <c r="F6" s="21" t="s">
        <v>60</v>
      </c>
      <c r="G6" s="21" t="s">
        <v>93</v>
      </c>
      <c r="H6" s="88">
        <v>1.4136</v>
      </c>
      <c r="I6" s="88">
        <v>664.5</v>
      </c>
      <c r="J6" s="42">
        <v>2907</v>
      </c>
      <c r="K6" s="86"/>
      <c r="L6" s="44"/>
      <c r="M6" s="45"/>
      <c r="N6" s="92"/>
      <c r="O6" s="21"/>
      <c r="P6" s="48">
        <f t="shared" ref="P5:P16" si="5">SUBTOTAL(9,J6)</f>
        <v>2907</v>
      </c>
      <c r="Q6" s="95"/>
      <c r="R6" s="95"/>
      <c r="S6" s="72">
        <f t="shared" ref="S6:S22" si="6">SUM(40914/68)*H6</f>
        <v>850.529858823529</v>
      </c>
      <c r="T6" s="72"/>
      <c r="U6" s="72">
        <f t="shared" ref="U6:U22" si="7">SUM(1000/68)*H6</f>
        <v>20.7882352941176</v>
      </c>
      <c r="V6" s="72"/>
      <c r="W6" s="72"/>
      <c r="X6" s="72">
        <f t="shared" si="0"/>
        <v>871.318094117647</v>
      </c>
      <c r="Y6" s="85">
        <f t="shared" ref="Y6:Y22" si="8">SUM(10381.24/68)*H6</f>
        <v>215.807659764706</v>
      </c>
      <c r="Z6" s="85"/>
      <c r="AA6" s="85">
        <f t="shared" ref="AA6:AA22" si="9">SUM(114.28/68)*H6</f>
        <v>2.37567952941176</v>
      </c>
      <c r="AB6" s="85">
        <f t="shared" si="1"/>
        <v>218.183339294118</v>
      </c>
      <c r="AC6" s="86">
        <v>7.27</v>
      </c>
      <c r="AD6" s="72">
        <f t="shared" si="2"/>
        <v>1586.19287666824</v>
      </c>
      <c r="AE6" s="72">
        <f t="shared" si="3"/>
        <v>2457.51097078588</v>
      </c>
      <c r="AF6" s="72">
        <f t="shared" si="4"/>
        <v>449.48902921412</v>
      </c>
    </row>
    <row r="7" s="2" customFormat="1" spans="1:32">
      <c r="A7" s="20"/>
      <c r="B7" s="21"/>
      <c r="C7" s="112">
        <v>240924000057</v>
      </c>
      <c r="D7" s="23">
        <v>45564</v>
      </c>
      <c r="E7" s="23" t="s">
        <v>74</v>
      </c>
      <c r="F7" s="21" t="s">
        <v>74</v>
      </c>
      <c r="G7" s="21" t="s">
        <v>78</v>
      </c>
      <c r="H7" s="88">
        <v>1.1877</v>
      </c>
      <c r="I7" s="88">
        <v>664.44</v>
      </c>
      <c r="J7" s="42">
        <v>2625</v>
      </c>
      <c r="K7" s="86"/>
      <c r="L7" s="44"/>
      <c r="M7" s="45"/>
      <c r="N7" s="92"/>
      <c r="O7" s="21"/>
      <c r="P7" s="48">
        <f t="shared" si="5"/>
        <v>2625</v>
      </c>
      <c r="Q7" s="95"/>
      <c r="R7" s="95"/>
      <c r="S7" s="72">
        <f t="shared" si="6"/>
        <v>714.611144117647</v>
      </c>
      <c r="T7" s="72"/>
      <c r="U7" s="72">
        <f t="shared" si="7"/>
        <v>17.4661764705882</v>
      </c>
      <c r="V7" s="72"/>
      <c r="W7" s="72"/>
      <c r="X7" s="72">
        <f t="shared" si="0"/>
        <v>732.077320588235</v>
      </c>
      <c r="Y7" s="85">
        <f t="shared" si="8"/>
        <v>181.320569823529</v>
      </c>
      <c r="Z7" s="85"/>
      <c r="AA7" s="85">
        <f t="shared" si="9"/>
        <v>1.99603464705882</v>
      </c>
      <c r="AB7" s="85">
        <f t="shared" si="1"/>
        <v>183.316604470588</v>
      </c>
      <c r="AC7" s="86">
        <v>7.27</v>
      </c>
      <c r="AD7" s="72">
        <f t="shared" si="2"/>
        <v>1332.71171450118</v>
      </c>
      <c r="AE7" s="72">
        <f t="shared" si="3"/>
        <v>2064.78903508941</v>
      </c>
      <c r="AF7" s="72">
        <f t="shared" si="4"/>
        <v>560.21096491059</v>
      </c>
    </row>
    <row r="8" s="2" customFormat="1" spans="1:32">
      <c r="A8" s="20"/>
      <c r="B8" s="21"/>
      <c r="C8" s="112">
        <v>240925000034</v>
      </c>
      <c r="D8" s="23">
        <v>45564</v>
      </c>
      <c r="E8" s="23" t="s">
        <v>100</v>
      </c>
      <c r="F8" s="21" t="s">
        <v>101</v>
      </c>
      <c r="G8" s="21" t="s">
        <v>102</v>
      </c>
      <c r="H8" s="88">
        <v>0.8264</v>
      </c>
      <c r="I8" s="88">
        <v>605</v>
      </c>
      <c r="J8" s="42">
        <v>3329.79</v>
      </c>
      <c r="K8" s="86"/>
      <c r="L8" s="44"/>
      <c r="M8" s="45"/>
      <c r="N8" s="92"/>
      <c r="O8" s="21"/>
      <c r="P8" s="48">
        <f t="shared" si="5"/>
        <v>3329.79</v>
      </c>
      <c r="Q8" s="95"/>
      <c r="R8" s="95"/>
      <c r="S8" s="72">
        <f t="shared" si="6"/>
        <v>497.225435294118</v>
      </c>
      <c r="T8" s="72"/>
      <c r="U8" s="72">
        <f t="shared" si="7"/>
        <v>12.1529411764706</v>
      </c>
      <c r="V8" s="72"/>
      <c r="W8" s="72"/>
      <c r="X8" s="72">
        <f t="shared" si="0"/>
        <v>509.378376470588</v>
      </c>
      <c r="Y8" s="85">
        <f t="shared" si="8"/>
        <v>126.162599058824</v>
      </c>
      <c r="Z8" s="97">
        <v>194.84</v>
      </c>
      <c r="AA8" s="85">
        <f t="shared" si="9"/>
        <v>1.38883811764706</v>
      </c>
      <c r="AB8" s="85">
        <f t="shared" si="1"/>
        <v>322.391437176471</v>
      </c>
      <c r="AC8" s="86">
        <v>7.27</v>
      </c>
      <c r="AD8" s="72">
        <f t="shared" si="2"/>
        <v>2343.78574827294</v>
      </c>
      <c r="AE8" s="72">
        <f t="shared" si="3"/>
        <v>2853.16412474353</v>
      </c>
      <c r="AF8" s="72">
        <f t="shared" si="4"/>
        <v>476.62587525647</v>
      </c>
    </row>
    <row r="9" s="2" customFormat="1" spans="1:32">
      <c r="A9" s="20"/>
      <c r="B9" s="21"/>
      <c r="C9" s="112">
        <v>240926000001</v>
      </c>
      <c r="D9" s="23">
        <v>45564</v>
      </c>
      <c r="E9" s="23" t="s">
        <v>82</v>
      </c>
      <c r="F9" s="21" t="s">
        <v>83</v>
      </c>
      <c r="G9" s="21" t="s">
        <v>96</v>
      </c>
      <c r="H9" s="88">
        <v>0.5358</v>
      </c>
      <c r="I9" s="88">
        <v>276</v>
      </c>
      <c r="J9" s="42">
        <v>1095.15</v>
      </c>
      <c r="K9" s="86"/>
      <c r="L9" s="44"/>
      <c r="M9" s="45"/>
      <c r="N9" s="92"/>
      <c r="O9" s="21"/>
      <c r="P9" s="48">
        <f t="shared" si="5"/>
        <v>1095.15</v>
      </c>
      <c r="Q9" s="95"/>
      <c r="R9" s="95"/>
      <c r="S9" s="72">
        <f t="shared" si="6"/>
        <v>322.378252941176</v>
      </c>
      <c r="T9" s="72"/>
      <c r="U9" s="72">
        <f t="shared" si="7"/>
        <v>7.87941176470588</v>
      </c>
      <c r="V9" s="72"/>
      <c r="W9" s="72"/>
      <c r="X9" s="72">
        <f t="shared" si="0"/>
        <v>330.257664705882</v>
      </c>
      <c r="Y9" s="85">
        <f t="shared" si="8"/>
        <v>81.7980645882353</v>
      </c>
      <c r="Z9" s="85"/>
      <c r="AA9" s="85">
        <f t="shared" si="9"/>
        <v>0.900459176470588</v>
      </c>
      <c r="AB9" s="85">
        <f t="shared" si="1"/>
        <v>82.6985237647059</v>
      </c>
      <c r="AC9" s="86">
        <v>7.27</v>
      </c>
      <c r="AD9" s="72">
        <f t="shared" si="2"/>
        <v>601.218267769412</v>
      </c>
      <c r="AE9" s="72">
        <f t="shared" si="3"/>
        <v>931.475932475294</v>
      </c>
      <c r="AF9" s="72">
        <f t="shared" si="4"/>
        <v>163.674067524706</v>
      </c>
    </row>
    <row r="10" s="2" customFormat="1" spans="1:32">
      <c r="A10" s="20"/>
      <c r="B10" s="21"/>
      <c r="C10" s="112">
        <v>240919000043</v>
      </c>
      <c r="D10" s="23">
        <v>45564</v>
      </c>
      <c r="E10" s="23" t="s">
        <v>63</v>
      </c>
      <c r="F10" s="21" t="s">
        <v>64</v>
      </c>
      <c r="G10" s="21" t="s">
        <v>103</v>
      </c>
      <c r="H10" s="88">
        <v>0.4921</v>
      </c>
      <c r="I10" s="88">
        <v>109</v>
      </c>
      <c r="J10" s="42">
        <v>1159</v>
      </c>
      <c r="K10" s="86"/>
      <c r="L10" s="44"/>
      <c r="M10" s="45"/>
      <c r="N10" s="92"/>
      <c r="O10" s="21"/>
      <c r="P10" s="48">
        <f t="shared" si="5"/>
        <v>1159</v>
      </c>
      <c r="Q10" s="95"/>
      <c r="R10" s="95"/>
      <c r="S10" s="72">
        <f t="shared" si="6"/>
        <v>296.084991176471</v>
      </c>
      <c r="T10" s="72"/>
      <c r="U10" s="72">
        <f t="shared" si="7"/>
        <v>7.23676470588235</v>
      </c>
      <c r="V10" s="72"/>
      <c r="W10" s="72"/>
      <c r="X10" s="72">
        <f t="shared" si="0"/>
        <v>303.321755882353</v>
      </c>
      <c r="Y10" s="85">
        <f t="shared" si="8"/>
        <v>75.1265912352941</v>
      </c>
      <c r="Z10" s="85"/>
      <c r="AA10" s="85">
        <f t="shared" si="9"/>
        <v>0.827017470588235</v>
      </c>
      <c r="AB10" s="85">
        <f t="shared" si="1"/>
        <v>75.9536087058823</v>
      </c>
      <c r="AC10" s="86">
        <v>7.27</v>
      </c>
      <c r="AD10" s="72">
        <f t="shared" si="2"/>
        <v>552.182735291765</v>
      </c>
      <c r="AE10" s="72">
        <f t="shared" si="3"/>
        <v>855.504491174118</v>
      </c>
      <c r="AF10" s="72">
        <f t="shared" si="4"/>
        <v>303.495508825882</v>
      </c>
    </row>
    <row r="11" s="2" customFormat="1" spans="1:32">
      <c r="A11" s="20"/>
      <c r="B11" s="21"/>
      <c r="C11" s="112">
        <v>240926000008</v>
      </c>
      <c r="D11" s="23">
        <v>45564</v>
      </c>
      <c r="E11" s="23" t="s">
        <v>63</v>
      </c>
      <c r="F11" s="21" t="s">
        <v>64</v>
      </c>
      <c r="G11" s="21" t="s">
        <v>104</v>
      </c>
      <c r="H11" s="88">
        <v>0.102</v>
      </c>
      <c r="I11" s="88">
        <v>67</v>
      </c>
      <c r="J11" s="42">
        <v>223.3</v>
      </c>
      <c r="K11" s="86"/>
      <c r="L11" s="44"/>
      <c r="M11" s="45"/>
      <c r="N11" s="92"/>
      <c r="O11" s="21"/>
      <c r="P11" s="48">
        <f t="shared" si="5"/>
        <v>223.3</v>
      </c>
      <c r="Q11" s="95"/>
      <c r="R11" s="95"/>
      <c r="S11" s="72">
        <f t="shared" si="6"/>
        <v>61.371</v>
      </c>
      <c r="T11" s="72"/>
      <c r="U11" s="72">
        <f t="shared" si="7"/>
        <v>1.5</v>
      </c>
      <c r="V11" s="72"/>
      <c r="W11" s="72"/>
      <c r="X11" s="72">
        <f t="shared" si="0"/>
        <v>62.871</v>
      </c>
      <c r="Y11" s="85">
        <f t="shared" si="8"/>
        <v>15.57186</v>
      </c>
      <c r="Z11" s="85"/>
      <c r="AA11" s="85">
        <f t="shared" si="9"/>
        <v>0.17142</v>
      </c>
      <c r="AB11" s="85">
        <f t="shared" si="1"/>
        <v>15.74328</v>
      </c>
      <c r="AC11" s="86">
        <v>7.27</v>
      </c>
      <c r="AD11" s="72">
        <f t="shared" si="2"/>
        <v>114.4536456</v>
      </c>
      <c r="AE11" s="72">
        <f t="shared" si="3"/>
        <v>177.3246456</v>
      </c>
      <c r="AF11" s="72">
        <f t="shared" si="4"/>
        <v>45.9753544</v>
      </c>
    </row>
    <row r="12" s="2" customFormat="1" spans="1:32">
      <c r="A12" s="20"/>
      <c r="B12" s="21"/>
      <c r="C12" s="112">
        <v>240928000014</v>
      </c>
      <c r="D12" s="23">
        <v>45564</v>
      </c>
      <c r="E12" s="23" t="s">
        <v>69</v>
      </c>
      <c r="F12" s="21" t="s">
        <v>70</v>
      </c>
      <c r="G12" s="21" t="s">
        <v>76</v>
      </c>
      <c r="H12" s="88">
        <v>0.6152</v>
      </c>
      <c r="I12" s="88">
        <v>107</v>
      </c>
      <c r="J12" s="42">
        <v>1191.18</v>
      </c>
      <c r="K12" s="86"/>
      <c r="L12" s="44"/>
      <c r="M12" s="45"/>
      <c r="N12" s="92"/>
      <c r="O12" s="21"/>
      <c r="P12" s="48">
        <f t="shared" si="5"/>
        <v>1191.18</v>
      </c>
      <c r="Q12" s="95"/>
      <c r="R12" s="95"/>
      <c r="S12" s="72">
        <f t="shared" si="6"/>
        <v>370.151364705882</v>
      </c>
      <c r="T12" s="72"/>
      <c r="U12" s="72">
        <f t="shared" si="7"/>
        <v>9.04705882352941</v>
      </c>
      <c r="V12" s="72"/>
      <c r="W12" s="72"/>
      <c r="X12" s="72">
        <f t="shared" si="0"/>
        <v>379.198423529412</v>
      </c>
      <c r="Y12" s="85">
        <f t="shared" si="8"/>
        <v>93.9196889411765</v>
      </c>
      <c r="Z12" s="85"/>
      <c r="AA12" s="85">
        <f t="shared" si="9"/>
        <v>1.03389788235294</v>
      </c>
      <c r="AB12" s="85">
        <f t="shared" si="1"/>
        <v>94.9535868235294</v>
      </c>
      <c r="AC12" s="86">
        <v>7.27</v>
      </c>
      <c r="AD12" s="72">
        <f t="shared" si="2"/>
        <v>690.312576207059</v>
      </c>
      <c r="AE12" s="72">
        <f t="shared" si="3"/>
        <v>1069.51099973647</v>
      </c>
      <c r="AF12" s="72">
        <f t="shared" si="4"/>
        <v>121.66900026353</v>
      </c>
    </row>
    <row r="13" s="2" customFormat="1" spans="1:32">
      <c r="A13" s="20"/>
      <c r="B13" s="21"/>
      <c r="C13" s="112">
        <v>240928000015</v>
      </c>
      <c r="D13" s="23">
        <v>45564</v>
      </c>
      <c r="E13" s="23" t="s">
        <v>69</v>
      </c>
      <c r="F13" s="21" t="s">
        <v>70</v>
      </c>
      <c r="G13" s="21" t="s">
        <v>76</v>
      </c>
      <c r="H13" s="88">
        <v>0.1359</v>
      </c>
      <c r="I13" s="88">
        <v>19.5</v>
      </c>
      <c r="J13" s="42">
        <v>309.58</v>
      </c>
      <c r="K13" s="86"/>
      <c r="L13" s="44"/>
      <c r="M13" s="45"/>
      <c r="N13" s="92"/>
      <c r="O13" s="21"/>
      <c r="P13" s="48">
        <f t="shared" si="5"/>
        <v>309.58</v>
      </c>
      <c r="Q13" s="95"/>
      <c r="R13" s="95"/>
      <c r="S13" s="72">
        <f t="shared" si="6"/>
        <v>81.7678323529412</v>
      </c>
      <c r="T13" s="72"/>
      <c r="U13" s="72">
        <f t="shared" si="7"/>
        <v>1.99852941176471</v>
      </c>
      <c r="V13" s="72"/>
      <c r="W13" s="72"/>
      <c r="X13" s="72">
        <f t="shared" si="0"/>
        <v>83.7663617647059</v>
      </c>
      <c r="Y13" s="85">
        <f t="shared" si="8"/>
        <v>20.7472134705882</v>
      </c>
      <c r="Z13" s="85"/>
      <c r="AA13" s="85">
        <f t="shared" si="9"/>
        <v>0.228391941176471</v>
      </c>
      <c r="AB13" s="85">
        <f t="shared" si="1"/>
        <v>20.9756054117647</v>
      </c>
      <c r="AC13" s="86">
        <v>7.27</v>
      </c>
      <c r="AD13" s="72">
        <f t="shared" si="2"/>
        <v>152.492651343529</v>
      </c>
      <c r="AE13" s="72">
        <f t="shared" si="3"/>
        <v>236.259013108235</v>
      </c>
      <c r="AF13" s="72">
        <f t="shared" si="4"/>
        <v>73.320986891765</v>
      </c>
    </row>
    <row r="14" s="2" customFormat="1" spans="1:32">
      <c r="A14" s="20"/>
      <c r="B14" s="21"/>
      <c r="C14" s="112">
        <v>240929000070</v>
      </c>
      <c r="D14" s="23">
        <v>45564</v>
      </c>
      <c r="E14" s="23" t="s">
        <v>74</v>
      </c>
      <c r="F14" s="21" t="s">
        <v>74</v>
      </c>
      <c r="G14" s="21" t="s">
        <v>94</v>
      </c>
      <c r="H14" s="88">
        <v>14.91</v>
      </c>
      <c r="I14" s="88">
        <v>1595</v>
      </c>
      <c r="J14" s="42">
        <v>21865.81</v>
      </c>
      <c r="K14" s="86"/>
      <c r="L14" s="44"/>
      <c r="M14" s="45"/>
      <c r="N14" s="46"/>
      <c r="O14" s="21"/>
      <c r="P14" s="48">
        <f t="shared" si="5"/>
        <v>21865.81</v>
      </c>
      <c r="Q14" s="95"/>
      <c r="R14" s="95"/>
      <c r="S14" s="72">
        <f t="shared" si="6"/>
        <v>8970.99617647059</v>
      </c>
      <c r="T14" s="72"/>
      <c r="U14" s="72">
        <f t="shared" si="7"/>
        <v>219.264705882353</v>
      </c>
      <c r="V14" s="72"/>
      <c r="W14" s="72"/>
      <c r="X14" s="72">
        <f t="shared" si="0"/>
        <v>9190.26088235294</v>
      </c>
      <c r="Y14" s="85">
        <f t="shared" si="8"/>
        <v>2276.23953529412</v>
      </c>
      <c r="Z14" s="85"/>
      <c r="AA14" s="85">
        <f t="shared" si="9"/>
        <v>25.0575705882353</v>
      </c>
      <c r="AB14" s="85">
        <f t="shared" si="1"/>
        <v>2301.29710588235</v>
      </c>
      <c r="AC14" s="86">
        <v>7.27</v>
      </c>
      <c r="AD14" s="72">
        <f t="shared" si="2"/>
        <v>16730.4299597647</v>
      </c>
      <c r="AE14" s="72">
        <f t="shared" si="3"/>
        <v>25920.6908421176</v>
      </c>
      <c r="AF14" s="72">
        <f t="shared" si="4"/>
        <v>-4054.8808421176</v>
      </c>
    </row>
    <row r="15" s="2" customFormat="1" spans="1:32">
      <c r="A15" s="20"/>
      <c r="B15" s="21"/>
      <c r="C15" s="112">
        <v>240928000023</v>
      </c>
      <c r="D15" s="23">
        <v>45564</v>
      </c>
      <c r="E15" s="23" t="s">
        <v>74</v>
      </c>
      <c r="F15" s="21" t="s">
        <v>74</v>
      </c>
      <c r="G15" s="21" t="s">
        <v>94</v>
      </c>
      <c r="H15" s="88">
        <v>0.8638</v>
      </c>
      <c r="I15" s="88">
        <v>110</v>
      </c>
      <c r="J15" s="42">
        <v>1266.8</v>
      </c>
      <c r="K15" s="86"/>
      <c r="L15" s="44"/>
      <c r="M15" s="45"/>
      <c r="N15" s="46"/>
      <c r="O15" s="21"/>
      <c r="P15" s="48">
        <f t="shared" si="5"/>
        <v>1266.8</v>
      </c>
      <c r="Q15" s="95"/>
      <c r="R15" s="95"/>
      <c r="S15" s="72">
        <f t="shared" si="6"/>
        <v>519.728135294118</v>
      </c>
      <c r="T15" s="72"/>
      <c r="U15" s="72">
        <f t="shared" si="7"/>
        <v>12.7029411764706</v>
      </c>
      <c r="V15" s="72"/>
      <c r="W15" s="72"/>
      <c r="X15" s="72">
        <f t="shared" si="0"/>
        <v>532.431076470588</v>
      </c>
      <c r="Y15" s="85">
        <f t="shared" si="8"/>
        <v>131.872281058824</v>
      </c>
      <c r="Z15" s="97"/>
      <c r="AA15" s="85">
        <f t="shared" si="9"/>
        <v>1.45169211764706</v>
      </c>
      <c r="AB15" s="85">
        <f t="shared" si="1"/>
        <v>133.323973176471</v>
      </c>
      <c r="AC15" s="86">
        <v>7.27</v>
      </c>
      <c r="AD15" s="72">
        <f t="shared" si="2"/>
        <v>969.265284992941</v>
      </c>
      <c r="AE15" s="72">
        <f t="shared" si="3"/>
        <v>1501.69636146353</v>
      </c>
      <c r="AF15" s="72">
        <f t="shared" si="4"/>
        <v>-234.89636146353</v>
      </c>
    </row>
    <row r="16" s="2" customFormat="1" spans="1:32">
      <c r="A16" s="20"/>
      <c r="B16" s="21"/>
      <c r="C16" s="112">
        <v>240929000001</v>
      </c>
      <c r="D16" s="23">
        <v>45564</v>
      </c>
      <c r="E16" s="23" t="s">
        <v>74</v>
      </c>
      <c r="F16" s="21" t="s">
        <v>74</v>
      </c>
      <c r="G16" s="21" t="s">
        <v>94</v>
      </c>
      <c r="H16" s="88">
        <v>23.97</v>
      </c>
      <c r="I16" s="88">
        <v>2873</v>
      </c>
      <c r="J16" s="42">
        <v>35152.53</v>
      </c>
      <c r="K16" s="86"/>
      <c r="L16" s="44"/>
      <c r="M16" s="45"/>
      <c r="N16" s="46"/>
      <c r="O16" s="21"/>
      <c r="P16" s="48">
        <f t="shared" si="5"/>
        <v>35152.53</v>
      </c>
      <c r="Q16" s="95"/>
      <c r="R16" s="95"/>
      <c r="S16" s="72">
        <f t="shared" si="6"/>
        <v>14422.185</v>
      </c>
      <c r="T16" s="72"/>
      <c r="U16" s="72">
        <f t="shared" si="7"/>
        <v>352.5</v>
      </c>
      <c r="V16" s="72"/>
      <c r="W16" s="72"/>
      <c r="X16" s="72">
        <f t="shared" si="0"/>
        <v>14774.685</v>
      </c>
      <c r="Y16" s="85">
        <f t="shared" si="8"/>
        <v>3659.3871</v>
      </c>
      <c r="Z16" s="97"/>
      <c r="AA16" s="85">
        <f t="shared" si="9"/>
        <v>40.2837</v>
      </c>
      <c r="AB16" s="85">
        <f t="shared" si="1"/>
        <v>3699.6708</v>
      </c>
      <c r="AC16" s="86">
        <v>7.27</v>
      </c>
      <c r="AD16" s="72">
        <f t="shared" si="2"/>
        <v>26896.606716</v>
      </c>
      <c r="AE16" s="72">
        <f t="shared" si="3"/>
        <v>41671.291716</v>
      </c>
      <c r="AF16" s="72">
        <f t="shared" si="4"/>
        <v>-6518.761716</v>
      </c>
    </row>
    <row r="17" s="2" customFormat="1" spans="1:32">
      <c r="A17" s="20"/>
      <c r="B17" s="21"/>
      <c r="C17" s="112">
        <v>240929000009</v>
      </c>
      <c r="D17" s="23">
        <v>45564</v>
      </c>
      <c r="E17" s="23" t="s">
        <v>69</v>
      </c>
      <c r="F17" s="21" t="s">
        <v>70</v>
      </c>
      <c r="G17" s="21" t="s">
        <v>81</v>
      </c>
      <c r="H17" s="88">
        <v>6.006</v>
      </c>
      <c r="I17" s="88">
        <v>2236</v>
      </c>
      <c r="J17" s="48"/>
      <c r="K17" s="90">
        <v>3392789.4</v>
      </c>
      <c r="L17" s="44"/>
      <c r="M17" s="45">
        <f>SUM(K17/N17)</f>
        <v>1883</v>
      </c>
      <c r="N17" s="117">
        <v>1801.8</v>
      </c>
      <c r="O17" s="21">
        <v>7.26</v>
      </c>
      <c r="P17" s="48">
        <f>SUM(N17*O17)</f>
        <v>13081.068</v>
      </c>
      <c r="Q17" s="95"/>
      <c r="R17" s="95"/>
      <c r="S17" s="72">
        <f t="shared" si="6"/>
        <v>3613.66888235294</v>
      </c>
      <c r="T17" s="72"/>
      <c r="U17" s="72">
        <f t="shared" si="7"/>
        <v>88.3235294117647</v>
      </c>
      <c r="V17" s="72"/>
      <c r="W17" s="72"/>
      <c r="X17" s="72">
        <f t="shared" si="0"/>
        <v>3701.99241176471</v>
      </c>
      <c r="Y17" s="85">
        <f t="shared" si="8"/>
        <v>916.907756470588</v>
      </c>
      <c r="Z17" s="97">
        <v>72.87</v>
      </c>
      <c r="AA17" s="85">
        <f t="shared" si="9"/>
        <v>10.0936129411765</v>
      </c>
      <c r="AB17" s="85">
        <f t="shared" si="1"/>
        <v>999.871369411765</v>
      </c>
      <c r="AC17" s="86">
        <v>7.27</v>
      </c>
      <c r="AD17" s="72">
        <f t="shared" si="2"/>
        <v>7269.06485562353</v>
      </c>
      <c r="AE17" s="72">
        <f t="shared" si="3"/>
        <v>10971.0572673882</v>
      </c>
      <c r="AF17" s="72">
        <f t="shared" si="4"/>
        <v>2110.0107326118</v>
      </c>
    </row>
    <row r="18" s="2" customFormat="1" spans="1:32">
      <c r="A18" s="20"/>
      <c r="B18" s="21"/>
      <c r="C18" s="112">
        <v>240929000042</v>
      </c>
      <c r="D18" s="23">
        <v>45564</v>
      </c>
      <c r="E18" s="23" t="s">
        <v>85</v>
      </c>
      <c r="F18" s="21" t="s">
        <v>86</v>
      </c>
      <c r="G18" s="21" t="s">
        <v>75</v>
      </c>
      <c r="H18" s="88">
        <v>0.3433</v>
      </c>
      <c r="I18" s="88">
        <v>125</v>
      </c>
      <c r="J18" s="42">
        <v>643.9</v>
      </c>
      <c r="K18" s="86"/>
      <c r="L18" s="44"/>
      <c r="M18" s="45"/>
      <c r="N18" s="92"/>
      <c r="O18" s="21"/>
      <c r="P18" s="48">
        <f>SUBTOTAL(9,J18)</f>
        <v>643.9</v>
      </c>
      <c r="Q18" s="95"/>
      <c r="R18" s="95"/>
      <c r="S18" s="72">
        <f t="shared" si="6"/>
        <v>206.555532352941</v>
      </c>
      <c r="T18" s="72"/>
      <c r="U18" s="72">
        <f t="shared" si="7"/>
        <v>5.04852941176471</v>
      </c>
      <c r="V18" s="72"/>
      <c r="W18" s="72"/>
      <c r="X18" s="72">
        <f t="shared" si="0"/>
        <v>211.604061764706</v>
      </c>
      <c r="Y18" s="85">
        <f t="shared" si="8"/>
        <v>52.4099954705882</v>
      </c>
      <c r="Z18" s="85"/>
      <c r="AA18" s="85">
        <f t="shared" si="9"/>
        <v>0.576945941176471</v>
      </c>
      <c r="AB18" s="85">
        <f t="shared" si="1"/>
        <v>52.9869414117647</v>
      </c>
      <c r="AC18" s="86">
        <v>7.27</v>
      </c>
      <c r="AD18" s="72">
        <f t="shared" si="2"/>
        <v>385.215064063529</v>
      </c>
      <c r="AE18" s="72">
        <f t="shared" si="3"/>
        <v>596.819125828235</v>
      </c>
      <c r="AF18" s="72">
        <f t="shared" si="4"/>
        <v>47.080874171765</v>
      </c>
    </row>
    <row r="19" s="2" customFormat="1" spans="1:32">
      <c r="A19" s="20"/>
      <c r="B19" s="21"/>
      <c r="C19" s="112">
        <v>240921000019</v>
      </c>
      <c r="D19" s="23">
        <v>45547</v>
      </c>
      <c r="E19" s="23" t="s">
        <v>82</v>
      </c>
      <c r="F19" s="21" t="s">
        <v>83</v>
      </c>
      <c r="G19" s="21" t="s">
        <v>84</v>
      </c>
      <c r="H19" s="88">
        <v>2.7091</v>
      </c>
      <c r="I19" s="88">
        <v>1182</v>
      </c>
      <c r="J19" s="42">
        <v>5539.61</v>
      </c>
      <c r="K19" s="86"/>
      <c r="L19" s="44"/>
      <c r="M19" s="45"/>
      <c r="N19" s="97"/>
      <c r="O19" s="21"/>
      <c r="P19" s="48">
        <f>SUBTOTAL(9,J19)</f>
        <v>5539.61</v>
      </c>
      <c r="Q19" s="95"/>
      <c r="R19" s="95"/>
      <c r="S19" s="72">
        <f t="shared" si="6"/>
        <v>1630.00172647059</v>
      </c>
      <c r="T19" s="72"/>
      <c r="U19" s="72">
        <f t="shared" si="7"/>
        <v>39.8397058823529</v>
      </c>
      <c r="V19" s="72"/>
      <c r="W19" s="72"/>
      <c r="X19" s="72">
        <f t="shared" si="0"/>
        <v>1669.84143235294</v>
      </c>
      <c r="Y19" s="85">
        <f t="shared" si="8"/>
        <v>413.585548294118</v>
      </c>
      <c r="Z19" s="85"/>
      <c r="AA19" s="85">
        <f t="shared" si="9"/>
        <v>4.55288158823529</v>
      </c>
      <c r="AB19" s="85">
        <f t="shared" si="1"/>
        <v>418.138429882353</v>
      </c>
      <c r="AC19" s="86">
        <v>7.27</v>
      </c>
      <c r="AD19" s="72">
        <f t="shared" si="2"/>
        <v>3039.86638524471</v>
      </c>
      <c r="AE19" s="72">
        <f t="shared" si="3"/>
        <v>4709.70781759765</v>
      </c>
      <c r="AF19" s="72">
        <f t="shared" si="4"/>
        <v>829.902182402349</v>
      </c>
    </row>
    <row r="20" s="2" customFormat="1" spans="1:32">
      <c r="A20" s="20"/>
      <c r="B20" s="21"/>
      <c r="C20" s="112">
        <v>240929000044</v>
      </c>
      <c r="D20" s="23">
        <v>45564</v>
      </c>
      <c r="E20" s="23" t="s">
        <v>85</v>
      </c>
      <c r="F20" s="21" t="s">
        <v>86</v>
      </c>
      <c r="G20" s="21" t="s">
        <v>75</v>
      </c>
      <c r="H20" s="88">
        <v>0.701</v>
      </c>
      <c r="I20" s="88">
        <v>79</v>
      </c>
      <c r="J20" s="42">
        <v>1314.85</v>
      </c>
      <c r="K20" s="86"/>
      <c r="L20" s="44"/>
      <c r="M20" s="45"/>
      <c r="N20" s="92"/>
      <c r="O20" s="21"/>
      <c r="P20" s="48">
        <f>SUBTOTAL(9,J20)</f>
        <v>1314.85</v>
      </c>
      <c r="Q20" s="95"/>
      <c r="R20" s="95"/>
      <c r="S20" s="72">
        <f t="shared" si="6"/>
        <v>421.775205882353</v>
      </c>
      <c r="T20" s="72"/>
      <c r="U20" s="72">
        <f t="shared" si="7"/>
        <v>10.3088235294118</v>
      </c>
      <c r="V20" s="72"/>
      <c r="W20" s="72"/>
      <c r="X20" s="72">
        <f t="shared" si="0"/>
        <v>432.084029411765</v>
      </c>
      <c r="Y20" s="85">
        <f t="shared" si="8"/>
        <v>107.018371176471</v>
      </c>
      <c r="Z20" s="85"/>
      <c r="AA20" s="85">
        <f t="shared" si="9"/>
        <v>1.17809235294118</v>
      </c>
      <c r="AB20" s="85">
        <f t="shared" si="1"/>
        <v>108.196463529412</v>
      </c>
      <c r="AC20" s="86">
        <v>7.27</v>
      </c>
      <c r="AD20" s="72">
        <f t="shared" si="2"/>
        <v>786.588289858823</v>
      </c>
      <c r="AE20" s="72">
        <f t="shared" si="3"/>
        <v>1218.67231927059</v>
      </c>
      <c r="AF20" s="72">
        <f t="shared" si="4"/>
        <v>96.17768072941</v>
      </c>
    </row>
    <row r="21" s="2" customFormat="1" spans="1:32">
      <c r="A21" s="20"/>
      <c r="B21" s="21"/>
      <c r="C21" s="112">
        <v>240929000045</v>
      </c>
      <c r="D21" s="23">
        <v>45564</v>
      </c>
      <c r="E21" s="23" t="s">
        <v>85</v>
      </c>
      <c r="F21" s="21" t="s">
        <v>86</v>
      </c>
      <c r="G21" s="21" t="s">
        <v>75</v>
      </c>
      <c r="H21" s="88">
        <v>0.2958</v>
      </c>
      <c r="I21" s="88">
        <v>34</v>
      </c>
      <c r="J21" s="42">
        <v>554.85</v>
      </c>
      <c r="K21" s="86"/>
      <c r="L21" s="44"/>
      <c r="M21" s="45"/>
      <c r="N21" s="92"/>
      <c r="O21" s="21"/>
      <c r="P21" s="48">
        <f>SUBTOTAL(9,J21)</f>
        <v>554.85</v>
      </c>
      <c r="Q21" s="95"/>
      <c r="R21" s="95"/>
      <c r="S21" s="72">
        <f t="shared" si="6"/>
        <v>177.9759</v>
      </c>
      <c r="T21" s="72"/>
      <c r="U21" s="72">
        <f t="shared" si="7"/>
        <v>4.35</v>
      </c>
      <c r="V21" s="72"/>
      <c r="W21" s="72"/>
      <c r="X21" s="72">
        <f t="shared" si="0"/>
        <v>182.3259</v>
      </c>
      <c r="Y21" s="85">
        <f t="shared" si="8"/>
        <v>45.158394</v>
      </c>
      <c r="Z21" s="85"/>
      <c r="AA21" s="85">
        <f t="shared" si="9"/>
        <v>0.497118</v>
      </c>
      <c r="AB21" s="85">
        <f t="shared" si="1"/>
        <v>45.655512</v>
      </c>
      <c r="AC21" s="86">
        <v>7.27</v>
      </c>
      <c r="AD21" s="72">
        <f t="shared" si="2"/>
        <v>331.91557224</v>
      </c>
      <c r="AE21" s="72">
        <f t="shared" si="3"/>
        <v>514.24147224</v>
      </c>
      <c r="AF21" s="72">
        <f t="shared" si="4"/>
        <v>40.60852776</v>
      </c>
    </row>
    <row r="22" s="2" customFormat="1" spans="1:32">
      <c r="A22" s="20"/>
      <c r="B22" s="21"/>
      <c r="C22" s="112">
        <v>240929000053</v>
      </c>
      <c r="D22" s="23">
        <v>45564</v>
      </c>
      <c r="E22" s="23" t="s">
        <v>82</v>
      </c>
      <c r="F22" s="21" t="s">
        <v>83</v>
      </c>
      <c r="G22" s="21" t="s">
        <v>96</v>
      </c>
      <c r="H22" s="88">
        <v>2.4883</v>
      </c>
      <c r="I22" s="88">
        <v>449.5</v>
      </c>
      <c r="J22" s="42">
        <v>5086.06</v>
      </c>
      <c r="K22" s="86"/>
      <c r="L22" s="44"/>
      <c r="M22" s="45"/>
      <c r="N22" s="92"/>
      <c r="O22" s="21"/>
      <c r="P22" s="48">
        <f>SUBTOTAL(9,J22)</f>
        <v>5086.06</v>
      </c>
      <c r="Q22" s="96"/>
      <c r="R22" s="96"/>
      <c r="S22" s="72">
        <f t="shared" si="6"/>
        <v>1497.15156176471</v>
      </c>
      <c r="T22" s="72"/>
      <c r="U22" s="72">
        <f t="shared" si="7"/>
        <v>36.5926470588235</v>
      </c>
      <c r="V22" s="72"/>
      <c r="W22" s="72"/>
      <c r="X22" s="72">
        <f t="shared" si="0"/>
        <v>1533.74420882353</v>
      </c>
      <c r="Y22" s="85">
        <f t="shared" si="8"/>
        <v>379.877051352941</v>
      </c>
      <c r="Z22" s="85"/>
      <c r="AA22" s="85">
        <f t="shared" si="9"/>
        <v>4.18180770588235</v>
      </c>
      <c r="AB22" s="85">
        <f t="shared" si="1"/>
        <v>384.058859058824</v>
      </c>
      <c r="AC22" s="86">
        <v>7.27</v>
      </c>
      <c r="AD22" s="72">
        <f t="shared" si="2"/>
        <v>2792.10790535765</v>
      </c>
      <c r="AE22" s="72">
        <f t="shared" si="3"/>
        <v>4325.85211418118</v>
      </c>
      <c r="AF22" s="72">
        <f t="shared" si="4"/>
        <v>760.207885818821</v>
      </c>
    </row>
    <row r="23" ht="15.75" spans="1:32">
      <c r="A23" s="25" t="s">
        <v>26</v>
      </c>
      <c r="B23" s="26"/>
      <c r="C23" s="26"/>
      <c r="D23" s="26"/>
      <c r="E23" s="26"/>
      <c r="F23" s="26"/>
      <c r="G23" s="26"/>
      <c r="H23" s="26"/>
      <c r="I23" s="49"/>
      <c r="J23" s="26">
        <f>SUM(J4:J4)</f>
        <v>0</v>
      </c>
      <c r="K23" s="50"/>
      <c r="L23" s="51"/>
      <c r="M23" s="50"/>
      <c r="N23" s="50">
        <f t="shared" ref="N23:Q23" si="10">SUM(N4:N4)</f>
        <v>0</v>
      </c>
      <c r="O23" s="26"/>
      <c r="P23" s="26">
        <f t="shared" si="10"/>
        <v>0</v>
      </c>
      <c r="Q23" s="26">
        <f t="shared" si="10"/>
        <v>0</v>
      </c>
      <c r="R23" s="26"/>
      <c r="S23" s="26"/>
      <c r="T23" s="26"/>
      <c r="U23" s="26"/>
      <c r="V23" s="26"/>
      <c r="W23" s="26"/>
      <c r="X23" s="73">
        <f>SUM(X4:X4)</f>
        <v>0</v>
      </c>
      <c r="Y23" s="51"/>
      <c r="Z23" s="51"/>
      <c r="AA23" s="51"/>
      <c r="AB23" s="51"/>
      <c r="AC23" s="50"/>
      <c r="AD23" s="26">
        <f>SUM(AD4:AD4)</f>
        <v>0</v>
      </c>
      <c r="AE23" s="26"/>
      <c r="AF23" s="87">
        <f>SUM(AF4:AF22)</f>
        <v>-2488.99011443522</v>
      </c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  <row r="39" customFormat="1" spans="4:32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  <c r="AF39" s="8"/>
    </row>
  </sheetData>
  <autoFilter xmlns:etc="http://www.wps.cn/officeDocument/2017/etCustomData" ref="A3:AF23" etc:filterBottomFollowUsedRange="0">
    <extLst/>
  </autoFilter>
  <mergeCells count="21">
    <mergeCell ref="A1:AF1"/>
    <mergeCell ref="J3:P3"/>
    <mergeCell ref="R3:V3"/>
    <mergeCell ref="Y3:AD3"/>
    <mergeCell ref="A3:A4"/>
    <mergeCell ref="A5:A22"/>
    <mergeCell ref="B3:B4"/>
    <mergeCell ref="B5:B22"/>
    <mergeCell ref="C3:C4"/>
    <mergeCell ref="D3:D4"/>
    <mergeCell ref="E3:E4"/>
    <mergeCell ref="F3:F4"/>
    <mergeCell ref="G3:G4"/>
    <mergeCell ref="H3:H4"/>
    <mergeCell ref="I3:I4"/>
    <mergeCell ref="Q3:Q4"/>
    <mergeCell ref="Q5:Q22"/>
    <mergeCell ref="R5:R22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4"/>
    </row>
    <row r="2" customFormat="1" ht="31" customHeight="1" spans="1:32">
      <c r="A2" s="98" t="s">
        <v>144</v>
      </c>
      <c r="B2" s="98" t="s">
        <v>145</v>
      </c>
      <c r="C2" s="98">
        <v>70.028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5" t="s">
        <v>39</v>
      </c>
      <c r="Z3" s="75"/>
      <c r="AA3" s="75"/>
      <c r="AB3" s="75"/>
      <c r="AC3" s="76"/>
      <c r="AD3" s="75"/>
      <c r="AE3" s="77" t="s">
        <v>40</v>
      </c>
      <c r="AF3" s="78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9" t="s">
        <v>53</v>
      </c>
      <c r="Z4" s="79" t="s">
        <v>54</v>
      </c>
      <c r="AA4" s="79" t="s">
        <v>55</v>
      </c>
      <c r="AB4" s="80" t="s">
        <v>56</v>
      </c>
      <c r="AC4" s="81" t="s">
        <v>57</v>
      </c>
      <c r="AD4" s="82" t="s">
        <v>47</v>
      </c>
      <c r="AE4" s="83" t="s">
        <v>58</v>
      </c>
      <c r="AF4" s="84"/>
    </row>
    <row r="5" s="2" customFormat="1" spans="1:32">
      <c r="A5" s="105" t="s">
        <v>14</v>
      </c>
      <c r="B5" s="106" t="s">
        <v>15</v>
      </c>
      <c r="C5" s="22">
        <v>240926000039</v>
      </c>
      <c r="D5" s="23">
        <v>45583</v>
      </c>
      <c r="E5" s="23" t="s">
        <v>74</v>
      </c>
      <c r="F5" s="106" t="s">
        <v>74</v>
      </c>
      <c r="G5" s="106" t="s">
        <v>77</v>
      </c>
      <c r="H5" s="107">
        <v>0.3</v>
      </c>
      <c r="I5" s="107">
        <v>65</v>
      </c>
      <c r="J5" s="42">
        <v>772</v>
      </c>
      <c r="K5" s="86"/>
      <c r="L5" s="108"/>
      <c r="M5" s="45"/>
      <c r="N5" s="99"/>
      <c r="O5" s="21"/>
      <c r="P5" s="48">
        <f t="shared" ref="P5:P9" si="0">SUBTOTAL(9,J5)</f>
        <v>772</v>
      </c>
      <c r="Q5" s="93">
        <f>SUM(P5:P25)</f>
        <v>135484.8624727</v>
      </c>
      <c r="R5" s="94" t="s">
        <v>116</v>
      </c>
      <c r="S5" s="72">
        <f>SUM(41706/68)*H5</f>
        <v>183.997058823529</v>
      </c>
      <c r="T5" s="72">
        <f>SUM(99.72/68)*H5</f>
        <v>0.439941176470588</v>
      </c>
      <c r="U5" s="72">
        <f>SUM(1500/68)*H5</f>
        <v>6.61764705882353</v>
      </c>
      <c r="V5" s="72"/>
      <c r="W5" s="72"/>
      <c r="X5" s="72">
        <f t="shared" ref="X5:X47" si="1">SUM(S5:W5)</f>
        <v>191.054647058824</v>
      </c>
      <c r="Y5" s="85">
        <f>SUM(10523.89/68)*H5</f>
        <v>46.4289264705882</v>
      </c>
      <c r="Z5" s="97">
        <v>14.39</v>
      </c>
      <c r="AA5" s="85"/>
      <c r="AB5" s="85">
        <f t="shared" ref="AB5:AB47" si="2">SUM(Y5:AA5)</f>
        <v>60.8189264705882</v>
      </c>
      <c r="AC5" s="86">
        <v>7.28</v>
      </c>
      <c r="AD5" s="72">
        <f t="shared" ref="AD5:AD47" si="3">SUM(AB5*AC5)</f>
        <v>442.761784705882</v>
      </c>
      <c r="AE5" s="72">
        <f t="shared" ref="AE5:AE47" si="4">SUM(X5+AD5)</f>
        <v>633.816431764706</v>
      </c>
      <c r="AF5" s="72">
        <f t="shared" ref="AF5:AF47" si="5">SUM(P5-AE5)</f>
        <v>138.183568235294</v>
      </c>
    </row>
    <row r="6" s="2" customFormat="1" spans="1:32">
      <c r="A6" s="105"/>
      <c r="B6" s="106"/>
      <c r="C6" s="22">
        <v>240926000032</v>
      </c>
      <c r="D6" s="23">
        <v>45580</v>
      </c>
      <c r="E6" s="23" t="s">
        <v>63</v>
      </c>
      <c r="F6" s="106" t="s">
        <v>64</v>
      </c>
      <c r="G6" s="106" t="s">
        <v>106</v>
      </c>
      <c r="H6" s="107">
        <v>7.5159</v>
      </c>
      <c r="I6" s="107">
        <v>6108</v>
      </c>
      <c r="J6" s="42">
        <v>15370</v>
      </c>
      <c r="K6" s="86"/>
      <c r="L6" s="108"/>
      <c r="M6" s="45"/>
      <c r="N6" s="99"/>
      <c r="O6" s="21"/>
      <c r="P6" s="48">
        <f t="shared" si="0"/>
        <v>15370</v>
      </c>
      <c r="Q6" s="95"/>
      <c r="R6" s="95"/>
      <c r="S6" s="72">
        <f t="shared" ref="S6:S25" si="6">SUM(41706/68)*H6</f>
        <v>4609.67831470588</v>
      </c>
      <c r="T6" s="72">
        <f t="shared" ref="T6:T25" si="7">SUM(99.72/68)*H6</f>
        <v>11.0218462941176</v>
      </c>
      <c r="U6" s="72">
        <f t="shared" ref="U6:U25" si="8">SUM(1500/68)*H6</f>
        <v>165.791911764706</v>
      </c>
      <c r="V6" s="72"/>
      <c r="W6" s="72"/>
      <c r="X6" s="72">
        <f t="shared" si="1"/>
        <v>4786.49207276471</v>
      </c>
      <c r="Y6" s="85">
        <f t="shared" ref="Y6:Y25" si="9">SUM(10523.89/68)*H6</f>
        <v>1163.18389486765</v>
      </c>
      <c r="Z6" s="85"/>
      <c r="AA6" s="85"/>
      <c r="AB6" s="85">
        <f t="shared" si="2"/>
        <v>1163.18389486765</v>
      </c>
      <c r="AC6" s="86">
        <v>7.28</v>
      </c>
      <c r="AD6" s="72">
        <f t="shared" si="3"/>
        <v>8467.97875463647</v>
      </c>
      <c r="AE6" s="72">
        <f t="shared" si="4"/>
        <v>13254.4708274012</v>
      </c>
      <c r="AF6" s="72">
        <f t="shared" si="5"/>
        <v>2115.5291725988</v>
      </c>
    </row>
    <row r="7" s="2" customFormat="1" spans="1:32">
      <c r="A7" s="105"/>
      <c r="B7" s="106"/>
      <c r="C7" s="22">
        <v>241008000045</v>
      </c>
      <c r="D7" s="23">
        <v>45580</v>
      </c>
      <c r="E7" s="23" t="s">
        <v>63</v>
      </c>
      <c r="F7" s="106" t="s">
        <v>64</v>
      </c>
      <c r="G7" s="106" t="s">
        <v>117</v>
      </c>
      <c r="H7" s="107">
        <v>1.3298</v>
      </c>
      <c r="I7" s="107">
        <v>142</v>
      </c>
      <c r="J7" s="42">
        <v>2841</v>
      </c>
      <c r="K7" s="86"/>
      <c r="L7" s="108"/>
      <c r="M7" s="45"/>
      <c r="N7" s="99"/>
      <c r="O7" s="21"/>
      <c r="P7" s="48">
        <f t="shared" si="0"/>
        <v>2841</v>
      </c>
      <c r="Q7" s="95"/>
      <c r="R7" s="95"/>
      <c r="S7" s="72">
        <f t="shared" si="6"/>
        <v>815.597629411765</v>
      </c>
      <c r="T7" s="72">
        <f t="shared" si="7"/>
        <v>1.95011258823529</v>
      </c>
      <c r="U7" s="72">
        <f t="shared" si="8"/>
        <v>29.3338235294118</v>
      </c>
      <c r="V7" s="72"/>
      <c r="W7" s="72"/>
      <c r="X7" s="72">
        <f t="shared" si="1"/>
        <v>846.881565529412</v>
      </c>
      <c r="Y7" s="85">
        <f t="shared" si="9"/>
        <v>205.803954735294</v>
      </c>
      <c r="Z7" s="85"/>
      <c r="AA7" s="85"/>
      <c r="AB7" s="85">
        <f t="shared" si="2"/>
        <v>205.803954735294</v>
      </c>
      <c r="AC7" s="86">
        <v>7.28</v>
      </c>
      <c r="AD7" s="72">
        <f t="shared" si="3"/>
        <v>1498.25279047294</v>
      </c>
      <c r="AE7" s="72">
        <f t="shared" si="4"/>
        <v>2345.13435600235</v>
      </c>
      <c r="AF7" s="72">
        <f t="shared" si="5"/>
        <v>495.86564399765</v>
      </c>
    </row>
    <row r="8" s="2" customFormat="1" spans="1:32">
      <c r="A8" s="105"/>
      <c r="B8" s="106"/>
      <c r="C8" s="22">
        <v>240927000028</v>
      </c>
      <c r="D8" s="23">
        <v>45583</v>
      </c>
      <c r="E8" s="23" t="s">
        <v>59</v>
      </c>
      <c r="F8" s="106" t="s">
        <v>60</v>
      </c>
      <c r="G8" s="106" t="s">
        <v>61</v>
      </c>
      <c r="H8" s="107">
        <v>1.7904</v>
      </c>
      <c r="I8" s="107">
        <v>1841</v>
      </c>
      <c r="J8" s="42">
        <v>5660.38</v>
      </c>
      <c r="K8" s="86"/>
      <c r="L8" s="108"/>
      <c r="M8" s="45"/>
      <c r="N8" s="99"/>
      <c r="O8" s="21"/>
      <c r="P8" s="48">
        <f t="shared" si="0"/>
        <v>5660.38</v>
      </c>
      <c r="Q8" s="95"/>
      <c r="R8" s="95"/>
      <c r="S8" s="72">
        <f t="shared" si="6"/>
        <v>1098.09444705882</v>
      </c>
      <c r="T8" s="72">
        <f t="shared" si="7"/>
        <v>2.62556894117647</v>
      </c>
      <c r="U8" s="72">
        <f t="shared" si="8"/>
        <v>39.4941176470588</v>
      </c>
      <c r="V8" s="104">
        <v>450</v>
      </c>
      <c r="W8" s="72"/>
      <c r="X8" s="72">
        <f t="shared" si="1"/>
        <v>1590.21413364706</v>
      </c>
      <c r="Y8" s="85">
        <f t="shared" si="9"/>
        <v>277.087833176471</v>
      </c>
      <c r="Z8" s="97">
        <v>68</v>
      </c>
      <c r="AA8" s="85"/>
      <c r="AB8" s="85">
        <f t="shared" si="2"/>
        <v>345.087833176471</v>
      </c>
      <c r="AC8" s="86">
        <v>7.28</v>
      </c>
      <c r="AD8" s="72">
        <f t="shared" si="3"/>
        <v>2512.23942552471</v>
      </c>
      <c r="AE8" s="72">
        <f t="shared" si="4"/>
        <v>4102.45355917176</v>
      </c>
      <c r="AF8" s="72">
        <f t="shared" si="5"/>
        <v>1557.92644082824</v>
      </c>
    </row>
    <row r="9" s="2" customFormat="1" spans="1:32">
      <c r="A9" s="105"/>
      <c r="B9" s="106"/>
      <c r="C9" s="22">
        <v>241008000110</v>
      </c>
      <c r="D9" s="23">
        <v>45583</v>
      </c>
      <c r="E9" s="23" t="s">
        <v>74</v>
      </c>
      <c r="F9" s="106" t="s">
        <v>74</v>
      </c>
      <c r="G9" s="106" t="s">
        <v>118</v>
      </c>
      <c r="H9" s="107">
        <v>0.1724</v>
      </c>
      <c r="I9" s="107">
        <v>432</v>
      </c>
      <c r="J9" s="42">
        <v>1396.56</v>
      </c>
      <c r="K9" s="86"/>
      <c r="L9" s="108"/>
      <c r="M9" s="45"/>
      <c r="N9" s="99"/>
      <c r="O9" s="21"/>
      <c r="P9" s="48">
        <f t="shared" si="0"/>
        <v>1396.56</v>
      </c>
      <c r="Q9" s="95"/>
      <c r="R9" s="95"/>
      <c r="S9" s="72">
        <f t="shared" si="6"/>
        <v>105.736976470588</v>
      </c>
      <c r="T9" s="72">
        <f t="shared" si="7"/>
        <v>0.252819529411765</v>
      </c>
      <c r="U9" s="72">
        <f t="shared" si="8"/>
        <v>3.80294117647059</v>
      </c>
      <c r="V9" s="72"/>
      <c r="W9" s="72"/>
      <c r="X9" s="72">
        <f t="shared" si="1"/>
        <v>109.792737176471</v>
      </c>
      <c r="Y9" s="85">
        <f t="shared" si="9"/>
        <v>26.6811564117647</v>
      </c>
      <c r="Z9" s="85"/>
      <c r="AA9" s="85"/>
      <c r="AB9" s="85">
        <f t="shared" si="2"/>
        <v>26.6811564117647</v>
      </c>
      <c r="AC9" s="86">
        <v>7.28</v>
      </c>
      <c r="AD9" s="72">
        <f t="shared" si="3"/>
        <v>194.238818677647</v>
      </c>
      <c r="AE9" s="72">
        <f t="shared" si="4"/>
        <v>304.031555854118</v>
      </c>
      <c r="AF9" s="72">
        <f t="shared" si="5"/>
        <v>1092.52844414588</v>
      </c>
    </row>
    <row r="10" s="2" customFormat="1" spans="1:32">
      <c r="A10" s="105"/>
      <c r="B10" s="106"/>
      <c r="C10" s="22">
        <v>241005000007</v>
      </c>
      <c r="D10" s="23">
        <v>45580</v>
      </c>
      <c r="E10" s="23" t="s">
        <v>63</v>
      </c>
      <c r="F10" s="106" t="s">
        <v>64</v>
      </c>
      <c r="G10" s="106" t="s">
        <v>66</v>
      </c>
      <c r="H10" s="107">
        <v>1.7287</v>
      </c>
      <c r="I10" s="107">
        <v>674.73</v>
      </c>
      <c r="J10" s="109"/>
      <c r="K10" s="90">
        <v>797943.5</v>
      </c>
      <c r="L10" s="108"/>
      <c r="M10" s="45">
        <f t="shared" ref="M10:M19" si="10">SUM(K10/N10)</f>
        <v>1679.17403198653</v>
      </c>
      <c r="N10" s="46">
        <v>475.2</v>
      </c>
      <c r="O10" s="21">
        <v>7.27</v>
      </c>
      <c r="P10" s="48">
        <f t="shared" ref="P10:P19" si="11">SUM(N10*O10)</f>
        <v>3454.704</v>
      </c>
      <c r="Q10" s="95"/>
      <c r="R10" s="95"/>
      <c r="S10" s="72">
        <f t="shared" si="6"/>
        <v>1060.25238529412</v>
      </c>
      <c r="T10" s="72">
        <f t="shared" si="7"/>
        <v>2.53508770588235</v>
      </c>
      <c r="U10" s="72">
        <f t="shared" si="8"/>
        <v>38.1330882352941</v>
      </c>
      <c r="V10" s="72"/>
      <c r="W10" s="72"/>
      <c r="X10" s="72">
        <f t="shared" si="1"/>
        <v>1100.92056123529</v>
      </c>
      <c r="Y10" s="85">
        <f t="shared" si="9"/>
        <v>267.538950632353</v>
      </c>
      <c r="Z10" s="85"/>
      <c r="AA10" s="85"/>
      <c r="AB10" s="85">
        <f t="shared" si="2"/>
        <v>267.538950632353</v>
      </c>
      <c r="AC10" s="86">
        <v>7.28</v>
      </c>
      <c r="AD10" s="72">
        <f t="shared" si="3"/>
        <v>1947.68356060353</v>
      </c>
      <c r="AE10" s="72">
        <f t="shared" si="4"/>
        <v>3048.60412183882</v>
      </c>
      <c r="AF10" s="72">
        <f t="shared" si="5"/>
        <v>406.09987816118</v>
      </c>
    </row>
    <row r="11" s="2" customFormat="1" spans="1:32">
      <c r="A11" s="105"/>
      <c r="B11" s="106"/>
      <c r="C11" s="22">
        <v>241009000019</v>
      </c>
      <c r="D11" s="23">
        <v>45583</v>
      </c>
      <c r="E11" s="23" t="s">
        <v>63</v>
      </c>
      <c r="F11" s="106" t="s">
        <v>64</v>
      </c>
      <c r="G11" s="106" t="s">
        <v>119</v>
      </c>
      <c r="H11" s="107">
        <v>0.7338</v>
      </c>
      <c r="I11" s="107">
        <v>73</v>
      </c>
      <c r="J11" s="42">
        <v>1502.2</v>
      </c>
      <c r="K11" s="86"/>
      <c r="L11" s="108"/>
      <c r="M11" s="45"/>
      <c r="N11" s="99"/>
      <c r="O11" s="21"/>
      <c r="P11" s="48">
        <f t="shared" ref="P11:P13" si="12">SUBTOTAL(9,J11)</f>
        <v>1502.2</v>
      </c>
      <c r="Q11" s="95"/>
      <c r="R11" s="95"/>
      <c r="S11" s="72">
        <f t="shared" si="6"/>
        <v>450.056805882353</v>
      </c>
      <c r="T11" s="72">
        <f t="shared" si="7"/>
        <v>1.07609611764706</v>
      </c>
      <c r="U11" s="72">
        <f t="shared" si="8"/>
        <v>16.1867647058824</v>
      </c>
      <c r="V11" s="72"/>
      <c r="W11" s="72"/>
      <c r="X11" s="72">
        <f t="shared" si="1"/>
        <v>467.319666705882</v>
      </c>
      <c r="Y11" s="85">
        <f t="shared" si="9"/>
        <v>113.565154147059</v>
      </c>
      <c r="Z11" s="97">
        <v>3.45</v>
      </c>
      <c r="AA11" s="85"/>
      <c r="AB11" s="85">
        <f t="shared" si="2"/>
        <v>117.015154147059</v>
      </c>
      <c r="AC11" s="86">
        <v>7.28</v>
      </c>
      <c r="AD11" s="72">
        <f t="shared" si="3"/>
        <v>851.870322190588</v>
      </c>
      <c r="AE11" s="72">
        <f t="shared" si="4"/>
        <v>1319.18998889647</v>
      </c>
      <c r="AF11" s="72">
        <f t="shared" si="5"/>
        <v>183.01001110353</v>
      </c>
    </row>
    <row r="12" s="2" customFormat="1" spans="1:32">
      <c r="A12" s="105"/>
      <c r="B12" s="106"/>
      <c r="C12" s="22">
        <v>241009000033</v>
      </c>
      <c r="D12" s="23">
        <v>45583</v>
      </c>
      <c r="E12" s="23" t="s">
        <v>82</v>
      </c>
      <c r="F12" s="106" t="s">
        <v>83</v>
      </c>
      <c r="G12" s="106" t="s">
        <v>88</v>
      </c>
      <c r="H12" s="111">
        <v>5.69</v>
      </c>
      <c r="I12" s="107">
        <v>3984</v>
      </c>
      <c r="J12" s="42">
        <v>9968.88</v>
      </c>
      <c r="K12" s="86"/>
      <c r="L12" s="108"/>
      <c r="M12" s="45"/>
      <c r="N12" s="99"/>
      <c r="O12" s="21"/>
      <c r="P12" s="48">
        <f t="shared" si="12"/>
        <v>9968.88</v>
      </c>
      <c r="Q12" s="95"/>
      <c r="R12" s="95"/>
      <c r="S12" s="72">
        <f t="shared" si="6"/>
        <v>3489.81088235294</v>
      </c>
      <c r="T12" s="72">
        <f t="shared" si="7"/>
        <v>8.34421764705882</v>
      </c>
      <c r="U12" s="72">
        <f t="shared" si="8"/>
        <v>125.514705882353</v>
      </c>
      <c r="V12" s="72"/>
      <c r="W12" s="72"/>
      <c r="X12" s="72">
        <f t="shared" si="1"/>
        <v>3623.66980588235</v>
      </c>
      <c r="Y12" s="85">
        <f t="shared" si="9"/>
        <v>880.601972058824</v>
      </c>
      <c r="Z12" s="85"/>
      <c r="AA12" s="85"/>
      <c r="AB12" s="85">
        <f t="shared" si="2"/>
        <v>880.601972058824</v>
      </c>
      <c r="AC12" s="86">
        <v>7.28</v>
      </c>
      <c r="AD12" s="72">
        <f t="shared" si="3"/>
        <v>6410.78235658824</v>
      </c>
      <c r="AE12" s="72">
        <f t="shared" si="4"/>
        <v>10034.4521624706</v>
      </c>
      <c r="AF12" s="72">
        <f t="shared" si="5"/>
        <v>-65.5721624706002</v>
      </c>
    </row>
    <row r="13" s="2" customFormat="1" spans="1:32">
      <c r="A13" s="105"/>
      <c r="B13" s="106"/>
      <c r="C13" s="22">
        <v>241010000022</v>
      </c>
      <c r="D13" s="23">
        <v>45583</v>
      </c>
      <c r="E13" s="23" t="s">
        <v>109</v>
      </c>
      <c r="F13" s="106" t="s">
        <v>110</v>
      </c>
      <c r="G13" s="106" t="s">
        <v>120</v>
      </c>
      <c r="H13" s="107">
        <v>5.5556</v>
      </c>
      <c r="I13" s="107">
        <v>5276</v>
      </c>
      <c r="J13" s="42">
        <v>16400</v>
      </c>
      <c r="K13" s="86"/>
      <c r="L13" s="108"/>
      <c r="M13" s="45"/>
      <c r="N13" s="99"/>
      <c r="O13" s="21"/>
      <c r="P13" s="48">
        <f t="shared" si="12"/>
        <v>16400</v>
      </c>
      <c r="Q13" s="95"/>
      <c r="R13" s="95"/>
      <c r="S13" s="72">
        <f t="shared" si="6"/>
        <v>3407.3802</v>
      </c>
      <c r="T13" s="72">
        <f t="shared" si="7"/>
        <v>8.147124</v>
      </c>
      <c r="U13" s="72">
        <f t="shared" si="8"/>
        <v>122.55</v>
      </c>
      <c r="V13" s="72"/>
      <c r="W13" s="72"/>
      <c r="X13" s="72">
        <f t="shared" si="1"/>
        <v>3538.077324</v>
      </c>
      <c r="Y13" s="85">
        <f t="shared" si="9"/>
        <v>859.801813</v>
      </c>
      <c r="Z13" s="97">
        <v>138.17</v>
      </c>
      <c r="AA13" s="85"/>
      <c r="AB13" s="85">
        <f t="shared" si="2"/>
        <v>997.971813</v>
      </c>
      <c r="AC13" s="86">
        <v>7.28</v>
      </c>
      <c r="AD13" s="72">
        <f t="shared" si="3"/>
        <v>7265.23479864</v>
      </c>
      <c r="AE13" s="72">
        <f t="shared" si="4"/>
        <v>10803.31212264</v>
      </c>
      <c r="AF13" s="72">
        <f t="shared" si="5"/>
        <v>5596.68787736</v>
      </c>
    </row>
    <row r="14" s="2" customFormat="1" spans="1:32">
      <c r="A14" s="105"/>
      <c r="B14" s="106"/>
      <c r="C14" s="22">
        <v>241012000025</v>
      </c>
      <c r="D14" s="23">
        <v>45583</v>
      </c>
      <c r="E14" s="23" t="s">
        <v>59</v>
      </c>
      <c r="F14" s="106" t="s">
        <v>60</v>
      </c>
      <c r="G14" s="106" t="s">
        <v>121</v>
      </c>
      <c r="H14" s="107">
        <v>0.9445</v>
      </c>
      <c r="I14" s="107">
        <v>434</v>
      </c>
      <c r="J14" s="109"/>
      <c r="K14" s="90">
        <v>559350</v>
      </c>
      <c r="L14" s="108"/>
      <c r="M14" s="45">
        <f t="shared" si="10"/>
        <v>1650</v>
      </c>
      <c r="N14" s="46">
        <v>339</v>
      </c>
      <c r="O14" s="21">
        <v>7.29</v>
      </c>
      <c r="P14" s="48">
        <f t="shared" si="11"/>
        <v>2471.31</v>
      </c>
      <c r="Q14" s="95"/>
      <c r="R14" s="95"/>
      <c r="S14" s="72">
        <f t="shared" si="6"/>
        <v>579.284073529412</v>
      </c>
      <c r="T14" s="72">
        <f t="shared" si="7"/>
        <v>1.38508147058824</v>
      </c>
      <c r="U14" s="72">
        <f t="shared" si="8"/>
        <v>20.8345588235294</v>
      </c>
      <c r="V14" s="72"/>
      <c r="W14" s="72"/>
      <c r="X14" s="72">
        <f t="shared" si="1"/>
        <v>601.503713823529</v>
      </c>
      <c r="Y14" s="85">
        <f t="shared" si="9"/>
        <v>146.173736838235</v>
      </c>
      <c r="Z14" s="85"/>
      <c r="AA14" s="85"/>
      <c r="AB14" s="85">
        <f t="shared" si="2"/>
        <v>146.173736838235</v>
      </c>
      <c r="AC14" s="86">
        <v>7.28</v>
      </c>
      <c r="AD14" s="72">
        <f t="shared" si="3"/>
        <v>1064.14480418235</v>
      </c>
      <c r="AE14" s="72">
        <f t="shared" si="4"/>
        <v>1665.64851800588</v>
      </c>
      <c r="AF14" s="72">
        <f t="shared" si="5"/>
        <v>805.66148199412</v>
      </c>
    </row>
    <row r="15" s="2" customFormat="1" spans="1:32">
      <c r="A15" s="105"/>
      <c r="B15" s="106"/>
      <c r="C15" s="22">
        <v>241012000031</v>
      </c>
      <c r="D15" s="23">
        <v>45583</v>
      </c>
      <c r="E15" s="23" t="s">
        <v>63</v>
      </c>
      <c r="F15" s="106" t="s">
        <v>64</v>
      </c>
      <c r="G15" s="106" t="s">
        <v>122</v>
      </c>
      <c r="H15" s="107">
        <v>2.0788</v>
      </c>
      <c r="I15" s="107">
        <v>174</v>
      </c>
      <c r="J15" s="109"/>
      <c r="K15" s="90">
        <v>1322400</v>
      </c>
      <c r="L15" s="108"/>
      <c r="M15" s="45">
        <f t="shared" si="10"/>
        <v>1675.81199072373</v>
      </c>
      <c r="N15" s="46">
        <v>789.11</v>
      </c>
      <c r="O15" s="21">
        <v>7.29</v>
      </c>
      <c r="P15" s="48">
        <f t="shared" si="11"/>
        <v>5752.6119</v>
      </c>
      <c r="Q15" s="95"/>
      <c r="R15" s="95"/>
      <c r="S15" s="72">
        <f t="shared" si="6"/>
        <v>1274.97695294118</v>
      </c>
      <c r="T15" s="72">
        <f t="shared" si="7"/>
        <v>3.04849905882353</v>
      </c>
      <c r="U15" s="72">
        <f t="shared" si="8"/>
        <v>45.8558823529412</v>
      </c>
      <c r="V15" s="104">
        <v>240</v>
      </c>
      <c r="W15" s="72"/>
      <c r="X15" s="72">
        <f t="shared" si="1"/>
        <v>1563.88133435294</v>
      </c>
      <c r="Y15" s="85">
        <f t="shared" si="9"/>
        <v>321.721507823529</v>
      </c>
      <c r="Z15" s="85"/>
      <c r="AA15" s="85"/>
      <c r="AB15" s="85">
        <f t="shared" si="2"/>
        <v>321.721507823529</v>
      </c>
      <c r="AC15" s="86">
        <v>7.28</v>
      </c>
      <c r="AD15" s="72">
        <f t="shared" si="3"/>
        <v>2342.13257695529</v>
      </c>
      <c r="AE15" s="72">
        <f t="shared" si="4"/>
        <v>3906.01391130824</v>
      </c>
      <c r="AF15" s="72">
        <f t="shared" si="5"/>
        <v>1846.59798869176</v>
      </c>
    </row>
    <row r="16" s="2" customFormat="1" spans="1:32">
      <c r="A16" s="105"/>
      <c r="B16" s="106"/>
      <c r="C16" s="22">
        <v>241014000064</v>
      </c>
      <c r="D16" s="23">
        <v>45583</v>
      </c>
      <c r="E16" s="23" t="s">
        <v>90</v>
      </c>
      <c r="F16" s="106" t="s">
        <v>91</v>
      </c>
      <c r="G16" s="106" t="s">
        <v>112</v>
      </c>
      <c r="H16" s="107">
        <v>0.1024</v>
      </c>
      <c r="I16" s="107">
        <v>35</v>
      </c>
      <c r="J16" s="110"/>
      <c r="K16" s="90">
        <v>71551</v>
      </c>
      <c r="L16" s="108"/>
      <c r="M16" s="45">
        <f t="shared" si="10"/>
        <v>1690.31419796834</v>
      </c>
      <c r="N16" s="91">
        <v>42.33</v>
      </c>
      <c r="O16" s="21">
        <v>7.27</v>
      </c>
      <c r="P16" s="48">
        <f t="shared" si="11"/>
        <v>307.7391</v>
      </c>
      <c r="Q16" s="95"/>
      <c r="R16" s="95"/>
      <c r="S16" s="72">
        <f t="shared" si="6"/>
        <v>62.8043294117647</v>
      </c>
      <c r="T16" s="72">
        <f t="shared" si="7"/>
        <v>0.150166588235294</v>
      </c>
      <c r="U16" s="72">
        <f t="shared" si="8"/>
        <v>2.25882352941176</v>
      </c>
      <c r="V16" s="72"/>
      <c r="W16" s="72"/>
      <c r="X16" s="72">
        <f t="shared" si="1"/>
        <v>65.2133195294118</v>
      </c>
      <c r="Y16" s="85">
        <f t="shared" si="9"/>
        <v>15.8477402352941</v>
      </c>
      <c r="Z16" s="85"/>
      <c r="AA16" s="85"/>
      <c r="AB16" s="85">
        <f t="shared" si="2"/>
        <v>15.8477402352941</v>
      </c>
      <c r="AC16" s="86">
        <v>7.28</v>
      </c>
      <c r="AD16" s="72">
        <f t="shared" si="3"/>
        <v>115.371548912941</v>
      </c>
      <c r="AE16" s="72">
        <f t="shared" si="4"/>
        <v>180.584868442353</v>
      </c>
      <c r="AF16" s="72">
        <f t="shared" si="5"/>
        <v>127.154231557647</v>
      </c>
    </row>
    <row r="17" s="2" customFormat="1" spans="1:32">
      <c r="A17" s="105"/>
      <c r="B17" s="106"/>
      <c r="C17" s="22">
        <v>241015000036</v>
      </c>
      <c r="D17" s="23">
        <v>45583</v>
      </c>
      <c r="E17" s="23" t="s">
        <v>85</v>
      </c>
      <c r="F17" s="106" t="s">
        <v>86</v>
      </c>
      <c r="G17" s="106" t="s">
        <v>75</v>
      </c>
      <c r="H17" s="107">
        <v>1.1644</v>
      </c>
      <c r="I17" s="107">
        <v>178</v>
      </c>
      <c r="J17" s="109"/>
      <c r="K17" s="90">
        <v>480476</v>
      </c>
      <c r="L17" s="108"/>
      <c r="M17" s="45">
        <f t="shared" si="10"/>
        <v>1630.99901558098</v>
      </c>
      <c r="N17" s="46">
        <v>294.59</v>
      </c>
      <c r="O17" s="21">
        <v>7.35</v>
      </c>
      <c r="P17" s="48">
        <f t="shared" si="11"/>
        <v>2165.2365</v>
      </c>
      <c r="Q17" s="95"/>
      <c r="R17" s="95"/>
      <c r="S17" s="72">
        <f t="shared" si="6"/>
        <v>714.153917647059</v>
      </c>
      <c r="T17" s="72">
        <f t="shared" si="7"/>
        <v>1.70755835294118</v>
      </c>
      <c r="U17" s="72">
        <f t="shared" si="8"/>
        <v>25.6852941176471</v>
      </c>
      <c r="V17" s="72"/>
      <c r="W17" s="72"/>
      <c r="X17" s="72">
        <f t="shared" si="1"/>
        <v>741.546770117647</v>
      </c>
      <c r="Y17" s="85">
        <f t="shared" si="9"/>
        <v>180.206139941176</v>
      </c>
      <c r="Z17" s="85"/>
      <c r="AA17" s="85"/>
      <c r="AB17" s="85">
        <f t="shared" si="2"/>
        <v>180.206139941176</v>
      </c>
      <c r="AC17" s="86">
        <v>7.28</v>
      </c>
      <c r="AD17" s="72">
        <f t="shared" si="3"/>
        <v>1311.90069877176</v>
      </c>
      <c r="AE17" s="72">
        <f t="shared" si="4"/>
        <v>2053.44746888941</v>
      </c>
      <c r="AF17" s="72">
        <f t="shared" si="5"/>
        <v>111.789031110589</v>
      </c>
    </row>
    <row r="18" s="2" customFormat="1" spans="1:32">
      <c r="A18" s="105"/>
      <c r="B18" s="106"/>
      <c r="C18" s="22">
        <v>241015000037</v>
      </c>
      <c r="D18" s="23">
        <v>45583</v>
      </c>
      <c r="E18" s="23" t="s">
        <v>85</v>
      </c>
      <c r="F18" s="106" t="s">
        <v>86</v>
      </c>
      <c r="G18" s="106" t="s">
        <v>75</v>
      </c>
      <c r="H18" s="107">
        <v>1.8977</v>
      </c>
      <c r="I18" s="107">
        <v>816</v>
      </c>
      <c r="J18" s="109"/>
      <c r="K18" s="90">
        <v>783075</v>
      </c>
      <c r="L18" s="108"/>
      <c r="M18" s="45">
        <f t="shared" si="10"/>
        <v>1630.99850037491</v>
      </c>
      <c r="N18" s="46">
        <v>480.12</v>
      </c>
      <c r="O18" s="21">
        <v>7.35</v>
      </c>
      <c r="P18" s="48">
        <f t="shared" si="11"/>
        <v>3528.882</v>
      </c>
      <c r="Q18" s="95"/>
      <c r="R18" s="95"/>
      <c r="S18" s="72">
        <f t="shared" si="6"/>
        <v>1163.90406176471</v>
      </c>
      <c r="T18" s="72">
        <f t="shared" si="7"/>
        <v>2.78292123529412</v>
      </c>
      <c r="U18" s="72">
        <f t="shared" si="8"/>
        <v>41.8610294117647</v>
      </c>
      <c r="V18" s="72"/>
      <c r="W18" s="72"/>
      <c r="X18" s="72">
        <f t="shared" si="1"/>
        <v>1208.54801241176</v>
      </c>
      <c r="Y18" s="85">
        <f t="shared" si="9"/>
        <v>293.693912544118</v>
      </c>
      <c r="Z18" s="85"/>
      <c r="AA18" s="85"/>
      <c r="AB18" s="85">
        <f t="shared" si="2"/>
        <v>293.693912544118</v>
      </c>
      <c r="AC18" s="86">
        <v>7.28</v>
      </c>
      <c r="AD18" s="72">
        <f t="shared" si="3"/>
        <v>2138.09168332118</v>
      </c>
      <c r="AE18" s="72">
        <f t="shared" si="4"/>
        <v>3346.63969573294</v>
      </c>
      <c r="AF18" s="72">
        <f t="shared" si="5"/>
        <v>182.24230426706</v>
      </c>
    </row>
    <row r="19" s="2" customFormat="1" spans="1:32">
      <c r="A19" s="105"/>
      <c r="B19" s="106"/>
      <c r="C19" s="22">
        <v>241015000040</v>
      </c>
      <c r="D19" s="23">
        <v>45583</v>
      </c>
      <c r="E19" s="23" t="s">
        <v>85</v>
      </c>
      <c r="F19" s="106" t="s">
        <v>86</v>
      </c>
      <c r="G19" s="106" t="s">
        <v>75</v>
      </c>
      <c r="H19" s="107">
        <v>1.7374</v>
      </c>
      <c r="I19" s="107">
        <v>1047</v>
      </c>
      <c r="J19" s="109"/>
      <c r="K19" s="90">
        <v>716971</v>
      </c>
      <c r="L19" s="108"/>
      <c r="M19" s="45">
        <f t="shared" si="10"/>
        <v>1630.99934029437</v>
      </c>
      <c r="N19" s="46">
        <v>439.59</v>
      </c>
      <c r="O19" s="21">
        <v>7.35</v>
      </c>
      <c r="P19" s="48">
        <f t="shared" si="11"/>
        <v>3230.9865</v>
      </c>
      <c r="Q19" s="95"/>
      <c r="R19" s="95"/>
      <c r="S19" s="72">
        <f t="shared" si="6"/>
        <v>1065.5883</v>
      </c>
      <c r="T19" s="72">
        <f t="shared" si="7"/>
        <v>2.547846</v>
      </c>
      <c r="U19" s="72">
        <f t="shared" si="8"/>
        <v>38.325</v>
      </c>
      <c r="V19" s="72"/>
      <c r="W19" s="72"/>
      <c r="X19" s="72">
        <f t="shared" si="1"/>
        <v>1106.461146</v>
      </c>
      <c r="Y19" s="85">
        <f t="shared" si="9"/>
        <v>268.8853895</v>
      </c>
      <c r="Z19" s="85"/>
      <c r="AA19" s="85"/>
      <c r="AB19" s="85">
        <f t="shared" si="2"/>
        <v>268.8853895</v>
      </c>
      <c r="AC19" s="86">
        <v>7.28</v>
      </c>
      <c r="AD19" s="72">
        <f t="shared" si="3"/>
        <v>1957.48563556</v>
      </c>
      <c r="AE19" s="72">
        <f t="shared" si="4"/>
        <v>3063.94678156</v>
      </c>
      <c r="AF19" s="72">
        <f t="shared" si="5"/>
        <v>167.039718439999</v>
      </c>
    </row>
    <row r="20" s="2" customFormat="1" spans="1:32">
      <c r="A20" s="105"/>
      <c r="B20" s="106"/>
      <c r="C20" s="22">
        <v>241015000046</v>
      </c>
      <c r="D20" s="23">
        <v>45583</v>
      </c>
      <c r="E20" s="23" t="s">
        <v>109</v>
      </c>
      <c r="F20" s="106" t="s">
        <v>110</v>
      </c>
      <c r="G20" s="106" t="s">
        <v>123</v>
      </c>
      <c r="H20" s="107">
        <v>0.5175</v>
      </c>
      <c r="I20" s="107">
        <v>333</v>
      </c>
      <c r="J20" s="42">
        <v>1773.41</v>
      </c>
      <c r="K20" s="86"/>
      <c r="L20" s="108"/>
      <c r="M20" s="45"/>
      <c r="N20" s="99"/>
      <c r="O20" s="21"/>
      <c r="P20" s="48">
        <f>SUBTOTAL(9,J20)</f>
        <v>1773.41</v>
      </c>
      <c r="Q20" s="95"/>
      <c r="R20" s="95"/>
      <c r="S20" s="72">
        <f t="shared" si="6"/>
        <v>317.394926470588</v>
      </c>
      <c r="T20" s="72">
        <f t="shared" si="7"/>
        <v>0.758898529411765</v>
      </c>
      <c r="U20" s="72">
        <f t="shared" si="8"/>
        <v>11.4154411764706</v>
      </c>
      <c r="V20" s="72"/>
      <c r="W20" s="72"/>
      <c r="X20" s="72">
        <f t="shared" si="1"/>
        <v>329.569266176471</v>
      </c>
      <c r="Y20" s="85">
        <f t="shared" si="9"/>
        <v>80.0898981617647</v>
      </c>
      <c r="Z20" s="85"/>
      <c r="AA20" s="85"/>
      <c r="AB20" s="85">
        <f t="shared" si="2"/>
        <v>80.0898981617647</v>
      </c>
      <c r="AC20" s="86">
        <v>7.28</v>
      </c>
      <c r="AD20" s="72">
        <f t="shared" si="3"/>
        <v>583.054458617647</v>
      </c>
      <c r="AE20" s="72">
        <f t="shared" si="4"/>
        <v>912.623724794118</v>
      </c>
      <c r="AF20" s="72">
        <f t="shared" si="5"/>
        <v>860.786275205882</v>
      </c>
    </row>
    <row r="21" s="2" customFormat="1" spans="1:32">
      <c r="A21" s="105"/>
      <c r="B21" s="106"/>
      <c r="C21" s="22">
        <v>241016000013</v>
      </c>
      <c r="D21" s="23">
        <v>45583</v>
      </c>
      <c r="E21" s="23" t="s">
        <v>69</v>
      </c>
      <c r="F21" s="106" t="s">
        <v>70</v>
      </c>
      <c r="G21" s="106" t="s">
        <v>80</v>
      </c>
      <c r="H21" s="107">
        <v>0.4631</v>
      </c>
      <c r="I21" s="107">
        <v>128</v>
      </c>
      <c r="J21" s="109"/>
      <c r="K21" s="90">
        <v>239700</v>
      </c>
      <c r="L21" s="108"/>
      <c r="M21" s="45">
        <f>SUM(K21/N21)</f>
        <v>1725.32930252645</v>
      </c>
      <c r="N21" s="46">
        <v>138.93</v>
      </c>
      <c r="O21" s="21">
        <v>7.26</v>
      </c>
      <c r="P21" s="48">
        <f>SUM(N21*O21)</f>
        <v>1008.6318</v>
      </c>
      <c r="Q21" s="95"/>
      <c r="R21" s="95"/>
      <c r="S21" s="72">
        <f t="shared" si="6"/>
        <v>284.030126470588</v>
      </c>
      <c r="T21" s="72">
        <f t="shared" si="7"/>
        <v>0.679122529411765</v>
      </c>
      <c r="U21" s="72">
        <f t="shared" si="8"/>
        <v>10.2154411764706</v>
      </c>
      <c r="V21" s="72"/>
      <c r="W21" s="72"/>
      <c r="X21" s="72">
        <f t="shared" si="1"/>
        <v>294.924690176471</v>
      </c>
      <c r="Y21" s="85">
        <f t="shared" si="9"/>
        <v>71.6707861617647</v>
      </c>
      <c r="Z21" s="85"/>
      <c r="AA21" s="85"/>
      <c r="AB21" s="85">
        <f t="shared" si="2"/>
        <v>71.6707861617647</v>
      </c>
      <c r="AC21" s="86">
        <v>7.28</v>
      </c>
      <c r="AD21" s="72">
        <f t="shared" si="3"/>
        <v>521.763323257647</v>
      </c>
      <c r="AE21" s="72">
        <f t="shared" si="4"/>
        <v>816.688013434118</v>
      </c>
      <c r="AF21" s="72">
        <f t="shared" si="5"/>
        <v>191.943786565882</v>
      </c>
    </row>
    <row r="22" s="2" customFormat="1" spans="1:32">
      <c r="A22" s="105"/>
      <c r="B22" s="106"/>
      <c r="C22" s="22">
        <v>241017000017</v>
      </c>
      <c r="D22" s="23">
        <v>45583</v>
      </c>
      <c r="E22" s="23" t="s">
        <v>69</v>
      </c>
      <c r="F22" s="106" t="s">
        <v>70</v>
      </c>
      <c r="G22" s="106" t="s">
        <v>124</v>
      </c>
      <c r="H22" s="107">
        <v>0.2251</v>
      </c>
      <c r="I22" s="107">
        <v>53</v>
      </c>
      <c r="J22" s="109"/>
      <c r="K22" s="90">
        <v>130000</v>
      </c>
      <c r="L22" s="108"/>
      <c r="M22" s="45">
        <f>SUM(K22/N22)</f>
        <v>1862.99772671285</v>
      </c>
      <c r="N22" s="46">
        <v>69.78001</v>
      </c>
      <c r="O22" s="21">
        <v>7.27</v>
      </c>
      <c r="P22" s="48">
        <f>SUM(N22*O22)</f>
        <v>507.3006727</v>
      </c>
      <c r="Q22" s="95"/>
      <c r="R22" s="95"/>
      <c r="S22" s="72">
        <f t="shared" si="6"/>
        <v>138.059126470588</v>
      </c>
      <c r="T22" s="72">
        <f t="shared" si="7"/>
        <v>0.330102529411765</v>
      </c>
      <c r="U22" s="72">
        <f t="shared" si="8"/>
        <v>4.96544117647059</v>
      </c>
      <c r="V22" s="72"/>
      <c r="W22" s="72"/>
      <c r="X22" s="72">
        <f t="shared" si="1"/>
        <v>143.354670176471</v>
      </c>
      <c r="Y22" s="85">
        <f t="shared" si="9"/>
        <v>34.8371711617647</v>
      </c>
      <c r="Z22" s="85"/>
      <c r="AA22" s="85"/>
      <c r="AB22" s="85">
        <f t="shared" si="2"/>
        <v>34.8371711617647</v>
      </c>
      <c r="AC22" s="86">
        <v>7.28</v>
      </c>
      <c r="AD22" s="72">
        <f t="shared" si="3"/>
        <v>253.614606057647</v>
      </c>
      <c r="AE22" s="72">
        <f t="shared" si="4"/>
        <v>396.969276234118</v>
      </c>
      <c r="AF22" s="72">
        <f t="shared" si="5"/>
        <v>110.331396465882</v>
      </c>
    </row>
    <row r="23" s="2" customFormat="1" spans="1:32">
      <c r="A23" s="105"/>
      <c r="B23" s="106"/>
      <c r="C23" s="22">
        <v>241017000030</v>
      </c>
      <c r="D23" s="23">
        <v>45583</v>
      </c>
      <c r="E23" s="23" t="s">
        <v>69</v>
      </c>
      <c r="F23" s="106" t="s">
        <v>70</v>
      </c>
      <c r="G23" s="106" t="s">
        <v>76</v>
      </c>
      <c r="H23" s="107">
        <v>5.595</v>
      </c>
      <c r="I23" s="107">
        <v>600</v>
      </c>
      <c r="J23" s="42">
        <v>11415.02</v>
      </c>
      <c r="K23" s="86"/>
      <c r="L23" s="108"/>
      <c r="M23" s="45"/>
      <c r="N23" s="99"/>
      <c r="O23" s="21"/>
      <c r="P23" s="48">
        <f>SUBTOTAL(9,J23)</f>
        <v>11415.02</v>
      </c>
      <c r="Q23" s="95"/>
      <c r="R23" s="95"/>
      <c r="S23" s="72">
        <f t="shared" si="6"/>
        <v>3431.54514705882</v>
      </c>
      <c r="T23" s="72">
        <f t="shared" si="7"/>
        <v>8.20490294117647</v>
      </c>
      <c r="U23" s="72">
        <f t="shared" si="8"/>
        <v>123.419117647059</v>
      </c>
      <c r="V23" s="72"/>
      <c r="W23" s="72"/>
      <c r="X23" s="72">
        <f t="shared" si="1"/>
        <v>3563.16916764706</v>
      </c>
      <c r="Y23" s="85">
        <f t="shared" si="9"/>
        <v>865.89947867647</v>
      </c>
      <c r="Z23" s="85"/>
      <c r="AA23" s="85"/>
      <c r="AB23" s="85">
        <f t="shared" si="2"/>
        <v>865.89947867647</v>
      </c>
      <c r="AC23" s="86">
        <v>7.28</v>
      </c>
      <c r="AD23" s="72">
        <f t="shared" si="3"/>
        <v>6303.74820476471</v>
      </c>
      <c r="AE23" s="72">
        <f t="shared" si="4"/>
        <v>9866.91737241176</v>
      </c>
      <c r="AF23" s="72">
        <f t="shared" si="5"/>
        <v>1548.10262758824</v>
      </c>
    </row>
    <row r="24" s="2" customFormat="1" spans="1:32">
      <c r="A24" s="105"/>
      <c r="B24" s="106"/>
      <c r="C24" s="22">
        <v>241017000044</v>
      </c>
      <c r="D24" s="23">
        <v>45583</v>
      </c>
      <c r="E24" s="23" t="s">
        <v>69</v>
      </c>
      <c r="F24" s="106" t="s">
        <v>70</v>
      </c>
      <c r="G24" s="106" t="s">
        <v>76</v>
      </c>
      <c r="H24" s="107">
        <v>1.3776</v>
      </c>
      <c r="I24" s="107">
        <v>251</v>
      </c>
      <c r="J24" s="42">
        <v>2812.99</v>
      </c>
      <c r="K24" s="86"/>
      <c r="L24" s="108"/>
      <c r="M24" s="45"/>
      <c r="N24" s="99"/>
      <c r="O24" s="21"/>
      <c r="P24" s="48">
        <f>SUBTOTAL(9,J24)</f>
        <v>2812.99</v>
      </c>
      <c r="Q24" s="95"/>
      <c r="R24" s="95"/>
      <c r="S24" s="72">
        <f t="shared" si="6"/>
        <v>844.914494117647</v>
      </c>
      <c r="T24" s="72">
        <f t="shared" si="7"/>
        <v>2.02020988235294</v>
      </c>
      <c r="U24" s="72">
        <f t="shared" si="8"/>
        <v>30.3882352941176</v>
      </c>
      <c r="V24" s="72"/>
      <c r="W24" s="72"/>
      <c r="X24" s="72">
        <f t="shared" si="1"/>
        <v>877.322939294118</v>
      </c>
      <c r="Y24" s="85">
        <f t="shared" si="9"/>
        <v>213.201630352941</v>
      </c>
      <c r="Z24" s="85"/>
      <c r="AA24" s="85"/>
      <c r="AB24" s="85">
        <f t="shared" si="2"/>
        <v>213.201630352941</v>
      </c>
      <c r="AC24" s="86">
        <v>7.28</v>
      </c>
      <c r="AD24" s="72">
        <f t="shared" si="3"/>
        <v>1552.10786896941</v>
      </c>
      <c r="AE24" s="72">
        <f t="shared" si="4"/>
        <v>2429.43080826353</v>
      </c>
      <c r="AF24" s="72">
        <f t="shared" si="5"/>
        <v>383.55919173647</v>
      </c>
    </row>
    <row r="25" s="2" customFormat="1" spans="1:32">
      <c r="A25" s="105"/>
      <c r="B25" s="106"/>
      <c r="C25" s="22">
        <v>241017000060</v>
      </c>
      <c r="D25" s="23">
        <v>45583</v>
      </c>
      <c r="E25" s="23" t="s">
        <v>85</v>
      </c>
      <c r="F25" s="106" t="s">
        <v>86</v>
      </c>
      <c r="G25" s="106" t="s">
        <v>94</v>
      </c>
      <c r="H25" s="107">
        <v>29.42</v>
      </c>
      <c r="I25" s="107">
        <v>3712</v>
      </c>
      <c r="J25" s="42">
        <v>43145.02</v>
      </c>
      <c r="K25" s="86"/>
      <c r="L25" s="108"/>
      <c r="M25" s="45"/>
      <c r="N25" s="46"/>
      <c r="O25" s="21"/>
      <c r="P25" s="48">
        <f>SUBTOTAL(9,J25)</f>
        <v>43145.02</v>
      </c>
      <c r="Q25" s="96"/>
      <c r="R25" s="96"/>
      <c r="S25" s="72">
        <f t="shared" si="6"/>
        <v>18043.9782352941</v>
      </c>
      <c r="T25" s="72">
        <f t="shared" si="7"/>
        <v>43.1435647058824</v>
      </c>
      <c r="U25" s="72">
        <f t="shared" si="8"/>
        <v>648.970588235294</v>
      </c>
      <c r="V25" s="72"/>
      <c r="W25" s="72"/>
      <c r="X25" s="72">
        <f t="shared" si="1"/>
        <v>18736.0923882353</v>
      </c>
      <c r="Y25" s="85">
        <f t="shared" si="9"/>
        <v>4553.13005588235</v>
      </c>
      <c r="Z25" s="85"/>
      <c r="AA25" s="85"/>
      <c r="AB25" s="85">
        <f t="shared" si="2"/>
        <v>4553.13005588235</v>
      </c>
      <c r="AC25" s="86">
        <v>7.28</v>
      </c>
      <c r="AD25" s="72">
        <f t="shared" si="3"/>
        <v>33146.7868068235</v>
      </c>
      <c r="AE25" s="72">
        <f t="shared" si="4"/>
        <v>51882.8791950588</v>
      </c>
      <c r="AF25" s="72">
        <f t="shared" si="5"/>
        <v>-8737.8591950588</v>
      </c>
    </row>
    <row r="26" ht="15.75" spans="1:32">
      <c r="A26" s="25" t="s">
        <v>26</v>
      </c>
      <c r="B26" s="26"/>
      <c r="C26" s="26"/>
      <c r="D26" s="26"/>
      <c r="E26" s="26"/>
      <c r="F26" s="26"/>
      <c r="G26" s="26"/>
      <c r="H26" s="26"/>
      <c r="I26" s="49"/>
      <c r="J26" s="26">
        <f>SUM(J4:J4)</f>
        <v>0</v>
      </c>
      <c r="K26" s="50"/>
      <c r="L26" s="51"/>
      <c r="M26" s="50"/>
      <c r="N26" s="50">
        <f t="shared" ref="N26:Q26" si="13">SUM(N4:N4)</f>
        <v>0</v>
      </c>
      <c r="O26" s="26"/>
      <c r="P26" s="26">
        <f t="shared" si="13"/>
        <v>0</v>
      </c>
      <c r="Q26" s="26">
        <f t="shared" si="13"/>
        <v>0</v>
      </c>
      <c r="R26" s="26"/>
      <c r="S26" s="26"/>
      <c r="T26" s="26"/>
      <c r="U26" s="26"/>
      <c r="V26" s="26"/>
      <c r="W26" s="26"/>
      <c r="X26" s="73">
        <f>SUM(X4:X4)</f>
        <v>0</v>
      </c>
      <c r="Y26" s="51"/>
      <c r="Z26" s="51"/>
      <c r="AA26" s="51"/>
      <c r="AB26" s="51"/>
      <c r="AC26" s="50"/>
      <c r="AD26" s="26">
        <f>SUM(AD4:AD4)</f>
        <v>0</v>
      </c>
      <c r="AE26" s="26"/>
      <c r="AF26" s="87">
        <f>SUM(AF4:AF25)</f>
        <v>9117.60771252471</v>
      </c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  <row r="39" customFormat="1" spans="4:32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  <c r="AF39" s="8"/>
    </row>
    <row r="40" customFormat="1" spans="4:32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  <c r="AF40" s="8"/>
    </row>
    <row r="41" customFormat="1" spans="4:32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  <c r="AF41" s="8"/>
    </row>
    <row r="42" customFormat="1" spans="4:32">
      <c r="D42" s="3"/>
      <c r="E42" s="3"/>
      <c r="K42" s="4"/>
      <c r="L42" s="5"/>
      <c r="M42" s="4"/>
      <c r="X42" s="7"/>
      <c r="Y42" s="5"/>
      <c r="Z42" s="5"/>
      <c r="AA42" s="5"/>
      <c r="AB42" s="5"/>
      <c r="AC42" s="4"/>
      <c r="AF42" s="8"/>
    </row>
  </sheetData>
  <autoFilter xmlns:etc="http://www.wps.cn/officeDocument/2017/etCustomData" ref="A3:AF26" etc:filterBottomFollowUsedRange="0">
    <extLst/>
  </autoFilter>
  <mergeCells count="21">
    <mergeCell ref="A1:AF1"/>
    <mergeCell ref="J3:P3"/>
    <mergeCell ref="R3:V3"/>
    <mergeCell ref="Y3:AD3"/>
    <mergeCell ref="A3:A4"/>
    <mergeCell ref="A5:A25"/>
    <mergeCell ref="B3:B4"/>
    <mergeCell ref="B5:B25"/>
    <mergeCell ref="C3:C4"/>
    <mergeCell ref="D3:D4"/>
    <mergeCell ref="E3:E4"/>
    <mergeCell ref="F3:F4"/>
    <mergeCell ref="G3:G4"/>
    <mergeCell ref="H3:H4"/>
    <mergeCell ref="I3:I4"/>
    <mergeCell ref="Q3:Q4"/>
    <mergeCell ref="Q5:Q25"/>
    <mergeCell ref="R5:R25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7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4"/>
    </row>
    <row r="2" customFormat="1" ht="31" customHeight="1" spans="1:32">
      <c r="A2" s="98" t="s">
        <v>144</v>
      </c>
      <c r="B2" s="98" t="s">
        <v>145</v>
      </c>
      <c r="C2" s="98">
        <v>70.1066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5" t="s">
        <v>39</v>
      </c>
      <c r="Z3" s="75"/>
      <c r="AA3" s="75"/>
      <c r="AB3" s="75"/>
      <c r="AC3" s="76"/>
      <c r="AD3" s="75"/>
      <c r="AE3" s="77" t="s">
        <v>40</v>
      </c>
      <c r="AF3" s="78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9" t="s">
        <v>53</v>
      </c>
      <c r="Z4" s="79" t="s">
        <v>54</v>
      </c>
      <c r="AA4" s="79" t="s">
        <v>55</v>
      </c>
      <c r="AB4" s="80" t="s">
        <v>56</v>
      </c>
      <c r="AC4" s="81" t="s">
        <v>57</v>
      </c>
      <c r="AD4" s="82" t="s">
        <v>47</v>
      </c>
      <c r="AE4" s="83" t="s">
        <v>58</v>
      </c>
      <c r="AF4" s="84"/>
    </row>
    <row r="5" s="2" customFormat="1" spans="1:32">
      <c r="A5" s="105" t="s">
        <v>12</v>
      </c>
      <c r="B5" s="106" t="s">
        <v>13</v>
      </c>
      <c r="C5" s="22">
        <v>240919000043</v>
      </c>
      <c r="D5" s="23">
        <v>45580</v>
      </c>
      <c r="E5" s="23" t="s">
        <v>63</v>
      </c>
      <c r="F5" s="106" t="s">
        <v>64</v>
      </c>
      <c r="G5" s="106" t="s">
        <v>103</v>
      </c>
      <c r="H5" s="107">
        <v>0.0017</v>
      </c>
      <c r="I5" s="107">
        <v>5.5</v>
      </c>
      <c r="J5" s="42">
        <v>4</v>
      </c>
      <c r="K5" s="86"/>
      <c r="L5" s="108"/>
      <c r="M5" s="45"/>
      <c r="N5" s="99"/>
      <c r="O5" s="21"/>
      <c r="P5" s="48">
        <f>SUBTOTAL(9,J5)</f>
        <v>4</v>
      </c>
      <c r="Q5" s="93">
        <f>SUM(P5:P30)</f>
        <v>140734.060642</v>
      </c>
      <c r="R5" s="94" t="s">
        <v>105</v>
      </c>
      <c r="S5" s="72">
        <f>SUM(40096/68)*H5</f>
        <v>1.0024</v>
      </c>
      <c r="T5" s="72"/>
      <c r="U5" s="72">
        <f>SUM(2100/68)*H5</f>
        <v>0.0525</v>
      </c>
      <c r="V5" s="72"/>
      <c r="W5" s="72"/>
      <c r="X5" s="72">
        <f>SUM(S5:W5)</f>
        <v>1.0549</v>
      </c>
      <c r="Y5" s="85">
        <f>SUM(10477.84/68)*H5</f>
        <v>0.261946</v>
      </c>
      <c r="Z5" s="85"/>
      <c r="AA5" s="85">
        <f>SUM(222.57/68)*H5</f>
        <v>0.00556425</v>
      </c>
      <c r="AB5" s="85">
        <f>SUM(Y5:AA5)</f>
        <v>0.26751025</v>
      </c>
      <c r="AC5" s="86">
        <v>7.27</v>
      </c>
      <c r="AD5" s="72">
        <f>SUM(AB5*AC5)</f>
        <v>1.9447995175</v>
      </c>
      <c r="AE5" s="72">
        <f>SUM(X5+AD5)</f>
        <v>2.9996995175</v>
      </c>
      <c r="AF5" s="72">
        <f>SUM(P5-AE5)</f>
        <v>1.0003004825</v>
      </c>
    </row>
    <row r="6" s="2" customFormat="1" spans="1:32">
      <c r="A6" s="105"/>
      <c r="B6" s="106"/>
      <c r="C6" s="22">
        <v>240926000032</v>
      </c>
      <c r="D6" s="23">
        <v>45580</v>
      </c>
      <c r="E6" s="23" t="s">
        <v>63</v>
      </c>
      <c r="F6" s="106" t="s">
        <v>64</v>
      </c>
      <c r="G6" s="106" t="s">
        <v>106</v>
      </c>
      <c r="H6" s="107">
        <v>17.4746</v>
      </c>
      <c r="I6" s="107">
        <v>13114</v>
      </c>
      <c r="J6" s="42">
        <v>35735</v>
      </c>
      <c r="K6" s="86"/>
      <c r="L6" s="108"/>
      <c r="M6" s="45"/>
      <c r="N6" s="99"/>
      <c r="O6" s="21"/>
      <c r="P6" s="48">
        <f>SUBTOTAL(9,J6)</f>
        <v>35735</v>
      </c>
      <c r="Q6" s="95"/>
      <c r="R6" s="95"/>
      <c r="S6" s="72">
        <f t="shared" ref="S6:S30" si="0">SUM(40096/68)*H6</f>
        <v>10303.8464941176</v>
      </c>
      <c r="T6" s="72"/>
      <c r="U6" s="72">
        <f t="shared" ref="U6:U30" si="1">SUM(2100/68)*H6</f>
        <v>539.656764705882</v>
      </c>
      <c r="V6" s="72"/>
      <c r="W6" s="72"/>
      <c r="X6" s="72">
        <f>SUM(S6:W6)</f>
        <v>10843.5032588235</v>
      </c>
      <c r="Y6" s="85">
        <f t="shared" ref="Y6:Y30" si="2">SUM(10477.84/68)*H6</f>
        <v>2692.58915976471</v>
      </c>
      <c r="Z6" s="85"/>
      <c r="AA6" s="85">
        <f t="shared" ref="AA6:AA30" si="3">SUM(222.57/68)*H6</f>
        <v>57.1959076764706</v>
      </c>
      <c r="AB6" s="85">
        <f>SUM(Y6:AA6)</f>
        <v>2749.78506744118</v>
      </c>
      <c r="AC6" s="86">
        <v>7.27</v>
      </c>
      <c r="AD6" s="72">
        <f>SUM(AB6*AC6)</f>
        <v>19990.9374402974</v>
      </c>
      <c r="AE6" s="72">
        <f>SUM(X6+AD6)</f>
        <v>30834.4406991209</v>
      </c>
      <c r="AF6" s="72">
        <f>SUM(P6-AE6)</f>
        <v>4900.5593008791</v>
      </c>
    </row>
    <row r="7" s="2" customFormat="1" spans="1:32">
      <c r="A7" s="105"/>
      <c r="B7" s="106"/>
      <c r="C7" s="22">
        <v>240926000037</v>
      </c>
      <c r="D7" s="23">
        <v>45580</v>
      </c>
      <c r="E7" s="23" t="s">
        <v>63</v>
      </c>
      <c r="F7" s="106" t="s">
        <v>64</v>
      </c>
      <c r="G7" s="106" t="s">
        <v>107</v>
      </c>
      <c r="H7" s="107">
        <v>0.1237</v>
      </c>
      <c r="I7" s="107">
        <v>33</v>
      </c>
      <c r="J7" s="42">
        <v>344</v>
      </c>
      <c r="K7" s="86"/>
      <c r="L7" s="108"/>
      <c r="M7" s="45"/>
      <c r="N7" s="99"/>
      <c r="O7" s="21"/>
      <c r="P7" s="48">
        <f>SUBTOTAL(9,J7)</f>
        <v>344</v>
      </c>
      <c r="Q7" s="95"/>
      <c r="R7" s="95"/>
      <c r="S7" s="72">
        <f t="shared" si="0"/>
        <v>72.9393411764706</v>
      </c>
      <c r="T7" s="72"/>
      <c r="U7" s="72">
        <f t="shared" si="1"/>
        <v>3.82014705882353</v>
      </c>
      <c r="V7" s="72"/>
      <c r="W7" s="72"/>
      <c r="X7" s="72">
        <f>SUM(S7:W7)</f>
        <v>76.7594882352941</v>
      </c>
      <c r="Y7" s="85">
        <f t="shared" si="2"/>
        <v>19.0604236470588</v>
      </c>
      <c r="Z7" s="85"/>
      <c r="AA7" s="85">
        <f t="shared" si="3"/>
        <v>0.404881014705882</v>
      </c>
      <c r="AB7" s="85">
        <f>SUM(Y7:AA7)</f>
        <v>19.4653046617647</v>
      </c>
      <c r="AC7" s="86">
        <v>7.27</v>
      </c>
      <c r="AD7" s="72">
        <f>SUM(AB7*AC7)</f>
        <v>141.512764891029</v>
      </c>
      <c r="AE7" s="72">
        <f>SUM(X7+AD7)</f>
        <v>218.272253126324</v>
      </c>
      <c r="AF7" s="72">
        <f>SUM(P7-AE7)</f>
        <v>125.727746873676</v>
      </c>
    </row>
    <row r="8" s="2" customFormat="1" spans="1:32">
      <c r="A8" s="105"/>
      <c r="B8" s="106"/>
      <c r="C8" s="22">
        <v>240929000070</v>
      </c>
      <c r="D8" s="23">
        <v>45580</v>
      </c>
      <c r="E8" s="23" t="s">
        <v>74</v>
      </c>
      <c r="F8" s="106" t="s">
        <v>74</v>
      </c>
      <c r="G8" s="106" t="s">
        <v>94</v>
      </c>
      <c r="H8" s="107">
        <v>4.8</v>
      </c>
      <c r="I8" s="107">
        <v>799</v>
      </c>
      <c r="J8" s="42">
        <v>7039.3</v>
      </c>
      <c r="K8" s="86"/>
      <c r="L8" s="108"/>
      <c r="M8" s="45"/>
      <c r="N8" s="46"/>
      <c r="O8" s="21"/>
      <c r="P8" s="48">
        <f>SUBTOTAL(9,J8)</f>
        <v>7039.3</v>
      </c>
      <c r="Q8" s="95"/>
      <c r="R8" s="95"/>
      <c r="S8" s="72">
        <f t="shared" si="0"/>
        <v>2830.30588235294</v>
      </c>
      <c r="T8" s="72"/>
      <c r="U8" s="72">
        <f t="shared" si="1"/>
        <v>148.235294117647</v>
      </c>
      <c r="V8" s="72"/>
      <c r="W8" s="72"/>
      <c r="X8" s="72">
        <f>SUM(S8:W8)</f>
        <v>2978.54117647059</v>
      </c>
      <c r="Y8" s="85">
        <f t="shared" si="2"/>
        <v>739.612235294118</v>
      </c>
      <c r="Z8" s="85"/>
      <c r="AA8" s="85">
        <f t="shared" si="3"/>
        <v>15.7108235294118</v>
      </c>
      <c r="AB8" s="85">
        <f>SUM(Y8:AA8)</f>
        <v>755.323058823529</v>
      </c>
      <c r="AC8" s="86">
        <v>7.27</v>
      </c>
      <c r="AD8" s="72">
        <f>SUM(AB8*AC8)</f>
        <v>5491.19863764706</v>
      </c>
      <c r="AE8" s="72">
        <f>SUM(X8+AD8)</f>
        <v>8469.73981411765</v>
      </c>
      <c r="AF8" s="72">
        <f>SUM(P8-AE8)</f>
        <v>-1430.43981411765</v>
      </c>
    </row>
    <row r="9" s="2" customFormat="1" spans="1:32">
      <c r="A9" s="105"/>
      <c r="B9" s="106"/>
      <c r="C9" s="22">
        <v>240930000017</v>
      </c>
      <c r="D9" s="23">
        <v>45580</v>
      </c>
      <c r="E9" s="23" t="s">
        <v>63</v>
      </c>
      <c r="F9" s="106" t="s">
        <v>64</v>
      </c>
      <c r="G9" s="106" t="s">
        <v>108</v>
      </c>
      <c r="H9" s="107">
        <v>1.6158</v>
      </c>
      <c r="I9" s="107">
        <v>511</v>
      </c>
      <c r="J9" s="42">
        <v>3453.03</v>
      </c>
      <c r="K9" s="86"/>
      <c r="L9" s="108"/>
      <c r="M9" s="45"/>
      <c r="N9" s="99"/>
      <c r="O9" s="21"/>
      <c r="P9" s="48">
        <f>SUBTOTAL(9,J9)</f>
        <v>3453.03</v>
      </c>
      <c r="Q9" s="95"/>
      <c r="R9" s="95"/>
      <c r="S9" s="72">
        <f t="shared" si="0"/>
        <v>952.751717647059</v>
      </c>
      <c r="T9" s="72"/>
      <c r="U9" s="72">
        <f t="shared" si="1"/>
        <v>49.8997058823529</v>
      </c>
      <c r="V9" s="72"/>
      <c r="W9" s="72"/>
      <c r="X9" s="72">
        <f>SUM(S9:W9)</f>
        <v>1002.65142352941</v>
      </c>
      <c r="Y9" s="85">
        <f t="shared" si="2"/>
        <v>248.971968705882</v>
      </c>
      <c r="Z9" s="85"/>
      <c r="AA9" s="85">
        <f t="shared" si="3"/>
        <v>5.28865597058823</v>
      </c>
      <c r="AB9" s="85">
        <f>SUM(Y9:AA9)</f>
        <v>254.260624676471</v>
      </c>
      <c r="AC9" s="86">
        <v>7.27</v>
      </c>
      <c r="AD9" s="72">
        <f>SUM(AB9*AC9)</f>
        <v>1848.47474139794</v>
      </c>
      <c r="AE9" s="72">
        <f>SUM(X9+AD9)</f>
        <v>2851.12616492735</v>
      </c>
      <c r="AF9" s="72">
        <f>SUM(P9-AE9)</f>
        <v>601.90383507265</v>
      </c>
    </row>
    <row r="10" s="2" customFormat="1" spans="1:32">
      <c r="A10" s="105"/>
      <c r="B10" s="106"/>
      <c r="C10" s="22">
        <v>241005000004</v>
      </c>
      <c r="D10" s="23">
        <v>45580</v>
      </c>
      <c r="E10" s="23" t="s">
        <v>69</v>
      </c>
      <c r="F10" s="106" t="s">
        <v>70</v>
      </c>
      <c r="G10" s="106" t="s">
        <v>81</v>
      </c>
      <c r="H10" s="107">
        <v>0.5915</v>
      </c>
      <c r="I10" s="107">
        <v>456</v>
      </c>
      <c r="J10" s="109"/>
      <c r="K10" s="90">
        <v>359040</v>
      </c>
      <c r="L10" s="108"/>
      <c r="M10" s="45">
        <f t="shared" ref="M10:M12" si="4">SUM(K10/N10)</f>
        <v>1700</v>
      </c>
      <c r="N10" s="46">
        <v>211.2</v>
      </c>
      <c r="O10" s="21">
        <v>7.29</v>
      </c>
      <c r="P10" s="48">
        <f t="shared" ref="P10:P12" si="5">SUM(N10*O10)</f>
        <v>1539.648</v>
      </c>
      <c r="Q10" s="95"/>
      <c r="R10" s="95"/>
      <c r="S10" s="72">
        <f t="shared" si="0"/>
        <v>348.776235294118</v>
      </c>
      <c r="T10" s="72"/>
      <c r="U10" s="72">
        <f t="shared" si="1"/>
        <v>18.2669117647059</v>
      </c>
      <c r="V10" s="72"/>
      <c r="W10" s="72"/>
      <c r="X10" s="72">
        <f t="shared" ref="X10:X73" si="6">SUM(S10:W10)</f>
        <v>367.043147058824</v>
      </c>
      <c r="Y10" s="85">
        <f t="shared" si="2"/>
        <v>91.1417994117647</v>
      </c>
      <c r="Z10" s="85">
        <v>11.56</v>
      </c>
      <c r="AA10" s="85">
        <f t="shared" si="3"/>
        <v>1.93603169117647</v>
      </c>
      <c r="AB10" s="85">
        <f t="shared" ref="AB10:AB73" si="7">SUM(Y10:AA10)</f>
        <v>104.637831102941</v>
      </c>
      <c r="AC10" s="86">
        <v>7.27</v>
      </c>
      <c r="AD10" s="72">
        <f t="shared" ref="AD10:AD73" si="8">SUM(AB10*AC10)</f>
        <v>760.717032118382</v>
      </c>
      <c r="AE10" s="72">
        <f t="shared" ref="AE10:AE73" si="9">SUM(X10+AD10)</f>
        <v>1127.76017917721</v>
      </c>
      <c r="AF10" s="72">
        <f t="shared" ref="AF10:AF73" si="10">SUM(P10-AE10)</f>
        <v>411.88782082279</v>
      </c>
    </row>
    <row r="11" s="2" customFormat="1" spans="1:32">
      <c r="A11" s="105"/>
      <c r="B11" s="106"/>
      <c r="C11" s="22">
        <v>241006000007</v>
      </c>
      <c r="D11" s="23">
        <v>45580</v>
      </c>
      <c r="E11" s="23" t="s">
        <v>63</v>
      </c>
      <c r="F11" s="106" t="s">
        <v>64</v>
      </c>
      <c r="G11" s="106" t="s">
        <v>66</v>
      </c>
      <c r="H11" s="107">
        <v>0.0493</v>
      </c>
      <c r="I11" s="107">
        <v>24</v>
      </c>
      <c r="J11" s="109"/>
      <c r="K11" s="90">
        <v>42685.5</v>
      </c>
      <c r="L11" s="108"/>
      <c r="M11" s="45">
        <f t="shared" si="4"/>
        <v>1576.85629848541</v>
      </c>
      <c r="N11" s="46">
        <v>27.07</v>
      </c>
      <c r="O11" s="21">
        <v>7.27</v>
      </c>
      <c r="P11" s="48">
        <f t="shared" si="5"/>
        <v>196.7989</v>
      </c>
      <c r="Q11" s="95"/>
      <c r="R11" s="95"/>
      <c r="S11" s="72">
        <f t="shared" si="0"/>
        <v>29.0696</v>
      </c>
      <c r="T11" s="72"/>
      <c r="U11" s="72">
        <f t="shared" si="1"/>
        <v>1.5225</v>
      </c>
      <c r="V11" s="72"/>
      <c r="W11" s="72"/>
      <c r="X11" s="72">
        <f t="shared" si="6"/>
        <v>30.5921</v>
      </c>
      <c r="Y11" s="85">
        <f t="shared" si="2"/>
        <v>7.596434</v>
      </c>
      <c r="Z11" s="85"/>
      <c r="AA11" s="85">
        <f t="shared" si="3"/>
        <v>0.16136325</v>
      </c>
      <c r="AB11" s="85">
        <f t="shared" si="7"/>
        <v>7.75779725</v>
      </c>
      <c r="AC11" s="86">
        <v>7.27</v>
      </c>
      <c r="AD11" s="72">
        <f t="shared" si="8"/>
        <v>56.3991860075</v>
      </c>
      <c r="AE11" s="72">
        <f t="shared" si="9"/>
        <v>86.9912860075</v>
      </c>
      <c r="AF11" s="72">
        <f t="shared" si="10"/>
        <v>109.8076139925</v>
      </c>
    </row>
    <row r="12" s="2" customFormat="1" spans="1:32">
      <c r="A12" s="105"/>
      <c r="B12" s="106"/>
      <c r="C12" s="22">
        <v>241007000009</v>
      </c>
      <c r="D12" s="23">
        <v>45580</v>
      </c>
      <c r="E12" s="23" t="s">
        <v>69</v>
      </c>
      <c r="F12" s="106" t="s">
        <v>70</v>
      </c>
      <c r="G12" s="106" t="s">
        <v>81</v>
      </c>
      <c r="H12" s="107">
        <v>0.0252</v>
      </c>
      <c r="I12" s="107">
        <v>13</v>
      </c>
      <c r="J12" s="109"/>
      <c r="K12" s="90">
        <v>54400</v>
      </c>
      <c r="L12" s="108"/>
      <c r="M12" s="45">
        <f t="shared" si="4"/>
        <v>1700</v>
      </c>
      <c r="N12" s="46">
        <v>32</v>
      </c>
      <c r="O12" s="21">
        <v>7.29</v>
      </c>
      <c r="P12" s="48">
        <f t="shared" si="5"/>
        <v>233.28</v>
      </c>
      <c r="Q12" s="95"/>
      <c r="R12" s="95"/>
      <c r="S12" s="72">
        <f t="shared" si="0"/>
        <v>14.8591058823529</v>
      </c>
      <c r="T12" s="72"/>
      <c r="U12" s="72">
        <f t="shared" si="1"/>
        <v>0.778235294117647</v>
      </c>
      <c r="V12" s="72"/>
      <c r="W12" s="72"/>
      <c r="X12" s="72">
        <f t="shared" si="6"/>
        <v>15.6373411764706</v>
      </c>
      <c r="Y12" s="85">
        <f t="shared" si="2"/>
        <v>3.88296423529412</v>
      </c>
      <c r="Z12" s="85"/>
      <c r="AA12" s="85">
        <f t="shared" si="3"/>
        <v>0.0824818235294118</v>
      </c>
      <c r="AB12" s="85">
        <f t="shared" si="7"/>
        <v>3.96544605882353</v>
      </c>
      <c r="AC12" s="86">
        <v>7.27</v>
      </c>
      <c r="AD12" s="72">
        <f t="shared" si="8"/>
        <v>28.8287928476471</v>
      </c>
      <c r="AE12" s="72">
        <f t="shared" si="9"/>
        <v>44.4661340241176</v>
      </c>
      <c r="AF12" s="72">
        <f t="shared" si="10"/>
        <v>188.813865975882</v>
      </c>
    </row>
    <row r="13" s="2" customFormat="1" spans="1:32">
      <c r="A13" s="105"/>
      <c r="B13" s="106"/>
      <c r="C13" s="22">
        <v>241008000098</v>
      </c>
      <c r="D13" s="23">
        <v>45580</v>
      </c>
      <c r="E13" s="23" t="s">
        <v>109</v>
      </c>
      <c r="F13" s="106" t="s">
        <v>110</v>
      </c>
      <c r="G13" s="106" t="s">
        <v>111</v>
      </c>
      <c r="H13" s="107">
        <v>0.0392</v>
      </c>
      <c r="I13" s="107">
        <v>27</v>
      </c>
      <c r="J13" s="42">
        <v>88.47</v>
      </c>
      <c r="K13" s="86"/>
      <c r="L13" s="108"/>
      <c r="M13" s="45"/>
      <c r="N13" s="99"/>
      <c r="O13" s="21"/>
      <c r="P13" s="48">
        <f>SUBTOTAL(9,J13)</f>
        <v>88.47</v>
      </c>
      <c r="Q13" s="95"/>
      <c r="R13" s="95"/>
      <c r="S13" s="72">
        <f t="shared" si="0"/>
        <v>23.1141647058824</v>
      </c>
      <c r="T13" s="72"/>
      <c r="U13" s="72">
        <f t="shared" si="1"/>
        <v>1.21058823529412</v>
      </c>
      <c r="V13" s="72"/>
      <c r="W13" s="72"/>
      <c r="X13" s="72">
        <f t="shared" si="6"/>
        <v>24.3247529411765</v>
      </c>
      <c r="Y13" s="85">
        <f t="shared" si="2"/>
        <v>6.04016658823529</v>
      </c>
      <c r="Z13" s="85"/>
      <c r="AA13" s="85">
        <f t="shared" si="3"/>
        <v>0.128305058823529</v>
      </c>
      <c r="AB13" s="85">
        <f t="shared" si="7"/>
        <v>6.16847164705882</v>
      </c>
      <c r="AC13" s="86">
        <v>7.27</v>
      </c>
      <c r="AD13" s="72">
        <f t="shared" si="8"/>
        <v>44.8447888741176</v>
      </c>
      <c r="AE13" s="72">
        <f t="shared" si="9"/>
        <v>69.1695418152941</v>
      </c>
      <c r="AF13" s="72">
        <f t="shared" si="10"/>
        <v>19.3004581847059</v>
      </c>
    </row>
    <row r="14" s="2" customFormat="1" spans="1:32">
      <c r="A14" s="105"/>
      <c r="B14" s="106"/>
      <c r="C14" s="22">
        <v>241009000020</v>
      </c>
      <c r="D14" s="23">
        <v>45580</v>
      </c>
      <c r="E14" s="23" t="s">
        <v>85</v>
      </c>
      <c r="F14" s="106" t="s">
        <v>86</v>
      </c>
      <c r="G14" s="106" t="s">
        <v>75</v>
      </c>
      <c r="H14" s="107">
        <v>19.5527</v>
      </c>
      <c r="I14" s="107">
        <v>2326</v>
      </c>
      <c r="J14" s="42">
        <v>4260.86</v>
      </c>
      <c r="K14" s="90">
        <v>6737482</v>
      </c>
      <c r="L14" s="108"/>
      <c r="M14" s="45">
        <f t="shared" ref="M14:M16" si="11">SUM(K14/N14)</f>
        <v>1544.99991974005</v>
      </c>
      <c r="N14" s="46">
        <v>4360.83</v>
      </c>
      <c r="O14" s="21">
        <v>7.24</v>
      </c>
      <c r="P14" s="48">
        <f>SUM(N14*O14)+J14</f>
        <v>35833.2692</v>
      </c>
      <c r="Q14" s="95"/>
      <c r="R14" s="95"/>
      <c r="S14" s="72">
        <f t="shared" si="0"/>
        <v>11529.1920470588</v>
      </c>
      <c r="T14" s="72"/>
      <c r="U14" s="72">
        <f t="shared" si="1"/>
        <v>603.833382352941</v>
      </c>
      <c r="V14" s="72"/>
      <c r="W14" s="72"/>
      <c r="X14" s="72">
        <f t="shared" si="6"/>
        <v>12133.0254294118</v>
      </c>
      <c r="Y14" s="85">
        <f t="shared" si="2"/>
        <v>3012.79503188235</v>
      </c>
      <c r="Z14" s="85"/>
      <c r="AA14" s="85">
        <f t="shared" si="3"/>
        <v>63.9977123382353</v>
      </c>
      <c r="AB14" s="85">
        <f t="shared" si="7"/>
        <v>3076.79274422059</v>
      </c>
      <c r="AC14" s="86">
        <v>7.27</v>
      </c>
      <c r="AD14" s="72">
        <f t="shared" si="8"/>
        <v>22368.2832504837</v>
      </c>
      <c r="AE14" s="72">
        <f t="shared" si="9"/>
        <v>34501.3086798954</v>
      </c>
      <c r="AF14" s="72">
        <f t="shared" si="10"/>
        <v>1331.9605201046</v>
      </c>
    </row>
    <row r="15" s="2" customFormat="1" spans="1:32">
      <c r="A15" s="105"/>
      <c r="B15" s="106"/>
      <c r="C15" s="22">
        <v>241009000046</v>
      </c>
      <c r="D15" s="23">
        <v>45580</v>
      </c>
      <c r="E15" s="23" t="s">
        <v>90</v>
      </c>
      <c r="F15" s="106" t="s">
        <v>91</v>
      </c>
      <c r="G15" s="106" t="s">
        <v>112</v>
      </c>
      <c r="H15" s="107">
        <v>0.0717</v>
      </c>
      <c r="I15" s="107">
        <v>25</v>
      </c>
      <c r="J15" s="110"/>
      <c r="K15" s="90">
        <v>37653</v>
      </c>
      <c r="L15" s="108"/>
      <c r="M15" s="45">
        <f t="shared" si="11"/>
        <v>1637.08695652174</v>
      </c>
      <c r="N15" s="91">
        <v>23</v>
      </c>
      <c r="O15" s="21">
        <v>7.27</v>
      </c>
      <c r="P15" s="48">
        <f t="shared" ref="P15:P24" si="12">SUM(N15*O15)</f>
        <v>167.21</v>
      </c>
      <c r="Q15" s="95"/>
      <c r="R15" s="95"/>
      <c r="S15" s="72">
        <f t="shared" si="0"/>
        <v>42.2776941176471</v>
      </c>
      <c r="T15" s="72"/>
      <c r="U15" s="72">
        <f t="shared" si="1"/>
        <v>2.21426470588235</v>
      </c>
      <c r="V15" s="72"/>
      <c r="W15" s="72"/>
      <c r="X15" s="72">
        <f t="shared" si="6"/>
        <v>44.4919588235294</v>
      </c>
      <c r="Y15" s="85">
        <f t="shared" si="2"/>
        <v>11.0479577647059</v>
      </c>
      <c r="Z15" s="85"/>
      <c r="AA15" s="85">
        <f t="shared" si="3"/>
        <v>0.234680426470588</v>
      </c>
      <c r="AB15" s="85">
        <f t="shared" si="7"/>
        <v>11.2826381911765</v>
      </c>
      <c r="AC15" s="86">
        <v>7.27</v>
      </c>
      <c r="AD15" s="72">
        <f t="shared" si="8"/>
        <v>82.0247796498529</v>
      </c>
      <c r="AE15" s="72">
        <f t="shared" si="9"/>
        <v>126.516738473382</v>
      </c>
      <c r="AF15" s="72">
        <f t="shared" si="10"/>
        <v>40.693261526618</v>
      </c>
    </row>
    <row r="16" s="2" customFormat="1" spans="1:32">
      <c r="A16" s="105"/>
      <c r="B16" s="106"/>
      <c r="C16" s="22">
        <v>241010000043</v>
      </c>
      <c r="D16" s="23">
        <v>45580</v>
      </c>
      <c r="E16" s="23" t="s">
        <v>69</v>
      </c>
      <c r="F16" s="106" t="s">
        <v>70</v>
      </c>
      <c r="G16" s="106" t="s">
        <v>81</v>
      </c>
      <c r="H16" s="107">
        <v>1.9259</v>
      </c>
      <c r="I16" s="107">
        <v>967</v>
      </c>
      <c r="J16" s="109">
        <v>-7012.8</v>
      </c>
      <c r="K16" s="90">
        <v>2705720</v>
      </c>
      <c r="L16" s="108"/>
      <c r="M16" s="45">
        <f t="shared" si="11"/>
        <v>1700</v>
      </c>
      <c r="N16" s="46">
        <v>1591.6</v>
      </c>
      <c r="O16" s="21">
        <v>7.29</v>
      </c>
      <c r="P16" s="48">
        <f>SUM(N16*O16)+J16</f>
        <v>4589.964</v>
      </c>
      <c r="Q16" s="95"/>
      <c r="R16" s="95"/>
      <c r="S16" s="72">
        <f t="shared" si="0"/>
        <v>1135.60127058824</v>
      </c>
      <c r="T16" s="72"/>
      <c r="U16" s="72">
        <f t="shared" si="1"/>
        <v>59.4763235294118</v>
      </c>
      <c r="V16" s="72"/>
      <c r="W16" s="72"/>
      <c r="X16" s="72">
        <f t="shared" si="6"/>
        <v>1195.07759411765</v>
      </c>
      <c r="Y16" s="85">
        <f t="shared" si="2"/>
        <v>296.754000823529</v>
      </c>
      <c r="Z16" s="85">
        <v>37.74</v>
      </c>
      <c r="AA16" s="85">
        <f t="shared" si="3"/>
        <v>6.30364063235294</v>
      </c>
      <c r="AB16" s="85">
        <f t="shared" si="7"/>
        <v>340.797641455882</v>
      </c>
      <c r="AC16" s="86">
        <v>7.27</v>
      </c>
      <c r="AD16" s="72">
        <f t="shared" si="8"/>
        <v>2477.59885338426</v>
      </c>
      <c r="AE16" s="72">
        <f t="shared" si="9"/>
        <v>3672.67644750191</v>
      </c>
      <c r="AF16" s="72">
        <f t="shared" si="10"/>
        <v>917.28755249809</v>
      </c>
    </row>
    <row r="17" s="2" customFormat="1" spans="1:32">
      <c r="A17" s="105"/>
      <c r="B17" s="106"/>
      <c r="C17" s="22">
        <v>241010000044</v>
      </c>
      <c r="D17" s="23">
        <v>45580</v>
      </c>
      <c r="E17" s="23" t="s">
        <v>74</v>
      </c>
      <c r="F17" s="106" t="s">
        <v>74</v>
      </c>
      <c r="G17" s="106" t="s">
        <v>113</v>
      </c>
      <c r="H17" s="107">
        <v>0.294</v>
      </c>
      <c r="I17" s="107">
        <v>17</v>
      </c>
      <c r="J17" s="42">
        <v>919.8</v>
      </c>
      <c r="K17" s="86"/>
      <c r="L17" s="108"/>
      <c r="M17" s="45"/>
      <c r="N17" s="99"/>
      <c r="O17" s="21"/>
      <c r="P17" s="48">
        <f>SUBTOTAL(9,J17)</f>
        <v>919.8</v>
      </c>
      <c r="Q17" s="95"/>
      <c r="R17" s="95"/>
      <c r="S17" s="72">
        <f t="shared" si="0"/>
        <v>173.356235294118</v>
      </c>
      <c r="T17" s="72"/>
      <c r="U17" s="72">
        <f t="shared" si="1"/>
        <v>9.07941176470588</v>
      </c>
      <c r="V17" s="72"/>
      <c r="W17" s="72"/>
      <c r="X17" s="72">
        <f t="shared" si="6"/>
        <v>182.435647058824</v>
      </c>
      <c r="Y17" s="85">
        <f t="shared" si="2"/>
        <v>45.3012494117647</v>
      </c>
      <c r="Z17" s="85">
        <v>73.03</v>
      </c>
      <c r="AA17" s="85">
        <f t="shared" si="3"/>
        <v>0.962287941176471</v>
      </c>
      <c r="AB17" s="85">
        <f t="shared" si="7"/>
        <v>119.293537352941</v>
      </c>
      <c r="AC17" s="86">
        <v>7.27</v>
      </c>
      <c r="AD17" s="72">
        <f t="shared" si="8"/>
        <v>867.264016555882</v>
      </c>
      <c r="AE17" s="72">
        <f t="shared" si="9"/>
        <v>1049.69966361471</v>
      </c>
      <c r="AF17" s="72">
        <f t="shared" si="10"/>
        <v>-129.89966361471</v>
      </c>
    </row>
    <row r="18" s="2" customFormat="1" spans="1:32">
      <c r="A18" s="105"/>
      <c r="B18" s="106"/>
      <c r="C18" s="22">
        <v>241011000029</v>
      </c>
      <c r="D18" s="23">
        <v>45580</v>
      </c>
      <c r="E18" s="23" t="s">
        <v>85</v>
      </c>
      <c r="F18" s="106" t="s">
        <v>86</v>
      </c>
      <c r="G18" s="106" t="s">
        <v>75</v>
      </c>
      <c r="H18" s="107">
        <v>1.2962</v>
      </c>
      <c r="I18" s="107">
        <v>139</v>
      </c>
      <c r="J18" s="109"/>
      <c r="K18" s="90">
        <v>506590</v>
      </c>
      <c r="L18" s="108"/>
      <c r="M18" s="45">
        <f t="shared" ref="M18:M24" si="13">SUM(K18/N18)</f>
        <v>1544.99984750984</v>
      </c>
      <c r="N18" s="46">
        <v>327.89</v>
      </c>
      <c r="O18" s="21">
        <v>7.24</v>
      </c>
      <c r="P18" s="48">
        <f t="shared" si="12"/>
        <v>2373.9236</v>
      </c>
      <c r="Q18" s="95"/>
      <c r="R18" s="95"/>
      <c r="S18" s="72">
        <f t="shared" si="0"/>
        <v>764.300517647059</v>
      </c>
      <c r="T18" s="72"/>
      <c r="U18" s="72">
        <f t="shared" si="1"/>
        <v>40.0297058823529</v>
      </c>
      <c r="V18" s="72"/>
      <c r="W18" s="72"/>
      <c r="X18" s="72">
        <f t="shared" si="6"/>
        <v>804.330223529412</v>
      </c>
      <c r="Y18" s="85">
        <f t="shared" si="2"/>
        <v>199.726120705882</v>
      </c>
      <c r="Z18" s="85"/>
      <c r="AA18" s="85">
        <f t="shared" si="3"/>
        <v>4.24257697058824</v>
      </c>
      <c r="AB18" s="85">
        <f t="shared" si="7"/>
        <v>203.968697676471</v>
      </c>
      <c r="AC18" s="86">
        <v>7.27</v>
      </c>
      <c r="AD18" s="72">
        <f t="shared" si="8"/>
        <v>1482.85243210794</v>
      </c>
      <c r="AE18" s="72">
        <f t="shared" si="9"/>
        <v>2287.18265563735</v>
      </c>
      <c r="AF18" s="72">
        <f t="shared" si="10"/>
        <v>86.7409443626502</v>
      </c>
    </row>
    <row r="19" s="2" customFormat="1" spans="1:32">
      <c r="A19" s="105"/>
      <c r="B19" s="106"/>
      <c r="C19" s="22">
        <v>241011000030</v>
      </c>
      <c r="D19" s="23">
        <v>45580</v>
      </c>
      <c r="E19" s="23" t="s">
        <v>85</v>
      </c>
      <c r="F19" s="106" t="s">
        <v>86</v>
      </c>
      <c r="G19" s="106" t="s">
        <v>75</v>
      </c>
      <c r="H19" s="107">
        <v>0.4329</v>
      </c>
      <c r="I19" s="107">
        <v>53</v>
      </c>
      <c r="J19" s="109"/>
      <c r="K19" s="90">
        <v>169208</v>
      </c>
      <c r="L19" s="108"/>
      <c r="M19" s="45">
        <f t="shared" si="13"/>
        <v>1544.99634769905</v>
      </c>
      <c r="N19" s="46">
        <v>109.52</v>
      </c>
      <c r="O19" s="21">
        <v>7.24</v>
      </c>
      <c r="P19" s="48">
        <f t="shared" si="12"/>
        <v>792.9248</v>
      </c>
      <c r="Q19" s="95"/>
      <c r="R19" s="95"/>
      <c r="S19" s="72">
        <f t="shared" si="0"/>
        <v>255.258211764706</v>
      </c>
      <c r="T19" s="72"/>
      <c r="U19" s="72">
        <f t="shared" si="1"/>
        <v>13.3689705882353</v>
      </c>
      <c r="V19" s="72"/>
      <c r="W19" s="72"/>
      <c r="X19" s="72">
        <f t="shared" si="6"/>
        <v>268.627182352941</v>
      </c>
      <c r="Y19" s="85">
        <f t="shared" si="2"/>
        <v>66.7037784705882</v>
      </c>
      <c r="Z19" s="85"/>
      <c r="AA19" s="85">
        <f t="shared" si="3"/>
        <v>1.41691989705882</v>
      </c>
      <c r="AB19" s="85">
        <f t="shared" si="7"/>
        <v>68.1206983676471</v>
      </c>
      <c r="AC19" s="86">
        <v>7.27</v>
      </c>
      <c r="AD19" s="72">
        <f t="shared" si="8"/>
        <v>495.237477132794</v>
      </c>
      <c r="AE19" s="72">
        <f t="shared" si="9"/>
        <v>763.864659485735</v>
      </c>
      <c r="AF19" s="72">
        <f t="shared" si="10"/>
        <v>29.060140514265</v>
      </c>
    </row>
    <row r="20" s="2" customFormat="1" spans="1:32">
      <c r="A20" s="105"/>
      <c r="B20" s="106"/>
      <c r="C20" s="22">
        <v>241011000031</v>
      </c>
      <c r="D20" s="23">
        <v>45580</v>
      </c>
      <c r="E20" s="23" t="s">
        <v>85</v>
      </c>
      <c r="F20" s="106" t="s">
        <v>86</v>
      </c>
      <c r="G20" s="106" t="s">
        <v>75</v>
      </c>
      <c r="H20" s="107">
        <v>0.539</v>
      </c>
      <c r="I20" s="107">
        <v>103</v>
      </c>
      <c r="J20" s="109"/>
      <c r="K20" s="90">
        <v>210691</v>
      </c>
      <c r="L20" s="108"/>
      <c r="M20" s="45">
        <f t="shared" si="13"/>
        <v>1544.99523355577</v>
      </c>
      <c r="N20" s="46">
        <v>136.37</v>
      </c>
      <c r="O20" s="21">
        <v>7.24</v>
      </c>
      <c r="P20" s="48">
        <f t="shared" si="12"/>
        <v>987.3188</v>
      </c>
      <c r="Q20" s="95"/>
      <c r="R20" s="95"/>
      <c r="S20" s="72">
        <f t="shared" si="0"/>
        <v>317.819764705882</v>
      </c>
      <c r="T20" s="72"/>
      <c r="U20" s="72">
        <f t="shared" si="1"/>
        <v>16.6455882352941</v>
      </c>
      <c r="V20" s="72"/>
      <c r="W20" s="72"/>
      <c r="X20" s="72">
        <f t="shared" si="6"/>
        <v>334.465352941176</v>
      </c>
      <c r="Y20" s="85">
        <f t="shared" si="2"/>
        <v>83.0522905882353</v>
      </c>
      <c r="Z20" s="85"/>
      <c r="AA20" s="85">
        <f t="shared" si="3"/>
        <v>1.76419455882353</v>
      </c>
      <c r="AB20" s="85">
        <f t="shared" si="7"/>
        <v>84.8164851470588</v>
      </c>
      <c r="AC20" s="86">
        <v>7.27</v>
      </c>
      <c r="AD20" s="72">
        <f t="shared" si="8"/>
        <v>616.615847019118</v>
      </c>
      <c r="AE20" s="72">
        <f t="shared" si="9"/>
        <v>951.081199960294</v>
      </c>
      <c r="AF20" s="72">
        <f t="shared" si="10"/>
        <v>36.237600039706</v>
      </c>
    </row>
    <row r="21" s="2" customFormat="1" spans="1:32">
      <c r="A21" s="105"/>
      <c r="B21" s="106"/>
      <c r="C21" s="22">
        <v>241011000032</v>
      </c>
      <c r="D21" s="23">
        <v>45580</v>
      </c>
      <c r="E21" s="23" t="s">
        <v>85</v>
      </c>
      <c r="F21" s="106" t="s">
        <v>86</v>
      </c>
      <c r="G21" s="106" t="s">
        <v>75</v>
      </c>
      <c r="H21" s="107">
        <v>6.1972</v>
      </c>
      <c r="I21" s="107">
        <v>617</v>
      </c>
      <c r="J21" s="109"/>
      <c r="K21" s="90">
        <v>2557147</v>
      </c>
      <c r="L21" s="108"/>
      <c r="M21" s="45">
        <f t="shared" si="13"/>
        <v>1630.99997448719</v>
      </c>
      <c r="N21" s="46">
        <v>1567.84</v>
      </c>
      <c r="O21" s="21">
        <v>7.35</v>
      </c>
      <c r="P21" s="48">
        <f t="shared" si="12"/>
        <v>11523.624</v>
      </c>
      <c r="Q21" s="95"/>
      <c r="R21" s="95"/>
      <c r="S21" s="72">
        <f t="shared" si="0"/>
        <v>3654.16075294118</v>
      </c>
      <c r="T21" s="72"/>
      <c r="U21" s="72">
        <f t="shared" si="1"/>
        <v>191.384117647059</v>
      </c>
      <c r="V21" s="72"/>
      <c r="W21" s="72"/>
      <c r="X21" s="72">
        <f t="shared" si="6"/>
        <v>3845.54487058823</v>
      </c>
      <c r="Y21" s="85">
        <f t="shared" si="2"/>
        <v>954.901030117647</v>
      </c>
      <c r="Z21" s="85"/>
      <c r="AA21" s="85">
        <f t="shared" si="3"/>
        <v>20.2839824117647</v>
      </c>
      <c r="AB21" s="85">
        <f t="shared" si="7"/>
        <v>975.185012529412</v>
      </c>
      <c r="AC21" s="86">
        <v>7.27</v>
      </c>
      <c r="AD21" s="72">
        <f t="shared" si="8"/>
        <v>7089.59504108882</v>
      </c>
      <c r="AE21" s="72">
        <f t="shared" si="9"/>
        <v>10935.1399116771</v>
      </c>
      <c r="AF21" s="72">
        <f t="shared" si="10"/>
        <v>588.484088322897</v>
      </c>
    </row>
    <row r="22" s="2" customFormat="1" spans="1:32">
      <c r="A22" s="105"/>
      <c r="B22" s="106"/>
      <c r="C22" s="22">
        <v>241011000033</v>
      </c>
      <c r="D22" s="23">
        <v>45580</v>
      </c>
      <c r="E22" s="23" t="s">
        <v>85</v>
      </c>
      <c r="F22" s="106" t="s">
        <v>86</v>
      </c>
      <c r="G22" s="106" t="s">
        <v>75</v>
      </c>
      <c r="H22" s="107">
        <v>0.2995</v>
      </c>
      <c r="I22" s="107">
        <v>33</v>
      </c>
      <c r="J22" s="109"/>
      <c r="K22" s="90">
        <v>117080</v>
      </c>
      <c r="L22" s="108"/>
      <c r="M22" s="45">
        <f t="shared" si="13"/>
        <v>1544.9986803906</v>
      </c>
      <c r="N22" s="46">
        <v>75.78</v>
      </c>
      <c r="O22" s="21">
        <v>7.24</v>
      </c>
      <c r="P22" s="48">
        <f t="shared" si="12"/>
        <v>548.6472</v>
      </c>
      <c r="Q22" s="95"/>
      <c r="R22" s="95"/>
      <c r="S22" s="72">
        <f t="shared" si="0"/>
        <v>176.599294117647</v>
      </c>
      <c r="T22" s="72"/>
      <c r="U22" s="72">
        <f t="shared" si="1"/>
        <v>9.24926470588235</v>
      </c>
      <c r="V22" s="72"/>
      <c r="W22" s="72"/>
      <c r="X22" s="72">
        <f t="shared" si="6"/>
        <v>185.848558823529</v>
      </c>
      <c r="Y22" s="85">
        <f t="shared" si="2"/>
        <v>46.1487217647059</v>
      </c>
      <c r="Z22" s="85"/>
      <c r="AA22" s="85">
        <f t="shared" si="3"/>
        <v>0.980289926470588</v>
      </c>
      <c r="AB22" s="85">
        <f t="shared" si="7"/>
        <v>47.1290116911765</v>
      </c>
      <c r="AC22" s="86">
        <v>7.27</v>
      </c>
      <c r="AD22" s="72">
        <f t="shared" si="8"/>
        <v>342.627914994853</v>
      </c>
      <c r="AE22" s="72">
        <f t="shared" si="9"/>
        <v>528.476473818382</v>
      </c>
      <c r="AF22" s="72">
        <f t="shared" si="10"/>
        <v>20.170726181618</v>
      </c>
    </row>
    <row r="23" s="2" customFormat="1" spans="1:32">
      <c r="A23" s="105"/>
      <c r="B23" s="106"/>
      <c r="C23" s="22">
        <v>241011000034</v>
      </c>
      <c r="D23" s="23">
        <v>45580</v>
      </c>
      <c r="E23" s="23" t="s">
        <v>85</v>
      </c>
      <c r="F23" s="106" t="s">
        <v>86</v>
      </c>
      <c r="G23" s="106" t="s">
        <v>75</v>
      </c>
      <c r="H23" s="107">
        <v>0.1865</v>
      </c>
      <c r="I23" s="107">
        <v>30</v>
      </c>
      <c r="J23" s="109"/>
      <c r="K23" s="90">
        <v>72893</v>
      </c>
      <c r="L23" s="108"/>
      <c r="M23" s="45">
        <f t="shared" si="13"/>
        <v>1544.99788045782</v>
      </c>
      <c r="N23" s="46">
        <v>47.18</v>
      </c>
      <c r="O23" s="21">
        <v>7.24</v>
      </c>
      <c r="P23" s="48">
        <f t="shared" si="12"/>
        <v>341.5832</v>
      </c>
      <c r="Q23" s="95"/>
      <c r="R23" s="95"/>
      <c r="S23" s="72">
        <f t="shared" si="0"/>
        <v>109.969176470588</v>
      </c>
      <c r="T23" s="72"/>
      <c r="U23" s="72">
        <f t="shared" si="1"/>
        <v>5.75955882352941</v>
      </c>
      <c r="V23" s="72"/>
      <c r="W23" s="72"/>
      <c r="X23" s="72">
        <f t="shared" si="6"/>
        <v>115.728735294118</v>
      </c>
      <c r="Y23" s="85">
        <f t="shared" si="2"/>
        <v>28.7370170588235</v>
      </c>
      <c r="Z23" s="85"/>
      <c r="AA23" s="85">
        <f t="shared" si="3"/>
        <v>0.610430955882353</v>
      </c>
      <c r="AB23" s="85">
        <f t="shared" si="7"/>
        <v>29.3474480147059</v>
      </c>
      <c r="AC23" s="86">
        <v>7.27</v>
      </c>
      <c r="AD23" s="72">
        <f t="shared" si="8"/>
        <v>213.355947066912</v>
      </c>
      <c r="AE23" s="72">
        <f t="shared" si="9"/>
        <v>329.084682361029</v>
      </c>
      <c r="AF23" s="72">
        <f t="shared" si="10"/>
        <v>12.498517638971</v>
      </c>
    </row>
    <row r="24" s="2" customFormat="1" spans="1:32">
      <c r="A24" s="105"/>
      <c r="B24" s="106"/>
      <c r="C24" s="22">
        <v>241011000035</v>
      </c>
      <c r="D24" s="23">
        <v>45580</v>
      </c>
      <c r="E24" s="23" t="s">
        <v>85</v>
      </c>
      <c r="F24" s="106" t="s">
        <v>86</v>
      </c>
      <c r="G24" s="106" t="s">
        <v>75</v>
      </c>
      <c r="H24" s="107">
        <v>0.1821</v>
      </c>
      <c r="I24" s="107">
        <v>17</v>
      </c>
      <c r="J24" s="109"/>
      <c r="K24" s="90">
        <v>72792.6</v>
      </c>
      <c r="L24" s="108"/>
      <c r="M24" s="45">
        <f t="shared" si="13"/>
        <v>1580.04341219883</v>
      </c>
      <c r="N24" s="46">
        <v>46.07</v>
      </c>
      <c r="O24" s="21">
        <v>7.24</v>
      </c>
      <c r="P24" s="48">
        <f t="shared" si="12"/>
        <v>333.5468</v>
      </c>
      <c r="Q24" s="95"/>
      <c r="R24" s="95"/>
      <c r="S24" s="72">
        <f t="shared" si="0"/>
        <v>107.374729411765</v>
      </c>
      <c r="T24" s="72"/>
      <c r="U24" s="72">
        <f t="shared" si="1"/>
        <v>5.62367647058824</v>
      </c>
      <c r="V24" s="72"/>
      <c r="W24" s="72"/>
      <c r="X24" s="72">
        <f t="shared" si="6"/>
        <v>112.998405882353</v>
      </c>
      <c r="Y24" s="85">
        <f t="shared" si="2"/>
        <v>28.0590391764706</v>
      </c>
      <c r="Z24" s="85"/>
      <c r="AA24" s="85">
        <f t="shared" si="3"/>
        <v>0.596029367647059</v>
      </c>
      <c r="AB24" s="85">
        <f t="shared" si="7"/>
        <v>28.6550685441177</v>
      </c>
      <c r="AC24" s="86">
        <v>7.27</v>
      </c>
      <c r="AD24" s="72">
        <f t="shared" si="8"/>
        <v>208.322348315735</v>
      </c>
      <c r="AE24" s="72">
        <f t="shared" si="9"/>
        <v>321.320754198088</v>
      </c>
      <c r="AF24" s="72">
        <f t="shared" si="10"/>
        <v>12.226045801912</v>
      </c>
    </row>
    <row r="25" s="2" customFormat="1" spans="1:32">
      <c r="A25" s="105"/>
      <c r="B25" s="106"/>
      <c r="C25" s="22">
        <v>241015000033</v>
      </c>
      <c r="D25" s="23">
        <v>45580</v>
      </c>
      <c r="E25" s="23" t="s">
        <v>59</v>
      </c>
      <c r="F25" s="106" t="s">
        <v>60</v>
      </c>
      <c r="G25" s="106" t="s">
        <v>114</v>
      </c>
      <c r="H25" s="107">
        <v>0.138</v>
      </c>
      <c r="I25" s="107">
        <v>26</v>
      </c>
      <c r="J25" s="42">
        <v>356</v>
      </c>
      <c r="K25" s="86"/>
      <c r="L25" s="108"/>
      <c r="M25" s="45"/>
      <c r="N25" s="99"/>
      <c r="O25" s="21"/>
      <c r="P25" s="48">
        <f t="shared" ref="P25:P29" si="14">SUBTOTAL(9,J25)</f>
        <v>356</v>
      </c>
      <c r="Q25" s="95"/>
      <c r="R25" s="95"/>
      <c r="S25" s="72">
        <f t="shared" si="0"/>
        <v>81.3712941176471</v>
      </c>
      <c r="T25" s="72"/>
      <c r="U25" s="72">
        <f t="shared" si="1"/>
        <v>4.26176470588235</v>
      </c>
      <c r="V25" s="72"/>
      <c r="W25" s="72"/>
      <c r="X25" s="72">
        <f t="shared" si="6"/>
        <v>85.6330588235294</v>
      </c>
      <c r="Y25" s="85">
        <f t="shared" si="2"/>
        <v>21.2638517647059</v>
      </c>
      <c r="Z25" s="85"/>
      <c r="AA25" s="85">
        <f t="shared" si="3"/>
        <v>0.451686176470588</v>
      </c>
      <c r="AB25" s="85">
        <f t="shared" si="7"/>
        <v>21.7155379411765</v>
      </c>
      <c r="AC25" s="86">
        <v>7.27</v>
      </c>
      <c r="AD25" s="72">
        <f t="shared" si="8"/>
        <v>157.871960832353</v>
      </c>
      <c r="AE25" s="72">
        <f t="shared" si="9"/>
        <v>243.505019655882</v>
      </c>
      <c r="AF25" s="72">
        <f t="shared" si="10"/>
        <v>112.494980344118</v>
      </c>
    </row>
    <row r="26" s="2" customFormat="1" spans="1:32">
      <c r="A26" s="105"/>
      <c r="B26" s="106"/>
      <c r="C26" s="22">
        <v>241005000007</v>
      </c>
      <c r="D26" s="23">
        <v>45580</v>
      </c>
      <c r="E26" s="23" t="s">
        <v>63</v>
      </c>
      <c r="F26" s="106" t="s">
        <v>64</v>
      </c>
      <c r="G26" s="106" t="s">
        <v>66</v>
      </c>
      <c r="H26" s="107">
        <v>1.7993</v>
      </c>
      <c r="I26" s="107">
        <v>702.27</v>
      </c>
      <c r="J26" s="109"/>
      <c r="K26" s="90">
        <v>830610</v>
      </c>
      <c r="L26" s="108"/>
      <c r="M26" s="45">
        <f t="shared" ref="M26:M30" si="15">SUM(K26/N26)</f>
        <v>1678</v>
      </c>
      <c r="N26" s="46">
        <v>495</v>
      </c>
      <c r="O26" s="21">
        <v>7.27</v>
      </c>
      <c r="P26" s="48">
        <f t="shared" ref="P26:P30" si="16">SUM(N26*O26)</f>
        <v>3598.65</v>
      </c>
      <c r="Q26" s="95"/>
      <c r="R26" s="95"/>
      <c r="S26" s="72">
        <f t="shared" si="0"/>
        <v>1060.95195294118</v>
      </c>
      <c r="T26" s="72"/>
      <c r="U26" s="72">
        <f t="shared" si="1"/>
        <v>55.5666176470588</v>
      </c>
      <c r="V26" s="72"/>
      <c r="W26" s="72"/>
      <c r="X26" s="72">
        <f t="shared" si="6"/>
        <v>1116.51857058824</v>
      </c>
      <c r="Y26" s="85">
        <f t="shared" si="2"/>
        <v>277.246728117647</v>
      </c>
      <c r="Z26" s="85"/>
      <c r="AA26" s="85">
        <f t="shared" si="3"/>
        <v>5.88926766176471</v>
      </c>
      <c r="AB26" s="85">
        <f t="shared" si="7"/>
        <v>283.135995779412</v>
      </c>
      <c r="AC26" s="86">
        <v>7.27</v>
      </c>
      <c r="AD26" s="72">
        <f t="shared" si="8"/>
        <v>2058.39868931632</v>
      </c>
      <c r="AE26" s="72">
        <f t="shared" si="9"/>
        <v>3174.91725990456</v>
      </c>
      <c r="AF26" s="72">
        <f t="shared" si="10"/>
        <v>423.73274009544</v>
      </c>
    </row>
    <row r="27" s="2" customFormat="1" spans="1:32">
      <c r="A27" s="105"/>
      <c r="B27" s="106"/>
      <c r="C27" s="22">
        <v>241012000013</v>
      </c>
      <c r="D27" s="23">
        <v>45580</v>
      </c>
      <c r="E27" s="23" t="s">
        <v>63</v>
      </c>
      <c r="F27" s="106" t="s">
        <v>64</v>
      </c>
      <c r="G27" s="106" t="s">
        <v>72</v>
      </c>
      <c r="H27" s="107">
        <v>4.6667</v>
      </c>
      <c r="I27" s="107">
        <v>1862</v>
      </c>
      <c r="J27" s="109"/>
      <c r="K27" s="90">
        <v>2104240.8</v>
      </c>
      <c r="L27" s="108"/>
      <c r="M27" s="45">
        <f t="shared" si="15"/>
        <v>1639.65989366183</v>
      </c>
      <c r="N27" s="46">
        <v>1283.3398</v>
      </c>
      <c r="O27" s="21">
        <v>7.29</v>
      </c>
      <c r="P27" s="48">
        <f t="shared" si="16"/>
        <v>9355.547142</v>
      </c>
      <c r="Q27" s="95"/>
      <c r="R27" s="95"/>
      <c r="S27" s="72">
        <f t="shared" si="0"/>
        <v>2751.70592941176</v>
      </c>
      <c r="T27" s="72"/>
      <c r="U27" s="72">
        <f t="shared" si="1"/>
        <v>144.118676470588</v>
      </c>
      <c r="V27" s="72"/>
      <c r="W27" s="72"/>
      <c r="X27" s="72">
        <f t="shared" si="6"/>
        <v>2895.82460588235</v>
      </c>
      <c r="Y27" s="85">
        <f t="shared" si="2"/>
        <v>719.072587176471</v>
      </c>
      <c r="Z27" s="85"/>
      <c r="AA27" s="85">
        <f t="shared" si="3"/>
        <v>15.2745208676471</v>
      </c>
      <c r="AB27" s="85">
        <f t="shared" si="7"/>
        <v>734.347108044118</v>
      </c>
      <c r="AC27" s="86">
        <v>7.27</v>
      </c>
      <c r="AD27" s="72">
        <f t="shared" si="8"/>
        <v>5338.70347548074</v>
      </c>
      <c r="AE27" s="72">
        <f t="shared" si="9"/>
        <v>8234.52808136309</v>
      </c>
      <c r="AF27" s="72">
        <f t="shared" si="10"/>
        <v>1121.01906063691</v>
      </c>
    </row>
    <row r="28" s="2" customFormat="1" spans="1:32">
      <c r="A28" s="105"/>
      <c r="B28" s="106"/>
      <c r="C28" s="22">
        <v>241007000001</v>
      </c>
      <c r="D28" s="23">
        <v>45580</v>
      </c>
      <c r="E28" s="23" t="s">
        <v>82</v>
      </c>
      <c r="F28" s="106" t="s">
        <v>83</v>
      </c>
      <c r="G28" s="106" t="s">
        <v>96</v>
      </c>
      <c r="H28" s="107">
        <v>5.4</v>
      </c>
      <c r="I28" s="107">
        <v>3863.5</v>
      </c>
      <c r="J28" s="42">
        <v>12614.4</v>
      </c>
      <c r="K28" s="86"/>
      <c r="L28" s="108"/>
      <c r="M28" s="45"/>
      <c r="N28" s="99"/>
      <c r="O28" s="21"/>
      <c r="P28" s="48">
        <f t="shared" si="14"/>
        <v>12614.4</v>
      </c>
      <c r="Q28" s="95"/>
      <c r="R28" s="95"/>
      <c r="S28" s="72">
        <f t="shared" si="0"/>
        <v>3184.09411764706</v>
      </c>
      <c r="T28" s="72"/>
      <c r="U28" s="72">
        <f t="shared" si="1"/>
        <v>166.764705882353</v>
      </c>
      <c r="V28" s="72"/>
      <c r="W28" s="72"/>
      <c r="X28" s="72">
        <f t="shared" si="6"/>
        <v>3350.85882352941</v>
      </c>
      <c r="Y28" s="85">
        <f t="shared" si="2"/>
        <v>832.063764705882</v>
      </c>
      <c r="Z28" s="85"/>
      <c r="AA28" s="85">
        <f t="shared" si="3"/>
        <v>17.6746764705882</v>
      </c>
      <c r="AB28" s="85">
        <f t="shared" si="7"/>
        <v>849.738441176471</v>
      </c>
      <c r="AC28" s="86">
        <v>7.27</v>
      </c>
      <c r="AD28" s="72">
        <f t="shared" si="8"/>
        <v>6177.59846735294</v>
      </c>
      <c r="AE28" s="72">
        <f t="shared" si="9"/>
        <v>9528.45729088235</v>
      </c>
      <c r="AF28" s="72">
        <f t="shared" si="10"/>
        <v>3085.94270911765</v>
      </c>
    </row>
    <row r="29" s="2" customFormat="1" spans="1:32">
      <c r="A29" s="105"/>
      <c r="B29" s="106"/>
      <c r="C29" s="22">
        <v>241014000047</v>
      </c>
      <c r="D29" s="23">
        <v>45580</v>
      </c>
      <c r="E29" s="23" t="s">
        <v>82</v>
      </c>
      <c r="F29" s="106" t="s">
        <v>83</v>
      </c>
      <c r="G29" s="106" t="s">
        <v>98</v>
      </c>
      <c r="H29" s="107">
        <v>1.7401</v>
      </c>
      <c r="I29" s="107">
        <v>1028</v>
      </c>
      <c r="J29" s="42">
        <v>3551.45</v>
      </c>
      <c r="K29" s="86"/>
      <c r="L29" s="108"/>
      <c r="M29" s="45"/>
      <c r="N29" s="99"/>
      <c r="O29" s="21"/>
      <c r="P29" s="48">
        <f t="shared" si="14"/>
        <v>3551.45</v>
      </c>
      <c r="Q29" s="95"/>
      <c r="R29" s="95"/>
      <c r="S29" s="72">
        <f t="shared" si="0"/>
        <v>1026.04484705882</v>
      </c>
      <c r="T29" s="72"/>
      <c r="U29" s="72">
        <f t="shared" si="1"/>
        <v>53.7383823529412</v>
      </c>
      <c r="V29" s="104">
        <v>150</v>
      </c>
      <c r="W29" s="72"/>
      <c r="X29" s="72">
        <f t="shared" si="6"/>
        <v>1229.78322941176</v>
      </c>
      <c r="Y29" s="85">
        <f t="shared" si="2"/>
        <v>268.124843882353</v>
      </c>
      <c r="Z29" s="85"/>
      <c r="AA29" s="85">
        <f t="shared" si="3"/>
        <v>5.69550083823529</v>
      </c>
      <c r="AB29" s="85">
        <f t="shared" si="7"/>
        <v>273.820344720588</v>
      </c>
      <c r="AC29" s="86">
        <v>7.27</v>
      </c>
      <c r="AD29" s="72">
        <f t="shared" si="8"/>
        <v>1990.67390611868</v>
      </c>
      <c r="AE29" s="72">
        <f t="shared" si="9"/>
        <v>3220.45713553044</v>
      </c>
      <c r="AF29" s="72">
        <f t="shared" si="10"/>
        <v>330.99286446956</v>
      </c>
    </row>
    <row r="30" s="2" customFormat="1" spans="1:32">
      <c r="A30" s="105"/>
      <c r="B30" s="106"/>
      <c r="C30" s="22">
        <v>241015000035</v>
      </c>
      <c r="D30" s="23">
        <v>45580</v>
      </c>
      <c r="E30" s="23" t="s">
        <v>85</v>
      </c>
      <c r="F30" s="106" t="s">
        <v>86</v>
      </c>
      <c r="G30" s="106" t="s">
        <v>115</v>
      </c>
      <c r="H30" s="107">
        <v>0.6634</v>
      </c>
      <c r="I30" s="107">
        <v>185</v>
      </c>
      <c r="J30" s="109"/>
      <c r="K30" s="86"/>
      <c r="L30" s="108"/>
      <c r="M30" s="45">
        <f t="shared" si="15"/>
        <v>0</v>
      </c>
      <c r="N30" s="99">
        <v>592.5</v>
      </c>
      <c r="O30" s="21">
        <v>7.11</v>
      </c>
      <c r="P30" s="48">
        <f t="shared" si="16"/>
        <v>4212.675</v>
      </c>
      <c r="Q30" s="96"/>
      <c r="R30" s="96"/>
      <c r="S30" s="72">
        <f t="shared" si="0"/>
        <v>391.171858823529</v>
      </c>
      <c r="T30" s="72"/>
      <c r="U30" s="72">
        <f t="shared" si="1"/>
        <v>20.4873529411765</v>
      </c>
      <c r="V30" s="72"/>
      <c r="W30" s="72"/>
      <c r="X30" s="72">
        <f t="shared" si="6"/>
        <v>411.659211764706</v>
      </c>
      <c r="Y30" s="85">
        <f t="shared" si="2"/>
        <v>102.220574352941</v>
      </c>
      <c r="Z30" s="85"/>
      <c r="AA30" s="85">
        <f t="shared" si="3"/>
        <v>2.17136673529412</v>
      </c>
      <c r="AB30" s="85">
        <f t="shared" si="7"/>
        <v>104.391941088235</v>
      </c>
      <c r="AC30" s="86">
        <v>7.27</v>
      </c>
      <c r="AD30" s="72">
        <f t="shared" si="8"/>
        <v>758.929411711471</v>
      </c>
      <c r="AE30" s="72">
        <f t="shared" si="9"/>
        <v>1170.58862347618</v>
      </c>
      <c r="AF30" s="72">
        <f t="shared" si="10"/>
        <v>3042.08637652382</v>
      </c>
    </row>
    <row r="31" ht="15.75" spans="1:32">
      <c r="A31" s="25" t="s">
        <v>26</v>
      </c>
      <c r="B31" s="26"/>
      <c r="C31" s="26"/>
      <c r="D31" s="26"/>
      <c r="E31" s="26"/>
      <c r="F31" s="26"/>
      <c r="G31" s="26"/>
      <c r="H31" s="26"/>
      <c r="I31" s="49"/>
      <c r="J31" s="26">
        <f>SUM(J4:J4)</f>
        <v>0</v>
      </c>
      <c r="K31" s="50"/>
      <c r="L31" s="51"/>
      <c r="M31" s="50"/>
      <c r="N31" s="50">
        <f t="shared" ref="N31:Q31" si="17">SUM(N4:N4)</f>
        <v>0</v>
      </c>
      <c r="O31" s="26"/>
      <c r="P31" s="26">
        <f t="shared" si="17"/>
        <v>0</v>
      </c>
      <c r="Q31" s="26">
        <f t="shared" si="17"/>
        <v>0</v>
      </c>
      <c r="R31" s="26"/>
      <c r="S31" s="26"/>
      <c r="T31" s="26"/>
      <c r="U31" s="26"/>
      <c r="V31" s="26"/>
      <c r="W31" s="26"/>
      <c r="X31" s="73">
        <f>SUM(X4:X4)</f>
        <v>0</v>
      </c>
      <c r="Y31" s="51"/>
      <c r="Z31" s="51"/>
      <c r="AA31" s="51"/>
      <c r="AB31" s="51"/>
      <c r="AC31" s="50"/>
      <c r="AD31" s="26">
        <f>SUM(AD4:AD4)</f>
        <v>0</v>
      </c>
      <c r="AE31" s="26"/>
      <c r="AF31" s="87">
        <f>SUM(AF4:AF30)</f>
        <v>15990.2895927303</v>
      </c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  <row r="39" customFormat="1" spans="4:32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  <c r="AF39" s="8"/>
    </row>
    <row r="40" customFormat="1" spans="4:32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  <c r="AF40" s="8"/>
    </row>
    <row r="41" customFormat="1" spans="4:32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  <c r="AF41" s="8"/>
    </row>
    <row r="42" customFormat="1" spans="4:32">
      <c r="D42" s="3"/>
      <c r="E42" s="3"/>
      <c r="K42" s="4"/>
      <c r="L42" s="5"/>
      <c r="M42" s="4"/>
      <c r="X42" s="7"/>
      <c r="Y42" s="5"/>
      <c r="Z42" s="5"/>
      <c r="AA42" s="5"/>
      <c r="AB42" s="5"/>
      <c r="AC42" s="4"/>
      <c r="AF42" s="8"/>
    </row>
    <row r="43" customFormat="1" spans="4:32">
      <c r="D43" s="3"/>
      <c r="E43" s="3"/>
      <c r="K43" s="4"/>
      <c r="L43" s="5"/>
      <c r="M43" s="4"/>
      <c r="X43" s="7"/>
      <c r="Y43" s="5"/>
      <c r="Z43" s="5"/>
      <c r="AA43" s="5"/>
      <c r="AB43" s="5"/>
      <c r="AC43" s="4"/>
      <c r="AF43" s="8"/>
    </row>
    <row r="44" customFormat="1" spans="4:32">
      <c r="D44" s="3"/>
      <c r="E44" s="3"/>
      <c r="K44" s="4"/>
      <c r="L44" s="5"/>
      <c r="M44" s="4"/>
      <c r="X44" s="7"/>
      <c r="Y44" s="5"/>
      <c r="Z44" s="5"/>
      <c r="AA44" s="5"/>
      <c r="AB44" s="5"/>
      <c r="AC44" s="4"/>
      <c r="AF44" s="8"/>
    </row>
    <row r="45" customFormat="1" spans="4:32">
      <c r="D45" s="3"/>
      <c r="E45" s="3"/>
      <c r="K45" s="4"/>
      <c r="L45" s="5"/>
      <c r="M45" s="4"/>
      <c r="X45" s="7"/>
      <c r="Y45" s="5"/>
      <c r="Z45" s="5"/>
      <c r="AA45" s="5"/>
      <c r="AB45" s="5"/>
      <c r="AC45" s="4"/>
      <c r="AF45" s="8"/>
    </row>
    <row r="46" customFormat="1" spans="4:32">
      <c r="D46" s="3"/>
      <c r="E46" s="3"/>
      <c r="K46" s="4"/>
      <c r="L46" s="5"/>
      <c r="M46" s="4"/>
      <c r="X46" s="7"/>
      <c r="Y46" s="5"/>
      <c r="Z46" s="5"/>
      <c r="AA46" s="5"/>
      <c r="AB46" s="5"/>
      <c r="AC46" s="4"/>
      <c r="AF46" s="8"/>
    </row>
    <row r="47" customFormat="1" spans="4:32">
      <c r="D47" s="3"/>
      <c r="E47" s="3"/>
      <c r="K47" s="4"/>
      <c r="L47" s="5"/>
      <c r="M47" s="4"/>
      <c r="X47" s="7"/>
      <c r="Y47" s="5"/>
      <c r="Z47" s="5"/>
      <c r="AA47" s="5"/>
      <c r="AB47" s="5"/>
      <c r="AC47" s="4"/>
      <c r="AF47" s="8"/>
    </row>
  </sheetData>
  <autoFilter xmlns:etc="http://www.wps.cn/officeDocument/2017/etCustomData" ref="A3:AF31" etc:filterBottomFollowUsedRange="0">
    <extLst/>
  </autoFilter>
  <mergeCells count="21">
    <mergeCell ref="A1:AF1"/>
    <mergeCell ref="J3:P3"/>
    <mergeCell ref="R3:V3"/>
    <mergeCell ref="Y3:AD3"/>
    <mergeCell ref="A3:A4"/>
    <mergeCell ref="A5:A30"/>
    <mergeCell ref="B3:B4"/>
    <mergeCell ref="B5:B30"/>
    <mergeCell ref="C3:C4"/>
    <mergeCell ref="D3:D4"/>
    <mergeCell ref="E3:E4"/>
    <mergeCell ref="F3:F4"/>
    <mergeCell ref="G3:G4"/>
    <mergeCell ref="H3:H4"/>
    <mergeCell ref="I3:I4"/>
    <mergeCell ref="Q3:Q4"/>
    <mergeCell ref="Q5:Q30"/>
    <mergeCell ref="R5:R30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6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4"/>
    </row>
    <row r="2" customFormat="1" ht="31" customHeight="1" spans="1:32">
      <c r="A2" s="98" t="s">
        <v>144</v>
      </c>
      <c r="B2" s="98" t="s">
        <v>145</v>
      </c>
      <c r="C2" s="98">
        <v>75.3356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5" t="s">
        <v>39</v>
      </c>
      <c r="Z3" s="75"/>
      <c r="AA3" s="75"/>
      <c r="AB3" s="75"/>
      <c r="AC3" s="76"/>
      <c r="AD3" s="75"/>
      <c r="AE3" s="77" t="s">
        <v>40</v>
      </c>
      <c r="AF3" s="78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9" t="s">
        <v>53</v>
      </c>
      <c r="Z4" s="79" t="s">
        <v>54</v>
      </c>
      <c r="AA4" s="79" t="s">
        <v>55</v>
      </c>
      <c r="AB4" s="80" t="s">
        <v>56</v>
      </c>
      <c r="AC4" s="81" t="s">
        <v>57</v>
      </c>
      <c r="AD4" s="82" t="s">
        <v>47</v>
      </c>
      <c r="AE4" s="83" t="s">
        <v>58</v>
      </c>
      <c r="AF4" s="84"/>
    </row>
    <row r="5" s="2" customFormat="1" spans="1:32">
      <c r="A5" s="20" t="s">
        <v>16</v>
      </c>
      <c r="B5" s="21" t="s">
        <v>17</v>
      </c>
      <c r="C5" s="22">
        <v>240926000032</v>
      </c>
      <c r="D5" s="23">
        <v>45587</v>
      </c>
      <c r="E5" s="23" t="s">
        <v>63</v>
      </c>
      <c r="F5" s="21" t="s">
        <v>64</v>
      </c>
      <c r="G5" s="21" t="s">
        <v>106</v>
      </c>
      <c r="H5" s="88">
        <v>18.7805</v>
      </c>
      <c r="I5" s="88">
        <v>11775</v>
      </c>
      <c r="J5" s="42">
        <v>38416</v>
      </c>
      <c r="K5" s="86"/>
      <c r="L5" s="44"/>
      <c r="M5" s="45"/>
      <c r="N5" s="92"/>
      <c r="O5" s="21"/>
      <c r="P5" s="48">
        <f>SUBTOTAL(9,J5)</f>
        <v>38416</v>
      </c>
      <c r="Q5" s="93">
        <f>SUM(P5:P29)</f>
        <v>184202.9507362</v>
      </c>
      <c r="R5" s="94" t="s">
        <v>125</v>
      </c>
      <c r="S5" s="72">
        <f>SUM(46670/68)*H5</f>
        <v>12889.4990441176</v>
      </c>
      <c r="T5" s="72"/>
      <c r="U5" s="72">
        <f>SUM(1300/68)*H5</f>
        <v>359.038970588235</v>
      </c>
      <c r="V5" s="104">
        <v>800</v>
      </c>
      <c r="W5" s="72"/>
      <c r="X5" s="72">
        <f t="shared" ref="X5:X29" si="0">SUM(S5:W5)</f>
        <v>14048.5380147059</v>
      </c>
      <c r="Y5" s="85">
        <f>SUM(10523.89/68)*H5</f>
        <v>2906.52817860294</v>
      </c>
      <c r="Z5" s="85"/>
      <c r="AA5" s="85"/>
      <c r="AB5" s="85">
        <f t="shared" ref="AB5:AB29" si="1">SUM(Y5:AA5)</f>
        <v>2906.52817860294</v>
      </c>
      <c r="AC5" s="86">
        <v>7.28</v>
      </c>
      <c r="AD5" s="72">
        <f t="shared" ref="AD5:AD29" si="2">SUM(AB5*AC5)</f>
        <v>21159.5251402294</v>
      </c>
      <c r="AE5" s="72">
        <f t="shared" ref="AE5:AE29" si="3">SUM(X5+AD5)</f>
        <v>35208.0631549353</v>
      </c>
      <c r="AF5" s="72">
        <f t="shared" ref="AF5:AF29" si="4">SUM(P5-AE5)</f>
        <v>3207.9368450647</v>
      </c>
    </row>
    <row r="6" s="2" customFormat="1" spans="1:32">
      <c r="A6" s="20"/>
      <c r="B6" s="21"/>
      <c r="C6" s="22">
        <v>241007000001</v>
      </c>
      <c r="D6" s="23">
        <v>45587</v>
      </c>
      <c r="E6" s="23" t="s">
        <v>82</v>
      </c>
      <c r="F6" s="21" t="s">
        <v>83</v>
      </c>
      <c r="G6" s="21" t="s">
        <v>96</v>
      </c>
      <c r="H6" s="88">
        <v>5.4</v>
      </c>
      <c r="I6" s="88">
        <v>3863.5</v>
      </c>
      <c r="J6" s="42">
        <v>12614.4</v>
      </c>
      <c r="K6" s="86"/>
      <c r="L6" s="44"/>
      <c r="M6" s="45"/>
      <c r="N6" s="92"/>
      <c r="O6" s="21"/>
      <c r="P6" s="48">
        <f>SUBTOTAL(9,J6)</f>
        <v>12614.4</v>
      </c>
      <c r="Q6" s="95"/>
      <c r="R6" s="95"/>
      <c r="S6" s="72">
        <f t="shared" ref="S6:S29" si="5">SUM(46670/68)*H6</f>
        <v>3706.14705882353</v>
      </c>
      <c r="T6" s="72"/>
      <c r="U6" s="72">
        <f t="shared" ref="U6:U29" si="6">SUM(1300/68)*H6</f>
        <v>103.235294117647</v>
      </c>
      <c r="V6" s="72"/>
      <c r="W6" s="72"/>
      <c r="X6" s="72">
        <f t="shared" si="0"/>
        <v>3809.38235294118</v>
      </c>
      <c r="Y6" s="85">
        <f t="shared" ref="Y6:Y29" si="7">SUM(10523.89/68)*H6</f>
        <v>835.720676470588</v>
      </c>
      <c r="Z6" s="85"/>
      <c r="AA6" s="85"/>
      <c r="AB6" s="85">
        <f t="shared" si="1"/>
        <v>835.720676470588</v>
      </c>
      <c r="AC6" s="86">
        <v>7.28</v>
      </c>
      <c r="AD6" s="72">
        <f t="shared" si="2"/>
        <v>6084.04652470588</v>
      </c>
      <c r="AE6" s="72">
        <f t="shared" si="3"/>
        <v>9893.42887764706</v>
      </c>
      <c r="AF6" s="72">
        <f t="shared" si="4"/>
        <v>2720.97112235294</v>
      </c>
    </row>
    <row r="7" s="2" customFormat="1" spans="1:32">
      <c r="A7" s="20"/>
      <c r="B7" s="21"/>
      <c r="C7" s="22">
        <v>241008000045</v>
      </c>
      <c r="D7" s="23">
        <v>45587</v>
      </c>
      <c r="E7" s="23" t="s">
        <v>63</v>
      </c>
      <c r="F7" s="21" t="s">
        <v>64</v>
      </c>
      <c r="G7" s="21" t="s">
        <v>117</v>
      </c>
      <c r="H7" s="88">
        <v>1.0343</v>
      </c>
      <c r="I7" s="88">
        <v>87</v>
      </c>
      <c r="J7" s="42">
        <v>2210.6</v>
      </c>
      <c r="K7" s="86"/>
      <c r="L7" s="44"/>
      <c r="M7" s="45"/>
      <c r="N7" s="92"/>
      <c r="O7" s="21"/>
      <c r="P7" s="48">
        <f>SUBTOTAL(9,J7)</f>
        <v>2210.6</v>
      </c>
      <c r="Q7" s="95"/>
      <c r="R7" s="95"/>
      <c r="S7" s="72">
        <f t="shared" si="5"/>
        <v>709.864426470588</v>
      </c>
      <c r="T7" s="72"/>
      <c r="U7" s="72">
        <f t="shared" si="6"/>
        <v>19.7733823529412</v>
      </c>
      <c r="V7" s="104">
        <v>300</v>
      </c>
      <c r="W7" s="72"/>
      <c r="X7" s="72">
        <f t="shared" si="0"/>
        <v>1029.63780882353</v>
      </c>
      <c r="Y7" s="85">
        <f t="shared" si="7"/>
        <v>160.071462161765</v>
      </c>
      <c r="Z7" s="85"/>
      <c r="AA7" s="85"/>
      <c r="AB7" s="85">
        <f t="shared" si="1"/>
        <v>160.071462161765</v>
      </c>
      <c r="AC7" s="86">
        <v>7.28</v>
      </c>
      <c r="AD7" s="72">
        <f t="shared" si="2"/>
        <v>1165.32024453765</v>
      </c>
      <c r="AE7" s="72">
        <f t="shared" si="3"/>
        <v>2194.95805336118</v>
      </c>
      <c r="AF7" s="72">
        <f t="shared" si="4"/>
        <v>15.6419466388197</v>
      </c>
    </row>
    <row r="8" s="2" customFormat="1" spans="1:32">
      <c r="A8" s="20"/>
      <c r="B8" s="21"/>
      <c r="C8" s="22">
        <v>241011000009</v>
      </c>
      <c r="D8" s="23">
        <v>45587</v>
      </c>
      <c r="E8" s="23" t="s">
        <v>63</v>
      </c>
      <c r="F8" s="21" t="s">
        <v>64</v>
      </c>
      <c r="G8" s="21" t="s">
        <v>126</v>
      </c>
      <c r="H8" s="88">
        <v>0.7032</v>
      </c>
      <c r="I8" s="88">
        <v>282</v>
      </c>
      <c r="J8" s="42">
        <v>1819</v>
      </c>
      <c r="K8" s="86"/>
      <c r="L8" s="44"/>
      <c r="M8" s="45"/>
      <c r="N8" s="92"/>
      <c r="O8" s="21"/>
      <c r="P8" s="48">
        <f>SUBTOTAL(9,J8)</f>
        <v>1819</v>
      </c>
      <c r="Q8" s="95"/>
      <c r="R8" s="95"/>
      <c r="S8" s="72">
        <f t="shared" si="5"/>
        <v>482.622705882353</v>
      </c>
      <c r="T8" s="72"/>
      <c r="U8" s="72">
        <f t="shared" si="6"/>
        <v>13.4435294117647</v>
      </c>
      <c r="V8" s="72"/>
      <c r="W8" s="72"/>
      <c r="X8" s="72">
        <f t="shared" si="0"/>
        <v>496.066235294118</v>
      </c>
      <c r="Y8" s="85">
        <f t="shared" si="7"/>
        <v>108.829403647059</v>
      </c>
      <c r="Z8" s="85"/>
      <c r="AA8" s="85"/>
      <c r="AB8" s="85">
        <f t="shared" si="1"/>
        <v>108.829403647059</v>
      </c>
      <c r="AC8" s="86">
        <v>7.28</v>
      </c>
      <c r="AD8" s="72">
        <f t="shared" si="2"/>
        <v>792.278058550588</v>
      </c>
      <c r="AE8" s="72">
        <f t="shared" si="3"/>
        <v>1288.34429384471</v>
      </c>
      <c r="AF8" s="72">
        <f t="shared" si="4"/>
        <v>530.65570615529</v>
      </c>
    </row>
    <row r="9" s="2" customFormat="1" spans="1:32">
      <c r="A9" s="20"/>
      <c r="B9" s="21"/>
      <c r="C9" s="22">
        <v>241011000052</v>
      </c>
      <c r="D9" s="23">
        <v>45587</v>
      </c>
      <c r="E9" s="23" t="s">
        <v>100</v>
      </c>
      <c r="F9" s="21" t="s">
        <v>127</v>
      </c>
      <c r="G9" s="21" t="s">
        <v>128</v>
      </c>
      <c r="H9" s="88">
        <v>1.5798</v>
      </c>
      <c r="I9" s="88">
        <v>199</v>
      </c>
      <c r="J9" s="48"/>
      <c r="K9" s="90">
        <v>795789</v>
      </c>
      <c r="L9" s="44"/>
      <c r="M9" s="45">
        <f>SUM(K9/N9)</f>
        <v>1736.999607107</v>
      </c>
      <c r="N9" s="46">
        <v>458.14</v>
      </c>
      <c r="O9" s="21">
        <v>7.28</v>
      </c>
      <c r="P9" s="48">
        <f>SUM(N9*O9)</f>
        <v>3335.2592</v>
      </c>
      <c r="Q9" s="95"/>
      <c r="R9" s="95"/>
      <c r="S9" s="72">
        <f t="shared" si="5"/>
        <v>1084.25391176471</v>
      </c>
      <c r="T9" s="72"/>
      <c r="U9" s="72">
        <f t="shared" si="6"/>
        <v>30.2020588235294</v>
      </c>
      <c r="V9" s="72"/>
      <c r="W9" s="72"/>
      <c r="X9" s="72">
        <f t="shared" si="0"/>
        <v>1114.45597058824</v>
      </c>
      <c r="Y9" s="85">
        <f t="shared" si="7"/>
        <v>244.494726794118</v>
      </c>
      <c r="Z9" s="85"/>
      <c r="AA9" s="85"/>
      <c r="AB9" s="85">
        <f t="shared" si="1"/>
        <v>244.494726794118</v>
      </c>
      <c r="AC9" s="86">
        <v>7.28</v>
      </c>
      <c r="AD9" s="72">
        <f t="shared" si="2"/>
        <v>1779.92161106118</v>
      </c>
      <c r="AE9" s="72">
        <f t="shared" si="3"/>
        <v>2894.37758164941</v>
      </c>
      <c r="AF9" s="72">
        <f t="shared" si="4"/>
        <v>440.88161835059</v>
      </c>
    </row>
    <row r="10" s="2" customFormat="1" spans="1:32">
      <c r="A10" s="20"/>
      <c r="B10" s="21"/>
      <c r="C10" s="22">
        <v>241015000012</v>
      </c>
      <c r="D10" s="23">
        <v>45587</v>
      </c>
      <c r="E10" s="23" t="s">
        <v>74</v>
      </c>
      <c r="F10" s="21" t="s">
        <v>74</v>
      </c>
      <c r="G10" s="21" t="s">
        <v>129</v>
      </c>
      <c r="H10" s="88">
        <v>0.4173</v>
      </c>
      <c r="I10" s="88">
        <v>209</v>
      </c>
      <c r="J10" s="42">
        <v>914</v>
      </c>
      <c r="K10" s="86"/>
      <c r="L10" s="44"/>
      <c r="M10" s="45"/>
      <c r="N10" s="92"/>
      <c r="O10" s="21"/>
      <c r="P10" s="48">
        <f t="shared" ref="P10:P13" si="8">SUBTOTAL(9,J10)</f>
        <v>914</v>
      </c>
      <c r="Q10" s="95"/>
      <c r="R10" s="95"/>
      <c r="S10" s="72">
        <f t="shared" si="5"/>
        <v>286.402808823529</v>
      </c>
      <c r="T10" s="72"/>
      <c r="U10" s="72">
        <f t="shared" si="6"/>
        <v>7.97779411764706</v>
      </c>
      <c r="V10" s="72"/>
      <c r="W10" s="72"/>
      <c r="X10" s="72">
        <f t="shared" si="0"/>
        <v>294.380602941177</v>
      </c>
      <c r="Y10" s="85">
        <f t="shared" si="7"/>
        <v>64.5826367205882</v>
      </c>
      <c r="Z10" s="85"/>
      <c r="AA10" s="85"/>
      <c r="AB10" s="85">
        <f t="shared" si="1"/>
        <v>64.5826367205882</v>
      </c>
      <c r="AC10" s="86">
        <v>7.28</v>
      </c>
      <c r="AD10" s="72">
        <f t="shared" si="2"/>
        <v>470.161595325882</v>
      </c>
      <c r="AE10" s="72">
        <f t="shared" si="3"/>
        <v>764.542198267059</v>
      </c>
      <c r="AF10" s="72">
        <f t="shared" si="4"/>
        <v>149.457801732941</v>
      </c>
    </row>
    <row r="11" s="2" customFormat="1" spans="1:32">
      <c r="A11" s="20"/>
      <c r="B11" s="21"/>
      <c r="C11" s="22">
        <v>241015000013</v>
      </c>
      <c r="D11" s="23">
        <v>45587</v>
      </c>
      <c r="E11" s="23" t="s">
        <v>74</v>
      </c>
      <c r="F11" s="21" t="s">
        <v>74</v>
      </c>
      <c r="G11" s="21" t="s">
        <v>130</v>
      </c>
      <c r="H11" s="88">
        <v>18.4906</v>
      </c>
      <c r="I11" s="88">
        <v>7082</v>
      </c>
      <c r="J11" s="42">
        <v>57160</v>
      </c>
      <c r="K11" s="86"/>
      <c r="L11" s="44"/>
      <c r="M11" s="45"/>
      <c r="N11" s="92"/>
      <c r="O11" s="21"/>
      <c r="P11" s="48">
        <f t="shared" si="8"/>
        <v>57160</v>
      </c>
      <c r="Q11" s="95"/>
      <c r="R11" s="95"/>
      <c r="S11" s="72">
        <f t="shared" si="5"/>
        <v>12690.5338529412</v>
      </c>
      <c r="T11" s="72"/>
      <c r="U11" s="72">
        <f t="shared" si="6"/>
        <v>353.496764705882</v>
      </c>
      <c r="V11" s="72"/>
      <c r="W11" s="72"/>
      <c r="X11" s="72">
        <f t="shared" si="0"/>
        <v>13044.0306176471</v>
      </c>
      <c r="Y11" s="85">
        <f t="shared" si="7"/>
        <v>2861.66235932353</v>
      </c>
      <c r="Z11" s="97">
        <v>777.2</v>
      </c>
      <c r="AA11" s="85"/>
      <c r="AB11" s="85">
        <f t="shared" si="1"/>
        <v>3638.86235932353</v>
      </c>
      <c r="AC11" s="86">
        <v>7.28</v>
      </c>
      <c r="AD11" s="72">
        <f t="shared" si="2"/>
        <v>26490.9179758753</v>
      </c>
      <c r="AE11" s="72">
        <f t="shared" si="3"/>
        <v>39534.9485935224</v>
      </c>
      <c r="AF11" s="72">
        <f t="shared" si="4"/>
        <v>17625.0514064776</v>
      </c>
    </row>
    <row r="12" s="2" customFormat="1" spans="1:32">
      <c r="A12" s="20"/>
      <c r="B12" s="21"/>
      <c r="C12" s="22">
        <v>241015000033</v>
      </c>
      <c r="D12" s="23">
        <v>45587</v>
      </c>
      <c r="E12" s="23" t="s">
        <v>59</v>
      </c>
      <c r="F12" s="21" t="s">
        <v>60</v>
      </c>
      <c r="G12" s="21" t="s">
        <v>114</v>
      </c>
      <c r="H12" s="88">
        <v>6.7059</v>
      </c>
      <c r="I12" s="88">
        <v>796</v>
      </c>
      <c r="J12" s="42">
        <v>17295.8</v>
      </c>
      <c r="K12" s="86"/>
      <c r="L12" s="44"/>
      <c r="M12" s="45"/>
      <c r="N12" s="92"/>
      <c r="O12" s="21"/>
      <c r="P12" s="48">
        <f t="shared" si="8"/>
        <v>17295.8</v>
      </c>
      <c r="Q12" s="95"/>
      <c r="R12" s="95"/>
      <c r="S12" s="72">
        <f t="shared" si="5"/>
        <v>4602.41695588235</v>
      </c>
      <c r="T12" s="72"/>
      <c r="U12" s="72">
        <f t="shared" si="6"/>
        <v>128.201029411765</v>
      </c>
      <c r="V12" s="104">
        <v>300</v>
      </c>
      <c r="W12" s="72"/>
      <c r="X12" s="72">
        <f t="shared" si="0"/>
        <v>5030.61798529412</v>
      </c>
      <c r="Y12" s="85">
        <f t="shared" si="7"/>
        <v>1037.82579339706</v>
      </c>
      <c r="Z12" s="97">
        <v>299.37</v>
      </c>
      <c r="AA12" s="85"/>
      <c r="AB12" s="85">
        <f t="shared" si="1"/>
        <v>1337.19579339706</v>
      </c>
      <c r="AC12" s="86">
        <v>7.28</v>
      </c>
      <c r="AD12" s="72">
        <f t="shared" si="2"/>
        <v>9734.78537593059</v>
      </c>
      <c r="AE12" s="72">
        <f t="shared" si="3"/>
        <v>14765.4033612247</v>
      </c>
      <c r="AF12" s="72">
        <f t="shared" si="4"/>
        <v>2530.3966387753</v>
      </c>
    </row>
    <row r="13" s="2" customFormat="1" spans="1:32">
      <c r="A13" s="20"/>
      <c r="B13" s="21"/>
      <c r="C13" s="22">
        <v>241016000053</v>
      </c>
      <c r="D13" s="23">
        <v>45587</v>
      </c>
      <c r="E13" s="23" t="s">
        <v>69</v>
      </c>
      <c r="F13" s="21" t="s">
        <v>70</v>
      </c>
      <c r="G13" s="21" t="s">
        <v>76</v>
      </c>
      <c r="H13" s="88">
        <v>1.2066</v>
      </c>
      <c r="I13" s="88">
        <v>116</v>
      </c>
      <c r="J13" s="42">
        <v>2950.46</v>
      </c>
      <c r="K13" s="86"/>
      <c r="L13" s="44"/>
      <c r="M13" s="45"/>
      <c r="N13" s="92"/>
      <c r="O13" s="21"/>
      <c r="P13" s="48">
        <f t="shared" si="8"/>
        <v>2950.46</v>
      </c>
      <c r="Q13" s="95"/>
      <c r="R13" s="95"/>
      <c r="S13" s="72">
        <f t="shared" si="5"/>
        <v>828.117970588235</v>
      </c>
      <c r="T13" s="72"/>
      <c r="U13" s="72">
        <f t="shared" si="6"/>
        <v>23.0673529411765</v>
      </c>
      <c r="V13" s="104">
        <v>300</v>
      </c>
      <c r="W13" s="72"/>
      <c r="X13" s="72">
        <f t="shared" si="0"/>
        <v>1151.18532352941</v>
      </c>
      <c r="Y13" s="85">
        <f t="shared" si="7"/>
        <v>186.737142264706</v>
      </c>
      <c r="Z13" s="85"/>
      <c r="AA13" s="85"/>
      <c r="AB13" s="85">
        <f t="shared" si="1"/>
        <v>186.737142264706</v>
      </c>
      <c r="AC13" s="86">
        <v>7.28</v>
      </c>
      <c r="AD13" s="72">
        <f t="shared" si="2"/>
        <v>1359.44639568706</v>
      </c>
      <c r="AE13" s="72">
        <f t="shared" si="3"/>
        <v>2510.63171921647</v>
      </c>
      <c r="AF13" s="72">
        <f t="shared" si="4"/>
        <v>439.82828078353</v>
      </c>
    </row>
    <row r="14" s="2" customFormat="1" spans="1:32">
      <c r="A14" s="20"/>
      <c r="B14" s="21"/>
      <c r="C14" s="22">
        <v>241017000056</v>
      </c>
      <c r="D14" s="23">
        <v>45587</v>
      </c>
      <c r="E14" s="23" t="s">
        <v>69</v>
      </c>
      <c r="F14" s="21" t="s">
        <v>70</v>
      </c>
      <c r="G14" s="21" t="s">
        <v>80</v>
      </c>
      <c r="H14" s="88">
        <v>8.013</v>
      </c>
      <c r="I14" s="88">
        <v>788</v>
      </c>
      <c r="J14" s="48"/>
      <c r="K14" s="90">
        <v>4131000</v>
      </c>
      <c r="L14" s="44"/>
      <c r="M14" s="45">
        <f t="shared" ref="M14:M19" si="9">SUM(K14/N14)</f>
        <v>1700</v>
      </c>
      <c r="N14" s="46">
        <v>2430</v>
      </c>
      <c r="O14" s="21">
        <v>7.26</v>
      </c>
      <c r="P14" s="48">
        <f t="shared" ref="P14:P19" si="10">SUM(N14*O14)</f>
        <v>17641.8</v>
      </c>
      <c r="Q14" s="95"/>
      <c r="R14" s="95"/>
      <c r="S14" s="72">
        <f t="shared" si="5"/>
        <v>5499.51044117647</v>
      </c>
      <c r="T14" s="72"/>
      <c r="U14" s="72">
        <f t="shared" si="6"/>
        <v>153.189705882353</v>
      </c>
      <c r="V14" s="72"/>
      <c r="W14" s="72"/>
      <c r="X14" s="72">
        <f t="shared" si="0"/>
        <v>5652.70014705882</v>
      </c>
      <c r="Y14" s="85">
        <f t="shared" si="7"/>
        <v>1240.11662602941</v>
      </c>
      <c r="Z14" s="85"/>
      <c r="AA14" s="85"/>
      <c r="AB14" s="85">
        <f t="shared" si="1"/>
        <v>1240.11662602941</v>
      </c>
      <c r="AC14" s="86">
        <v>7.28</v>
      </c>
      <c r="AD14" s="72">
        <f t="shared" si="2"/>
        <v>9028.04903749412</v>
      </c>
      <c r="AE14" s="72">
        <f t="shared" si="3"/>
        <v>14680.7491845529</v>
      </c>
      <c r="AF14" s="72">
        <f t="shared" si="4"/>
        <v>2961.0508154471</v>
      </c>
    </row>
    <row r="15" s="2" customFormat="1" spans="1:32">
      <c r="A15" s="20"/>
      <c r="B15" s="21"/>
      <c r="C15" s="22">
        <v>241018000013</v>
      </c>
      <c r="D15" s="23">
        <v>45587</v>
      </c>
      <c r="E15" s="23" t="s">
        <v>63</v>
      </c>
      <c r="F15" s="21" t="s">
        <v>64</v>
      </c>
      <c r="G15" s="21" t="s">
        <v>131</v>
      </c>
      <c r="H15" s="88">
        <v>0.0116</v>
      </c>
      <c r="I15" s="88">
        <v>31</v>
      </c>
      <c r="J15" s="42">
        <v>397.5</v>
      </c>
      <c r="K15" s="86"/>
      <c r="L15" s="44"/>
      <c r="M15" s="45"/>
      <c r="N15" s="92"/>
      <c r="O15" s="21"/>
      <c r="P15" s="48">
        <f t="shared" ref="P15:P18" si="11">SUBTOTAL(9,J15)</f>
        <v>397.5</v>
      </c>
      <c r="Q15" s="95"/>
      <c r="R15" s="95"/>
      <c r="S15" s="72">
        <f t="shared" si="5"/>
        <v>7.96135294117647</v>
      </c>
      <c r="T15" s="72"/>
      <c r="U15" s="72">
        <f t="shared" si="6"/>
        <v>0.221764705882353</v>
      </c>
      <c r="V15" s="72"/>
      <c r="W15" s="104">
        <v>62</v>
      </c>
      <c r="X15" s="72">
        <f t="shared" si="0"/>
        <v>70.1831176470588</v>
      </c>
      <c r="Y15" s="85">
        <f t="shared" si="7"/>
        <v>1.79525182352941</v>
      </c>
      <c r="Z15" s="97">
        <v>13.24</v>
      </c>
      <c r="AA15" s="85"/>
      <c r="AB15" s="85">
        <f t="shared" si="1"/>
        <v>15.0352518235294</v>
      </c>
      <c r="AC15" s="86">
        <v>7.28</v>
      </c>
      <c r="AD15" s="72">
        <f t="shared" si="2"/>
        <v>109.456633275294</v>
      </c>
      <c r="AE15" s="72">
        <f t="shared" si="3"/>
        <v>179.639750922353</v>
      </c>
      <c r="AF15" s="72">
        <f t="shared" si="4"/>
        <v>217.860249077647</v>
      </c>
    </row>
    <row r="16" s="2" customFormat="1" spans="1:32">
      <c r="A16" s="20"/>
      <c r="B16" s="21"/>
      <c r="C16" s="22">
        <v>241018000027</v>
      </c>
      <c r="D16" s="23">
        <v>45587</v>
      </c>
      <c r="E16" s="23" t="s">
        <v>69</v>
      </c>
      <c r="F16" s="21" t="s">
        <v>70</v>
      </c>
      <c r="G16" s="21" t="s">
        <v>81</v>
      </c>
      <c r="H16" s="88">
        <v>1.3662</v>
      </c>
      <c r="I16" s="88">
        <v>373</v>
      </c>
      <c r="J16" s="48"/>
      <c r="K16" s="90">
        <v>745280</v>
      </c>
      <c r="L16" s="44"/>
      <c r="M16" s="45">
        <f t="shared" si="9"/>
        <v>1700</v>
      </c>
      <c r="N16" s="46">
        <v>438.4</v>
      </c>
      <c r="O16" s="21">
        <v>7.29</v>
      </c>
      <c r="P16" s="48">
        <f t="shared" si="10"/>
        <v>3195.936</v>
      </c>
      <c r="Q16" s="95"/>
      <c r="R16" s="95"/>
      <c r="S16" s="72">
        <f t="shared" si="5"/>
        <v>937.655205882353</v>
      </c>
      <c r="T16" s="72"/>
      <c r="U16" s="72">
        <f t="shared" si="6"/>
        <v>26.1185294117647</v>
      </c>
      <c r="V16" s="72"/>
      <c r="W16" s="72"/>
      <c r="X16" s="72">
        <f t="shared" si="0"/>
        <v>963.773735294118</v>
      </c>
      <c r="Y16" s="85">
        <f t="shared" si="7"/>
        <v>211.437331147059</v>
      </c>
      <c r="Z16" s="97">
        <v>12.09</v>
      </c>
      <c r="AA16" s="85"/>
      <c r="AB16" s="85">
        <f t="shared" si="1"/>
        <v>223.527331147059</v>
      </c>
      <c r="AC16" s="86">
        <v>7.28</v>
      </c>
      <c r="AD16" s="72">
        <f t="shared" si="2"/>
        <v>1627.27897075059</v>
      </c>
      <c r="AE16" s="72">
        <f t="shared" si="3"/>
        <v>2591.05270604471</v>
      </c>
      <c r="AF16" s="72">
        <f t="shared" si="4"/>
        <v>604.88329395529</v>
      </c>
    </row>
    <row r="17" s="2" customFormat="1" spans="1:32">
      <c r="A17" s="20"/>
      <c r="B17" s="21"/>
      <c r="C17" s="22">
        <v>241018000032</v>
      </c>
      <c r="D17" s="23">
        <v>45587</v>
      </c>
      <c r="E17" s="23" t="s">
        <v>63</v>
      </c>
      <c r="F17" s="21" t="s">
        <v>64</v>
      </c>
      <c r="G17" s="21" t="s">
        <v>117</v>
      </c>
      <c r="H17" s="88">
        <v>0.2617</v>
      </c>
      <c r="I17" s="88">
        <v>43</v>
      </c>
      <c r="J17" s="42">
        <v>595.4</v>
      </c>
      <c r="K17" s="86"/>
      <c r="L17" s="44"/>
      <c r="M17" s="45"/>
      <c r="N17" s="92"/>
      <c r="O17" s="21"/>
      <c r="P17" s="48">
        <f t="shared" si="11"/>
        <v>595.4</v>
      </c>
      <c r="Q17" s="95"/>
      <c r="R17" s="95"/>
      <c r="S17" s="72">
        <f t="shared" si="5"/>
        <v>179.610867647059</v>
      </c>
      <c r="T17" s="72"/>
      <c r="U17" s="72">
        <f t="shared" si="6"/>
        <v>5.00308823529412</v>
      </c>
      <c r="V17" s="72"/>
      <c r="W17" s="72"/>
      <c r="X17" s="72">
        <f t="shared" si="0"/>
        <v>184.613955882353</v>
      </c>
      <c r="Y17" s="85">
        <f t="shared" si="7"/>
        <v>40.5015001911765</v>
      </c>
      <c r="Z17" s="85"/>
      <c r="AA17" s="85"/>
      <c r="AB17" s="85">
        <f t="shared" si="1"/>
        <v>40.5015001911765</v>
      </c>
      <c r="AC17" s="86">
        <v>7.28</v>
      </c>
      <c r="AD17" s="72">
        <f t="shared" si="2"/>
        <v>294.850921391765</v>
      </c>
      <c r="AE17" s="72">
        <f t="shared" si="3"/>
        <v>479.464877274118</v>
      </c>
      <c r="AF17" s="72">
        <f t="shared" si="4"/>
        <v>115.935122725882</v>
      </c>
    </row>
    <row r="18" s="2" customFormat="1" spans="1:32">
      <c r="A18" s="20"/>
      <c r="B18" s="21"/>
      <c r="C18" s="22">
        <v>241018000040</v>
      </c>
      <c r="D18" s="23">
        <v>45587</v>
      </c>
      <c r="E18" s="23" t="s">
        <v>109</v>
      </c>
      <c r="F18" s="21" t="s">
        <v>110</v>
      </c>
      <c r="G18" s="21" t="s">
        <v>111</v>
      </c>
      <c r="H18" s="88">
        <v>0.072</v>
      </c>
      <c r="I18" s="88">
        <v>11</v>
      </c>
      <c r="J18" s="42">
        <v>153.3</v>
      </c>
      <c r="K18" s="86"/>
      <c r="L18" s="44"/>
      <c r="M18" s="45"/>
      <c r="N18" s="92"/>
      <c r="O18" s="21"/>
      <c r="P18" s="48">
        <f t="shared" si="11"/>
        <v>153.3</v>
      </c>
      <c r="Q18" s="95"/>
      <c r="R18" s="95"/>
      <c r="S18" s="72">
        <f t="shared" si="5"/>
        <v>49.4152941176471</v>
      </c>
      <c r="T18" s="72"/>
      <c r="U18" s="72">
        <f t="shared" si="6"/>
        <v>1.37647058823529</v>
      </c>
      <c r="V18" s="72"/>
      <c r="W18" s="72"/>
      <c r="X18" s="72">
        <f t="shared" si="0"/>
        <v>50.7917647058824</v>
      </c>
      <c r="Y18" s="85">
        <f t="shared" si="7"/>
        <v>11.1429423529412</v>
      </c>
      <c r="Z18" s="85"/>
      <c r="AA18" s="85"/>
      <c r="AB18" s="85">
        <f t="shared" si="1"/>
        <v>11.1429423529412</v>
      </c>
      <c r="AC18" s="86">
        <v>7.28</v>
      </c>
      <c r="AD18" s="72">
        <f t="shared" si="2"/>
        <v>81.1206203294117</v>
      </c>
      <c r="AE18" s="72">
        <f t="shared" si="3"/>
        <v>131.912385035294</v>
      </c>
      <c r="AF18" s="72">
        <f t="shared" si="4"/>
        <v>21.387614964706</v>
      </c>
    </row>
    <row r="19" s="2" customFormat="1" spans="1:32">
      <c r="A19" s="20"/>
      <c r="B19" s="21"/>
      <c r="C19" s="22">
        <v>241019000014</v>
      </c>
      <c r="D19" s="23">
        <v>45587</v>
      </c>
      <c r="E19" s="23" t="s">
        <v>63</v>
      </c>
      <c r="F19" s="21" t="s">
        <v>64</v>
      </c>
      <c r="G19" s="21" t="s">
        <v>66</v>
      </c>
      <c r="H19" s="88">
        <v>0.1797</v>
      </c>
      <c r="I19" s="88">
        <v>75</v>
      </c>
      <c r="J19" s="48"/>
      <c r="K19" s="90">
        <v>98978.4</v>
      </c>
      <c r="L19" s="44"/>
      <c r="M19" s="45">
        <f t="shared" si="9"/>
        <v>1867.16433367962</v>
      </c>
      <c r="N19" s="46">
        <v>53.01001</v>
      </c>
      <c r="O19" s="21">
        <v>7.27</v>
      </c>
      <c r="P19" s="48">
        <f t="shared" si="10"/>
        <v>385.3827727</v>
      </c>
      <c r="Q19" s="95"/>
      <c r="R19" s="95"/>
      <c r="S19" s="72">
        <f t="shared" si="5"/>
        <v>123.332338235294</v>
      </c>
      <c r="T19" s="72"/>
      <c r="U19" s="72">
        <f t="shared" si="6"/>
        <v>3.43544117647059</v>
      </c>
      <c r="V19" s="72"/>
      <c r="W19" s="72"/>
      <c r="X19" s="72">
        <f t="shared" si="0"/>
        <v>126.767779411765</v>
      </c>
      <c r="Y19" s="85">
        <f t="shared" si="7"/>
        <v>27.8109269558824</v>
      </c>
      <c r="Z19" s="85"/>
      <c r="AA19" s="85"/>
      <c r="AB19" s="85">
        <f t="shared" si="1"/>
        <v>27.8109269558824</v>
      </c>
      <c r="AC19" s="86">
        <v>7.28</v>
      </c>
      <c r="AD19" s="72">
        <f t="shared" si="2"/>
        <v>202.463548238824</v>
      </c>
      <c r="AE19" s="72">
        <f t="shared" si="3"/>
        <v>329.231327650588</v>
      </c>
      <c r="AF19" s="72">
        <f t="shared" si="4"/>
        <v>56.151445049412</v>
      </c>
    </row>
    <row r="20" s="2" customFormat="1" spans="1:32">
      <c r="A20" s="20"/>
      <c r="B20" s="21"/>
      <c r="C20" s="22">
        <v>241021000038</v>
      </c>
      <c r="D20" s="23">
        <v>45587</v>
      </c>
      <c r="E20" s="23" t="s">
        <v>109</v>
      </c>
      <c r="F20" s="21" t="s">
        <v>110</v>
      </c>
      <c r="G20" s="21" t="s">
        <v>132</v>
      </c>
      <c r="H20" s="88">
        <v>0.443</v>
      </c>
      <c r="I20" s="88">
        <v>70</v>
      </c>
      <c r="J20" s="42">
        <v>1201</v>
      </c>
      <c r="K20" s="86"/>
      <c r="L20" s="44"/>
      <c r="M20" s="45"/>
      <c r="N20" s="92"/>
      <c r="O20" s="21"/>
      <c r="P20" s="48">
        <f>SUBTOTAL(9,J20)</f>
        <v>1201</v>
      </c>
      <c r="Q20" s="95"/>
      <c r="R20" s="95"/>
      <c r="S20" s="72">
        <f t="shared" si="5"/>
        <v>304.041323529412</v>
      </c>
      <c r="T20" s="72"/>
      <c r="U20" s="72">
        <f t="shared" si="6"/>
        <v>8.46911764705882</v>
      </c>
      <c r="V20" s="72"/>
      <c r="W20" s="72"/>
      <c r="X20" s="72">
        <f t="shared" si="0"/>
        <v>312.510441176471</v>
      </c>
      <c r="Y20" s="85">
        <f t="shared" si="7"/>
        <v>68.5600480882353</v>
      </c>
      <c r="Z20" s="85"/>
      <c r="AA20" s="85"/>
      <c r="AB20" s="85">
        <f t="shared" si="1"/>
        <v>68.5600480882353</v>
      </c>
      <c r="AC20" s="86">
        <v>7.28</v>
      </c>
      <c r="AD20" s="72">
        <f t="shared" si="2"/>
        <v>499.117150082353</v>
      </c>
      <c r="AE20" s="72">
        <f t="shared" si="3"/>
        <v>811.627591258824</v>
      </c>
      <c r="AF20" s="72">
        <f t="shared" si="4"/>
        <v>389.372408741176</v>
      </c>
    </row>
    <row r="21" s="2" customFormat="1" spans="1:32">
      <c r="A21" s="20"/>
      <c r="B21" s="21"/>
      <c r="C21" s="22">
        <v>241021000046</v>
      </c>
      <c r="D21" s="23">
        <v>45587</v>
      </c>
      <c r="E21" s="23" t="s">
        <v>63</v>
      </c>
      <c r="F21" s="21" t="s">
        <v>64</v>
      </c>
      <c r="G21" s="21" t="s">
        <v>72</v>
      </c>
      <c r="H21" s="88">
        <v>2.7577</v>
      </c>
      <c r="I21" s="88">
        <v>1156</v>
      </c>
      <c r="J21" s="48"/>
      <c r="K21" s="90">
        <v>1342546</v>
      </c>
      <c r="L21" s="44"/>
      <c r="M21" s="45">
        <f t="shared" ref="M21:M27" si="12">SUM(K21/N21)</f>
        <v>1678.60204559877</v>
      </c>
      <c r="N21" s="46">
        <v>799.80005</v>
      </c>
      <c r="O21" s="21">
        <v>7.27</v>
      </c>
      <c r="P21" s="48">
        <f t="shared" ref="P21:P27" si="13">SUM(N21*O21)</f>
        <v>5814.5463635</v>
      </c>
      <c r="Q21" s="95"/>
      <c r="R21" s="95"/>
      <c r="S21" s="72">
        <f t="shared" si="5"/>
        <v>1892.67439705882</v>
      </c>
      <c r="T21" s="72"/>
      <c r="U21" s="72">
        <f t="shared" si="6"/>
        <v>52.7207352941176</v>
      </c>
      <c r="V21" s="72"/>
      <c r="W21" s="72"/>
      <c r="X21" s="72">
        <f t="shared" si="0"/>
        <v>1945.39513235294</v>
      </c>
      <c r="Y21" s="85">
        <f t="shared" si="7"/>
        <v>426.790168426471</v>
      </c>
      <c r="Z21" s="85"/>
      <c r="AA21" s="85"/>
      <c r="AB21" s="85">
        <f t="shared" si="1"/>
        <v>426.790168426471</v>
      </c>
      <c r="AC21" s="86">
        <v>7.28</v>
      </c>
      <c r="AD21" s="72">
        <f t="shared" si="2"/>
        <v>3107.03242614471</v>
      </c>
      <c r="AE21" s="72">
        <f t="shared" si="3"/>
        <v>5052.42755849765</v>
      </c>
      <c r="AF21" s="72">
        <f t="shared" si="4"/>
        <v>762.118805002349</v>
      </c>
    </row>
    <row r="22" s="2" customFormat="1" spans="1:32">
      <c r="A22" s="20"/>
      <c r="B22" s="21"/>
      <c r="C22" s="22">
        <v>241021000062</v>
      </c>
      <c r="D22" s="23">
        <v>45587</v>
      </c>
      <c r="E22" s="23" t="s">
        <v>69</v>
      </c>
      <c r="F22" s="21" t="s">
        <v>70</v>
      </c>
      <c r="G22" s="21" t="s">
        <v>76</v>
      </c>
      <c r="H22" s="88">
        <v>0.2357</v>
      </c>
      <c r="I22" s="88">
        <v>19</v>
      </c>
      <c r="J22" s="42">
        <v>489.22</v>
      </c>
      <c r="K22" s="86"/>
      <c r="L22" s="44"/>
      <c r="M22" s="45"/>
      <c r="N22" s="92"/>
      <c r="O22" s="21"/>
      <c r="P22" s="48">
        <f>SUBTOTAL(9,J22)</f>
        <v>489.22</v>
      </c>
      <c r="Q22" s="95"/>
      <c r="R22" s="95"/>
      <c r="S22" s="72">
        <f t="shared" si="5"/>
        <v>161.766455882353</v>
      </c>
      <c r="T22" s="72"/>
      <c r="U22" s="72">
        <f t="shared" si="6"/>
        <v>4.50602941176471</v>
      </c>
      <c r="V22" s="72"/>
      <c r="W22" s="72"/>
      <c r="X22" s="72">
        <f t="shared" si="0"/>
        <v>166.272485294118</v>
      </c>
      <c r="Y22" s="85">
        <f t="shared" si="7"/>
        <v>36.4776598970588</v>
      </c>
      <c r="Z22" s="85"/>
      <c r="AA22" s="85"/>
      <c r="AB22" s="85">
        <f t="shared" si="1"/>
        <v>36.4776598970588</v>
      </c>
      <c r="AC22" s="86">
        <v>7.28</v>
      </c>
      <c r="AD22" s="72">
        <f t="shared" si="2"/>
        <v>265.557364050588</v>
      </c>
      <c r="AE22" s="72">
        <f t="shared" si="3"/>
        <v>431.829849344706</v>
      </c>
      <c r="AF22" s="72">
        <f t="shared" si="4"/>
        <v>57.390150655294</v>
      </c>
    </row>
    <row r="23" s="2" customFormat="1" spans="1:32">
      <c r="A23" s="20"/>
      <c r="B23" s="21"/>
      <c r="C23" s="22">
        <v>241022000014</v>
      </c>
      <c r="D23" s="23">
        <v>45587</v>
      </c>
      <c r="E23" s="23" t="s">
        <v>85</v>
      </c>
      <c r="F23" s="21" t="s">
        <v>86</v>
      </c>
      <c r="G23" s="21" t="s">
        <v>75</v>
      </c>
      <c r="H23" s="88">
        <v>0.168</v>
      </c>
      <c r="I23" s="88">
        <v>64</v>
      </c>
      <c r="J23" s="48"/>
      <c r="K23" s="90">
        <v>67947.46</v>
      </c>
      <c r="L23" s="44"/>
      <c r="M23" s="45">
        <f t="shared" ref="M23:M25" si="14">SUM(K23/N23)</f>
        <v>1631</v>
      </c>
      <c r="N23" s="46">
        <v>41.66</v>
      </c>
      <c r="O23" s="21">
        <v>7.35</v>
      </c>
      <c r="P23" s="48">
        <f t="shared" ref="P23:P25" si="15">SUM(N23*O23)</f>
        <v>306.201</v>
      </c>
      <c r="Q23" s="95"/>
      <c r="R23" s="95"/>
      <c r="S23" s="72">
        <f t="shared" si="5"/>
        <v>115.302352941176</v>
      </c>
      <c r="T23" s="72"/>
      <c r="U23" s="72">
        <f t="shared" si="6"/>
        <v>3.21176470588235</v>
      </c>
      <c r="V23" s="72"/>
      <c r="W23" s="72"/>
      <c r="X23" s="72">
        <f t="shared" si="0"/>
        <v>118.514117647059</v>
      </c>
      <c r="Y23" s="85">
        <f t="shared" si="7"/>
        <v>26.0001988235294</v>
      </c>
      <c r="Z23" s="85"/>
      <c r="AA23" s="85"/>
      <c r="AB23" s="85">
        <f t="shared" si="1"/>
        <v>26.0001988235294</v>
      </c>
      <c r="AC23" s="86">
        <v>7.28</v>
      </c>
      <c r="AD23" s="72">
        <f t="shared" si="2"/>
        <v>189.281447435294</v>
      </c>
      <c r="AE23" s="72">
        <f t="shared" si="3"/>
        <v>307.795565082353</v>
      </c>
      <c r="AF23" s="72">
        <f t="shared" si="4"/>
        <v>-1.59456508235303</v>
      </c>
    </row>
    <row r="24" s="2" customFormat="1" spans="1:32">
      <c r="A24" s="20"/>
      <c r="B24" s="21"/>
      <c r="C24" s="22">
        <v>241022000015</v>
      </c>
      <c r="D24" s="23">
        <v>45587</v>
      </c>
      <c r="E24" s="23" t="s">
        <v>85</v>
      </c>
      <c r="F24" s="21" t="s">
        <v>86</v>
      </c>
      <c r="G24" s="21" t="s">
        <v>75</v>
      </c>
      <c r="H24" s="88">
        <v>0.145</v>
      </c>
      <c r="I24" s="88">
        <v>27</v>
      </c>
      <c r="J24" s="48"/>
      <c r="K24" s="90">
        <v>58650.76</v>
      </c>
      <c r="L24" s="44"/>
      <c r="M24" s="45">
        <f t="shared" si="14"/>
        <v>1631</v>
      </c>
      <c r="N24" s="46">
        <v>35.96</v>
      </c>
      <c r="O24" s="21">
        <v>7.35</v>
      </c>
      <c r="P24" s="48">
        <f t="shared" si="15"/>
        <v>264.306</v>
      </c>
      <c r="Q24" s="95"/>
      <c r="R24" s="95"/>
      <c r="S24" s="72">
        <f t="shared" si="5"/>
        <v>99.5169117647059</v>
      </c>
      <c r="T24" s="72"/>
      <c r="U24" s="72">
        <f t="shared" si="6"/>
        <v>2.77205882352941</v>
      </c>
      <c r="V24" s="72"/>
      <c r="W24" s="72"/>
      <c r="X24" s="72">
        <f t="shared" si="0"/>
        <v>102.288970588235</v>
      </c>
      <c r="Y24" s="85">
        <f t="shared" si="7"/>
        <v>22.4406477941176</v>
      </c>
      <c r="Z24" s="85"/>
      <c r="AA24" s="85"/>
      <c r="AB24" s="85">
        <f t="shared" si="1"/>
        <v>22.4406477941176</v>
      </c>
      <c r="AC24" s="86">
        <v>7.28</v>
      </c>
      <c r="AD24" s="72">
        <f t="shared" si="2"/>
        <v>163.367915941176</v>
      </c>
      <c r="AE24" s="72">
        <f t="shared" si="3"/>
        <v>265.656886529412</v>
      </c>
      <c r="AF24" s="72">
        <f t="shared" si="4"/>
        <v>-1.35088652941204</v>
      </c>
    </row>
    <row r="25" s="2" customFormat="1" spans="1:32">
      <c r="A25" s="20"/>
      <c r="B25" s="21"/>
      <c r="C25" s="22">
        <v>241022000016</v>
      </c>
      <c r="D25" s="23">
        <v>45587</v>
      </c>
      <c r="E25" s="23" t="s">
        <v>85</v>
      </c>
      <c r="F25" s="21" t="s">
        <v>86</v>
      </c>
      <c r="G25" s="21" t="s">
        <v>75</v>
      </c>
      <c r="H25" s="88">
        <v>0.3529</v>
      </c>
      <c r="I25" s="88">
        <v>36</v>
      </c>
      <c r="J25" s="48"/>
      <c r="K25" s="90">
        <v>142761.43</v>
      </c>
      <c r="L25" s="44"/>
      <c r="M25" s="45">
        <f t="shared" si="14"/>
        <v>1631</v>
      </c>
      <c r="N25" s="46">
        <v>87.53</v>
      </c>
      <c r="O25" s="21">
        <v>7.35</v>
      </c>
      <c r="P25" s="48">
        <f t="shared" si="15"/>
        <v>643.3455</v>
      </c>
      <c r="Q25" s="95"/>
      <c r="R25" s="95"/>
      <c r="S25" s="72">
        <f t="shared" si="5"/>
        <v>242.203573529412</v>
      </c>
      <c r="T25" s="72"/>
      <c r="U25" s="72">
        <f t="shared" si="6"/>
        <v>6.74661764705882</v>
      </c>
      <c r="V25" s="72"/>
      <c r="W25" s="72"/>
      <c r="X25" s="72">
        <f t="shared" si="0"/>
        <v>248.950191176471</v>
      </c>
      <c r="Y25" s="85">
        <f t="shared" si="7"/>
        <v>54.6158938382353</v>
      </c>
      <c r="Z25" s="85"/>
      <c r="AA25" s="85"/>
      <c r="AB25" s="85">
        <f t="shared" si="1"/>
        <v>54.6158938382353</v>
      </c>
      <c r="AC25" s="86">
        <v>7.28</v>
      </c>
      <c r="AD25" s="72">
        <f t="shared" si="2"/>
        <v>397.603707142353</v>
      </c>
      <c r="AE25" s="72">
        <f t="shared" si="3"/>
        <v>646.553898318823</v>
      </c>
      <c r="AF25" s="72">
        <f t="shared" si="4"/>
        <v>-3.20839831882301</v>
      </c>
    </row>
    <row r="26" s="2" customFormat="1" spans="1:32">
      <c r="A26" s="20"/>
      <c r="B26" s="21"/>
      <c r="C26" s="22">
        <v>241017000051</v>
      </c>
      <c r="D26" s="23">
        <v>45593</v>
      </c>
      <c r="E26" s="23" t="s">
        <v>69</v>
      </c>
      <c r="F26" s="21" t="s">
        <v>70</v>
      </c>
      <c r="G26" s="21" t="s">
        <v>80</v>
      </c>
      <c r="H26" s="88">
        <v>3.59</v>
      </c>
      <c r="I26" s="88">
        <v>279</v>
      </c>
      <c r="J26" s="48"/>
      <c r="K26" s="90">
        <v>2138600</v>
      </c>
      <c r="L26" s="44"/>
      <c r="M26" s="45">
        <f t="shared" si="12"/>
        <v>1700</v>
      </c>
      <c r="N26" s="46">
        <v>1258</v>
      </c>
      <c r="O26" s="21">
        <v>7.26</v>
      </c>
      <c r="P26" s="48">
        <f t="shared" si="13"/>
        <v>9133.08</v>
      </c>
      <c r="Q26" s="95"/>
      <c r="R26" s="95"/>
      <c r="S26" s="72">
        <f t="shared" si="5"/>
        <v>2463.90147058824</v>
      </c>
      <c r="T26" s="72"/>
      <c r="U26" s="72">
        <f t="shared" si="6"/>
        <v>68.6323529411765</v>
      </c>
      <c r="V26" s="72"/>
      <c r="W26" s="72"/>
      <c r="X26" s="72">
        <f t="shared" si="0"/>
        <v>2532.53382352941</v>
      </c>
      <c r="Y26" s="85">
        <f t="shared" si="7"/>
        <v>555.599486764706</v>
      </c>
      <c r="Z26" s="85"/>
      <c r="AA26" s="85"/>
      <c r="AB26" s="85">
        <f t="shared" si="1"/>
        <v>555.599486764706</v>
      </c>
      <c r="AC26" s="86">
        <v>7.28</v>
      </c>
      <c r="AD26" s="72">
        <f t="shared" si="2"/>
        <v>4044.76426364706</v>
      </c>
      <c r="AE26" s="72">
        <f t="shared" si="3"/>
        <v>6577.29808717647</v>
      </c>
      <c r="AF26" s="72">
        <f t="shared" si="4"/>
        <v>2555.78191282353</v>
      </c>
    </row>
    <row r="27" s="2" customFormat="1" spans="1:32">
      <c r="A27" s="20"/>
      <c r="B27" s="21"/>
      <c r="C27" s="22">
        <v>241019000010</v>
      </c>
      <c r="D27" s="23">
        <v>45593</v>
      </c>
      <c r="E27" s="23" t="s">
        <v>63</v>
      </c>
      <c r="F27" s="21" t="s">
        <v>64</v>
      </c>
      <c r="G27" s="21" t="s">
        <v>66</v>
      </c>
      <c r="H27" s="88">
        <v>0.5263</v>
      </c>
      <c r="I27" s="88">
        <v>165</v>
      </c>
      <c r="J27" s="48"/>
      <c r="K27" s="90">
        <v>257287</v>
      </c>
      <c r="L27" s="44"/>
      <c r="M27" s="45">
        <f t="shared" si="12"/>
        <v>1652.87806758319</v>
      </c>
      <c r="N27" s="46">
        <v>155.66</v>
      </c>
      <c r="O27" s="21">
        <v>7.29</v>
      </c>
      <c r="P27" s="48">
        <f t="shared" si="13"/>
        <v>1134.7614</v>
      </c>
      <c r="Q27" s="95"/>
      <c r="R27" s="95"/>
      <c r="S27" s="72">
        <f t="shared" si="5"/>
        <v>361.212073529412</v>
      </c>
      <c r="T27" s="72"/>
      <c r="U27" s="72">
        <f t="shared" si="6"/>
        <v>10.0616176470588</v>
      </c>
      <c r="V27" s="72"/>
      <c r="W27" s="72"/>
      <c r="X27" s="72">
        <f t="shared" si="0"/>
        <v>371.273691176471</v>
      </c>
      <c r="Y27" s="85">
        <f t="shared" si="7"/>
        <v>81.4518133382353</v>
      </c>
      <c r="Z27" s="85"/>
      <c r="AA27" s="85"/>
      <c r="AB27" s="85">
        <f t="shared" si="1"/>
        <v>81.4518133382353</v>
      </c>
      <c r="AC27" s="86">
        <v>7.28</v>
      </c>
      <c r="AD27" s="72">
        <f t="shared" si="2"/>
        <v>592.969201102353</v>
      </c>
      <c r="AE27" s="72">
        <f t="shared" si="3"/>
        <v>964.242892278823</v>
      </c>
      <c r="AF27" s="72">
        <f t="shared" si="4"/>
        <v>170.518507721177</v>
      </c>
    </row>
    <row r="28" s="2" customFormat="1" spans="1:32">
      <c r="A28" s="20"/>
      <c r="B28" s="21"/>
      <c r="C28" s="22">
        <v>241014000059</v>
      </c>
      <c r="D28" s="23">
        <v>45593</v>
      </c>
      <c r="E28" s="23" t="s">
        <v>63</v>
      </c>
      <c r="F28" s="21" t="s">
        <v>64</v>
      </c>
      <c r="G28" s="21" t="s">
        <v>106</v>
      </c>
      <c r="H28" s="88">
        <v>2.7811</v>
      </c>
      <c r="I28" s="88">
        <v>410</v>
      </c>
      <c r="J28" s="42">
        <v>6035</v>
      </c>
      <c r="K28" s="86"/>
      <c r="L28" s="44"/>
      <c r="M28" s="45"/>
      <c r="N28" s="92"/>
      <c r="O28" s="21"/>
      <c r="P28" s="48">
        <f>SUBTOTAL(9,J28)</f>
        <v>6035</v>
      </c>
      <c r="Q28" s="95"/>
      <c r="R28" s="95"/>
      <c r="S28" s="72">
        <f t="shared" si="5"/>
        <v>1908.73436764706</v>
      </c>
      <c r="T28" s="72"/>
      <c r="U28" s="72">
        <f t="shared" si="6"/>
        <v>53.1680882352941</v>
      </c>
      <c r="V28" s="72"/>
      <c r="W28" s="72"/>
      <c r="X28" s="72">
        <f t="shared" si="0"/>
        <v>1961.90245588235</v>
      </c>
      <c r="Y28" s="85">
        <f t="shared" si="7"/>
        <v>430.411624691176</v>
      </c>
      <c r="Z28" s="85"/>
      <c r="AA28" s="85"/>
      <c r="AB28" s="85">
        <f t="shared" si="1"/>
        <v>430.411624691176</v>
      </c>
      <c r="AC28" s="86">
        <v>7.28</v>
      </c>
      <c r="AD28" s="72">
        <f t="shared" si="2"/>
        <v>3133.39662775176</v>
      </c>
      <c r="AE28" s="72">
        <f t="shared" si="3"/>
        <v>5095.29908363412</v>
      </c>
      <c r="AF28" s="72">
        <f t="shared" si="4"/>
        <v>939.70091636588</v>
      </c>
    </row>
    <row r="29" s="2" customFormat="1" spans="1:32">
      <c r="A29" s="20"/>
      <c r="B29" s="21"/>
      <c r="C29" s="22">
        <v>241022000017</v>
      </c>
      <c r="D29" s="23">
        <v>45587</v>
      </c>
      <c r="E29" s="23" t="s">
        <v>85</v>
      </c>
      <c r="F29" s="21" t="s">
        <v>86</v>
      </c>
      <c r="G29" s="21" t="s">
        <v>75</v>
      </c>
      <c r="H29" s="88">
        <v>0.053</v>
      </c>
      <c r="I29" s="88">
        <v>9</v>
      </c>
      <c r="J29" s="48"/>
      <c r="K29" s="90">
        <v>21447.65</v>
      </c>
      <c r="L29" s="44"/>
      <c r="M29" s="45">
        <f>SUM(K29/N29)</f>
        <v>1631</v>
      </c>
      <c r="N29" s="46">
        <v>13.15</v>
      </c>
      <c r="O29" s="21">
        <v>7.35</v>
      </c>
      <c r="P29" s="48">
        <f>SUM(N29*O29)</f>
        <v>96.6525</v>
      </c>
      <c r="Q29" s="96"/>
      <c r="R29" s="96"/>
      <c r="S29" s="72">
        <f t="shared" si="5"/>
        <v>36.3751470588235</v>
      </c>
      <c r="T29" s="72"/>
      <c r="U29" s="72">
        <f t="shared" si="6"/>
        <v>1.01323529411765</v>
      </c>
      <c r="V29" s="72"/>
      <c r="W29" s="72"/>
      <c r="X29" s="72">
        <f t="shared" si="0"/>
        <v>37.3883823529412</v>
      </c>
      <c r="Y29" s="85">
        <f t="shared" si="7"/>
        <v>8.20244367647059</v>
      </c>
      <c r="Z29" s="85"/>
      <c r="AA29" s="85"/>
      <c r="AB29" s="85">
        <f t="shared" si="1"/>
        <v>8.20244367647059</v>
      </c>
      <c r="AC29" s="86">
        <v>7.28</v>
      </c>
      <c r="AD29" s="72">
        <f t="shared" si="2"/>
        <v>59.7137899647059</v>
      </c>
      <c r="AE29" s="72">
        <f t="shared" si="3"/>
        <v>97.102172317647</v>
      </c>
      <c r="AF29" s="72">
        <f t="shared" si="4"/>
        <v>-0.449672317647</v>
      </c>
    </row>
    <row r="30" ht="15.75" spans="1:32">
      <c r="A30" s="25" t="s">
        <v>26</v>
      </c>
      <c r="B30" s="26"/>
      <c r="C30" s="26"/>
      <c r="D30" s="26"/>
      <c r="E30" s="26"/>
      <c r="F30" s="26"/>
      <c r="G30" s="26"/>
      <c r="H30" s="26"/>
      <c r="I30" s="49"/>
      <c r="J30" s="26">
        <f>SUM(J4:J4)</f>
        <v>0</v>
      </c>
      <c r="K30" s="50"/>
      <c r="L30" s="51"/>
      <c r="M30" s="50"/>
      <c r="N30" s="50">
        <f t="shared" ref="N30:Q30" si="16">SUM(N4:N4)</f>
        <v>0</v>
      </c>
      <c r="O30" s="26"/>
      <c r="P30" s="26">
        <f t="shared" si="16"/>
        <v>0</v>
      </c>
      <c r="Q30" s="26">
        <f t="shared" si="16"/>
        <v>0</v>
      </c>
      <c r="R30" s="26"/>
      <c r="S30" s="26"/>
      <c r="T30" s="26"/>
      <c r="U30" s="26"/>
      <c r="V30" s="26"/>
      <c r="W30" s="26"/>
      <c r="X30" s="73">
        <f>SUM(X4:X4)</f>
        <v>0</v>
      </c>
      <c r="Y30" s="51"/>
      <c r="Z30" s="51"/>
      <c r="AA30" s="51"/>
      <c r="AB30" s="51"/>
      <c r="AC30" s="50"/>
      <c r="AD30" s="26">
        <f>SUM(AD4:AD4)</f>
        <v>0</v>
      </c>
      <c r="AE30" s="26"/>
      <c r="AF30" s="87">
        <f>SUM(AF4:AF29)</f>
        <v>36506.3690866129</v>
      </c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  <row r="39" customFormat="1" spans="4:32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  <c r="AF39" s="8"/>
    </row>
    <row r="40" customFormat="1" spans="4:32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  <c r="AF40" s="8"/>
    </row>
    <row r="41" customFormat="1" spans="4:32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  <c r="AF41" s="8"/>
    </row>
    <row r="42" customFormat="1" spans="4:32">
      <c r="D42" s="3"/>
      <c r="E42" s="3"/>
      <c r="K42" s="4"/>
      <c r="L42" s="5"/>
      <c r="M42" s="4"/>
      <c r="X42" s="7"/>
      <c r="Y42" s="5"/>
      <c r="Z42" s="5"/>
      <c r="AA42" s="5"/>
      <c r="AB42" s="5"/>
      <c r="AC42" s="4"/>
      <c r="AF42" s="8"/>
    </row>
    <row r="43" customFormat="1" spans="4:32">
      <c r="D43" s="3"/>
      <c r="E43" s="3"/>
      <c r="K43" s="4"/>
      <c r="L43" s="5"/>
      <c r="M43" s="4"/>
      <c r="X43" s="7"/>
      <c r="Y43" s="5"/>
      <c r="Z43" s="5"/>
      <c r="AA43" s="5"/>
      <c r="AB43" s="5"/>
      <c r="AC43" s="4"/>
      <c r="AF43" s="8"/>
    </row>
    <row r="44" customFormat="1" spans="4:32">
      <c r="D44" s="3"/>
      <c r="E44" s="3"/>
      <c r="K44" s="4"/>
      <c r="L44" s="5"/>
      <c r="M44" s="4"/>
      <c r="X44" s="7"/>
      <c r="Y44" s="5"/>
      <c r="Z44" s="5"/>
      <c r="AA44" s="5"/>
      <c r="AB44" s="5"/>
      <c r="AC44" s="4"/>
      <c r="AF44" s="8"/>
    </row>
    <row r="45" customFormat="1" spans="4:32">
      <c r="D45" s="3"/>
      <c r="E45" s="3"/>
      <c r="K45" s="4"/>
      <c r="L45" s="5"/>
      <c r="M45" s="4"/>
      <c r="X45" s="7"/>
      <c r="Y45" s="5"/>
      <c r="Z45" s="5"/>
      <c r="AA45" s="5"/>
      <c r="AB45" s="5"/>
      <c r="AC45" s="4"/>
      <c r="AF45" s="8"/>
    </row>
    <row r="46" customFormat="1" spans="4:32">
      <c r="D46" s="3"/>
      <c r="E46" s="3"/>
      <c r="K46" s="4"/>
      <c r="L46" s="5"/>
      <c r="M46" s="4"/>
      <c r="X46" s="7"/>
      <c r="Y46" s="5"/>
      <c r="Z46" s="5"/>
      <c r="AA46" s="5"/>
      <c r="AB46" s="5"/>
      <c r="AC46" s="4"/>
      <c r="AF46" s="8"/>
    </row>
  </sheetData>
  <autoFilter xmlns:etc="http://www.wps.cn/officeDocument/2017/etCustomData" ref="A3:AF30" etc:filterBottomFollowUsedRange="0">
    <extLst/>
  </autoFilter>
  <mergeCells count="21">
    <mergeCell ref="A1:AF1"/>
    <mergeCell ref="J3:P3"/>
    <mergeCell ref="R3:V3"/>
    <mergeCell ref="Y3:AD3"/>
    <mergeCell ref="A3:A4"/>
    <mergeCell ref="A5:A29"/>
    <mergeCell ref="B3:B4"/>
    <mergeCell ref="B5:B29"/>
    <mergeCell ref="C3:C4"/>
    <mergeCell ref="D3:D4"/>
    <mergeCell ref="E3:E4"/>
    <mergeCell ref="F3:F4"/>
    <mergeCell ref="G3:G4"/>
    <mergeCell ref="H3:H4"/>
    <mergeCell ref="I3:I4"/>
    <mergeCell ref="Q3:Q4"/>
    <mergeCell ref="Q5:Q29"/>
    <mergeCell ref="R5:R29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4"/>
    </row>
    <row r="2" customFormat="1" ht="31" customHeight="1" spans="1:32">
      <c r="A2" s="98" t="s">
        <v>144</v>
      </c>
      <c r="B2" s="98" t="s">
        <v>145</v>
      </c>
      <c r="C2" s="98">
        <v>68.6891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5" t="s">
        <v>39</v>
      </c>
      <c r="Z3" s="75"/>
      <c r="AA3" s="75"/>
      <c r="AB3" s="75"/>
      <c r="AC3" s="76"/>
      <c r="AD3" s="75"/>
      <c r="AE3" s="77" t="s">
        <v>40</v>
      </c>
      <c r="AF3" s="78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9" t="s">
        <v>53</v>
      </c>
      <c r="Z4" s="79" t="s">
        <v>54</v>
      </c>
      <c r="AA4" s="79" t="s">
        <v>55</v>
      </c>
      <c r="AB4" s="80" t="s">
        <v>56</v>
      </c>
      <c r="AC4" s="81" t="s">
        <v>57</v>
      </c>
      <c r="AD4" s="82" t="s">
        <v>47</v>
      </c>
      <c r="AE4" s="83" t="s">
        <v>58</v>
      </c>
      <c r="AF4" s="84"/>
    </row>
    <row r="5" s="2" customFormat="1" spans="1:32">
      <c r="A5" s="20" t="s">
        <v>18</v>
      </c>
      <c r="B5" s="21" t="s">
        <v>19</v>
      </c>
      <c r="C5" s="22">
        <v>241009000018</v>
      </c>
      <c r="D5" s="23">
        <v>45593</v>
      </c>
      <c r="E5" s="23" t="s">
        <v>63</v>
      </c>
      <c r="F5" s="21" t="s">
        <v>64</v>
      </c>
      <c r="G5" s="21" t="s">
        <v>119</v>
      </c>
      <c r="H5" s="88">
        <v>5.4554</v>
      </c>
      <c r="I5" s="88">
        <v>1522</v>
      </c>
      <c r="J5" s="42">
        <v>13408.72</v>
      </c>
      <c r="K5" s="86"/>
      <c r="L5" s="44"/>
      <c r="M5" s="45"/>
      <c r="N5" s="92"/>
      <c r="O5" s="21"/>
      <c r="P5" s="48">
        <f>SUBTOTAL(9,J5)</f>
        <v>13408.72</v>
      </c>
      <c r="Q5" s="93">
        <f>SUM(P5:P24)</f>
        <v>150424.7374</v>
      </c>
      <c r="R5" s="94" t="s">
        <v>133</v>
      </c>
      <c r="S5" s="72">
        <f>SUM(47586/68)*H5</f>
        <v>3817.65682941176</v>
      </c>
      <c r="T5" s="72"/>
      <c r="U5" s="72">
        <f>SUM(1900/68)*H5</f>
        <v>152.430294117647</v>
      </c>
      <c r="V5" s="72"/>
      <c r="W5" s="72"/>
      <c r="X5" s="72">
        <f t="shared" ref="X5:X45" si="0">SUM(S5:W5)</f>
        <v>3970.08712352941</v>
      </c>
      <c r="Y5" s="85">
        <f>SUM(11133.9/68)*H5</f>
        <v>893.233500882353</v>
      </c>
      <c r="Z5" s="97">
        <v>59.22</v>
      </c>
      <c r="AA5" s="85"/>
      <c r="AB5" s="85">
        <f t="shared" ref="AB5:AB45" si="1">SUM(Y5:AA5)</f>
        <v>952.453500882353</v>
      </c>
      <c r="AC5" s="86">
        <v>7.3</v>
      </c>
      <c r="AD5" s="72">
        <f t="shared" ref="AD5:AD45" si="2">SUM(AB5*AC5)</f>
        <v>6952.91055644118</v>
      </c>
      <c r="AE5" s="72">
        <f t="shared" ref="AE5:AE45" si="3">SUM(X5+AD5)</f>
        <v>10922.9976799706</v>
      </c>
      <c r="AF5" s="72">
        <f t="shared" ref="AF5:AF44" si="4">SUM(P5-AE5)</f>
        <v>2485.7223200294</v>
      </c>
    </row>
    <row r="6" s="2" customFormat="1" spans="1:32">
      <c r="A6" s="20"/>
      <c r="B6" s="21"/>
      <c r="C6" s="22">
        <v>241014000044</v>
      </c>
      <c r="D6" s="23">
        <v>45593</v>
      </c>
      <c r="E6" s="23" t="s">
        <v>63</v>
      </c>
      <c r="F6" s="21" t="s">
        <v>64</v>
      </c>
      <c r="G6" s="21" t="s">
        <v>104</v>
      </c>
      <c r="H6" s="88">
        <v>0.6091</v>
      </c>
      <c r="I6" s="88">
        <v>363</v>
      </c>
      <c r="J6" s="42">
        <v>1326.75</v>
      </c>
      <c r="K6" s="86"/>
      <c r="L6" s="44"/>
      <c r="M6" s="45"/>
      <c r="N6" s="92"/>
      <c r="O6" s="21"/>
      <c r="P6" s="48">
        <f>SUBTOTAL(9,J6)</f>
        <v>1326.75</v>
      </c>
      <c r="Q6" s="95"/>
      <c r="R6" s="95"/>
      <c r="S6" s="72">
        <f t="shared" ref="S6:S24" si="5">SUM(47586/68)*H6</f>
        <v>426.244597058824</v>
      </c>
      <c r="T6" s="72"/>
      <c r="U6" s="72">
        <f t="shared" ref="U6:U24" si="6">SUM(1900/68)*H6</f>
        <v>17.0189705882353</v>
      </c>
      <c r="V6" s="72"/>
      <c r="W6" s="72"/>
      <c r="X6" s="72">
        <f t="shared" si="0"/>
        <v>443.263567647059</v>
      </c>
      <c r="Y6" s="85">
        <f t="shared" ref="Y6:Y24" si="7">SUM(11133.9/68)*H6</f>
        <v>99.7302719117647</v>
      </c>
      <c r="Z6" s="85"/>
      <c r="AA6" s="85"/>
      <c r="AB6" s="85">
        <f t="shared" si="1"/>
        <v>99.7302719117647</v>
      </c>
      <c r="AC6" s="86">
        <v>7.3</v>
      </c>
      <c r="AD6" s="72">
        <f t="shared" si="2"/>
        <v>728.030984955882</v>
      </c>
      <c r="AE6" s="72">
        <f t="shared" si="3"/>
        <v>1171.29455260294</v>
      </c>
      <c r="AF6" s="72">
        <f t="shared" si="4"/>
        <v>155.45544739706</v>
      </c>
    </row>
    <row r="7" s="2" customFormat="1" spans="1:32">
      <c r="A7" s="20"/>
      <c r="B7" s="21"/>
      <c r="C7" s="22">
        <v>241014000059</v>
      </c>
      <c r="D7" s="23">
        <v>45593</v>
      </c>
      <c r="E7" s="23" t="s">
        <v>63</v>
      </c>
      <c r="F7" s="21" t="s">
        <v>64</v>
      </c>
      <c r="G7" s="21" t="s">
        <v>106</v>
      </c>
      <c r="H7" s="88">
        <v>6.7537</v>
      </c>
      <c r="I7" s="88">
        <v>2221</v>
      </c>
      <c r="J7" s="42">
        <v>14651</v>
      </c>
      <c r="K7" s="86"/>
      <c r="L7" s="44"/>
      <c r="M7" s="45"/>
      <c r="N7" s="92"/>
      <c r="O7" s="21"/>
      <c r="P7" s="48">
        <f>SUBTOTAL(9,J7)</f>
        <v>14651</v>
      </c>
      <c r="Q7" s="95"/>
      <c r="R7" s="95"/>
      <c r="S7" s="72">
        <f t="shared" si="5"/>
        <v>4726.19953235294</v>
      </c>
      <c r="T7" s="72"/>
      <c r="U7" s="72">
        <f t="shared" si="6"/>
        <v>188.706323529412</v>
      </c>
      <c r="V7" s="72"/>
      <c r="W7" s="72"/>
      <c r="X7" s="72">
        <f t="shared" si="0"/>
        <v>4914.90585588235</v>
      </c>
      <c r="Y7" s="85">
        <f t="shared" si="7"/>
        <v>1105.80912397059</v>
      </c>
      <c r="Z7" s="85"/>
      <c r="AA7" s="85"/>
      <c r="AB7" s="85">
        <f t="shared" si="1"/>
        <v>1105.80912397059</v>
      </c>
      <c r="AC7" s="86">
        <v>7.3</v>
      </c>
      <c r="AD7" s="72">
        <f t="shared" si="2"/>
        <v>8072.40660498529</v>
      </c>
      <c r="AE7" s="72">
        <f t="shared" si="3"/>
        <v>12987.3124608676</v>
      </c>
      <c r="AF7" s="72">
        <f t="shared" si="4"/>
        <v>1663.6875391324</v>
      </c>
    </row>
    <row r="8" s="2" customFormat="1" spans="1:32">
      <c r="A8" s="20"/>
      <c r="B8" s="21"/>
      <c r="C8" s="22">
        <v>241016000027</v>
      </c>
      <c r="D8" s="23">
        <v>45593</v>
      </c>
      <c r="E8" s="23" t="s">
        <v>63</v>
      </c>
      <c r="F8" s="21" t="s">
        <v>64</v>
      </c>
      <c r="G8" s="21" t="s">
        <v>119</v>
      </c>
      <c r="H8" s="88">
        <v>1.4941</v>
      </c>
      <c r="I8" s="88">
        <v>1016</v>
      </c>
      <c r="J8" s="42">
        <v>3860.6</v>
      </c>
      <c r="K8" s="86"/>
      <c r="L8" s="44"/>
      <c r="M8" s="45"/>
      <c r="N8" s="92"/>
      <c r="O8" s="21"/>
      <c r="P8" s="48">
        <f>SUBTOTAL(9,J8)</f>
        <v>3860.6</v>
      </c>
      <c r="Q8" s="95"/>
      <c r="R8" s="95"/>
      <c r="S8" s="72">
        <f t="shared" si="5"/>
        <v>1045.56239117647</v>
      </c>
      <c r="T8" s="72"/>
      <c r="U8" s="72">
        <f t="shared" si="6"/>
        <v>41.7469117647059</v>
      </c>
      <c r="V8" s="72"/>
      <c r="W8" s="72"/>
      <c r="X8" s="72">
        <f t="shared" si="0"/>
        <v>1087.30930294118</v>
      </c>
      <c r="Y8" s="85">
        <f t="shared" si="7"/>
        <v>244.634705735294</v>
      </c>
      <c r="Z8" s="97">
        <v>16.25</v>
      </c>
      <c r="AA8" s="85"/>
      <c r="AB8" s="85">
        <f t="shared" si="1"/>
        <v>260.884705735294</v>
      </c>
      <c r="AC8" s="86">
        <v>7.3</v>
      </c>
      <c r="AD8" s="72">
        <f t="shared" si="2"/>
        <v>1904.45835186765</v>
      </c>
      <c r="AE8" s="72">
        <f t="shared" si="3"/>
        <v>2991.76765480882</v>
      </c>
      <c r="AF8" s="72">
        <f t="shared" si="4"/>
        <v>868.83234519118</v>
      </c>
    </row>
    <row r="9" s="2" customFormat="1" spans="1:32">
      <c r="A9" s="20"/>
      <c r="B9" s="21"/>
      <c r="C9" s="22">
        <v>241016000054</v>
      </c>
      <c r="D9" s="23">
        <v>45593</v>
      </c>
      <c r="E9" s="23" t="s">
        <v>100</v>
      </c>
      <c r="F9" s="21" t="s">
        <v>101</v>
      </c>
      <c r="G9" s="21" t="s">
        <v>102</v>
      </c>
      <c r="H9" s="88">
        <v>1.8336</v>
      </c>
      <c r="I9" s="88">
        <v>260</v>
      </c>
      <c r="J9" s="48"/>
      <c r="K9" s="86"/>
      <c r="L9" s="44"/>
      <c r="M9" s="45">
        <f t="shared" ref="M9:M12" si="8">SUM(K9/N9)</f>
        <v>0</v>
      </c>
      <c r="N9" s="92">
        <v>550.08</v>
      </c>
      <c r="O9" s="21">
        <v>7.11</v>
      </c>
      <c r="P9" s="48">
        <f t="shared" ref="P9:P12" si="9">SUM(N9*O9)</f>
        <v>3911.0688</v>
      </c>
      <c r="Q9" s="95"/>
      <c r="R9" s="95"/>
      <c r="S9" s="72">
        <f t="shared" si="5"/>
        <v>1283.14249411765</v>
      </c>
      <c r="T9" s="72"/>
      <c r="U9" s="72">
        <f t="shared" si="6"/>
        <v>51.2329411764706</v>
      </c>
      <c r="V9" s="72"/>
      <c r="W9" s="72"/>
      <c r="X9" s="72">
        <f t="shared" si="0"/>
        <v>1334.37543529412</v>
      </c>
      <c r="Y9" s="85">
        <f t="shared" si="7"/>
        <v>300.222338823529</v>
      </c>
      <c r="Z9" s="85"/>
      <c r="AA9" s="85"/>
      <c r="AB9" s="85">
        <f t="shared" si="1"/>
        <v>300.222338823529</v>
      </c>
      <c r="AC9" s="86">
        <v>7.3</v>
      </c>
      <c r="AD9" s="72">
        <f t="shared" si="2"/>
        <v>2191.62307341176</v>
      </c>
      <c r="AE9" s="72">
        <f t="shared" si="3"/>
        <v>3525.99850870588</v>
      </c>
      <c r="AF9" s="72">
        <f t="shared" si="4"/>
        <v>385.07029129412</v>
      </c>
    </row>
    <row r="10" s="2" customFormat="1" spans="1:32">
      <c r="A10" s="20"/>
      <c r="B10" s="21"/>
      <c r="C10" s="22">
        <v>241017000021</v>
      </c>
      <c r="D10" s="23">
        <v>45593</v>
      </c>
      <c r="E10" s="23" t="s">
        <v>59</v>
      </c>
      <c r="F10" s="21" t="s">
        <v>60</v>
      </c>
      <c r="G10" s="21" t="s">
        <v>61</v>
      </c>
      <c r="H10" s="88">
        <v>4.4844</v>
      </c>
      <c r="I10" s="88">
        <v>764</v>
      </c>
      <c r="J10" s="103">
        <v>10328.9</v>
      </c>
      <c r="K10" s="86"/>
      <c r="L10" s="44"/>
      <c r="M10" s="45"/>
      <c r="N10" s="44"/>
      <c r="O10" s="21"/>
      <c r="P10" s="48">
        <f>SUM(J10)</f>
        <v>10328.9</v>
      </c>
      <c r="Q10" s="95"/>
      <c r="R10" s="95"/>
      <c r="S10" s="72">
        <f t="shared" si="5"/>
        <v>3138.15674117647</v>
      </c>
      <c r="T10" s="72"/>
      <c r="U10" s="72">
        <f t="shared" si="6"/>
        <v>125.299411764706</v>
      </c>
      <c r="V10" s="72"/>
      <c r="W10" s="72"/>
      <c r="X10" s="72">
        <f t="shared" si="0"/>
        <v>3263.45615294118</v>
      </c>
      <c r="Y10" s="85">
        <f t="shared" si="7"/>
        <v>734.247958235294</v>
      </c>
      <c r="Z10" s="97">
        <v>109.73</v>
      </c>
      <c r="AA10" s="85"/>
      <c r="AB10" s="85">
        <f t="shared" si="1"/>
        <v>843.977958235294</v>
      </c>
      <c r="AC10" s="86">
        <v>7.3</v>
      </c>
      <c r="AD10" s="72">
        <f t="shared" si="2"/>
        <v>6161.03909511765</v>
      </c>
      <c r="AE10" s="72">
        <f t="shared" si="3"/>
        <v>9424.49524805882</v>
      </c>
      <c r="AF10" s="72">
        <f t="shared" si="4"/>
        <v>904.40475194118</v>
      </c>
    </row>
    <row r="11" s="2" customFormat="1" spans="1:32">
      <c r="A11" s="20"/>
      <c r="B11" s="21"/>
      <c r="C11" s="22">
        <v>241017000051</v>
      </c>
      <c r="D11" s="23">
        <v>45593</v>
      </c>
      <c r="E11" s="23" t="s">
        <v>69</v>
      </c>
      <c r="F11" s="21" t="s">
        <v>70</v>
      </c>
      <c r="G11" s="21" t="s">
        <v>80</v>
      </c>
      <c r="H11" s="88">
        <v>3.273</v>
      </c>
      <c r="I11" s="88">
        <v>2588</v>
      </c>
      <c r="J11" s="48"/>
      <c r="K11" s="90">
        <v>1949050</v>
      </c>
      <c r="L11" s="44"/>
      <c r="M11" s="45">
        <f t="shared" si="8"/>
        <v>1700</v>
      </c>
      <c r="N11" s="46">
        <v>1146.5</v>
      </c>
      <c r="O11" s="21">
        <v>7.26</v>
      </c>
      <c r="P11" s="48">
        <f t="shared" si="9"/>
        <v>8323.59</v>
      </c>
      <c r="Q11" s="95"/>
      <c r="R11" s="95"/>
      <c r="S11" s="72">
        <f t="shared" si="5"/>
        <v>2290.42614705882</v>
      </c>
      <c r="T11" s="72"/>
      <c r="U11" s="72">
        <f t="shared" si="6"/>
        <v>91.4514705882353</v>
      </c>
      <c r="V11" s="72"/>
      <c r="W11" s="72"/>
      <c r="X11" s="72">
        <f t="shared" si="0"/>
        <v>2381.87761764706</v>
      </c>
      <c r="Y11" s="85">
        <f t="shared" si="7"/>
        <v>535.900804411765</v>
      </c>
      <c r="Z11" s="85"/>
      <c r="AA11" s="85"/>
      <c r="AB11" s="85">
        <f t="shared" si="1"/>
        <v>535.900804411765</v>
      </c>
      <c r="AC11" s="86">
        <v>7.3</v>
      </c>
      <c r="AD11" s="72">
        <f t="shared" si="2"/>
        <v>3912.07587220588</v>
      </c>
      <c r="AE11" s="72">
        <f t="shared" si="3"/>
        <v>6293.95348985294</v>
      </c>
      <c r="AF11" s="72">
        <f t="shared" si="4"/>
        <v>2029.63651014706</v>
      </c>
    </row>
    <row r="12" s="2" customFormat="1" spans="1:32">
      <c r="A12" s="20"/>
      <c r="B12" s="21"/>
      <c r="C12" s="22">
        <v>241019000010</v>
      </c>
      <c r="D12" s="23">
        <v>45593</v>
      </c>
      <c r="E12" s="23" t="s">
        <v>63</v>
      </c>
      <c r="F12" s="21" t="s">
        <v>64</v>
      </c>
      <c r="G12" s="21" t="s">
        <v>66</v>
      </c>
      <c r="H12" s="88">
        <v>1.4386</v>
      </c>
      <c r="I12" s="88">
        <v>615</v>
      </c>
      <c r="J12" s="48"/>
      <c r="K12" s="90">
        <v>703277</v>
      </c>
      <c r="L12" s="44"/>
      <c r="M12" s="45">
        <f t="shared" si="8"/>
        <v>1652.86375708007</v>
      </c>
      <c r="N12" s="46">
        <v>425.49</v>
      </c>
      <c r="O12" s="21">
        <v>7.29</v>
      </c>
      <c r="P12" s="48">
        <f t="shared" si="9"/>
        <v>3101.8221</v>
      </c>
      <c r="Q12" s="95"/>
      <c r="R12" s="95"/>
      <c r="S12" s="72">
        <f t="shared" si="5"/>
        <v>1006.72381764706</v>
      </c>
      <c r="T12" s="72"/>
      <c r="U12" s="72">
        <f t="shared" si="6"/>
        <v>40.1961764705882</v>
      </c>
      <c r="V12" s="72"/>
      <c r="W12" s="72"/>
      <c r="X12" s="72">
        <f t="shared" si="0"/>
        <v>1046.91999411765</v>
      </c>
      <c r="Y12" s="85">
        <f t="shared" si="7"/>
        <v>235.547478529412</v>
      </c>
      <c r="Z12" s="85"/>
      <c r="AA12" s="85"/>
      <c r="AB12" s="85">
        <f t="shared" si="1"/>
        <v>235.547478529412</v>
      </c>
      <c r="AC12" s="86">
        <v>7.3</v>
      </c>
      <c r="AD12" s="72">
        <f t="shared" si="2"/>
        <v>1719.49659326471</v>
      </c>
      <c r="AE12" s="72">
        <f t="shared" si="3"/>
        <v>2766.41658738235</v>
      </c>
      <c r="AF12" s="72">
        <f t="shared" si="4"/>
        <v>335.40551261765</v>
      </c>
    </row>
    <row r="13" s="2" customFormat="1" spans="1:32">
      <c r="A13" s="20"/>
      <c r="B13" s="21"/>
      <c r="C13" s="22">
        <v>241021000039</v>
      </c>
      <c r="D13" s="23">
        <v>45593</v>
      </c>
      <c r="E13" s="23" t="s">
        <v>63</v>
      </c>
      <c r="F13" s="21" t="s">
        <v>64</v>
      </c>
      <c r="G13" s="21" t="s">
        <v>134</v>
      </c>
      <c r="H13" s="88">
        <v>0.075</v>
      </c>
      <c r="I13" s="88">
        <v>11</v>
      </c>
      <c r="J13" s="42">
        <v>220.5</v>
      </c>
      <c r="K13" s="86"/>
      <c r="L13" s="44"/>
      <c r="M13" s="45"/>
      <c r="N13" s="92"/>
      <c r="O13" s="21"/>
      <c r="P13" s="48">
        <f t="shared" ref="P13:P21" si="10">SUBTOTAL(9,J13)</f>
        <v>220.5</v>
      </c>
      <c r="Q13" s="95"/>
      <c r="R13" s="95"/>
      <c r="S13" s="72">
        <f t="shared" si="5"/>
        <v>52.4845588235294</v>
      </c>
      <c r="T13" s="72"/>
      <c r="U13" s="72">
        <f t="shared" si="6"/>
        <v>2.09558823529412</v>
      </c>
      <c r="V13" s="72"/>
      <c r="W13" s="72"/>
      <c r="X13" s="72">
        <f t="shared" si="0"/>
        <v>54.5801470588235</v>
      </c>
      <c r="Y13" s="85">
        <f t="shared" si="7"/>
        <v>12.2800367647059</v>
      </c>
      <c r="Z13" s="85"/>
      <c r="AA13" s="85"/>
      <c r="AB13" s="85">
        <f t="shared" si="1"/>
        <v>12.2800367647059</v>
      </c>
      <c r="AC13" s="86">
        <v>7.3</v>
      </c>
      <c r="AD13" s="72">
        <f t="shared" si="2"/>
        <v>89.6442683823529</v>
      </c>
      <c r="AE13" s="72">
        <f t="shared" si="3"/>
        <v>144.224415441176</v>
      </c>
      <c r="AF13" s="72">
        <f t="shared" si="4"/>
        <v>76.275584558824</v>
      </c>
    </row>
    <row r="14" s="2" customFormat="1" spans="1:32">
      <c r="A14" s="20"/>
      <c r="B14" s="21"/>
      <c r="C14" s="22">
        <v>241021000069</v>
      </c>
      <c r="D14" s="23">
        <v>45593</v>
      </c>
      <c r="E14" s="23" t="s">
        <v>74</v>
      </c>
      <c r="F14" s="21" t="s">
        <v>74</v>
      </c>
      <c r="G14" s="21" t="s">
        <v>118</v>
      </c>
      <c r="H14" s="88">
        <v>0.9189</v>
      </c>
      <c r="I14" s="88">
        <v>373</v>
      </c>
      <c r="J14" s="42">
        <v>2175.03</v>
      </c>
      <c r="K14" s="86"/>
      <c r="L14" s="44"/>
      <c r="M14" s="45"/>
      <c r="N14" s="92"/>
      <c r="O14" s="21"/>
      <c r="P14" s="48">
        <f t="shared" si="10"/>
        <v>2175.03</v>
      </c>
      <c r="Q14" s="95"/>
      <c r="R14" s="95"/>
      <c r="S14" s="72">
        <f t="shared" si="5"/>
        <v>643.040814705882</v>
      </c>
      <c r="T14" s="72"/>
      <c r="U14" s="72">
        <f t="shared" si="6"/>
        <v>25.6751470588235</v>
      </c>
      <c r="V14" s="72">
        <v>96</v>
      </c>
      <c r="W14" s="72"/>
      <c r="X14" s="72">
        <f t="shared" si="0"/>
        <v>764.715961764706</v>
      </c>
      <c r="Y14" s="85">
        <f t="shared" si="7"/>
        <v>150.455010441176</v>
      </c>
      <c r="Z14" s="85"/>
      <c r="AA14" s="85"/>
      <c r="AB14" s="85">
        <f t="shared" si="1"/>
        <v>150.455010441176</v>
      </c>
      <c r="AC14" s="86">
        <v>7.3</v>
      </c>
      <c r="AD14" s="72">
        <f t="shared" si="2"/>
        <v>1098.32157622059</v>
      </c>
      <c r="AE14" s="72">
        <f t="shared" si="3"/>
        <v>1863.03753798529</v>
      </c>
      <c r="AF14" s="72">
        <f t="shared" si="4"/>
        <v>311.99246201471</v>
      </c>
    </row>
    <row r="15" s="2" customFormat="1" spans="1:32">
      <c r="A15" s="20"/>
      <c r="B15" s="21"/>
      <c r="C15" s="22">
        <v>241023000007</v>
      </c>
      <c r="D15" s="23">
        <v>45593</v>
      </c>
      <c r="E15" s="23" t="s">
        <v>69</v>
      </c>
      <c r="F15" s="21" t="s">
        <v>70</v>
      </c>
      <c r="G15" s="21" t="s">
        <v>124</v>
      </c>
      <c r="H15" s="88">
        <v>0.0575</v>
      </c>
      <c r="I15" s="88">
        <v>26</v>
      </c>
      <c r="J15" s="48"/>
      <c r="K15" s="90">
        <v>54219</v>
      </c>
      <c r="L15" s="44"/>
      <c r="M15" s="45">
        <f>SUM(K15/N15)</f>
        <v>1643</v>
      </c>
      <c r="N15" s="46">
        <v>33</v>
      </c>
      <c r="O15" s="21">
        <v>7.29</v>
      </c>
      <c r="P15" s="48">
        <f>SUM(N15*O15)</f>
        <v>240.57</v>
      </c>
      <c r="Q15" s="95"/>
      <c r="R15" s="95"/>
      <c r="S15" s="72">
        <f t="shared" si="5"/>
        <v>40.2381617647059</v>
      </c>
      <c r="T15" s="72"/>
      <c r="U15" s="72">
        <f t="shared" si="6"/>
        <v>1.60661764705882</v>
      </c>
      <c r="V15" s="72"/>
      <c r="W15" s="72"/>
      <c r="X15" s="72">
        <f t="shared" si="0"/>
        <v>41.8447794117647</v>
      </c>
      <c r="Y15" s="85">
        <f t="shared" si="7"/>
        <v>9.41469485294118</v>
      </c>
      <c r="Z15" s="85"/>
      <c r="AA15" s="85"/>
      <c r="AB15" s="85">
        <f t="shared" si="1"/>
        <v>9.41469485294118</v>
      </c>
      <c r="AC15" s="86">
        <v>7.3</v>
      </c>
      <c r="AD15" s="72">
        <f t="shared" si="2"/>
        <v>68.7272724264706</v>
      </c>
      <c r="AE15" s="72">
        <f t="shared" si="3"/>
        <v>110.572051838235</v>
      </c>
      <c r="AF15" s="72">
        <f t="shared" si="4"/>
        <v>129.997948161765</v>
      </c>
    </row>
    <row r="16" s="2" customFormat="1" spans="1:32">
      <c r="A16" s="20"/>
      <c r="B16" s="21"/>
      <c r="C16" s="22">
        <v>241023000026</v>
      </c>
      <c r="D16" s="23">
        <v>45593</v>
      </c>
      <c r="E16" s="23" t="s">
        <v>63</v>
      </c>
      <c r="F16" s="21" t="s">
        <v>64</v>
      </c>
      <c r="G16" s="21" t="s">
        <v>72</v>
      </c>
      <c r="H16" s="88">
        <v>2.1367</v>
      </c>
      <c r="I16" s="88">
        <v>934</v>
      </c>
      <c r="J16" s="48"/>
      <c r="K16" s="90">
        <v>1025772</v>
      </c>
      <c r="L16" s="44"/>
      <c r="M16" s="45">
        <f>SUM(K16/N16)</f>
        <v>1652.87141475991</v>
      </c>
      <c r="N16" s="46">
        <v>620.6</v>
      </c>
      <c r="O16" s="21">
        <v>7.29</v>
      </c>
      <c r="P16" s="48">
        <f>SUM(N16*O16)</f>
        <v>4524.174</v>
      </c>
      <c r="Q16" s="95"/>
      <c r="R16" s="95"/>
      <c r="S16" s="72">
        <f t="shared" si="5"/>
        <v>1495.25009117647</v>
      </c>
      <c r="T16" s="72"/>
      <c r="U16" s="72">
        <f t="shared" si="6"/>
        <v>59.7019117647059</v>
      </c>
      <c r="V16" s="72"/>
      <c r="W16" s="72"/>
      <c r="X16" s="72">
        <f t="shared" si="0"/>
        <v>1554.95200294118</v>
      </c>
      <c r="Y16" s="85">
        <f t="shared" si="7"/>
        <v>349.850060735294</v>
      </c>
      <c r="Z16" s="85"/>
      <c r="AA16" s="85"/>
      <c r="AB16" s="85">
        <f t="shared" si="1"/>
        <v>349.850060735294</v>
      </c>
      <c r="AC16" s="86">
        <v>7.3</v>
      </c>
      <c r="AD16" s="72">
        <f t="shared" si="2"/>
        <v>2553.90544336765</v>
      </c>
      <c r="AE16" s="72">
        <f t="shared" si="3"/>
        <v>4108.85744630882</v>
      </c>
      <c r="AF16" s="72">
        <f t="shared" si="4"/>
        <v>415.31655369118</v>
      </c>
    </row>
    <row r="17" s="2" customFormat="1" spans="1:32">
      <c r="A17" s="20"/>
      <c r="B17" s="21"/>
      <c r="C17" s="22">
        <v>241023000028</v>
      </c>
      <c r="D17" s="23">
        <v>45593</v>
      </c>
      <c r="E17" s="23" t="s">
        <v>82</v>
      </c>
      <c r="F17" s="21" t="s">
        <v>83</v>
      </c>
      <c r="G17" s="21" t="s">
        <v>98</v>
      </c>
      <c r="H17" s="88">
        <v>1.7499</v>
      </c>
      <c r="I17" s="88">
        <v>398</v>
      </c>
      <c r="J17" s="42">
        <v>3525.68</v>
      </c>
      <c r="K17" s="86"/>
      <c r="L17" s="44"/>
      <c r="M17" s="45"/>
      <c r="N17" s="92"/>
      <c r="O17" s="21"/>
      <c r="P17" s="48">
        <f t="shared" si="10"/>
        <v>3525.68</v>
      </c>
      <c r="Q17" s="95"/>
      <c r="R17" s="95"/>
      <c r="S17" s="72">
        <f t="shared" si="5"/>
        <v>1224.56972647059</v>
      </c>
      <c r="T17" s="72"/>
      <c r="U17" s="72">
        <f t="shared" si="6"/>
        <v>48.8942647058824</v>
      </c>
      <c r="V17" s="72"/>
      <c r="W17" s="72"/>
      <c r="X17" s="72">
        <f t="shared" si="0"/>
        <v>1273.46399117647</v>
      </c>
      <c r="Y17" s="85">
        <f t="shared" si="7"/>
        <v>286.517817794118</v>
      </c>
      <c r="Z17" s="85"/>
      <c r="AA17" s="85"/>
      <c r="AB17" s="85">
        <f t="shared" si="1"/>
        <v>286.517817794118</v>
      </c>
      <c r="AC17" s="86">
        <v>7.3</v>
      </c>
      <c r="AD17" s="72">
        <f t="shared" si="2"/>
        <v>2091.58006989706</v>
      </c>
      <c r="AE17" s="72">
        <f t="shared" si="3"/>
        <v>3365.04406107353</v>
      </c>
      <c r="AF17" s="72">
        <f t="shared" si="4"/>
        <v>160.63593892647</v>
      </c>
    </row>
    <row r="18" s="2" customFormat="1" spans="1:32">
      <c r="A18" s="20"/>
      <c r="B18" s="21"/>
      <c r="C18" s="22">
        <v>241023000030</v>
      </c>
      <c r="D18" s="23">
        <v>45593</v>
      </c>
      <c r="E18" s="23" t="s">
        <v>82</v>
      </c>
      <c r="F18" s="21" t="s">
        <v>83</v>
      </c>
      <c r="G18" s="21" t="s">
        <v>135</v>
      </c>
      <c r="H18" s="88">
        <v>1.32</v>
      </c>
      <c r="I18" s="88">
        <v>1000</v>
      </c>
      <c r="J18" s="42">
        <v>2601.72</v>
      </c>
      <c r="K18" s="86"/>
      <c r="L18" s="44"/>
      <c r="M18" s="45"/>
      <c r="N18" s="92"/>
      <c r="O18" s="21"/>
      <c r="P18" s="48">
        <f t="shared" si="10"/>
        <v>2601.72</v>
      </c>
      <c r="Q18" s="95"/>
      <c r="R18" s="95"/>
      <c r="S18" s="72">
        <f t="shared" si="5"/>
        <v>923.728235294118</v>
      </c>
      <c r="T18" s="72"/>
      <c r="U18" s="72">
        <f t="shared" si="6"/>
        <v>36.8823529411765</v>
      </c>
      <c r="V18" s="72"/>
      <c r="W18" s="72"/>
      <c r="X18" s="72">
        <f t="shared" si="0"/>
        <v>960.610588235294</v>
      </c>
      <c r="Y18" s="85">
        <f t="shared" si="7"/>
        <v>216.128647058824</v>
      </c>
      <c r="Z18" s="85"/>
      <c r="AA18" s="85"/>
      <c r="AB18" s="85">
        <f t="shared" si="1"/>
        <v>216.128647058824</v>
      </c>
      <c r="AC18" s="86">
        <v>7.3</v>
      </c>
      <c r="AD18" s="72">
        <f t="shared" si="2"/>
        <v>1577.73912352941</v>
      </c>
      <c r="AE18" s="72">
        <f t="shared" si="3"/>
        <v>2538.34971176471</v>
      </c>
      <c r="AF18" s="72">
        <f t="shared" si="4"/>
        <v>63.37028823529</v>
      </c>
    </row>
    <row r="19" s="2" customFormat="1" spans="1:32">
      <c r="A19" s="20"/>
      <c r="B19" s="21"/>
      <c r="C19" s="22">
        <v>241023000035</v>
      </c>
      <c r="D19" s="23">
        <v>45593</v>
      </c>
      <c r="E19" s="23" t="s">
        <v>74</v>
      </c>
      <c r="F19" s="21" t="s">
        <v>74</v>
      </c>
      <c r="G19" s="21" t="s">
        <v>136</v>
      </c>
      <c r="H19" s="88">
        <v>1.2483</v>
      </c>
      <c r="I19" s="88">
        <v>347</v>
      </c>
      <c r="J19" s="42">
        <v>2824</v>
      </c>
      <c r="K19" s="86"/>
      <c r="L19" s="44"/>
      <c r="M19" s="45"/>
      <c r="N19" s="92"/>
      <c r="O19" s="21"/>
      <c r="P19" s="48">
        <f t="shared" si="10"/>
        <v>2824</v>
      </c>
      <c r="Q19" s="95"/>
      <c r="R19" s="95"/>
      <c r="S19" s="72">
        <f t="shared" si="5"/>
        <v>873.552997058824</v>
      </c>
      <c r="T19" s="72"/>
      <c r="U19" s="72">
        <f t="shared" si="6"/>
        <v>34.8789705882353</v>
      </c>
      <c r="V19" s="72"/>
      <c r="W19" s="72"/>
      <c r="X19" s="72">
        <f t="shared" si="0"/>
        <v>908.431967647059</v>
      </c>
      <c r="Y19" s="85">
        <f t="shared" si="7"/>
        <v>204.388931911765</v>
      </c>
      <c r="Z19" s="85"/>
      <c r="AA19" s="85"/>
      <c r="AB19" s="85">
        <f t="shared" si="1"/>
        <v>204.388931911765</v>
      </c>
      <c r="AC19" s="86">
        <v>7.3</v>
      </c>
      <c r="AD19" s="72">
        <f t="shared" si="2"/>
        <v>1492.03920295588</v>
      </c>
      <c r="AE19" s="72">
        <f t="shared" si="3"/>
        <v>2400.47117060294</v>
      </c>
      <c r="AF19" s="72">
        <f t="shared" si="4"/>
        <v>423.52882939706</v>
      </c>
    </row>
    <row r="20" s="2" customFormat="1" spans="1:32">
      <c r="A20" s="20"/>
      <c r="B20" s="21"/>
      <c r="C20" s="22">
        <v>241024000016</v>
      </c>
      <c r="D20" s="23">
        <v>45593</v>
      </c>
      <c r="E20" s="23" t="s">
        <v>69</v>
      </c>
      <c r="F20" s="21" t="s">
        <v>70</v>
      </c>
      <c r="G20" s="21" t="s">
        <v>76</v>
      </c>
      <c r="H20" s="88">
        <v>0.1931</v>
      </c>
      <c r="I20" s="88">
        <v>24</v>
      </c>
      <c r="J20" s="42">
        <v>410.48</v>
      </c>
      <c r="K20" s="86"/>
      <c r="L20" s="44"/>
      <c r="M20" s="45"/>
      <c r="N20" s="92"/>
      <c r="O20" s="21"/>
      <c r="P20" s="48">
        <f t="shared" si="10"/>
        <v>410.48</v>
      </c>
      <c r="Q20" s="95"/>
      <c r="R20" s="95"/>
      <c r="S20" s="72">
        <f t="shared" si="5"/>
        <v>135.130244117647</v>
      </c>
      <c r="T20" s="72"/>
      <c r="U20" s="72">
        <f t="shared" si="6"/>
        <v>5.39544117647059</v>
      </c>
      <c r="V20" s="72"/>
      <c r="W20" s="72"/>
      <c r="X20" s="72">
        <f t="shared" si="0"/>
        <v>140.525685294118</v>
      </c>
      <c r="Y20" s="85">
        <f t="shared" si="7"/>
        <v>31.6170013235294</v>
      </c>
      <c r="Z20" s="85"/>
      <c r="AA20" s="85"/>
      <c r="AB20" s="85">
        <f t="shared" si="1"/>
        <v>31.6170013235294</v>
      </c>
      <c r="AC20" s="86">
        <v>7.3</v>
      </c>
      <c r="AD20" s="72">
        <f t="shared" si="2"/>
        <v>230.804109661765</v>
      </c>
      <c r="AE20" s="72">
        <f t="shared" si="3"/>
        <v>371.329794955882</v>
      </c>
      <c r="AF20" s="72">
        <f t="shared" si="4"/>
        <v>39.150205044118</v>
      </c>
    </row>
    <row r="21" s="2" customFormat="1" spans="1:32">
      <c r="A21" s="20"/>
      <c r="B21" s="21"/>
      <c r="C21" s="22">
        <v>241025000059</v>
      </c>
      <c r="D21" s="23">
        <v>45593</v>
      </c>
      <c r="E21" s="23" t="s">
        <v>69</v>
      </c>
      <c r="F21" s="21" t="s">
        <v>70</v>
      </c>
      <c r="G21" s="21" t="s">
        <v>76</v>
      </c>
      <c r="H21" s="88">
        <v>2.2221</v>
      </c>
      <c r="I21" s="88">
        <v>248</v>
      </c>
      <c r="J21" s="42">
        <v>4576.85</v>
      </c>
      <c r="K21" s="86"/>
      <c r="L21" s="44"/>
      <c r="M21" s="45"/>
      <c r="N21" s="92"/>
      <c r="O21" s="21"/>
      <c r="P21" s="48">
        <f t="shared" si="10"/>
        <v>4576.85</v>
      </c>
      <c r="Q21" s="95"/>
      <c r="R21" s="95"/>
      <c r="S21" s="72">
        <f t="shared" si="5"/>
        <v>1555.01250882353</v>
      </c>
      <c r="T21" s="72"/>
      <c r="U21" s="72">
        <f t="shared" si="6"/>
        <v>62.0880882352941</v>
      </c>
      <c r="V21" s="72"/>
      <c r="W21" s="72"/>
      <c r="X21" s="72">
        <f t="shared" si="0"/>
        <v>1617.10059705882</v>
      </c>
      <c r="Y21" s="85">
        <f t="shared" si="7"/>
        <v>363.832929264706</v>
      </c>
      <c r="Z21" s="85"/>
      <c r="AA21" s="85"/>
      <c r="AB21" s="85">
        <f t="shared" si="1"/>
        <v>363.832929264706</v>
      </c>
      <c r="AC21" s="86">
        <v>7.3</v>
      </c>
      <c r="AD21" s="72">
        <f t="shared" si="2"/>
        <v>2655.98038363235</v>
      </c>
      <c r="AE21" s="72">
        <f t="shared" si="3"/>
        <v>4273.08098069118</v>
      </c>
      <c r="AF21" s="72">
        <f t="shared" si="4"/>
        <v>303.76901930882</v>
      </c>
    </row>
    <row r="22" s="2" customFormat="1" spans="1:32">
      <c r="A22" s="20"/>
      <c r="B22" s="21"/>
      <c r="C22" s="22">
        <v>241026000019</v>
      </c>
      <c r="D22" s="23">
        <v>45595</v>
      </c>
      <c r="E22" s="23" t="s">
        <v>63</v>
      </c>
      <c r="F22" s="21" t="s">
        <v>64</v>
      </c>
      <c r="G22" s="21" t="s">
        <v>66</v>
      </c>
      <c r="H22" s="88">
        <v>0.3084</v>
      </c>
      <c r="I22" s="88">
        <v>117</v>
      </c>
      <c r="J22" s="48"/>
      <c r="K22" s="90">
        <v>150985</v>
      </c>
      <c r="L22" s="44"/>
      <c r="M22" s="45">
        <f>SUM(K22/N22)</f>
        <v>1652.8188286809</v>
      </c>
      <c r="N22" s="46">
        <v>91.35</v>
      </c>
      <c r="O22" s="21">
        <v>7.29</v>
      </c>
      <c r="P22" s="48">
        <f>SUM(N22*O22)</f>
        <v>665.9415</v>
      </c>
      <c r="Q22" s="95"/>
      <c r="R22" s="95"/>
      <c r="S22" s="72">
        <f t="shared" si="5"/>
        <v>215.816505882353</v>
      </c>
      <c r="T22" s="72"/>
      <c r="U22" s="72">
        <f t="shared" si="6"/>
        <v>8.61705882352941</v>
      </c>
      <c r="V22" s="72"/>
      <c r="W22" s="72"/>
      <c r="X22" s="72">
        <f t="shared" si="0"/>
        <v>224.433564705882</v>
      </c>
      <c r="Y22" s="85">
        <f t="shared" si="7"/>
        <v>50.4955111764706</v>
      </c>
      <c r="Z22" s="85"/>
      <c r="AA22" s="85"/>
      <c r="AB22" s="85">
        <f t="shared" si="1"/>
        <v>50.4955111764706</v>
      </c>
      <c r="AC22" s="86">
        <v>7.3</v>
      </c>
      <c r="AD22" s="72">
        <f t="shared" si="2"/>
        <v>368.617231588235</v>
      </c>
      <c r="AE22" s="72">
        <f t="shared" si="3"/>
        <v>593.050796294118</v>
      </c>
      <c r="AF22" s="72">
        <f t="shared" si="4"/>
        <v>72.8907037058821</v>
      </c>
    </row>
    <row r="23" s="2" customFormat="1" spans="1:32">
      <c r="A23" s="20"/>
      <c r="B23" s="21"/>
      <c r="C23" s="22">
        <v>241028000021</v>
      </c>
      <c r="D23" s="23">
        <v>45593</v>
      </c>
      <c r="E23" s="23" t="s">
        <v>85</v>
      </c>
      <c r="F23" s="21" t="s">
        <v>86</v>
      </c>
      <c r="G23" s="21" t="s">
        <v>75</v>
      </c>
      <c r="H23" s="88">
        <v>19.7914</v>
      </c>
      <c r="I23" s="88">
        <v>1519</v>
      </c>
      <c r="J23" s="48"/>
      <c r="K23" s="90">
        <v>8739687.36</v>
      </c>
      <c r="L23" s="44"/>
      <c r="M23" s="45">
        <f>SUM(K23/N23)</f>
        <v>1635.55214210724</v>
      </c>
      <c r="N23" s="46">
        <v>5343.57</v>
      </c>
      <c r="O23" s="21">
        <v>7.3</v>
      </c>
      <c r="P23" s="48">
        <f>SUM(N23*O23)</f>
        <v>39008.061</v>
      </c>
      <c r="Q23" s="95"/>
      <c r="R23" s="95"/>
      <c r="S23" s="72">
        <f t="shared" si="5"/>
        <v>13849.9053</v>
      </c>
      <c r="T23" s="72"/>
      <c r="U23" s="72">
        <f t="shared" si="6"/>
        <v>552.995</v>
      </c>
      <c r="V23" s="72"/>
      <c r="W23" s="72"/>
      <c r="X23" s="72">
        <f t="shared" si="0"/>
        <v>14402.9003</v>
      </c>
      <c r="Y23" s="85">
        <f t="shared" si="7"/>
        <v>3240.521595</v>
      </c>
      <c r="Z23" s="85"/>
      <c r="AA23" s="85"/>
      <c r="AB23" s="85">
        <f t="shared" si="1"/>
        <v>3240.521595</v>
      </c>
      <c r="AC23" s="86">
        <v>7.3</v>
      </c>
      <c r="AD23" s="72">
        <f t="shared" si="2"/>
        <v>23655.8076435</v>
      </c>
      <c r="AE23" s="72">
        <f t="shared" si="3"/>
        <v>38058.7079435</v>
      </c>
      <c r="AF23" s="72">
        <f t="shared" si="4"/>
        <v>949.353056499996</v>
      </c>
    </row>
    <row r="24" s="2" customFormat="1" spans="1:32">
      <c r="A24" s="20"/>
      <c r="B24" s="21"/>
      <c r="C24" s="22">
        <v>241031000026</v>
      </c>
      <c r="D24" s="23">
        <v>45593</v>
      </c>
      <c r="E24" s="23" t="s">
        <v>82</v>
      </c>
      <c r="F24" s="21" t="s">
        <v>83</v>
      </c>
      <c r="G24" s="21" t="s">
        <v>87</v>
      </c>
      <c r="H24" s="88">
        <v>13.3255</v>
      </c>
      <c r="I24" s="88">
        <v>13006</v>
      </c>
      <c r="J24" s="42">
        <v>30739.28</v>
      </c>
      <c r="K24" s="86"/>
      <c r="L24" s="44"/>
      <c r="M24" s="45"/>
      <c r="N24" s="92"/>
      <c r="O24" s="21"/>
      <c r="P24" s="48">
        <f>SUBTOTAL(9,J24)</f>
        <v>30739.28</v>
      </c>
      <c r="Q24" s="96"/>
      <c r="R24" s="96"/>
      <c r="S24" s="72">
        <f t="shared" si="5"/>
        <v>9325.10651470588</v>
      </c>
      <c r="T24" s="72"/>
      <c r="U24" s="72">
        <f t="shared" si="6"/>
        <v>372.330147058824</v>
      </c>
      <c r="V24" s="72"/>
      <c r="W24" s="72"/>
      <c r="X24" s="72">
        <f t="shared" si="0"/>
        <v>9697.4366617647</v>
      </c>
      <c r="Y24" s="85">
        <f t="shared" si="7"/>
        <v>2181.83506544118</v>
      </c>
      <c r="Z24" s="97">
        <v>131.35</v>
      </c>
      <c r="AA24" s="85"/>
      <c r="AB24" s="85">
        <f t="shared" si="1"/>
        <v>2313.18506544118</v>
      </c>
      <c r="AC24" s="86">
        <v>7.3</v>
      </c>
      <c r="AD24" s="72">
        <f t="shared" si="2"/>
        <v>16886.2509777206</v>
      </c>
      <c r="AE24" s="72">
        <f t="shared" si="3"/>
        <v>26583.6876394853</v>
      </c>
      <c r="AF24" s="72">
        <f t="shared" si="4"/>
        <v>4155.5923605147</v>
      </c>
    </row>
    <row r="25" ht="15.75" spans="1:32">
      <c r="A25" s="25" t="s">
        <v>26</v>
      </c>
      <c r="B25" s="26"/>
      <c r="C25" s="26"/>
      <c r="D25" s="26"/>
      <c r="E25" s="26"/>
      <c r="F25" s="26"/>
      <c r="G25" s="26"/>
      <c r="H25" s="26"/>
      <c r="I25" s="49"/>
      <c r="J25" s="26">
        <f>SUM(J4:J4)</f>
        <v>0</v>
      </c>
      <c r="K25" s="50"/>
      <c r="L25" s="51"/>
      <c r="M25" s="50"/>
      <c r="N25" s="50">
        <f t="shared" ref="N25:Q25" si="11">SUM(N4:N4)</f>
        <v>0</v>
      </c>
      <c r="O25" s="26"/>
      <c r="P25" s="26">
        <f t="shared" si="11"/>
        <v>0</v>
      </c>
      <c r="Q25" s="26">
        <f t="shared" si="11"/>
        <v>0</v>
      </c>
      <c r="R25" s="26"/>
      <c r="S25" s="26"/>
      <c r="T25" s="26"/>
      <c r="U25" s="26"/>
      <c r="V25" s="26"/>
      <c r="W25" s="26"/>
      <c r="X25" s="73">
        <f>SUM(X4:X4)</f>
        <v>0</v>
      </c>
      <c r="Y25" s="51"/>
      <c r="Z25" s="51"/>
      <c r="AA25" s="51"/>
      <c r="AB25" s="51"/>
      <c r="AC25" s="50"/>
      <c r="AD25" s="26">
        <f>SUM(AD4:AD4)</f>
        <v>0</v>
      </c>
      <c r="AE25" s="26"/>
      <c r="AF25" s="87">
        <f>SUM(AF4:AF24)</f>
        <v>15930.0876678089</v>
      </c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  <row r="39" customFormat="1" spans="4:32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  <c r="AF39" s="8"/>
    </row>
    <row r="40" customFormat="1" spans="4:32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  <c r="AF40" s="8"/>
    </row>
    <row r="41" customFormat="1" spans="4:32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  <c r="AF41" s="8"/>
    </row>
  </sheetData>
  <autoFilter xmlns:etc="http://www.wps.cn/officeDocument/2017/etCustomData" ref="A3:AF25" etc:filterBottomFollowUsedRange="0">
    <extLst/>
  </autoFilter>
  <mergeCells count="21">
    <mergeCell ref="A1:AF1"/>
    <mergeCell ref="J3:P3"/>
    <mergeCell ref="R3:V3"/>
    <mergeCell ref="Y3:AD3"/>
    <mergeCell ref="A3:A4"/>
    <mergeCell ref="A5:A24"/>
    <mergeCell ref="B3:B4"/>
    <mergeCell ref="B5:B24"/>
    <mergeCell ref="C3:C4"/>
    <mergeCell ref="D3:D4"/>
    <mergeCell ref="E3:E4"/>
    <mergeCell ref="F3:F4"/>
    <mergeCell ref="G3:G4"/>
    <mergeCell ref="H3:H4"/>
    <mergeCell ref="I3:I4"/>
    <mergeCell ref="Q3:Q4"/>
    <mergeCell ref="Q5:Q24"/>
    <mergeCell ref="R5:R24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0"/>
  <sheetViews>
    <sheetView tabSelected="1" zoomScale="110" zoomScaleNormal="110" topLeftCell="H1" workbookViewId="0">
      <pane xSplit="10" ySplit="4" topLeftCell="AD5" activePane="bottomRight" state="frozen"/>
      <selection/>
      <selection pane="topRight"/>
      <selection pane="bottomLeft"/>
      <selection pane="bottomRight" activeCell="AD18" sqref="AD18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4"/>
    </row>
    <row r="2" customFormat="1" ht="31" customHeight="1" spans="1:32">
      <c r="A2" s="98" t="s">
        <v>144</v>
      </c>
      <c r="B2" s="98" t="s">
        <v>145</v>
      </c>
      <c r="C2" s="98">
        <v>71.2954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5" t="s">
        <v>39</v>
      </c>
      <c r="Z3" s="75"/>
      <c r="AA3" s="75"/>
      <c r="AB3" s="75"/>
      <c r="AC3" s="76"/>
      <c r="AD3" s="75"/>
      <c r="AE3" s="77" t="s">
        <v>40</v>
      </c>
      <c r="AF3" s="78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9" t="s">
        <v>53</v>
      </c>
      <c r="Z4" s="79" t="s">
        <v>54</v>
      </c>
      <c r="AA4" s="79" t="s">
        <v>55</v>
      </c>
      <c r="AB4" s="80" t="s">
        <v>56</v>
      </c>
      <c r="AC4" s="81" t="s">
        <v>57</v>
      </c>
      <c r="AD4" s="82" t="s">
        <v>47</v>
      </c>
      <c r="AE4" s="83" t="s">
        <v>58</v>
      </c>
      <c r="AF4" s="84"/>
    </row>
    <row r="5" s="2" customFormat="1" spans="1:32">
      <c r="A5" s="20" t="s">
        <v>20</v>
      </c>
      <c r="B5" s="21" t="s">
        <v>21</v>
      </c>
      <c r="C5" s="22">
        <v>241011000005</v>
      </c>
      <c r="D5" s="23">
        <v>45595</v>
      </c>
      <c r="E5" s="23" t="s">
        <v>63</v>
      </c>
      <c r="F5" s="21" t="s">
        <v>64</v>
      </c>
      <c r="G5" s="21" t="s">
        <v>68</v>
      </c>
      <c r="H5" s="88">
        <v>3.1875</v>
      </c>
      <c r="I5" s="88">
        <v>2044</v>
      </c>
      <c r="J5" s="42">
        <v>8910</v>
      </c>
      <c r="K5" s="86"/>
      <c r="L5" s="44"/>
      <c r="M5" s="45"/>
      <c r="N5" s="92"/>
      <c r="O5" s="21"/>
      <c r="P5" s="48">
        <f t="shared" ref="P5:P13" si="0">SUBTOTAL(9,J5)</f>
        <v>8910</v>
      </c>
      <c r="Q5" s="93">
        <f>SUM(P5:P13)</f>
        <v>133755.6735</v>
      </c>
      <c r="R5" s="94" t="s">
        <v>137</v>
      </c>
      <c r="S5" s="72">
        <f>SUM(49152/68)*H5</f>
        <v>2304</v>
      </c>
      <c r="T5" s="72"/>
      <c r="U5" s="72">
        <f>SUM(1400/68)*H5</f>
        <v>65.625</v>
      </c>
      <c r="V5" s="72"/>
      <c r="W5" s="72"/>
      <c r="X5" s="72">
        <f t="shared" ref="X5:X25" si="1">SUM(S5:W5)</f>
        <v>2369.625</v>
      </c>
      <c r="Y5" s="85">
        <f>SUM(11133.9/68)*H5</f>
        <v>521.9015625</v>
      </c>
      <c r="Z5" s="85"/>
      <c r="AA5" s="85">
        <f>SUM(69.17/68)*H5</f>
        <v>3.24234375</v>
      </c>
      <c r="AB5" s="85">
        <f t="shared" ref="AB5:AB25" si="2">SUM(Y5:AA5)</f>
        <v>525.14390625</v>
      </c>
      <c r="AC5" s="86">
        <v>7.3</v>
      </c>
      <c r="AD5" s="72">
        <f t="shared" ref="AD5:AD25" si="3">SUM(AB5*AC5)</f>
        <v>3833.550515625</v>
      </c>
      <c r="AE5" s="72">
        <f t="shared" ref="AE5:AE25" si="4">SUM(X5+AD5)</f>
        <v>6203.175515625</v>
      </c>
      <c r="AF5" s="72">
        <f t="shared" ref="AF5:AF24" si="5">SUM(P5-AE5)</f>
        <v>2706.824484375</v>
      </c>
    </row>
    <row r="6" s="2" customFormat="1" spans="1:32">
      <c r="A6" s="20"/>
      <c r="B6" s="21"/>
      <c r="C6" s="22">
        <v>241028000024</v>
      </c>
      <c r="D6" s="23">
        <v>45595</v>
      </c>
      <c r="E6" s="23" t="s">
        <v>63</v>
      </c>
      <c r="F6" s="21" t="s">
        <v>64</v>
      </c>
      <c r="G6" s="21" t="s">
        <v>72</v>
      </c>
      <c r="H6" s="88">
        <v>1.5107</v>
      </c>
      <c r="I6" s="88">
        <v>646</v>
      </c>
      <c r="J6" s="48"/>
      <c r="K6" s="90">
        <v>706092</v>
      </c>
      <c r="L6" s="44"/>
      <c r="M6" s="45">
        <f>SUM(K6/N6)</f>
        <v>1654.9677721786</v>
      </c>
      <c r="N6" s="46">
        <v>426.65</v>
      </c>
      <c r="O6" s="21">
        <v>7.29</v>
      </c>
      <c r="P6" s="48">
        <f>SUM(N6*O6)</f>
        <v>3110.2785</v>
      </c>
      <c r="Q6" s="95"/>
      <c r="R6" s="95"/>
      <c r="S6" s="72">
        <f t="shared" ref="S6:S13" si="6">SUM(49152/68)*H6</f>
        <v>1091.96950588235</v>
      </c>
      <c r="T6" s="72"/>
      <c r="U6" s="72">
        <f t="shared" ref="U6:U13" si="7">SUM(1400/68)*H6</f>
        <v>31.1026470588235</v>
      </c>
      <c r="V6" s="72"/>
      <c r="W6" s="72"/>
      <c r="X6" s="72">
        <f t="shared" si="1"/>
        <v>1123.07215294118</v>
      </c>
      <c r="Y6" s="85">
        <f t="shared" ref="Y6:Y13" si="8">SUM(11133.9/68)*H6</f>
        <v>247.352687205882</v>
      </c>
      <c r="Z6" s="85"/>
      <c r="AA6" s="85">
        <f t="shared" ref="AA6:AA13" si="9">SUM(69.17/68)*H6</f>
        <v>1.53669292647059</v>
      </c>
      <c r="AB6" s="85">
        <f t="shared" si="2"/>
        <v>248.889380132353</v>
      </c>
      <c r="AC6" s="86">
        <v>7.3</v>
      </c>
      <c r="AD6" s="72">
        <f t="shared" si="3"/>
        <v>1816.89247496618</v>
      </c>
      <c r="AE6" s="72">
        <f t="shared" si="4"/>
        <v>2939.96462790736</v>
      </c>
      <c r="AF6" s="72">
        <f t="shared" si="5"/>
        <v>170.313872092639</v>
      </c>
    </row>
    <row r="7" s="2" customFormat="1" spans="1:32">
      <c r="A7" s="20"/>
      <c r="B7" s="21"/>
      <c r="C7" s="22">
        <v>241017000025</v>
      </c>
      <c r="D7" s="23">
        <v>45595</v>
      </c>
      <c r="E7" s="23" t="s">
        <v>59</v>
      </c>
      <c r="F7" s="21" t="s">
        <v>60</v>
      </c>
      <c r="G7" s="21" t="s">
        <v>93</v>
      </c>
      <c r="H7" s="88">
        <v>1.8596</v>
      </c>
      <c r="I7" s="88">
        <v>2312</v>
      </c>
      <c r="J7" s="48"/>
      <c r="K7" s="90">
        <v>1660291</v>
      </c>
      <c r="L7" s="44"/>
      <c r="M7" s="45">
        <f>SUM(K7/N7)</f>
        <v>1730.10055749492</v>
      </c>
      <c r="N7" s="46">
        <v>959.65</v>
      </c>
      <c r="O7" s="21">
        <v>7.3</v>
      </c>
      <c r="P7" s="48">
        <f>SUM(N7*O7)</f>
        <v>7005.445</v>
      </c>
      <c r="Q7" s="95"/>
      <c r="R7" s="95"/>
      <c r="S7" s="72">
        <f t="shared" si="6"/>
        <v>1344.16263529412</v>
      </c>
      <c r="T7" s="72"/>
      <c r="U7" s="72">
        <f t="shared" si="7"/>
        <v>38.2858823529412</v>
      </c>
      <c r="V7" s="72"/>
      <c r="W7" s="72"/>
      <c r="X7" s="72">
        <f t="shared" si="1"/>
        <v>1382.44851764706</v>
      </c>
      <c r="Y7" s="85">
        <f t="shared" si="8"/>
        <v>304.479418235294</v>
      </c>
      <c r="Z7" s="97">
        <v>31.41</v>
      </c>
      <c r="AA7" s="85">
        <f t="shared" si="9"/>
        <v>1.89159605882353</v>
      </c>
      <c r="AB7" s="85">
        <f t="shared" si="2"/>
        <v>337.781014294118</v>
      </c>
      <c r="AC7" s="86">
        <v>7.3</v>
      </c>
      <c r="AD7" s="72">
        <f t="shared" si="3"/>
        <v>2465.80140434706</v>
      </c>
      <c r="AE7" s="72">
        <f t="shared" si="4"/>
        <v>3848.24992199412</v>
      </c>
      <c r="AF7" s="72">
        <f t="shared" si="5"/>
        <v>3157.19507800588</v>
      </c>
    </row>
    <row r="8" s="2" customFormat="1" spans="1:32">
      <c r="A8" s="20"/>
      <c r="B8" s="21"/>
      <c r="C8" s="22">
        <v>241025000020</v>
      </c>
      <c r="D8" s="23">
        <v>45595</v>
      </c>
      <c r="E8" s="23" t="s">
        <v>109</v>
      </c>
      <c r="F8" s="21" t="s">
        <v>110</v>
      </c>
      <c r="G8" s="21" t="s">
        <v>111</v>
      </c>
      <c r="H8" s="88">
        <v>0.054</v>
      </c>
      <c r="I8" s="88">
        <v>11</v>
      </c>
      <c r="J8" s="42">
        <v>118</v>
      </c>
      <c r="K8" s="86"/>
      <c r="L8" s="44"/>
      <c r="M8" s="45"/>
      <c r="N8" s="92"/>
      <c r="O8" s="21"/>
      <c r="P8" s="48">
        <f t="shared" si="0"/>
        <v>118</v>
      </c>
      <c r="Q8" s="95"/>
      <c r="R8" s="95"/>
      <c r="S8" s="72">
        <f t="shared" si="6"/>
        <v>39.0324705882353</v>
      </c>
      <c r="T8" s="72"/>
      <c r="U8" s="72">
        <f t="shared" si="7"/>
        <v>1.11176470588235</v>
      </c>
      <c r="V8" s="72"/>
      <c r="W8" s="72"/>
      <c r="X8" s="72">
        <f t="shared" si="1"/>
        <v>40.1442352941176</v>
      </c>
      <c r="Y8" s="85">
        <f t="shared" si="8"/>
        <v>8.84162647058823</v>
      </c>
      <c r="Z8" s="85"/>
      <c r="AA8" s="85">
        <f t="shared" si="9"/>
        <v>0.0549291176470588</v>
      </c>
      <c r="AB8" s="85">
        <f t="shared" si="2"/>
        <v>8.89655558823529</v>
      </c>
      <c r="AC8" s="86">
        <v>7.3</v>
      </c>
      <c r="AD8" s="72">
        <f t="shared" si="3"/>
        <v>64.9448557941176</v>
      </c>
      <c r="AE8" s="72">
        <f t="shared" si="4"/>
        <v>105.089091088235</v>
      </c>
      <c r="AF8" s="72">
        <f t="shared" si="5"/>
        <v>12.9109089117648</v>
      </c>
    </row>
    <row r="9" s="2" customFormat="1" spans="1:32">
      <c r="A9" s="20"/>
      <c r="B9" s="21"/>
      <c r="C9" s="22">
        <v>241029000029</v>
      </c>
      <c r="D9" s="23">
        <v>45595</v>
      </c>
      <c r="E9" s="23" t="s">
        <v>82</v>
      </c>
      <c r="F9" s="21" t="s">
        <v>83</v>
      </c>
      <c r="G9" s="21" t="s">
        <v>96</v>
      </c>
      <c r="H9" s="88">
        <v>0.0491</v>
      </c>
      <c r="I9" s="88">
        <v>12</v>
      </c>
      <c r="J9" s="42">
        <v>107.53</v>
      </c>
      <c r="K9" s="86"/>
      <c r="L9" s="44"/>
      <c r="M9" s="45"/>
      <c r="N9" s="92"/>
      <c r="O9" s="21"/>
      <c r="P9" s="48">
        <f t="shared" si="0"/>
        <v>107.53</v>
      </c>
      <c r="Q9" s="95"/>
      <c r="R9" s="95"/>
      <c r="S9" s="72">
        <f t="shared" si="6"/>
        <v>35.4906352941176</v>
      </c>
      <c r="T9" s="72"/>
      <c r="U9" s="72">
        <f t="shared" si="7"/>
        <v>1.01088235294118</v>
      </c>
      <c r="V9" s="72"/>
      <c r="W9" s="72"/>
      <c r="X9" s="72">
        <f t="shared" si="1"/>
        <v>36.5015176470588</v>
      </c>
      <c r="Y9" s="85">
        <f t="shared" si="8"/>
        <v>8.03933073529412</v>
      </c>
      <c r="Z9" s="85"/>
      <c r="AA9" s="85">
        <f t="shared" si="9"/>
        <v>0.0499448088235294</v>
      </c>
      <c r="AB9" s="85">
        <f t="shared" si="2"/>
        <v>8.08927554411765</v>
      </c>
      <c r="AC9" s="86">
        <v>7.3</v>
      </c>
      <c r="AD9" s="72">
        <f t="shared" si="3"/>
        <v>59.0517114720588</v>
      </c>
      <c r="AE9" s="72">
        <f t="shared" si="4"/>
        <v>95.5532291191176</v>
      </c>
      <c r="AF9" s="72">
        <f t="shared" si="5"/>
        <v>11.9767708808824</v>
      </c>
    </row>
    <row r="10" s="2" customFormat="1" spans="1:32">
      <c r="A10" s="20"/>
      <c r="B10" s="21"/>
      <c r="C10" s="22">
        <v>241030000038</v>
      </c>
      <c r="D10" s="23">
        <v>45595</v>
      </c>
      <c r="E10" s="23" t="s">
        <v>85</v>
      </c>
      <c r="F10" s="21" t="s">
        <v>86</v>
      </c>
      <c r="G10" s="21" t="s">
        <v>94</v>
      </c>
      <c r="H10" s="88">
        <v>43.89</v>
      </c>
      <c r="I10" s="88">
        <v>5168</v>
      </c>
      <c r="J10" s="42">
        <v>67551.98</v>
      </c>
      <c r="K10" s="86"/>
      <c r="L10" s="44"/>
      <c r="M10" s="45"/>
      <c r="N10" s="46"/>
      <c r="O10" s="21"/>
      <c r="P10" s="48">
        <f t="shared" si="0"/>
        <v>67551.98</v>
      </c>
      <c r="Q10" s="95"/>
      <c r="R10" s="95"/>
      <c r="S10" s="72">
        <f t="shared" si="6"/>
        <v>31724.7247058824</v>
      </c>
      <c r="T10" s="72"/>
      <c r="U10" s="72">
        <f t="shared" si="7"/>
        <v>903.617647058824</v>
      </c>
      <c r="V10" s="72"/>
      <c r="W10" s="72"/>
      <c r="X10" s="72">
        <f t="shared" si="1"/>
        <v>32628.3423529412</v>
      </c>
      <c r="Y10" s="85">
        <f t="shared" si="8"/>
        <v>7186.27751470588</v>
      </c>
      <c r="Z10" s="97"/>
      <c r="AA10" s="85">
        <f t="shared" si="9"/>
        <v>44.6451661764706</v>
      </c>
      <c r="AB10" s="85">
        <f t="shared" si="2"/>
        <v>7230.92268088235</v>
      </c>
      <c r="AC10" s="86">
        <v>7.3</v>
      </c>
      <c r="AD10" s="72">
        <f t="shared" si="3"/>
        <v>52785.7355704412</v>
      </c>
      <c r="AE10" s="72">
        <f t="shared" si="4"/>
        <v>85414.0779233824</v>
      </c>
      <c r="AF10" s="72">
        <f t="shared" si="5"/>
        <v>-17862.0979233824</v>
      </c>
    </row>
    <row r="11" s="2" customFormat="1" spans="1:32">
      <c r="A11" s="20"/>
      <c r="B11" s="21"/>
      <c r="C11" s="22">
        <v>241030000040</v>
      </c>
      <c r="D11" s="23">
        <v>45595</v>
      </c>
      <c r="E11" s="23" t="s">
        <v>82</v>
      </c>
      <c r="F11" s="21" t="s">
        <v>83</v>
      </c>
      <c r="G11" s="21" t="s">
        <v>96</v>
      </c>
      <c r="H11" s="88">
        <v>0.635</v>
      </c>
      <c r="I11" s="88">
        <v>240</v>
      </c>
      <c r="J11" s="42">
        <v>1251.59</v>
      </c>
      <c r="K11" s="86"/>
      <c r="L11" s="44"/>
      <c r="M11" s="45"/>
      <c r="N11" s="92"/>
      <c r="O11" s="21"/>
      <c r="P11" s="48">
        <f t="shared" si="0"/>
        <v>1251.59</v>
      </c>
      <c r="Q11" s="95"/>
      <c r="R11" s="95"/>
      <c r="S11" s="72">
        <f t="shared" si="6"/>
        <v>458.992941176471</v>
      </c>
      <c r="T11" s="72"/>
      <c r="U11" s="72">
        <f t="shared" si="7"/>
        <v>13.0735294117647</v>
      </c>
      <c r="V11" s="72"/>
      <c r="W11" s="72"/>
      <c r="X11" s="72">
        <f t="shared" si="1"/>
        <v>472.066470588235</v>
      </c>
      <c r="Y11" s="85">
        <f t="shared" si="8"/>
        <v>103.970977941176</v>
      </c>
      <c r="Z11" s="85"/>
      <c r="AA11" s="85">
        <f t="shared" si="9"/>
        <v>0.645925735294118</v>
      </c>
      <c r="AB11" s="85">
        <f t="shared" si="2"/>
        <v>104.616903676471</v>
      </c>
      <c r="AC11" s="86">
        <v>7.3</v>
      </c>
      <c r="AD11" s="72">
        <f t="shared" si="3"/>
        <v>763.703396838235</v>
      </c>
      <c r="AE11" s="72">
        <f t="shared" si="4"/>
        <v>1235.76986742647</v>
      </c>
      <c r="AF11" s="72">
        <f t="shared" si="5"/>
        <v>15.8201325735299</v>
      </c>
    </row>
    <row r="12" s="2" customFormat="1" spans="1:32">
      <c r="A12" s="20"/>
      <c r="B12" s="21"/>
      <c r="C12" s="22">
        <v>241030000042</v>
      </c>
      <c r="D12" s="23">
        <v>45595</v>
      </c>
      <c r="E12" s="23" t="s">
        <v>82</v>
      </c>
      <c r="F12" s="21" t="s">
        <v>83</v>
      </c>
      <c r="G12" s="21" t="s">
        <v>96</v>
      </c>
      <c r="H12" s="88">
        <v>2.0475</v>
      </c>
      <c r="I12" s="88">
        <v>720</v>
      </c>
      <c r="J12" s="42">
        <v>4035.66</v>
      </c>
      <c r="K12" s="86"/>
      <c r="L12" s="44"/>
      <c r="M12" s="45"/>
      <c r="N12" s="99"/>
      <c r="O12" s="21"/>
      <c r="P12" s="48">
        <f t="shared" si="0"/>
        <v>4035.66</v>
      </c>
      <c r="Q12" s="95"/>
      <c r="R12" s="95"/>
      <c r="S12" s="72">
        <f t="shared" si="6"/>
        <v>1479.98117647059</v>
      </c>
      <c r="T12" s="72"/>
      <c r="U12" s="72">
        <f t="shared" si="7"/>
        <v>42.1544117647059</v>
      </c>
      <c r="V12" s="72"/>
      <c r="W12" s="72"/>
      <c r="X12" s="72">
        <f t="shared" si="1"/>
        <v>1522.13558823529</v>
      </c>
      <c r="Y12" s="85">
        <f t="shared" si="8"/>
        <v>335.245003676471</v>
      </c>
      <c r="Z12" s="85"/>
      <c r="AA12" s="85">
        <f t="shared" si="9"/>
        <v>2.08272904411765</v>
      </c>
      <c r="AB12" s="85">
        <f t="shared" si="2"/>
        <v>337.327732720588</v>
      </c>
      <c r="AC12" s="86">
        <v>7.3</v>
      </c>
      <c r="AD12" s="72">
        <f t="shared" si="3"/>
        <v>2462.49244886029</v>
      </c>
      <c r="AE12" s="72">
        <f t="shared" si="4"/>
        <v>3984.62803709558</v>
      </c>
      <c r="AF12" s="72">
        <f t="shared" si="5"/>
        <v>51.0319629044197</v>
      </c>
    </row>
    <row r="13" s="2" customFormat="1" spans="1:32">
      <c r="A13" s="20"/>
      <c r="B13" s="21"/>
      <c r="C13" s="22">
        <v>241031000028</v>
      </c>
      <c r="D13" s="23">
        <v>45595</v>
      </c>
      <c r="E13" s="23" t="s">
        <v>82</v>
      </c>
      <c r="F13" s="21" t="s">
        <v>83</v>
      </c>
      <c r="G13" s="21" t="s">
        <v>87</v>
      </c>
      <c r="H13" s="88">
        <v>18.0619</v>
      </c>
      <c r="I13" s="88">
        <v>16900</v>
      </c>
      <c r="J13" s="42">
        <v>41665.19</v>
      </c>
      <c r="K13" s="86"/>
      <c r="L13" s="44"/>
      <c r="M13" s="45"/>
      <c r="N13" s="92"/>
      <c r="O13" s="21"/>
      <c r="P13" s="48">
        <f t="shared" si="0"/>
        <v>41665.19</v>
      </c>
      <c r="Q13" s="96"/>
      <c r="R13" s="96"/>
      <c r="S13" s="72">
        <f t="shared" si="6"/>
        <v>13055.5663058824</v>
      </c>
      <c r="T13" s="72"/>
      <c r="U13" s="72">
        <f t="shared" si="7"/>
        <v>371.862647058824</v>
      </c>
      <c r="V13" s="72"/>
      <c r="W13" s="72"/>
      <c r="X13" s="72">
        <f t="shared" si="1"/>
        <v>13427.4289529412</v>
      </c>
      <c r="Y13" s="85">
        <f t="shared" si="8"/>
        <v>2957.34394720588</v>
      </c>
      <c r="Z13" s="97">
        <v>178.04</v>
      </c>
      <c r="AA13" s="85">
        <f t="shared" si="9"/>
        <v>18.3726709264706</v>
      </c>
      <c r="AB13" s="85">
        <f t="shared" si="2"/>
        <v>3153.75661813235</v>
      </c>
      <c r="AC13" s="86">
        <v>7.3</v>
      </c>
      <c r="AD13" s="72">
        <f t="shared" si="3"/>
        <v>23022.4233123662</v>
      </c>
      <c r="AE13" s="72">
        <f t="shared" si="4"/>
        <v>36449.8522653074</v>
      </c>
      <c r="AF13" s="72">
        <f t="shared" si="5"/>
        <v>5215.3377346926</v>
      </c>
    </row>
    <row r="14" ht="15.75" spans="1:32">
      <c r="A14" s="25" t="s">
        <v>26</v>
      </c>
      <c r="B14" s="26"/>
      <c r="C14" s="26"/>
      <c r="D14" s="26"/>
      <c r="E14" s="26"/>
      <c r="F14" s="26"/>
      <c r="G14" s="26"/>
      <c r="H14" s="26"/>
      <c r="I14" s="49"/>
      <c r="J14" s="26"/>
      <c r="K14" s="50"/>
      <c r="L14" s="51"/>
      <c r="M14" s="50"/>
      <c r="N14" s="50"/>
      <c r="O14" s="26"/>
      <c r="P14" s="26"/>
      <c r="Q14" s="100">
        <f>SUM(Q5)</f>
        <v>133755.6735</v>
      </c>
      <c r="R14" s="26"/>
      <c r="S14" s="26"/>
      <c r="T14" s="26"/>
      <c r="U14" s="26"/>
      <c r="V14" s="26"/>
      <c r="W14" s="26"/>
      <c r="X14" s="73">
        <f>SUM(X4:X4)</f>
        <v>0</v>
      </c>
      <c r="Y14" s="51"/>
      <c r="Z14" s="51"/>
      <c r="AA14" s="51"/>
      <c r="AB14" s="51"/>
      <c r="AC14" s="50"/>
      <c r="AD14" s="26"/>
      <c r="AE14" s="101">
        <f>SUM(AE5:AE13)</f>
        <v>140276.360478946</v>
      </c>
      <c r="AF14" s="102">
        <f>SUM(AF4:AF13)</f>
        <v>-6520.68697894569</v>
      </c>
    </row>
    <row r="15" customFormat="1" spans="4:32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  <c r="AF15" s="8"/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</sheetData>
  <autoFilter xmlns:etc="http://www.wps.cn/officeDocument/2017/etCustomData" ref="A3:AF14" etc:filterBottomFollowUsedRange="0">
    <extLst/>
  </autoFilter>
  <mergeCells count="21">
    <mergeCell ref="A1:AF1"/>
    <mergeCell ref="J3:P3"/>
    <mergeCell ref="R3:V3"/>
    <mergeCell ref="Y3:AD3"/>
    <mergeCell ref="A3:A4"/>
    <mergeCell ref="A5:A13"/>
    <mergeCell ref="B3:B4"/>
    <mergeCell ref="B5:B13"/>
    <mergeCell ref="C3:C4"/>
    <mergeCell ref="D3:D4"/>
    <mergeCell ref="E3:E4"/>
    <mergeCell ref="F3:F4"/>
    <mergeCell ref="G3:G4"/>
    <mergeCell ref="H3:H4"/>
    <mergeCell ref="I3:I4"/>
    <mergeCell ref="Q3:Q4"/>
    <mergeCell ref="Q5:Q13"/>
    <mergeCell ref="R5:R13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1"/>
  <sheetViews>
    <sheetView zoomScale="110" zoomScaleNormal="110" workbookViewId="0">
      <pane xSplit="2" ySplit="3" topLeftCell="S4" activePane="bottomRight" state="frozen"/>
      <selection/>
      <selection pane="topRight"/>
      <selection pane="bottomLeft"/>
      <selection pane="bottomRight" activeCell="AF4" sqref="AF4:AF14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4"/>
    </row>
    <row r="2" s="1" customFormat="1" ht="23" customHeight="1" spans="1:32">
      <c r="A2" s="10" t="s">
        <v>1</v>
      </c>
      <c r="B2" s="11" t="s">
        <v>2</v>
      </c>
      <c r="C2" s="12" t="s">
        <v>27</v>
      </c>
      <c r="D2" s="13" t="s">
        <v>28</v>
      </c>
      <c r="E2" s="14" t="s">
        <v>29</v>
      </c>
      <c r="F2" s="15" t="s">
        <v>30</v>
      </c>
      <c r="G2" s="15" t="s">
        <v>31</v>
      </c>
      <c r="H2" s="15" t="s">
        <v>32</v>
      </c>
      <c r="I2" s="15" t="s">
        <v>33</v>
      </c>
      <c r="J2" s="30" t="s">
        <v>34</v>
      </c>
      <c r="K2" s="31"/>
      <c r="L2" s="32"/>
      <c r="M2" s="31"/>
      <c r="N2" s="32"/>
      <c r="O2" s="33"/>
      <c r="P2" s="34"/>
      <c r="Q2" s="55" t="s">
        <v>35</v>
      </c>
      <c r="R2" s="56" t="s">
        <v>36</v>
      </c>
      <c r="S2" s="57"/>
      <c r="T2" s="58"/>
      <c r="U2" s="59"/>
      <c r="V2" s="60"/>
      <c r="W2" s="61" t="s">
        <v>37</v>
      </c>
      <c r="X2" s="62" t="s">
        <v>38</v>
      </c>
      <c r="Y2" s="75" t="s">
        <v>39</v>
      </c>
      <c r="Z2" s="75"/>
      <c r="AA2" s="75"/>
      <c r="AB2" s="75"/>
      <c r="AC2" s="76"/>
      <c r="AD2" s="75"/>
      <c r="AE2" s="77" t="s">
        <v>40</v>
      </c>
      <c r="AF2" s="78" t="s">
        <v>3</v>
      </c>
    </row>
    <row r="3" s="1" customFormat="1" ht="27" customHeight="1" spans="1:32">
      <c r="A3" s="16"/>
      <c r="B3" s="17"/>
      <c r="C3" s="12"/>
      <c r="D3" s="13"/>
      <c r="E3" s="18"/>
      <c r="F3" s="19"/>
      <c r="G3" s="19"/>
      <c r="H3" s="19"/>
      <c r="I3" s="35"/>
      <c r="J3" s="36" t="s">
        <v>41</v>
      </c>
      <c r="K3" s="37" t="s">
        <v>42</v>
      </c>
      <c r="L3" s="38" t="s">
        <v>43</v>
      </c>
      <c r="M3" s="37" t="s">
        <v>44</v>
      </c>
      <c r="N3" s="39" t="s">
        <v>45</v>
      </c>
      <c r="O3" s="40" t="s">
        <v>46</v>
      </c>
      <c r="P3" s="41" t="s">
        <v>47</v>
      </c>
      <c r="Q3" s="63"/>
      <c r="R3" s="64" t="s">
        <v>48</v>
      </c>
      <c r="S3" s="65" t="s">
        <v>49</v>
      </c>
      <c r="T3" s="66" t="s">
        <v>50</v>
      </c>
      <c r="U3" s="67" t="s">
        <v>51</v>
      </c>
      <c r="V3" s="66" t="s">
        <v>52</v>
      </c>
      <c r="W3" s="68"/>
      <c r="X3" s="69"/>
      <c r="Y3" s="79" t="s">
        <v>53</v>
      </c>
      <c r="Z3" s="79" t="s">
        <v>54</v>
      </c>
      <c r="AA3" s="79" t="s">
        <v>55</v>
      </c>
      <c r="AB3" s="80" t="s">
        <v>56</v>
      </c>
      <c r="AC3" s="81" t="s">
        <v>57</v>
      </c>
      <c r="AD3" s="82" t="s">
        <v>47</v>
      </c>
      <c r="AE3" s="83" t="s">
        <v>58</v>
      </c>
      <c r="AF3" s="84"/>
    </row>
    <row r="4" s="2" customFormat="1" spans="1:32">
      <c r="A4" s="20" t="s">
        <v>22</v>
      </c>
      <c r="B4" s="21" t="s">
        <v>23</v>
      </c>
      <c r="C4" s="22">
        <v>241024000009</v>
      </c>
      <c r="D4" s="23">
        <v>45595</v>
      </c>
      <c r="E4" s="23" t="s">
        <v>59</v>
      </c>
      <c r="F4" s="21" t="s">
        <v>60</v>
      </c>
      <c r="G4" s="21" t="s">
        <v>138</v>
      </c>
      <c r="H4" s="88">
        <v>1.508</v>
      </c>
      <c r="I4" s="88">
        <v>508</v>
      </c>
      <c r="J4" s="89"/>
      <c r="K4" s="90">
        <v>1104957.06</v>
      </c>
      <c r="L4" s="44"/>
      <c r="M4" s="45">
        <f t="shared" ref="M4:M9" si="0">SUM(K4/N4)</f>
        <v>1669.42204024899</v>
      </c>
      <c r="N4" s="91">
        <v>661.88</v>
      </c>
      <c r="O4" s="21">
        <v>7.29</v>
      </c>
      <c r="P4" s="48">
        <f t="shared" ref="P4:P9" si="1">SUM(N4*O4)</f>
        <v>4825.1052</v>
      </c>
      <c r="Q4" s="93">
        <f>SUM(P4:P14)</f>
        <v>138920.739027</v>
      </c>
      <c r="R4" s="94" t="s">
        <v>139</v>
      </c>
      <c r="S4" s="72">
        <f>SUM(47362/68)*H4</f>
        <v>1050.322</v>
      </c>
      <c r="T4" s="72"/>
      <c r="U4" s="72">
        <f>SUM(2400/68)*H4</f>
        <v>53.2235294117647</v>
      </c>
      <c r="V4" s="72"/>
      <c r="W4" s="72"/>
      <c r="X4" s="72">
        <f t="shared" ref="X4:X15" si="2">SUM(S4:W4)</f>
        <v>1103.54552941176</v>
      </c>
      <c r="Y4" s="85">
        <f>SUM(10699.87/68)*H4</f>
        <v>237.285352352941</v>
      </c>
      <c r="Z4" s="85">
        <v>210.97</v>
      </c>
      <c r="AA4" s="85">
        <f>SUM(66.95/68)*H4</f>
        <v>1.48471470588235</v>
      </c>
      <c r="AB4" s="85">
        <f t="shared" ref="AB4:AB15" si="3">SUM(Y4:AA4)</f>
        <v>449.740067058824</v>
      </c>
      <c r="AC4" s="86">
        <v>7.3</v>
      </c>
      <c r="AD4" s="72">
        <f t="shared" ref="AD4:AD15" si="4">SUM(AB4*AC4)</f>
        <v>3283.10248952941</v>
      </c>
      <c r="AE4" s="72">
        <f t="shared" ref="AE4:AE15" si="5">SUM(X4+AD4)</f>
        <v>4386.64801894118</v>
      </c>
      <c r="AF4" s="72">
        <f t="shared" ref="AF4:AF14" si="6">SUM(P4-AE4)</f>
        <v>438.457181058823</v>
      </c>
    </row>
    <row r="5" s="2" customFormat="1" spans="1:32">
      <c r="A5" s="20"/>
      <c r="B5" s="21"/>
      <c r="C5" s="22">
        <v>241024000010</v>
      </c>
      <c r="D5" s="23">
        <v>45595</v>
      </c>
      <c r="E5" s="23" t="s">
        <v>59</v>
      </c>
      <c r="F5" s="21" t="s">
        <v>60</v>
      </c>
      <c r="G5" s="21" t="s">
        <v>138</v>
      </c>
      <c r="H5" s="88">
        <v>0.1128</v>
      </c>
      <c r="I5" s="88">
        <v>88</v>
      </c>
      <c r="J5" s="89"/>
      <c r="K5" s="90">
        <v>109278</v>
      </c>
      <c r="L5" s="44"/>
      <c r="M5" s="45">
        <f t="shared" si="0"/>
        <v>1669.38588450962</v>
      </c>
      <c r="N5" s="91">
        <v>65.46</v>
      </c>
      <c r="O5" s="21">
        <v>7.29</v>
      </c>
      <c r="P5" s="48">
        <f t="shared" si="1"/>
        <v>477.2034</v>
      </c>
      <c r="Q5" s="95"/>
      <c r="R5" s="95"/>
      <c r="S5" s="72">
        <f t="shared" ref="S5:S14" si="7">SUM(47362/68)*H5</f>
        <v>78.5652</v>
      </c>
      <c r="T5" s="72"/>
      <c r="U5" s="72">
        <f t="shared" ref="U5:U14" si="8">SUM(2400/68)*H5</f>
        <v>3.98117647058824</v>
      </c>
      <c r="V5" s="72"/>
      <c r="W5" s="72"/>
      <c r="X5" s="72">
        <f t="shared" si="2"/>
        <v>82.5463764705882</v>
      </c>
      <c r="Y5" s="85">
        <f t="shared" ref="Y5:Y14" si="9">SUM(10699.87/68)*H5</f>
        <v>17.7491961176471</v>
      </c>
      <c r="Z5" s="85">
        <v>28.12</v>
      </c>
      <c r="AA5" s="85">
        <f t="shared" ref="AA5:AA14" si="10">SUM(66.95/68)*H5</f>
        <v>0.111058235294118</v>
      </c>
      <c r="AB5" s="85">
        <f t="shared" si="3"/>
        <v>45.9802543529412</v>
      </c>
      <c r="AC5" s="86">
        <v>7.3</v>
      </c>
      <c r="AD5" s="72">
        <f t="shared" si="4"/>
        <v>335.655856776471</v>
      </c>
      <c r="AE5" s="72">
        <f t="shared" si="5"/>
        <v>418.202233247059</v>
      </c>
      <c r="AF5" s="72">
        <f t="shared" si="6"/>
        <v>59.0011667529411</v>
      </c>
    </row>
    <row r="6" s="2" customFormat="1" spans="1:32">
      <c r="A6" s="20"/>
      <c r="B6" s="21"/>
      <c r="C6" s="22">
        <v>241017000025</v>
      </c>
      <c r="D6" s="23">
        <v>45595</v>
      </c>
      <c r="E6" s="23" t="s">
        <v>59</v>
      </c>
      <c r="F6" s="21" t="s">
        <v>60</v>
      </c>
      <c r="G6" s="21" t="s">
        <v>93</v>
      </c>
      <c r="H6" s="88">
        <v>0.8826</v>
      </c>
      <c r="I6" s="88">
        <v>1102</v>
      </c>
      <c r="J6" s="48"/>
      <c r="K6" s="90">
        <v>788004</v>
      </c>
      <c r="L6" s="44"/>
      <c r="M6" s="45">
        <f t="shared" si="0"/>
        <v>1730.08979735219</v>
      </c>
      <c r="N6" s="46">
        <v>455.47</v>
      </c>
      <c r="O6" s="21">
        <v>7.3</v>
      </c>
      <c r="P6" s="48">
        <f t="shared" si="1"/>
        <v>3324.931</v>
      </c>
      <c r="Q6" s="95"/>
      <c r="R6" s="95"/>
      <c r="S6" s="72">
        <f t="shared" si="7"/>
        <v>614.7309</v>
      </c>
      <c r="T6" s="72"/>
      <c r="U6" s="72">
        <f t="shared" si="8"/>
        <v>31.1505882352941</v>
      </c>
      <c r="V6" s="72"/>
      <c r="W6" s="72"/>
      <c r="X6" s="72">
        <f t="shared" si="2"/>
        <v>645.881488235294</v>
      </c>
      <c r="Y6" s="85">
        <f t="shared" si="9"/>
        <v>138.878018558824</v>
      </c>
      <c r="Z6" s="85"/>
      <c r="AA6" s="85">
        <f t="shared" si="10"/>
        <v>0.868971617647059</v>
      </c>
      <c r="AB6" s="85">
        <f t="shared" si="3"/>
        <v>139.746990176471</v>
      </c>
      <c r="AC6" s="86">
        <v>7.3</v>
      </c>
      <c r="AD6" s="72">
        <f t="shared" si="4"/>
        <v>1020.15302828824</v>
      </c>
      <c r="AE6" s="72">
        <f t="shared" si="5"/>
        <v>1666.03451652353</v>
      </c>
      <c r="AF6" s="72">
        <f t="shared" si="6"/>
        <v>1658.89648347647</v>
      </c>
    </row>
    <row r="7" s="2" customFormat="1" spans="1:32">
      <c r="A7" s="20"/>
      <c r="B7" s="21"/>
      <c r="C7" s="22">
        <v>241026000019</v>
      </c>
      <c r="D7" s="23">
        <v>45595</v>
      </c>
      <c r="E7" s="23" t="s">
        <v>63</v>
      </c>
      <c r="F7" s="21" t="s">
        <v>64</v>
      </c>
      <c r="G7" s="21" t="s">
        <v>66</v>
      </c>
      <c r="H7" s="88">
        <v>0.8568</v>
      </c>
      <c r="I7" s="88">
        <v>325</v>
      </c>
      <c r="J7" s="48"/>
      <c r="K7" s="90">
        <v>419471</v>
      </c>
      <c r="L7" s="44"/>
      <c r="M7" s="45">
        <f t="shared" si="0"/>
        <v>1652.76201733649</v>
      </c>
      <c r="N7" s="46">
        <v>253.8</v>
      </c>
      <c r="O7" s="21">
        <v>7.29</v>
      </c>
      <c r="P7" s="48">
        <f t="shared" si="1"/>
        <v>1850.202</v>
      </c>
      <c r="Q7" s="95"/>
      <c r="R7" s="95"/>
      <c r="S7" s="72">
        <f t="shared" si="7"/>
        <v>596.7612</v>
      </c>
      <c r="T7" s="72"/>
      <c r="U7" s="72">
        <f t="shared" si="8"/>
        <v>30.24</v>
      </c>
      <c r="V7" s="72"/>
      <c r="W7" s="72"/>
      <c r="X7" s="72">
        <f t="shared" si="2"/>
        <v>627.0012</v>
      </c>
      <c r="Y7" s="85">
        <f t="shared" si="9"/>
        <v>134.818362</v>
      </c>
      <c r="Z7" s="85"/>
      <c r="AA7" s="85">
        <f t="shared" si="10"/>
        <v>0.84357</v>
      </c>
      <c r="AB7" s="85">
        <f t="shared" si="3"/>
        <v>135.661932</v>
      </c>
      <c r="AC7" s="86">
        <v>7.3</v>
      </c>
      <c r="AD7" s="72">
        <f t="shared" si="4"/>
        <v>990.3321036</v>
      </c>
      <c r="AE7" s="72">
        <f t="shared" si="5"/>
        <v>1617.3333036</v>
      </c>
      <c r="AF7" s="72">
        <f t="shared" si="6"/>
        <v>232.8686964</v>
      </c>
    </row>
    <row r="8" s="2" customFormat="1" spans="1:32">
      <c r="A8" s="20"/>
      <c r="B8" s="21"/>
      <c r="C8" s="22">
        <v>241026000022</v>
      </c>
      <c r="D8" s="23">
        <v>45595</v>
      </c>
      <c r="E8" s="23" t="s">
        <v>59</v>
      </c>
      <c r="F8" s="21" t="s">
        <v>60</v>
      </c>
      <c r="G8" s="21" t="s">
        <v>140</v>
      </c>
      <c r="H8" s="88">
        <v>1.1042</v>
      </c>
      <c r="I8" s="88">
        <v>1026</v>
      </c>
      <c r="J8" s="48"/>
      <c r="K8" s="90">
        <v>673554</v>
      </c>
      <c r="L8" s="44"/>
      <c r="M8" s="45">
        <f t="shared" si="0"/>
        <v>1580</v>
      </c>
      <c r="N8" s="46">
        <v>426.3</v>
      </c>
      <c r="O8" s="21">
        <v>7.29</v>
      </c>
      <c r="P8" s="48">
        <f t="shared" si="1"/>
        <v>3107.727</v>
      </c>
      <c r="Q8" s="95"/>
      <c r="R8" s="95"/>
      <c r="S8" s="72">
        <f t="shared" si="7"/>
        <v>769.0753</v>
      </c>
      <c r="T8" s="72"/>
      <c r="U8" s="72">
        <f t="shared" si="8"/>
        <v>38.9717647058824</v>
      </c>
      <c r="V8" s="72"/>
      <c r="W8" s="72"/>
      <c r="X8" s="72">
        <f t="shared" si="2"/>
        <v>808.047064705882</v>
      </c>
      <c r="Y8" s="85">
        <f t="shared" si="9"/>
        <v>173.747006676471</v>
      </c>
      <c r="Z8" s="85"/>
      <c r="AA8" s="85">
        <f t="shared" si="10"/>
        <v>1.08714985294118</v>
      </c>
      <c r="AB8" s="85">
        <f t="shared" si="3"/>
        <v>174.834156529412</v>
      </c>
      <c r="AC8" s="86">
        <v>7.3</v>
      </c>
      <c r="AD8" s="72">
        <f t="shared" si="4"/>
        <v>1276.28934266471</v>
      </c>
      <c r="AE8" s="72">
        <f t="shared" si="5"/>
        <v>2084.33640737059</v>
      </c>
      <c r="AF8" s="72">
        <f t="shared" si="6"/>
        <v>1023.39059262941</v>
      </c>
    </row>
    <row r="9" s="2" customFormat="1" spans="1:32">
      <c r="A9" s="20"/>
      <c r="B9" s="21"/>
      <c r="C9" s="22">
        <v>241027000001</v>
      </c>
      <c r="D9" s="23">
        <v>45595</v>
      </c>
      <c r="E9" s="23" t="s">
        <v>69</v>
      </c>
      <c r="F9" s="21" t="s">
        <v>70</v>
      </c>
      <c r="G9" s="21" t="s">
        <v>141</v>
      </c>
      <c r="H9" s="88">
        <v>0.7063</v>
      </c>
      <c r="I9" s="88">
        <v>119</v>
      </c>
      <c r="J9" s="48"/>
      <c r="K9" s="90">
        <v>368007</v>
      </c>
      <c r="L9" s="44"/>
      <c r="M9" s="45">
        <f t="shared" si="0"/>
        <v>1671.99916728756</v>
      </c>
      <c r="N9" s="46">
        <v>220.09999</v>
      </c>
      <c r="O9" s="21">
        <v>7.3</v>
      </c>
      <c r="P9" s="48">
        <f t="shared" si="1"/>
        <v>1606.729927</v>
      </c>
      <c r="Q9" s="95"/>
      <c r="R9" s="95"/>
      <c r="S9" s="72">
        <f t="shared" si="7"/>
        <v>491.93795</v>
      </c>
      <c r="T9" s="72"/>
      <c r="U9" s="72">
        <f t="shared" si="8"/>
        <v>24.9282352941177</v>
      </c>
      <c r="V9" s="72"/>
      <c r="W9" s="72"/>
      <c r="X9" s="72">
        <f t="shared" si="2"/>
        <v>516.866185294118</v>
      </c>
      <c r="Y9" s="85">
        <f t="shared" si="9"/>
        <v>111.137032073529</v>
      </c>
      <c r="Z9" s="85"/>
      <c r="AA9" s="85">
        <f t="shared" si="10"/>
        <v>0.695393897058824</v>
      </c>
      <c r="AB9" s="85">
        <f t="shared" si="3"/>
        <v>111.832425970588</v>
      </c>
      <c r="AC9" s="86">
        <v>7.3</v>
      </c>
      <c r="AD9" s="72">
        <f t="shared" si="4"/>
        <v>816.376709585294</v>
      </c>
      <c r="AE9" s="72">
        <f t="shared" si="5"/>
        <v>1333.24289487941</v>
      </c>
      <c r="AF9" s="72">
        <f t="shared" si="6"/>
        <v>273.487032120588</v>
      </c>
    </row>
    <row r="10" s="2" customFormat="1" spans="1:32">
      <c r="A10" s="20"/>
      <c r="B10" s="21"/>
      <c r="C10" s="22">
        <v>241027000012</v>
      </c>
      <c r="D10" s="23">
        <v>45595</v>
      </c>
      <c r="E10" s="23" t="s">
        <v>74</v>
      </c>
      <c r="F10" s="21" t="s">
        <v>74</v>
      </c>
      <c r="G10" s="21" t="s">
        <v>77</v>
      </c>
      <c r="H10" s="88">
        <v>5.2289</v>
      </c>
      <c r="I10" s="88">
        <v>1231</v>
      </c>
      <c r="J10" s="42">
        <v>13095</v>
      </c>
      <c r="K10" s="86"/>
      <c r="L10" s="44"/>
      <c r="M10" s="45"/>
      <c r="N10" s="92"/>
      <c r="O10" s="21"/>
      <c r="P10" s="48">
        <f t="shared" ref="P10:P14" si="11">SUBTOTAL(9,J10)</f>
        <v>13095</v>
      </c>
      <c r="Q10" s="95"/>
      <c r="R10" s="95"/>
      <c r="S10" s="72">
        <f t="shared" si="7"/>
        <v>3641.92885</v>
      </c>
      <c r="T10" s="72"/>
      <c r="U10" s="72">
        <f t="shared" si="8"/>
        <v>184.549411764706</v>
      </c>
      <c r="V10" s="72"/>
      <c r="W10" s="72"/>
      <c r="X10" s="72">
        <f t="shared" si="2"/>
        <v>3826.47826176471</v>
      </c>
      <c r="Y10" s="85">
        <f t="shared" si="9"/>
        <v>822.772797691177</v>
      </c>
      <c r="Z10" s="97">
        <v>48.69</v>
      </c>
      <c r="AA10" s="85">
        <f t="shared" si="10"/>
        <v>5.14815963235294</v>
      </c>
      <c r="AB10" s="85">
        <f t="shared" si="3"/>
        <v>876.61095732353</v>
      </c>
      <c r="AC10" s="86">
        <v>7.3</v>
      </c>
      <c r="AD10" s="72">
        <f t="shared" si="4"/>
        <v>6399.25998846177</v>
      </c>
      <c r="AE10" s="72">
        <f t="shared" si="5"/>
        <v>10225.7382502265</v>
      </c>
      <c r="AF10" s="72">
        <f t="shared" si="6"/>
        <v>2869.26174977353</v>
      </c>
    </row>
    <row r="11" s="2" customFormat="1" spans="1:32">
      <c r="A11" s="20"/>
      <c r="B11" s="21"/>
      <c r="C11" s="22">
        <v>241028000024</v>
      </c>
      <c r="D11" s="23">
        <v>45595</v>
      </c>
      <c r="E11" s="23" t="s">
        <v>63</v>
      </c>
      <c r="F11" s="21" t="s">
        <v>64</v>
      </c>
      <c r="G11" s="21" t="s">
        <v>72</v>
      </c>
      <c r="H11" s="88">
        <v>0.7664</v>
      </c>
      <c r="I11" s="88">
        <v>289</v>
      </c>
      <c r="J11" s="48"/>
      <c r="K11" s="90">
        <v>358212</v>
      </c>
      <c r="L11" s="44"/>
      <c r="M11" s="45">
        <f>SUM(K11/N11)</f>
        <v>1654.9410949411</v>
      </c>
      <c r="N11" s="46">
        <v>216.45</v>
      </c>
      <c r="O11" s="21">
        <v>7.29</v>
      </c>
      <c r="P11" s="48">
        <f>SUM(N11*O11)</f>
        <v>1577.9205</v>
      </c>
      <c r="Q11" s="95"/>
      <c r="R11" s="95"/>
      <c r="S11" s="72">
        <f t="shared" si="7"/>
        <v>533.7976</v>
      </c>
      <c r="T11" s="72"/>
      <c r="U11" s="72">
        <f t="shared" si="8"/>
        <v>27.0494117647059</v>
      </c>
      <c r="V11" s="72"/>
      <c r="W11" s="72"/>
      <c r="X11" s="72">
        <f t="shared" si="2"/>
        <v>560.847011764706</v>
      </c>
      <c r="Y11" s="85">
        <f t="shared" si="9"/>
        <v>120.593828941176</v>
      </c>
      <c r="Z11" s="85"/>
      <c r="AA11" s="85">
        <f t="shared" si="10"/>
        <v>0.754565882352941</v>
      </c>
      <c r="AB11" s="85">
        <f t="shared" si="3"/>
        <v>121.348394823529</v>
      </c>
      <c r="AC11" s="86">
        <v>7.3</v>
      </c>
      <c r="AD11" s="72">
        <f t="shared" si="4"/>
        <v>885.843282211765</v>
      </c>
      <c r="AE11" s="72">
        <f t="shared" si="5"/>
        <v>1446.69029397647</v>
      </c>
      <c r="AF11" s="72">
        <f t="shared" si="6"/>
        <v>131.230206023529</v>
      </c>
    </row>
    <row r="12" s="2" customFormat="1" spans="1:32">
      <c r="A12" s="20"/>
      <c r="B12" s="21"/>
      <c r="C12" s="22">
        <v>241029000041</v>
      </c>
      <c r="D12" s="23">
        <v>45595</v>
      </c>
      <c r="E12" s="23" t="s">
        <v>63</v>
      </c>
      <c r="F12" s="21" t="s">
        <v>64</v>
      </c>
      <c r="G12" s="21" t="s">
        <v>142</v>
      </c>
      <c r="H12" s="88">
        <v>0.0009</v>
      </c>
      <c r="I12" s="88">
        <v>1</v>
      </c>
      <c r="J12" s="42">
        <v>150</v>
      </c>
      <c r="K12" s="86"/>
      <c r="L12" s="44"/>
      <c r="M12" s="45"/>
      <c r="N12" s="92"/>
      <c r="O12" s="21"/>
      <c r="P12" s="48">
        <f t="shared" si="11"/>
        <v>150</v>
      </c>
      <c r="Q12" s="95"/>
      <c r="R12" s="95"/>
      <c r="S12" s="72">
        <f t="shared" si="7"/>
        <v>0.62685</v>
      </c>
      <c r="T12" s="72"/>
      <c r="U12" s="72">
        <f t="shared" si="8"/>
        <v>0.0317647058823529</v>
      </c>
      <c r="V12" s="72"/>
      <c r="W12" s="72"/>
      <c r="X12" s="72">
        <f t="shared" si="2"/>
        <v>0.658614705882353</v>
      </c>
      <c r="Y12" s="85">
        <f t="shared" si="9"/>
        <v>0.141615926470588</v>
      </c>
      <c r="Z12" s="85"/>
      <c r="AA12" s="85">
        <f t="shared" si="10"/>
        <v>0.000886102941176471</v>
      </c>
      <c r="AB12" s="85">
        <f t="shared" si="3"/>
        <v>0.142502029411765</v>
      </c>
      <c r="AC12" s="86">
        <v>7.3</v>
      </c>
      <c r="AD12" s="72">
        <f t="shared" si="4"/>
        <v>1.04026481470588</v>
      </c>
      <c r="AE12" s="72">
        <f t="shared" si="5"/>
        <v>1.69887952058824</v>
      </c>
      <c r="AF12" s="72">
        <f t="shared" si="6"/>
        <v>148.301120479412</v>
      </c>
    </row>
    <row r="13" s="2" customFormat="1" spans="1:32">
      <c r="A13" s="20"/>
      <c r="B13" s="21"/>
      <c r="C13" s="22">
        <v>241030000013</v>
      </c>
      <c r="D13" s="23">
        <v>45595</v>
      </c>
      <c r="E13" s="23" t="s">
        <v>85</v>
      </c>
      <c r="F13" s="21" t="s">
        <v>86</v>
      </c>
      <c r="G13" s="21" t="s">
        <v>94</v>
      </c>
      <c r="H13" s="88">
        <v>42.49</v>
      </c>
      <c r="I13" s="88">
        <v>4990</v>
      </c>
      <c r="J13" s="42">
        <v>65397.12</v>
      </c>
      <c r="K13" s="86"/>
      <c r="L13" s="44"/>
      <c r="M13" s="45"/>
      <c r="N13" s="46"/>
      <c r="O13" s="21"/>
      <c r="P13" s="48">
        <f t="shared" si="11"/>
        <v>65397.12</v>
      </c>
      <c r="Q13" s="95"/>
      <c r="R13" s="95"/>
      <c r="S13" s="72">
        <f t="shared" si="7"/>
        <v>29594.285</v>
      </c>
      <c r="T13" s="72"/>
      <c r="U13" s="72">
        <f t="shared" si="8"/>
        <v>1499.64705882353</v>
      </c>
      <c r="V13" s="72"/>
      <c r="W13" s="72"/>
      <c r="X13" s="72">
        <f t="shared" si="2"/>
        <v>31093.9320588235</v>
      </c>
      <c r="Y13" s="85">
        <f t="shared" si="9"/>
        <v>6685.84523970588</v>
      </c>
      <c r="Z13" s="97"/>
      <c r="AA13" s="85">
        <f t="shared" si="10"/>
        <v>41.8339044117647</v>
      </c>
      <c r="AB13" s="85">
        <f t="shared" si="3"/>
        <v>6727.67914411765</v>
      </c>
      <c r="AC13" s="86">
        <v>7.3</v>
      </c>
      <c r="AD13" s="72">
        <f t="shared" si="4"/>
        <v>49112.0577520588</v>
      </c>
      <c r="AE13" s="72">
        <f t="shared" si="5"/>
        <v>80205.9898108824</v>
      </c>
      <c r="AF13" s="72">
        <f t="shared" si="6"/>
        <v>-14808.8698108824</v>
      </c>
    </row>
    <row r="14" s="2" customFormat="1" spans="1:32">
      <c r="A14" s="20"/>
      <c r="B14" s="21"/>
      <c r="C14" s="22">
        <v>241031000027</v>
      </c>
      <c r="D14" s="23">
        <v>45595</v>
      </c>
      <c r="E14" s="23" t="s">
        <v>82</v>
      </c>
      <c r="F14" s="21" t="s">
        <v>83</v>
      </c>
      <c r="G14" s="21" t="s">
        <v>87</v>
      </c>
      <c r="H14" s="88">
        <v>18.8611</v>
      </c>
      <c r="I14" s="88">
        <v>18408</v>
      </c>
      <c r="J14" s="42">
        <v>43508.8</v>
      </c>
      <c r="K14" s="86"/>
      <c r="L14" s="44"/>
      <c r="M14" s="45"/>
      <c r="N14" s="92"/>
      <c r="O14" s="21"/>
      <c r="P14" s="48">
        <f t="shared" si="11"/>
        <v>43508.8</v>
      </c>
      <c r="Q14" s="96"/>
      <c r="R14" s="96"/>
      <c r="S14" s="72">
        <f t="shared" si="7"/>
        <v>13136.75615</v>
      </c>
      <c r="T14" s="72"/>
      <c r="U14" s="72">
        <f t="shared" si="8"/>
        <v>665.685882352941</v>
      </c>
      <c r="V14" s="72"/>
      <c r="W14" s="72"/>
      <c r="X14" s="72">
        <f t="shared" si="2"/>
        <v>13802.4420323529</v>
      </c>
      <c r="Y14" s="85">
        <f t="shared" si="9"/>
        <v>2967.81350083824</v>
      </c>
      <c r="Z14" s="97">
        <v>185.92</v>
      </c>
      <c r="AA14" s="85">
        <f t="shared" si="10"/>
        <v>18.5698624264706</v>
      </c>
      <c r="AB14" s="85">
        <f t="shared" si="3"/>
        <v>3172.30336326471</v>
      </c>
      <c r="AC14" s="86">
        <v>7.3</v>
      </c>
      <c r="AD14" s="72">
        <f t="shared" si="4"/>
        <v>23157.8145518324</v>
      </c>
      <c r="AE14" s="72">
        <f t="shared" si="5"/>
        <v>36960.2565841853</v>
      </c>
      <c r="AF14" s="72">
        <f t="shared" si="6"/>
        <v>6548.5434158147</v>
      </c>
    </row>
    <row r="15" ht="15.75" spans="1:32">
      <c r="A15" s="25" t="s">
        <v>26</v>
      </c>
      <c r="B15" s="26"/>
      <c r="C15" s="26"/>
      <c r="D15" s="26"/>
      <c r="E15" s="26"/>
      <c r="F15" s="26"/>
      <c r="G15" s="26"/>
      <c r="H15" s="26"/>
      <c r="I15" s="49"/>
      <c r="J15" s="26">
        <f>SUM(J3:J3)</f>
        <v>0</v>
      </c>
      <c r="K15" s="50"/>
      <c r="L15" s="51"/>
      <c r="M15" s="50"/>
      <c r="N15" s="50">
        <f t="shared" ref="N15:Q15" si="12">SUM(N3:N3)</f>
        <v>0</v>
      </c>
      <c r="O15" s="26"/>
      <c r="P15" s="26">
        <f t="shared" si="12"/>
        <v>0</v>
      </c>
      <c r="Q15" s="26">
        <f t="shared" si="12"/>
        <v>0</v>
      </c>
      <c r="R15" s="26"/>
      <c r="S15" s="26"/>
      <c r="T15" s="26"/>
      <c r="U15" s="26"/>
      <c r="V15" s="26"/>
      <c r="W15" s="26"/>
      <c r="X15" s="73">
        <f>SUM(X3:X3)</f>
        <v>0</v>
      </c>
      <c r="Y15" s="51"/>
      <c r="Z15" s="51"/>
      <c r="AA15" s="51"/>
      <c r="AB15" s="51"/>
      <c r="AC15" s="50"/>
      <c r="AD15" s="26">
        <f>SUM(AD3:AD3)</f>
        <v>0</v>
      </c>
      <c r="AE15" s="26"/>
      <c r="AF15" s="87">
        <f>SUM(AF3:AF14)</f>
        <v>-1425.43216635296</v>
      </c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</sheetData>
  <autoFilter xmlns:etc="http://www.wps.cn/officeDocument/2017/etCustomData" ref="A2:AF15" etc:filterBottomFollowUsedRange="0">
    <extLst/>
  </autoFilter>
  <mergeCells count="21">
    <mergeCell ref="A1:AF1"/>
    <mergeCell ref="J2:P2"/>
    <mergeCell ref="R2:V2"/>
    <mergeCell ref="Y2:AD2"/>
    <mergeCell ref="A2:A3"/>
    <mergeCell ref="A4:A14"/>
    <mergeCell ref="B2:B3"/>
    <mergeCell ref="B4:B14"/>
    <mergeCell ref="C2:C3"/>
    <mergeCell ref="D2:D3"/>
    <mergeCell ref="E2:E3"/>
    <mergeCell ref="F2:F3"/>
    <mergeCell ref="G2:G3"/>
    <mergeCell ref="H2:H3"/>
    <mergeCell ref="I2:I3"/>
    <mergeCell ref="Q2:Q3"/>
    <mergeCell ref="Q4:Q14"/>
    <mergeCell ref="R4:R14"/>
    <mergeCell ref="W2:W3"/>
    <mergeCell ref="X2:X3"/>
    <mergeCell ref="AF2:AF3"/>
  </mergeCells>
  <pageMargins left="0.75" right="0.75" top="1" bottom="1" header="0.5" footer="0.5"/>
  <pageSetup paperSize="9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zoomScale="110" zoomScaleNormal="110" workbookViewId="0">
      <pane xSplit="2" ySplit="3" topLeftCell="S4" activePane="bottomRight" state="frozen"/>
      <selection/>
      <selection pane="topRight"/>
      <selection pane="bottomLeft"/>
      <selection pane="bottomRight" activeCell="K20" sqref="K20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4"/>
    </row>
    <row r="2" s="1" customFormat="1" ht="23" customHeight="1" spans="1:32">
      <c r="A2" s="10" t="s">
        <v>1</v>
      </c>
      <c r="B2" s="11" t="s">
        <v>2</v>
      </c>
      <c r="C2" s="12" t="s">
        <v>27</v>
      </c>
      <c r="D2" s="13" t="s">
        <v>28</v>
      </c>
      <c r="E2" s="14" t="s">
        <v>29</v>
      </c>
      <c r="F2" s="15" t="s">
        <v>30</v>
      </c>
      <c r="G2" s="15" t="s">
        <v>31</v>
      </c>
      <c r="H2" s="15" t="s">
        <v>32</v>
      </c>
      <c r="I2" s="15" t="s">
        <v>33</v>
      </c>
      <c r="J2" s="30" t="s">
        <v>34</v>
      </c>
      <c r="K2" s="31"/>
      <c r="L2" s="32"/>
      <c r="M2" s="31"/>
      <c r="N2" s="32"/>
      <c r="O2" s="33"/>
      <c r="P2" s="34"/>
      <c r="Q2" s="55" t="s">
        <v>35</v>
      </c>
      <c r="R2" s="56" t="s">
        <v>36</v>
      </c>
      <c r="S2" s="57"/>
      <c r="T2" s="58"/>
      <c r="U2" s="59"/>
      <c r="V2" s="60"/>
      <c r="W2" s="61" t="s">
        <v>37</v>
      </c>
      <c r="X2" s="62" t="s">
        <v>38</v>
      </c>
      <c r="Y2" s="75" t="s">
        <v>39</v>
      </c>
      <c r="Z2" s="75"/>
      <c r="AA2" s="75"/>
      <c r="AB2" s="75"/>
      <c r="AC2" s="76"/>
      <c r="AD2" s="75"/>
      <c r="AE2" s="77" t="s">
        <v>40</v>
      </c>
      <c r="AF2" s="78" t="s">
        <v>3</v>
      </c>
    </row>
    <row r="3" s="1" customFormat="1" ht="27" customHeight="1" spans="1:32">
      <c r="A3" s="16"/>
      <c r="B3" s="17"/>
      <c r="C3" s="12"/>
      <c r="D3" s="13"/>
      <c r="E3" s="18"/>
      <c r="F3" s="19"/>
      <c r="G3" s="19"/>
      <c r="H3" s="19"/>
      <c r="I3" s="35"/>
      <c r="J3" s="36" t="s">
        <v>41</v>
      </c>
      <c r="K3" s="37" t="s">
        <v>42</v>
      </c>
      <c r="L3" s="38" t="s">
        <v>43</v>
      </c>
      <c r="M3" s="37" t="s">
        <v>44</v>
      </c>
      <c r="N3" s="39" t="s">
        <v>45</v>
      </c>
      <c r="O3" s="40" t="s">
        <v>46</v>
      </c>
      <c r="P3" s="41" t="s">
        <v>47</v>
      </c>
      <c r="Q3" s="63"/>
      <c r="R3" s="64" t="s">
        <v>48</v>
      </c>
      <c r="S3" s="65" t="s">
        <v>49</v>
      </c>
      <c r="T3" s="66" t="s">
        <v>50</v>
      </c>
      <c r="U3" s="67" t="s">
        <v>51</v>
      </c>
      <c r="V3" s="66" t="s">
        <v>52</v>
      </c>
      <c r="W3" s="68"/>
      <c r="X3" s="69"/>
      <c r="Y3" s="79" t="s">
        <v>53</v>
      </c>
      <c r="Z3" s="79" t="s">
        <v>54</v>
      </c>
      <c r="AA3" s="79" t="s">
        <v>55</v>
      </c>
      <c r="AB3" s="80" t="s">
        <v>56</v>
      </c>
      <c r="AC3" s="81" t="s">
        <v>57</v>
      </c>
      <c r="AD3" s="82" t="s">
        <v>47</v>
      </c>
      <c r="AE3" s="83" t="s">
        <v>58</v>
      </c>
      <c r="AF3" s="84"/>
    </row>
    <row r="4" s="2" customFormat="1" ht="67.5" spans="1:32">
      <c r="A4" s="20" t="s">
        <v>24</v>
      </c>
      <c r="B4" s="21" t="s">
        <v>25</v>
      </c>
      <c r="C4" s="22">
        <v>241120000026</v>
      </c>
      <c r="D4" s="23">
        <v>45592</v>
      </c>
      <c r="E4" s="23" t="s">
        <v>74</v>
      </c>
      <c r="F4" s="21" t="s">
        <v>74</v>
      </c>
      <c r="G4" s="21" t="s">
        <v>77</v>
      </c>
      <c r="H4" s="24">
        <v>68</v>
      </c>
      <c r="I4" s="24"/>
      <c r="J4" s="42">
        <v>50836</v>
      </c>
      <c r="K4" s="43">
        <v>21300000</v>
      </c>
      <c r="L4" s="44"/>
      <c r="M4" s="45">
        <f>SUM(K4/N4)</f>
        <v>1669.00039413484</v>
      </c>
      <c r="N4" s="46">
        <v>12762.13</v>
      </c>
      <c r="O4" s="47">
        <v>7.3</v>
      </c>
      <c r="P4" s="48">
        <f>SUM(N4*O4+J4)</f>
        <v>143999.549</v>
      </c>
      <c r="Q4" s="70">
        <f>SUM(P4)</f>
        <v>143999.549</v>
      </c>
      <c r="R4" s="71" t="s">
        <v>143</v>
      </c>
      <c r="S4" s="72">
        <v>48399</v>
      </c>
      <c r="T4" s="72"/>
      <c r="U4" s="72"/>
      <c r="V4" s="72"/>
      <c r="W4" s="72"/>
      <c r="X4" s="72">
        <f>SUM(S4:W4)</f>
        <v>48399</v>
      </c>
      <c r="Y4" s="85">
        <v>11545.4</v>
      </c>
      <c r="Z4" s="85"/>
      <c r="AA4" s="85"/>
      <c r="AB4" s="85">
        <f>SUM(Y4:AA4)</f>
        <v>11545.4</v>
      </c>
      <c r="AC4" s="86">
        <v>7.27</v>
      </c>
      <c r="AD4" s="72">
        <f>SUM(AB4*AC4)</f>
        <v>83935.058</v>
      </c>
      <c r="AE4" s="72">
        <f>SUM(X4+AD4)</f>
        <v>132334.058</v>
      </c>
      <c r="AF4" s="72">
        <f>SUM(Q4-AE4)</f>
        <v>11665.491</v>
      </c>
    </row>
    <row r="5" ht="15.75" spans="1:32">
      <c r="A5" s="25" t="s">
        <v>26</v>
      </c>
      <c r="B5" s="26"/>
      <c r="C5" s="26"/>
      <c r="D5" s="26"/>
      <c r="E5" s="26"/>
      <c r="F5" s="26"/>
      <c r="G5" s="26"/>
      <c r="H5" s="26"/>
      <c r="I5" s="49"/>
      <c r="J5" s="26">
        <f>SUM(J3:J3)</f>
        <v>0</v>
      </c>
      <c r="K5" s="50"/>
      <c r="L5" s="51"/>
      <c r="M5" s="50"/>
      <c r="N5" s="50">
        <f t="shared" ref="N5:Q5" si="0">SUM(N3:N3)</f>
        <v>0</v>
      </c>
      <c r="O5" s="26"/>
      <c r="P5" s="26">
        <f t="shared" si="0"/>
        <v>0</v>
      </c>
      <c r="Q5" s="26">
        <f t="shared" si="0"/>
        <v>0</v>
      </c>
      <c r="R5" s="26"/>
      <c r="S5" s="26"/>
      <c r="T5" s="26"/>
      <c r="U5" s="26"/>
      <c r="V5" s="26"/>
      <c r="W5" s="26"/>
      <c r="X5" s="73">
        <f>SUM(X3:X3)</f>
        <v>0</v>
      </c>
      <c r="Y5" s="51"/>
      <c r="Z5" s="51"/>
      <c r="AA5" s="51"/>
      <c r="AB5" s="51"/>
      <c r="AC5" s="50"/>
      <c r="AD5" s="26">
        <f>SUM(AD3:AD3)</f>
        <v>0</v>
      </c>
      <c r="AE5" s="26"/>
      <c r="AF5" s="87">
        <f>SUM(AF3:AF4)</f>
        <v>11665.491</v>
      </c>
    </row>
    <row r="6" customFormat="1" spans="4:32">
      <c r="D6" s="3"/>
      <c r="E6" s="3"/>
      <c r="K6" s="4"/>
      <c r="L6" s="5"/>
      <c r="M6" s="4"/>
      <c r="X6" s="7"/>
      <c r="Y6" s="5"/>
      <c r="Z6" s="5"/>
      <c r="AA6" s="5"/>
      <c r="AB6" s="5"/>
      <c r="AC6" s="4"/>
      <c r="AF6" s="8"/>
    </row>
    <row r="7" customFormat="1" spans="4:32">
      <c r="D7" s="3"/>
      <c r="E7" s="3"/>
      <c r="K7" s="4"/>
      <c r="L7" s="5"/>
      <c r="M7" s="4"/>
      <c r="X7" s="7"/>
      <c r="Y7" s="5"/>
      <c r="Z7" s="5"/>
      <c r="AA7" s="5"/>
      <c r="AB7" s="5"/>
      <c r="AC7" s="4"/>
      <c r="AF7" s="8"/>
    </row>
    <row r="8" customFormat="1" spans="4:32">
      <c r="D8" s="3"/>
      <c r="E8" s="3"/>
      <c r="K8" s="4"/>
      <c r="L8" s="5"/>
      <c r="M8" s="4"/>
      <c r="X8" s="7"/>
      <c r="Y8" s="5"/>
      <c r="Z8" s="5"/>
      <c r="AA8" s="5"/>
      <c r="AB8" s="5"/>
      <c r="AC8" s="4"/>
      <c r="AF8" s="8"/>
    </row>
    <row r="9" customFormat="1" spans="4:32">
      <c r="D9" s="3"/>
      <c r="E9" s="3"/>
      <c r="K9" s="4"/>
      <c r="L9" s="5"/>
      <c r="M9" s="4"/>
      <c r="X9" s="7"/>
      <c r="Y9" s="5"/>
      <c r="Z9" s="5"/>
      <c r="AA9" s="5"/>
      <c r="AB9" s="5"/>
      <c r="AC9" s="4"/>
      <c r="AF9" s="8"/>
    </row>
    <row r="10" customFormat="1" spans="4:32">
      <c r="D10" s="3"/>
      <c r="E10" s="3"/>
      <c r="K10" s="4"/>
      <c r="L10" s="5"/>
      <c r="M10" s="4"/>
      <c r="X10" s="7"/>
      <c r="Y10" s="5"/>
      <c r="Z10" s="5"/>
      <c r="AA10" s="5"/>
      <c r="AB10" s="5"/>
      <c r="AC10" s="4"/>
      <c r="AF10" s="8"/>
    </row>
    <row r="11" customFormat="1" spans="4:32">
      <c r="D11" s="3"/>
      <c r="E11" s="3"/>
      <c r="K11" s="4"/>
      <c r="L11" s="5"/>
      <c r="M11" s="4"/>
      <c r="X11" s="7"/>
      <c r="Y11" s="5"/>
      <c r="Z11" s="5"/>
      <c r="AA11" s="5"/>
      <c r="AB11" s="5"/>
      <c r="AC11" s="4"/>
      <c r="AF11" s="8"/>
    </row>
    <row r="12" customFormat="1" spans="4:32">
      <c r="D12" s="3"/>
      <c r="E12" s="3"/>
      <c r="K12" s="4"/>
      <c r="L12" s="5"/>
      <c r="M12" s="4"/>
      <c r="X12" s="7"/>
      <c r="Y12" s="5"/>
      <c r="Z12" s="5"/>
      <c r="AA12" s="5"/>
      <c r="AB12" s="5"/>
      <c r="AC12" s="4"/>
      <c r="AF12" s="8"/>
    </row>
    <row r="13" customFormat="1" spans="4:32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  <c r="AF13" s="8"/>
    </row>
    <row r="14" customFormat="1" spans="4:32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  <c r="AF14" s="8"/>
    </row>
    <row r="15" customFormat="1" spans="4:32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  <c r="AF15" s="8"/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</sheetData>
  <autoFilter xmlns:etc="http://www.wps.cn/officeDocument/2017/etCustomData" ref="A2:AF5" etc:filterBottomFollowUsedRange="0">
    <extLst/>
  </autoFilter>
  <mergeCells count="17">
    <mergeCell ref="A1:AF1"/>
    <mergeCell ref="J2:P2"/>
    <mergeCell ref="R2:V2"/>
    <mergeCell ref="Y2:A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2:Q3"/>
    <mergeCell ref="W2:W3"/>
    <mergeCell ref="X2:X3"/>
    <mergeCell ref="AF2:AF3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总表 </vt:lpstr>
      <vt:lpstr>总表  (2)</vt:lpstr>
      <vt:lpstr>JOB100358</vt:lpstr>
      <vt:lpstr>JOB100359</vt:lpstr>
      <vt:lpstr>JOB100360</vt:lpstr>
      <vt:lpstr>JOB100361</vt:lpstr>
      <vt:lpstr>JOB100362</vt:lpstr>
      <vt:lpstr>JOB100331</vt:lpstr>
      <vt:lpstr>JOB100363</vt:lpstr>
      <vt:lpstr>JOB100364</vt:lpstr>
      <vt:lpstr>JOB100365</vt:lpstr>
      <vt:lpstr>JOB100366</vt:lpstr>
      <vt:lpstr>JOB120359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2020-12-16T06:30:00Z</dcterms:created>
  <dcterms:modified xsi:type="dcterms:W3CDTF">2025-07-29T03:37:21Z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