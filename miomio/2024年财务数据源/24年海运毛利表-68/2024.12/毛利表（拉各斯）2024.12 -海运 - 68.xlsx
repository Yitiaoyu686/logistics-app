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 activeTab="1"/>
  </bookViews>
  <sheets>
    <sheet name="总表 " sheetId="3" r:id="rId1"/>
    <sheet name="总表  (2)" sheetId="5" r:id="rId2"/>
    <sheet name="JOB120360" sheetId="6" r:id="rId3"/>
    <sheet name="JOB120375" sheetId="7" r:id="rId4"/>
    <sheet name="JOB120376" sheetId="8" r:id="rId5"/>
    <sheet name="JOB120381" sheetId="9" r:id="rId6"/>
    <sheet name="JOB120387" sheetId="10" r:id="rId7"/>
    <sheet name="JOB120390" sheetId="11" r:id="rId8"/>
    <sheet name="JOB120399" sheetId="12" r:id="rId9"/>
    <sheet name="JOB120404" sheetId="13" r:id="rId10"/>
    <sheet name="JOB0202178" sheetId="14" r:id="rId11"/>
  </sheets>
  <definedNames>
    <definedName name="_xlnm._FilterDatabase" localSheetId="0" hidden="1">'总表 '!$A$2:$C$146</definedName>
    <definedName name="_xlnm._FilterDatabase" localSheetId="1" hidden="1">'总表  (2)'!$A$2:$AF$146</definedName>
    <definedName name="_xlnm._FilterDatabase" localSheetId="2" hidden="1">'JOB120360'!$A$3:$AF$41</definedName>
    <definedName name="_xlnm._FilterDatabase" localSheetId="3" hidden="1">'JOB120375'!$A$3:$AF$18</definedName>
    <definedName name="_xlnm._FilterDatabase" localSheetId="4" hidden="1">'JOB120376'!$A$3:$AF$13</definedName>
    <definedName name="_xlnm._FilterDatabase" localSheetId="5" hidden="1">'JOB120381'!$A$3:$AF$15</definedName>
    <definedName name="_xlnm._FilterDatabase" localSheetId="6" hidden="1">'JOB120387'!$A$3:$AF$28</definedName>
    <definedName name="_xlnm._FilterDatabase" localSheetId="7" hidden="1">'JOB120390'!$A$3:$AF$12</definedName>
    <definedName name="_xlnm._FilterDatabase" localSheetId="8" hidden="1">'JOB120399'!$A$3:$AF$36</definedName>
    <definedName name="_xlnm._FilterDatabase" localSheetId="9" hidden="1">'JOB120404'!$A$3:$AF$18</definedName>
    <definedName name="_xlnm._FilterDatabase" localSheetId="10" hidden="1">'JOB0202178'!$A$3:$AF$6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12" authorId="0">
      <text>
        <r>
          <rPr>
            <sz val="9"/>
            <rFont val="宋体"/>
            <charset val="134"/>
          </rPr>
          <t xml:space="preserve">到付106.44转预付792.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到付USD117.15转预付870.
</t>
        </r>
      </text>
    </comment>
    <comment ref="J19" authorId="0">
      <text>
        <r>
          <rPr>
            <sz val="9"/>
            <rFont val="宋体"/>
            <charset val="134"/>
          </rPr>
          <t xml:space="preserve">到付转预付2195.
</t>
        </r>
      </text>
    </comment>
    <comment ref="J21" authorId="0">
      <text>
        <r>
          <rPr>
            <sz val="9"/>
            <rFont val="宋体"/>
            <charset val="134"/>
          </rPr>
          <t>到付USD62.22转预付463.</t>
        </r>
      </text>
    </comment>
    <comment ref="J22" authorId="0">
      <text>
        <r>
          <rPr>
            <sz val="9"/>
            <rFont val="宋体"/>
            <charset val="134"/>
          </rPr>
          <t xml:space="preserve">到付USD51.3转预付369.36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到付USD134.5转预付1003.
</t>
        </r>
      </text>
    </comment>
    <comment ref="J29" authorId="0">
      <text>
        <r>
          <rPr>
            <sz val="9"/>
            <rFont val="宋体"/>
            <charset val="134"/>
          </rPr>
          <t xml:space="preserve">到付USD15.81转预付113.83
</t>
        </r>
      </text>
    </comment>
    <comment ref="J50" authorId="0">
      <text>
        <r>
          <rPr>
            <sz val="9"/>
            <rFont val="宋体"/>
            <charset val="134"/>
          </rPr>
          <t xml:space="preserve">到付USD3186转预付22939.2
</t>
        </r>
      </text>
    </comment>
    <comment ref="J58" authorId="0">
      <text>
        <r>
          <rPr>
            <sz val="9"/>
            <rFont val="宋体"/>
            <charset val="134"/>
          </rPr>
          <t xml:space="preserve">到付USD2772转预付19958.4
</t>
        </r>
      </text>
    </comment>
    <comment ref="J69" authorId="0">
      <text>
        <r>
          <rPr>
            <sz val="9"/>
            <rFont val="宋体"/>
            <charset val="134"/>
          </rPr>
          <t xml:space="preserve">到付USD25.84转预付186.05
</t>
        </r>
      </text>
    </comment>
    <comment ref="J70" authorId="0">
      <text>
        <r>
          <rPr>
            <sz val="9"/>
            <rFont val="宋体"/>
            <charset val="134"/>
          </rPr>
          <t xml:space="preserve">到付USD2404.7转预付17313.84
</t>
        </r>
      </text>
    </comment>
    <comment ref="J71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75" authorId="0">
      <text>
        <r>
          <rPr>
            <sz val="9"/>
            <rFont val="宋体"/>
            <charset val="134"/>
          </rPr>
          <t xml:space="preserve">到付USD236.75转预付1810.4
</t>
        </r>
      </text>
    </comment>
    <comment ref="J79" authorId="0">
      <text>
        <r>
          <rPr>
            <sz val="9"/>
            <rFont val="宋体"/>
            <charset val="134"/>
          </rPr>
          <t xml:space="preserve">到付USD346.79转预付2906.
</t>
        </r>
      </text>
    </comment>
    <comment ref="J80" authorId="0">
      <text>
        <r>
          <rPr>
            <sz val="9"/>
            <rFont val="宋体"/>
            <charset val="134"/>
          </rPr>
          <t xml:space="preserve">到付USD29.73转预付228.
</t>
        </r>
      </text>
    </comment>
    <comment ref="J87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89" authorId="0">
      <text>
        <r>
          <rPr>
            <sz val="9"/>
            <rFont val="宋体"/>
            <charset val="134"/>
          </rPr>
          <t xml:space="preserve">合计9904.
</t>
        </r>
      </text>
    </comment>
    <comment ref="J93" authorId="0">
      <text>
        <r>
          <rPr>
            <sz val="9"/>
            <rFont val="宋体"/>
            <charset val="134"/>
          </rPr>
          <t xml:space="preserve">到付USD120.51转预付876.
</t>
        </r>
      </text>
    </comment>
    <comment ref="J96" authorId="0">
      <text>
        <r>
          <rPr>
            <sz val="9"/>
            <rFont val="宋体"/>
            <charset val="134"/>
          </rPr>
          <t xml:space="preserve">到付USD560.79转预付4037.69
</t>
        </r>
      </text>
    </comment>
    <comment ref="J111" authorId="0">
      <text>
        <r>
          <rPr>
            <sz val="9"/>
            <rFont val="宋体"/>
            <charset val="134"/>
          </rPr>
          <t xml:space="preserve">合计50166元
</t>
        </r>
      </text>
    </comment>
    <comment ref="J125" authorId="0">
      <text>
        <r>
          <rPr>
            <sz val="9"/>
            <rFont val="宋体"/>
            <charset val="134"/>
          </rPr>
          <t xml:space="preserve">USD13117.04转预付合计95754.39
</t>
        </r>
      </text>
    </comment>
    <comment ref="J140" authorId="0">
      <text>
        <r>
          <rPr>
            <sz val="9"/>
            <rFont val="宋体"/>
            <charset val="134"/>
          </rPr>
          <t xml:space="preserve">到付USD775.66转预付5584.75
</t>
        </r>
      </text>
    </comment>
    <comment ref="J141" authorId="0">
      <text>
        <r>
          <rPr>
            <sz val="9"/>
            <rFont val="宋体"/>
            <charset val="134"/>
          </rPr>
          <t xml:space="preserve">到付USD185.92转预付1338.62.
</t>
        </r>
      </text>
    </comment>
    <comment ref="J142" authorId="0">
      <text>
        <r>
          <rPr>
            <sz val="9"/>
            <rFont val="宋体"/>
            <charset val="134"/>
          </rPr>
          <t xml:space="preserve">到付USD16.79转预付120.89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13" authorId="0">
      <text>
        <r>
          <rPr>
            <sz val="9"/>
            <rFont val="宋体"/>
            <charset val="134"/>
          </rPr>
          <t xml:space="preserve">到付106.44转预付792.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到付USD117.15转预付870.
</t>
        </r>
      </text>
    </comment>
    <comment ref="J20" authorId="0">
      <text>
        <r>
          <rPr>
            <sz val="9"/>
            <rFont val="宋体"/>
            <charset val="134"/>
          </rPr>
          <t xml:space="preserve">到付转预付2195.
</t>
        </r>
      </text>
    </comment>
    <comment ref="J22" authorId="0">
      <text>
        <r>
          <rPr>
            <sz val="9"/>
            <rFont val="宋体"/>
            <charset val="134"/>
          </rPr>
          <t>到付USD62.22转预付463.</t>
        </r>
      </text>
    </comment>
    <comment ref="J23" authorId="0">
      <text>
        <r>
          <rPr>
            <sz val="9"/>
            <rFont val="宋体"/>
            <charset val="134"/>
          </rPr>
          <t xml:space="preserve">到付USD51.3转预付369.36
</t>
        </r>
      </text>
    </comment>
    <comment ref="J24" authorId="0">
      <text>
        <r>
          <rPr>
            <sz val="9"/>
            <rFont val="宋体"/>
            <charset val="134"/>
          </rPr>
          <t xml:space="preserve">到付USD134.5转预付1003.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到付USD15.81转预付113.83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15" authorId="0">
      <text>
        <r>
          <rPr>
            <sz val="9"/>
            <rFont val="宋体"/>
            <charset val="134"/>
          </rPr>
          <t xml:space="preserve">到付USD3186转预付22939.2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10" authorId="0">
      <text>
        <r>
          <rPr>
            <sz val="9"/>
            <rFont val="宋体"/>
            <charset val="134"/>
          </rPr>
          <t xml:space="preserve">到付USD2772转预付19958.4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13" authorId="0">
      <text>
        <r>
          <rPr>
            <sz val="9"/>
            <rFont val="宋体"/>
            <charset val="134"/>
          </rPr>
          <t xml:space="preserve">到付USD25.84转预付186.05
</t>
        </r>
      </text>
    </comment>
    <comment ref="J14" authorId="0">
      <text>
        <r>
          <rPr>
            <sz val="9"/>
            <rFont val="宋体"/>
            <charset val="134"/>
          </rPr>
          <t xml:space="preserve">到付USD2404.7转预付17313.84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9" authorId="0">
      <text>
        <r>
          <rPr>
            <sz val="9"/>
            <rFont val="宋体"/>
            <charset val="134"/>
          </rPr>
          <t xml:space="preserve">到付USD236.75转预付1810.4
</t>
        </r>
      </text>
    </comment>
    <comment ref="J13" authorId="0">
      <text>
        <r>
          <rPr>
            <sz val="9"/>
            <rFont val="宋体"/>
            <charset val="134"/>
          </rPr>
          <t xml:space="preserve">到付USD346.79转预付2906.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到付USD29.73转预付228.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23" authorId="0">
      <text>
        <r>
          <rPr>
            <sz val="9"/>
            <rFont val="宋体"/>
            <charset val="134"/>
          </rPr>
          <t xml:space="preserve">合计9904.
</t>
        </r>
      </text>
    </comment>
    <comment ref="J27" authorId="0">
      <text>
        <r>
          <rPr>
            <sz val="9"/>
            <rFont val="宋体"/>
            <charset val="134"/>
          </rPr>
          <t xml:space="preserve">到付USD120.51转预付876.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到付USD560.79转预付4037.69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J15" authorId="0">
      <text>
        <r>
          <rPr>
            <sz val="9"/>
            <rFont val="宋体"/>
            <charset val="134"/>
          </rPr>
          <t xml:space="preserve">合计50166元
</t>
        </r>
      </text>
    </comment>
    <comment ref="J29" authorId="0">
      <text>
        <r>
          <rPr>
            <sz val="9"/>
            <rFont val="宋体"/>
            <charset val="134"/>
          </rPr>
          <t xml:space="preserve">USD13117.04转预付合计95754.39
</t>
        </r>
      </text>
    </comment>
  </commentList>
</comments>
</file>

<file path=xl/comments9.xml><?xml version="1.0" encoding="utf-8"?>
<comments xmlns="http://schemas.openxmlformats.org/spreadsheetml/2006/main">
  <authors>
    <author>30993</author>
  </authors>
  <commentList>
    <comment ref="J13" authorId="0">
      <text>
        <r>
          <rPr>
            <sz val="9"/>
            <rFont val="宋体"/>
            <charset val="134"/>
          </rPr>
          <t xml:space="preserve">到付USD775.66转预付5584.75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到付USD185.92转预付1338.62.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到付USD16.79转预付120.89
</t>
        </r>
      </text>
    </comment>
  </commentList>
</comments>
</file>

<file path=xl/sharedStrings.xml><?xml version="1.0" encoding="utf-8"?>
<sst xmlns="http://schemas.openxmlformats.org/spreadsheetml/2006/main" count="1333" uniqueCount="134">
  <si>
    <t>2024年12月份LOS毛利表（海运）</t>
  </si>
  <si>
    <t>JOB</t>
  </si>
  <si>
    <t>集装编号 </t>
  </si>
  <si>
    <t>利润</t>
  </si>
  <si>
    <t>JOB120360</t>
  </si>
  <si>
    <t>COLL004315</t>
  </si>
  <si>
    <t>JOB120375</t>
  </si>
  <si>
    <t>COLL004323</t>
  </si>
  <si>
    <t>JOB120376</t>
  </si>
  <si>
    <t>COLL004324</t>
  </si>
  <si>
    <t>JOB120381</t>
  </si>
  <si>
    <t>COLL004325</t>
  </si>
  <si>
    <t>JOB120387</t>
  </si>
  <si>
    <t>COLL004326</t>
  </si>
  <si>
    <t>JOB120390</t>
  </si>
  <si>
    <t>COLL004328</t>
  </si>
  <si>
    <t>JOB120399</t>
  </si>
  <si>
    <t>COLL004330</t>
  </si>
  <si>
    <t>JOB120404</t>
  </si>
  <si>
    <t>COLL004342</t>
  </si>
  <si>
    <t>JOB0202178</t>
  </si>
  <si>
    <t>COLL004395</t>
  </si>
  <si>
    <t>合计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</si>
  <si>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</si>
  <si>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</si>
  <si>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</si>
  <si>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</si>
  <si>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</si>
  <si>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</si>
  <si>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</si>
  <si>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</si>
  <si>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</si>
  <si>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</si>
  <si>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</si>
  <si>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</si>
  <si>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</si>
  <si>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</si>
  <si>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</si>
  <si>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</si>
  <si>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</si>
  <si>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</si>
  <si>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</si>
  <si>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</si>
  <si>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</si>
  <si>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</si>
  <si>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</si>
  <si>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</si>
  <si>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</si>
  <si>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</si>
  <si>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</si>
  <si>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</si>
  <si>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</si>
  <si>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</si>
  <si>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</si>
  <si>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</si>
  <si>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无人</t>
  </si>
  <si>
    <t>dejare James</t>
  </si>
  <si>
    <t>James</t>
  </si>
  <si>
    <t>登凯=43870.25
创泽=1270
拖车费=1670
杂费=84
过磅费=69</t>
  </si>
  <si>
    <t>罗珮文</t>
  </si>
  <si>
    <t>Shirley</t>
  </si>
  <si>
    <t>Yusky</t>
  </si>
  <si>
    <t>Bella</t>
  </si>
  <si>
    <t>Bella Chan</t>
  </si>
  <si>
    <t>FENG</t>
  </si>
  <si>
    <t>Sam.Pao</t>
  </si>
  <si>
    <t>Mr. Jiang</t>
  </si>
  <si>
    <t>Nick Wang</t>
  </si>
  <si>
    <t>黄颖</t>
  </si>
  <si>
    <t>ying</t>
  </si>
  <si>
    <t>Nura</t>
  </si>
  <si>
    <t>zhong zi xin</t>
  </si>
  <si>
    <t>makus</t>
  </si>
  <si>
    <t>Adam e</t>
  </si>
  <si>
    <t>wangweijun</t>
  </si>
  <si>
    <t>baikaibo</t>
  </si>
  <si>
    <t>linxiao</t>
  </si>
  <si>
    <t>陆总</t>
  </si>
  <si>
    <t>陆梓龙</t>
  </si>
  <si>
    <t>xiantian</t>
  </si>
  <si>
    <t>liangdawei</t>
  </si>
  <si>
    <t>吕沛霖</t>
  </si>
  <si>
    <t>Paul</t>
  </si>
  <si>
    <t>朱小飞</t>
  </si>
  <si>
    <t>Isabel Zhu</t>
  </si>
  <si>
    <t>Ife Oyelami</t>
  </si>
  <si>
    <t>Halifa Success</t>
  </si>
  <si>
    <t>Jacky</t>
  </si>
  <si>
    <t>xinlong</t>
  </si>
  <si>
    <t>喵喵速运-Layne</t>
  </si>
  <si>
    <t>KE ZONG</t>
  </si>
  <si>
    <t>登凯=46552.5
创泽=1215
拖车费=1670
杂费=61
过磅费=70</t>
  </si>
  <si>
    <t>Candice Ding</t>
  </si>
  <si>
    <t>luk</t>
  </si>
  <si>
    <t>Mailmail Abv sales person 1</t>
  </si>
  <si>
    <t>Obetta U</t>
  </si>
  <si>
    <t>Abubakar Badaru Abubakar</t>
  </si>
  <si>
    <t>WENDY</t>
  </si>
  <si>
    <t>登凯=46552.5
报关=500 
拖车费=1670
杂费=61
过磅费=68</t>
  </si>
  <si>
    <t>Mr. Wen Pu</t>
  </si>
  <si>
    <t>Frank</t>
  </si>
  <si>
    <t>ShanShan</t>
  </si>
  <si>
    <t>SKY JET</t>
  </si>
  <si>
    <t>LEO WEI</t>
  </si>
  <si>
    <t>登凯=46552.5
报关=300
拖车费=1670
杂费=166
过磅费=71</t>
  </si>
  <si>
    <t>ChenGaoHong</t>
  </si>
  <si>
    <t>AiGeLi</t>
  </si>
  <si>
    <t>BI AN</t>
  </si>
  <si>
    <t>登凯=45460.5
报关=2800
拖车费=1670
杂费=86
过磅费=64</t>
  </si>
  <si>
    <t>MaiKaiNian</t>
  </si>
  <si>
    <t>yuhuichao</t>
  </si>
  <si>
    <t>Mr Rell</t>
  </si>
  <si>
    <t>MISS Huang</t>
  </si>
  <si>
    <t>sven</t>
  </si>
  <si>
    <t>Sampao</t>
  </si>
  <si>
    <t>ss</t>
  </si>
  <si>
    <t>fanglijuan</t>
  </si>
  <si>
    <t>Maryam Tukur</t>
  </si>
  <si>
    <t>Sadiq</t>
  </si>
  <si>
    <t>wuchengxing</t>
  </si>
  <si>
    <t>登凯=45460.5
陆总=1500  
拖车费=1670
杂费=86
过磅费=61</t>
  </si>
  <si>
    <t>Alice</t>
  </si>
  <si>
    <t>登凯=45639
创泽=3175  
拖车费=1670
杂费=61
过磅费=70</t>
  </si>
  <si>
    <t>Joy</t>
  </si>
  <si>
    <t>new hope 边鹏飞</t>
  </si>
  <si>
    <t>苏慧琪</t>
  </si>
  <si>
    <t>KAY</t>
  </si>
  <si>
    <t>WENXIAOBING</t>
  </si>
  <si>
    <t>MA ZONG</t>
  </si>
  <si>
    <t>登凯=45401
报关=2960
拖车费=1670
杂费=89
过磅费=70</t>
  </si>
  <si>
    <t>WANG</t>
  </si>
  <si>
    <t>赛捷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</si>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</sst>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sz val="9"/>
      <color theme="1"/>
      <name val="Microsoft JhengHe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9" fontId="6" fillId="2" borderId="1" xfId="1" applyNumberFormat="1" applyFont="1" applyFill="1" applyBorder="1" applyAlignment="1">
      <alignment horizontal="center"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182" fontId="5" fillId="3" borderId="1" xfId="0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right" vertical="center"/>
    </xf>
    <xf numFmtId="182" fontId="14" fillId="2" borderId="2" xfId="0" applyNumberFormat="1" applyFont="1" applyFill="1" applyBorder="1" applyAlignment="1">
      <alignment vertical="center"/>
    </xf>
    <xf numFmtId="176" fontId="14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82" fontId="2" fillId="0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5" fillId="0" borderId="0" xfId="0" applyNumberFormat="1" applyFont="1" applyFill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2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5" fillId="3" borderId="2" xfId="0" applyNumberFormat="1" applyFont="1" applyFill="1" applyBorder="1" applyAlignment="1">
      <alignment horizontal="center" vertical="center" wrapText="1"/>
    </xf>
    <xf numFmtId="182" fontId="1" fillId="4" borderId="3" xfId="0" applyNumberFormat="1" applyFont="1" applyFill="1" applyBorder="1" applyAlignment="1">
      <alignment horizontal="center" vertical="center"/>
    </xf>
    <xf numFmtId="183" fontId="16" fillId="5" borderId="1" xfId="4" applyNumberFormat="1" applyFont="1" applyFill="1" applyBorder="1" applyAlignment="1">
      <alignment horizontal="center" vertical="center"/>
    </xf>
    <xf numFmtId="182" fontId="13" fillId="5" borderId="1" xfId="4" applyNumberFormat="1" applyFont="1" applyFill="1" applyBorder="1" applyAlignment="1">
      <alignment horizontal="center" vertical="center"/>
    </xf>
    <xf numFmtId="183" fontId="13" fillId="0" borderId="1" xfId="4" applyNumberFormat="1" applyFont="1" applyFill="1" applyBorder="1" applyAlignment="1">
      <alignment horizontal="center" vertical="center"/>
    </xf>
    <xf numFmtId="182" fontId="13" fillId="0" borderId="1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7" fontId="15" fillId="3" borderId="3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7" fontId="2" fillId="0" borderId="1" xfId="0" applyNumberFormat="1" applyFont="1" applyBorder="1" applyAlignment="1">
      <alignment vertical="center"/>
    </xf>
    <xf numFmtId="7" fontId="3" fillId="0" borderId="0" xfId="0" applyNumberFormat="1" applyFont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7" fontId="1" fillId="6" borderId="2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vertical="center" wrapText="1"/>
    </xf>
    <xf numFmtId="177" fontId="12" fillId="3" borderId="1" xfId="0" applyNumberFormat="1" applyFont="1" applyFill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center" vertical="center"/>
    </xf>
    <xf numFmtId="182" fontId="12" fillId="3" borderId="1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7" fontId="1" fillId="6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7" fontId="18" fillId="3" borderId="1" xfId="0" applyNumberFormat="1" applyFont="1" applyFill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82" fontId="14" fillId="2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8" fillId="3" borderId="1" xfId="0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2" fontId="8" fillId="2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77" fontId="14" fillId="3" borderId="1" xfId="0" applyNumberFormat="1" applyFont="1" applyFill="1" applyBorder="1" applyAlignment="1">
      <alignment vertical="center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vertical="center"/>
    </xf>
    <xf numFmtId="182" fontId="2" fillId="0" borderId="7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/>
    </xf>
    <xf numFmtId="182" fontId="14" fillId="0" borderId="1" xfId="0" applyNumberFormat="1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vertical="center"/>
    </xf>
    <xf numFmtId="58" fontId="19" fillId="0" borderId="1" xfId="0" applyNumberFormat="1" applyFon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20" fillId="0" borderId="1" xfId="0" applyNumberFormat="1" applyFont="1" applyFill="1" applyBorder="1" applyAlignment="1">
      <alignment vertical="center"/>
    </xf>
    <xf numFmtId="182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zoomScale="110" zoomScaleNormal="110" workbookViewId="0">
      <pane xSplit="2" ySplit="1" topLeftCell="C2" activePane="bottomRight" state="frozen"/>
      <selection/>
      <selection pane="topRight"/>
      <selection pane="bottomLeft"/>
      <selection pane="bottomRight" activeCell="C145" sqref="C145"/>
    </sheetView>
  </sheetViews>
  <sheetFormatPr defaultColWidth="9" defaultRowHeight="13.5" outlineLevelCol="2"/>
  <cols>
    <col min="1" max="1" width="9.875" customWidth="1"/>
    <col min="2" max="2" width="11.625" customWidth="1"/>
    <col min="3" max="3" width="14.875" style="8"/>
  </cols>
  <sheetData>
    <row r="1" ht="31" customHeight="1" spans="1:3">
      <c r="A1" s="9" t="s">
        <v>0</v>
      </c>
      <c r="B1" s="9"/>
      <c r="C1" s="72"/>
    </row>
    <row r="2" s="1" customFormat="1" ht="23" customHeight="1" spans="1:3">
      <c r="A2" s="11" t="s">
        <v>1</v>
      </c>
      <c r="B2" s="12" t="s">
        <v>2</v>
      </c>
      <c r="C2" s="76" t="s">
        <v>3</v>
      </c>
    </row>
    <row r="3" s="1" customFormat="1" ht="27" customHeight="1" spans="1:3">
      <c r="A3" s="17"/>
      <c r="B3" s="18"/>
      <c r="C3" s="82"/>
    </row>
    <row r="4" s="2" customFormat="1" ht="3" customHeight="1" spans="1:3">
      <c r="A4" s="86" t="s">
        <v>4</v>
      </c>
      <c r="B4" s="45" t="s">
        <v>5</v>
      </c>
      <c r="C4" s="96">
        <f>SUM('JOB120360'!AF41)</f>
        <v>24290.9358429718</v>
      </c>
    </row>
    <row r="5" s="2" customFormat="1" ht="3" customHeight="1" spans="1:3">
      <c r="A5" s="86"/>
      <c r="B5" s="45"/>
      <c r="C5" s="98"/>
    </row>
    <row r="6" s="2" customFormat="1" ht="3" customHeight="1" spans="1:3">
      <c r="A6" s="86"/>
      <c r="B6" s="45"/>
      <c r="C6" s="98"/>
    </row>
    <row r="7" s="2" customFormat="1" ht="3" customHeight="1" spans="1:3">
      <c r="A7" s="86"/>
      <c r="B7" s="45"/>
      <c r="C7" s="98"/>
    </row>
    <row r="8" s="2" customFormat="1" ht="3" customHeight="1" spans="1:3">
      <c r="A8" s="86"/>
      <c r="B8" s="45"/>
      <c r="C8" s="98"/>
    </row>
    <row r="9" s="2" customFormat="1" ht="3" customHeight="1" spans="1:3">
      <c r="A9" s="86"/>
      <c r="B9" s="45"/>
      <c r="C9" s="98"/>
    </row>
    <row r="10" s="2" customFormat="1" ht="3" customHeight="1" spans="1:3">
      <c r="A10" s="86"/>
      <c r="B10" s="45"/>
      <c r="C10" s="98"/>
    </row>
    <row r="11" s="2" customFormat="1" ht="3" customHeight="1" spans="1:3">
      <c r="A11" s="86"/>
      <c r="B11" s="45"/>
      <c r="C11" s="98"/>
    </row>
    <row r="12" s="2" customFormat="1" ht="3" customHeight="1" spans="1:3">
      <c r="A12" s="86"/>
      <c r="B12" s="45"/>
      <c r="C12" s="98"/>
    </row>
    <row r="13" s="2" customFormat="1" ht="3" customHeight="1" spans="1:3">
      <c r="A13" s="86"/>
      <c r="B13" s="45"/>
      <c r="C13" s="98"/>
    </row>
    <row r="14" s="2" customFormat="1" ht="3" customHeight="1" spans="1:3">
      <c r="A14" s="86"/>
      <c r="B14" s="45"/>
      <c r="C14" s="98"/>
    </row>
    <row r="15" s="2" customFormat="1" ht="3" customHeight="1" spans="1:3">
      <c r="A15" s="86"/>
      <c r="B15" s="45"/>
      <c r="C15" s="98"/>
    </row>
    <row r="16" s="2" customFormat="1" ht="3" customHeight="1" spans="1:3">
      <c r="A16" s="86"/>
      <c r="B16" s="45"/>
      <c r="C16" s="98"/>
    </row>
    <row r="17" s="2" customFormat="1" ht="3" customHeight="1" spans="1:3">
      <c r="A17" s="86"/>
      <c r="B17" s="45"/>
      <c r="C17" s="98"/>
    </row>
    <row r="18" s="2" customFormat="1" ht="3" customHeight="1" spans="1:3">
      <c r="A18" s="86"/>
      <c r="B18" s="45"/>
      <c r="C18" s="98"/>
    </row>
    <row r="19" s="2" customFormat="1" ht="3" customHeight="1" spans="1:3">
      <c r="A19" s="86"/>
      <c r="B19" s="45"/>
      <c r="C19" s="98"/>
    </row>
    <row r="20" s="2" customFormat="1" ht="3" customHeight="1" spans="1:3">
      <c r="A20" s="86"/>
      <c r="B20" s="45"/>
      <c r="C20" s="98"/>
    </row>
    <row r="21" s="2" customFormat="1" ht="3" customHeight="1" spans="1:3">
      <c r="A21" s="86"/>
      <c r="B21" s="45"/>
      <c r="C21" s="98"/>
    </row>
    <row r="22" s="2" customFormat="1" ht="3" customHeight="1" spans="1:3">
      <c r="A22" s="86"/>
      <c r="B22" s="45"/>
      <c r="C22" s="98"/>
    </row>
    <row r="23" s="2" customFormat="1" ht="3" customHeight="1" spans="1:3">
      <c r="A23" s="86"/>
      <c r="B23" s="45"/>
      <c r="C23" s="98"/>
    </row>
    <row r="24" s="2" customFormat="1" ht="3" customHeight="1" spans="1:3">
      <c r="A24" s="86"/>
      <c r="B24" s="45"/>
      <c r="C24" s="98"/>
    </row>
    <row r="25" s="2" customFormat="1" ht="3" customHeight="1" spans="1:3">
      <c r="A25" s="86"/>
      <c r="B25" s="45"/>
      <c r="C25" s="98"/>
    </row>
    <row r="26" s="2" customFormat="1" ht="3" customHeight="1" spans="1:3">
      <c r="A26" s="86"/>
      <c r="B26" s="45"/>
      <c r="C26" s="98"/>
    </row>
    <row r="27" s="2" customFormat="1" ht="3" customHeight="1" spans="1:3">
      <c r="A27" s="86"/>
      <c r="B27" s="45"/>
      <c r="C27" s="98"/>
    </row>
    <row r="28" s="2" customFormat="1" ht="3" customHeight="1" spans="1:3">
      <c r="A28" s="86"/>
      <c r="B28" s="45"/>
      <c r="C28" s="98"/>
    </row>
    <row r="29" s="2" customFormat="1" ht="3" customHeight="1" spans="1:3">
      <c r="A29" s="86"/>
      <c r="B29" s="45"/>
      <c r="C29" s="98"/>
    </row>
    <row r="30" s="2" customFormat="1" ht="3" customHeight="1" spans="1:3">
      <c r="A30" s="86"/>
      <c r="B30" s="45"/>
      <c r="C30" s="98"/>
    </row>
    <row r="31" s="2" customFormat="1" ht="3" customHeight="1" spans="1:3">
      <c r="A31" s="86"/>
      <c r="B31" s="45"/>
      <c r="C31" s="98"/>
    </row>
    <row r="32" s="2" customFormat="1" ht="3" customHeight="1" spans="1:3">
      <c r="A32" s="86"/>
      <c r="B32" s="45"/>
      <c r="C32" s="98"/>
    </row>
    <row r="33" s="2" customFormat="1" ht="3" customHeight="1" spans="1:3">
      <c r="A33" s="86"/>
      <c r="B33" s="45"/>
      <c r="C33" s="98"/>
    </row>
    <row r="34" s="2" customFormat="1" ht="3" customHeight="1" spans="1:3">
      <c r="A34" s="86"/>
      <c r="B34" s="45"/>
      <c r="C34" s="98"/>
    </row>
    <row r="35" s="2" customFormat="1" ht="3" customHeight="1" spans="1:3">
      <c r="A35" s="86"/>
      <c r="B35" s="45"/>
      <c r="C35" s="98"/>
    </row>
    <row r="36" s="2" customFormat="1" ht="3" customHeight="1" spans="1:3">
      <c r="A36" s="86"/>
      <c r="B36" s="45"/>
      <c r="C36" s="98"/>
    </row>
    <row r="37" s="2" customFormat="1" ht="3" customHeight="1" spans="1:3">
      <c r="A37" s="86"/>
      <c r="B37" s="45"/>
      <c r="C37" s="98"/>
    </row>
    <row r="38" s="2" customFormat="1" ht="3" customHeight="1" spans="1:3">
      <c r="A38" s="86"/>
      <c r="B38" s="45"/>
      <c r="C38" s="98"/>
    </row>
    <row r="39" s="2" customFormat="1" ht="3" customHeight="1" spans="1:3">
      <c r="A39" s="86"/>
      <c r="B39" s="45"/>
      <c r="C39" s="100"/>
    </row>
    <row r="40" s="2" customFormat="1" ht="3" customHeight="1" spans="1:3">
      <c r="A40" s="86" t="s">
        <v>6</v>
      </c>
      <c r="B40" s="45" t="s">
        <v>7</v>
      </c>
      <c r="C40" s="96">
        <f>SUM('JOB120375'!AF18)</f>
        <v>24315.8918273264</v>
      </c>
    </row>
    <row r="41" s="2" customFormat="1" ht="3" customHeight="1" spans="1:3">
      <c r="A41" s="86"/>
      <c r="B41" s="45"/>
      <c r="C41" s="98"/>
    </row>
    <row r="42" s="2" customFormat="1" ht="3" customHeight="1" spans="1:3">
      <c r="A42" s="86"/>
      <c r="B42" s="45"/>
      <c r="C42" s="98"/>
    </row>
    <row r="43" s="2" customFormat="1" ht="3" customHeight="1" spans="1:3">
      <c r="A43" s="86"/>
      <c r="B43" s="45"/>
      <c r="C43" s="98"/>
    </row>
    <row r="44" s="2" customFormat="1" ht="3" customHeight="1" spans="1:3">
      <c r="A44" s="86"/>
      <c r="B44" s="45"/>
      <c r="C44" s="98"/>
    </row>
    <row r="45" s="2" customFormat="1" ht="3" customHeight="1" spans="1:3">
      <c r="A45" s="86"/>
      <c r="B45" s="45"/>
      <c r="C45" s="98"/>
    </row>
    <row r="46" s="2" customFormat="1" ht="3" customHeight="1" spans="1:3">
      <c r="A46" s="86"/>
      <c r="B46" s="45"/>
      <c r="C46" s="98"/>
    </row>
    <row r="47" s="2" customFormat="1" ht="3" customHeight="1" spans="1:3">
      <c r="A47" s="86"/>
      <c r="B47" s="45"/>
      <c r="C47" s="98"/>
    </row>
    <row r="48" s="2" customFormat="1" ht="3" customHeight="1" spans="1:3">
      <c r="A48" s="86"/>
      <c r="B48" s="45"/>
      <c r="C48" s="98"/>
    </row>
    <row r="49" s="2" customFormat="1" ht="3" customHeight="1" spans="1:3">
      <c r="A49" s="86"/>
      <c r="B49" s="45"/>
      <c r="C49" s="98"/>
    </row>
    <row r="50" s="2" customFormat="1" ht="3" customHeight="1" spans="1:3">
      <c r="A50" s="86"/>
      <c r="B50" s="45"/>
      <c r="C50" s="98"/>
    </row>
    <row r="51" s="2" customFormat="1" ht="3" customHeight="1" spans="1:3">
      <c r="A51" s="86"/>
      <c r="B51" s="45"/>
      <c r="C51" s="98"/>
    </row>
    <row r="52" s="2" customFormat="1" ht="3" customHeight="1" spans="1:3">
      <c r="A52" s="86"/>
      <c r="B52" s="45"/>
      <c r="C52" s="100"/>
    </row>
    <row r="53" s="2" customFormat="1" ht="3" customHeight="1" spans="1:3">
      <c r="A53" s="86" t="s">
        <v>8</v>
      </c>
      <c r="B53" s="45" t="s">
        <v>9</v>
      </c>
      <c r="C53" s="96">
        <f>SUM('JOB120376'!AF13)</f>
        <v>-3608.75651249265</v>
      </c>
    </row>
    <row r="54" s="2" customFormat="1" ht="3" customHeight="1" spans="1:3">
      <c r="A54" s="86"/>
      <c r="B54" s="45"/>
      <c r="C54" s="98"/>
    </row>
    <row r="55" s="2" customFormat="1" ht="3" customHeight="1" spans="1:3">
      <c r="A55" s="86"/>
      <c r="B55" s="45"/>
      <c r="C55" s="98"/>
    </row>
    <row r="56" s="2" customFormat="1" ht="3" customHeight="1" spans="1:3">
      <c r="A56" s="86"/>
      <c r="B56" s="45"/>
      <c r="C56" s="98"/>
    </row>
    <row r="57" s="2" customFormat="1" ht="3" customHeight="1" spans="1:3">
      <c r="A57" s="86"/>
      <c r="B57" s="45"/>
      <c r="C57" s="98"/>
    </row>
    <row r="58" s="2" customFormat="1" ht="3" customHeight="1" spans="1:3">
      <c r="A58" s="86"/>
      <c r="B58" s="45"/>
      <c r="C58" s="98"/>
    </row>
    <row r="59" s="2" customFormat="1" ht="3" customHeight="1" spans="1:3">
      <c r="A59" s="86"/>
      <c r="B59" s="45"/>
      <c r="C59" s="98"/>
    </row>
    <row r="60" s="2" customFormat="1" ht="3" customHeight="1" spans="1:3">
      <c r="A60" s="86"/>
      <c r="B60" s="45"/>
      <c r="C60" s="100"/>
    </row>
    <row r="61" s="2" customFormat="1" ht="3" customHeight="1" spans="1:3">
      <c r="A61" s="86" t="s">
        <v>10</v>
      </c>
      <c r="B61" s="45" t="s">
        <v>11</v>
      </c>
      <c r="C61" s="96">
        <f>SUM('JOB120381'!AF15)</f>
        <v>764.620208327206</v>
      </c>
    </row>
    <row r="62" s="2" customFormat="1" ht="3" customHeight="1" spans="1:3">
      <c r="A62" s="86"/>
      <c r="B62" s="45"/>
      <c r="C62" s="98"/>
    </row>
    <row r="63" s="2" customFormat="1" ht="3" customHeight="1" spans="1:3">
      <c r="A63" s="86"/>
      <c r="B63" s="45"/>
      <c r="C63" s="98"/>
    </row>
    <row r="64" s="2" customFormat="1" ht="3" customHeight="1" spans="1:3">
      <c r="A64" s="86"/>
      <c r="B64" s="45"/>
      <c r="C64" s="98"/>
    </row>
    <row r="65" s="2" customFormat="1" ht="3" customHeight="1" spans="1:3">
      <c r="A65" s="86"/>
      <c r="B65" s="45"/>
      <c r="C65" s="98"/>
    </row>
    <row r="66" s="2" customFormat="1" ht="3" customHeight="1" spans="1:3">
      <c r="A66" s="86"/>
      <c r="B66" s="45"/>
      <c r="C66" s="98"/>
    </row>
    <row r="67" s="2" customFormat="1" ht="3" customHeight="1" spans="1:3">
      <c r="A67" s="86"/>
      <c r="B67" s="45"/>
      <c r="C67" s="98"/>
    </row>
    <row r="68" s="2" customFormat="1" ht="3" customHeight="1" spans="1:3">
      <c r="A68" s="86"/>
      <c r="B68" s="45"/>
      <c r="C68" s="98"/>
    </row>
    <row r="69" s="2" customFormat="1" ht="3" customHeight="1" spans="1:3">
      <c r="A69" s="86"/>
      <c r="B69" s="45"/>
      <c r="C69" s="98"/>
    </row>
    <row r="70" s="2" customFormat="1" ht="3" customHeight="1" spans="1:3">
      <c r="A70" s="86"/>
      <c r="B70" s="45"/>
      <c r="C70" s="100"/>
    </row>
    <row r="71" s="2" customFormat="1" ht="3" customHeight="1" spans="1:3">
      <c r="A71" s="86" t="s">
        <v>12</v>
      </c>
      <c r="B71" s="45" t="s">
        <v>13</v>
      </c>
      <c r="C71" s="96">
        <f>SUM('JOB120387'!AF28)</f>
        <v>20710.7395563896</v>
      </c>
    </row>
    <row r="72" s="2" customFormat="1" ht="3" customHeight="1" spans="1:3">
      <c r="A72" s="86"/>
      <c r="B72" s="45"/>
      <c r="C72" s="98"/>
    </row>
    <row r="73" s="2" customFormat="1" ht="3" customHeight="1" spans="1:3">
      <c r="A73" s="86"/>
      <c r="B73" s="45"/>
      <c r="C73" s="98"/>
    </row>
    <row r="74" s="2" customFormat="1" ht="3" customHeight="1" spans="1:3">
      <c r="A74" s="86"/>
      <c r="B74" s="45"/>
      <c r="C74" s="98"/>
    </row>
    <row r="75" s="2" customFormat="1" ht="3" customHeight="1" spans="1:3">
      <c r="A75" s="86"/>
      <c r="B75" s="45"/>
      <c r="C75" s="98"/>
    </row>
    <row r="76" s="2" customFormat="1" ht="3" customHeight="1" spans="1:3">
      <c r="A76" s="86"/>
      <c r="B76" s="45"/>
      <c r="C76" s="98"/>
    </row>
    <row r="77" s="2" customFormat="1" ht="3" customHeight="1" spans="1:3">
      <c r="A77" s="86"/>
      <c r="B77" s="45"/>
      <c r="C77" s="98"/>
    </row>
    <row r="78" s="2" customFormat="1" ht="3" customHeight="1" spans="1:3">
      <c r="A78" s="86"/>
      <c r="B78" s="45"/>
      <c r="C78" s="98"/>
    </row>
    <row r="79" s="2" customFormat="1" ht="3" customHeight="1" spans="1:3">
      <c r="A79" s="86"/>
      <c r="B79" s="45"/>
      <c r="C79" s="98"/>
    </row>
    <row r="80" s="2" customFormat="1" ht="3" customHeight="1" spans="1:3">
      <c r="A80" s="86"/>
      <c r="B80" s="45"/>
      <c r="C80" s="98"/>
    </row>
    <row r="81" s="2" customFormat="1" ht="3" customHeight="1" spans="1:3">
      <c r="A81" s="86"/>
      <c r="B81" s="45"/>
      <c r="C81" s="98"/>
    </row>
    <row r="82" s="2" customFormat="1" ht="3" customHeight="1" spans="1:3">
      <c r="A82" s="86"/>
      <c r="B82" s="45"/>
      <c r="C82" s="98"/>
    </row>
    <row r="83" s="2" customFormat="1" ht="3" customHeight="1" spans="1:3">
      <c r="A83" s="86"/>
      <c r="B83" s="45"/>
      <c r="C83" s="98"/>
    </row>
    <row r="84" s="2" customFormat="1" ht="3" customHeight="1" spans="1:3">
      <c r="A84" s="86"/>
      <c r="B84" s="45"/>
      <c r="C84" s="98"/>
    </row>
    <row r="85" s="2" customFormat="1" ht="3" customHeight="1" spans="1:3">
      <c r="A85" s="86"/>
      <c r="B85" s="45"/>
      <c r="C85" s="98"/>
    </row>
    <row r="86" s="2" customFormat="1" ht="3" customHeight="1" spans="1:3">
      <c r="A86" s="86"/>
      <c r="B86" s="45"/>
      <c r="C86" s="98"/>
    </row>
    <row r="87" s="2" customFormat="1" ht="3" customHeight="1" spans="1:3">
      <c r="A87" s="86"/>
      <c r="B87" s="45"/>
      <c r="C87" s="98"/>
    </row>
    <row r="88" s="2" customFormat="1" ht="3" customHeight="1" spans="1:3">
      <c r="A88" s="86"/>
      <c r="B88" s="45"/>
      <c r="C88" s="98"/>
    </row>
    <row r="89" s="2" customFormat="1" ht="3" customHeight="1" spans="1:3">
      <c r="A89" s="86"/>
      <c r="B89" s="45"/>
      <c r="C89" s="98"/>
    </row>
    <row r="90" s="2" customFormat="1" ht="3" customHeight="1" spans="1:3">
      <c r="A90" s="86"/>
      <c r="B90" s="45"/>
      <c r="C90" s="98"/>
    </row>
    <row r="91" s="2" customFormat="1" ht="3" customHeight="1" spans="1:3">
      <c r="A91" s="86"/>
      <c r="B91" s="45"/>
      <c r="C91" s="98"/>
    </row>
    <row r="92" s="2" customFormat="1" ht="3" customHeight="1" spans="1:3">
      <c r="A92" s="86"/>
      <c r="B92" s="45"/>
      <c r="C92" s="98"/>
    </row>
    <row r="93" s="2" customFormat="1" ht="3" customHeight="1" spans="1:3">
      <c r="A93" s="86"/>
      <c r="B93" s="45"/>
      <c r="C93" s="100"/>
    </row>
    <row r="94" s="2" customFormat="1" ht="3" customHeight="1" spans="1:3">
      <c r="A94" s="86" t="s">
        <v>14</v>
      </c>
      <c r="B94" s="45" t="s">
        <v>15</v>
      </c>
      <c r="C94" s="96">
        <f>SUM('JOB120390'!AF12)</f>
        <v>7182.27377617648</v>
      </c>
    </row>
    <row r="95" s="2" customFormat="1" ht="3" customHeight="1" spans="1:3">
      <c r="A95" s="86"/>
      <c r="B95" s="45"/>
      <c r="C95" s="98"/>
    </row>
    <row r="96" s="2" customFormat="1" ht="3" customHeight="1" spans="1:3">
      <c r="A96" s="86"/>
      <c r="B96" s="45"/>
      <c r="C96" s="98"/>
    </row>
    <row r="97" s="2" customFormat="1" ht="3" customHeight="1" spans="1:3">
      <c r="A97" s="86"/>
      <c r="B97" s="45"/>
      <c r="C97" s="98"/>
    </row>
    <row r="98" s="2" customFormat="1" ht="3" customHeight="1" spans="1:3">
      <c r="A98" s="86"/>
      <c r="B98" s="45"/>
      <c r="C98" s="98"/>
    </row>
    <row r="99" s="2" customFormat="1" ht="3" customHeight="1" spans="1:3">
      <c r="A99" s="86"/>
      <c r="B99" s="45"/>
      <c r="C99" s="98"/>
    </row>
    <row r="100" s="2" customFormat="1" ht="3" customHeight="1" spans="1:3">
      <c r="A100" s="86"/>
      <c r="B100" s="45"/>
      <c r="C100" s="100"/>
    </row>
    <row r="101" s="2" customFormat="1" ht="3" customHeight="1" spans="1:3">
      <c r="A101" s="86" t="s">
        <v>16</v>
      </c>
      <c r="B101" s="45" t="s">
        <v>17</v>
      </c>
      <c r="C101" s="96">
        <f>SUM('JOB120399'!AF36)</f>
        <v>25144.54371336</v>
      </c>
    </row>
    <row r="102" s="2" customFormat="1" ht="3" customHeight="1" spans="1:3">
      <c r="A102" s="86"/>
      <c r="B102" s="45"/>
      <c r="C102" s="98"/>
    </row>
    <row r="103" s="2" customFormat="1" ht="3" customHeight="1" spans="1:3">
      <c r="A103" s="86"/>
      <c r="B103" s="45"/>
      <c r="C103" s="98"/>
    </row>
    <row r="104" s="2" customFormat="1" ht="3" customHeight="1" spans="1:3">
      <c r="A104" s="86"/>
      <c r="B104" s="45"/>
      <c r="C104" s="98"/>
    </row>
    <row r="105" s="2" customFormat="1" ht="3" customHeight="1" spans="1:3">
      <c r="A105" s="86"/>
      <c r="B105" s="45"/>
      <c r="C105" s="98"/>
    </row>
    <row r="106" s="2" customFormat="1" ht="3" customHeight="1" spans="1:3">
      <c r="A106" s="86"/>
      <c r="B106" s="45"/>
      <c r="C106" s="98"/>
    </row>
    <row r="107" s="2" customFormat="1" ht="3" customHeight="1" spans="1:3">
      <c r="A107" s="86"/>
      <c r="B107" s="45"/>
      <c r="C107" s="98"/>
    </row>
    <row r="108" s="2" customFormat="1" ht="3" customHeight="1" spans="1:3">
      <c r="A108" s="86"/>
      <c r="B108" s="45"/>
      <c r="C108" s="98"/>
    </row>
    <row r="109" s="2" customFormat="1" ht="3" customHeight="1" spans="1:3">
      <c r="A109" s="86"/>
      <c r="B109" s="45"/>
      <c r="C109" s="98"/>
    </row>
    <row r="110" s="2" customFormat="1" ht="3" customHeight="1" spans="1:3">
      <c r="A110" s="86"/>
      <c r="B110" s="45"/>
      <c r="C110" s="98"/>
    </row>
    <row r="111" s="2" customFormat="1" ht="3" customHeight="1" spans="1:3">
      <c r="A111" s="86"/>
      <c r="B111" s="45"/>
      <c r="C111" s="98"/>
    </row>
    <row r="112" s="2" customFormat="1" ht="3" customHeight="1" spans="1:3">
      <c r="A112" s="86"/>
      <c r="B112" s="45"/>
      <c r="C112" s="98"/>
    </row>
    <row r="113" s="2" customFormat="1" ht="3" customHeight="1" spans="1:3">
      <c r="A113" s="86"/>
      <c r="B113" s="45"/>
      <c r="C113" s="98"/>
    </row>
    <row r="114" s="2" customFormat="1" ht="3" customHeight="1" spans="1:3">
      <c r="A114" s="86"/>
      <c r="B114" s="45"/>
      <c r="C114" s="98"/>
    </row>
    <row r="115" s="2" customFormat="1" ht="3" customHeight="1" spans="1:3">
      <c r="A115" s="86"/>
      <c r="B115" s="45"/>
      <c r="C115" s="98"/>
    </row>
    <row r="116" s="2" customFormat="1" ht="3" customHeight="1" spans="1:3">
      <c r="A116" s="86"/>
      <c r="B116" s="45"/>
      <c r="C116" s="98"/>
    </row>
    <row r="117" s="2" customFormat="1" ht="3" customHeight="1" spans="1:3">
      <c r="A117" s="86"/>
      <c r="B117" s="45"/>
      <c r="C117" s="98"/>
    </row>
    <row r="118" s="2" customFormat="1" ht="3" customHeight="1" spans="1:3">
      <c r="A118" s="86"/>
      <c r="B118" s="45"/>
      <c r="C118" s="98"/>
    </row>
    <row r="119" s="2" customFormat="1" ht="3" customHeight="1" spans="1:3">
      <c r="A119" s="86"/>
      <c r="B119" s="45"/>
      <c r="C119" s="98"/>
    </row>
    <row r="120" s="2" customFormat="1" ht="3" customHeight="1" spans="1:3">
      <c r="A120" s="86"/>
      <c r="B120" s="45"/>
      <c r="C120" s="98"/>
    </row>
    <row r="121" s="2" customFormat="1" ht="3" customHeight="1" spans="1:3">
      <c r="A121" s="86"/>
      <c r="B121" s="45"/>
      <c r="C121" s="98"/>
    </row>
    <row r="122" s="2" customFormat="1" ht="3" customHeight="1" spans="1:3">
      <c r="A122" s="86"/>
      <c r="B122" s="45"/>
      <c r="C122" s="98"/>
    </row>
    <row r="123" s="2" customFormat="1" ht="3" customHeight="1" spans="1:3">
      <c r="A123" s="86"/>
      <c r="B123" s="45"/>
      <c r="C123" s="98"/>
    </row>
    <row r="124" s="2" customFormat="1" ht="3" customHeight="1" spans="1:3">
      <c r="A124" s="86"/>
      <c r="B124" s="45"/>
      <c r="C124" s="98"/>
    </row>
    <row r="125" s="2" customFormat="1" ht="3" customHeight="1" spans="1:3">
      <c r="A125" s="86"/>
      <c r="B125" s="45"/>
      <c r="C125" s="98"/>
    </row>
    <row r="126" s="2" customFormat="1" ht="3" customHeight="1" spans="1:3">
      <c r="A126" s="86"/>
      <c r="B126" s="45"/>
      <c r="C126" s="98"/>
    </row>
    <row r="127" s="2" customFormat="1" ht="3" customHeight="1" spans="1:3">
      <c r="A127" s="86"/>
      <c r="B127" s="45"/>
      <c r="C127" s="98"/>
    </row>
    <row r="128" s="2" customFormat="1" ht="3" customHeight="1" spans="1:3">
      <c r="A128" s="86"/>
      <c r="B128" s="45"/>
      <c r="C128" s="98"/>
    </row>
    <row r="129" s="2" customFormat="1" ht="3" customHeight="1" spans="1:3">
      <c r="A129" s="86"/>
      <c r="B129" s="45"/>
      <c r="C129" s="98"/>
    </row>
    <row r="130" s="2" customFormat="1" ht="3" customHeight="1" spans="1:3">
      <c r="A130" s="86"/>
      <c r="B130" s="45"/>
      <c r="C130" s="98"/>
    </row>
    <row r="131" s="2" customFormat="1" ht="3" customHeight="1" spans="1:3">
      <c r="A131" s="86"/>
      <c r="B131" s="45"/>
      <c r="C131" s="100"/>
    </row>
    <row r="132" s="2" customFormat="1" ht="3" customHeight="1" spans="1:3">
      <c r="A132" s="86" t="s">
        <v>18</v>
      </c>
      <c r="B132" s="45" t="s">
        <v>19</v>
      </c>
      <c r="C132" s="96">
        <f>SUM('JOB120404'!AF18)</f>
        <v>11861.7165052426</v>
      </c>
    </row>
    <row r="133" s="2" customFormat="1" ht="3" customHeight="1" spans="1:3">
      <c r="A133" s="86" t="s">
        <v>18</v>
      </c>
      <c r="B133" s="45" t="s">
        <v>19</v>
      </c>
      <c r="C133" s="98"/>
    </row>
    <row r="134" s="2" customFormat="1" ht="3" customHeight="1" spans="1:3">
      <c r="A134" s="86"/>
      <c r="B134" s="45"/>
      <c r="C134" s="98"/>
    </row>
    <row r="135" s="2" customFormat="1" ht="3" customHeight="1" spans="1:3">
      <c r="A135" s="86"/>
      <c r="B135" s="45"/>
      <c r="C135" s="98"/>
    </row>
    <row r="136" s="2" customFormat="1" ht="3" customHeight="1" spans="1:3">
      <c r="A136" s="86"/>
      <c r="B136" s="45"/>
      <c r="C136" s="98"/>
    </row>
    <row r="137" s="2" customFormat="1" ht="3" customHeight="1" spans="1:3">
      <c r="A137" s="86"/>
      <c r="B137" s="45"/>
      <c r="C137" s="98"/>
    </row>
    <row r="138" s="2" customFormat="1" ht="3" customHeight="1" spans="1:3">
      <c r="A138" s="86"/>
      <c r="B138" s="45"/>
      <c r="C138" s="98"/>
    </row>
    <row r="139" s="2" customFormat="1" ht="3" customHeight="1" spans="1:3">
      <c r="A139" s="86"/>
      <c r="B139" s="45"/>
      <c r="C139" s="98"/>
    </row>
    <row r="140" s="2" customFormat="1" ht="3" customHeight="1" spans="1:3">
      <c r="A140" s="86"/>
      <c r="B140" s="45"/>
      <c r="C140" s="98"/>
    </row>
    <row r="141" s="2" customFormat="1" ht="3" customHeight="1" spans="1:3">
      <c r="A141" s="86"/>
      <c r="B141" s="45"/>
      <c r="C141" s="98"/>
    </row>
    <row r="142" s="2" customFormat="1" ht="3" customHeight="1" spans="1:3">
      <c r="A142" s="86"/>
      <c r="B142" s="45"/>
      <c r="C142" s="98"/>
    </row>
    <row r="143" s="2" customFormat="1" ht="3" customHeight="1" spans="1:3">
      <c r="A143" s="86"/>
      <c r="B143" s="45"/>
      <c r="C143" s="98"/>
    </row>
    <row r="144" s="2" customFormat="1" ht="3" customHeight="1" spans="1:3">
      <c r="A144" s="86"/>
      <c r="B144" s="45"/>
      <c r="C144" s="100"/>
    </row>
    <row r="145" s="2" customFormat="1" spans="1:3">
      <c r="A145" s="21" t="s">
        <v>20</v>
      </c>
      <c r="B145" s="22" t="s">
        <v>21</v>
      </c>
      <c r="C145" s="69">
        <f>SUM('JOB0202178'!AF6)</f>
        <v>4067</v>
      </c>
    </row>
    <row r="146" ht="15.75" spans="1:3">
      <c r="A146" s="26" t="s">
        <v>22</v>
      </c>
      <c r="B146" s="27"/>
      <c r="C146" s="85">
        <f>SUM(C3:C145)</f>
        <v>114728.964917301</v>
      </c>
    </row>
    <row r="147" customFormat="1" spans="3:3">
      <c r="C147" s="8"/>
    </row>
    <row r="148" customFormat="1" spans="3:3">
      <c r="C148" s="8"/>
    </row>
    <row r="149" customFormat="1" spans="3:3">
      <c r="C149" s="8"/>
    </row>
    <row r="150" customFormat="1" spans="3:3">
      <c r="C150" s="8"/>
    </row>
    <row r="151" customFormat="1" spans="3:3">
      <c r="C151" s="8"/>
    </row>
    <row r="152" customFormat="1" spans="3:3">
      <c r="C152" s="8"/>
    </row>
    <row r="153" customFormat="1" spans="3:3">
      <c r="C153" s="8"/>
    </row>
    <row r="154" customFormat="1" spans="3:3">
      <c r="C154" s="8"/>
    </row>
    <row r="155" customFormat="1" spans="3:3">
      <c r="C155" s="8"/>
    </row>
    <row r="156" customFormat="1" spans="3:3">
      <c r="C156" s="8"/>
    </row>
    <row r="157" customFormat="1" spans="3:3">
      <c r="C157" s="8"/>
    </row>
    <row r="158" customFormat="1" spans="3:3">
      <c r="C158" s="8"/>
    </row>
    <row r="159" customFormat="1" spans="3:3">
      <c r="C159" s="8"/>
    </row>
    <row r="160" customFormat="1" spans="3:3">
      <c r="C160" s="8"/>
    </row>
    <row r="161" customFormat="1" spans="3:3">
      <c r="C161" s="8"/>
    </row>
    <row r="162" customFormat="1" spans="3:3">
      <c r="C162" s="8"/>
    </row>
  </sheetData>
  <autoFilter xmlns:etc="http://www.wps.cn/officeDocument/2017/etCustomData" ref="A2:C146" etc:filterBottomFollowUsedRange="0">
    <extLst/>
  </autoFilter>
  <mergeCells count="28">
    <mergeCell ref="A1:C1"/>
    <mergeCell ref="A2:A3"/>
    <mergeCell ref="A4:A39"/>
    <mergeCell ref="A40:A52"/>
    <mergeCell ref="A53:A60"/>
    <mergeCell ref="A61:A70"/>
    <mergeCell ref="A71:A93"/>
    <mergeCell ref="A94:A100"/>
    <mergeCell ref="A101:A131"/>
    <mergeCell ref="A132:A144"/>
    <mergeCell ref="B2:B3"/>
    <mergeCell ref="B4:B39"/>
    <mergeCell ref="B40:B52"/>
    <mergeCell ref="B53:B60"/>
    <mergeCell ref="B61:B70"/>
    <mergeCell ref="B71:B93"/>
    <mergeCell ref="B94:B100"/>
    <mergeCell ref="B101:B131"/>
    <mergeCell ref="B132:B144"/>
    <mergeCell ref="C2:C3"/>
    <mergeCell ref="C4:C39"/>
    <mergeCell ref="C40:C52"/>
    <mergeCell ref="C53:C60"/>
    <mergeCell ref="C61:C70"/>
    <mergeCell ref="C71:C93"/>
    <mergeCell ref="C94:C100"/>
    <mergeCell ref="C101:C131"/>
    <mergeCell ref="C132:C14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2"/>
  <sheetViews>
    <sheetView tabSelected="1" zoomScale="110" zoomScaleNormal="110" topLeftCell="K1" workbookViewId="0">
      <pane xSplit="7" ySplit="3" topLeftCell="Z131" activePane="bottomRight" state="frozen"/>
      <selection/>
      <selection pane="topRight"/>
      <selection pane="bottomLeft"/>
      <selection pane="bottomRight" activeCell="AE146" sqref="AE14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7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7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s="1" customFormat="1" ht="23" customHeight="1" spans="1:32">
      <c r="A2" s="11" t="s">
        <v>1</v>
      </c>
      <c r="B2" s="12" t="s">
        <v>2</v>
      </c>
      <c r="C2" s="13" t="s">
        <v>23</v>
      </c>
      <c r="D2" s="14" t="s">
        <v>24</v>
      </c>
      <c r="E2" s="15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31" t="s">
        <v>30</v>
      </c>
      <c r="K2" s="32"/>
      <c r="L2" s="33"/>
      <c r="M2" s="32"/>
      <c r="N2" s="33"/>
      <c r="O2" s="34"/>
      <c r="P2" s="35"/>
      <c r="Q2" s="54" t="s">
        <v>31</v>
      </c>
      <c r="R2" s="55" t="s">
        <v>32</v>
      </c>
      <c r="S2" s="56"/>
      <c r="T2" s="57"/>
      <c r="U2" s="58"/>
      <c r="V2" s="59"/>
      <c r="W2" s="60" t="s">
        <v>33</v>
      </c>
      <c r="X2" s="61" t="s">
        <v>34</v>
      </c>
      <c r="Y2" s="73" t="s">
        <v>35</v>
      </c>
      <c r="Z2" s="73"/>
      <c r="AA2" s="73"/>
      <c r="AB2" s="73"/>
      <c r="AC2" s="74"/>
      <c r="AD2" s="73"/>
      <c r="AE2" s="75" t="s">
        <v>36</v>
      </c>
      <c r="AF2" s="76" t="s">
        <v>3</v>
      </c>
    </row>
    <row r="3" s="1" customFormat="1" ht="27" customHeight="1" spans="1:32">
      <c r="A3" s="17"/>
      <c r="B3" s="18"/>
      <c r="C3" s="13"/>
      <c r="D3" s="14"/>
      <c r="E3" s="19"/>
      <c r="F3" s="20"/>
      <c r="G3" s="20"/>
      <c r="H3" s="20"/>
      <c r="I3" s="36"/>
      <c r="J3" s="37" t="s">
        <v>37</v>
      </c>
      <c r="K3" s="38" t="s">
        <v>38</v>
      </c>
      <c r="L3" s="39" t="s">
        <v>39</v>
      </c>
      <c r="M3" s="38" t="s">
        <v>40</v>
      </c>
      <c r="N3" s="40" t="s">
        <v>41</v>
      </c>
      <c r="O3" s="41" t="s">
        <v>42</v>
      </c>
      <c r="P3" s="42" t="s">
        <v>43</v>
      </c>
      <c r="Q3" s="62"/>
      <c r="R3" s="63" t="s">
        <v>44</v>
      </c>
      <c r="S3" s="64" t="s">
        <v>45</v>
      </c>
      <c r="T3" s="65" t="s">
        <v>46</v>
      </c>
      <c r="U3" s="66" t="s">
        <v>47</v>
      </c>
      <c r="V3" s="65" t="s">
        <v>48</v>
      </c>
      <c r="W3" s="67"/>
      <c r="X3" s="68"/>
      <c r="Y3" s="77" t="s">
        <v>49</v>
      </c>
      <c r="Z3" s="77" t="s">
        <v>50</v>
      </c>
      <c r="AA3" s="77" t="s">
        <v>51</v>
      </c>
      <c r="AB3" s="78" t="s">
        <v>52</v>
      </c>
      <c r="AC3" s="79" t="s">
        <v>53</v>
      </c>
      <c r="AD3" s="80" t="s">
        <v>43</v>
      </c>
      <c r="AE3" s="81" t="s">
        <v>54</v>
      </c>
      <c r="AF3" s="82"/>
    </row>
    <row r="4" s="2" customFormat="1" spans="1:32">
      <c r="A4" s="86" t="s">
        <v>4</v>
      </c>
      <c r="B4" s="45" t="s">
        <v>5</v>
      </c>
      <c r="C4" s="23">
        <v>240925000017</v>
      </c>
      <c r="D4" s="24">
        <v>45631</v>
      </c>
      <c r="E4" s="24" t="s">
        <v>55</v>
      </c>
      <c r="F4" s="45" t="s">
        <v>56</v>
      </c>
      <c r="G4" s="45" t="s">
        <v>57</v>
      </c>
      <c r="H4" s="87">
        <v>0.1799</v>
      </c>
      <c r="I4" s="87">
        <v>17</v>
      </c>
      <c r="J4" s="92"/>
      <c r="K4" s="108">
        <v>84600</v>
      </c>
      <c r="L4" s="93"/>
      <c r="M4" s="44">
        <f t="shared" ref="M4:M7" si="0">SUM(K4/N4)</f>
        <v>1679.57134004083</v>
      </c>
      <c r="N4" s="95">
        <v>50.369995</v>
      </c>
      <c r="O4" s="45">
        <v>7.27</v>
      </c>
      <c r="P4" s="92">
        <f t="shared" ref="P4:P7" si="1">SUM(N4*O4)</f>
        <v>366.18986365</v>
      </c>
      <c r="Q4" s="96">
        <f>SUM(P4:P39)</f>
        <v>162259.23832881</v>
      </c>
      <c r="R4" s="97" t="s">
        <v>58</v>
      </c>
      <c r="S4" s="47">
        <f>SUM(46963.25/68)*H4</f>
        <v>124.245421691176</v>
      </c>
      <c r="T4" s="47"/>
      <c r="U4" s="47">
        <f>SUM(2500/68)*H4</f>
        <v>6.61397058823529</v>
      </c>
      <c r="V4" s="47"/>
      <c r="W4" s="47"/>
      <c r="X4" s="47">
        <f>SUM(S4:W4)</f>
        <v>130.859392279412</v>
      </c>
      <c r="Y4" s="102">
        <f>SUM(11081/68)*H4</f>
        <v>29.3157632352941</v>
      </c>
      <c r="Z4" s="102"/>
      <c r="AA4" s="102"/>
      <c r="AB4" s="102">
        <f>SUM(Y4:AA4)</f>
        <v>29.3157632352941</v>
      </c>
      <c r="AC4" s="89">
        <v>7.24</v>
      </c>
      <c r="AD4" s="47">
        <f>SUM(AB4*AC4)</f>
        <v>212.246125823529</v>
      </c>
      <c r="AE4" s="47">
        <f>SUM(X4+AD4)</f>
        <v>343.105518102941</v>
      </c>
      <c r="AF4" s="47">
        <f>SUM(P4-AE4)</f>
        <v>23.0843455470588</v>
      </c>
    </row>
    <row r="5" s="2" customFormat="1" spans="1:32">
      <c r="A5" s="86"/>
      <c r="B5" s="45"/>
      <c r="C5" s="23">
        <v>241118000063</v>
      </c>
      <c r="D5" s="24">
        <v>45631</v>
      </c>
      <c r="E5" s="24" t="s">
        <v>59</v>
      </c>
      <c r="F5" s="45" t="s">
        <v>60</v>
      </c>
      <c r="G5" s="45" t="s">
        <v>61</v>
      </c>
      <c r="H5" s="87">
        <v>1.6585</v>
      </c>
      <c r="I5" s="87">
        <v>270</v>
      </c>
      <c r="J5" s="92"/>
      <c r="K5" s="103">
        <v>719837.28</v>
      </c>
      <c r="L5" s="93"/>
      <c r="M5" s="44">
        <f t="shared" si="0"/>
        <v>1608</v>
      </c>
      <c r="N5" s="95">
        <v>447.66</v>
      </c>
      <c r="O5" s="91">
        <v>7.3</v>
      </c>
      <c r="P5" s="92">
        <f t="shared" si="1"/>
        <v>3267.918</v>
      </c>
      <c r="Q5" s="98"/>
      <c r="R5" s="98"/>
      <c r="S5" s="47">
        <f t="shared" ref="S5:S39" si="2">SUM(46963.25/68)*H5</f>
        <v>1145.41985477941</v>
      </c>
      <c r="T5" s="47"/>
      <c r="U5" s="47">
        <f t="shared" ref="U5:U39" si="3">SUM(2500/68)*H5</f>
        <v>60.9742647058824</v>
      </c>
      <c r="V5" s="47"/>
      <c r="W5" s="47"/>
      <c r="X5" s="47">
        <f t="shared" ref="X5:X39" si="4">SUM(S5:W5)</f>
        <v>1206.39411948529</v>
      </c>
      <c r="Y5" s="102">
        <f t="shared" ref="Y5:Y39" si="5">SUM(11081/68)*H5</f>
        <v>270.262330882353</v>
      </c>
      <c r="Z5" s="102"/>
      <c r="AA5" s="102"/>
      <c r="AB5" s="102">
        <f t="shared" ref="AB5:AB39" si="6">SUM(Y5:AA5)</f>
        <v>270.262330882353</v>
      </c>
      <c r="AC5" s="89">
        <v>7.24</v>
      </c>
      <c r="AD5" s="47">
        <f t="shared" ref="AD5:AD39" si="7">SUM(AB5*AC5)</f>
        <v>1956.69927558824</v>
      </c>
      <c r="AE5" s="47">
        <f t="shared" ref="AE5:AE39" si="8">SUM(X5+AD5)</f>
        <v>3163.09339507353</v>
      </c>
      <c r="AF5" s="47">
        <f t="shared" ref="AF5:AF39" si="9">SUM(P5-AE5)</f>
        <v>104.82460492647</v>
      </c>
    </row>
    <row r="6" s="2" customFormat="1" spans="1:32">
      <c r="A6" s="86"/>
      <c r="B6" s="45"/>
      <c r="C6" s="23">
        <v>241118000066</v>
      </c>
      <c r="D6" s="24">
        <v>45631</v>
      </c>
      <c r="E6" s="24" t="s">
        <v>59</v>
      </c>
      <c r="F6" s="45" t="s">
        <v>60</v>
      </c>
      <c r="G6" s="45" t="s">
        <v>61</v>
      </c>
      <c r="H6" s="87">
        <v>1.2581</v>
      </c>
      <c r="I6" s="87">
        <v>125</v>
      </c>
      <c r="J6" s="92"/>
      <c r="K6" s="103">
        <v>546173.28</v>
      </c>
      <c r="L6" s="93"/>
      <c r="M6" s="44">
        <f t="shared" si="0"/>
        <v>1608</v>
      </c>
      <c r="N6" s="95">
        <v>339.66</v>
      </c>
      <c r="O6" s="91">
        <v>7.3</v>
      </c>
      <c r="P6" s="92">
        <f t="shared" si="1"/>
        <v>2479.518</v>
      </c>
      <c r="Q6" s="98"/>
      <c r="R6" s="98"/>
      <c r="S6" s="47">
        <f t="shared" si="2"/>
        <v>868.889188602941</v>
      </c>
      <c r="T6" s="47"/>
      <c r="U6" s="47">
        <f t="shared" si="3"/>
        <v>46.2536764705882</v>
      </c>
      <c r="V6" s="47"/>
      <c r="W6" s="47"/>
      <c r="X6" s="47">
        <f t="shared" si="4"/>
        <v>915.142865073529</v>
      </c>
      <c r="Y6" s="102">
        <f t="shared" si="5"/>
        <v>205.014795588235</v>
      </c>
      <c r="Z6" s="102"/>
      <c r="AA6" s="102"/>
      <c r="AB6" s="102">
        <f t="shared" si="6"/>
        <v>205.014795588235</v>
      </c>
      <c r="AC6" s="89">
        <v>7.24</v>
      </c>
      <c r="AD6" s="47">
        <f t="shared" si="7"/>
        <v>1484.30712005882</v>
      </c>
      <c r="AE6" s="47">
        <f t="shared" si="8"/>
        <v>2399.44998513235</v>
      </c>
      <c r="AF6" s="47">
        <f t="shared" si="9"/>
        <v>80.068014867647</v>
      </c>
    </row>
    <row r="7" s="2" customFormat="1" spans="1:32">
      <c r="A7" s="86"/>
      <c r="B7" s="45"/>
      <c r="C7" s="23">
        <v>241120000012</v>
      </c>
      <c r="D7" s="24">
        <v>45631</v>
      </c>
      <c r="E7" s="24" t="s">
        <v>62</v>
      </c>
      <c r="F7" s="45" t="s">
        <v>63</v>
      </c>
      <c r="G7" s="45" t="s">
        <v>64</v>
      </c>
      <c r="H7" s="87">
        <v>0.1878</v>
      </c>
      <c r="I7" s="87">
        <v>62</v>
      </c>
      <c r="J7" s="92"/>
      <c r="K7" s="103">
        <v>94651.2</v>
      </c>
      <c r="L7" s="93"/>
      <c r="M7" s="44">
        <f t="shared" si="0"/>
        <v>1680.00011927583</v>
      </c>
      <c r="N7" s="95">
        <v>56.339996</v>
      </c>
      <c r="O7" s="45">
        <v>7.3</v>
      </c>
      <c r="P7" s="92">
        <f t="shared" si="1"/>
        <v>411.2819708</v>
      </c>
      <c r="Q7" s="98"/>
      <c r="R7" s="98"/>
      <c r="S7" s="47">
        <f t="shared" si="2"/>
        <v>129.701446323529</v>
      </c>
      <c r="T7" s="47"/>
      <c r="U7" s="47">
        <f t="shared" si="3"/>
        <v>6.90441176470588</v>
      </c>
      <c r="V7" s="47"/>
      <c r="W7" s="47"/>
      <c r="X7" s="47">
        <f t="shared" si="4"/>
        <v>136.605858088235</v>
      </c>
      <c r="Y7" s="102">
        <f t="shared" si="5"/>
        <v>30.6031147058824</v>
      </c>
      <c r="Z7" s="102"/>
      <c r="AA7" s="102"/>
      <c r="AB7" s="102">
        <f t="shared" si="6"/>
        <v>30.6031147058824</v>
      </c>
      <c r="AC7" s="89">
        <v>7.24</v>
      </c>
      <c r="AD7" s="47">
        <f t="shared" si="7"/>
        <v>221.566550470588</v>
      </c>
      <c r="AE7" s="47">
        <f t="shared" si="8"/>
        <v>358.172408558824</v>
      </c>
      <c r="AF7" s="47">
        <f t="shared" si="9"/>
        <v>53.1095622411764</v>
      </c>
    </row>
    <row r="8" s="2" customFormat="1" spans="1:32">
      <c r="A8" s="86"/>
      <c r="B8" s="45"/>
      <c r="C8" s="23">
        <v>241120000023</v>
      </c>
      <c r="D8" s="24">
        <v>45631</v>
      </c>
      <c r="E8" s="24" t="s">
        <v>65</v>
      </c>
      <c r="F8" s="45" t="s">
        <v>65</v>
      </c>
      <c r="G8" s="45" t="s">
        <v>66</v>
      </c>
      <c r="H8" s="87">
        <v>1.3317</v>
      </c>
      <c r="I8" s="87">
        <v>326</v>
      </c>
      <c r="J8" s="88">
        <v>4965</v>
      </c>
      <c r="K8" s="89"/>
      <c r="L8" s="93"/>
      <c r="M8" s="44"/>
      <c r="N8" s="90"/>
      <c r="O8" s="45"/>
      <c r="P8" s="92">
        <f t="shared" ref="P8:P14" si="10">SUBTOTAL(9,J8)</f>
        <v>4965</v>
      </c>
      <c r="Q8" s="98"/>
      <c r="R8" s="98"/>
      <c r="S8" s="47">
        <f t="shared" si="2"/>
        <v>919.720000367647</v>
      </c>
      <c r="T8" s="47"/>
      <c r="U8" s="47">
        <f t="shared" si="3"/>
        <v>48.9595588235294</v>
      </c>
      <c r="V8" s="99">
        <v>500</v>
      </c>
      <c r="W8" s="47"/>
      <c r="X8" s="47">
        <f t="shared" si="4"/>
        <v>1468.67955919118</v>
      </c>
      <c r="Y8" s="102">
        <f t="shared" si="5"/>
        <v>217.008348529412</v>
      </c>
      <c r="Z8" s="102"/>
      <c r="AA8" s="102"/>
      <c r="AB8" s="102">
        <f t="shared" si="6"/>
        <v>217.008348529412</v>
      </c>
      <c r="AC8" s="89">
        <v>7.24</v>
      </c>
      <c r="AD8" s="47">
        <f t="shared" si="7"/>
        <v>1571.14044335294</v>
      </c>
      <c r="AE8" s="47">
        <f t="shared" si="8"/>
        <v>3039.82000254412</v>
      </c>
      <c r="AF8" s="47">
        <f t="shared" si="9"/>
        <v>1925.17999745588</v>
      </c>
    </row>
    <row r="9" s="2" customFormat="1" spans="1:32">
      <c r="A9" s="86"/>
      <c r="B9" s="45"/>
      <c r="C9" s="23">
        <v>241121000013</v>
      </c>
      <c r="D9" s="24">
        <v>45631</v>
      </c>
      <c r="E9" s="24" t="s">
        <v>65</v>
      </c>
      <c r="F9" s="45" t="s">
        <v>65</v>
      </c>
      <c r="G9" s="45" t="s">
        <v>66</v>
      </c>
      <c r="H9" s="87">
        <v>2.2982</v>
      </c>
      <c r="I9" s="87">
        <v>612</v>
      </c>
      <c r="J9" s="88">
        <v>7707</v>
      </c>
      <c r="K9" s="89"/>
      <c r="L9" s="93"/>
      <c r="M9" s="44"/>
      <c r="N9" s="90"/>
      <c r="O9" s="45"/>
      <c r="P9" s="92">
        <f t="shared" si="10"/>
        <v>7707</v>
      </c>
      <c r="Q9" s="98"/>
      <c r="R9" s="98"/>
      <c r="S9" s="47">
        <f t="shared" si="2"/>
        <v>1587.21972279412</v>
      </c>
      <c r="T9" s="47"/>
      <c r="U9" s="47">
        <f t="shared" si="3"/>
        <v>84.4926470588235</v>
      </c>
      <c r="V9" s="99">
        <v>400</v>
      </c>
      <c r="W9" s="47"/>
      <c r="X9" s="47">
        <f t="shared" si="4"/>
        <v>2071.71236985294</v>
      </c>
      <c r="Y9" s="102">
        <f t="shared" si="5"/>
        <v>374.505208823529</v>
      </c>
      <c r="Z9" s="102"/>
      <c r="AA9" s="102"/>
      <c r="AB9" s="102">
        <f t="shared" si="6"/>
        <v>374.505208823529</v>
      </c>
      <c r="AC9" s="89">
        <v>7.24</v>
      </c>
      <c r="AD9" s="47">
        <f t="shared" si="7"/>
        <v>2711.41771188235</v>
      </c>
      <c r="AE9" s="47">
        <f t="shared" si="8"/>
        <v>4783.13008173529</v>
      </c>
      <c r="AF9" s="47">
        <f t="shared" si="9"/>
        <v>2923.86991826471</v>
      </c>
    </row>
    <row r="10" s="2" customFormat="1" spans="1:32">
      <c r="A10" s="86"/>
      <c r="B10" s="45"/>
      <c r="C10" s="23">
        <v>241121000018</v>
      </c>
      <c r="D10" s="24">
        <v>45631</v>
      </c>
      <c r="E10" s="24" t="s">
        <v>65</v>
      </c>
      <c r="F10" s="45" t="s">
        <v>65</v>
      </c>
      <c r="G10" s="45" t="s">
        <v>67</v>
      </c>
      <c r="H10" s="87">
        <v>0.0768</v>
      </c>
      <c r="I10" s="87">
        <v>14</v>
      </c>
      <c r="J10" s="88">
        <v>296.22</v>
      </c>
      <c r="K10" s="89"/>
      <c r="L10" s="93"/>
      <c r="M10" s="44"/>
      <c r="N10" s="90"/>
      <c r="O10" s="45"/>
      <c r="P10" s="92">
        <f t="shared" si="10"/>
        <v>296.22</v>
      </c>
      <c r="Q10" s="98"/>
      <c r="R10" s="98"/>
      <c r="S10" s="47">
        <f t="shared" si="2"/>
        <v>53.0408470588235</v>
      </c>
      <c r="T10" s="47"/>
      <c r="U10" s="47">
        <f t="shared" si="3"/>
        <v>2.82352941176471</v>
      </c>
      <c r="V10" s="47"/>
      <c r="W10" s="47"/>
      <c r="X10" s="47">
        <f t="shared" si="4"/>
        <v>55.8643764705882</v>
      </c>
      <c r="Y10" s="102">
        <f t="shared" si="5"/>
        <v>12.5150117647059</v>
      </c>
      <c r="Z10" s="101">
        <v>4.51</v>
      </c>
      <c r="AA10" s="102"/>
      <c r="AB10" s="102">
        <f t="shared" si="6"/>
        <v>17.0250117647059</v>
      </c>
      <c r="AC10" s="89">
        <v>7.24</v>
      </c>
      <c r="AD10" s="47">
        <f t="shared" si="7"/>
        <v>123.261085176471</v>
      </c>
      <c r="AE10" s="47">
        <f t="shared" si="8"/>
        <v>179.125461647059</v>
      </c>
      <c r="AF10" s="47">
        <f t="shared" si="9"/>
        <v>117.094538352941</v>
      </c>
    </row>
    <row r="11" s="2" customFormat="1" spans="1:32">
      <c r="A11" s="86"/>
      <c r="B11" s="45"/>
      <c r="C11" s="23">
        <v>241121000019</v>
      </c>
      <c r="D11" s="24">
        <v>45631</v>
      </c>
      <c r="E11" s="24" t="s">
        <v>65</v>
      </c>
      <c r="F11" s="45" t="s">
        <v>65</v>
      </c>
      <c r="G11" s="45" t="s">
        <v>66</v>
      </c>
      <c r="H11" s="87">
        <v>1.4834</v>
      </c>
      <c r="I11" s="87">
        <v>471</v>
      </c>
      <c r="J11" s="88">
        <v>3598</v>
      </c>
      <c r="K11" s="89"/>
      <c r="L11" s="93"/>
      <c r="M11" s="44"/>
      <c r="N11" s="90"/>
      <c r="O11" s="45"/>
      <c r="P11" s="92">
        <f t="shared" si="10"/>
        <v>3598</v>
      </c>
      <c r="Q11" s="98"/>
      <c r="R11" s="98"/>
      <c r="S11" s="47">
        <f t="shared" si="2"/>
        <v>1024.48948602941</v>
      </c>
      <c r="T11" s="47"/>
      <c r="U11" s="47">
        <f t="shared" si="3"/>
        <v>54.5367647058824</v>
      </c>
      <c r="V11" s="47"/>
      <c r="W11" s="47"/>
      <c r="X11" s="47">
        <f t="shared" si="4"/>
        <v>1079.02625073529</v>
      </c>
      <c r="Y11" s="102">
        <f t="shared" si="5"/>
        <v>241.728755882353</v>
      </c>
      <c r="Z11" s="102"/>
      <c r="AA11" s="102"/>
      <c r="AB11" s="102">
        <f t="shared" si="6"/>
        <v>241.728755882353</v>
      </c>
      <c r="AC11" s="89">
        <v>7.24</v>
      </c>
      <c r="AD11" s="47">
        <f t="shared" si="7"/>
        <v>1750.11619258824</v>
      </c>
      <c r="AE11" s="47">
        <f t="shared" si="8"/>
        <v>2829.14244332353</v>
      </c>
      <c r="AF11" s="47">
        <f t="shared" si="9"/>
        <v>768.85755667647</v>
      </c>
    </row>
    <row r="12" s="2" customFormat="1" spans="1:32">
      <c r="A12" s="86"/>
      <c r="B12" s="45"/>
      <c r="C12" s="23">
        <v>241123000017</v>
      </c>
      <c r="D12" s="24">
        <v>45631</v>
      </c>
      <c r="E12" s="24" t="s">
        <v>68</v>
      </c>
      <c r="F12" s="45" t="s">
        <v>69</v>
      </c>
      <c r="G12" s="45" t="s">
        <v>70</v>
      </c>
      <c r="H12" s="87">
        <v>0.3608</v>
      </c>
      <c r="I12" s="87">
        <v>202</v>
      </c>
      <c r="J12" s="88">
        <v>792</v>
      </c>
      <c r="K12" s="89"/>
      <c r="L12" s="93"/>
      <c r="M12" s="44"/>
      <c r="N12" s="90"/>
      <c r="O12" s="45"/>
      <c r="P12" s="92">
        <f t="shared" si="10"/>
        <v>792</v>
      </c>
      <c r="Q12" s="98"/>
      <c r="R12" s="98"/>
      <c r="S12" s="47">
        <f t="shared" si="2"/>
        <v>249.181479411765</v>
      </c>
      <c r="T12" s="47"/>
      <c r="U12" s="47">
        <f t="shared" si="3"/>
        <v>13.2647058823529</v>
      </c>
      <c r="V12" s="47"/>
      <c r="W12" s="47"/>
      <c r="X12" s="47">
        <f t="shared" si="4"/>
        <v>262.446185294118</v>
      </c>
      <c r="Y12" s="102">
        <f t="shared" si="5"/>
        <v>58.7944823529412</v>
      </c>
      <c r="Z12" s="102"/>
      <c r="AA12" s="102"/>
      <c r="AB12" s="102">
        <f t="shared" si="6"/>
        <v>58.7944823529412</v>
      </c>
      <c r="AC12" s="89">
        <v>7.24</v>
      </c>
      <c r="AD12" s="47">
        <f t="shared" si="7"/>
        <v>425.672052235294</v>
      </c>
      <c r="AE12" s="47">
        <f t="shared" si="8"/>
        <v>688.118237529412</v>
      </c>
      <c r="AF12" s="47">
        <f t="shared" si="9"/>
        <v>103.881762470588</v>
      </c>
    </row>
    <row r="13" s="2" customFormat="1" spans="1:32">
      <c r="A13" s="86"/>
      <c r="B13" s="45"/>
      <c r="C13" s="23">
        <v>241123000018</v>
      </c>
      <c r="D13" s="24">
        <v>45631</v>
      </c>
      <c r="E13" s="24" t="s">
        <v>62</v>
      </c>
      <c r="F13" s="45" t="s">
        <v>63</v>
      </c>
      <c r="G13" s="45" t="s">
        <v>71</v>
      </c>
      <c r="H13" s="87">
        <v>11.1459</v>
      </c>
      <c r="I13" s="87">
        <v>16993</v>
      </c>
      <c r="J13" s="88">
        <v>36986</v>
      </c>
      <c r="K13" s="89"/>
      <c r="L13" s="93"/>
      <c r="M13" s="44"/>
      <c r="N13" s="90"/>
      <c r="O13" s="45"/>
      <c r="P13" s="92">
        <f t="shared" si="10"/>
        <v>36986</v>
      </c>
      <c r="Q13" s="98"/>
      <c r="R13" s="98"/>
      <c r="S13" s="47">
        <f t="shared" si="2"/>
        <v>7697.76012022059</v>
      </c>
      <c r="T13" s="47"/>
      <c r="U13" s="47">
        <f t="shared" si="3"/>
        <v>409.775735294118</v>
      </c>
      <c r="V13" s="99">
        <v>280</v>
      </c>
      <c r="W13" s="47"/>
      <c r="X13" s="47">
        <f t="shared" si="4"/>
        <v>8387.53585551471</v>
      </c>
      <c r="Y13" s="102">
        <f t="shared" si="5"/>
        <v>1816.28996911765</v>
      </c>
      <c r="Z13" s="101">
        <v>288.81</v>
      </c>
      <c r="AA13" s="102"/>
      <c r="AB13" s="102">
        <f t="shared" si="6"/>
        <v>2105.09996911765</v>
      </c>
      <c r="AC13" s="89">
        <v>7.24</v>
      </c>
      <c r="AD13" s="47">
        <f t="shared" si="7"/>
        <v>15240.9237764118</v>
      </c>
      <c r="AE13" s="47">
        <f t="shared" si="8"/>
        <v>23628.4596319265</v>
      </c>
      <c r="AF13" s="47">
        <f t="shared" si="9"/>
        <v>13357.5403680735</v>
      </c>
    </row>
    <row r="14" s="2" customFormat="1" spans="1:32">
      <c r="A14" s="86"/>
      <c r="B14" s="45"/>
      <c r="C14" s="23">
        <v>241125000061</v>
      </c>
      <c r="D14" s="24">
        <v>45631</v>
      </c>
      <c r="E14" s="24" t="s">
        <v>68</v>
      </c>
      <c r="F14" s="45" t="s">
        <v>69</v>
      </c>
      <c r="G14" s="45" t="s">
        <v>72</v>
      </c>
      <c r="H14" s="87">
        <v>0.8795</v>
      </c>
      <c r="I14" s="87">
        <v>210</v>
      </c>
      <c r="J14" s="88">
        <v>2670.5</v>
      </c>
      <c r="K14" s="89"/>
      <c r="L14" s="93"/>
      <c r="M14" s="44"/>
      <c r="N14" s="90"/>
      <c r="O14" s="45"/>
      <c r="P14" s="92">
        <f t="shared" si="10"/>
        <v>2670.5</v>
      </c>
      <c r="Q14" s="98"/>
      <c r="R14" s="98"/>
      <c r="S14" s="47">
        <f t="shared" si="2"/>
        <v>607.414387867647</v>
      </c>
      <c r="T14" s="47"/>
      <c r="U14" s="47">
        <f t="shared" si="3"/>
        <v>32.3345588235294</v>
      </c>
      <c r="V14" s="47"/>
      <c r="W14" s="47"/>
      <c r="X14" s="47">
        <f t="shared" si="4"/>
        <v>639.748946691176</v>
      </c>
      <c r="Y14" s="102">
        <f t="shared" si="5"/>
        <v>143.319698529412</v>
      </c>
      <c r="Z14" s="101">
        <v>104.36</v>
      </c>
      <c r="AA14" s="102"/>
      <c r="AB14" s="102">
        <f t="shared" si="6"/>
        <v>247.679698529412</v>
      </c>
      <c r="AC14" s="89">
        <v>7.24</v>
      </c>
      <c r="AD14" s="47">
        <f t="shared" si="7"/>
        <v>1793.20101735294</v>
      </c>
      <c r="AE14" s="47">
        <f t="shared" si="8"/>
        <v>2432.94996404412</v>
      </c>
      <c r="AF14" s="47">
        <f t="shared" si="9"/>
        <v>237.550035955882</v>
      </c>
    </row>
    <row r="15" s="2" customFormat="1" spans="1:32">
      <c r="A15" s="86"/>
      <c r="B15" s="45"/>
      <c r="C15" s="23">
        <v>241125000067</v>
      </c>
      <c r="D15" s="24">
        <v>45631</v>
      </c>
      <c r="E15" s="24" t="s">
        <v>55</v>
      </c>
      <c r="F15" s="45" t="s">
        <v>56</v>
      </c>
      <c r="G15" s="45" t="s">
        <v>73</v>
      </c>
      <c r="H15" s="87">
        <v>1.0967</v>
      </c>
      <c r="I15" s="87">
        <v>203</v>
      </c>
      <c r="J15" s="92"/>
      <c r="K15" s="103">
        <v>552736</v>
      </c>
      <c r="L15" s="93"/>
      <c r="M15" s="44">
        <f t="shared" ref="M15:M17" si="11">SUM(K15/N15)</f>
        <v>1679.99767058738</v>
      </c>
      <c r="N15" s="95">
        <v>329.00998</v>
      </c>
      <c r="O15" s="45">
        <v>7.27</v>
      </c>
      <c r="P15" s="92">
        <f t="shared" ref="P15:P17" si="12">SUM(N15*O15)</f>
        <v>2391.9025546</v>
      </c>
      <c r="Q15" s="98"/>
      <c r="R15" s="98"/>
      <c r="S15" s="47">
        <f t="shared" si="2"/>
        <v>757.420533455882</v>
      </c>
      <c r="T15" s="47"/>
      <c r="U15" s="47">
        <f t="shared" si="3"/>
        <v>40.3198529411765</v>
      </c>
      <c r="V15" s="47"/>
      <c r="W15" s="47"/>
      <c r="X15" s="47">
        <f t="shared" si="4"/>
        <v>797.740386397059</v>
      </c>
      <c r="Y15" s="102">
        <f t="shared" si="5"/>
        <v>178.713716176471</v>
      </c>
      <c r="Z15" s="102"/>
      <c r="AA15" s="102"/>
      <c r="AB15" s="102">
        <f t="shared" si="6"/>
        <v>178.713716176471</v>
      </c>
      <c r="AC15" s="89">
        <v>7.24</v>
      </c>
      <c r="AD15" s="47">
        <f t="shared" si="7"/>
        <v>1293.88730511765</v>
      </c>
      <c r="AE15" s="47">
        <f t="shared" si="8"/>
        <v>2091.62769151471</v>
      </c>
      <c r="AF15" s="47">
        <f t="shared" si="9"/>
        <v>300.274863085294</v>
      </c>
    </row>
    <row r="16" s="2" customFormat="1" spans="1:32">
      <c r="A16" s="86"/>
      <c r="B16" s="45"/>
      <c r="C16" s="23">
        <v>241127000012</v>
      </c>
      <c r="D16" s="24">
        <v>45631</v>
      </c>
      <c r="E16" s="24" t="s">
        <v>59</v>
      </c>
      <c r="F16" s="45" t="s">
        <v>60</v>
      </c>
      <c r="G16" s="45" t="s">
        <v>61</v>
      </c>
      <c r="H16" s="87">
        <v>3.0636</v>
      </c>
      <c r="I16" s="87">
        <v>768</v>
      </c>
      <c r="J16" s="92"/>
      <c r="K16" s="103">
        <v>1330089.36</v>
      </c>
      <c r="L16" s="93"/>
      <c r="M16" s="44">
        <f t="shared" si="11"/>
        <v>1608</v>
      </c>
      <c r="N16" s="95">
        <v>827.17</v>
      </c>
      <c r="O16" s="91">
        <v>7.3</v>
      </c>
      <c r="P16" s="92">
        <f t="shared" si="12"/>
        <v>6038.341</v>
      </c>
      <c r="Q16" s="98"/>
      <c r="R16" s="98"/>
      <c r="S16" s="47">
        <f t="shared" si="2"/>
        <v>2115.83253970588</v>
      </c>
      <c r="T16" s="47"/>
      <c r="U16" s="47">
        <f t="shared" si="3"/>
        <v>112.632352941176</v>
      </c>
      <c r="V16" s="47"/>
      <c r="W16" s="47"/>
      <c r="X16" s="47">
        <f t="shared" si="4"/>
        <v>2228.46489264706</v>
      </c>
      <c r="Y16" s="102">
        <f t="shared" si="5"/>
        <v>499.231641176471</v>
      </c>
      <c r="Z16" s="102"/>
      <c r="AA16" s="102"/>
      <c r="AB16" s="102">
        <f t="shared" si="6"/>
        <v>499.231641176471</v>
      </c>
      <c r="AC16" s="89">
        <v>7.24</v>
      </c>
      <c r="AD16" s="47">
        <f t="shared" si="7"/>
        <v>3614.43708211765</v>
      </c>
      <c r="AE16" s="47">
        <f t="shared" si="8"/>
        <v>5842.90197476471</v>
      </c>
      <c r="AF16" s="47">
        <f t="shared" si="9"/>
        <v>195.439025235293</v>
      </c>
    </row>
    <row r="17" s="2" customFormat="1" spans="1:32">
      <c r="A17" s="86"/>
      <c r="B17" s="45"/>
      <c r="C17" s="23">
        <v>241127000014</v>
      </c>
      <c r="D17" s="24">
        <v>45631</v>
      </c>
      <c r="E17" s="24" t="s">
        <v>59</v>
      </c>
      <c r="F17" s="45" t="s">
        <v>60</v>
      </c>
      <c r="G17" s="45" t="s">
        <v>61</v>
      </c>
      <c r="H17" s="87">
        <v>0.4158</v>
      </c>
      <c r="I17" s="87">
        <v>55</v>
      </c>
      <c r="J17" s="92"/>
      <c r="K17" s="103">
        <v>180530.16</v>
      </c>
      <c r="L17" s="93"/>
      <c r="M17" s="44">
        <f t="shared" si="11"/>
        <v>1608</v>
      </c>
      <c r="N17" s="95">
        <v>112.27</v>
      </c>
      <c r="O17" s="91">
        <v>7.3</v>
      </c>
      <c r="P17" s="92">
        <f t="shared" si="12"/>
        <v>819.571</v>
      </c>
      <c r="Q17" s="98"/>
      <c r="R17" s="98"/>
      <c r="S17" s="47">
        <f t="shared" si="2"/>
        <v>287.166461029412</v>
      </c>
      <c r="T17" s="47"/>
      <c r="U17" s="47">
        <f t="shared" si="3"/>
        <v>15.2867647058824</v>
      </c>
      <c r="V17" s="47"/>
      <c r="W17" s="47"/>
      <c r="X17" s="47">
        <f t="shared" si="4"/>
        <v>302.453225735294</v>
      </c>
      <c r="Y17" s="102">
        <f t="shared" si="5"/>
        <v>67.7570558823529</v>
      </c>
      <c r="Z17" s="102"/>
      <c r="AA17" s="102"/>
      <c r="AB17" s="102">
        <f t="shared" si="6"/>
        <v>67.7570558823529</v>
      </c>
      <c r="AC17" s="89">
        <v>7.24</v>
      </c>
      <c r="AD17" s="47">
        <f t="shared" si="7"/>
        <v>490.561084588235</v>
      </c>
      <c r="AE17" s="47">
        <f t="shared" si="8"/>
        <v>793.014310323529</v>
      </c>
      <c r="AF17" s="47">
        <f t="shared" si="9"/>
        <v>26.5566896764706</v>
      </c>
    </row>
    <row r="18" s="2" customFormat="1" spans="1:32">
      <c r="A18" s="86"/>
      <c r="B18" s="45"/>
      <c r="C18" s="23">
        <v>241127000042</v>
      </c>
      <c r="D18" s="24">
        <v>45631</v>
      </c>
      <c r="E18" s="24" t="s">
        <v>68</v>
      </c>
      <c r="F18" s="45" t="s">
        <v>69</v>
      </c>
      <c r="G18" s="45" t="s">
        <v>74</v>
      </c>
      <c r="H18" s="87">
        <v>0.3625</v>
      </c>
      <c r="I18" s="87">
        <v>15</v>
      </c>
      <c r="J18" s="88">
        <v>870</v>
      </c>
      <c r="K18" s="89"/>
      <c r="L18" s="93"/>
      <c r="M18" s="44"/>
      <c r="N18" s="90"/>
      <c r="O18" s="45"/>
      <c r="P18" s="92">
        <f t="shared" ref="P18:P23" si="13">SUBTOTAL(9,J18)</f>
        <v>870</v>
      </c>
      <c r="Q18" s="98"/>
      <c r="R18" s="98"/>
      <c r="S18" s="47">
        <f t="shared" si="2"/>
        <v>250.355560661765</v>
      </c>
      <c r="T18" s="47"/>
      <c r="U18" s="47">
        <f t="shared" si="3"/>
        <v>13.3272058823529</v>
      </c>
      <c r="V18" s="47"/>
      <c r="W18" s="99">
        <f>SUM(26+36)</f>
        <v>62</v>
      </c>
      <c r="X18" s="47">
        <f t="shared" si="4"/>
        <v>325.682766544118</v>
      </c>
      <c r="Y18" s="102">
        <f t="shared" si="5"/>
        <v>59.0715073529412</v>
      </c>
      <c r="Z18" s="102"/>
      <c r="AA18" s="102"/>
      <c r="AB18" s="102">
        <f t="shared" si="6"/>
        <v>59.0715073529412</v>
      </c>
      <c r="AC18" s="89">
        <v>7.24</v>
      </c>
      <c r="AD18" s="47">
        <f t="shared" si="7"/>
        <v>427.677713235294</v>
      </c>
      <c r="AE18" s="47">
        <f t="shared" si="8"/>
        <v>753.360479779412</v>
      </c>
      <c r="AF18" s="47">
        <f t="shared" si="9"/>
        <v>116.639520220588</v>
      </c>
    </row>
    <row r="19" s="2" customFormat="1" spans="1:32">
      <c r="A19" s="86"/>
      <c r="B19" s="45"/>
      <c r="C19" s="23">
        <v>241127000053</v>
      </c>
      <c r="D19" s="24">
        <v>45631</v>
      </c>
      <c r="E19" s="24" t="s">
        <v>68</v>
      </c>
      <c r="F19" s="45" t="s">
        <v>69</v>
      </c>
      <c r="G19" s="45" t="s">
        <v>75</v>
      </c>
      <c r="H19" s="87">
        <v>0.6069</v>
      </c>
      <c r="I19" s="87">
        <v>165</v>
      </c>
      <c r="J19" s="88">
        <v>2195</v>
      </c>
      <c r="K19" s="89"/>
      <c r="L19" s="93"/>
      <c r="M19" s="44"/>
      <c r="N19" s="90"/>
      <c r="O19" s="45"/>
      <c r="P19" s="92">
        <f t="shared" si="13"/>
        <v>2195</v>
      </c>
      <c r="Q19" s="98"/>
      <c r="R19" s="98"/>
      <c r="S19" s="47">
        <f t="shared" si="2"/>
        <v>419.14700625</v>
      </c>
      <c r="T19" s="47"/>
      <c r="U19" s="47">
        <f t="shared" si="3"/>
        <v>22.3125</v>
      </c>
      <c r="V19" s="47"/>
      <c r="W19" s="47"/>
      <c r="X19" s="47">
        <f t="shared" si="4"/>
        <v>441.45950625</v>
      </c>
      <c r="Y19" s="102">
        <f t="shared" si="5"/>
        <v>98.897925</v>
      </c>
      <c r="Z19" s="101">
        <v>111.31</v>
      </c>
      <c r="AA19" s="102"/>
      <c r="AB19" s="102">
        <f t="shared" si="6"/>
        <v>210.207925</v>
      </c>
      <c r="AC19" s="89">
        <v>7.24</v>
      </c>
      <c r="AD19" s="47">
        <f t="shared" si="7"/>
        <v>1521.905377</v>
      </c>
      <c r="AE19" s="47">
        <f t="shared" si="8"/>
        <v>1963.36488325</v>
      </c>
      <c r="AF19" s="47">
        <f t="shared" si="9"/>
        <v>231.63511675</v>
      </c>
    </row>
    <row r="20" s="2" customFormat="1" spans="1:32">
      <c r="A20" s="86"/>
      <c r="B20" s="45"/>
      <c r="C20" s="23">
        <v>241128000039</v>
      </c>
      <c r="D20" s="24">
        <v>45631</v>
      </c>
      <c r="E20" s="24" t="s">
        <v>55</v>
      </c>
      <c r="F20" s="45" t="s">
        <v>56</v>
      </c>
      <c r="G20" s="45" t="s">
        <v>57</v>
      </c>
      <c r="H20" s="87">
        <v>0.5074</v>
      </c>
      <c r="I20" s="87">
        <v>252</v>
      </c>
      <c r="J20" s="92"/>
      <c r="K20" s="103">
        <v>239442</v>
      </c>
      <c r="L20" s="93"/>
      <c r="M20" s="44">
        <f t="shared" ref="M20:M25" si="14">SUM(K20/N20)</f>
        <v>1572.99929582198</v>
      </c>
      <c r="N20" s="95">
        <v>152.22003</v>
      </c>
      <c r="O20" s="45">
        <v>7.27</v>
      </c>
      <c r="P20" s="92">
        <f t="shared" ref="P20:P25" si="15">SUM(N20*O20)</f>
        <v>1106.6396181</v>
      </c>
      <c r="Q20" s="98"/>
      <c r="R20" s="98"/>
      <c r="S20" s="47">
        <f t="shared" si="2"/>
        <v>350.428721323529</v>
      </c>
      <c r="T20" s="47"/>
      <c r="U20" s="47">
        <f t="shared" si="3"/>
        <v>18.6544117647059</v>
      </c>
      <c r="V20" s="47"/>
      <c r="W20" s="47"/>
      <c r="X20" s="47">
        <f t="shared" si="4"/>
        <v>369.083133088235</v>
      </c>
      <c r="Y20" s="102">
        <f t="shared" si="5"/>
        <v>82.6838147058824</v>
      </c>
      <c r="Z20" s="102"/>
      <c r="AA20" s="102"/>
      <c r="AB20" s="102">
        <f t="shared" si="6"/>
        <v>82.6838147058824</v>
      </c>
      <c r="AC20" s="89">
        <v>7.24</v>
      </c>
      <c r="AD20" s="47">
        <f t="shared" si="7"/>
        <v>598.630818470588</v>
      </c>
      <c r="AE20" s="47">
        <f t="shared" si="8"/>
        <v>967.713951558824</v>
      </c>
      <c r="AF20" s="47">
        <f t="shared" si="9"/>
        <v>138.925666541176</v>
      </c>
    </row>
    <row r="21" s="2" customFormat="1" spans="1:32">
      <c r="A21" s="86"/>
      <c r="B21" s="45"/>
      <c r="C21" s="23">
        <v>241128000041</v>
      </c>
      <c r="D21" s="24">
        <v>45631</v>
      </c>
      <c r="E21" s="24" t="s">
        <v>68</v>
      </c>
      <c r="F21" s="45" t="s">
        <v>69</v>
      </c>
      <c r="G21" s="45" t="s">
        <v>76</v>
      </c>
      <c r="H21" s="87">
        <v>0.2074</v>
      </c>
      <c r="I21" s="87">
        <v>60</v>
      </c>
      <c r="J21" s="88">
        <v>463</v>
      </c>
      <c r="K21" s="89"/>
      <c r="L21" s="93"/>
      <c r="M21" s="44"/>
      <c r="N21" s="90"/>
      <c r="O21" s="45"/>
      <c r="P21" s="92">
        <f t="shared" si="13"/>
        <v>463</v>
      </c>
      <c r="Q21" s="98"/>
      <c r="R21" s="98"/>
      <c r="S21" s="47">
        <f t="shared" si="2"/>
        <v>143.2379125</v>
      </c>
      <c r="T21" s="47"/>
      <c r="U21" s="47">
        <f t="shared" si="3"/>
        <v>7.625</v>
      </c>
      <c r="V21" s="47"/>
      <c r="W21" s="47"/>
      <c r="X21" s="47">
        <f t="shared" si="4"/>
        <v>150.8629125</v>
      </c>
      <c r="Y21" s="102">
        <f t="shared" si="5"/>
        <v>33.79705</v>
      </c>
      <c r="Z21" s="102"/>
      <c r="AA21" s="102"/>
      <c r="AB21" s="102">
        <f t="shared" si="6"/>
        <v>33.79705</v>
      </c>
      <c r="AC21" s="89">
        <v>7.24</v>
      </c>
      <c r="AD21" s="47">
        <f t="shared" si="7"/>
        <v>244.690642</v>
      </c>
      <c r="AE21" s="47">
        <f t="shared" si="8"/>
        <v>395.5535545</v>
      </c>
      <c r="AF21" s="47">
        <f t="shared" si="9"/>
        <v>67.4464454999999</v>
      </c>
    </row>
    <row r="22" s="2" customFormat="1" spans="1:32">
      <c r="A22" s="86"/>
      <c r="B22" s="45"/>
      <c r="C22" s="23">
        <v>241129000029</v>
      </c>
      <c r="D22" s="24">
        <v>45631</v>
      </c>
      <c r="E22" s="24" t="s">
        <v>77</v>
      </c>
      <c r="F22" s="45" t="s">
        <v>78</v>
      </c>
      <c r="G22" s="45" t="s">
        <v>79</v>
      </c>
      <c r="H22" s="87">
        <v>0.19</v>
      </c>
      <c r="I22" s="87">
        <v>24</v>
      </c>
      <c r="J22" s="88">
        <v>369.36</v>
      </c>
      <c r="K22" s="89"/>
      <c r="L22" s="93"/>
      <c r="M22" s="44"/>
      <c r="N22" s="90"/>
      <c r="O22" s="45"/>
      <c r="P22" s="92">
        <f t="shared" si="13"/>
        <v>369.36</v>
      </c>
      <c r="Q22" s="98"/>
      <c r="R22" s="98"/>
      <c r="S22" s="47">
        <f t="shared" si="2"/>
        <v>131.220845588235</v>
      </c>
      <c r="T22" s="47"/>
      <c r="U22" s="47">
        <f t="shared" si="3"/>
        <v>6.98529411764706</v>
      </c>
      <c r="V22" s="47"/>
      <c r="W22" s="47"/>
      <c r="X22" s="47">
        <f t="shared" si="4"/>
        <v>138.206139705882</v>
      </c>
      <c r="Y22" s="102">
        <f t="shared" si="5"/>
        <v>30.9616176470588</v>
      </c>
      <c r="Z22" s="102"/>
      <c r="AA22" s="102"/>
      <c r="AB22" s="102">
        <f t="shared" si="6"/>
        <v>30.9616176470588</v>
      </c>
      <c r="AC22" s="89">
        <v>7.24</v>
      </c>
      <c r="AD22" s="47">
        <f t="shared" si="7"/>
        <v>224.162111764706</v>
      </c>
      <c r="AE22" s="47">
        <f t="shared" si="8"/>
        <v>362.368251470588</v>
      </c>
      <c r="AF22" s="47">
        <f t="shared" si="9"/>
        <v>6.99174852941172</v>
      </c>
    </row>
    <row r="23" s="2" customFormat="1" spans="1:32">
      <c r="A23" s="86"/>
      <c r="B23" s="45"/>
      <c r="C23" s="23">
        <v>241129000035</v>
      </c>
      <c r="D23" s="24">
        <v>45631</v>
      </c>
      <c r="E23" s="24" t="s">
        <v>68</v>
      </c>
      <c r="F23" s="45" t="s">
        <v>69</v>
      </c>
      <c r="G23" s="45" t="s">
        <v>80</v>
      </c>
      <c r="H23" s="87">
        <v>0.3468</v>
      </c>
      <c r="I23" s="87">
        <v>269</v>
      </c>
      <c r="J23" s="88">
        <v>1003</v>
      </c>
      <c r="K23" s="89"/>
      <c r="L23" s="93"/>
      <c r="M23" s="44"/>
      <c r="N23" s="90"/>
      <c r="O23" s="45"/>
      <c r="P23" s="92">
        <f t="shared" si="13"/>
        <v>1003</v>
      </c>
      <c r="Q23" s="98"/>
      <c r="R23" s="98"/>
      <c r="S23" s="47">
        <f t="shared" si="2"/>
        <v>239.512575</v>
      </c>
      <c r="T23" s="47"/>
      <c r="U23" s="47">
        <f t="shared" si="3"/>
        <v>12.75</v>
      </c>
      <c r="V23" s="47"/>
      <c r="W23" s="47"/>
      <c r="X23" s="47">
        <f t="shared" si="4"/>
        <v>252.262575</v>
      </c>
      <c r="Y23" s="102">
        <f t="shared" si="5"/>
        <v>56.5131</v>
      </c>
      <c r="Z23" s="102"/>
      <c r="AA23" s="102"/>
      <c r="AB23" s="102">
        <f t="shared" si="6"/>
        <v>56.5131</v>
      </c>
      <c r="AC23" s="89">
        <v>7.24</v>
      </c>
      <c r="AD23" s="47">
        <f t="shared" si="7"/>
        <v>409.154844</v>
      </c>
      <c r="AE23" s="47">
        <f t="shared" si="8"/>
        <v>661.417419</v>
      </c>
      <c r="AF23" s="47">
        <f t="shared" si="9"/>
        <v>341.582581</v>
      </c>
    </row>
    <row r="24" s="2" customFormat="1" spans="1:32">
      <c r="A24" s="86"/>
      <c r="B24" s="45"/>
      <c r="C24" s="23">
        <v>241130000012</v>
      </c>
      <c r="D24" s="24">
        <v>45631</v>
      </c>
      <c r="E24" s="24" t="s">
        <v>81</v>
      </c>
      <c r="F24" s="45" t="s">
        <v>82</v>
      </c>
      <c r="G24" s="45" t="s">
        <v>82</v>
      </c>
      <c r="H24" s="87">
        <v>0.0882</v>
      </c>
      <c r="I24" s="87">
        <v>30</v>
      </c>
      <c r="J24" s="92"/>
      <c r="K24" s="103">
        <v>56179</v>
      </c>
      <c r="L24" s="93"/>
      <c r="M24" s="44">
        <f t="shared" si="14"/>
        <v>1679.99401913876</v>
      </c>
      <c r="N24" s="95">
        <v>33.44</v>
      </c>
      <c r="O24" s="45">
        <v>7.27</v>
      </c>
      <c r="P24" s="92">
        <f t="shared" si="15"/>
        <v>243.1088</v>
      </c>
      <c r="Q24" s="98"/>
      <c r="R24" s="98"/>
      <c r="S24" s="47">
        <f t="shared" si="2"/>
        <v>60.9140977941177</v>
      </c>
      <c r="T24" s="47"/>
      <c r="U24" s="47">
        <f t="shared" si="3"/>
        <v>3.24264705882353</v>
      </c>
      <c r="V24" s="47"/>
      <c r="W24" s="47"/>
      <c r="X24" s="47">
        <f t="shared" si="4"/>
        <v>64.1567448529412</v>
      </c>
      <c r="Y24" s="102">
        <f t="shared" si="5"/>
        <v>14.3727088235294</v>
      </c>
      <c r="Z24" s="102"/>
      <c r="AA24" s="102"/>
      <c r="AB24" s="102">
        <f t="shared" si="6"/>
        <v>14.3727088235294</v>
      </c>
      <c r="AC24" s="89">
        <v>7.24</v>
      </c>
      <c r="AD24" s="47">
        <f t="shared" si="7"/>
        <v>104.058411882353</v>
      </c>
      <c r="AE24" s="47">
        <f t="shared" si="8"/>
        <v>168.215156735294</v>
      </c>
      <c r="AF24" s="47">
        <f t="shared" si="9"/>
        <v>74.8936432647058</v>
      </c>
    </row>
    <row r="25" s="2" customFormat="1" spans="1:32">
      <c r="A25" s="86"/>
      <c r="B25" s="45"/>
      <c r="C25" s="23">
        <v>241202000005</v>
      </c>
      <c r="D25" s="24">
        <v>45631</v>
      </c>
      <c r="E25" s="24" t="s">
        <v>83</v>
      </c>
      <c r="F25" s="45" t="s">
        <v>84</v>
      </c>
      <c r="G25" s="45" t="s">
        <v>85</v>
      </c>
      <c r="H25" s="87">
        <v>0.8261</v>
      </c>
      <c r="I25" s="87">
        <v>59</v>
      </c>
      <c r="J25" s="92"/>
      <c r="K25" s="103">
        <v>424545</v>
      </c>
      <c r="L25" s="93"/>
      <c r="M25" s="44">
        <f t="shared" si="14"/>
        <v>1657.79589310837</v>
      </c>
      <c r="N25" s="95">
        <v>256.09003</v>
      </c>
      <c r="O25" s="45">
        <v>7.27</v>
      </c>
      <c r="P25" s="92">
        <f t="shared" si="15"/>
        <v>1861.7745181</v>
      </c>
      <c r="Q25" s="98"/>
      <c r="R25" s="98"/>
      <c r="S25" s="47">
        <f t="shared" si="2"/>
        <v>570.534423897059</v>
      </c>
      <c r="T25" s="47"/>
      <c r="U25" s="47">
        <f t="shared" si="3"/>
        <v>30.3713235294118</v>
      </c>
      <c r="V25" s="47"/>
      <c r="W25" s="47"/>
      <c r="X25" s="47">
        <f t="shared" si="4"/>
        <v>600.90574742647</v>
      </c>
      <c r="Y25" s="102">
        <f t="shared" si="5"/>
        <v>134.617854411765</v>
      </c>
      <c r="Z25" s="102"/>
      <c r="AA25" s="102"/>
      <c r="AB25" s="102">
        <f t="shared" si="6"/>
        <v>134.617854411765</v>
      </c>
      <c r="AC25" s="89">
        <v>7.24</v>
      </c>
      <c r="AD25" s="47">
        <f t="shared" si="7"/>
        <v>974.633265941177</v>
      </c>
      <c r="AE25" s="47">
        <f t="shared" si="8"/>
        <v>1575.53901336765</v>
      </c>
      <c r="AF25" s="47">
        <f t="shared" si="9"/>
        <v>286.235504732353</v>
      </c>
    </row>
    <row r="26" s="2" customFormat="1" spans="1:32">
      <c r="A26" s="86"/>
      <c r="B26" s="45"/>
      <c r="C26" s="23">
        <v>241202000011</v>
      </c>
      <c r="D26" s="24">
        <v>45631</v>
      </c>
      <c r="E26" s="24" t="s">
        <v>83</v>
      </c>
      <c r="F26" s="45" t="s">
        <v>84</v>
      </c>
      <c r="G26" s="45" t="s">
        <v>86</v>
      </c>
      <c r="H26" s="87">
        <v>0.4399</v>
      </c>
      <c r="I26" s="87">
        <v>73</v>
      </c>
      <c r="J26" s="104">
        <v>900.59</v>
      </c>
      <c r="K26" s="89"/>
      <c r="L26" s="93"/>
      <c r="M26" s="44"/>
      <c r="N26" s="90"/>
      <c r="O26" s="45"/>
      <c r="P26" s="92">
        <f>SUBTOTAL(9,J26)</f>
        <v>900.59</v>
      </c>
      <c r="Q26" s="98"/>
      <c r="R26" s="98"/>
      <c r="S26" s="47">
        <f t="shared" si="2"/>
        <v>303.810789338235</v>
      </c>
      <c r="T26" s="47"/>
      <c r="U26" s="47">
        <f t="shared" si="3"/>
        <v>16.1727941176471</v>
      </c>
      <c r="V26" s="47"/>
      <c r="W26" s="47"/>
      <c r="X26" s="47">
        <f t="shared" si="4"/>
        <v>319.983583455882</v>
      </c>
      <c r="Y26" s="102">
        <f t="shared" si="5"/>
        <v>71.6842926470588</v>
      </c>
      <c r="Z26" s="102"/>
      <c r="AA26" s="102"/>
      <c r="AB26" s="102">
        <f t="shared" si="6"/>
        <v>71.6842926470588</v>
      </c>
      <c r="AC26" s="89">
        <v>7.24</v>
      </c>
      <c r="AD26" s="47">
        <f t="shared" si="7"/>
        <v>518.994278764706</v>
      </c>
      <c r="AE26" s="47">
        <f t="shared" si="8"/>
        <v>838.977862220588</v>
      </c>
      <c r="AF26" s="47">
        <f t="shared" si="9"/>
        <v>61.6121377794117</v>
      </c>
    </row>
    <row r="27" s="2" customFormat="1" spans="1:32">
      <c r="A27" s="86"/>
      <c r="B27" s="45"/>
      <c r="C27" s="23">
        <v>241202000031</v>
      </c>
      <c r="D27" s="24">
        <v>45631</v>
      </c>
      <c r="E27" s="24" t="s">
        <v>68</v>
      </c>
      <c r="F27" s="45" t="s">
        <v>69</v>
      </c>
      <c r="G27" s="45" t="s">
        <v>87</v>
      </c>
      <c r="H27" s="87">
        <v>0.6255</v>
      </c>
      <c r="I27" s="87">
        <v>265</v>
      </c>
      <c r="J27" s="92"/>
      <c r="K27" s="103">
        <v>283185</v>
      </c>
      <c r="L27" s="93"/>
      <c r="M27" s="44">
        <f t="shared" ref="M27:M38" si="16">SUM(K27/N27)</f>
        <v>1588.51723918582</v>
      </c>
      <c r="N27" s="95">
        <v>178.27002</v>
      </c>
      <c r="O27" s="45">
        <v>7.27</v>
      </c>
      <c r="P27" s="92">
        <f t="shared" ref="P27:P38" si="17">SUM(N27*O27)</f>
        <v>1296.0230454</v>
      </c>
      <c r="Q27" s="98"/>
      <c r="R27" s="98"/>
      <c r="S27" s="47">
        <f t="shared" si="2"/>
        <v>431.992836397059</v>
      </c>
      <c r="T27" s="47"/>
      <c r="U27" s="47">
        <f t="shared" si="3"/>
        <v>22.9963235294118</v>
      </c>
      <c r="V27" s="47"/>
      <c r="W27" s="47"/>
      <c r="X27" s="47">
        <f t="shared" si="4"/>
        <v>454.989159926471</v>
      </c>
      <c r="Y27" s="102">
        <f t="shared" si="5"/>
        <v>101.928904411765</v>
      </c>
      <c r="Z27" s="102"/>
      <c r="AA27" s="102"/>
      <c r="AB27" s="102">
        <f t="shared" si="6"/>
        <v>101.928904411765</v>
      </c>
      <c r="AC27" s="89">
        <v>7.24</v>
      </c>
      <c r="AD27" s="47">
        <f t="shared" si="7"/>
        <v>737.965267941177</v>
      </c>
      <c r="AE27" s="47">
        <f t="shared" si="8"/>
        <v>1192.95442786765</v>
      </c>
      <c r="AF27" s="47">
        <f t="shared" si="9"/>
        <v>103.068617532353</v>
      </c>
    </row>
    <row r="28" s="2" customFormat="1" spans="1:32">
      <c r="A28" s="86"/>
      <c r="B28" s="45"/>
      <c r="C28" s="23">
        <v>241202000042</v>
      </c>
      <c r="D28" s="24">
        <v>45631</v>
      </c>
      <c r="E28" s="24" t="s">
        <v>55</v>
      </c>
      <c r="F28" s="45" t="s">
        <v>56</v>
      </c>
      <c r="G28" s="45" t="s">
        <v>57</v>
      </c>
      <c r="H28" s="87">
        <v>0.1256</v>
      </c>
      <c r="I28" s="87">
        <v>54</v>
      </c>
      <c r="J28" s="92"/>
      <c r="K28" s="103">
        <v>63300</v>
      </c>
      <c r="L28" s="93"/>
      <c r="M28" s="44">
        <f t="shared" si="16"/>
        <v>1679.93594905818</v>
      </c>
      <c r="N28" s="95">
        <v>37.680008</v>
      </c>
      <c r="O28" s="45">
        <v>7.27</v>
      </c>
      <c r="P28" s="92">
        <f t="shared" si="17"/>
        <v>273.93365816</v>
      </c>
      <c r="Q28" s="98"/>
      <c r="R28" s="98"/>
      <c r="S28" s="47">
        <f t="shared" si="2"/>
        <v>86.7438852941176</v>
      </c>
      <c r="T28" s="47"/>
      <c r="U28" s="47">
        <f t="shared" si="3"/>
        <v>4.61764705882353</v>
      </c>
      <c r="V28" s="47"/>
      <c r="W28" s="47"/>
      <c r="X28" s="47">
        <f t="shared" si="4"/>
        <v>91.3615323529412</v>
      </c>
      <c r="Y28" s="102">
        <f t="shared" si="5"/>
        <v>20.4672588235294</v>
      </c>
      <c r="Z28" s="102"/>
      <c r="AA28" s="102"/>
      <c r="AB28" s="102">
        <f t="shared" si="6"/>
        <v>20.4672588235294</v>
      </c>
      <c r="AC28" s="89">
        <v>7.24</v>
      </c>
      <c r="AD28" s="47">
        <f t="shared" si="7"/>
        <v>148.182953882353</v>
      </c>
      <c r="AE28" s="47">
        <f t="shared" si="8"/>
        <v>239.544486235294</v>
      </c>
      <c r="AF28" s="47">
        <f t="shared" si="9"/>
        <v>34.3891719247059</v>
      </c>
    </row>
    <row r="29" s="2" customFormat="1" spans="1:32">
      <c r="A29" s="86"/>
      <c r="B29" s="45"/>
      <c r="C29" s="23">
        <v>241204000039</v>
      </c>
      <c r="D29" s="24">
        <v>45631</v>
      </c>
      <c r="E29" s="24" t="s">
        <v>77</v>
      </c>
      <c r="F29" s="45" t="s">
        <v>78</v>
      </c>
      <c r="G29" s="45" t="s">
        <v>88</v>
      </c>
      <c r="H29" s="87">
        <v>0.0608</v>
      </c>
      <c r="I29" s="87">
        <v>12</v>
      </c>
      <c r="J29" s="88">
        <v>113.83</v>
      </c>
      <c r="K29" s="89"/>
      <c r="L29" s="93"/>
      <c r="M29" s="44"/>
      <c r="N29" s="90"/>
      <c r="O29" s="45"/>
      <c r="P29" s="92">
        <f>SUBTOTAL(9,J29)</f>
        <v>113.83</v>
      </c>
      <c r="Q29" s="98"/>
      <c r="R29" s="98"/>
      <c r="S29" s="47">
        <f t="shared" si="2"/>
        <v>41.9906705882353</v>
      </c>
      <c r="T29" s="47"/>
      <c r="U29" s="47">
        <f t="shared" si="3"/>
        <v>2.23529411764706</v>
      </c>
      <c r="V29" s="47"/>
      <c r="W29" s="47"/>
      <c r="X29" s="47">
        <f t="shared" si="4"/>
        <v>44.2259647058824</v>
      </c>
      <c r="Y29" s="102">
        <f t="shared" si="5"/>
        <v>9.90771764705882</v>
      </c>
      <c r="Z29" s="102"/>
      <c r="AA29" s="102"/>
      <c r="AB29" s="102">
        <f t="shared" si="6"/>
        <v>9.90771764705882</v>
      </c>
      <c r="AC29" s="89">
        <v>7.24</v>
      </c>
      <c r="AD29" s="47">
        <f t="shared" si="7"/>
        <v>71.7318757647059</v>
      </c>
      <c r="AE29" s="47">
        <f t="shared" si="8"/>
        <v>115.957840470588</v>
      </c>
      <c r="AF29" s="47">
        <f t="shared" si="9"/>
        <v>-2.12784047058825</v>
      </c>
    </row>
    <row r="30" s="2" customFormat="1" spans="1:32">
      <c r="A30" s="86"/>
      <c r="B30" s="45"/>
      <c r="C30" s="23">
        <v>241204000043</v>
      </c>
      <c r="D30" s="24">
        <v>45631</v>
      </c>
      <c r="E30" s="24" t="s">
        <v>59</v>
      </c>
      <c r="F30" s="45" t="s">
        <v>60</v>
      </c>
      <c r="G30" s="45" t="s">
        <v>61</v>
      </c>
      <c r="H30" s="87">
        <v>1.3963</v>
      </c>
      <c r="I30" s="87">
        <v>248</v>
      </c>
      <c r="J30" s="92"/>
      <c r="K30" s="103">
        <v>606216</v>
      </c>
      <c r="L30" s="93"/>
      <c r="M30" s="44">
        <f t="shared" si="16"/>
        <v>1608</v>
      </c>
      <c r="N30" s="95">
        <v>377</v>
      </c>
      <c r="O30" s="91">
        <v>7.3</v>
      </c>
      <c r="P30" s="92">
        <f t="shared" si="17"/>
        <v>2752.1</v>
      </c>
      <c r="Q30" s="98"/>
      <c r="R30" s="98"/>
      <c r="S30" s="47">
        <f t="shared" si="2"/>
        <v>964.335087867647</v>
      </c>
      <c r="T30" s="47"/>
      <c r="U30" s="47">
        <f t="shared" si="3"/>
        <v>51.3345588235294</v>
      </c>
      <c r="V30" s="47"/>
      <c r="W30" s="47"/>
      <c r="X30" s="47">
        <f t="shared" si="4"/>
        <v>1015.66964669118</v>
      </c>
      <c r="Y30" s="102">
        <f t="shared" si="5"/>
        <v>227.535298529412</v>
      </c>
      <c r="Z30" s="102"/>
      <c r="AA30" s="102"/>
      <c r="AB30" s="102">
        <f t="shared" si="6"/>
        <v>227.535298529412</v>
      </c>
      <c r="AC30" s="89">
        <v>7.24</v>
      </c>
      <c r="AD30" s="47">
        <f t="shared" si="7"/>
        <v>1647.35556135294</v>
      </c>
      <c r="AE30" s="47">
        <f t="shared" si="8"/>
        <v>2663.02520804412</v>
      </c>
      <c r="AF30" s="47">
        <f t="shared" si="9"/>
        <v>89.0747919558821</v>
      </c>
    </row>
    <row r="31" s="2" customFormat="1" spans="1:32">
      <c r="A31" s="86"/>
      <c r="B31" s="45"/>
      <c r="C31" s="23">
        <v>241204000044</v>
      </c>
      <c r="D31" s="24">
        <v>45631</v>
      </c>
      <c r="E31" s="24" t="s">
        <v>59</v>
      </c>
      <c r="F31" s="45" t="s">
        <v>60</v>
      </c>
      <c r="G31" s="45" t="s">
        <v>61</v>
      </c>
      <c r="H31" s="87">
        <v>0.7235</v>
      </c>
      <c r="I31" s="87">
        <v>107</v>
      </c>
      <c r="J31" s="92"/>
      <c r="K31" s="103">
        <v>314122.8</v>
      </c>
      <c r="L31" s="93"/>
      <c r="M31" s="44">
        <f t="shared" si="16"/>
        <v>1608</v>
      </c>
      <c r="N31" s="95">
        <v>195.35</v>
      </c>
      <c r="O31" s="91">
        <v>7.3</v>
      </c>
      <c r="P31" s="92">
        <f t="shared" si="17"/>
        <v>1426.055</v>
      </c>
      <c r="Q31" s="98"/>
      <c r="R31" s="98"/>
      <c r="S31" s="47">
        <f t="shared" si="2"/>
        <v>499.675167279412</v>
      </c>
      <c r="T31" s="47"/>
      <c r="U31" s="47">
        <f t="shared" si="3"/>
        <v>26.5992647058824</v>
      </c>
      <c r="V31" s="47"/>
      <c r="W31" s="47"/>
      <c r="X31" s="47">
        <f t="shared" si="4"/>
        <v>526.274431985294</v>
      </c>
      <c r="Y31" s="102">
        <f t="shared" si="5"/>
        <v>117.898580882353</v>
      </c>
      <c r="Z31" s="102"/>
      <c r="AA31" s="102"/>
      <c r="AB31" s="102">
        <f t="shared" si="6"/>
        <v>117.898580882353</v>
      </c>
      <c r="AC31" s="89">
        <v>7.24</v>
      </c>
      <c r="AD31" s="47">
        <f t="shared" si="7"/>
        <v>853.585725588236</v>
      </c>
      <c r="AE31" s="47">
        <f t="shared" si="8"/>
        <v>1379.86015757353</v>
      </c>
      <c r="AF31" s="47">
        <f t="shared" si="9"/>
        <v>46.1948424264704</v>
      </c>
    </row>
    <row r="32" s="2" customFormat="1" spans="1:32">
      <c r="A32" s="86"/>
      <c r="B32" s="45"/>
      <c r="C32" s="23">
        <v>241204000045</v>
      </c>
      <c r="D32" s="24">
        <v>45631</v>
      </c>
      <c r="E32" s="24" t="s">
        <v>59</v>
      </c>
      <c r="F32" s="45" t="s">
        <v>60</v>
      </c>
      <c r="G32" s="45" t="s">
        <v>61</v>
      </c>
      <c r="H32" s="87">
        <v>0.26</v>
      </c>
      <c r="I32" s="87">
        <v>48</v>
      </c>
      <c r="J32" s="92"/>
      <c r="K32" s="103">
        <v>112929.84</v>
      </c>
      <c r="L32" s="93"/>
      <c r="M32" s="44">
        <f t="shared" si="16"/>
        <v>1608</v>
      </c>
      <c r="N32" s="95">
        <v>70.23</v>
      </c>
      <c r="O32" s="91">
        <v>7.3</v>
      </c>
      <c r="P32" s="92">
        <f t="shared" si="17"/>
        <v>512.679</v>
      </c>
      <c r="Q32" s="98"/>
      <c r="R32" s="98"/>
      <c r="S32" s="47">
        <f t="shared" si="2"/>
        <v>179.565367647059</v>
      </c>
      <c r="T32" s="47"/>
      <c r="U32" s="47">
        <f t="shared" si="3"/>
        <v>9.55882352941176</v>
      </c>
      <c r="V32" s="47"/>
      <c r="W32" s="47"/>
      <c r="X32" s="47">
        <f t="shared" si="4"/>
        <v>189.124191176471</v>
      </c>
      <c r="Y32" s="102">
        <f t="shared" si="5"/>
        <v>42.3685294117647</v>
      </c>
      <c r="Z32" s="102"/>
      <c r="AA32" s="102"/>
      <c r="AB32" s="102">
        <f t="shared" si="6"/>
        <v>42.3685294117647</v>
      </c>
      <c r="AC32" s="89">
        <v>7.24</v>
      </c>
      <c r="AD32" s="47">
        <f t="shared" si="7"/>
        <v>306.748152941176</v>
      </c>
      <c r="AE32" s="47">
        <f t="shared" si="8"/>
        <v>495.872344117647</v>
      </c>
      <c r="AF32" s="47">
        <f t="shared" si="9"/>
        <v>16.8066558823529</v>
      </c>
    </row>
    <row r="33" s="2" customFormat="1" spans="1:32">
      <c r="A33" s="86"/>
      <c r="B33" s="45"/>
      <c r="C33" s="23">
        <v>241204000046</v>
      </c>
      <c r="D33" s="24">
        <v>45631</v>
      </c>
      <c r="E33" s="24" t="s">
        <v>59</v>
      </c>
      <c r="F33" s="45" t="s">
        <v>60</v>
      </c>
      <c r="G33" s="45" t="s">
        <v>61</v>
      </c>
      <c r="H33" s="87">
        <v>0.2492</v>
      </c>
      <c r="I33" s="87">
        <v>51</v>
      </c>
      <c r="J33" s="92"/>
      <c r="K33" s="103">
        <v>108090.06</v>
      </c>
      <c r="L33" s="93"/>
      <c r="M33" s="44">
        <f t="shared" si="16"/>
        <v>1606.57045184304</v>
      </c>
      <c r="N33" s="95">
        <v>67.28</v>
      </c>
      <c r="O33" s="91">
        <v>7.3</v>
      </c>
      <c r="P33" s="92">
        <f t="shared" si="17"/>
        <v>491.144</v>
      </c>
      <c r="Q33" s="98"/>
      <c r="R33" s="98"/>
      <c r="S33" s="47">
        <f t="shared" si="2"/>
        <v>172.106498529412</v>
      </c>
      <c r="T33" s="47"/>
      <c r="U33" s="47">
        <f t="shared" si="3"/>
        <v>9.16176470588235</v>
      </c>
      <c r="V33" s="47"/>
      <c r="W33" s="47"/>
      <c r="X33" s="47">
        <f t="shared" si="4"/>
        <v>181.268263235294</v>
      </c>
      <c r="Y33" s="102">
        <f t="shared" si="5"/>
        <v>40.6086058823529</v>
      </c>
      <c r="Z33" s="102"/>
      <c r="AA33" s="102"/>
      <c r="AB33" s="102">
        <f t="shared" si="6"/>
        <v>40.6086058823529</v>
      </c>
      <c r="AC33" s="89">
        <v>7.24</v>
      </c>
      <c r="AD33" s="47">
        <f t="shared" si="7"/>
        <v>294.006306588235</v>
      </c>
      <c r="AE33" s="47">
        <f t="shared" si="8"/>
        <v>475.274569823529</v>
      </c>
      <c r="AF33" s="47">
        <f t="shared" si="9"/>
        <v>15.8694301764705</v>
      </c>
    </row>
    <row r="34" s="2" customFormat="1" spans="1:32">
      <c r="A34" s="86"/>
      <c r="B34" s="45"/>
      <c r="C34" s="23">
        <v>241204000047</v>
      </c>
      <c r="D34" s="24">
        <v>45631</v>
      </c>
      <c r="E34" s="24" t="s">
        <v>59</v>
      </c>
      <c r="F34" s="45" t="s">
        <v>60</v>
      </c>
      <c r="G34" s="45" t="s">
        <v>61</v>
      </c>
      <c r="H34" s="87">
        <v>0.2023</v>
      </c>
      <c r="I34" s="87">
        <v>17</v>
      </c>
      <c r="J34" s="92"/>
      <c r="K34" s="103">
        <v>87064.28</v>
      </c>
      <c r="L34" s="93"/>
      <c r="M34" s="44">
        <f t="shared" si="16"/>
        <v>1594</v>
      </c>
      <c r="N34" s="95">
        <v>54.62</v>
      </c>
      <c r="O34" s="45">
        <v>7.29</v>
      </c>
      <c r="P34" s="92">
        <f t="shared" si="17"/>
        <v>398.1798</v>
      </c>
      <c r="Q34" s="98"/>
      <c r="R34" s="98"/>
      <c r="S34" s="47">
        <f t="shared" si="2"/>
        <v>139.71566875</v>
      </c>
      <c r="T34" s="47"/>
      <c r="U34" s="47">
        <f t="shared" si="3"/>
        <v>7.4375</v>
      </c>
      <c r="V34" s="47"/>
      <c r="W34" s="47"/>
      <c r="X34" s="47">
        <f t="shared" si="4"/>
        <v>147.15316875</v>
      </c>
      <c r="Y34" s="102">
        <f t="shared" si="5"/>
        <v>32.965975</v>
      </c>
      <c r="Z34" s="102"/>
      <c r="AA34" s="102"/>
      <c r="AB34" s="102">
        <f t="shared" si="6"/>
        <v>32.965975</v>
      </c>
      <c r="AC34" s="89">
        <v>7.24</v>
      </c>
      <c r="AD34" s="47">
        <f t="shared" si="7"/>
        <v>238.673659</v>
      </c>
      <c r="AE34" s="47">
        <f t="shared" si="8"/>
        <v>385.82682775</v>
      </c>
      <c r="AF34" s="47">
        <f t="shared" si="9"/>
        <v>12.35297225</v>
      </c>
    </row>
    <row r="35" s="2" customFormat="1" spans="1:32">
      <c r="A35" s="86"/>
      <c r="B35" s="45"/>
      <c r="C35" s="23">
        <v>241204000048</v>
      </c>
      <c r="D35" s="24">
        <v>45631</v>
      </c>
      <c r="E35" s="24" t="s">
        <v>59</v>
      </c>
      <c r="F35" s="45" t="s">
        <v>60</v>
      </c>
      <c r="G35" s="45" t="s">
        <v>61</v>
      </c>
      <c r="H35" s="87">
        <v>0.5307</v>
      </c>
      <c r="I35" s="87">
        <v>90</v>
      </c>
      <c r="J35" s="92"/>
      <c r="K35" s="103">
        <v>228404.26</v>
      </c>
      <c r="L35" s="93"/>
      <c r="M35" s="44">
        <f t="shared" si="16"/>
        <v>1594</v>
      </c>
      <c r="N35" s="95">
        <v>143.29</v>
      </c>
      <c r="O35" s="45">
        <v>7.29</v>
      </c>
      <c r="P35" s="92">
        <f t="shared" si="17"/>
        <v>1044.5841</v>
      </c>
      <c r="Q35" s="98"/>
      <c r="R35" s="98"/>
      <c r="S35" s="47">
        <f t="shared" si="2"/>
        <v>366.520540808824</v>
      </c>
      <c r="T35" s="47"/>
      <c r="U35" s="47">
        <f t="shared" si="3"/>
        <v>19.5110294117647</v>
      </c>
      <c r="V35" s="47"/>
      <c r="W35" s="47"/>
      <c r="X35" s="47">
        <f t="shared" si="4"/>
        <v>386.031570220588</v>
      </c>
      <c r="Y35" s="102">
        <f t="shared" si="5"/>
        <v>86.4806867647059</v>
      </c>
      <c r="Z35" s="102"/>
      <c r="AA35" s="102"/>
      <c r="AB35" s="102">
        <f t="shared" si="6"/>
        <v>86.4806867647059</v>
      </c>
      <c r="AC35" s="89">
        <v>7.24</v>
      </c>
      <c r="AD35" s="47">
        <f t="shared" si="7"/>
        <v>626.120172176471</v>
      </c>
      <c r="AE35" s="47">
        <f t="shared" si="8"/>
        <v>1012.15174239706</v>
      </c>
      <c r="AF35" s="47">
        <f t="shared" si="9"/>
        <v>32.4323576029412</v>
      </c>
    </row>
    <row r="36" s="2" customFormat="1" spans="1:32">
      <c r="A36" s="86"/>
      <c r="B36" s="45"/>
      <c r="C36" s="23">
        <v>241204000050</v>
      </c>
      <c r="D36" s="24">
        <v>45631</v>
      </c>
      <c r="E36" s="24" t="s">
        <v>59</v>
      </c>
      <c r="F36" s="45" t="s">
        <v>60</v>
      </c>
      <c r="G36" s="45" t="s">
        <v>61</v>
      </c>
      <c r="H36" s="87">
        <v>14.6981</v>
      </c>
      <c r="I36" s="87">
        <v>2994</v>
      </c>
      <c r="J36" s="92"/>
      <c r="K36" s="103">
        <v>6392673.24</v>
      </c>
      <c r="L36" s="93"/>
      <c r="M36" s="44">
        <f t="shared" si="16"/>
        <v>1594</v>
      </c>
      <c r="N36" s="95">
        <v>4010.46</v>
      </c>
      <c r="O36" s="45">
        <v>7.27</v>
      </c>
      <c r="P36" s="92">
        <f t="shared" si="17"/>
        <v>29156.0442</v>
      </c>
      <c r="Q36" s="98"/>
      <c r="R36" s="98"/>
      <c r="S36" s="47">
        <f t="shared" si="2"/>
        <v>10151.0374238971</v>
      </c>
      <c r="T36" s="47"/>
      <c r="U36" s="47">
        <f t="shared" si="3"/>
        <v>540.371323529412</v>
      </c>
      <c r="V36" s="47"/>
      <c r="W36" s="47"/>
      <c r="X36" s="47">
        <f t="shared" si="4"/>
        <v>10691.4087474265</v>
      </c>
      <c r="Y36" s="102">
        <f t="shared" si="5"/>
        <v>2395.14185441177</v>
      </c>
      <c r="Z36" s="102"/>
      <c r="AA36" s="102"/>
      <c r="AB36" s="102">
        <f t="shared" si="6"/>
        <v>2395.14185441177</v>
      </c>
      <c r="AC36" s="89">
        <v>7.24</v>
      </c>
      <c r="AD36" s="47">
        <f t="shared" si="7"/>
        <v>17340.8270259412</v>
      </c>
      <c r="AE36" s="47">
        <f t="shared" si="8"/>
        <v>28032.2357733677</v>
      </c>
      <c r="AF36" s="47">
        <f t="shared" si="9"/>
        <v>1123.80842663235</v>
      </c>
    </row>
    <row r="37" s="2" customFormat="1" spans="1:32">
      <c r="A37" s="86"/>
      <c r="B37" s="45"/>
      <c r="C37" s="23">
        <v>241204000052</v>
      </c>
      <c r="D37" s="24">
        <v>45631</v>
      </c>
      <c r="E37" s="24" t="s">
        <v>59</v>
      </c>
      <c r="F37" s="45" t="s">
        <v>60</v>
      </c>
      <c r="G37" s="45" t="s">
        <v>61</v>
      </c>
      <c r="H37" s="87">
        <v>21.052</v>
      </c>
      <c r="I37" s="87">
        <v>2202</v>
      </c>
      <c r="J37" s="92"/>
      <c r="K37" s="103">
        <v>9257809.04</v>
      </c>
      <c r="L37" s="93"/>
      <c r="M37" s="44">
        <f t="shared" si="16"/>
        <v>1616.79084323546</v>
      </c>
      <c r="N37" s="95">
        <v>5726.04</v>
      </c>
      <c r="O37" s="45">
        <v>7.22</v>
      </c>
      <c r="P37" s="92">
        <f t="shared" si="17"/>
        <v>41342.0088</v>
      </c>
      <c r="Q37" s="98"/>
      <c r="R37" s="98"/>
      <c r="S37" s="47">
        <f t="shared" si="2"/>
        <v>14539.2696911765</v>
      </c>
      <c r="T37" s="47"/>
      <c r="U37" s="47">
        <f t="shared" si="3"/>
        <v>773.970588235294</v>
      </c>
      <c r="V37" s="47"/>
      <c r="W37" s="47"/>
      <c r="X37" s="47">
        <f t="shared" si="4"/>
        <v>15313.2402794118</v>
      </c>
      <c r="Y37" s="102">
        <f t="shared" si="5"/>
        <v>3430.54723529412</v>
      </c>
      <c r="Z37" s="102"/>
      <c r="AA37" s="102"/>
      <c r="AB37" s="102">
        <f t="shared" si="6"/>
        <v>3430.54723529412</v>
      </c>
      <c r="AC37" s="89">
        <v>7.24</v>
      </c>
      <c r="AD37" s="47">
        <f t="shared" ref="AD37:AD52" si="18">SUM(AB37*AC37)</f>
        <v>24837.1619835294</v>
      </c>
      <c r="AE37" s="47">
        <f t="shared" si="8"/>
        <v>40150.4022629412</v>
      </c>
      <c r="AF37" s="47">
        <f t="shared" si="9"/>
        <v>1191.60653705883</v>
      </c>
    </row>
    <row r="38" s="2" customFormat="1" spans="1:32">
      <c r="A38" s="86"/>
      <c r="B38" s="45"/>
      <c r="C38" s="23">
        <v>241204000053</v>
      </c>
      <c r="D38" s="24">
        <v>45631</v>
      </c>
      <c r="E38" s="24" t="s">
        <v>59</v>
      </c>
      <c r="F38" s="45" t="s">
        <v>60</v>
      </c>
      <c r="G38" s="45" t="s">
        <v>61</v>
      </c>
      <c r="H38" s="87">
        <v>0.1958</v>
      </c>
      <c r="I38" s="87">
        <v>447</v>
      </c>
      <c r="J38" s="92"/>
      <c r="K38" s="103">
        <v>85649.4</v>
      </c>
      <c r="L38" s="93"/>
      <c r="M38" s="44">
        <f t="shared" si="16"/>
        <v>1620</v>
      </c>
      <c r="N38" s="95">
        <v>52.87</v>
      </c>
      <c r="O38" s="45">
        <v>7.22</v>
      </c>
      <c r="P38" s="92">
        <f t="shared" si="17"/>
        <v>381.7214</v>
      </c>
      <c r="Q38" s="98"/>
      <c r="R38" s="98"/>
      <c r="S38" s="47">
        <f t="shared" si="2"/>
        <v>135.226534558824</v>
      </c>
      <c r="T38" s="47"/>
      <c r="U38" s="47">
        <f t="shared" si="3"/>
        <v>7.19852941176471</v>
      </c>
      <c r="V38" s="47"/>
      <c r="W38" s="47"/>
      <c r="X38" s="47">
        <f t="shared" si="4"/>
        <v>142.425063970588</v>
      </c>
      <c r="Y38" s="102">
        <f t="shared" si="5"/>
        <v>31.9067617647059</v>
      </c>
      <c r="Z38" s="102"/>
      <c r="AA38" s="102"/>
      <c r="AB38" s="102">
        <f t="shared" si="6"/>
        <v>31.9067617647059</v>
      </c>
      <c r="AC38" s="89">
        <v>7.24</v>
      </c>
      <c r="AD38" s="47">
        <f t="shared" si="18"/>
        <v>231.004955176471</v>
      </c>
      <c r="AE38" s="47">
        <f t="shared" ref="AE38:AE52" si="19">SUM(X38+AD38)</f>
        <v>373.430019147059</v>
      </c>
      <c r="AF38" s="47">
        <f t="shared" ref="AF38:AF52" si="20">SUM(P38-AE38)</f>
        <v>8.29138085294102</v>
      </c>
    </row>
    <row r="39" s="2" customFormat="1" spans="1:32">
      <c r="A39" s="86"/>
      <c r="B39" s="45"/>
      <c r="C39" s="23">
        <v>241204000060</v>
      </c>
      <c r="D39" s="24">
        <v>45631</v>
      </c>
      <c r="E39" s="24" t="s">
        <v>83</v>
      </c>
      <c r="F39" s="45" t="s">
        <v>84</v>
      </c>
      <c r="G39" s="45" t="s">
        <v>86</v>
      </c>
      <c r="H39" s="87">
        <v>0.6256</v>
      </c>
      <c r="I39" s="87">
        <v>144</v>
      </c>
      <c r="J39" s="88">
        <v>1269.02</v>
      </c>
      <c r="K39" s="89"/>
      <c r="L39" s="93"/>
      <c r="M39" s="44"/>
      <c r="N39" s="90"/>
      <c r="O39" s="45"/>
      <c r="P39" s="92">
        <f>SUBTOTAL(9,J39)</f>
        <v>1269.02</v>
      </c>
      <c r="Q39" s="100"/>
      <c r="R39" s="100"/>
      <c r="S39" s="47">
        <f t="shared" si="2"/>
        <v>432.0619</v>
      </c>
      <c r="T39" s="47"/>
      <c r="U39" s="47">
        <f t="shared" si="3"/>
        <v>23</v>
      </c>
      <c r="V39" s="47"/>
      <c r="W39" s="47"/>
      <c r="X39" s="47">
        <f t="shared" ref="X39:X52" si="21">SUM(S39:W39)</f>
        <v>455.0619</v>
      </c>
      <c r="Y39" s="102">
        <f t="shared" si="5"/>
        <v>101.9452</v>
      </c>
      <c r="Z39" s="102"/>
      <c r="AA39" s="102"/>
      <c r="AB39" s="102">
        <f t="shared" ref="AB39:AB52" si="22">SUM(Y39:AA39)</f>
        <v>101.9452</v>
      </c>
      <c r="AC39" s="89">
        <v>7.24</v>
      </c>
      <c r="AD39" s="47">
        <f t="shared" si="18"/>
        <v>738.083248</v>
      </c>
      <c r="AE39" s="47">
        <f t="shared" si="19"/>
        <v>1193.145148</v>
      </c>
      <c r="AF39" s="47">
        <f t="shared" si="20"/>
        <v>75.8748519999999</v>
      </c>
    </row>
    <row r="40" s="2" customFormat="1" spans="1:32">
      <c r="A40" s="86" t="s">
        <v>6</v>
      </c>
      <c r="B40" s="45" t="s">
        <v>7</v>
      </c>
      <c r="C40" s="23">
        <v>241109000014</v>
      </c>
      <c r="D40" s="24">
        <v>45636</v>
      </c>
      <c r="E40" s="24" t="s">
        <v>81</v>
      </c>
      <c r="F40" s="45" t="s">
        <v>89</v>
      </c>
      <c r="G40" s="45" t="s">
        <v>90</v>
      </c>
      <c r="H40" s="87">
        <v>1.5052</v>
      </c>
      <c r="I40" s="87">
        <v>360</v>
      </c>
      <c r="J40" s="88">
        <v>3329.55</v>
      </c>
      <c r="K40" s="89"/>
      <c r="L40" s="93"/>
      <c r="M40" s="44"/>
      <c r="N40" s="90"/>
      <c r="O40" s="45"/>
      <c r="P40" s="92">
        <f>SUBTOTAL(9,J40)</f>
        <v>3329.55</v>
      </c>
      <c r="Q40" s="96">
        <f>SUM(P40:P52)</f>
        <v>166063.2330822</v>
      </c>
      <c r="R40" s="97" t="s">
        <v>91</v>
      </c>
      <c r="S40" s="47">
        <f>SUM(49568.5/68)*H40</f>
        <v>1097.21332647059</v>
      </c>
      <c r="T40" s="47"/>
      <c r="U40" s="47">
        <f>SUM(2100/68)*H40</f>
        <v>46.4841176470588</v>
      </c>
      <c r="V40" s="47"/>
      <c r="W40" s="47"/>
      <c r="X40" s="47">
        <f t="shared" si="21"/>
        <v>1143.69744411765</v>
      </c>
      <c r="Y40" s="102">
        <f>SUM(11623/68)*H40</f>
        <v>257.278523529412</v>
      </c>
      <c r="Z40" s="102"/>
      <c r="AA40" s="102">
        <f>SUM(55.62/68)*H40</f>
        <v>1.23116505882353</v>
      </c>
      <c r="AB40" s="102">
        <f t="shared" si="22"/>
        <v>258.509688588235</v>
      </c>
      <c r="AC40" s="89">
        <v>7.3</v>
      </c>
      <c r="AD40" s="47">
        <f t="shared" si="18"/>
        <v>1887.12072669412</v>
      </c>
      <c r="AE40" s="47">
        <f t="shared" si="19"/>
        <v>3030.81817081177</v>
      </c>
      <c r="AF40" s="47">
        <f t="shared" si="20"/>
        <v>298.73182918823</v>
      </c>
    </row>
    <row r="41" s="2" customFormat="1" spans="1:32">
      <c r="A41" s="86"/>
      <c r="B41" s="45"/>
      <c r="C41" s="23">
        <v>241127000004</v>
      </c>
      <c r="D41" s="24">
        <v>45636</v>
      </c>
      <c r="E41" s="24" t="s">
        <v>81</v>
      </c>
      <c r="F41" s="45" t="s">
        <v>89</v>
      </c>
      <c r="G41" s="45" t="s">
        <v>92</v>
      </c>
      <c r="H41" s="87">
        <v>2.3335</v>
      </c>
      <c r="I41" s="87">
        <v>2600</v>
      </c>
      <c r="J41" s="92"/>
      <c r="K41" s="103">
        <v>1863312</v>
      </c>
      <c r="L41" s="93"/>
      <c r="M41" s="44">
        <f t="shared" ref="M41:M43" si="23">SUM(K41/N41)</f>
        <v>1600</v>
      </c>
      <c r="N41" s="95">
        <v>1164.57</v>
      </c>
      <c r="O41" s="45">
        <v>7.28</v>
      </c>
      <c r="P41" s="92">
        <f t="shared" ref="P41:P43" si="24">SUM(N41*O41)</f>
        <v>8478.0696</v>
      </c>
      <c r="Q41" s="98"/>
      <c r="R41" s="98"/>
      <c r="S41" s="47">
        <f t="shared" ref="S41:S52" si="25">SUM(49568.5/68)*H41</f>
        <v>1701.00139338235</v>
      </c>
      <c r="T41" s="47"/>
      <c r="U41" s="47">
        <f t="shared" ref="U41:U52" si="26">SUM(2100/68)*H41</f>
        <v>72.0639705882353</v>
      </c>
      <c r="V41" s="47"/>
      <c r="W41" s="47"/>
      <c r="X41" s="47">
        <f t="shared" si="21"/>
        <v>1773.06536397059</v>
      </c>
      <c r="Y41" s="102">
        <f t="shared" ref="Y41:Y52" si="27">SUM(11623/68)*H41</f>
        <v>398.856919117647</v>
      </c>
      <c r="Z41" s="102"/>
      <c r="AA41" s="102">
        <f t="shared" ref="AA41:AA52" si="28">SUM(55.62/68)*H41</f>
        <v>1.90866573529412</v>
      </c>
      <c r="AB41" s="102">
        <f t="shared" si="22"/>
        <v>400.765584852941</v>
      </c>
      <c r="AC41" s="89">
        <v>7.3</v>
      </c>
      <c r="AD41" s="47">
        <f t="shared" si="18"/>
        <v>2925.58876942647</v>
      </c>
      <c r="AE41" s="47">
        <f t="shared" si="19"/>
        <v>4698.65413339706</v>
      </c>
      <c r="AF41" s="47">
        <f t="shared" si="20"/>
        <v>3779.41546660294</v>
      </c>
    </row>
    <row r="42" s="2" customFormat="1" spans="1:32">
      <c r="A42" s="86"/>
      <c r="B42" s="45"/>
      <c r="C42" s="23">
        <v>241128000012</v>
      </c>
      <c r="D42" s="24">
        <v>45636</v>
      </c>
      <c r="E42" s="24" t="s">
        <v>62</v>
      </c>
      <c r="F42" s="45" t="s">
        <v>63</v>
      </c>
      <c r="G42" s="45" t="s">
        <v>64</v>
      </c>
      <c r="H42" s="87">
        <v>0.196</v>
      </c>
      <c r="I42" s="87">
        <v>106</v>
      </c>
      <c r="J42" s="92"/>
      <c r="K42" s="103">
        <v>98784</v>
      </c>
      <c r="L42" s="93"/>
      <c r="M42" s="44">
        <f t="shared" si="23"/>
        <v>1679.99942857162</v>
      </c>
      <c r="N42" s="95">
        <v>58.80002</v>
      </c>
      <c r="O42" s="45">
        <v>7.3</v>
      </c>
      <c r="P42" s="92">
        <f t="shared" si="24"/>
        <v>429.240146</v>
      </c>
      <c r="Q42" s="98"/>
      <c r="R42" s="98"/>
      <c r="S42" s="47">
        <f t="shared" si="25"/>
        <v>142.873911764706</v>
      </c>
      <c r="T42" s="47"/>
      <c r="U42" s="47">
        <f t="shared" si="26"/>
        <v>6.05294117647059</v>
      </c>
      <c r="V42" s="47"/>
      <c r="W42" s="47"/>
      <c r="X42" s="47">
        <f t="shared" si="21"/>
        <v>148.926852941176</v>
      </c>
      <c r="Y42" s="102">
        <f t="shared" si="27"/>
        <v>33.5015882352941</v>
      </c>
      <c r="Z42" s="102"/>
      <c r="AA42" s="102">
        <f t="shared" si="28"/>
        <v>0.160316470588235</v>
      </c>
      <c r="AB42" s="102">
        <f t="shared" si="22"/>
        <v>33.6619047058824</v>
      </c>
      <c r="AC42" s="89">
        <v>7.3</v>
      </c>
      <c r="AD42" s="47">
        <f t="shared" si="18"/>
        <v>245.731904352941</v>
      </c>
      <c r="AE42" s="47">
        <f t="shared" si="19"/>
        <v>394.658757294118</v>
      </c>
      <c r="AF42" s="47">
        <f t="shared" si="20"/>
        <v>34.581388705882</v>
      </c>
    </row>
    <row r="43" s="2" customFormat="1" spans="1:32">
      <c r="A43" s="86"/>
      <c r="B43" s="45"/>
      <c r="C43" s="23">
        <v>241202000044</v>
      </c>
      <c r="D43" s="24">
        <v>45636</v>
      </c>
      <c r="E43" s="24" t="s">
        <v>68</v>
      </c>
      <c r="F43" s="45" t="s">
        <v>69</v>
      </c>
      <c r="G43" s="45" t="s">
        <v>87</v>
      </c>
      <c r="H43" s="87">
        <v>3.774</v>
      </c>
      <c r="I43" s="87">
        <v>1521</v>
      </c>
      <c r="J43" s="92"/>
      <c r="K43" s="103">
        <v>1698783.75</v>
      </c>
      <c r="L43" s="93"/>
      <c r="M43" s="44">
        <f t="shared" si="23"/>
        <v>1579.39697473973</v>
      </c>
      <c r="N43" s="95">
        <v>1075.5901</v>
      </c>
      <c r="O43" s="45">
        <v>7.27</v>
      </c>
      <c r="P43" s="92">
        <f t="shared" si="24"/>
        <v>7819.540027</v>
      </c>
      <c r="Q43" s="98"/>
      <c r="R43" s="98"/>
      <c r="S43" s="47">
        <f t="shared" si="25"/>
        <v>2751.05175</v>
      </c>
      <c r="T43" s="47"/>
      <c r="U43" s="47">
        <f t="shared" si="26"/>
        <v>116.55</v>
      </c>
      <c r="V43" s="47"/>
      <c r="W43" s="47"/>
      <c r="X43" s="47">
        <f t="shared" si="21"/>
        <v>2867.60175</v>
      </c>
      <c r="Y43" s="102">
        <f t="shared" si="27"/>
        <v>645.0765</v>
      </c>
      <c r="Z43" s="102"/>
      <c r="AA43" s="102">
        <f t="shared" si="28"/>
        <v>3.08691</v>
      </c>
      <c r="AB43" s="102">
        <f t="shared" si="22"/>
        <v>648.16341</v>
      </c>
      <c r="AC43" s="89">
        <v>7.3</v>
      </c>
      <c r="AD43" s="47">
        <f t="shared" si="18"/>
        <v>4731.592893</v>
      </c>
      <c r="AE43" s="47">
        <f t="shared" si="19"/>
        <v>7599.194643</v>
      </c>
      <c r="AF43" s="47">
        <f t="shared" si="20"/>
        <v>220.345384</v>
      </c>
    </row>
    <row r="44" s="2" customFormat="1" spans="1:32">
      <c r="A44" s="86"/>
      <c r="B44" s="45"/>
      <c r="C44" s="23">
        <v>241203000015</v>
      </c>
      <c r="D44" s="24">
        <v>45636</v>
      </c>
      <c r="E44" s="24" t="s">
        <v>62</v>
      </c>
      <c r="F44" s="45" t="s">
        <v>63</v>
      </c>
      <c r="G44" s="45" t="s">
        <v>71</v>
      </c>
      <c r="H44" s="87">
        <v>7.8671</v>
      </c>
      <c r="I44" s="87">
        <v>16682</v>
      </c>
      <c r="J44" s="104">
        <v>33835.5</v>
      </c>
      <c r="K44" s="89"/>
      <c r="L44" s="93"/>
      <c r="M44" s="44"/>
      <c r="N44" s="45"/>
      <c r="O44" s="45"/>
      <c r="P44" s="92">
        <f>SUM(J44)</f>
        <v>33835.5</v>
      </c>
      <c r="Q44" s="98"/>
      <c r="R44" s="98"/>
      <c r="S44" s="47">
        <f t="shared" si="25"/>
        <v>5734.71097573529</v>
      </c>
      <c r="T44" s="47"/>
      <c r="U44" s="47">
        <f t="shared" si="26"/>
        <v>242.954558823529</v>
      </c>
      <c r="V44" s="47"/>
      <c r="W44" s="47"/>
      <c r="X44" s="47">
        <f t="shared" si="21"/>
        <v>5977.66553455882</v>
      </c>
      <c r="Y44" s="102">
        <f t="shared" si="27"/>
        <v>1344.69563676471</v>
      </c>
      <c r="Z44" s="102"/>
      <c r="AA44" s="102">
        <f t="shared" si="28"/>
        <v>6.43482502941176</v>
      </c>
      <c r="AB44" s="102">
        <f t="shared" si="22"/>
        <v>1351.13046179412</v>
      </c>
      <c r="AC44" s="89">
        <v>7.3</v>
      </c>
      <c r="AD44" s="47">
        <f t="shared" si="18"/>
        <v>9863.25237109706</v>
      </c>
      <c r="AE44" s="47">
        <f t="shared" si="19"/>
        <v>15840.9179056559</v>
      </c>
      <c r="AF44" s="47">
        <f t="shared" si="20"/>
        <v>17994.5820943441</v>
      </c>
    </row>
    <row r="45" s="2" customFormat="1" spans="1:32">
      <c r="A45" s="86"/>
      <c r="B45" s="45"/>
      <c r="C45" s="23">
        <v>241204000049</v>
      </c>
      <c r="D45" s="24">
        <v>45636</v>
      </c>
      <c r="E45" s="24" t="s">
        <v>59</v>
      </c>
      <c r="F45" s="45" t="s">
        <v>60</v>
      </c>
      <c r="G45" s="45" t="s">
        <v>61</v>
      </c>
      <c r="H45" s="87">
        <v>14.985</v>
      </c>
      <c r="I45" s="87">
        <v>2696</v>
      </c>
      <c r="J45" s="92"/>
      <c r="K45" s="103">
        <v>6707917.9</v>
      </c>
      <c r="L45" s="93"/>
      <c r="M45" s="44">
        <f t="shared" ref="M45:M47" si="29">SUM(K45/N45)</f>
        <v>1582.87741280853</v>
      </c>
      <c r="N45" s="95">
        <v>4237.8</v>
      </c>
      <c r="O45" s="45">
        <v>7.18</v>
      </c>
      <c r="P45" s="92">
        <f t="shared" ref="P45:P47" si="30">SUM(N45*O45)</f>
        <v>30427.404</v>
      </c>
      <c r="Q45" s="98"/>
      <c r="R45" s="98"/>
      <c r="S45" s="47">
        <f t="shared" si="25"/>
        <v>10923.2937132353</v>
      </c>
      <c r="T45" s="47"/>
      <c r="U45" s="47">
        <f t="shared" si="26"/>
        <v>462.772058823529</v>
      </c>
      <c r="V45" s="47"/>
      <c r="W45" s="47"/>
      <c r="X45" s="47">
        <f t="shared" si="21"/>
        <v>11386.0657720588</v>
      </c>
      <c r="Y45" s="102">
        <f t="shared" si="27"/>
        <v>2561.33316176471</v>
      </c>
      <c r="Z45" s="102"/>
      <c r="AA45" s="102">
        <f t="shared" si="28"/>
        <v>12.2568485294118</v>
      </c>
      <c r="AB45" s="102">
        <f t="shared" si="22"/>
        <v>2573.59001029412</v>
      </c>
      <c r="AC45" s="89">
        <v>7.3</v>
      </c>
      <c r="AD45" s="47">
        <f t="shared" si="18"/>
        <v>18787.2070751471</v>
      </c>
      <c r="AE45" s="47">
        <f t="shared" si="19"/>
        <v>30173.2728472059</v>
      </c>
      <c r="AF45" s="47">
        <f t="shared" si="20"/>
        <v>254.1311527941</v>
      </c>
    </row>
    <row r="46" s="2" customFormat="1" spans="1:32">
      <c r="A46" s="86"/>
      <c r="B46" s="45"/>
      <c r="C46" s="23">
        <v>241204000051</v>
      </c>
      <c r="D46" s="24">
        <v>45636</v>
      </c>
      <c r="E46" s="24" t="s">
        <v>59</v>
      </c>
      <c r="F46" s="45" t="s">
        <v>60</v>
      </c>
      <c r="G46" s="45" t="s">
        <v>61</v>
      </c>
      <c r="H46" s="87">
        <v>2.1818</v>
      </c>
      <c r="I46" s="87">
        <v>358</v>
      </c>
      <c r="J46" s="92"/>
      <c r="K46" s="103">
        <v>966443.8</v>
      </c>
      <c r="L46" s="93"/>
      <c r="M46" s="44">
        <f t="shared" si="29"/>
        <v>1582</v>
      </c>
      <c r="N46" s="95">
        <v>610.9</v>
      </c>
      <c r="O46" s="45">
        <v>7.18</v>
      </c>
      <c r="P46" s="92">
        <f t="shared" si="30"/>
        <v>4386.262</v>
      </c>
      <c r="Q46" s="98"/>
      <c r="R46" s="98"/>
      <c r="S46" s="47">
        <f t="shared" si="25"/>
        <v>1590.41990147059</v>
      </c>
      <c r="T46" s="47"/>
      <c r="U46" s="47">
        <f t="shared" si="26"/>
        <v>67.3791176470588</v>
      </c>
      <c r="V46" s="47"/>
      <c r="W46" s="47"/>
      <c r="X46" s="47">
        <f t="shared" si="21"/>
        <v>1657.79901911765</v>
      </c>
      <c r="Y46" s="102">
        <f t="shared" si="27"/>
        <v>372.927373529412</v>
      </c>
      <c r="Z46" s="102"/>
      <c r="AA46" s="102">
        <f t="shared" si="28"/>
        <v>1.78458405882353</v>
      </c>
      <c r="AB46" s="102">
        <f t="shared" si="22"/>
        <v>374.711957588235</v>
      </c>
      <c r="AC46" s="89">
        <v>7.3</v>
      </c>
      <c r="AD46" s="47">
        <f t="shared" si="18"/>
        <v>2735.39729039412</v>
      </c>
      <c r="AE46" s="47">
        <f t="shared" si="19"/>
        <v>4393.19630951177</v>
      </c>
      <c r="AF46" s="47">
        <f t="shared" si="20"/>
        <v>-6.93430951177015</v>
      </c>
    </row>
    <row r="47" s="2" customFormat="1" spans="1:32">
      <c r="A47" s="86"/>
      <c r="B47" s="45"/>
      <c r="C47" s="23">
        <v>241205000007</v>
      </c>
      <c r="D47" s="24">
        <v>45636</v>
      </c>
      <c r="E47" s="24" t="s">
        <v>68</v>
      </c>
      <c r="F47" s="45" t="s">
        <v>69</v>
      </c>
      <c r="G47" s="45" t="s">
        <v>87</v>
      </c>
      <c r="H47" s="87">
        <v>1.2288</v>
      </c>
      <c r="I47" s="87">
        <v>508</v>
      </c>
      <c r="J47" s="92"/>
      <c r="K47" s="103">
        <v>552776.25</v>
      </c>
      <c r="L47" s="93"/>
      <c r="M47" s="44">
        <f t="shared" si="29"/>
        <v>1578.41384636805</v>
      </c>
      <c r="N47" s="95">
        <v>350.20996</v>
      </c>
      <c r="O47" s="45">
        <v>7.27</v>
      </c>
      <c r="P47" s="92">
        <f t="shared" si="30"/>
        <v>2546.0264092</v>
      </c>
      <c r="Q47" s="98"/>
      <c r="R47" s="98"/>
      <c r="S47" s="47">
        <f t="shared" si="25"/>
        <v>895.731952941176</v>
      </c>
      <c r="T47" s="47"/>
      <c r="U47" s="47">
        <f t="shared" si="26"/>
        <v>37.9482352941176</v>
      </c>
      <c r="V47" s="47"/>
      <c r="W47" s="47"/>
      <c r="X47" s="47">
        <f t="shared" si="21"/>
        <v>933.680188235294</v>
      </c>
      <c r="Y47" s="102">
        <f t="shared" si="27"/>
        <v>210.034447058824</v>
      </c>
      <c r="Z47" s="102"/>
      <c r="AA47" s="102">
        <f t="shared" si="28"/>
        <v>1.00508611764706</v>
      </c>
      <c r="AB47" s="102">
        <f t="shared" si="22"/>
        <v>211.039533176471</v>
      </c>
      <c r="AC47" s="89">
        <v>7.3</v>
      </c>
      <c r="AD47" s="47">
        <f t="shared" si="18"/>
        <v>1540.58859218824</v>
      </c>
      <c r="AE47" s="47">
        <f t="shared" si="19"/>
        <v>2474.26878042353</v>
      </c>
      <c r="AF47" s="47">
        <f t="shared" si="20"/>
        <v>71.75762877647</v>
      </c>
    </row>
    <row r="48" s="2" customFormat="1" spans="1:32">
      <c r="A48" s="86"/>
      <c r="B48" s="45"/>
      <c r="C48" s="23">
        <v>241206000037</v>
      </c>
      <c r="D48" s="24">
        <v>45636</v>
      </c>
      <c r="E48" s="24" t="s">
        <v>65</v>
      </c>
      <c r="F48" s="45" t="s">
        <v>65</v>
      </c>
      <c r="G48" s="45" t="s">
        <v>66</v>
      </c>
      <c r="H48" s="87">
        <v>0.6414</v>
      </c>
      <c r="I48" s="87">
        <v>108</v>
      </c>
      <c r="J48" s="88">
        <v>2673</v>
      </c>
      <c r="K48" s="89"/>
      <c r="L48" s="93"/>
      <c r="M48" s="44"/>
      <c r="N48" s="90"/>
      <c r="O48" s="45"/>
      <c r="P48" s="92">
        <f t="shared" ref="P48:P50" si="31">SUBTOTAL(9,J48)</f>
        <v>2673</v>
      </c>
      <c r="Q48" s="98"/>
      <c r="R48" s="98"/>
      <c r="S48" s="47">
        <f t="shared" si="25"/>
        <v>467.547586764706</v>
      </c>
      <c r="T48" s="47"/>
      <c r="U48" s="47">
        <f t="shared" si="26"/>
        <v>19.8079411764706</v>
      </c>
      <c r="V48" s="99">
        <v>300</v>
      </c>
      <c r="W48" s="47"/>
      <c r="X48" s="47">
        <f t="shared" si="21"/>
        <v>787.355527941176</v>
      </c>
      <c r="Y48" s="102">
        <f t="shared" si="27"/>
        <v>109.632238235294</v>
      </c>
      <c r="Z48" s="102"/>
      <c r="AA48" s="102">
        <f t="shared" si="28"/>
        <v>0.524627470588235</v>
      </c>
      <c r="AB48" s="102">
        <f t="shared" si="22"/>
        <v>110.156865705882</v>
      </c>
      <c r="AC48" s="89">
        <v>7.3</v>
      </c>
      <c r="AD48" s="47">
        <f t="shared" si="18"/>
        <v>804.145119652941</v>
      </c>
      <c r="AE48" s="47">
        <f t="shared" si="19"/>
        <v>1591.50064759412</v>
      </c>
      <c r="AF48" s="47">
        <f t="shared" si="20"/>
        <v>1081.49935240588</v>
      </c>
    </row>
    <row r="49" s="2" customFormat="1" spans="1:32">
      <c r="A49" s="86"/>
      <c r="B49" s="45"/>
      <c r="C49" s="23">
        <v>241206000040</v>
      </c>
      <c r="D49" s="24">
        <v>45636</v>
      </c>
      <c r="E49" s="24" t="s">
        <v>65</v>
      </c>
      <c r="F49" s="45" t="s">
        <v>65</v>
      </c>
      <c r="G49" s="45" t="s">
        <v>66</v>
      </c>
      <c r="H49" s="87">
        <v>0.7876</v>
      </c>
      <c r="I49" s="87">
        <v>213</v>
      </c>
      <c r="J49" s="88">
        <v>2732</v>
      </c>
      <c r="K49" s="89"/>
      <c r="L49" s="93"/>
      <c r="M49" s="44"/>
      <c r="N49" s="90"/>
      <c r="O49" s="45"/>
      <c r="P49" s="92">
        <f t="shared" si="31"/>
        <v>2732</v>
      </c>
      <c r="Q49" s="98"/>
      <c r="R49" s="98"/>
      <c r="S49" s="47">
        <f t="shared" si="25"/>
        <v>574.119861764706</v>
      </c>
      <c r="T49" s="47"/>
      <c r="U49" s="47">
        <f t="shared" si="26"/>
        <v>24.3229411764706</v>
      </c>
      <c r="V49" s="99">
        <v>300</v>
      </c>
      <c r="W49" s="47"/>
      <c r="X49" s="47">
        <f t="shared" si="21"/>
        <v>898.442802941177</v>
      </c>
      <c r="Y49" s="102">
        <f t="shared" si="27"/>
        <v>134.621688235294</v>
      </c>
      <c r="Z49" s="102"/>
      <c r="AA49" s="102">
        <f t="shared" si="28"/>
        <v>0.644210470588235</v>
      </c>
      <c r="AB49" s="102">
        <f t="shared" si="22"/>
        <v>135.265898705882</v>
      </c>
      <c r="AC49" s="89">
        <v>7.3</v>
      </c>
      <c r="AD49" s="47">
        <f t="shared" si="18"/>
        <v>987.441060552941</v>
      </c>
      <c r="AE49" s="47">
        <f t="shared" si="19"/>
        <v>1885.88386349412</v>
      </c>
      <c r="AF49" s="47">
        <f t="shared" ref="AF49:AF60" si="32">SUM(P49-AE49)</f>
        <v>846.11613650588</v>
      </c>
    </row>
    <row r="50" s="2" customFormat="1" spans="1:32">
      <c r="A50" s="86"/>
      <c r="B50" s="45"/>
      <c r="C50" s="23">
        <v>241216000026</v>
      </c>
      <c r="D50" s="24">
        <v>45638</v>
      </c>
      <c r="E50" s="24" t="s">
        <v>77</v>
      </c>
      <c r="F50" s="45" t="s">
        <v>78</v>
      </c>
      <c r="G50" s="45" t="s">
        <v>93</v>
      </c>
      <c r="H50" s="87">
        <v>12.7436</v>
      </c>
      <c r="I50" s="87">
        <v>1324.23</v>
      </c>
      <c r="J50" s="88">
        <v>22939.2</v>
      </c>
      <c r="K50" s="107"/>
      <c r="L50" s="93"/>
      <c r="M50" s="44"/>
      <c r="N50" s="90"/>
      <c r="O50" s="45"/>
      <c r="P50" s="92">
        <f t="shared" si="31"/>
        <v>22939.2</v>
      </c>
      <c r="Q50" s="98"/>
      <c r="R50" s="98"/>
      <c r="S50" s="47">
        <f t="shared" si="25"/>
        <v>9289.42847941177</v>
      </c>
      <c r="T50" s="47"/>
      <c r="U50" s="47">
        <f t="shared" si="26"/>
        <v>393.552352941176</v>
      </c>
      <c r="V50" s="47"/>
      <c r="W50" s="47"/>
      <c r="X50" s="47">
        <f t="shared" si="21"/>
        <v>9682.98083235294</v>
      </c>
      <c r="Y50" s="102">
        <f t="shared" si="27"/>
        <v>2178.21857058824</v>
      </c>
      <c r="Z50" s="102"/>
      <c r="AA50" s="102">
        <f t="shared" si="28"/>
        <v>10.4235151764706</v>
      </c>
      <c r="AB50" s="102">
        <f t="shared" ref="AB50:AB60" si="33">SUM(Y50:AA50)</f>
        <v>2188.64208576471</v>
      </c>
      <c r="AC50" s="89">
        <v>7.3</v>
      </c>
      <c r="AD50" s="47">
        <f t="shared" si="18"/>
        <v>15977.0872260824</v>
      </c>
      <c r="AE50" s="47">
        <f t="shared" si="19"/>
        <v>25660.0680584353</v>
      </c>
      <c r="AF50" s="47">
        <f t="shared" si="32"/>
        <v>-2720.8680584353</v>
      </c>
    </row>
    <row r="51" s="2" customFormat="1" spans="1:32">
      <c r="A51" s="86"/>
      <c r="B51" s="45"/>
      <c r="C51" s="23">
        <v>241208000009</v>
      </c>
      <c r="D51" s="24">
        <v>45636</v>
      </c>
      <c r="E51" s="24" t="s">
        <v>55</v>
      </c>
      <c r="F51" s="45" t="s">
        <v>94</v>
      </c>
      <c r="G51" s="45" t="s">
        <v>95</v>
      </c>
      <c r="H51" s="87">
        <v>4.1388</v>
      </c>
      <c r="I51" s="87">
        <v>540</v>
      </c>
      <c r="J51" s="92"/>
      <c r="K51" s="103">
        <v>2050281</v>
      </c>
      <c r="L51" s="93"/>
      <c r="M51" s="44">
        <f t="shared" ref="M51:M54" si="34">SUM(K51/N51)</f>
        <v>1597.9992673593</v>
      </c>
      <c r="N51" s="95">
        <v>1283.03</v>
      </c>
      <c r="O51" s="45">
        <v>7.27</v>
      </c>
      <c r="P51" s="92">
        <f t="shared" ref="P51:P54" si="35">SUM(N51*O51)</f>
        <v>9327.6281</v>
      </c>
      <c r="Q51" s="98"/>
      <c r="R51" s="98"/>
      <c r="S51" s="47">
        <f t="shared" si="25"/>
        <v>3016.97217352941</v>
      </c>
      <c r="T51" s="47"/>
      <c r="U51" s="47">
        <f t="shared" si="26"/>
        <v>127.815882352941</v>
      </c>
      <c r="V51" s="47"/>
      <c r="W51" s="47"/>
      <c r="X51" s="47">
        <f t="shared" si="21"/>
        <v>3144.78805588235</v>
      </c>
      <c r="Y51" s="102">
        <f t="shared" si="27"/>
        <v>707.430476470588</v>
      </c>
      <c r="Z51" s="102"/>
      <c r="AA51" s="102">
        <f t="shared" si="28"/>
        <v>3.38529494117647</v>
      </c>
      <c r="AB51" s="102">
        <f t="shared" si="33"/>
        <v>710.815771411765</v>
      </c>
      <c r="AC51" s="89">
        <v>7.3</v>
      </c>
      <c r="AD51" s="47">
        <f t="shared" si="18"/>
        <v>5188.95513130588</v>
      </c>
      <c r="AE51" s="47">
        <f t="shared" ref="AE51:AE60" si="36">SUM(X51+AD51)</f>
        <v>8333.74318718823</v>
      </c>
      <c r="AF51" s="47">
        <f t="shared" si="32"/>
        <v>993.884912811769</v>
      </c>
    </row>
    <row r="52" s="2" customFormat="1" spans="1:32">
      <c r="A52" s="86"/>
      <c r="B52" s="45"/>
      <c r="C52" s="23">
        <v>241210000005</v>
      </c>
      <c r="D52" s="24">
        <v>45636</v>
      </c>
      <c r="E52" s="24" t="s">
        <v>59</v>
      </c>
      <c r="F52" s="45" t="s">
        <v>60</v>
      </c>
      <c r="G52" s="45" t="s">
        <v>96</v>
      </c>
      <c r="H52" s="87">
        <v>17.6161</v>
      </c>
      <c r="I52" s="87">
        <v>1662</v>
      </c>
      <c r="J52" s="92"/>
      <c r="K52" s="103">
        <v>7918392</v>
      </c>
      <c r="L52" s="93"/>
      <c r="M52" s="44">
        <f t="shared" si="34"/>
        <v>1550</v>
      </c>
      <c r="N52" s="95">
        <v>5108.64</v>
      </c>
      <c r="O52" s="45">
        <v>7.27</v>
      </c>
      <c r="P52" s="92">
        <f t="shared" si="35"/>
        <v>37139.8128</v>
      </c>
      <c r="Q52" s="100"/>
      <c r="R52" s="100"/>
      <c r="S52" s="47">
        <f t="shared" si="25"/>
        <v>12841.2301889706</v>
      </c>
      <c r="T52" s="47"/>
      <c r="U52" s="47">
        <f t="shared" si="26"/>
        <v>544.026617647059</v>
      </c>
      <c r="V52" s="99">
        <v>200</v>
      </c>
      <c r="W52" s="47"/>
      <c r="X52" s="47">
        <f t="shared" ref="X52:X60" si="37">SUM(S52:W52)</f>
        <v>13585.2568066176</v>
      </c>
      <c r="Y52" s="102">
        <f t="shared" si="27"/>
        <v>3011.05779852941</v>
      </c>
      <c r="Z52" s="102"/>
      <c r="AA52" s="102">
        <f t="shared" si="28"/>
        <v>14.4089335588235</v>
      </c>
      <c r="AB52" s="102">
        <f t="shared" si="33"/>
        <v>3025.46673208824</v>
      </c>
      <c r="AC52" s="89">
        <v>7.3</v>
      </c>
      <c r="AD52" s="47">
        <f t="shared" ref="AD52:AD60" si="38">SUM(AB52*AC52)</f>
        <v>22085.9071442441</v>
      </c>
      <c r="AE52" s="47">
        <f t="shared" si="36"/>
        <v>35671.1639508618</v>
      </c>
      <c r="AF52" s="47">
        <f t="shared" si="32"/>
        <v>1468.6488491382</v>
      </c>
    </row>
    <row r="53" s="2" customFormat="1" spans="1:32">
      <c r="A53" s="86" t="s">
        <v>8</v>
      </c>
      <c r="B53" s="45" t="s">
        <v>9</v>
      </c>
      <c r="C53" s="23">
        <v>241122000025</v>
      </c>
      <c r="D53" s="24">
        <v>45636</v>
      </c>
      <c r="E53" s="24" t="s">
        <v>81</v>
      </c>
      <c r="F53" s="45" t="s">
        <v>89</v>
      </c>
      <c r="G53" s="45" t="s">
        <v>97</v>
      </c>
      <c r="H53" s="87">
        <v>3.6276</v>
      </c>
      <c r="I53" s="87">
        <v>1507</v>
      </c>
      <c r="J53" s="92"/>
      <c r="K53" s="103">
        <v>2696680</v>
      </c>
      <c r="L53" s="93"/>
      <c r="M53" s="44">
        <f t="shared" si="34"/>
        <v>1630.00483558994</v>
      </c>
      <c r="N53" s="95">
        <v>1654.4</v>
      </c>
      <c r="O53" s="45">
        <v>7.27</v>
      </c>
      <c r="P53" s="92">
        <f t="shared" si="35"/>
        <v>12027.488</v>
      </c>
      <c r="Q53" s="96">
        <f>SUM(P53:P60)</f>
        <v>148560.866</v>
      </c>
      <c r="R53" s="97" t="s">
        <v>98</v>
      </c>
      <c r="S53" s="47">
        <f>SUM(48851.5/68)*H53</f>
        <v>2606.08384411765</v>
      </c>
      <c r="T53" s="47"/>
      <c r="U53" s="47">
        <f>SUM(1000/68)*H53</f>
        <v>53.3470588235294</v>
      </c>
      <c r="V53" s="47"/>
      <c r="W53" s="47"/>
      <c r="X53" s="47">
        <f t="shared" si="37"/>
        <v>2659.43090294118</v>
      </c>
      <c r="Y53" s="102">
        <f>SUM(11570.25/68)*H53</f>
        <v>617.238807352941</v>
      </c>
      <c r="Z53" s="101">
        <v>315.51</v>
      </c>
      <c r="AA53" s="102">
        <f>SUM(140.12/68)*H53</f>
        <v>7.47498988235294</v>
      </c>
      <c r="AB53" s="102">
        <f t="shared" si="33"/>
        <v>940.223797235294</v>
      </c>
      <c r="AC53" s="89">
        <v>7.25</v>
      </c>
      <c r="AD53" s="47">
        <f t="shared" si="38"/>
        <v>6816.62252995588</v>
      </c>
      <c r="AE53" s="47">
        <f t="shared" si="36"/>
        <v>9476.05343289706</v>
      </c>
      <c r="AF53" s="47">
        <f t="shared" si="32"/>
        <v>2551.43456710294</v>
      </c>
    </row>
    <row r="54" s="2" customFormat="1" spans="1:32">
      <c r="A54" s="86"/>
      <c r="B54" s="45"/>
      <c r="C54" s="23">
        <v>241202000029</v>
      </c>
      <c r="D54" s="24">
        <v>45636</v>
      </c>
      <c r="E54" s="24" t="s">
        <v>81</v>
      </c>
      <c r="F54" s="45" t="s">
        <v>89</v>
      </c>
      <c r="G54" s="45" t="s">
        <v>99</v>
      </c>
      <c r="H54" s="87">
        <v>8.2313</v>
      </c>
      <c r="I54" s="87">
        <v>1683</v>
      </c>
      <c r="J54" s="92"/>
      <c r="K54" s="103">
        <v>4862127</v>
      </c>
      <c r="L54" s="93"/>
      <c r="M54" s="44">
        <f t="shared" si="34"/>
        <v>1630</v>
      </c>
      <c r="N54" s="95">
        <v>2982.9</v>
      </c>
      <c r="O54" s="45">
        <v>7.28</v>
      </c>
      <c r="P54" s="92">
        <f t="shared" si="35"/>
        <v>21715.512</v>
      </c>
      <c r="Q54" s="98"/>
      <c r="R54" s="98"/>
      <c r="S54" s="47">
        <f t="shared" ref="S54:S60" si="39">SUM(48851.5/68)*H54</f>
        <v>5913.40223455882</v>
      </c>
      <c r="T54" s="47"/>
      <c r="U54" s="47">
        <f t="shared" ref="U54:U60" si="40">SUM(1000/68)*H54</f>
        <v>121.048529411765</v>
      </c>
      <c r="V54" s="47"/>
      <c r="W54" s="47"/>
      <c r="X54" s="47">
        <f t="shared" si="37"/>
        <v>6034.45076397059</v>
      </c>
      <c r="Y54" s="102">
        <f t="shared" ref="Y54:Y60" si="41">SUM(11570.25/68)*H54</f>
        <v>1400.56174742647</v>
      </c>
      <c r="Z54" s="101">
        <v>715.9</v>
      </c>
      <c r="AA54" s="102">
        <f t="shared" ref="AA54:AA61" si="42">SUM(140.12/68)*H54</f>
        <v>16.9613199411765</v>
      </c>
      <c r="AB54" s="102">
        <f t="shared" si="33"/>
        <v>2133.42306736765</v>
      </c>
      <c r="AC54" s="89">
        <v>7.25</v>
      </c>
      <c r="AD54" s="47">
        <f t="shared" si="38"/>
        <v>15467.3172384154</v>
      </c>
      <c r="AE54" s="47">
        <f t="shared" si="36"/>
        <v>21501.768002386</v>
      </c>
      <c r="AF54" s="47">
        <f t="shared" si="32"/>
        <v>213.743997614001</v>
      </c>
    </row>
    <row r="55" s="2" customFormat="1" spans="1:32">
      <c r="A55" s="86"/>
      <c r="B55" s="45"/>
      <c r="C55" s="23">
        <v>241203000014</v>
      </c>
      <c r="D55" s="24">
        <v>45636</v>
      </c>
      <c r="E55" s="24" t="s">
        <v>62</v>
      </c>
      <c r="F55" s="45" t="s">
        <v>63</v>
      </c>
      <c r="G55" s="45" t="s">
        <v>71</v>
      </c>
      <c r="H55" s="87">
        <v>13.3392</v>
      </c>
      <c r="I55" s="87">
        <v>17441</v>
      </c>
      <c r="J55" s="104">
        <v>35368.5</v>
      </c>
      <c r="K55" s="89"/>
      <c r="L55" s="93"/>
      <c r="M55" s="44"/>
      <c r="N55" s="45"/>
      <c r="O55" s="45"/>
      <c r="P55" s="92">
        <f>SUM(J55)</f>
        <v>35368.5</v>
      </c>
      <c r="Q55" s="98"/>
      <c r="R55" s="98"/>
      <c r="S55" s="47">
        <f t="shared" si="39"/>
        <v>9582.94012941177</v>
      </c>
      <c r="T55" s="47"/>
      <c r="U55" s="47">
        <f t="shared" si="40"/>
        <v>196.164705882353</v>
      </c>
      <c r="V55" s="47"/>
      <c r="W55" s="47"/>
      <c r="X55" s="47">
        <f t="shared" si="37"/>
        <v>9779.10483529412</v>
      </c>
      <c r="Y55" s="102">
        <f t="shared" si="41"/>
        <v>2269.67468823529</v>
      </c>
      <c r="Z55" s="102"/>
      <c r="AA55" s="102">
        <f t="shared" si="42"/>
        <v>27.4865985882353</v>
      </c>
      <c r="AB55" s="102">
        <f t="shared" si="33"/>
        <v>2297.16128682353</v>
      </c>
      <c r="AC55" s="89">
        <v>7.25</v>
      </c>
      <c r="AD55" s="47">
        <f t="shared" si="38"/>
        <v>16654.4193294706</v>
      </c>
      <c r="AE55" s="47">
        <f t="shared" si="36"/>
        <v>26433.5241647647</v>
      </c>
      <c r="AF55" s="47">
        <f t="shared" si="32"/>
        <v>8934.9758352353</v>
      </c>
    </row>
    <row r="56" s="2" customFormat="1" spans="1:32">
      <c r="A56" s="86"/>
      <c r="B56" s="45"/>
      <c r="C56" s="23">
        <v>241204000017</v>
      </c>
      <c r="D56" s="24">
        <v>45636</v>
      </c>
      <c r="E56" s="24" t="s">
        <v>81</v>
      </c>
      <c r="F56" s="45" t="s">
        <v>89</v>
      </c>
      <c r="G56" s="45" t="s">
        <v>100</v>
      </c>
      <c r="H56" s="87">
        <v>0.5672</v>
      </c>
      <c r="I56" s="87">
        <v>104</v>
      </c>
      <c r="J56" s="92"/>
      <c r="K56" s="103">
        <v>270180</v>
      </c>
      <c r="L56" s="93"/>
      <c r="M56" s="44">
        <f>SUM(K56/N56)</f>
        <v>1580</v>
      </c>
      <c r="N56" s="95">
        <v>171</v>
      </c>
      <c r="O56" s="45">
        <v>7.29</v>
      </c>
      <c r="P56" s="92">
        <f>SUM(N56*O56)</f>
        <v>1246.59</v>
      </c>
      <c r="Q56" s="98"/>
      <c r="R56" s="98"/>
      <c r="S56" s="47">
        <f t="shared" si="39"/>
        <v>407.478982352941</v>
      </c>
      <c r="T56" s="47"/>
      <c r="U56" s="47">
        <f t="shared" si="40"/>
        <v>8.34117647058824</v>
      </c>
      <c r="V56" s="47"/>
      <c r="W56" s="47"/>
      <c r="X56" s="47">
        <f t="shared" si="37"/>
        <v>415.820158823529</v>
      </c>
      <c r="Y56" s="102">
        <f t="shared" si="41"/>
        <v>96.5094970588235</v>
      </c>
      <c r="Z56" s="101">
        <v>49.33</v>
      </c>
      <c r="AA56" s="102">
        <f t="shared" si="42"/>
        <v>1.16876564705882</v>
      </c>
      <c r="AB56" s="102">
        <f t="shared" si="33"/>
        <v>147.008262705882</v>
      </c>
      <c r="AC56" s="89">
        <v>7.25</v>
      </c>
      <c r="AD56" s="47">
        <f t="shared" si="38"/>
        <v>1065.80990461765</v>
      </c>
      <c r="AE56" s="47">
        <f t="shared" si="36"/>
        <v>1481.63006344118</v>
      </c>
      <c r="AF56" s="47">
        <f t="shared" si="32"/>
        <v>-235.04006344118</v>
      </c>
    </row>
    <row r="57" s="2" customFormat="1" spans="1:32">
      <c r="A57" s="86"/>
      <c r="B57" s="45"/>
      <c r="C57" s="23">
        <v>241209000071</v>
      </c>
      <c r="D57" s="24">
        <v>45636</v>
      </c>
      <c r="E57" s="24" t="s">
        <v>65</v>
      </c>
      <c r="F57" s="45" t="s">
        <v>65</v>
      </c>
      <c r="G57" s="45" t="s">
        <v>101</v>
      </c>
      <c r="H57" s="87">
        <v>0.1971</v>
      </c>
      <c r="I57" s="87">
        <v>30.5</v>
      </c>
      <c r="J57" s="88">
        <v>788.4</v>
      </c>
      <c r="K57" s="89"/>
      <c r="L57" s="93"/>
      <c r="M57" s="44"/>
      <c r="N57" s="90"/>
      <c r="O57" s="45"/>
      <c r="P57" s="92">
        <f t="shared" ref="P57:P59" si="43">SUBTOTAL(9,J57)</f>
        <v>788.4</v>
      </c>
      <c r="Q57" s="98"/>
      <c r="R57" s="98"/>
      <c r="S57" s="47">
        <f t="shared" si="39"/>
        <v>141.597509558824</v>
      </c>
      <c r="T57" s="47"/>
      <c r="U57" s="47">
        <f t="shared" si="40"/>
        <v>2.89852941176471</v>
      </c>
      <c r="V57" s="47"/>
      <c r="W57" s="47"/>
      <c r="X57" s="47">
        <f t="shared" si="37"/>
        <v>144.496038970588</v>
      </c>
      <c r="Y57" s="102">
        <f t="shared" si="41"/>
        <v>33.5367099264706</v>
      </c>
      <c r="Z57" s="102">
        <v>0.84</v>
      </c>
      <c r="AA57" s="102">
        <f t="shared" si="42"/>
        <v>0.406141941176471</v>
      </c>
      <c r="AB57" s="102">
        <f t="shared" si="33"/>
        <v>34.7828518676471</v>
      </c>
      <c r="AC57" s="89">
        <v>7.25</v>
      </c>
      <c r="AD57" s="47">
        <f t="shared" si="38"/>
        <v>252.175676040441</v>
      </c>
      <c r="AE57" s="47">
        <f t="shared" si="36"/>
        <v>396.671715011029</v>
      </c>
      <c r="AF57" s="47">
        <f t="shared" si="32"/>
        <v>391.728284988971</v>
      </c>
    </row>
    <row r="58" s="2" customFormat="1" spans="1:32">
      <c r="A58" s="86"/>
      <c r="B58" s="45"/>
      <c r="C58" s="23">
        <v>241216000026</v>
      </c>
      <c r="D58" s="24">
        <v>45638</v>
      </c>
      <c r="E58" s="24" t="s">
        <v>77</v>
      </c>
      <c r="F58" s="45" t="s">
        <v>78</v>
      </c>
      <c r="G58" s="45" t="s">
        <v>93</v>
      </c>
      <c r="H58" s="87">
        <v>11.0893</v>
      </c>
      <c r="I58" s="87">
        <v>1146.94</v>
      </c>
      <c r="J58" s="88">
        <v>19958.4</v>
      </c>
      <c r="K58" s="107"/>
      <c r="L58" s="93"/>
      <c r="M58" s="44"/>
      <c r="N58" s="90"/>
      <c r="O58" s="45"/>
      <c r="P58" s="92">
        <f t="shared" si="43"/>
        <v>19958.4</v>
      </c>
      <c r="Q58" s="98"/>
      <c r="R58" s="98"/>
      <c r="S58" s="47">
        <f t="shared" si="39"/>
        <v>7966.60204338235</v>
      </c>
      <c r="T58" s="47"/>
      <c r="U58" s="47">
        <f t="shared" si="40"/>
        <v>163.077941176471</v>
      </c>
      <c r="V58" s="47"/>
      <c r="W58" s="47"/>
      <c r="X58" s="47">
        <f t="shared" ref="X58:X70" si="44">SUM(S58:W58)</f>
        <v>8129.67998455882</v>
      </c>
      <c r="Y58" s="102">
        <f t="shared" si="41"/>
        <v>1886.85254889706</v>
      </c>
      <c r="Z58" s="102"/>
      <c r="AA58" s="102">
        <f t="shared" si="42"/>
        <v>22.8504811176471</v>
      </c>
      <c r="AB58" s="102">
        <f t="shared" si="33"/>
        <v>1909.70303001471</v>
      </c>
      <c r="AC58" s="89">
        <v>7.25</v>
      </c>
      <c r="AD58" s="47">
        <f t="shared" si="38"/>
        <v>13845.3469676066</v>
      </c>
      <c r="AE58" s="47">
        <f t="shared" ref="AE58:AE70" si="45">SUM(X58+AD58)</f>
        <v>21975.0269521654</v>
      </c>
      <c r="AF58" s="47">
        <f t="shared" si="32"/>
        <v>-2016.6269521654</v>
      </c>
    </row>
    <row r="59" s="2" customFormat="1" spans="1:32">
      <c r="A59" s="86"/>
      <c r="B59" s="45"/>
      <c r="C59" s="23">
        <v>241210000006</v>
      </c>
      <c r="D59" s="24">
        <v>45636</v>
      </c>
      <c r="E59" s="24" t="s">
        <v>59</v>
      </c>
      <c r="F59" s="45" t="s">
        <v>60</v>
      </c>
      <c r="G59" s="45" t="s">
        <v>102</v>
      </c>
      <c r="H59" s="87">
        <v>35.4</v>
      </c>
      <c r="I59" s="87">
        <v>5354</v>
      </c>
      <c r="J59" s="88">
        <v>56540.88</v>
      </c>
      <c r="K59" s="89"/>
      <c r="L59" s="93"/>
      <c r="M59" s="44"/>
      <c r="N59" s="95"/>
      <c r="O59" s="45"/>
      <c r="P59" s="92">
        <f t="shared" si="43"/>
        <v>56540.88</v>
      </c>
      <c r="Q59" s="98"/>
      <c r="R59" s="98"/>
      <c r="S59" s="47">
        <f t="shared" si="39"/>
        <v>25431.5161764706</v>
      </c>
      <c r="T59" s="47"/>
      <c r="U59" s="47">
        <f t="shared" si="40"/>
        <v>520.588235294118</v>
      </c>
      <c r="V59" s="47"/>
      <c r="W59" s="47"/>
      <c r="X59" s="47">
        <f t="shared" si="44"/>
        <v>25952.1044117647</v>
      </c>
      <c r="Y59" s="102">
        <f t="shared" si="41"/>
        <v>6023.33602941176</v>
      </c>
      <c r="Z59" s="102"/>
      <c r="AA59" s="102">
        <f t="shared" si="42"/>
        <v>72.9448235294118</v>
      </c>
      <c r="AB59" s="102">
        <f t="shared" ref="AB59:AB70" si="46">SUM(Y59:AA59)</f>
        <v>6096.28085294118</v>
      </c>
      <c r="AC59" s="89">
        <v>7.25</v>
      </c>
      <c r="AD59" s="47">
        <f t="shared" si="38"/>
        <v>44198.0361838235</v>
      </c>
      <c r="AE59" s="47">
        <f t="shared" si="45"/>
        <v>70150.1405955882</v>
      </c>
      <c r="AF59" s="47">
        <f t="shared" ref="AF59:AF70" si="47">SUM(P59-AE59)</f>
        <v>-13609.2605955882</v>
      </c>
    </row>
    <row r="60" s="2" customFormat="1" spans="1:32">
      <c r="A60" s="86"/>
      <c r="B60" s="45"/>
      <c r="C60" s="23">
        <v>241216000056</v>
      </c>
      <c r="D60" s="24">
        <v>45636</v>
      </c>
      <c r="E60" s="24" t="s">
        <v>81</v>
      </c>
      <c r="F60" s="45" t="s">
        <v>89</v>
      </c>
      <c r="G60" s="45" t="s">
        <v>103</v>
      </c>
      <c r="H60" s="87">
        <v>0.3809</v>
      </c>
      <c r="I60" s="87">
        <v>90</v>
      </c>
      <c r="J60" s="92"/>
      <c r="K60" s="103">
        <v>197726.1</v>
      </c>
      <c r="L60" s="93"/>
      <c r="M60" s="44">
        <f>SUM(K60/N60)</f>
        <v>1573</v>
      </c>
      <c r="N60" s="95">
        <v>125.7</v>
      </c>
      <c r="O60" s="45">
        <v>7.28</v>
      </c>
      <c r="P60" s="92">
        <f>SUM(N60*O60)</f>
        <v>915.096</v>
      </c>
      <c r="Q60" s="100"/>
      <c r="R60" s="100"/>
      <c r="S60" s="47">
        <f t="shared" si="39"/>
        <v>273.640240441176</v>
      </c>
      <c r="T60" s="47"/>
      <c r="U60" s="47">
        <f t="shared" si="40"/>
        <v>5.60147058823529</v>
      </c>
      <c r="V60" s="47"/>
      <c r="W60" s="47"/>
      <c r="X60" s="47">
        <f t="shared" si="44"/>
        <v>279.241711029412</v>
      </c>
      <c r="Y60" s="102">
        <f t="shared" si="41"/>
        <v>64.8104150735294</v>
      </c>
      <c r="Z60" s="102"/>
      <c r="AA60" s="102">
        <f t="shared" si="42"/>
        <v>0.784878058823529</v>
      </c>
      <c r="AB60" s="102">
        <f t="shared" si="46"/>
        <v>65.5952931323529</v>
      </c>
      <c r="AC60" s="89">
        <v>7.25</v>
      </c>
      <c r="AD60" s="47">
        <f t="shared" ref="AD60:AD70" si="48">SUM(AB60*AC60)</f>
        <v>475.565875209559</v>
      </c>
      <c r="AE60" s="47">
        <f t="shared" si="45"/>
        <v>754.807586238971</v>
      </c>
      <c r="AF60" s="47">
        <f t="shared" si="47"/>
        <v>160.288413761029</v>
      </c>
    </row>
    <row r="61" s="2" customFormat="1" spans="1:32">
      <c r="A61" s="86" t="s">
        <v>10</v>
      </c>
      <c r="B61" s="45" t="s">
        <v>11</v>
      </c>
      <c r="C61" s="23">
        <v>241023000034</v>
      </c>
      <c r="D61" s="24">
        <v>45638</v>
      </c>
      <c r="E61" s="24" t="s">
        <v>65</v>
      </c>
      <c r="F61" s="45" t="s">
        <v>65</v>
      </c>
      <c r="G61" s="45" t="s">
        <v>67</v>
      </c>
      <c r="H61" s="87">
        <v>0.3134</v>
      </c>
      <c r="I61" s="87">
        <v>126</v>
      </c>
      <c r="J61" s="88">
        <v>906</v>
      </c>
      <c r="K61" s="89"/>
      <c r="L61" s="93"/>
      <c r="M61" s="44"/>
      <c r="N61" s="90"/>
      <c r="O61" s="45"/>
      <c r="P61" s="92">
        <f t="shared" ref="P61:P64" si="49">SUBTOTAL(9,J61)</f>
        <v>906</v>
      </c>
      <c r="Q61" s="96">
        <f>SUM(P61:P70)</f>
        <v>146435.8084</v>
      </c>
      <c r="R61" s="97" t="s">
        <v>104</v>
      </c>
      <c r="S61" s="47">
        <f>SUM(48759.5/68)*H61</f>
        <v>224.723930882353</v>
      </c>
      <c r="T61" s="47"/>
      <c r="U61" s="47">
        <f>SUM(1800/68)*H61</f>
        <v>8.29588235294118</v>
      </c>
      <c r="V61" s="47"/>
      <c r="W61" s="47"/>
      <c r="X61" s="47">
        <f t="shared" si="44"/>
        <v>233.019813235294</v>
      </c>
      <c r="Y61" s="102">
        <f>SUM(11621.97/68)*H61</f>
        <v>53.5636087941176</v>
      </c>
      <c r="Z61" s="102"/>
      <c r="AA61" s="102">
        <f t="shared" si="42"/>
        <v>0.645788352941177</v>
      </c>
      <c r="AB61" s="102">
        <f t="shared" si="46"/>
        <v>54.2093971470588</v>
      </c>
      <c r="AC61" s="89">
        <v>7.25</v>
      </c>
      <c r="AD61" s="47">
        <f t="shared" si="48"/>
        <v>393.018129316176</v>
      </c>
      <c r="AE61" s="47">
        <f t="shared" si="45"/>
        <v>626.037942551471</v>
      </c>
      <c r="AF61" s="47">
        <f t="shared" si="47"/>
        <v>279.962057448529</v>
      </c>
    </row>
    <row r="62" s="2" customFormat="1" spans="1:32">
      <c r="A62" s="86"/>
      <c r="B62" s="45"/>
      <c r="C62" s="23">
        <v>241115000013</v>
      </c>
      <c r="D62" s="24">
        <v>45638</v>
      </c>
      <c r="E62" s="24" t="s">
        <v>65</v>
      </c>
      <c r="F62" s="45" t="s">
        <v>65</v>
      </c>
      <c r="G62" s="45" t="s">
        <v>105</v>
      </c>
      <c r="H62" s="87">
        <v>0.367</v>
      </c>
      <c r="I62" s="87">
        <v>106</v>
      </c>
      <c r="J62" s="88">
        <v>780</v>
      </c>
      <c r="K62" s="89"/>
      <c r="L62" s="93"/>
      <c r="M62" s="44"/>
      <c r="N62" s="90"/>
      <c r="O62" s="45"/>
      <c r="P62" s="92">
        <f t="shared" si="49"/>
        <v>780</v>
      </c>
      <c r="Q62" s="98"/>
      <c r="R62" s="98"/>
      <c r="S62" s="47">
        <f t="shared" ref="S62:S70" si="50">SUM(48759.5/68)*H62</f>
        <v>263.157889705882</v>
      </c>
      <c r="T62" s="47"/>
      <c r="U62" s="47">
        <f t="shared" ref="U62:U70" si="51">SUM(1800/68)*H62</f>
        <v>9.71470588235294</v>
      </c>
      <c r="V62" s="99">
        <v>240</v>
      </c>
      <c r="W62" s="47"/>
      <c r="X62" s="47">
        <f t="shared" si="44"/>
        <v>512.872595588235</v>
      </c>
      <c r="Y62" s="102">
        <f t="shared" ref="Y62:Y70" si="52">SUM(11621.97/68)*H62</f>
        <v>62.7244557352941</v>
      </c>
      <c r="Z62" s="102"/>
      <c r="AA62" s="102">
        <f t="shared" ref="AA62:AA70" si="53">SUM(140.12/68)*H62</f>
        <v>0.756235882352941</v>
      </c>
      <c r="AB62" s="102">
        <f t="shared" si="46"/>
        <v>63.4806916176471</v>
      </c>
      <c r="AC62" s="89">
        <v>7.25</v>
      </c>
      <c r="AD62" s="47">
        <f t="shared" si="48"/>
        <v>460.235014227941</v>
      </c>
      <c r="AE62" s="47">
        <f t="shared" si="45"/>
        <v>973.107609816176</v>
      </c>
      <c r="AF62" s="47">
        <f t="shared" si="47"/>
        <v>-193.107609816176</v>
      </c>
    </row>
    <row r="63" s="2" customFormat="1" spans="1:32">
      <c r="A63" s="86"/>
      <c r="B63" s="45"/>
      <c r="C63" s="23">
        <v>241126000049</v>
      </c>
      <c r="D63" s="24">
        <v>45638</v>
      </c>
      <c r="E63" s="24" t="s">
        <v>65</v>
      </c>
      <c r="F63" s="45" t="s">
        <v>65</v>
      </c>
      <c r="G63" s="45" t="s">
        <v>106</v>
      </c>
      <c r="H63" s="87">
        <v>2.7422</v>
      </c>
      <c r="I63" s="87">
        <v>1148</v>
      </c>
      <c r="J63" s="88">
        <v>7878</v>
      </c>
      <c r="K63" s="89"/>
      <c r="L63" s="93"/>
      <c r="M63" s="44"/>
      <c r="N63" s="90"/>
      <c r="O63" s="45"/>
      <c r="P63" s="92">
        <f t="shared" si="49"/>
        <v>7878</v>
      </c>
      <c r="Q63" s="98"/>
      <c r="R63" s="98"/>
      <c r="S63" s="47">
        <f t="shared" si="50"/>
        <v>1966.29854264706</v>
      </c>
      <c r="T63" s="47"/>
      <c r="U63" s="47">
        <f t="shared" si="51"/>
        <v>72.5876470588235</v>
      </c>
      <c r="V63" s="99">
        <v>1000</v>
      </c>
      <c r="W63" s="47"/>
      <c r="X63" s="47">
        <f t="shared" si="44"/>
        <v>3038.88618970588</v>
      </c>
      <c r="Y63" s="102">
        <f t="shared" si="52"/>
        <v>468.673031382353</v>
      </c>
      <c r="Z63" s="102"/>
      <c r="AA63" s="102">
        <f t="shared" si="53"/>
        <v>5.65054505882353</v>
      </c>
      <c r="AB63" s="102">
        <f t="shared" si="46"/>
        <v>474.323576441176</v>
      </c>
      <c r="AC63" s="89">
        <v>7.25</v>
      </c>
      <c r="AD63" s="47">
        <f t="shared" si="48"/>
        <v>3438.84592919853</v>
      </c>
      <c r="AE63" s="47">
        <f t="shared" si="45"/>
        <v>6477.73211890441</v>
      </c>
      <c r="AF63" s="47">
        <f t="shared" si="47"/>
        <v>1400.26788109559</v>
      </c>
    </row>
    <row r="64" s="2" customFormat="1" spans="1:32">
      <c r="A64" s="86"/>
      <c r="B64" s="45"/>
      <c r="C64" s="23">
        <v>241209000082</v>
      </c>
      <c r="D64" s="24">
        <v>45638</v>
      </c>
      <c r="E64" s="24" t="s">
        <v>81</v>
      </c>
      <c r="F64" s="45" t="s">
        <v>89</v>
      </c>
      <c r="G64" s="45" t="s">
        <v>107</v>
      </c>
      <c r="H64" s="87">
        <v>2.4778</v>
      </c>
      <c r="I64" s="87">
        <v>1373</v>
      </c>
      <c r="J64" s="88">
        <v>6015.2</v>
      </c>
      <c r="K64" s="89"/>
      <c r="L64" s="93"/>
      <c r="M64" s="44"/>
      <c r="N64" s="90"/>
      <c r="O64" s="45"/>
      <c r="P64" s="92">
        <f t="shared" si="49"/>
        <v>6015.2</v>
      </c>
      <c r="Q64" s="98"/>
      <c r="R64" s="98"/>
      <c r="S64" s="47">
        <f t="shared" si="50"/>
        <v>1776.71013382353</v>
      </c>
      <c r="T64" s="47"/>
      <c r="U64" s="47">
        <f t="shared" si="51"/>
        <v>65.5888235294118</v>
      </c>
      <c r="V64" s="47"/>
      <c r="W64" s="47"/>
      <c r="X64" s="47">
        <f t="shared" si="44"/>
        <v>1842.29895735294</v>
      </c>
      <c r="Y64" s="102">
        <f t="shared" si="52"/>
        <v>423.484077441176</v>
      </c>
      <c r="Z64" s="102"/>
      <c r="AA64" s="102">
        <f t="shared" si="53"/>
        <v>5.10572552941176</v>
      </c>
      <c r="AB64" s="102">
        <f t="shared" si="46"/>
        <v>428.589802970588</v>
      </c>
      <c r="AC64" s="89">
        <v>7.25</v>
      </c>
      <c r="AD64" s="47">
        <f t="shared" si="48"/>
        <v>3107.27607153676</v>
      </c>
      <c r="AE64" s="47">
        <f t="shared" si="45"/>
        <v>4949.57502888971</v>
      </c>
      <c r="AF64" s="47">
        <f t="shared" si="47"/>
        <v>1065.62497111029</v>
      </c>
    </row>
    <row r="65" s="2" customFormat="1" spans="1:32">
      <c r="A65" s="86"/>
      <c r="B65" s="45"/>
      <c r="C65" s="23">
        <v>241209000084</v>
      </c>
      <c r="D65" s="24">
        <v>45638</v>
      </c>
      <c r="E65" s="24" t="s">
        <v>59</v>
      </c>
      <c r="F65" s="45" t="s">
        <v>60</v>
      </c>
      <c r="G65" s="45" t="s">
        <v>61</v>
      </c>
      <c r="H65" s="87">
        <v>3.5753</v>
      </c>
      <c r="I65" s="87">
        <v>397</v>
      </c>
      <c r="J65" s="92"/>
      <c r="K65" s="103">
        <v>1527152.06</v>
      </c>
      <c r="L65" s="93"/>
      <c r="M65" s="44">
        <f>SUM(K65/N65)</f>
        <v>1582</v>
      </c>
      <c r="N65" s="95">
        <v>965.33</v>
      </c>
      <c r="O65" s="45">
        <v>7.18</v>
      </c>
      <c r="P65" s="92">
        <f>SUM(N65*O65)</f>
        <v>6931.0694</v>
      </c>
      <c r="Q65" s="98"/>
      <c r="R65" s="98"/>
      <c r="S65" s="47">
        <f t="shared" si="50"/>
        <v>2563.67412279412</v>
      </c>
      <c r="T65" s="47"/>
      <c r="U65" s="47">
        <f t="shared" si="51"/>
        <v>94.640294117647</v>
      </c>
      <c r="V65" s="47"/>
      <c r="W65" s="47"/>
      <c r="X65" s="47">
        <f t="shared" si="44"/>
        <v>2658.31441691176</v>
      </c>
      <c r="Y65" s="102">
        <f t="shared" si="52"/>
        <v>611.059255014706</v>
      </c>
      <c r="Z65" s="102"/>
      <c r="AA65" s="102">
        <f t="shared" si="53"/>
        <v>7.36722111764706</v>
      </c>
      <c r="AB65" s="102">
        <f t="shared" si="46"/>
        <v>618.426476132353</v>
      </c>
      <c r="AC65" s="89">
        <v>7.25</v>
      </c>
      <c r="AD65" s="47">
        <f t="shared" si="48"/>
        <v>4483.59195195956</v>
      </c>
      <c r="AE65" s="47">
        <f t="shared" si="45"/>
        <v>7141.90636887132</v>
      </c>
      <c r="AF65" s="47">
        <f t="shared" si="47"/>
        <v>-210.836968871323</v>
      </c>
    </row>
    <row r="66" s="2" customFormat="1" spans="1:32">
      <c r="A66" s="86"/>
      <c r="B66" s="45"/>
      <c r="C66" s="23">
        <v>241211000002</v>
      </c>
      <c r="D66" s="24">
        <v>45638</v>
      </c>
      <c r="E66" s="24" t="s">
        <v>62</v>
      </c>
      <c r="F66" s="45" t="s">
        <v>63</v>
      </c>
      <c r="G66" s="45" t="s">
        <v>71</v>
      </c>
      <c r="H66" s="87">
        <v>13.0793</v>
      </c>
      <c r="I66" s="87">
        <v>19192</v>
      </c>
      <c r="J66" s="104">
        <v>38909</v>
      </c>
      <c r="K66" s="89"/>
      <c r="L66" s="93"/>
      <c r="M66" s="44"/>
      <c r="N66" s="45"/>
      <c r="O66" s="45"/>
      <c r="P66" s="92">
        <f>SUM(J66)</f>
        <v>38909</v>
      </c>
      <c r="Q66" s="98"/>
      <c r="R66" s="98"/>
      <c r="S66" s="47">
        <f t="shared" si="50"/>
        <v>9378.5312992647</v>
      </c>
      <c r="T66" s="47"/>
      <c r="U66" s="47">
        <f t="shared" si="51"/>
        <v>346.216764705882</v>
      </c>
      <c r="V66" s="47"/>
      <c r="W66" s="47"/>
      <c r="X66" s="47">
        <f t="shared" si="44"/>
        <v>9724.74806397059</v>
      </c>
      <c r="Y66" s="102">
        <f t="shared" si="52"/>
        <v>2235.40047383824</v>
      </c>
      <c r="Z66" s="102"/>
      <c r="AA66" s="102">
        <f t="shared" si="53"/>
        <v>26.9510517058824</v>
      </c>
      <c r="AB66" s="102">
        <f t="shared" si="46"/>
        <v>2262.35152554412</v>
      </c>
      <c r="AC66" s="89">
        <v>7.25</v>
      </c>
      <c r="AD66" s="47">
        <f t="shared" si="48"/>
        <v>16402.0485601949</v>
      </c>
      <c r="AE66" s="47">
        <f t="shared" si="45"/>
        <v>26126.7966241654</v>
      </c>
      <c r="AF66" s="47">
        <f t="shared" si="47"/>
        <v>12782.2033758346</v>
      </c>
    </row>
    <row r="67" s="2" customFormat="1" spans="1:32">
      <c r="A67" s="86"/>
      <c r="B67" s="45"/>
      <c r="C67" s="23">
        <v>241211000045</v>
      </c>
      <c r="D67" s="24">
        <v>45638</v>
      </c>
      <c r="E67" s="24" t="s">
        <v>59</v>
      </c>
      <c r="F67" s="45" t="s">
        <v>60</v>
      </c>
      <c r="G67" s="45" t="s">
        <v>61</v>
      </c>
      <c r="H67" s="87">
        <v>10.4649</v>
      </c>
      <c r="I67" s="87">
        <v>835</v>
      </c>
      <c r="J67" s="92"/>
      <c r="K67" s="103">
        <v>4470020.1</v>
      </c>
      <c r="L67" s="93"/>
      <c r="M67" s="44">
        <f>SUM(K67/N67)</f>
        <v>1582</v>
      </c>
      <c r="N67" s="95">
        <v>2825.55</v>
      </c>
      <c r="O67" s="45">
        <v>7.18</v>
      </c>
      <c r="P67" s="92">
        <f>SUM(N67*O67)</f>
        <v>20287.449</v>
      </c>
      <c r="Q67" s="98"/>
      <c r="R67" s="98"/>
      <c r="S67" s="47">
        <f t="shared" si="50"/>
        <v>7503.87193455882</v>
      </c>
      <c r="T67" s="47"/>
      <c r="U67" s="47">
        <f t="shared" si="51"/>
        <v>277.012058823529</v>
      </c>
      <c r="V67" s="47"/>
      <c r="W67" s="47"/>
      <c r="X67" s="47">
        <f t="shared" si="44"/>
        <v>7780.88399338235</v>
      </c>
      <c r="Y67" s="102">
        <f t="shared" si="52"/>
        <v>1788.56990960294</v>
      </c>
      <c r="Z67" s="102"/>
      <c r="AA67" s="102">
        <f t="shared" si="53"/>
        <v>21.5638498235294</v>
      </c>
      <c r="AB67" s="102">
        <f t="shared" si="46"/>
        <v>1810.13375942647</v>
      </c>
      <c r="AC67" s="89">
        <v>7.25</v>
      </c>
      <c r="AD67" s="47">
        <f t="shared" si="48"/>
        <v>13123.4697558419</v>
      </c>
      <c r="AE67" s="47">
        <f t="shared" si="45"/>
        <v>20904.3537492243</v>
      </c>
      <c r="AF67" s="47">
        <f t="shared" ref="AF67:AF93" si="54">SUM(P67-AE67)</f>
        <v>-616.904749224301</v>
      </c>
    </row>
    <row r="68" s="2" customFormat="1" spans="1:32">
      <c r="A68" s="86"/>
      <c r="B68" s="45"/>
      <c r="C68" s="23">
        <v>241212000002</v>
      </c>
      <c r="D68" s="24">
        <v>45638</v>
      </c>
      <c r="E68" s="24" t="s">
        <v>59</v>
      </c>
      <c r="F68" s="45" t="s">
        <v>60</v>
      </c>
      <c r="G68" s="45" t="s">
        <v>102</v>
      </c>
      <c r="H68" s="87">
        <v>29.57</v>
      </c>
      <c r="I68" s="87">
        <v>4902</v>
      </c>
      <c r="J68" s="88">
        <v>47229.2</v>
      </c>
      <c r="K68" s="89"/>
      <c r="L68" s="93"/>
      <c r="M68" s="44"/>
      <c r="N68" s="95"/>
      <c r="O68" s="45"/>
      <c r="P68" s="92">
        <f t="shared" ref="P68:P73" si="55">SUBTOTAL(9,J68)</f>
        <v>47229.2</v>
      </c>
      <c r="Q68" s="98"/>
      <c r="R68" s="98"/>
      <c r="S68" s="47">
        <f t="shared" si="50"/>
        <v>21203.2119852941</v>
      </c>
      <c r="T68" s="47"/>
      <c r="U68" s="47">
        <f t="shared" si="51"/>
        <v>782.735294117647</v>
      </c>
      <c r="V68" s="47"/>
      <c r="W68" s="47"/>
      <c r="X68" s="47">
        <f t="shared" si="44"/>
        <v>21985.9472794118</v>
      </c>
      <c r="Y68" s="102">
        <f t="shared" si="52"/>
        <v>5053.84783676471</v>
      </c>
      <c r="Z68" s="102"/>
      <c r="AA68" s="102">
        <f t="shared" si="53"/>
        <v>60.9315941176471</v>
      </c>
      <c r="AB68" s="102">
        <f t="shared" si="46"/>
        <v>5114.77943088235</v>
      </c>
      <c r="AC68" s="89">
        <v>7.25</v>
      </c>
      <c r="AD68" s="47">
        <f t="shared" si="48"/>
        <v>37082.1508738971</v>
      </c>
      <c r="AE68" s="47">
        <f t="shared" ref="AE68:AE93" si="56">SUM(X68+AD68)</f>
        <v>59068.0981533088</v>
      </c>
      <c r="AF68" s="47">
        <f t="shared" si="54"/>
        <v>-11838.8981533088</v>
      </c>
    </row>
    <row r="69" s="2" customFormat="1" spans="1:32">
      <c r="A69" s="86"/>
      <c r="B69" s="45"/>
      <c r="C69" s="23">
        <v>241212000013</v>
      </c>
      <c r="D69" s="24">
        <v>45638</v>
      </c>
      <c r="E69" s="24" t="s">
        <v>77</v>
      </c>
      <c r="F69" s="45" t="s">
        <v>78</v>
      </c>
      <c r="G69" s="45" t="s">
        <v>93</v>
      </c>
      <c r="H69" s="87">
        <v>0.0957</v>
      </c>
      <c r="I69" s="87">
        <v>26</v>
      </c>
      <c r="J69" s="88">
        <v>186.05</v>
      </c>
      <c r="K69" s="89"/>
      <c r="L69" s="93"/>
      <c r="M69" s="44"/>
      <c r="N69" s="90"/>
      <c r="O69" s="45"/>
      <c r="P69" s="92">
        <f t="shared" si="55"/>
        <v>186.05</v>
      </c>
      <c r="Q69" s="98"/>
      <c r="R69" s="98"/>
      <c r="S69" s="47">
        <f t="shared" si="50"/>
        <v>68.6218257352941</v>
      </c>
      <c r="T69" s="47"/>
      <c r="U69" s="47">
        <f t="shared" si="51"/>
        <v>2.53323529411765</v>
      </c>
      <c r="V69" s="47"/>
      <c r="W69" s="47"/>
      <c r="X69" s="47">
        <f t="shared" ref="X69:X93" si="57">SUM(S69:W69)</f>
        <v>71.1550610294118</v>
      </c>
      <c r="Y69" s="102">
        <f t="shared" si="52"/>
        <v>16.3562136617647</v>
      </c>
      <c r="Z69" s="102"/>
      <c r="AA69" s="102">
        <f t="shared" si="53"/>
        <v>0.197198294117647</v>
      </c>
      <c r="AB69" s="102">
        <f t="shared" si="46"/>
        <v>16.5534119558824</v>
      </c>
      <c r="AC69" s="89">
        <v>7.25</v>
      </c>
      <c r="AD69" s="47">
        <f t="shared" ref="AD69:AD93" si="58">SUM(AB69*AC69)</f>
        <v>120.012236680147</v>
      </c>
      <c r="AE69" s="47">
        <f t="shared" si="56"/>
        <v>191.167297709559</v>
      </c>
      <c r="AF69" s="47">
        <f t="shared" si="54"/>
        <v>-5.11729770955898</v>
      </c>
    </row>
    <row r="70" s="2" customFormat="1" spans="1:32">
      <c r="A70" s="86"/>
      <c r="B70" s="45"/>
      <c r="C70" s="23">
        <v>241216000026</v>
      </c>
      <c r="D70" s="24">
        <v>45638</v>
      </c>
      <c r="E70" s="24" t="s">
        <v>77</v>
      </c>
      <c r="F70" s="45" t="s">
        <v>78</v>
      </c>
      <c r="G70" s="45" t="s">
        <v>93</v>
      </c>
      <c r="H70" s="87">
        <v>9.6179</v>
      </c>
      <c r="I70" s="87">
        <v>931.83</v>
      </c>
      <c r="J70" s="88">
        <v>17313.84</v>
      </c>
      <c r="K70" s="89"/>
      <c r="L70" s="93"/>
      <c r="M70" s="44"/>
      <c r="N70" s="90"/>
      <c r="O70" s="45"/>
      <c r="P70" s="92">
        <f t="shared" si="55"/>
        <v>17313.84</v>
      </c>
      <c r="Q70" s="100"/>
      <c r="R70" s="100"/>
      <c r="S70" s="47">
        <f t="shared" si="50"/>
        <v>6896.52933897059</v>
      </c>
      <c r="T70" s="47"/>
      <c r="U70" s="47">
        <f t="shared" si="51"/>
        <v>254.591470588235</v>
      </c>
      <c r="V70" s="47"/>
      <c r="W70" s="47"/>
      <c r="X70" s="47">
        <f t="shared" si="57"/>
        <v>7151.12080955882</v>
      </c>
      <c r="Y70" s="102">
        <f t="shared" si="52"/>
        <v>1643.80801857353</v>
      </c>
      <c r="Z70" s="102"/>
      <c r="AA70" s="102">
        <f t="shared" si="53"/>
        <v>19.8185315882353</v>
      </c>
      <c r="AB70" s="102">
        <f t="shared" ref="AB70:AB93" si="59">SUM(Y70:AA70)</f>
        <v>1663.62655016176</v>
      </c>
      <c r="AC70" s="89">
        <v>7.25</v>
      </c>
      <c r="AD70" s="47">
        <f t="shared" si="58"/>
        <v>12061.2924886728</v>
      </c>
      <c r="AE70" s="47">
        <f t="shared" si="56"/>
        <v>19212.4132982316</v>
      </c>
      <c r="AF70" s="47">
        <f t="shared" si="54"/>
        <v>-1898.5732982316</v>
      </c>
    </row>
    <row r="71" s="2" customFormat="1" spans="1:32">
      <c r="A71" s="86" t="s">
        <v>12</v>
      </c>
      <c r="B71" s="45" t="s">
        <v>13</v>
      </c>
      <c r="C71" s="23">
        <v>241127000030</v>
      </c>
      <c r="D71" s="24">
        <v>45643</v>
      </c>
      <c r="E71" s="24" t="s">
        <v>68</v>
      </c>
      <c r="F71" s="45" t="s">
        <v>69</v>
      </c>
      <c r="G71" s="45" t="s">
        <v>75</v>
      </c>
      <c r="H71" s="87">
        <v>0.4598</v>
      </c>
      <c r="I71" s="87">
        <v>114</v>
      </c>
      <c r="J71" s="88">
        <v>860.5</v>
      </c>
      <c r="K71" s="89"/>
      <c r="L71" s="93"/>
      <c r="M71" s="44"/>
      <c r="N71" s="90"/>
      <c r="O71" s="45"/>
      <c r="P71" s="92">
        <f t="shared" si="55"/>
        <v>860.5</v>
      </c>
      <c r="Q71" s="96">
        <f>SUM(P71:P93)</f>
        <v>185884.7669</v>
      </c>
      <c r="R71" s="97" t="s">
        <v>108</v>
      </c>
      <c r="S71" s="47">
        <f>SUM(50080.5/68)*H71</f>
        <v>338.632557352941</v>
      </c>
      <c r="T71" s="47"/>
      <c r="U71" s="47">
        <f>SUM(2000/68)*H71</f>
        <v>13.5235294117647</v>
      </c>
      <c r="V71" s="47"/>
      <c r="W71" s="47"/>
      <c r="X71" s="47">
        <f t="shared" si="57"/>
        <v>352.156086764706</v>
      </c>
      <c r="Y71" s="101">
        <f>SUM(12270/68)*H71</f>
        <v>82.9668529411765</v>
      </c>
      <c r="Z71" s="101">
        <v>76.28</v>
      </c>
      <c r="AA71" s="101">
        <f>SUM(55.42/68)*H71</f>
        <v>0.374737</v>
      </c>
      <c r="AB71" s="102">
        <f t="shared" si="59"/>
        <v>159.621589941176</v>
      </c>
      <c r="AC71" s="89">
        <v>7.25</v>
      </c>
      <c r="AD71" s="47">
        <f t="shared" si="58"/>
        <v>1157.25652707353</v>
      </c>
      <c r="AE71" s="47">
        <f t="shared" si="56"/>
        <v>1509.41261383824</v>
      </c>
      <c r="AF71" s="47">
        <f t="shared" si="54"/>
        <v>-648.91261383824</v>
      </c>
    </row>
    <row r="72" s="2" customFormat="1" spans="1:32">
      <c r="A72" s="86"/>
      <c r="B72" s="45"/>
      <c r="C72" s="23">
        <v>241209000067</v>
      </c>
      <c r="D72" s="24">
        <v>45643</v>
      </c>
      <c r="E72" s="24" t="s">
        <v>65</v>
      </c>
      <c r="F72" s="45" t="s">
        <v>65</v>
      </c>
      <c r="G72" s="45" t="s">
        <v>109</v>
      </c>
      <c r="H72" s="87">
        <v>0.023</v>
      </c>
      <c r="I72" s="87">
        <v>43</v>
      </c>
      <c r="J72" s="88">
        <v>152.5</v>
      </c>
      <c r="K72" s="89"/>
      <c r="L72" s="93"/>
      <c r="M72" s="44"/>
      <c r="N72" s="90"/>
      <c r="O72" s="45"/>
      <c r="P72" s="92">
        <f t="shared" si="55"/>
        <v>152.5</v>
      </c>
      <c r="Q72" s="98"/>
      <c r="R72" s="98"/>
      <c r="S72" s="47">
        <f t="shared" ref="S72:S93" si="60">SUM(50080.5/68)*H72</f>
        <v>16.9389926470588</v>
      </c>
      <c r="T72" s="47"/>
      <c r="U72" s="47">
        <f t="shared" ref="U72:U93" si="61">SUM(2000/68)*H72</f>
        <v>0.676470588235294</v>
      </c>
      <c r="V72" s="47"/>
      <c r="W72" s="47"/>
      <c r="X72" s="47">
        <f t="shared" si="57"/>
        <v>17.6154632352941</v>
      </c>
      <c r="Y72" s="101">
        <f t="shared" ref="Y72:Y93" si="62">SUM(12270/68)*H72</f>
        <v>4.15014705882353</v>
      </c>
      <c r="Z72" s="102"/>
      <c r="AA72" s="101">
        <f t="shared" ref="AA72:AA93" si="63">SUM(55.42/68)*H72</f>
        <v>0.018745</v>
      </c>
      <c r="AB72" s="102">
        <f t="shared" si="59"/>
        <v>4.16889205882353</v>
      </c>
      <c r="AC72" s="89">
        <v>7.25</v>
      </c>
      <c r="AD72" s="47">
        <f t="shared" si="58"/>
        <v>30.2244674264706</v>
      </c>
      <c r="AE72" s="47">
        <f t="shared" si="56"/>
        <v>47.8399306617647</v>
      </c>
      <c r="AF72" s="47">
        <f t="shared" si="54"/>
        <v>104.660069338235</v>
      </c>
    </row>
    <row r="73" s="2" customFormat="1" spans="1:32">
      <c r="A73" s="86"/>
      <c r="B73" s="45"/>
      <c r="C73" s="23">
        <v>241209000092</v>
      </c>
      <c r="D73" s="24">
        <v>45643</v>
      </c>
      <c r="E73" s="24" t="s">
        <v>68</v>
      </c>
      <c r="F73" s="45" t="s">
        <v>69</v>
      </c>
      <c r="G73" s="45" t="s">
        <v>110</v>
      </c>
      <c r="H73" s="87">
        <v>0.1652</v>
      </c>
      <c r="I73" s="87">
        <v>33</v>
      </c>
      <c r="J73" s="88">
        <v>565</v>
      </c>
      <c r="K73" s="89"/>
      <c r="L73" s="93"/>
      <c r="M73" s="44"/>
      <c r="N73" s="90"/>
      <c r="O73" s="45"/>
      <c r="P73" s="92">
        <f t="shared" si="55"/>
        <v>565</v>
      </c>
      <c r="Q73" s="98"/>
      <c r="R73" s="98"/>
      <c r="S73" s="47">
        <f t="shared" si="60"/>
        <v>121.666155882353</v>
      </c>
      <c r="T73" s="47"/>
      <c r="U73" s="47">
        <f t="shared" si="61"/>
        <v>4.85882352941177</v>
      </c>
      <c r="V73" s="47"/>
      <c r="W73" s="47"/>
      <c r="X73" s="47">
        <f t="shared" si="57"/>
        <v>126.524979411765</v>
      </c>
      <c r="Y73" s="101">
        <f t="shared" si="62"/>
        <v>29.8088823529412</v>
      </c>
      <c r="Z73" s="101">
        <v>19.6</v>
      </c>
      <c r="AA73" s="101">
        <f t="shared" si="63"/>
        <v>0.134638</v>
      </c>
      <c r="AB73" s="102">
        <f t="shared" si="59"/>
        <v>49.5435203529412</v>
      </c>
      <c r="AC73" s="89">
        <v>7.25</v>
      </c>
      <c r="AD73" s="47">
        <f t="shared" si="58"/>
        <v>359.190522558824</v>
      </c>
      <c r="AE73" s="47">
        <f t="shared" si="56"/>
        <v>485.715501970588</v>
      </c>
      <c r="AF73" s="47">
        <f t="shared" si="54"/>
        <v>79.284498029412</v>
      </c>
    </row>
    <row r="74" s="2" customFormat="1" spans="1:32">
      <c r="A74" s="86"/>
      <c r="B74" s="45"/>
      <c r="C74" s="23">
        <v>241210000030</v>
      </c>
      <c r="D74" s="24">
        <v>45643</v>
      </c>
      <c r="E74" s="24" t="s">
        <v>68</v>
      </c>
      <c r="F74" s="45" t="s">
        <v>69</v>
      </c>
      <c r="G74" s="45" t="s">
        <v>100</v>
      </c>
      <c r="H74" s="87">
        <v>0.5114</v>
      </c>
      <c r="I74" s="87">
        <v>65</v>
      </c>
      <c r="J74" s="92"/>
      <c r="K74" s="103">
        <v>312494</v>
      </c>
      <c r="L74" s="93"/>
      <c r="M74" s="44">
        <f>SUM(K74/N74)</f>
        <v>1651.48504386428</v>
      </c>
      <c r="N74" s="95">
        <v>189.22</v>
      </c>
      <c r="O74" s="45">
        <v>7.27</v>
      </c>
      <c r="P74" s="92">
        <f>SUM(N74*O74)</f>
        <v>1375.6294</v>
      </c>
      <c r="Q74" s="98"/>
      <c r="R74" s="98"/>
      <c r="S74" s="47">
        <f t="shared" si="60"/>
        <v>376.634819117647</v>
      </c>
      <c r="T74" s="47"/>
      <c r="U74" s="47">
        <f t="shared" si="61"/>
        <v>15.0411764705882</v>
      </c>
      <c r="V74" s="47"/>
      <c r="W74" s="47"/>
      <c r="X74" s="47">
        <f t="shared" si="57"/>
        <v>391.675995588235</v>
      </c>
      <c r="Y74" s="101">
        <f t="shared" si="62"/>
        <v>92.2776176470588</v>
      </c>
      <c r="Z74" s="102"/>
      <c r="AA74" s="101">
        <f t="shared" si="63"/>
        <v>0.416791</v>
      </c>
      <c r="AB74" s="102">
        <f t="shared" si="59"/>
        <v>92.6944086470588</v>
      </c>
      <c r="AC74" s="89">
        <v>7.25</v>
      </c>
      <c r="AD74" s="47">
        <f t="shared" si="58"/>
        <v>672.034462691176</v>
      </c>
      <c r="AE74" s="47">
        <f t="shared" si="56"/>
        <v>1063.71045827941</v>
      </c>
      <c r="AF74" s="47">
        <f t="shared" si="54"/>
        <v>311.91894172059</v>
      </c>
    </row>
    <row r="75" s="2" customFormat="1" spans="1:32">
      <c r="A75" s="86"/>
      <c r="B75" s="45"/>
      <c r="C75" s="23">
        <v>241210000041</v>
      </c>
      <c r="D75" s="24">
        <v>45643</v>
      </c>
      <c r="E75" s="24" t="s">
        <v>68</v>
      </c>
      <c r="F75" s="45" t="s">
        <v>69</v>
      </c>
      <c r="G75" s="45" t="s">
        <v>111</v>
      </c>
      <c r="H75" s="87">
        <v>0.7637</v>
      </c>
      <c r="I75" s="87">
        <v>207</v>
      </c>
      <c r="J75" s="88">
        <v>1810.4</v>
      </c>
      <c r="K75" s="89"/>
      <c r="L75" s="93"/>
      <c r="M75" s="44"/>
      <c r="N75" s="90"/>
      <c r="O75" s="45"/>
      <c r="P75" s="92">
        <f t="shared" ref="P75:P80" si="64">SUBTOTAL(9,J75)</f>
        <v>1810.4</v>
      </c>
      <c r="Q75" s="98"/>
      <c r="R75" s="98"/>
      <c r="S75" s="47">
        <f t="shared" si="60"/>
        <v>562.448203676471</v>
      </c>
      <c r="T75" s="47"/>
      <c r="U75" s="47">
        <f t="shared" si="61"/>
        <v>22.4617647058824</v>
      </c>
      <c r="V75" s="47"/>
      <c r="W75" s="47"/>
      <c r="X75" s="47">
        <f t="shared" si="57"/>
        <v>584.909968382353</v>
      </c>
      <c r="Y75" s="101">
        <f t="shared" si="62"/>
        <v>137.802926470588</v>
      </c>
      <c r="Z75" s="102"/>
      <c r="AA75" s="101">
        <f t="shared" si="63"/>
        <v>0.6224155</v>
      </c>
      <c r="AB75" s="102">
        <f t="shared" si="59"/>
        <v>138.425341970588</v>
      </c>
      <c r="AC75" s="89">
        <v>7.25</v>
      </c>
      <c r="AD75" s="47">
        <f t="shared" si="58"/>
        <v>1003.58372928676</v>
      </c>
      <c r="AE75" s="47">
        <f t="shared" si="56"/>
        <v>1588.49369766912</v>
      </c>
      <c r="AF75" s="47">
        <f t="shared" si="54"/>
        <v>221.90630233088</v>
      </c>
    </row>
    <row r="76" s="2" customFormat="1" spans="1:32">
      <c r="A76" s="86"/>
      <c r="B76" s="45"/>
      <c r="C76" s="23">
        <v>241211000027</v>
      </c>
      <c r="D76" s="24">
        <v>45643</v>
      </c>
      <c r="E76" s="24" t="s">
        <v>65</v>
      </c>
      <c r="F76" s="45" t="s">
        <v>65</v>
      </c>
      <c r="G76" s="45" t="s">
        <v>101</v>
      </c>
      <c r="H76" s="87">
        <v>23.8172</v>
      </c>
      <c r="I76" s="87">
        <v>4565</v>
      </c>
      <c r="J76" s="88">
        <v>54267</v>
      </c>
      <c r="K76" s="89"/>
      <c r="L76" s="93"/>
      <c r="M76" s="44"/>
      <c r="N76" s="90"/>
      <c r="O76" s="45"/>
      <c r="P76" s="92">
        <f t="shared" si="64"/>
        <v>54267</v>
      </c>
      <c r="Q76" s="98"/>
      <c r="R76" s="98"/>
      <c r="S76" s="47">
        <f t="shared" si="60"/>
        <v>17540.8424205882</v>
      </c>
      <c r="T76" s="47"/>
      <c r="U76" s="47">
        <f t="shared" si="61"/>
        <v>700.505882352941</v>
      </c>
      <c r="V76" s="47"/>
      <c r="W76" s="47"/>
      <c r="X76" s="47">
        <f t="shared" si="57"/>
        <v>18241.3483029412</v>
      </c>
      <c r="Y76" s="101">
        <f t="shared" si="62"/>
        <v>4297.60358823529</v>
      </c>
      <c r="Z76" s="101">
        <v>136.87</v>
      </c>
      <c r="AA76" s="101">
        <f t="shared" si="63"/>
        <v>19.411018</v>
      </c>
      <c r="AB76" s="102">
        <f t="shared" si="59"/>
        <v>4453.88460623529</v>
      </c>
      <c r="AC76" s="89">
        <v>7.25</v>
      </c>
      <c r="AD76" s="47">
        <f t="shared" si="58"/>
        <v>32290.6633952059</v>
      </c>
      <c r="AE76" s="47">
        <f t="shared" si="56"/>
        <v>50532.0116981471</v>
      </c>
      <c r="AF76" s="47">
        <f t="shared" si="54"/>
        <v>3734.9883018529</v>
      </c>
    </row>
    <row r="77" s="2" customFormat="1" spans="1:32">
      <c r="A77" s="86"/>
      <c r="B77" s="45"/>
      <c r="C77" s="23">
        <v>241212000006</v>
      </c>
      <c r="D77" s="24">
        <v>45643</v>
      </c>
      <c r="E77" s="24" t="s">
        <v>68</v>
      </c>
      <c r="F77" s="45" t="s">
        <v>69</v>
      </c>
      <c r="G77" s="45" t="s">
        <v>112</v>
      </c>
      <c r="H77" s="87">
        <v>3.0701</v>
      </c>
      <c r="I77" s="87">
        <v>1383</v>
      </c>
      <c r="J77" s="92"/>
      <c r="K77" s="103">
        <v>1406444</v>
      </c>
      <c r="L77" s="93"/>
      <c r="M77" s="44">
        <f>SUM(K77/N77)</f>
        <v>1607.40131202999</v>
      </c>
      <c r="N77" s="95">
        <v>874.98</v>
      </c>
      <c r="O77" s="45">
        <v>7.3</v>
      </c>
      <c r="P77" s="92">
        <f>SUM(N77*O77)</f>
        <v>6387.354</v>
      </c>
      <c r="Q77" s="98"/>
      <c r="R77" s="98"/>
      <c r="S77" s="47">
        <f t="shared" si="60"/>
        <v>2261.06092720588</v>
      </c>
      <c r="T77" s="47"/>
      <c r="U77" s="47">
        <f t="shared" si="61"/>
        <v>90.2970588235294</v>
      </c>
      <c r="V77" s="47"/>
      <c r="W77" s="47"/>
      <c r="X77" s="47">
        <f t="shared" si="57"/>
        <v>2351.35798602941</v>
      </c>
      <c r="Y77" s="101">
        <f t="shared" si="62"/>
        <v>553.972455882353</v>
      </c>
      <c r="Z77" s="102"/>
      <c r="AA77" s="101">
        <f t="shared" si="63"/>
        <v>2.5021315</v>
      </c>
      <c r="AB77" s="102">
        <f t="shared" si="59"/>
        <v>556.474587382353</v>
      </c>
      <c r="AC77" s="89">
        <v>7.25</v>
      </c>
      <c r="AD77" s="47">
        <f t="shared" si="58"/>
        <v>4034.44075852206</v>
      </c>
      <c r="AE77" s="47">
        <f t="shared" si="56"/>
        <v>6385.79874455147</v>
      </c>
      <c r="AF77" s="47">
        <f t="shared" si="54"/>
        <v>1.55525544853026</v>
      </c>
    </row>
    <row r="78" s="2" customFormat="1" spans="1:32">
      <c r="A78" s="86"/>
      <c r="B78" s="45"/>
      <c r="C78" s="23">
        <v>241212000015</v>
      </c>
      <c r="D78" s="24">
        <v>45643</v>
      </c>
      <c r="E78" s="24" t="s">
        <v>65</v>
      </c>
      <c r="F78" s="45" t="s">
        <v>65</v>
      </c>
      <c r="G78" s="45" t="s">
        <v>109</v>
      </c>
      <c r="H78" s="87">
        <v>2.957</v>
      </c>
      <c r="I78" s="87">
        <v>1339</v>
      </c>
      <c r="J78" s="88">
        <v>7123.63</v>
      </c>
      <c r="K78" s="89"/>
      <c r="L78" s="93"/>
      <c r="M78" s="44"/>
      <c r="N78" s="90"/>
      <c r="O78" s="45"/>
      <c r="P78" s="92">
        <f t="shared" si="64"/>
        <v>7123.63</v>
      </c>
      <c r="Q78" s="98"/>
      <c r="R78" s="98"/>
      <c r="S78" s="47">
        <f t="shared" si="60"/>
        <v>2177.76527205882</v>
      </c>
      <c r="T78" s="47"/>
      <c r="U78" s="47">
        <f t="shared" si="61"/>
        <v>86.9705882352941</v>
      </c>
      <c r="V78" s="47"/>
      <c r="W78" s="47"/>
      <c r="X78" s="47">
        <f t="shared" si="57"/>
        <v>2264.73586029412</v>
      </c>
      <c r="Y78" s="101">
        <f t="shared" si="62"/>
        <v>533.564558823529</v>
      </c>
      <c r="Z78" s="102"/>
      <c r="AA78" s="101">
        <f t="shared" si="63"/>
        <v>2.409955</v>
      </c>
      <c r="AB78" s="102">
        <f t="shared" si="59"/>
        <v>535.974513823529</v>
      </c>
      <c r="AC78" s="89">
        <v>7.25</v>
      </c>
      <c r="AD78" s="47">
        <f t="shared" si="58"/>
        <v>3885.81522522059</v>
      </c>
      <c r="AE78" s="47">
        <f t="shared" si="56"/>
        <v>6150.55108551471</v>
      </c>
      <c r="AF78" s="47">
        <f t="shared" si="54"/>
        <v>973.07891448529</v>
      </c>
    </row>
    <row r="79" s="2" customFormat="1" spans="1:32">
      <c r="A79" s="86"/>
      <c r="B79" s="45"/>
      <c r="C79" s="23">
        <v>241213000032</v>
      </c>
      <c r="D79" s="24">
        <v>45643</v>
      </c>
      <c r="E79" s="24" t="s">
        <v>68</v>
      </c>
      <c r="F79" s="45" t="s">
        <v>69</v>
      </c>
      <c r="G79" s="45" t="s">
        <v>113</v>
      </c>
      <c r="H79" s="87">
        <v>1.137</v>
      </c>
      <c r="I79" s="87">
        <v>240</v>
      </c>
      <c r="J79" s="88">
        <v>2906</v>
      </c>
      <c r="K79" s="89"/>
      <c r="L79" s="93"/>
      <c r="M79" s="44"/>
      <c r="N79" s="90"/>
      <c r="O79" s="45"/>
      <c r="P79" s="92">
        <f t="shared" si="64"/>
        <v>2906</v>
      </c>
      <c r="Q79" s="98"/>
      <c r="R79" s="98"/>
      <c r="S79" s="47">
        <f t="shared" si="60"/>
        <v>837.375419117647</v>
      </c>
      <c r="T79" s="47"/>
      <c r="U79" s="47">
        <f t="shared" si="61"/>
        <v>33.4411764705882</v>
      </c>
      <c r="V79" s="47"/>
      <c r="W79" s="47"/>
      <c r="X79" s="47">
        <f t="shared" si="57"/>
        <v>870.816595588235</v>
      </c>
      <c r="Y79" s="101">
        <f t="shared" si="62"/>
        <v>205.161617647059</v>
      </c>
      <c r="Z79" s="101">
        <v>41.99</v>
      </c>
      <c r="AA79" s="101">
        <f t="shared" si="63"/>
        <v>0.926655</v>
      </c>
      <c r="AB79" s="102">
        <f t="shared" si="59"/>
        <v>248.078272647059</v>
      </c>
      <c r="AC79" s="89">
        <v>7.25</v>
      </c>
      <c r="AD79" s="47">
        <f t="shared" si="58"/>
        <v>1798.56747669118</v>
      </c>
      <c r="AE79" s="47">
        <f t="shared" si="56"/>
        <v>2669.38407227941</v>
      </c>
      <c r="AF79" s="47">
        <f t="shared" si="54"/>
        <v>236.61592772059</v>
      </c>
    </row>
    <row r="80" s="2" customFormat="1" spans="1:32">
      <c r="A80" s="86"/>
      <c r="B80" s="45"/>
      <c r="C80" s="23">
        <v>241213000053</v>
      </c>
      <c r="D80" s="24">
        <v>45643</v>
      </c>
      <c r="E80" s="24" t="s">
        <v>68</v>
      </c>
      <c r="F80" s="45" t="s">
        <v>69</v>
      </c>
      <c r="G80" s="45" t="s">
        <v>113</v>
      </c>
      <c r="H80" s="87">
        <v>0.0959</v>
      </c>
      <c r="I80" s="87">
        <v>16</v>
      </c>
      <c r="J80" s="88">
        <v>228</v>
      </c>
      <c r="K80" s="89"/>
      <c r="L80" s="93"/>
      <c r="M80" s="44"/>
      <c r="N80" s="90"/>
      <c r="O80" s="45"/>
      <c r="P80" s="92">
        <f t="shared" si="64"/>
        <v>228</v>
      </c>
      <c r="Q80" s="98"/>
      <c r="R80" s="98"/>
      <c r="S80" s="47">
        <f t="shared" si="60"/>
        <v>70.6282345588235</v>
      </c>
      <c r="T80" s="47"/>
      <c r="U80" s="47">
        <f t="shared" si="61"/>
        <v>2.82058823529412</v>
      </c>
      <c r="V80" s="47"/>
      <c r="W80" s="47"/>
      <c r="X80" s="47">
        <f t="shared" si="57"/>
        <v>73.4488227941177</v>
      </c>
      <c r="Y80" s="101">
        <f t="shared" si="62"/>
        <v>17.3043088235294</v>
      </c>
      <c r="Z80" s="101">
        <v>35.58</v>
      </c>
      <c r="AA80" s="101">
        <f t="shared" si="63"/>
        <v>0.0781585</v>
      </c>
      <c r="AB80" s="102">
        <f t="shared" si="59"/>
        <v>52.9624673235294</v>
      </c>
      <c r="AC80" s="89">
        <v>7.25</v>
      </c>
      <c r="AD80" s="47">
        <f t="shared" si="58"/>
        <v>383.977888095588</v>
      </c>
      <c r="AE80" s="47">
        <f t="shared" si="56"/>
        <v>457.426710889706</v>
      </c>
      <c r="AF80" s="47">
        <f t="shared" si="54"/>
        <v>-229.426710889706</v>
      </c>
    </row>
    <row r="81" s="2" customFormat="1" spans="1:32">
      <c r="A81" s="86"/>
      <c r="B81" s="45"/>
      <c r="C81" s="23">
        <v>241213000056</v>
      </c>
      <c r="D81" s="24">
        <v>45643</v>
      </c>
      <c r="E81" s="24" t="s">
        <v>55</v>
      </c>
      <c r="F81" s="45" t="s">
        <v>56</v>
      </c>
      <c r="G81" s="45" t="s">
        <v>57</v>
      </c>
      <c r="H81" s="87">
        <v>1.2461</v>
      </c>
      <c r="I81" s="87">
        <v>230</v>
      </c>
      <c r="J81" s="92"/>
      <c r="K81" s="103">
        <v>116181</v>
      </c>
      <c r="L81" s="95">
        <v>300</v>
      </c>
      <c r="M81" s="44">
        <f>SUM(K81/N81)</f>
        <v>310.760712566201</v>
      </c>
      <c r="N81" s="95">
        <v>373.86</v>
      </c>
      <c r="O81" s="45">
        <v>7.27</v>
      </c>
      <c r="P81" s="92">
        <f>SUM(N81*O81)</f>
        <v>2717.9622</v>
      </c>
      <c r="Q81" s="98"/>
      <c r="R81" s="98"/>
      <c r="S81" s="47">
        <f t="shared" si="60"/>
        <v>917.7251625</v>
      </c>
      <c r="T81" s="47"/>
      <c r="U81" s="47">
        <f t="shared" si="61"/>
        <v>36.65</v>
      </c>
      <c r="V81" s="47"/>
      <c r="W81" s="47"/>
      <c r="X81" s="47">
        <f t="shared" si="57"/>
        <v>954.3751625</v>
      </c>
      <c r="Y81" s="101">
        <f t="shared" si="62"/>
        <v>224.84775</v>
      </c>
      <c r="Z81" s="102"/>
      <c r="AA81" s="101">
        <f t="shared" si="63"/>
        <v>1.0155715</v>
      </c>
      <c r="AB81" s="102">
        <f t="shared" si="59"/>
        <v>225.8633215</v>
      </c>
      <c r="AC81" s="89">
        <v>7.25</v>
      </c>
      <c r="AD81" s="47">
        <f t="shared" si="58"/>
        <v>1637.509080875</v>
      </c>
      <c r="AE81" s="47">
        <f t="shared" si="56"/>
        <v>2591.884243375</v>
      </c>
      <c r="AF81" s="47">
        <f t="shared" si="54"/>
        <v>126.077956625</v>
      </c>
    </row>
    <row r="82" s="2" customFormat="1" spans="1:32">
      <c r="A82" s="86"/>
      <c r="B82" s="45"/>
      <c r="C82" s="23">
        <v>241214000027</v>
      </c>
      <c r="D82" s="24">
        <v>45643</v>
      </c>
      <c r="E82" s="24" t="s">
        <v>65</v>
      </c>
      <c r="F82" s="45" t="s">
        <v>65</v>
      </c>
      <c r="G82" s="45" t="s">
        <v>114</v>
      </c>
      <c r="H82" s="87">
        <v>0.0295</v>
      </c>
      <c r="I82" s="87">
        <v>50</v>
      </c>
      <c r="J82" s="88">
        <v>555.8</v>
      </c>
      <c r="K82" s="107"/>
      <c r="L82" s="93"/>
      <c r="M82" s="44"/>
      <c r="N82" s="90"/>
      <c r="O82" s="45"/>
      <c r="P82" s="92">
        <f t="shared" ref="P82:P87" si="65">SUBTOTAL(9,J82)</f>
        <v>555.8</v>
      </c>
      <c r="Q82" s="98"/>
      <c r="R82" s="98"/>
      <c r="S82" s="47">
        <f t="shared" si="60"/>
        <v>21.7260992647059</v>
      </c>
      <c r="T82" s="47"/>
      <c r="U82" s="47">
        <f t="shared" si="61"/>
        <v>0.867647058823529</v>
      </c>
      <c r="V82" s="47"/>
      <c r="W82" s="47"/>
      <c r="X82" s="47">
        <f t="shared" si="57"/>
        <v>22.5937463235294</v>
      </c>
      <c r="Y82" s="101">
        <f t="shared" si="62"/>
        <v>5.32301470588235</v>
      </c>
      <c r="Z82" s="101">
        <v>44.59</v>
      </c>
      <c r="AA82" s="101">
        <f t="shared" si="63"/>
        <v>0.0240425</v>
      </c>
      <c r="AB82" s="102">
        <f t="shared" si="59"/>
        <v>49.9370572058824</v>
      </c>
      <c r="AC82" s="89">
        <v>7.25</v>
      </c>
      <c r="AD82" s="47">
        <f t="shared" si="58"/>
        <v>362.043664742647</v>
      </c>
      <c r="AE82" s="47">
        <f t="shared" si="56"/>
        <v>384.637411066176</v>
      </c>
      <c r="AF82" s="47">
        <f t="shared" si="54"/>
        <v>171.162588933824</v>
      </c>
    </row>
    <row r="83" s="2" customFormat="1" spans="1:32">
      <c r="A83" s="86"/>
      <c r="B83" s="45"/>
      <c r="C83" s="23">
        <v>241128000030</v>
      </c>
      <c r="D83" s="24">
        <v>45643</v>
      </c>
      <c r="E83" s="24" t="s">
        <v>65</v>
      </c>
      <c r="F83" s="45" t="s">
        <v>65</v>
      </c>
      <c r="G83" s="45" t="s">
        <v>101</v>
      </c>
      <c r="H83" s="87">
        <v>6.1439</v>
      </c>
      <c r="I83" s="87">
        <v>3510</v>
      </c>
      <c r="J83" s="88">
        <v>18062</v>
      </c>
      <c r="K83" s="89"/>
      <c r="L83" s="93"/>
      <c r="M83" s="44"/>
      <c r="N83" s="90"/>
      <c r="O83" s="45"/>
      <c r="P83" s="92">
        <f t="shared" si="65"/>
        <v>18062</v>
      </c>
      <c r="Q83" s="98"/>
      <c r="R83" s="98"/>
      <c r="S83" s="47">
        <f t="shared" si="60"/>
        <v>4524.84682279412</v>
      </c>
      <c r="T83" s="47"/>
      <c r="U83" s="47">
        <f t="shared" si="61"/>
        <v>180.702941176471</v>
      </c>
      <c r="V83" s="47"/>
      <c r="W83" s="47"/>
      <c r="X83" s="47">
        <f t="shared" si="57"/>
        <v>4705.54976397059</v>
      </c>
      <c r="Y83" s="101">
        <f t="shared" si="62"/>
        <v>1108.61254411765</v>
      </c>
      <c r="Z83" s="102"/>
      <c r="AA83" s="101">
        <f t="shared" si="63"/>
        <v>5.0072785</v>
      </c>
      <c r="AB83" s="102">
        <f t="shared" si="59"/>
        <v>1113.61982261765</v>
      </c>
      <c r="AC83" s="89">
        <v>7.25</v>
      </c>
      <c r="AD83" s="47">
        <f t="shared" si="58"/>
        <v>8073.74371397794</v>
      </c>
      <c r="AE83" s="47">
        <f t="shared" si="56"/>
        <v>12779.2934779485</v>
      </c>
      <c r="AF83" s="47">
        <f t="shared" si="54"/>
        <v>5282.7065220515</v>
      </c>
    </row>
    <row r="84" s="2" customFormat="1" spans="1:32">
      <c r="A84" s="86"/>
      <c r="B84" s="45"/>
      <c r="C84" s="23">
        <v>250110000026</v>
      </c>
      <c r="D84" s="24">
        <v>45643</v>
      </c>
      <c r="E84" s="24" t="s">
        <v>81</v>
      </c>
      <c r="F84" s="45" t="s">
        <v>89</v>
      </c>
      <c r="G84" s="45" t="s">
        <v>90</v>
      </c>
      <c r="H84" s="87">
        <v>1.0248</v>
      </c>
      <c r="I84" s="87">
        <v>276</v>
      </c>
      <c r="J84" s="88">
        <v>2271.15</v>
      </c>
      <c r="K84" s="89"/>
      <c r="L84" s="93"/>
      <c r="M84" s="44"/>
      <c r="N84" s="90"/>
      <c r="O84" s="45"/>
      <c r="P84" s="92">
        <f t="shared" si="65"/>
        <v>2271.15</v>
      </c>
      <c r="Q84" s="98"/>
      <c r="R84" s="98"/>
      <c r="S84" s="47">
        <f t="shared" si="60"/>
        <v>754.742594117647</v>
      </c>
      <c r="T84" s="47"/>
      <c r="U84" s="47">
        <f t="shared" si="61"/>
        <v>30.1411764705882</v>
      </c>
      <c r="V84" s="47"/>
      <c r="W84" s="47"/>
      <c r="X84" s="47">
        <f t="shared" si="57"/>
        <v>784.883770588235</v>
      </c>
      <c r="Y84" s="101">
        <f t="shared" si="62"/>
        <v>184.916117647059</v>
      </c>
      <c r="Z84" s="102"/>
      <c r="AA84" s="101">
        <f t="shared" si="63"/>
        <v>0.835212</v>
      </c>
      <c r="AB84" s="102">
        <f t="shared" si="59"/>
        <v>185.751329647059</v>
      </c>
      <c r="AC84" s="89">
        <v>7.25</v>
      </c>
      <c r="AD84" s="47">
        <f t="shared" si="58"/>
        <v>1346.69713994118</v>
      </c>
      <c r="AE84" s="47">
        <f t="shared" si="56"/>
        <v>2131.58091052941</v>
      </c>
      <c r="AF84" s="47">
        <f t="shared" si="54"/>
        <v>139.56908947059</v>
      </c>
    </row>
    <row r="85" s="2" customFormat="1" spans="1:32">
      <c r="A85" s="86"/>
      <c r="B85" s="45"/>
      <c r="C85" s="23">
        <v>241126000049</v>
      </c>
      <c r="D85" s="24">
        <v>45638</v>
      </c>
      <c r="E85" s="24" t="s">
        <v>65</v>
      </c>
      <c r="F85" s="45" t="s">
        <v>65</v>
      </c>
      <c r="G85" s="45" t="s">
        <v>106</v>
      </c>
      <c r="H85" s="87">
        <v>20.5166</v>
      </c>
      <c r="I85" s="87">
        <v>8722</v>
      </c>
      <c r="J85" s="88">
        <v>58944</v>
      </c>
      <c r="K85" s="89"/>
      <c r="L85" s="93"/>
      <c r="M85" s="44"/>
      <c r="N85" s="90"/>
      <c r="O85" s="45"/>
      <c r="P85" s="92">
        <f t="shared" si="65"/>
        <v>58944</v>
      </c>
      <c r="Q85" s="98"/>
      <c r="R85" s="98"/>
      <c r="S85" s="47">
        <f t="shared" si="60"/>
        <v>15110.0233279412</v>
      </c>
      <c r="T85" s="47"/>
      <c r="U85" s="47">
        <f t="shared" si="61"/>
        <v>603.429411764706</v>
      </c>
      <c r="V85" s="47"/>
      <c r="W85" s="47"/>
      <c r="X85" s="47">
        <f t="shared" si="57"/>
        <v>15713.4527397059</v>
      </c>
      <c r="Y85" s="101">
        <f t="shared" si="62"/>
        <v>3702.03944117647</v>
      </c>
      <c r="Z85" s="101">
        <v>1082.8</v>
      </c>
      <c r="AA85" s="101">
        <f t="shared" si="63"/>
        <v>16.721029</v>
      </c>
      <c r="AB85" s="102">
        <f t="shared" si="59"/>
        <v>4801.56047017647</v>
      </c>
      <c r="AC85" s="89">
        <v>7.25</v>
      </c>
      <c r="AD85" s="47">
        <f t="shared" si="58"/>
        <v>34811.3134087794</v>
      </c>
      <c r="AE85" s="47">
        <f t="shared" si="56"/>
        <v>50524.7661484853</v>
      </c>
      <c r="AF85" s="47">
        <f t="shared" si="54"/>
        <v>8419.2338515147</v>
      </c>
    </row>
    <row r="86" s="2" customFormat="1" spans="1:32">
      <c r="A86" s="86"/>
      <c r="B86" s="45"/>
      <c r="C86" s="23">
        <v>241115000013</v>
      </c>
      <c r="D86" s="24">
        <v>45638</v>
      </c>
      <c r="E86" s="24" t="s">
        <v>65</v>
      </c>
      <c r="F86" s="45" t="s">
        <v>65</v>
      </c>
      <c r="G86" s="45" t="s">
        <v>105</v>
      </c>
      <c r="H86" s="87">
        <v>6.3827</v>
      </c>
      <c r="I86" s="87">
        <v>2355</v>
      </c>
      <c r="J86" s="88">
        <v>13563</v>
      </c>
      <c r="K86" s="89"/>
      <c r="L86" s="93"/>
      <c r="M86" s="44"/>
      <c r="N86" s="90"/>
      <c r="O86" s="45"/>
      <c r="P86" s="92">
        <f t="shared" si="65"/>
        <v>13563</v>
      </c>
      <c r="Q86" s="98"/>
      <c r="R86" s="98"/>
      <c r="S86" s="47">
        <f t="shared" si="60"/>
        <v>4700.71775514706</v>
      </c>
      <c r="T86" s="47"/>
      <c r="U86" s="47">
        <f t="shared" si="61"/>
        <v>187.726470588235</v>
      </c>
      <c r="V86" s="47"/>
      <c r="W86" s="47"/>
      <c r="X86" s="47">
        <f t="shared" si="57"/>
        <v>4888.44422573529</v>
      </c>
      <c r="Y86" s="101">
        <f t="shared" si="62"/>
        <v>1151.70189705882</v>
      </c>
      <c r="Z86" s="102"/>
      <c r="AA86" s="101">
        <f t="shared" si="63"/>
        <v>5.2019005</v>
      </c>
      <c r="AB86" s="102">
        <f t="shared" si="59"/>
        <v>1156.90379755882</v>
      </c>
      <c r="AC86" s="89">
        <v>7.25</v>
      </c>
      <c r="AD86" s="47">
        <f t="shared" si="58"/>
        <v>8387.55253230147</v>
      </c>
      <c r="AE86" s="47">
        <f t="shared" si="56"/>
        <v>13275.9967580368</v>
      </c>
      <c r="AF86" s="47">
        <f t="shared" si="54"/>
        <v>287.003241963201</v>
      </c>
    </row>
    <row r="87" s="2" customFormat="1" spans="1:32">
      <c r="A87" s="86"/>
      <c r="B87" s="45"/>
      <c r="C87" s="23">
        <v>241214000030</v>
      </c>
      <c r="D87" s="24">
        <v>45643</v>
      </c>
      <c r="E87" s="24" t="s">
        <v>68</v>
      </c>
      <c r="F87" s="45" t="s">
        <v>69</v>
      </c>
      <c r="G87" s="45" t="s">
        <v>115</v>
      </c>
      <c r="H87" s="87">
        <v>0.823</v>
      </c>
      <c r="I87" s="87">
        <v>696</v>
      </c>
      <c r="J87" s="88">
        <v>3584</v>
      </c>
      <c r="K87" s="107"/>
      <c r="L87" s="93"/>
      <c r="M87" s="44"/>
      <c r="N87" s="90"/>
      <c r="O87" s="45"/>
      <c r="P87" s="92">
        <f t="shared" si="65"/>
        <v>3584</v>
      </c>
      <c r="Q87" s="98"/>
      <c r="R87" s="98"/>
      <c r="S87" s="47">
        <f t="shared" si="60"/>
        <v>606.121345588235</v>
      </c>
      <c r="T87" s="47"/>
      <c r="U87" s="47">
        <f t="shared" si="61"/>
        <v>24.2058823529412</v>
      </c>
      <c r="V87" s="47"/>
      <c r="W87" s="47"/>
      <c r="X87" s="47">
        <f t="shared" si="57"/>
        <v>630.327227941176</v>
      </c>
      <c r="Y87" s="101">
        <f t="shared" si="62"/>
        <v>148.503088235294</v>
      </c>
      <c r="Z87" s="101">
        <v>136.53</v>
      </c>
      <c r="AA87" s="101">
        <f t="shared" si="63"/>
        <v>0.670745</v>
      </c>
      <c r="AB87" s="102">
        <f t="shared" si="59"/>
        <v>285.703833235294</v>
      </c>
      <c r="AC87" s="89">
        <v>7.25</v>
      </c>
      <c r="AD87" s="47">
        <f t="shared" si="58"/>
        <v>2071.35279095588</v>
      </c>
      <c r="AE87" s="47">
        <f t="shared" si="56"/>
        <v>2701.68001889706</v>
      </c>
      <c r="AF87" s="47">
        <f t="shared" si="54"/>
        <v>882.31998110294</v>
      </c>
    </row>
    <row r="88" s="2" customFormat="1" spans="1:32">
      <c r="A88" s="86"/>
      <c r="B88" s="45"/>
      <c r="C88" s="23">
        <v>241212000021</v>
      </c>
      <c r="D88" s="24">
        <v>45643</v>
      </c>
      <c r="E88" s="24" t="s">
        <v>68</v>
      </c>
      <c r="F88" s="45" t="s">
        <v>69</v>
      </c>
      <c r="G88" s="45" t="s">
        <v>115</v>
      </c>
      <c r="H88" s="87">
        <v>1.9011</v>
      </c>
      <c r="I88" s="87">
        <v>816.18</v>
      </c>
      <c r="J88" s="92"/>
      <c r="K88" s="103">
        <v>846007</v>
      </c>
      <c r="L88" s="93"/>
      <c r="M88" s="44">
        <f t="shared" ref="M88:M92" si="66">SUM(K88/N88)</f>
        <v>1561.4458943172</v>
      </c>
      <c r="N88" s="95">
        <v>541.81</v>
      </c>
      <c r="O88" s="45">
        <v>7.27</v>
      </c>
      <c r="P88" s="92">
        <f t="shared" ref="P88:P92" si="67">SUM(N88*O88)</f>
        <v>3938.9587</v>
      </c>
      <c r="Q88" s="98"/>
      <c r="R88" s="98"/>
      <c r="S88" s="47">
        <f t="shared" si="60"/>
        <v>1400.11821397059</v>
      </c>
      <c r="T88" s="47"/>
      <c r="U88" s="47">
        <f t="shared" si="61"/>
        <v>55.9147058823529</v>
      </c>
      <c r="V88" s="47"/>
      <c r="W88" s="47"/>
      <c r="X88" s="47">
        <f t="shared" si="57"/>
        <v>1456.03291985294</v>
      </c>
      <c r="Y88" s="101">
        <f t="shared" si="62"/>
        <v>343.036720588235</v>
      </c>
      <c r="Z88" s="102"/>
      <c r="AA88" s="101">
        <f t="shared" si="63"/>
        <v>1.5493965</v>
      </c>
      <c r="AB88" s="102">
        <f t="shared" si="59"/>
        <v>344.586117088235</v>
      </c>
      <c r="AC88" s="89">
        <v>7.25</v>
      </c>
      <c r="AD88" s="47">
        <f t="shared" si="58"/>
        <v>2498.24934888971</v>
      </c>
      <c r="AE88" s="47">
        <f t="shared" si="56"/>
        <v>3954.28226874265</v>
      </c>
      <c r="AF88" s="47">
        <f t="shared" si="54"/>
        <v>-15.3235687426509</v>
      </c>
    </row>
    <row r="89" s="2" customFormat="1" spans="1:32">
      <c r="A89" s="86"/>
      <c r="B89" s="45"/>
      <c r="C89" s="23">
        <v>241209000079</v>
      </c>
      <c r="D89" s="24">
        <v>45643</v>
      </c>
      <c r="E89" s="24" t="s">
        <v>68</v>
      </c>
      <c r="F89" s="45" t="s">
        <v>69</v>
      </c>
      <c r="G89" s="45" t="s">
        <v>116</v>
      </c>
      <c r="H89" s="87">
        <v>0.0757</v>
      </c>
      <c r="I89" s="87">
        <v>16</v>
      </c>
      <c r="J89" s="88">
        <v>195</v>
      </c>
      <c r="K89" s="89"/>
      <c r="L89" s="93"/>
      <c r="M89" s="44"/>
      <c r="N89" s="90"/>
      <c r="O89" s="45"/>
      <c r="P89" s="92">
        <f>SUBTOTAL(9,J89)</f>
        <v>195</v>
      </c>
      <c r="Q89" s="98"/>
      <c r="R89" s="98"/>
      <c r="S89" s="47">
        <f t="shared" si="60"/>
        <v>55.7513801470588</v>
      </c>
      <c r="T89" s="47"/>
      <c r="U89" s="47">
        <f t="shared" si="61"/>
        <v>2.22647058823529</v>
      </c>
      <c r="V89" s="47"/>
      <c r="W89" s="47"/>
      <c r="X89" s="47">
        <f t="shared" si="57"/>
        <v>57.9778507352941</v>
      </c>
      <c r="Y89" s="101">
        <f t="shared" si="62"/>
        <v>13.6593970588235</v>
      </c>
      <c r="Z89" s="102"/>
      <c r="AA89" s="101">
        <f t="shared" si="63"/>
        <v>0.0616955</v>
      </c>
      <c r="AB89" s="102">
        <f t="shared" si="59"/>
        <v>13.7210925588235</v>
      </c>
      <c r="AC89" s="89">
        <v>7.25</v>
      </c>
      <c r="AD89" s="47">
        <f t="shared" si="58"/>
        <v>99.4779210514706</v>
      </c>
      <c r="AE89" s="47">
        <f t="shared" si="56"/>
        <v>157.455771786765</v>
      </c>
      <c r="AF89" s="47">
        <f t="shared" si="54"/>
        <v>37.544228213235</v>
      </c>
    </row>
    <row r="90" s="2" customFormat="1" spans="1:32">
      <c r="A90" s="86"/>
      <c r="B90" s="45"/>
      <c r="C90" s="23">
        <v>241217000014</v>
      </c>
      <c r="D90" s="24">
        <v>45643</v>
      </c>
      <c r="E90" s="24" t="s">
        <v>83</v>
      </c>
      <c r="F90" s="45" t="s">
        <v>84</v>
      </c>
      <c r="G90" s="45" t="s">
        <v>117</v>
      </c>
      <c r="H90" s="87">
        <v>1.1639</v>
      </c>
      <c r="I90" s="87">
        <v>148</v>
      </c>
      <c r="J90" s="92"/>
      <c r="K90" s="103">
        <v>687330</v>
      </c>
      <c r="L90" s="93"/>
      <c r="M90" s="44">
        <f t="shared" si="66"/>
        <v>1536.00160901046</v>
      </c>
      <c r="N90" s="95">
        <v>447.48</v>
      </c>
      <c r="O90" s="45">
        <v>7.27</v>
      </c>
      <c r="P90" s="92">
        <f t="shared" si="67"/>
        <v>3253.1796</v>
      </c>
      <c r="Q90" s="98"/>
      <c r="R90" s="98"/>
      <c r="S90" s="47">
        <f t="shared" si="60"/>
        <v>857.186675735294</v>
      </c>
      <c r="T90" s="47"/>
      <c r="U90" s="47">
        <f t="shared" si="61"/>
        <v>34.2323529411765</v>
      </c>
      <c r="V90" s="47"/>
      <c r="W90" s="47"/>
      <c r="X90" s="47">
        <f t="shared" si="57"/>
        <v>891.419028676471</v>
      </c>
      <c r="Y90" s="101">
        <f t="shared" si="62"/>
        <v>210.015485294118</v>
      </c>
      <c r="Z90" s="101">
        <v>66.75</v>
      </c>
      <c r="AA90" s="101">
        <f t="shared" si="63"/>
        <v>0.9485785</v>
      </c>
      <c r="AB90" s="102">
        <f t="shared" si="59"/>
        <v>277.714063794118</v>
      </c>
      <c r="AC90" s="89">
        <v>7.25</v>
      </c>
      <c r="AD90" s="47">
        <f t="shared" si="58"/>
        <v>2013.42696250735</v>
      </c>
      <c r="AE90" s="47">
        <f t="shared" si="56"/>
        <v>2904.84599118382</v>
      </c>
      <c r="AF90" s="47">
        <f t="shared" si="54"/>
        <v>348.33360881618</v>
      </c>
    </row>
    <row r="91" s="2" customFormat="1" spans="1:32">
      <c r="A91" s="86"/>
      <c r="B91" s="45"/>
      <c r="C91" s="23">
        <v>241217000015</v>
      </c>
      <c r="D91" s="24">
        <v>45643</v>
      </c>
      <c r="E91" s="24" t="s">
        <v>83</v>
      </c>
      <c r="F91" s="45" t="s">
        <v>84</v>
      </c>
      <c r="G91" s="45" t="s">
        <v>118</v>
      </c>
      <c r="H91" s="87">
        <v>0.322</v>
      </c>
      <c r="I91" s="87">
        <v>85</v>
      </c>
      <c r="J91" s="92"/>
      <c r="K91" s="103">
        <v>186847</v>
      </c>
      <c r="L91" s="93"/>
      <c r="M91" s="44">
        <f t="shared" si="66"/>
        <v>1582.1083827265</v>
      </c>
      <c r="N91" s="95">
        <v>118.1</v>
      </c>
      <c r="O91" s="45">
        <v>7.25</v>
      </c>
      <c r="P91" s="92">
        <f t="shared" si="67"/>
        <v>856.225</v>
      </c>
      <c r="Q91" s="98"/>
      <c r="R91" s="98"/>
      <c r="S91" s="47">
        <f t="shared" si="60"/>
        <v>237.145897058824</v>
      </c>
      <c r="T91" s="47"/>
      <c r="U91" s="47">
        <f t="shared" si="61"/>
        <v>9.47058823529412</v>
      </c>
      <c r="V91" s="47"/>
      <c r="W91" s="47"/>
      <c r="X91" s="47">
        <f t="shared" si="57"/>
        <v>246.616485294118</v>
      </c>
      <c r="Y91" s="101">
        <f t="shared" si="62"/>
        <v>58.1020588235294</v>
      </c>
      <c r="Z91" s="102"/>
      <c r="AA91" s="101">
        <f t="shared" si="63"/>
        <v>0.26243</v>
      </c>
      <c r="AB91" s="102">
        <f t="shared" si="59"/>
        <v>58.3644888235294</v>
      </c>
      <c r="AC91" s="89">
        <v>7.25</v>
      </c>
      <c r="AD91" s="47">
        <f t="shared" si="58"/>
        <v>423.142543970588</v>
      </c>
      <c r="AE91" s="47">
        <f t="shared" si="56"/>
        <v>669.759029264706</v>
      </c>
      <c r="AF91" s="47">
        <f t="shared" si="54"/>
        <v>186.465970735294</v>
      </c>
    </row>
    <row r="92" s="2" customFormat="1" spans="1:32">
      <c r="A92" s="86"/>
      <c r="B92" s="45"/>
      <c r="C92" s="23">
        <v>241217000016</v>
      </c>
      <c r="D92" s="24">
        <v>45643</v>
      </c>
      <c r="E92" s="24" t="s">
        <v>59</v>
      </c>
      <c r="F92" s="45" t="s">
        <v>60</v>
      </c>
      <c r="G92" s="45" t="s">
        <v>96</v>
      </c>
      <c r="H92" s="87">
        <v>0.6596</v>
      </c>
      <c r="I92" s="87">
        <v>58</v>
      </c>
      <c r="J92" s="92"/>
      <c r="K92" s="103">
        <v>296670</v>
      </c>
      <c r="L92" s="93"/>
      <c r="M92" s="44">
        <f t="shared" si="66"/>
        <v>1550</v>
      </c>
      <c r="N92" s="95">
        <v>191.4</v>
      </c>
      <c r="O92" s="45">
        <v>7.27</v>
      </c>
      <c r="P92" s="92">
        <f t="shared" si="67"/>
        <v>1391.478</v>
      </c>
      <c r="Q92" s="98"/>
      <c r="R92" s="98"/>
      <c r="S92" s="47">
        <f t="shared" si="60"/>
        <v>485.78085</v>
      </c>
      <c r="T92" s="47"/>
      <c r="U92" s="47">
        <f t="shared" si="61"/>
        <v>19.4</v>
      </c>
      <c r="V92" s="47"/>
      <c r="W92" s="47"/>
      <c r="X92" s="47">
        <f t="shared" si="57"/>
        <v>505.18085</v>
      </c>
      <c r="Y92" s="101">
        <f t="shared" si="62"/>
        <v>119.019</v>
      </c>
      <c r="Z92" s="102"/>
      <c r="AA92" s="101">
        <f t="shared" si="63"/>
        <v>0.537574</v>
      </c>
      <c r="AB92" s="102">
        <f t="shared" ref="AB92:AB100" si="68">SUM(Y92:AA92)</f>
        <v>119.556574</v>
      </c>
      <c r="AC92" s="89">
        <v>7.25</v>
      </c>
      <c r="AD92" s="47">
        <f t="shared" ref="AD92:AD101" si="69">SUM(AB92*AC92)</f>
        <v>866.7851615</v>
      </c>
      <c r="AE92" s="47">
        <f t="shared" ref="AE92:AE101" si="70">SUM(X92+AD92)</f>
        <v>1371.9660115</v>
      </c>
      <c r="AF92" s="47">
        <f t="shared" ref="AF92:AF100" si="71">SUM(P92-AE92)</f>
        <v>19.5119885000001</v>
      </c>
    </row>
    <row r="93" s="2" customFormat="1" spans="1:32">
      <c r="A93" s="86"/>
      <c r="B93" s="45"/>
      <c r="C93" s="23">
        <v>241217000024</v>
      </c>
      <c r="D93" s="24">
        <v>45643</v>
      </c>
      <c r="E93" s="24" t="s">
        <v>68</v>
      </c>
      <c r="F93" s="45" t="s">
        <v>69</v>
      </c>
      <c r="G93" s="45" t="s">
        <v>119</v>
      </c>
      <c r="H93" s="87">
        <v>0.4017</v>
      </c>
      <c r="I93" s="87">
        <v>36</v>
      </c>
      <c r="J93" s="88">
        <v>876</v>
      </c>
      <c r="K93" s="89"/>
      <c r="L93" s="93"/>
      <c r="M93" s="44"/>
      <c r="N93" s="90"/>
      <c r="O93" s="45"/>
      <c r="P93" s="92">
        <f t="shared" ref="P93:P102" si="72">SUBTOTAL(9,J93)</f>
        <v>876</v>
      </c>
      <c r="Q93" s="100"/>
      <c r="R93" s="100"/>
      <c r="S93" s="47">
        <f t="shared" si="60"/>
        <v>295.843188970588</v>
      </c>
      <c r="T93" s="47"/>
      <c r="U93" s="47">
        <f t="shared" si="61"/>
        <v>11.8147058823529</v>
      </c>
      <c r="V93" s="47"/>
      <c r="W93" s="47"/>
      <c r="X93" s="47">
        <f t="shared" ref="X93:X100" si="73">SUM(S93:W93)</f>
        <v>307.657894852941</v>
      </c>
      <c r="Y93" s="101">
        <f t="shared" si="62"/>
        <v>72.4832205882353</v>
      </c>
      <c r="Z93" s="102"/>
      <c r="AA93" s="101">
        <f t="shared" si="63"/>
        <v>0.3273855</v>
      </c>
      <c r="AB93" s="102">
        <f t="shared" si="68"/>
        <v>72.8106060882353</v>
      </c>
      <c r="AC93" s="89">
        <v>7.25</v>
      </c>
      <c r="AD93" s="47">
        <f t="shared" si="69"/>
        <v>527.876894139706</v>
      </c>
      <c r="AE93" s="47">
        <f t="shared" si="70"/>
        <v>835.534788992647</v>
      </c>
      <c r="AF93" s="47">
        <f t="shared" si="71"/>
        <v>40.465211007353</v>
      </c>
    </row>
    <row r="94" s="2" customFormat="1" spans="1:32">
      <c r="A94" s="86" t="s">
        <v>14</v>
      </c>
      <c r="B94" s="45" t="s">
        <v>15</v>
      </c>
      <c r="C94" s="23">
        <v>241212000021</v>
      </c>
      <c r="D94" s="106">
        <v>46010</v>
      </c>
      <c r="E94" s="24" t="s">
        <v>68</v>
      </c>
      <c r="F94" s="45" t="s">
        <v>69</v>
      </c>
      <c r="G94" s="45" t="s">
        <v>115</v>
      </c>
      <c r="H94" s="87">
        <v>0.1207</v>
      </c>
      <c r="I94" s="87">
        <v>51.82</v>
      </c>
      <c r="J94" s="92"/>
      <c r="K94" s="103">
        <v>53713</v>
      </c>
      <c r="L94" s="45"/>
      <c r="M94" s="44">
        <f>SUM(K94/N94)</f>
        <v>1561.42441860465</v>
      </c>
      <c r="N94" s="95">
        <v>34.4</v>
      </c>
      <c r="O94" s="45">
        <v>7.27</v>
      </c>
      <c r="P94" s="92">
        <f>SUM(N94*O94)</f>
        <v>250.088</v>
      </c>
      <c r="Q94" s="96">
        <f>SUM(P94:P100)</f>
        <v>155095.058</v>
      </c>
      <c r="R94" s="97" t="s">
        <v>120</v>
      </c>
      <c r="S94" s="47">
        <f>SUM(48777.5/68)*H94</f>
        <v>86.5800625</v>
      </c>
      <c r="T94" s="47">
        <f>SUM(88.88/68)*H94</f>
        <v>0.157762</v>
      </c>
      <c r="U94" s="47">
        <f>SUM(1900/68)*H94</f>
        <v>3.3725</v>
      </c>
      <c r="V94" s="47"/>
      <c r="W94" s="47"/>
      <c r="X94" s="47">
        <f t="shared" si="73"/>
        <v>90.1103245</v>
      </c>
      <c r="Y94" s="102">
        <f>SUM(12037/68)*H94</f>
        <v>21.365675</v>
      </c>
      <c r="Z94" s="102"/>
      <c r="AA94" s="102">
        <f>SUM(57.52/68)*H94</f>
        <v>0.102098</v>
      </c>
      <c r="AB94" s="102">
        <f t="shared" si="68"/>
        <v>21.467773</v>
      </c>
      <c r="AC94" s="89">
        <v>7.25</v>
      </c>
      <c r="AD94" s="47">
        <f t="shared" si="69"/>
        <v>155.64135425</v>
      </c>
      <c r="AE94" s="47">
        <f t="shared" si="70"/>
        <v>245.75167875</v>
      </c>
      <c r="AF94" s="47">
        <f t="shared" si="71"/>
        <v>4.33632125</v>
      </c>
    </row>
    <row r="95" s="2" customFormat="1" spans="1:32">
      <c r="A95" s="86"/>
      <c r="B95" s="45"/>
      <c r="C95" s="23">
        <v>241219000026</v>
      </c>
      <c r="D95" s="106">
        <v>46010</v>
      </c>
      <c r="E95" s="24" t="s">
        <v>65</v>
      </c>
      <c r="F95" s="45" t="s">
        <v>65</v>
      </c>
      <c r="G95" s="45" t="s">
        <v>101</v>
      </c>
      <c r="H95" s="87">
        <v>6.1439</v>
      </c>
      <c r="I95" s="87">
        <v>3510</v>
      </c>
      <c r="J95" s="88">
        <v>18062</v>
      </c>
      <c r="K95" s="89"/>
      <c r="L95" s="45"/>
      <c r="M95" s="44"/>
      <c r="N95" s="90"/>
      <c r="O95" s="45"/>
      <c r="P95" s="92">
        <f t="shared" si="72"/>
        <v>18062</v>
      </c>
      <c r="Q95" s="98"/>
      <c r="R95" s="98"/>
      <c r="S95" s="47">
        <f t="shared" ref="S95:S100" si="74">SUM(48777.5/68)*H95</f>
        <v>4407.11885661765</v>
      </c>
      <c r="T95" s="47">
        <f t="shared" ref="T95:T100" si="75">SUM(88.88/68)*H95</f>
        <v>8.03043870588235</v>
      </c>
      <c r="U95" s="47">
        <f t="shared" ref="U95:U100" si="76">SUM(1900/68)*H95</f>
        <v>171.667794117647</v>
      </c>
      <c r="V95" s="47"/>
      <c r="W95" s="47"/>
      <c r="X95" s="47">
        <f t="shared" si="73"/>
        <v>4586.81708944118</v>
      </c>
      <c r="Y95" s="102">
        <f t="shared" ref="Y95:Y100" si="77">SUM(12037/68)*H95</f>
        <v>1087.56065147059</v>
      </c>
      <c r="Z95" s="102"/>
      <c r="AA95" s="102">
        <f t="shared" ref="AA95:AA100" si="78">SUM(57.52/68)*H95</f>
        <v>5.19701658823529</v>
      </c>
      <c r="AB95" s="102">
        <f t="shared" si="68"/>
        <v>1092.75766805882</v>
      </c>
      <c r="AC95" s="89">
        <v>7.25</v>
      </c>
      <c r="AD95" s="47">
        <f t="shared" si="69"/>
        <v>7922.49309342647</v>
      </c>
      <c r="AE95" s="47">
        <f t="shared" si="70"/>
        <v>12509.3101828676</v>
      </c>
      <c r="AF95" s="47">
        <f t="shared" si="71"/>
        <v>5552.6898171324</v>
      </c>
    </row>
    <row r="96" s="2" customFormat="1" spans="1:32">
      <c r="A96" s="86"/>
      <c r="B96" s="45"/>
      <c r="C96" s="23">
        <v>241219000027</v>
      </c>
      <c r="D96" s="106">
        <v>46010</v>
      </c>
      <c r="E96" s="24" t="s">
        <v>77</v>
      </c>
      <c r="F96" s="45" t="s">
        <v>78</v>
      </c>
      <c r="G96" s="45" t="s">
        <v>79</v>
      </c>
      <c r="H96" s="87">
        <v>0.9378</v>
      </c>
      <c r="I96" s="87">
        <v>1454</v>
      </c>
      <c r="J96" s="88">
        <v>4037.69</v>
      </c>
      <c r="K96" s="89"/>
      <c r="L96" s="45"/>
      <c r="M96" s="44"/>
      <c r="N96" s="90"/>
      <c r="O96" s="45"/>
      <c r="P96" s="92">
        <f t="shared" si="72"/>
        <v>4037.69</v>
      </c>
      <c r="Q96" s="98"/>
      <c r="R96" s="98"/>
      <c r="S96" s="47">
        <f t="shared" si="74"/>
        <v>672.699110294118</v>
      </c>
      <c r="T96" s="47">
        <f t="shared" si="75"/>
        <v>1.22575976470588</v>
      </c>
      <c r="U96" s="47">
        <f t="shared" si="76"/>
        <v>26.2032352941176</v>
      </c>
      <c r="V96" s="47"/>
      <c r="W96" s="47"/>
      <c r="X96" s="47">
        <f t="shared" si="73"/>
        <v>700.128105352941</v>
      </c>
      <c r="Y96" s="102">
        <f t="shared" si="77"/>
        <v>166.004391176471</v>
      </c>
      <c r="Z96" s="102"/>
      <c r="AA96" s="102">
        <f t="shared" si="78"/>
        <v>0.793268470588235</v>
      </c>
      <c r="AB96" s="102">
        <f t="shared" si="68"/>
        <v>166.797659647059</v>
      </c>
      <c r="AC96" s="89">
        <v>7.25</v>
      </c>
      <c r="AD96" s="47">
        <f t="shared" si="69"/>
        <v>1209.28303244118</v>
      </c>
      <c r="AE96" s="47">
        <f t="shared" si="70"/>
        <v>1909.41113779412</v>
      </c>
      <c r="AF96" s="47">
        <f t="shared" si="71"/>
        <v>2128.27886220588</v>
      </c>
    </row>
    <row r="97" s="2" customFormat="1" spans="1:32">
      <c r="A97" s="86"/>
      <c r="B97" s="45"/>
      <c r="C97" s="23">
        <v>241219000017</v>
      </c>
      <c r="D97" s="24">
        <v>46010</v>
      </c>
      <c r="E97" s="24" t="s">
        <v>83</v>
      </c>
      <c r="F97" s="45" t="s">
        <v>84</v>
      </c>
      <c r="G97" s="45" t="s">
        <v>86</v>
      </c>
      <c r="H97" s="87">
        <v>2.2361</v>
      </c>
      <c r="I97" s="87">
        <v>234</v>
      </c>
      <c r="J97" s="88">
        <v>4542.5</v>
      </c>
      <c r="K97" s="89"/>
      <c r="L97" s="93"/>
      <c r="M97" s="44"/>
      <c r="N97" s="101"/>
      <c r="O97" s="45"/>
      <c r="P97" s="92">
        <f t="shared" si="72"/>
        <v>4542.5</v>
      </c>
      <c r="Q97" s="98"/>
      <c r="R97" s="98"/>
      <c r="S97" s="47">
        <f t="shared" si="74"/>
        <v>1603.99070220588</v>
      </c>
      <c r="T97" s="47">
        <f t="shared" si="75"/>
        <v>2.92271423529412</v>
      </c>
      <c r="U97" s="47">
        <f t="shared" si="76"/>
        <v>62.4792647058824</v>
      </c>
      <c r="V97" s="47"/>
      <c r="W97" s="47"/>
      <c r="X97" s="47">
        <f t="shared" si="73"/>
        <v>1669.39268114706</v>
      </c>
      <c r="Y97" s="102">
        <f t="shared" si="77"/>
        <v>395.822583823529</v>
      </c>
      <c r="Z97" s="102"/>
      <c r="AA97" s="102">
        <f t="shared" si="78"/>
        <v>1.89147752941176</v>
      </c>
      <c r="AB97" s="102">
        <f t="shared" si="68"/>
        <v>397.714061352941</v>
      </c>
      <c r="AC97" s="89">
        <v>7.25</v>
      </c>
      <c r="AD97" s="47">
        <f t="shared" si="69"/>
        <v>2883.42694480882</v>
      </c>
      <c r="AE97" s="47">
        <f t="shared" si="70"/>
        <v>4552.81962595588</v>
      </c>
      <c r="AF97" s="47">
        <f t="shared" si="71"/>
        <v>-10.3196259558799</v>
      </c>
    </row>
    <row r="98" s="2" customFormat="1" spans="1:32">
      <c r="A98" s="86"/>
      <c r="B98" s="45"/>
      <c r="C98" s="23">
        <v>241115000013</v>
      </c>
      <c r="D98" s="24">
        <v>45638</v>
      </c>
      <c r="E98" s="24" t="s">
        <v>65</v>
      </c>
      <c r="F98" s="45" t="s">
        <v>65</v>
      </c>
      <c r="G98" s="45" t="s">
        <v>105</v>
      </c>
      <c r="H98" s="87">
        <v>25.3204</v>
      </c>
      <c r="I98" s="87">
        <v>5102</v>
      </c>
      <c r="J98" s="88">
        <v>53816</v>
      </c>
      <c r="K98" s="89"/>
      <c r="L98" s="93"/>
      <c r="M98" s="44"/>
      <c r="N98" s="90"/>
      <c r="O98" s="45"/>
      <c r="P98" s="92">
        <f t="shared" si="72"/>
        <v>53816</v>
      </c>
      <c r="Q98" s="98"/>
      <c r="R98" s="98"/>
      <c r="S98" s="47">
        <f t="shared" si="74"/>
        <v>18162.7325147059</v>
      </c>
      <c r="T98" s="47">
        <f t="shared" si="75"/>
        <v>33.0952522352941</v>
      </c>
      <c r="U98" s="47">
        <f t="shared" si="76"/>
        <v>707.481764705882</v>
      </c>
      <c r="V98" s="47"/>
      <c r="W98" s="47"/>
      <c r="X98" s="47">
        <f t="shared" si="73"/>
        <v>18903.3095316471</v>
      </c>
      <c r="Y98" s="102">
        <f t="shared" si="77"/>
        <v>4482.08315882353</v>
      </c>
      <c r="Z98" s="102"/>
      <c r="AA98" s="102">
        <f t="shared" si="78"/>
        <v>21.4180795294118</v>
      </c>
      <c r="AB98" s="102">
        <f t="shared" si="68"/>
        <v>4503.50123835294</v>
      </c>
      <c r="AC98" s="89">
        <v>7.25</v>
      </c>
      <c r="AD98" s="47">
        <f t="shared" si="69"/>
        <v>32650.3839780588</v>
      </c>
      <c r="AE98" s="47">
        <f t="shared" si="70"/>
        <v>51553.6935097059</v>
      </c>
      <c r="AF98" s="47">
        <f t="shared" si="71"/>
        <v>2262.3064902941</v>
      </c>
    </row>
    <row r="99" s="2" customFormat="1" spans="1:32">
      <c r="A99" s="86"/>
      <c r="B99" s="45"/>
      <c r="C99" s="23">
        <v>241219000028</v>
      </c>
      <c r="D99" s="106">
        <v>46010</v>
      </c>
      <c r="E99" s="24" t="s">
        <v>59</v>
      </c>
      <c r="F99" s="45" t="s">
        <v>60</v>
      </c>
      <c r="G99" s="45" t="s">
        <v>102</v>
      </c>
      <c r="H99" s="87">
        <v>22.11</v>
      </c>
      <c r="I99" s="87">
        <v>2603</v>
      </c>
      <c r="J99" s="88">
        <v>36919.28</v>
      </c>
      <c r="K99" s="89"/>
      <c r="L99" s="45"/>
      <c r="M99" s="44"/>
      <c r="N99" s="95"/>
      <c r="O99" s="45"/>
      <c r="P99" s="92">
        <f t="shared" si="72"/>
        <v>36919.28</v>
      </c>
      <c r="Q99" s="98"/>
      <c r="R99" s="98"/>
      <c r="S99" s="47">
        <f t="shared" si="74"/>
        <v>15859.8606617647</v>
      </c>
      <c r="T99" s="47">
        <f t="shared" si="75"/>
        <v>28.8990705882353</v>
      </c>
      <c r="U99" s="47">
        <f t="shared" si="76"/>
        <v>617.779411764706</v>
      </c>
      <c r="V99" s="47"/>
      <c r="W99" s="47"/>
      <c r="X99" s="47">
        <f t="shared" si="73"/>
        <v>16506.5391441176</v>
      </c>
      <c r="Y99" s="102">
        <f t="shared" si="77"/>
        <v>3913.79514705882</v>
      </c>
      <c r="Z99" s="102"/>
      <c r="AA99" s="102">
        <f t="shared" si="78"/>
        <v>18.7024588235294</v>
      </c>
      <c r="AB99" s="102">
        <f t="shared" si="68"/>
        <v>3932.49760588235</v>
      </c>
      <c r="AC99" s="89">
        <v>7.25</v>
      </c>
      <c r="AD99" s="47">
        <f t="shared" si="69"/>
        <v>28510.6076426471</v>
      </c>
      <c r="AE99" s="47">
        <f t="shared" si="70"/>
        <v>45017.1467867647</v>
      </c>
      <c r="AF99" s="47">
        <f t="shared" si="71"/>
        <v>-8097.8667867647</v>
      </c>
    </row>
    <row r="100" s="2" customFormat="1" spans="1:32">
      <c r="A100" s="86"/>
      <c r="B100" s="45"/>
      <c r="C100" s="23">
        <v>241219000033</v>
      </c>
      <c r="D100" s="106">
        <v>46010</v>
      </c>
      <c r="E100" s="24" t="s">
        <v>68</v>
      </c>
      <c r="F100" s="45" t="s">
        <v>69</v>
      </c>
      <c r="G100" s="45" t="s">
        <v>112</v>
      </c>
      <c r="H100" s="87">
        <v>15.7779</v>
      </c>
      <c r="I100" s="87">
        <v>9654</v>
      </c>
      <c r="J100" s="88">
        <v>37467.5</v>
      </c>
      <c r="K100" s="89"/>
      <c r="L100" s="45"/>
      <c r="M100" s="44"/>
      <c r="N100" s="90"/>
      <c r="O100" s="45"/>
      <c r="P100" s="92">
        <f t="shared" si="72"/>
        <v>37467.5</v>
      </c>
      <c r="Q100" s="100"/>
      <c r="R100" s="100"/>
      <c r="S100" s="47">
        <f t="shared" si="74"/>
        <v>11317.7429007353</v>
      </c>
      <c r="T100" s="47">
        <f t="shared" si="75"/>
        <v>20.6226434117647</v>
      </c>
      <c r="U100" s="47">
        <f t="shared" si="76"/>
        <v>440.853088235294</v>
      </c>
      <c r="V100" s="47"/>
      <c r="W100" s="47"/>
      <c r="X100" s="47">
        <f t="shared" ref="X100:X131" si="79">SUM(S100:W100)</f>
        <v>11779.2186323824</v>
      </c>
      <c r="Y100" s="102">
        <f t="shared" si="77"/>
        <v>2792.92032794118</v>
      </c>
      <c r="Z100" s="102"/>
      <c r="AA100" s="102">
        <f t="shared" si="78"/>
        <v>13.3462471764706</v>
      </c>
      <c r="AB100" s="102">
        <f t="shared" ref="AB100:AB131" si="80">SUM(Y100:AA100)</f>
        <v>2806.26657511765</v>
      </c>
      <c r="AC100" s="89">
        <v>7.25</v>
      </c>
      <c r="AD100" s="47">
        <f t="shared" ref="AD100:AD131" si="81">SUM(AB100*AC100)</f>
        <v>20345.4326696029</v>
      </c>
      <c r="AE100" s="47">
        <f t="shared" ref="AE100:AE131" si="82">SUM(X100+AD100)</f>
        <v>32124.6513019853</v>
      </c>
      <c r="AF100" s="47">
        <f t="shared" si="71"/>
        <v>5342.8486980147</v>
      </c>
    </row>
    <row r="101" s="2" customFormat="1" spans="1:32">
      <c r="A101" s="86" t="s">
        <v>16</v>
      </c>
      <c r="B101" s="45" t="s">
        <v>17</v>
      </c>
      <c r="C101" s="23">
        <v>241125000030</v>
      </c>
      <c r="D101" s="24">
        <v>46018</v>
      </c>
      <c r="E101" s="24" t="s">
        <v>62</v>
      </c>
      <c r="F101" s="45" t="s">
        <v>63</v>
      </c>
      <c r="G101" s="45" t="s">
        <v>121</v>
      </c>
      <c r="H101" s="87">
        <v>0.0122</v>
      </c>
      <c r="I101" s="87">
        <v>2</v>
      </c>
      <c r="J101" s="88">
        <v>202</v>
      </c>
      <c r="K101" s="89"/>
      <c r="L101" s="45"/>
      <c r="M101" s="44"/>
      <c r="N101" s="90"/>
      <c r="O101" s="91"/>
      <c r="P101" s="92">
        <f t="shared" si="72"/>
        <v>202</v>
      </c>
      <c r="Q101" s="96">
        <f>SUM(P101:P131)</f>
        <v>174647.7500433</v>
      </c>
      <c r="R101" s="97" t="s">
        <v>122</v>
      </c>
      <c r="S101" s="47">
        <f>SUM(50615/68)*H101</f>
        <v>9.08092647058824</v>
      </c>
      <c r="T101" s="47"/>
      <c r="U101" s="47">
        <f>SUM(2100/68)*H101</f>
        <v>0.376764705882353</v>
      </c>
      <c r="V101" s="47"/>
      <c r="W101" s="47"/>
      <c r="X101" s="47">
        <f t="shared" si="79"/>
        <v>9.45769117647059</v>
      </c>
      <c r="Y101" s="102">
        <f>SUM(11518.15/68)*H101</f>
        <v>2.06649161764706</v>
      </c>
      <c r="Z101" s="102"/>
      <c r="AA101" s="102">
        <f>SUM(59.41/68)*H101</f>
        <v>0.0106588529411765</v>
      </c>
      <c r="AB101" s="102">
        <f t="shared" si="80"/>
        <v>2.07715047058824</v>
      </c>
      <c r="AC101" s="89">
        <v>7.26</v>
      </c>
      <c r="AD101" s="47">
        <f t="shared" si="81"/>
        <v>15.0801124164706</v>
      </c>
      <c r="AE101" s="47">
        <f t="shared" si="82"/>
        <v>24.5378035929412</v>
      </c>
      <c r="AF101" s="47">
        <f t="shared" ref="AF101:AF131" si="83">SUM(P101-AE101)</f>
        <v>177.462196407059</v>
      </c>
    </row>
    <row r="102" s="2" customFormat="1" spans="1:32">
      <c r="A102" s="86"/>
      <c r="B102" s="45"/>
      <c r="C102" s="23">
        <v>241205000022</v>
      </c>
      <c r="D102" s="24">
        <v>46018</v>
      </c>
      <c r="E102" s="24" t="s">
        <v>68</v>
      </c>
      <c r="F102" s="45" t="s">
        <v>69</v>
      </c>
      <c r="G102" s="45" t="s">
        <v>76</v>
      </c>
      <c r="H102" s="87">
        <v>1.5787</v>
      </c>
      <c r="I102" s="87">
        <v>305</v>
      </c>
      <c r="J102" s="88">
        <v>3483.9</v>
      </c>
      <c r="K102" s="46"/>
      <c r="L102" s="45"/>
      <c r="M102" s="44"/>
      <c r="N102" s="90"/>
      <c r="O102" s="91"/>
      <c r="P102" s="92">
        <f t="shared" si="72"/>
        <v>3483.9</v>
      </c>
      <c r="Q102" s="98"/>
      <c r="R102" s="98"/>
      <c r="S102" s="47">
        <f t="shared" ref="S102:S131" si="84">SUM(50615/68)*H102</f>
        <v>1175.08677205882</v>
      </c>
      <c r="T102" s="47"/>
      <c r="U102" s="47">
        <f t="shared" ref="U102:U131" si="85">SUM(2100/68)*H102</f>
        <v>48.7539705882353</v>
      </c>
      <c r="V102" s="47"/>
      <c r="W102" s="47"/>
      <c r="X102" s="47">
        <f t="shared" si="79"/>
        <v>1223.84074264706</v>
      </c>
      <c r="Y102" s="102">
        <f t="shared" ref="Y102:Y131" si="86">SUM(11518.15/68)*H102</f>
        <v>267.407403014706</v>
      </c>
      <c r="Z102" s="102"/>
      <c r="AA102" s="102">
        <f t="shared" ref="AA102:AA131" si="87">SUM(59.41/68)*H102</f>
        <v>1.37927304411765</v>
      </c>
      <c r="AB102" s="102">
        <f t="shared" si="80"/>
        <v>268.786676058824</v>
      </c>
      <c r="AC102" s="89">
        <v>7.26</v>
      </c>
      <c r="AD102" s="47">
        <f t="shared" si="81"/>
        <v>1951.39126818706</v>
      </c>
      <c r="AE102" s="47">
        <f t="shared" si="82"/>
        <v>3175.23201083412</v>
      </c>
      <c r="AF102" s="47">
        <f t="shared" si="83"/>
        <v>308.667989165882</v>
      </c>
    </row>
    <row r="103" s="2" customFormat="1" spans="1:32">
      <c r="A103" s="86"/>
      <c r="B103" s="45"/>
      <c r="C103" s="23">
        <v>241210000059</v>
      </c>
      <c r="D103" s="24">
        <v>46018</v>
      </c>
      <c r="E103" s="24" t="s">
        <v>68</v>
      </c>
      <c r="F103" s="45" t="s">
        <v>69</v>
      </c>
      <c r="G103" s="45" t="s">
        <v>76</v>
      </c>
      <c r="H103" s="87">
        <v>3.2498</v>
      </c>
      <c r="I103" s="87">
        <v>683</v>
      </c>
      <c r="J103" s="92"/>
      <c r="K103" s="103">
        <v>1855578</v>
      </c>
      <c r="L103" s="45"/>
      <c r="M103" s="44">
        <f t="shared" ref="M103:M107" si="88">SUM(K103/N103)</f>
        <v>1576.5318606627</v>
      </c>
      <c r="N103" s="95">
        <v>1177</v>
      </c>
      <c r="O103" s="91">
        <v>7.22</v>
      </c>
      <c r="P103" s="92">
        <f t="shared" ref="P103:P107" si="89">SUM(N103*O103)</f>
        <v>8497.94</v>
      </c>
      <c r="Q103" s="98"/>
      <c r="R103" s="98"/>
      <c r="S103" s="47">
        <f t="shared" si="84"/>
        <v>2418.95039705882</v>
      </c>
      <c r="T103" s="47"/>
      <c r="U103" s="47">
        <f t="shared" si="85"/>
        <v>100.361470588235</v>
      </c>
      <c r="V103" s="47"/>
      <c r="W103" s="47"/>
      <c r="X103" s="47">
        <f t="shared" si="79"/>
        <v>2519.31186764706</v>
      </c>
      <c r="Y103" s="102">
        <f t="shared" si="86"/>
        <v>550.465939264706</v>
      </c>
      <c r="Z103" s="101">
        <v>251.58</v>
      </c>
      <c r="AA103" s="102">
        <f t="shared" si="87"/>
        <v>2.83927379411765</v>
      </c>
      <c r="AB103" s="102">
        <f t="shared" si="80"/>
        <v>804.885213058824</v>
      </c>
      <c r="AC103" s="89">
        <v>7.26</v>
      </c>
      <c r="AD103" s="47">
        <f t="shared" si="81"/>
        <v>5843.46664680706</v>
      </c>
      <c r="AE103" s="47">
        <f t="shared" si="82"/>
        <v>8362.77851445412</v>
      </c>
      <c r="AF103" s="47">
        <f t="shared" si="83"/>
        <v>135.161485545885</v>
      </c>
    </row>
    <row r="104" s="2" customFormat="1" spans="1:32">
      <c r="A104" s="86"/>
      <c r="B104" s="45"/>
      <c r="C104" s="23">
        <v>241211000027</v>
      </c>
      <c r="D104" s="24">
        <v>45643</v>
      </c>
      <c r="E104" s="24" t="s">
        <v>65</v>
      </c>
      <c r="F104" s="45" t="s">
        <v>65</v>
      </c>
      <c r="G104" s="45" t="s">
        <v>101</v>
      </c>
      <c r="H104" s="87">
        <v>0.228</v>
      </c>
      <c r="I104" s="87">
        <v>45</v>
      </c>
      <c r="J104" s="88">
        <v>520</v>
      </c>
      <c r="K104" s="89"/>
      <c r="L104" s="45"/>
      <c r="M104" s="44"/>
      <c r="N104" s="90"/>
      <c r="O104" s="91"/>
      <c r="P104" s="92">
        <f t="shared" ref="P104:P111" si="90">SUBTOTAL(9,J104)</f>
        <v>520</v>
      </c>
      <c r="Q104" s="98"/>
      <c r="R104" s="98"/>
      <c r="S104" s="47">
        <f t="shared" si="84"/>
        <v>169.709117647059</v>
      </c>
      <c r="T104" s="47"/>
      <c r="U104" s="47">
        <f t="shared" si="85"/>
        <v>7.04117647058824</v>
      </c>
      <c r="V104" s="47"/>
      <c r="W104" s="47"/>
      <c r="X104" s="47">
        <f t="shared" si="79"/>
        <v>176.750294117647</v>
      </c>
      <c r="Y104" s="102">
        <f t="shared" si="86"/>
        <v>38.6196794117647</v>
      </c>
      <c r="Z104" s="102"/>
      <c r="AA104" s="102">
        <f t="shared" si="87"/>
        <v>0.199198235294118</v>
      </c>
      <c r="AB104" s="102">
        <f t="shared" si="80"/>
        <v>38.8188776470588</v>
      </c>
      <c r="AC104" s="89">
        <v>7.26</v>
      </c>
      <c r="AD104" s="47">
        <f t="shared" si="81"/>
        <v>281.825051717647</v>
      </c>
      <c r="AE104" s="47">
        <f t="shared" si="82"/>
        <v>458.575345835294</v>
      </c>
      <c r="AF104" s="47">
        <f t="shared" si="83"/>
        <v>61.4246541647059</v>
      </c>
    </row>
    <row r="105" s="2" customFormat="1" spans="1:32">
      <c r="A105" s="86"/>
      <c r="B105" s="45"/>
      <c r="C105" s="23">
        <v>241213000046</v>
      </c>
      <c r="D105" s="24">
        <v>46018</v>
      </c>
      <c r="E105" s="24" t="s">
        <v>65</v>
      </c>
      <c r="F105" s="45" t="s">
        <v>65</v>
      </c>
      <c r="G105" s="45" t="s">
        <v>66</v>
      </c>
      <c r="H105" s="87">
        <v>5.2541</v>
      </c>
      <c r="I105" s="87">
        <v>1423</v>
      </c>
      <c r="J105" s="88">
        <v>15725.5</v>
      </c>
      <c r="K105" s="89"/>
      <c r="L105" s="45"/>
      <c r="M105" s="44"/>
      <c r="N105" s="90"/>
      <c r="O105" s="91"/>
      <c r="P105" s="92">
        <f t="shared" si="90"/>
        <v>15725.5</v>
      </c>
      <c r="Q105" s="98"/>
      <c r="R105" s="98"/>
      <c r="S105" s="47">
        <f t="shared" si="84"/>
        <v>3910.82752205882</v>
      </c>
      <c r="T105" s="47"/>
      <c r="U105" s="47">
        <f t="shared" si="85"/>
        <v>162.258970588235</v>
      </c>
      <c r="V105" s="47"/>
      <c r="W105" s="47"/>
      <c r="X105" s="47">
        <f t="shared" si="79"/>
        <v>4073.08649264706</v>
      </c>
      <c r="Y105" s="102">
        <f t="shared" si="86"/>
        <v>889.963410514706</v>
      </c>
      <c r="Z105" s="102"/>
      <c r="AA105" s="102">
        <f t="shared" si="87"/>
        <v>4.59038354411765</v>
      </c>
      <c r="AB105" s="102">
        <f t="shared" si="80"/>
        <v>894.553794058824</v>
      </c>
      <c r="AC105" s="89">
        <v>7.26</v>
      </c>
      <c r="AD105" s="47">
        <f t="shared" si="81"/>
        <v>6494.46054486706</v>
      </c>
      <c r="AE105" s="47">
        <f t="shared" si="82"/>
        <v>10567.5470375141</v>
      </c>
      <c r="AF105" s="47">
        <f t="shared" si="83"/>
        <v>5157.95296248588</v>
      </c>
    </row>
    <row r="106" s="2" customFormat="1" spans="1:32">
      <c r="A106" s="86"/>
      <c r="B106" s="45"/>
      <c r="C106" s="23">
        <v>241216000032</v>
      </c>
      <c r="D106" s="24">
        <v>46018</v>
      </c>
      <c r="E106" s="24" t="s">
        <v>83</v>
      </c>
      <c r="F106" s="45" t="s">
        <v>84</v>
      </c>
      <c r="G106" s="45" t="s">
        <v>123</v>
      </c>
      <c r="H106" s="87">
        <v>1.8673</v>
      </c>
      <c r="I106" s="87">
        <v>857</v>
      </c>
      <c r="J106" s="92"/>
      <c r="K106" s="103">
        <v>984715.9</v>
      </c>
      <c r="L106" s="45"/>
      <c r="M106" s="44">
        <f t="shared" si="88"/>
        <v>1582</v>
      </c>
      <c r="N106" s="95">
        <v>622.45</v>
      </c>
      <c r="O106" s="91">
        <v>7.24</v>
      </c>
      <c r="P106" s="92">
        <f t="shared" si="89"/>
        <v>4506.538</v>
      </c>
      <c r="Q106" s="98"/>
      <c r="R106" s="98"/>
      <c r="S106" s="47">
        <f t="shared" si="84"/>
        <v>1389.90278676471</v>
      </c>
      <c r="T106" s="47"/>
      <c r="U106" s="47">
        <f t="shared" si="85"/>
        <v>57.6666176470588</v>
      </c>
      <c r="V106" s="47"/>
      <c r="W106" s="47"/>
      <c r="X106" s="47">
        <f t="shared" si="79"/>
        <v>1447.56940441176</v>
      </c>
      <c r="Y106" s="102">
        <f t="shared" si="86"/>
        <v>316.291786691176</v>
      </c>
      <c r="Z106" s="101">
        <v>8.14</v>
      </c>
      <c r="AA106" s="102">
        <f t="shared" si="87"/>
        <v>1.63141607352941</v>
      </c>
      <c r="AB106" s="102">
        <f t="shared" si="80"/>
        <v>326.063202764706</v>
      </c>
      <c r="AC106" s="89">
        <v>7.26</v>
      </c>
      <c r="AD106" s="47">
        <f t="shared" si="81"/>
        <v>2367.21885207176</v>
      </c>
      <c r="AE106" s="47">
        <f t="shared" si="82"/>
        <v>3814.78825648353</v>
      </c>
      <c r="AF106" s="47">
        <f t="shared" si="83"/>
        <v>691.749743516471</v>
      </c>
    </row>
    <row r="107" s="2" customFormat="1" spans="1:32">
      <c r="A107" s="86"/>
      <c r="B107" s="45"/>
      <c r="C107" s="23">
        <v>241217000015</v>
      </c>
      <c r="D107" s="24">
        <v>46018</v>
      </c>
      <c r="E107" s="24" t="s">
        <v>83</v>
      </c>
      <c r="F107" s="45" t="s">
        <v>84</v>
      </c>
      <c r="G107" s="45" t="s">
        <v>118</v>
      </c>
      <c r="H107" s="87">
        <v>2.0946</v>
      </c>
      <c r="I107" s="87">
        <v>144</v>
      </c>
      <c r="J107" s="92"/>
      <c r="K107" s="103">
        <v>1215438</v>
      </c>
      <c r="L107" s="45"/>
      <c r="M107" s="44">
        <f t="shared" si="88"/>
        <v>1581.98360015619</v>
      </c>
      <c r="N107" s="95">
        <v>768.3</v>
      </c>
      <c r="O107" s="91">
        <v>7.25</v>
      </c>
      <c r="P107" s="92">
        <f t="shared" si="89"/>
        <v>5570.175</v>
      </c>
      <c r="Q107" s="98"/>
      <c r="R107" s="98"/>
      <c r="S107" s="47">
        <f t="shared" si="84"/>
        <v>1559.09086764706</v>
      </c>
      <c r="T107" s="47"/>
      <c r="U107" s="47">
        <f t="shared" si="85"/>
        <v>64.6861764705882</v>
      </c>
      <c r="V107" s="47"/>
      <c r="W107" s="47"/>
      <c r="X107" s="47">
        <f t="shared" si="79"/>
        <v>1623.77704411765</v>
      </c>
      <c r="Y107" s="102">
        <f t="shared" si="86"/>
        <v>354.792896911765</v>
      </c>
      <c r="Z107" s="101">
        <v>103.35</v>
      </c>
      <c r="AA107" s="102">
        <f t="shared" si="87"/>
        <v>1.83000273529412</v>
      </c>
      <c r="AB107" s="102">
        <f t="shared" si="80"/>
        <v>459.972899647059</v>
      </c>
      <c r="AC107" s="89">
        <v>7.26</v>
      </c>
      <c r="AD107" s="47">
        <f t="shared" si="81"/>
        <v>3339.40325143765</v>
      </c>
      <c r="AE107" s="47">
        <f t="shared" si="82"/>
        <v>4963.18029555529</v>
      </c>
      <c r="AF107" s="47">
        <f t="shared" si="83"/>
        <v>606.994704444707</v>
      </c>
    </row>
    <row r="108" s="2" customFormat="1" spans="1:32">
      <c r="A108" s="86"/>
      <c r="B108" s="45"/>
      <c r="C108" s="23">
        <v>241218000004</v>
      </c>
      <c r="D108" s="24">
        <v>46018</v>
      </c>
      <c r="E108" s="24" t="s">
        <v>68</v>
      </c>
      <c r="F108" s="45" t="s">
        <v>69</v>
      </c>
      <c r="G108" s="45" t="s">
        <v>115</v>
      </c>
      <c r="H108" s="87">
        <v>2.7589</v>
      </c>
      <c r="I108" s="87">
        <v>1023</v>
      </c>
      <c r="J108" s="88">
        <v>5703</v>
      </c>
      <c r="K108" s="89"/>
      <c r="L108" s="45"/>
      <c r="M108" s="44"/>
      <c r="N108" s="90"/>
      <c r="O108" s="91"/>
      <c r="P108" s="92">
        <f t="shared" si="90"/>
        <v>5703</v>
      </c>
      <c r="Q108" s="98"/>
      <c r="R108" s="98"/>
      <c r="S108" s="47">
        <f t="shared" si="84"/>
        <v>2053.55475735294</v>
      </c>
      <c r="T108" s="47"/>
      <c r="U108" s="47">
        <f t="shared" si="85"/>
        <v>85.2013235294118</v>
      </c>
      <c r="V108" s="47"/>
      <c r="W108" s="47"/>
      <c r="X108" s="47">
        <f t="shared" si="79"/>
        <v>2138.75608088235</v>
      </c>
      <c r="Y108" s="102">
        <f t="shared" si="86"/>
        <v>467.315059338235</v>
      </c>
      <c r="Z108" s="102"/>
      <c r="AA108" s="102">
        <f t="shared" si="87"/>
        <v>2.41038601470588</v>
      </c>
      <c r="AB108" s="102">
        <f t="shared" si="80"/>
        <v>469.725445352941</v>
      </c>
      <c r="AC108" s="89">
        <v>7.26</v>
      </c>
      <c r="AD108" s="47">
        <f t="shared" si="81"/>
        <v>3410.20673326235</v>
      </c>
      <c r="AE108" s="47">
        <f t="shared" si="82"/>
        <v>5548.96281414471</v>
      </c>
      <c r="AF108" s="47">
        <f t="shared" si="83"/>
        <v>154.037185855294</v>
      </c>
    </row>
    <row r="109" s="2" customFormat="1" spans="1:32">
      <c r="A109" s="86"/>
      <c r="B109" s="45"/>
      <c r="C109" s="23">
        <v>241219000017</v>
      </c>
      <c r="D109" s="24">
        <v>46018</v>
      </c>
      <c r="E109" s="24" t="s">
        <v>83</v>
      </c>
      <c r="F109" s="45" t="s">
        <v>84</v>
      </c>
      <c r="G109" s="45" t="s">
        <v>86</v>
      </c>
      <c r="H109" s="87">
        <v>1.1975</v>
      </c>
      <c r="I109" s="87">
        <v>205</v>
      </c>
      <c r="J109" s="88">
        <v>2430</v>
      </c>
      <c r="K109" s="89"/>
      <c r="L109" s="45"/>
      <c r="M109" s="44"/>
      <c r="N109" s="90"/>
      <c r="O109" s="91"/>
      <c r="P109" s="92">
        <f t="shared" si="90"/>
        <v>2430</v>
      </c>
      <c r="Q109" s="98"/>
      <c r="R109" s="98"/>
      <c r="S109" s="47">
        <f t="shared" si="84"/>
        <v>891.345036764706</v>
      </c>
      <c r="T109" s="47"/>
      <c r="U109" s="47">
        <f t="shared" si="85"/>
        <v>36.9816176470588</v>
      </c>
      <c r="V109" s="47"/>
      <c r="W109" s="47"/>
      <c r="X109" s="47">
        <f t="shared" si="79"/>
        <v>928.326654411765</v>
      </c>
      <c r="Y109" s="102">
        <f t="shared" si="86"/>
        <v>202.838009191176</v>
      </c>
      <c r="Z109" s="102"/>
      <c r="AA109" s="102">
        <f t="shared" si="87"/>
        <v>1.04622757352941</v>
      </c>
      <c r="AB109" s="102">
        <f t="shared" si="80"/>
        <v>203.884236764706</v>
      </c>
      <c r="AC109" s="89">
        <v>7.26</v>
      </c>
      <c r="AD109" s="47">
        <f t="shared" si="81"/>
        <v>1480.19955891176</v>
      </c>
      <c r="AE109" s="47">
        <f t="shared" si="82"/>
        <v>2408.52621332353</v>
      </c>
      <c r="AF109" s="47">
        <f t="shared" si="83"/>
        <v>21.4737866764704</v>
      </c>
    </row>
    <row r="110" s="2" customFormat="1" spans="1:32">
      <c r="A110" s="86"/>
      <c r="B110" s="45"/>
      <c r="C110" s="23">
        <v>241219000030</v>
      </c>
      <c r="D110" s="24">
        <v>46018</v>
      </c>
      <c r="E110" s="24" t="s">
        <v>68</v>
      </c>
      <c r="F110" s="45" t="s">
        <v>69</v>
      </c>
      <c r="G110" s="45" t="s">
        <v>70</v>
      </c>
      <c r="H110" s="87">
        <v>0.5462</v>
      </c>
      <c r="I110" s="87">
        <v>242</v>
      </c>
      <c r="J110" s="88">
        <v>1156</v>
      </c>
      <c r="K110" s="89"/>
      <c r="L110" s="45"/>
      <c r="M110" s="44"/>
      <c r="N110" s="90"/>
      <c r="O110" s="91"/>
      <c r="P110" s="92">
        <f t="shared" si="90"/>
        <v>1156</v>
      </c>
      <c r="Q110" s="98"/>
      <c r="R110" s="98"/>
      <c r="S110" s="47">
        <f t="shared" si="84"/>
        <v>406.557544117647</v>
      </c>
      <c r="T110" s="47"/>
      <c r="U110" s="47">
        <f t="shared" si="85"/>
        <v>16.8679411764706</v>
      </c>
      <c r="V110" s="47"/>
      <c r="W110" s="47"/>
      <c r="X110" s="47">
        <f t="shared" si="79"/>
        <v>423.425485294118</v>
      </c>
      <c r="Y110" s="102">
        <f t="shared" si="86"/>
        <v>92.5178460294118</v>
      </c>
      <c r="Z110" s="102"/>
      <c r="AA110" s="102">
        <f t="shared" si="87"/>
        <v>0.477202088235294</v>
      </c>
      <c r="AB110" s="102">
        <f t="shared" si="80"/>
        <v>92.995048117647</v>
      </c>
      <c r="AC110" s="89">
        <v>7.26</v>
      </c>
      <c r="AD110" s="47">
        <f t="shared" si="81"/>
        <v>675.144049334118</v>
      </c>
      <c r="AE110" s="47">
        <f t="shared" si="82"/>
        <v>1098.56953462824</v>
      </c>
      <c r="AF110" s="47">
        <f t="shared" si="83"/>
        <v>57.4304653717647</v>
      </c>
    </row>
    <row r="111" s="2" customFormat="1" spans="1:32">
      <c r="A111" s="86"/>
      <c r="B111" s="45"/>
      <c r="C111" s="23">
        <v>241216000051</v>
      </c>
      <c r="D111" s="24">
        <v>46018</v>
      </c>
      <c r="E111" s="24" t="s">
        <v>68</v>
      </c>
      <c r="F111" s="45" t="s">
        <v>69</v>
      </c>
      <c r="G111" s="45" t="s">
        <v>70</v>
      </c>
      <c r="H111" s="87">
        <v>13.6398</v>
      </c>
      <c r="I111" s="87">
        <v>2540</v>
      </c>
      <c r="J111" s="88">
        <v>28688</v>
      </c>
      <c r="K111" s="46"/>
      <c r="L111" s="45"/>
      <c r="M111" s="44"/>
      <c r="N111" s="90"/>
      <c r="O111" s="91"/>
      <c r="P111" s="92">
        <f t="shared" si="90"/>
        <v>28688</v>
      </c>
      <c r="Q111" s="98"/>
      <c r="R111" s="98"/>
      <c r="S111" s="47">
        <f t="shared" si="84"/>
        <v>10152.6246617647</v>
      </c>
      <c r="T111" s="47"/>
      <c r="U111" s="47">
        <f t="shared" si="85"/>
        <v>421.229117647059</v>
      </c>
      <c r="V111" s="47"/>
      <c r="W111" s="47"/>
      <c r="X111" s="47">
        <f t="shared" si="79"/>
        <v>10573.8537794118</v>
      </c>
      <c r="Y111" s="102">
        <f t="shared" si="86"/>
        <v>2310.37150544118</v>
      </c>
      <c r="Z111" s="102"/>
      <c r="AA111" s="102">
        <f t="shared" si="87"/>
        <v>11.9167723235294</v>
      </c>
      <c r="AB111" s="102">
        <f t="shared" si="80"/>
        <v>2322.28827776471</v>
      </c>
      <c r="AC111" s="89">
        <v>7.26</v>
      </c>
      <c r="AD111" s="47">
        <f t="shared" si="81"/>
        <v>16859.8128965718</v>
      </c>
      <c r="AE111" s="47">
        <f t="shared" si="82"/>
        <v>27433.6666759835</v>
      </c>
      <c r="AF111" s="47">
        <f t="shared" si="83"/>
        <v>1254.33332401647</v>
      </c>
    </row>
    <row r="112" s="2" customFormat="1" spans="1:32">
      <c r="A112" s="86"/>
      <c r="B112" s="45"/>
      <c r="C112" s="23">
        <v>241220000030</v>
      </c>
      <c r="D112" s="24">
        <v>46018</v>
      </c>
      <c r="E112" s="24" t="s">
        <v>62</v>
      </c>
      <c r="F112" s="45" t="s">
        <v>63</v>
      </c>
      <c r="G112" s="45" t="s">
        <v>124</v>
      </c>
      <c r="H112" s="87">
        <v>0.8815</v>
      </c>
      <c r="I112" s="87">
        <v>304</v>
      </c>
      <c r="J112" s="92"/>
      <c r="K112" s="103">
        <v>414128.7</v>
      </c>
      <c r="L112" s="45"/>
      <c r="M112" s="44">
        <f>SUM(K112/N112)</f>
        <v>1566.00029608627</v>
      </c>
      <c r="N112" s="95">
        <v>264.44995</v>
      </c>
      <c r="O112" s="91">
        <v>7.27</v>
      </c>
      <c r="P112" s="92">
        <f>SUM(N112*O112)</f>
        <v>1922.5511365</v>
      </c>
      <c r="Q112" s="98"/>
      <c r="R112" s="98"/>
      <c r="S112" s="47">
        <f t="shared" si="84"/>
        <v>656.134154411765</v>
      </c>
      <c r="T112" s="47"/>
      <c r="U112" s="47">
        <f t="shared" si="85"/>
        <v>27.2227941176471</v>
      </c>
      <c r="V112" s="47"/>
      <c r="W112" s="47"/>
      <c r="X112" s="47">
        <f t="shared" si="79"/>
        <v>683.356948529412</v>
      </c>
      <c r="Y112" s="102">
        <f t="shared" si="86"/>
        <v>149.312488602941</v>
      </c>
      <c r="Z112" s="102"/>
      <c r="AA112" s="102">
        <f t="shared" si="87"/>
        <v>0.770145808823529</v>
      </c>
      <c r="AB112" s="102">
        <f t="shared" si="80"/>
        <v>150.082634411765</v>
      </c>
      <c r="AC112" s="89">
        <v>7.26</v>
      </c>
      <c r="AD112" s="47">
        <f t="shared" si="81"/>
        <v>1089.59992582941</v>
      </c>
      <c r="AE112" s="47">
        <f t="shared" si="82"/>
        <v>1772.95687435882</v>
      </c>
      <c r="AF112" s="47">
        <f t="shared" si="83"/>
        <v>149.594262141177</v>
      </c>
    </row>
    <row r="113" s="2" customFormat="1" spans="1:32">
      <c r="A113" s="86"/>
      <c r="B113" s="45"/>
      <c r="C113" s="23">
        <v>241221000013</v>
      </c>
      <c r="D113" s="24">
        <v>46018</v>
      </c>
      <c r="E113" s="24" t="s">
        <v>68</v>
      </c>
      <c r="F113" s="45" t="s">
        <v>69</v>
      </c>
      <c r="G113" s="45" t="s">
        <v>115</v>
      </c>
      <c r="H113" s="87">
        <v>2.0286</v>
      </c>
      <c r="I113" s="87">
        <v>791</v>
      </c>
      <c r="J113" s="88">
        <v>4194.5</v>
      </c>
      <c r="K113" s="89"/>
      <c r="L113" s="45"/>
      <c r="M113" s="44"/>
      <c r="N113" s="90"/>
      <c r="O113" s="91"/>
      <c r="P113" s="92">
        <f t="shared" ref="P113:P119" si="91">SUBTOTAL(9,J113)</f>
        <v>4194.5</v>
      </c>
      <c r="Q113" s="98"/>
      <c r="R113" s="98"/>
      <c r="S113" s="47">
        <f t="shared" si="84"/>
        <v>1509.96454411765</v>
      </c>
      <c r="T113" s="47"/>
      <c r="U113" s="47">
        <f t="shared" si="85"/>
        <v>62.6479411764706</v>
      </c>
      <c r="V113" s="47"/>
      <c r="W113" s="47"/>
      <c r="X113" s="47">
        <f t="shared" si="79"/>
        <v>1572.61248529412</v>
      </c>
      <c r="Y113" s="102">
        <f t="shared" si="86"/>
        <v>343.613516029412</v>
      </c>
      <c r="Z113" s="102"/>
      <c r="AA113" s="102">
        <f t="shared" si="87"/>
        <v>1.77234008823529</v>
      </c>
      <c r="AB113" s="102">
        <f t="shared" si="80"/>
        <v>345.385856117647</v>
      </c>
      <c r="AC113" s="89">
        <v>7.26</v>
      </c>
      <c r="AD113" s="47">
        <f t="shared" si="81"/>
        <v>2507.50131541412</v>
      </c>
      <c r="AE113" s="47">
        <f t="shared" si="82"/>
        <v>4080.11380070824</v>
      </c>
      <c r="AF113" s="47">
        <f t="shared" si="83"/>
        <v>114.386199291765</v>
      </c>
    </row>
    <row r="114" s="2" customFormat="1" spans="1:32">
      <c r="A114" s="86"/>
      <c r="B114" s="45"/>
      <c r="C114" s="23">
        <v>241222000003</v>
      </c>
      <c r="D114" s="24">
        <v>46018</v>
      </c>
      <c r="E114" s="24" t="s">
        <v>68</v>
      </c>
      <c r="F114" s="45" t="s">
        <v>69</v>
      </c>
      <c r="G114" s="45" t="s">
        <v>115</v>
      </c>
      <c r="H114" s="87">
        <v>11.2441</v>
      </c>
      <c r="I114" s="87">
        <v>3412</v>
      </c>
      <c r="J114" s="88">
        <v>24501</v>
      </c>
      <c r="K114" s="89"/>
      <c r="L114" s="45"/>
      <c r="M114" s="44"/>
      <c r="N114" s="90"/>
      <c r="O114" s="91"/>
      <c r="P114" s="92">
        <f t="shared" si="91"/>
        <v>24501</v>
      </c>
      <c r="Q114" s="98"/>
      <c r="R114" s="98"/>
      <c r="S114" s="47">
        <f t="shared" si="84"/>
        <v>8369.41355147059</v>
      </c>
      <c r="T114" s="47"/>
      <c r="U114" s="47">
        <f t="shared" si="85"/>
        <v>347.244264705882</v>
      </c>
      <c r="V114" s="47"/>
      <c r="W114" s="47"/>
      <c r="X114" s="47">
        <f t="shared" si="79"/>
        <v>8716.65781617647</v>
      </c>
      <c r="Y114" s="102">
        <f t="shared" si="86"/>
        <v>1904.57691786765</v>
      </c>
      <c r="Z114" s="102"/>
      <c r="AA114" s="102">
        <f t="shared" si="87"/>
        <v>9.82370560294118</v>
      </c>
      <c r="AB114" s="102">
        <f t="shared" si="80"/>
        <v>1914.40062347059</v>
      </c>
      <c r="AC114" s="89">
        <v>7.26</v>
      </c>
      <c r="AD114" s="47">
        <f t="shared" si="81"/>
        <v>13898.5485263965</v>
      </c>
      <c r="AE114" s="47">
        <f t="shared" si="82"/>
        <v>22615.2063425729</v>
      </c>
      <c r="AF114" s="47">
        <f t="shared" si="83"/>
        <v>1885.79365742706</v>
      </c>
    </row>
    <row r="115" s="2" customFormat="1" spans="1:32">
      <c r="A115" s="86"/>
      <c r="B115" s="45"/>
      <c r="C115" s="23">
        <v>241223000042</v>
      </c>
      <c r="D115" s="24">
        <v>46018</v>
      </c>
      <c r="E115" s="24" t="s">
        <v>125</v>
      </c>
      <c r="F115" s="45" t="s">
        <v>126</v>
      </c>
      <c r="G115" s="45" t="s">
        <v>127</v>
      </c>
      <c r="H115" s="87">
        <v>0.0662</v>
      </c>
      <c r="I115" s="87">
        <v>13</v>
      </c>
      <c r="J115" s="104">
        <v>155.7</v>
      </c>
      <c r="K115" s="89"/>
      <c r="L115" s="45"/>
      <c r="M115" s="44"/>
      <c r="N115" s="105"/>
      <c r="O115" s="91"/>
      <c r="P115" s="92">
        <f>SUM(J115)</f>
        <v>155.7</v>
      </c>
      <c r="Q115" s="98"/>
      <c r="R115" s="98"/>
      <c r="S115" s="47">
        <f t="shared" si="84"/>
        <v>49.2751911764706</v>
      </c>
      <c r="T115" s="47"/>
      <c r="U115" s="47">
        <f t="shared" si="85"/>
        <v>2.04441176470588</v>
      </c>
      <c r="V115" s="47"/>
      <c r="W115" s="47"/>
      <c r="X115" s="47">
        <f t="shared" si="79"/>
        <v>51.3196029411765</v>
      </c>
      <c r="Y115" s="102">
        <f t="shared" si="86"/>
        <v>11.2132577941176</v>
      </c>
      <c r="Z115" s="102"/>
      <c r="AA115" s="102">
        <f t="shared" si="87"/>
        <v>0.0578373823529412</v>
      </c>
      <c r="AB115" s="102">
        <f t="shared" si="80"/>
        <v>11.2710951764706</v>
      </c>
      <c r="AC115" s="89">
        <v>7.26</v>
      </c>
      <c r="AD115" s="47">
        <f t="shared" si="81"/>
        <v>81.8281509811764</v>
      </c>
      <c r="AE115" s="47">
        <f t="shared" si="82"/>
        <v>133.147753922353</v>
      </c>
      <c r="AF115" s="47">
        <f t="shared" si="83"/>
        <v>22.5522460776471</v>
      </c>
    </row>
    <row r="116" s="2" customFormat="1" spans="1:32">
      <c r="A116" s="86"/>
      <c r="B116" s="45"/>
      <c r="C116" s="23">
        <v>241223000044</v>
      </c>
      <c r="D116" s="24">
        <v>46018</v>
      </c>
      <c r="E116" s="24" t="s">
        <v>55</v>
      </c>
      <c r="F116" s="45" t="s">
        <v>56</v>
      </c>
      <c r="G116" s="45" t="s">
        <v>57</v>
      </c>
      <c r="H116" s="87">
        <v>0.7236</v>
      </c>
      <c r="I116" s="87">
        <v>173</v>
      </c>
      <c r="J116" s="92"/>
      <c r="K116" s="103">
        <v>336691</v>
      </c>
      <c r="L116" s="45"/>
      <c r="M116" s="44">
        <f t="shared" ref="M116:M123" si="92">SUM(K116/N116)</f>
        <v>1550.9990598861</v>
      </c>
      <c r="N116" s="95">
        <v>217.08008</v>
      </c>
      <c r="O116" s="91">
        <v>7.24</v>
      </c>
      <c r="P116" s="92">
        <f t="shared" ref="P116:P123" si="93">SUM(N116*O116)</f>
        <v>1571.6597792</v>
      </c>
      <c r="Q116" s="98"/>
      <c r="R116" s="98"/>
      <c r="S116" s="47">
        <f t="shared" si="84"/>
        <v>538.603147058824</v>
      </c>
      <c r="T116" s="47"/>
      <c r="U116" s="47">
        <f t="shared" si="85"/>
        <v>22.3464705882353</v>
      </c>
      <c r="V116" s="47"/>
      <c r="W116" s="47"/>
      <c r="X116" s="47">
        <f t="shared" si="79"/>
        <v>560.949617647059</v>
      </c>
      <c r="Y116" s="102">
        <f t="shared" si="86"/>
        <v>122.566666764706</v>
      </c>
      <c r="Z116" s="102"/>
      <c r="AA116" s="102">
        <f t="shared" si="87"/>
        <v>0.632192294117647</v>
      </c>
      <c r="AB116" s="102">
        <f t="shared" si="80"/>
        <v>123.198859058824</v>
      </c>
      <c r="AC116" s="89">
        <v>7.26</v>
      </c>
      <c r="AD116" s="47">
        <f t="shared" si="81"/>
        <v>894.423716767059</v>
      </c>
      <c r="AE116" s="47">
        <f t="shared" si="82"/>
        <v>1455.37333441412</v>
      </c>
      <c r="AF116" s="47">
        <f t="shared" si="83"/>
        <v>116.286444785882</v>
      </c>
    </row>
    <row r="117" s="2" customFormat="1" spans="1:32">
      <c r="A117" s="86"/>
      <c r="B117" s="45"/>
      <c r="C117" s="23">
        <v>241223000048</v>
      </c>
      <c r="D117" s="24">
        <v>46018</v>
      </c>
      <c r="E117" s="24" t="s">
        <v>65</v>
      </c>
      <c r="F117" s="45" t="s">
        <v>65</v>
      </c>
      <c r="G117" s="45" t="s">
        <v>66</v>
      </c>
      <c r="H117" s="87">
        <v>0.8576</v>
      </c>
      <c r="I117" s="87">
        <v>189</v>
      </c>
      <c r="J117" s="88">
        <v>3063</v>
      </c>
      <c r="K117" s="89"/>
      <c r="L117" s="45"/>
      <c r="M117" s="44"/>
      <c r="N117" s="90"/>
      <c r="O117" s="91"/>
      <c r="P117" s="92">
        <f t="shared" si="91"/>
        <v>3063</v>
      </c>
      <c r="Q117" s="98"/>
      <c r="R117" s="98"/>
      <c r="S117" s="47">
        <f t="shared" si="84"/>
        <v>638.344470588235</v>
      </c>
      <c r="T117" s="47"/>
      <c r="U117" s="47">
        <f t="shared" si="85"/>
        <v>26.4847058823529</v>
      </c>
      <c r="V117" s="47"/>
      <c r="W117" s="99">
        <v>53.42</v>
      </c>
      <c r="X117" s="47">
        <f t="shared" si="79"/>
        <v>718.249176470588</v>
      </c>
      <c r="Y117" s="102">
        <f t="shared" si="86"/>
        <v>145.264197647059</v>
      </c>
      <c r="Z117" s="102"/>
      <c r="AA117" s="102">
        <f t="shared" si="87"/>
        <v>0.749264941176471</v>
      </c>
      <c r="AB117" s="102">
        <f t="shared" si="80"/>
        <v>146.013462588235</v>
      </c>
      <c r="AC117" s="89">
        <v>7.26</v>
      </c>
      <c r="AD117" s="47">
        <f t="shared" si="81"/>
        <v>1060.05773839059</v>
      </c>
      <c r="AE117" s="47">
        <f t="shared" si="82"/>
        <v>1778.30691486118</v>
      </c>
      <c r="AF117" s="47">
        <f t="shared" si="83"/>
        <v>1284.69308513882</v>
      </c>
    </row>
    <row r="118" s="2" customFormat="1" spans="1:32">
      <c r="A118" s="86"/>
      <c r="B118" s="45"/>
      <c r="C118" s="23">
        <v>241223000069</v>
      </c>
      <c r="D118" s="24">
        <v>46018</v>
      </c>
      <c r="E118" s="24" t="s">
        <v>83</v>
      </c>
      <c r="F118" s="45" t="s">
        <v>84</v>
      </c>
      <c r="G118" s="45" t="s">
        <v>86</v>
      </c>
      <c r="H118" s="87">
        <v>5.4144</v>
      </c>
      <c r="I118" s="87">
        <v>1858</v>
      </c>
      <c r="J118" s="88">
        <v>10997.45</v>
      </c>
      <c r="K118" s="89"/>
      <c r="L118" s="45"/>
      <c r="M118" s="44"/>
      <c r="N118" s="90"/>
      <c r="O118" s="91"/>
      <c r="P118" s="92">
        <f t="shared" si="91"/>
        <v>10997.45</v>
      </c>
      <c r="Q118" s="98"/>
      <c r="R118" s="98"/>
      <c r="S118" s="47">
        <f t="shared" si="84"/>
        <v>4030.14494117647</v>
      </c>
      <c r="T118" s="47"/>
      <c r="U118" s="47">
        <f t="shared" si="85"/>
        <v>167.209411764706</v>
      </c>
      <c r="V118" s="47"/>
      <c r="W118" s="47"/>
      <c r="X118" s="47">
        <f t="shared" si="79"/>
        <v>4197.35435294118</v>
      </c>
      <c r="Y118" s="102">
        <f t="shared" si="86"/>
        <v>917.115755294118</v>
      </c>
      <c r="Z118" s="102"/>
      <c r="AA118" s="102">
        <f t="shared" si="87"/>
        <v>4.73043388235294</v>
      </c>
      <c r="AB118" s="102">
        <f t="shared" si="80"/>
        <v>921.84618917647</v>
      </c>
      <c r="AC118" s="89">
        <v>7.26</v>
      </c>
      <c r="AD118" s="47">
        <f t="shared" si="81"/>
        <v>6692.60333342118</v>
      </c>
      <c r="AE118" s="47">
        <f t="shared" si="82"/>
        <v>10889.9576863624</v>
      </c>
      <c r="AF118" s="47">
        <f t="shared" si="83"/>
        <v>107.492313637649</v>
      </c>
    </row>
    <row r="119" s="2" customFormat="1" spans="1:32">
      <c r="A119" s="86"/>
      <c r="B119" s="45"/>
      <c r="C119" s="23">
        <v>241224000009</v>
      </c>
      <c r="D119" s="24">
        <v>46018</v>
      </c>
      <c r="E119" s="24" t="s">
        <v>83</v>
      </c>
      <c r="F119" s="45" t="s">
        <v>84</v>
      </c>
      <c r="G119" s="45" t="s">
        <v>86</v>
      </c>
      <c r="H119" s="87">
        <v>3.9648</v>
      </c>
      <c r="I119" s="87">
        <v>516</v>
      </c>
      <c r="J119" s="88">
        <v>8070.22</v>
      </c>
      <c r="K119" s="89"/>
      <c r="L119" s="45"/>
      <c r="M119" s="44"/>
      <c r="N119" s="90"/>
      <c r="O119" s="91"/>
      <c r="P119" s="92">
        <f t="shared" si="91"/>
        <v>8070.22</v>
      </c>
      <c r="Q119" s="98"/>
      <c r="R119" s="98"/>
      <c r="S119" s="47">
        <f t="shared" si="84"/>
        <v>2951.15223529412</v>
      </c>
      <c r="T119" s="47"/>
      <c r="U119" s="47">
        <f t="shared" si="85"/>
        <v>122.442352941176</v>
      </c>
      <c r="V119" s="47"/>
      <c r="W119" s="47"/>
      <c r="X119" s="47">
        <f t="shared" si="79"/>
        <v>3073.59458823529</v>
      </c>
      <c r="Y119" s="102">
        <f t="shared" si="86"/>
        <v>671.575898823529</v>
      </c>
      <c r="Z119" s="102"/>
      <c r="AA119" s="102">
        <f t="shared" si="87"/>
        <v>3.46395247058823</v>
      </c>
      <c r="AB119" s="102">
        <f t="shared" si="80"/>
        <v>675.039851294118</v>
      </c>
      <c r="AC119" s="89">
        <v>7.26</v>
      </c>
      <c r="AD119" s="47">
        <f t="shared" si="81"/>
        <v>4900.78932039529</v>
      </c>
      <c r="AE119" s="47">
        <f t="shared" si="82"/>
        <v>7974.38390863059</v>
      </c>
      <c r="AF119" s="47">
        <f t="shared" si="83"/>
        <v>95.8360913694132</v>
      </c>
    </row>
    <row r="120" s="2" customFormat="1" spans="1:32">
      <c r="A120" s="86"/>
      <c r="B120" s="45"/>
      <c r="C120" s="23">
        <v>241224000024</v>
      </c>
      <c r="D120" s="24">
        <v>46018</v>
      </c>
      <c r="E120" s="24" t="s">
        <v>59</v>
      </c>
      <c r="F120" s="45" t="s">
        <v>60</v>
      </c>
      <c r="G120" s="45" t="s">
        <v>61</v>
      </c>
      <c r="H120" s="87">
        <v>1.4079</v>
      </c>
      <c r="I120" s="87">
        <v>246</v>
      </c>
      <c r="J120" s="92"/>
      <c r="K120" s="103">
        <v>605826.9</v>
      </c>
      <c r="L120" s="45"/>
      <c r="M120" s="44">
        <f t="shared" si="92"/>
        <v>1582</v>
      </c>
      <c r="N120" s="95">
        <v>382.95</v>
      </c>
      <c r="O120" s="45">
        <v>7.18</v>
      </c>
      <c r="P120" s="92">
        <f t="shared" si="93"/>
        <v>2749.581</v>
      </c>
      <c r="Q120" s="98"/>
      <c r="R120" s="98"/>
      <c r="S120" s="47">
        <f t="shared" si="84"/>
        <v>1047.95380147059</v>
      </c>
      <c r="T120" s="47"/>
      <c r="U120" s="47">
        <f t="shared" si="85"/>
        <v>43.4792647058824</v>
      </c>
      <c r="V120" s="47"/>
      <c r="W120" s="47"/>
      <c r="X120" s="47">
        <f t="shared" si="79"/>
        <v>1091.43306617647</v>
      </c>
      <c r="Y120" s="102">
        <f t="shared" si="86"/>
        <v>238.476520367647</v>
      </c>
      <c r="Z120" s="102"/>
      <c r="AA120" s="102">
        <f t="shared" si="87"/>
        <v>1.23004910294118</v>
      </c>
      <c r="AB120" s="102">
        <f t="shared" si="80"/>
        <v>239.706569470588</v>
      </c>
      <c r="AC120" s="89">
        <v>7.26</v>
      </c>
      <c r="AD120" s="47">
        <f t="shared" si="81"/>
        <v>1740.26969435647</v>
      </c>
      <c r="AE120" s="47">
        <f t="shared" si="82"/>
        <v>2831.70276053294</v>
      </c>
      <c r="AF120" s="47">
        <f t="shared" si="83"/>
        <v>-82.1217605329402</v>
      </c>
    </row>
    <row r="121" s="2" customFormat="1" spans="1:32">
      <c r="A121" s="86"/>
      <c r="B121" s="45"/>
      <c r="C121" s="23">
        <v>241224000025</v>
      </c>
      <c r="D121" s="24">
        <v>46018</v>
      </c>
      <c r="E121" s="24" t="s">
        <v>59</v>
      </c>
      <c r="F121" s="45" t="s">
        <v>60</v>
      </c>
      <c r="G121" s="45" t="s">
        <v>61</v>
      </c>
      <c r="H121" s="87">
        <v>2.2252</v>
      </c>
      <c r="I121" s="87">
        <v>847</v>
      </c>
      <c r="J121" s="92"/>
      <c r="K121" s="103">
        <v>957505.5</v>
      </c>
      <c r="L121" s="45"/>
      <c r="M121" s="44">
        <f t="shared" si="92"/>
        <v>1582</v>
      </c>
      <c r="N121" s="95">
        <v>605.25</v>
      </c>
      <c r="O121" s="45">
        <v>7.18</v>
      </c>
      <c r="P121" s="92">
        <f t="shared" si="93"/>
        <v>4345.695</v>
      </c>
      <c r="Q121" s="98"/>
      <c r="R121" s="98"/>
      <c r="S121" s="47">
        <f t="shared" si="84"/>
        <v>1656.30144117647</v>
      </c>
      <c r="T121" s="47"/>
      <c r="U121" s="47">
        <f t="shared" si="85"/>
        <v>68.7194117647059</v>
      </c>
      <c r="V121" s="47"/>
      <c r="W121" s="47"/>
      <c r="X121" s="47">
        <f t="shared" si="79"/>
        <v>1725.02085294118</v>
      </c>
      <c r="Y121" s="102">
        <f t="shared" si="86"/>
        <v>376.914520294118</v>
      </c>
      <c r="Z121" s="102"/>
      <c r="AA121" s="102">
        <f t="shared" si="87"/>
        <v>1.94410488235294</v>
      </c>
      <c r="AB121" s="102">
        <f t="shared" si="80"/>
        <v>378.858625176471</v>
      </c>
      <c r="AC121" s="89">
        <v>7.26</v>
      </c>
      <c r="AD121" s="47">
        <f t="shared" si="81"/>
        <v>2750.51361878118</v>
      </c>
      <c r="AE121" s="47">
        <f t="shared" si="82"/>
        <v>4475.53447172235</v>
      </c>
      <c r="AF121" s="47">
        <f t="shared" si="83"/>
        <v>-129.839471722353</v>
      </c>
    </row>
    <row r="122" s="2" customFormat="1" spans="1:32">
      <c r="A122" s="86"/>
      <c r="B122" s="45"/>
      <c r="C122" s="23">
        <v>241224000026</v>
      </c>
      <c r="D122" s="24">
        <v>46018</v>
      </c>
      <c r="E122" s="24" t="s">
        <v>59</v>
      </c>
      <c r="F122" s="45" t="s">
        <v>60</v>
      </c>
      <c r="G122" s="45" t="s">
        <v>61</v>
      </c>
      <c r="H122" s="87">
        <v>0.8547</v>
      </c>
      <c r="I122" s="87">
        <v>81</v>
      </c>
      <c r="J122" s="92"/>
      <c r="K122" s="103">
        <v>367783.36</v>
      </c>
      <c r="L122" s="45"/>
      <c r="M122" s="44">
        <f t="shared" si="92"/>
        <v>1582</v>
      </c>
      <c r="N122" s="95">
        <v>232.48</v>
      </c>
      <c r="O122" s="45">
        <v>7.18</v>
      </c>
      <c r="P122" s="92">
        <f t="shared" si="93"/>
        <v>1669.2064</v>
      </c>
      <c r="Q122" s="98"/>
      <c r="R122" s="98"/>
      <c r="S122" s="47">
        <f t="shared" si="84"/>
        <v>636.185889705882</v>
      </c>
      <c r="T122" s="47"/>
      <c r="U122" s="47">
        <f t="shared" si="85"/>
        <v>26.3951470588235</v>
      </c>
      <c r="V122" s="47"/>
      <c r="W122" s="47"/>
      <c r="X122" s="47">
        <f t="shared" si="79"/>
        <v>662.581036764706</v>
      </c>
      <c r="Y122" s="102">
        <f t="shared" si="86"/>
        <v>144.772982426471</v>
      </c>
      <c r="Z122" s="102"/>
      <c r="AA122" s="102">
        <f t="shared" si="87"/>
        <v>0.746731279411765</v>
      </c>
      <c r="AB122" s="102">
        <f t="shared" si="80"/>
        <v>145.519713705882</v>
      </c>
      <c r="AC122" s="89">
        <v>7.26</v>
      </c>
      <c r="AD122" s="47">
        <f t="shared" si="81"/>
        <v>1056.47312150471</v>
      </c>
      <c r="AE122" s="47">
        <f t="shared" si="82"/>
        <v>1719.05415826941</v>
      </c>
      <c r="AF122" s="47">
        <f t="shared" si="83"/>
        <v>-49.8477582694115</v>
      </c>
    </row>
    <row r="123" s="2" customFormat="1" spans="1:32">
      <c r="A123" s="86"/>
      <c r="B123" s="45"/>
      <c r="C123" s="23">
        <v>241224000028</v>
      </c>
      <c r="D123" s="24">
        <v>46018</v>
      </c>
      <c r="E123" s="24" t="s">
        <v>55</v>
      </c>
      <c r="F123" s="45" t="s">
        <v>56</v>
      </c>
      <c r="G123" s="45" t="s">
        <v>57</v>
      </c>
      <c r="H123" s="87">
        <v>0.4936</v>
      </c>
      <c r="I123" s="87">
        <v>87</v>
      </c>
      <c r="J123" s="92"/>
      <c r="K123" s="103">
        <v>229672</v>
      </c>
      <c r="L123" s="45"/>
      <c r="M123" s="44">
        <f t="shared" si="92"/>
        <v>1550.99956449214</v>
      </c>
      <c r="N123" s="95">
        <v>148.07999</v>
      </c>
      <c r="O123" s="91">
        <v>7.24</v>
      </c>
      <c r="P123" s="92">
        <f t="shared" si="93"/>
        <v>1072.0991276</v>
      </c>
      <c r="Q123" s="98"/>
      <c r="R123" s="98"/>
      <c r="S123" s="47">
        <f t="shared" si="84"/>
        <v>367.405352941176</v>
      </c>
      <c r="T123" s="47"/>
      <c r="U123" s="47">
        <f t="shared" si="85"/>
        <v>15.2435294117647</v>
      </c>
      <c r="V123" s="47"/>
      <c r="W123" s="47"/>
      <c r="X123" s="47">
        <f t="shared" si="79"/>
        <v>382.648882352941</v>
      </c>
      <c r="Y123" s="102">
        <f t="shared" si="86"/>
        <v>83.6082182352941</v>
      </c>
      <c r="Z123" s="102"/>
      <c r="AA123" s="102">
        <f t="shared" si="87"/>
        <v>0.431246705882353</v>
      </c>
      <c r="AB123" s="102">
        <f t="shared" si="80"/>
        <v>84.0394649411765</v>
      </c>
      <c r="AC123" s="89">
        <v>7.26</v>
      </c>
      <c r="AD123" s="47">
        <f t="shared" si="81"/>
        <v>610.126515472941</v>
      </c>
      <c r="AE123" s="47">
        <f t="shared" si="82"/>
        <v>992.775397825882</v>
      </c>
      <c r="AF123" s="47">
        <f t="shared" si="83"/>
        <v>79.3237297741176</v>
      </c>
    </row>
    <row r="124" s="2" customFormat="1" spans="1:32">
      <c r="A124" s="86"/>
      <c r="B124" s="45"/>
      <c r="C124" s="23">
        <v>241224000043</v>
      </c>
      <c r="D124" s="24">
        <v>46018</v>
      </c>
      <c r="E124" s="24" t="s">
        <v>65</v>
      </c>
      <c r="F124" s="45" t="s">
        <v>65</v>
      </c>
      <c r="G124" s="45" t="s">
        <v>66</v>
      </c>
      <c r="H124" s="87">
        <v>0.4278</v>
      </c>
      <c r="I124" s="87">
        <v>118</v>
      </c>
      <c r="J124" s="88">
        <v>1777</v>
      </c>
      <c r="K124" s="89"/>
      <c r="L124" s="45"/>
      <c r="M124" s="44"/>
      <c r="N124" s="90"/>
      <c r="O124" s="91"/>
      <c r="P124" s="92">
        <f t="shared" ref="P124:P128" si="94">SUBTOTAL(9,J124)</f>
        <v>1777</v>
      </c>
      <c r="Q124" s="98"/>
      <c r="R124" s="98"/>
      <c r="S124" s="47">
        <f t="shared" si="84"/>
        <v>318.427897058824</v>
      </c>
      <c r="T124" s="47"/>
      <c r="U124" s="47">
        <f t="shared" si="85"/>
        <v>13.2114705882353</v>
      </c>
      <c r="V124" s="47"/>
      <c r="W124" s="99">
        <v>57.82</v>
      </c>
      <c r="X124" s="47">
        <f t="shared" si="79"/>
        <v>389.459367647059</v>
      </c>
      <c r="Y124" s="102">
        <f t="shared" si="86"/>
        <v>72.4627142647059</v>
      </c>
      <c r="Z124" s="102"/>
      <c r="AA124" s="102">
        <f t="shared" si="87"/>
        <v>0.373758794117647</v>
      </c>
      <c r="AB124" s="102">
        <f t="shared" si="80"/>
        <v>72.8364730588235</v>
      </c>
      <c r="AC124" s="89">
        <v>7.26</v>
      </c>
      <c r="AD124" s="47">
        <f t="shared" si="81"/>
        <v>528.792794407059</v>
      </c>
      <c r="AE124" s="47">
        <f t="shared" si="82"/>
        <v>918.252162054118</v>
      </c>
      <c r="AF124" s="47">
        <f t="shared" si="83"/>
        <v>858.747837945882</v>
      </c>
    </row>
    <row r="125" s="2" customFormat="1" spans="1:32">
      <c r="A125" s="86"/>
      <c r="B125" s="45"/>
      <c r="C125" s="23">
        <v>241126000018</v>
      </c>
      <c r="D125" s="24">
        <v>46018</v>
      </c>
      <c r="E125" s="24" t="s">
        <v>81</v>
      </c>
      <c r="F125" s="45" t="s">
        <v>89</v>
      </c>
      <c r="G125" s="45" t="s">
        <v>128</v>
      </c>
      <c r="H125" s="87">
        <v>4.3979</v>
      </c>
      <c r="I125" s="87">
        <v>10079</v>
      </c>
      <c r="J125" s="88">
        <v>20016.76</v>
      </c>
      <c r="K125" s="89"/>
      <c r="L125" s="93"/>
      <c r="M125" s="44"/>
      <c r="N125" s="90"/>
      <c r="O125" s="91"/>
      <c r="P125" s="92">
        <f t="shared" si="94"/>
        <v>20016.76</v>
      </c>
      <c r="Q125" s="98"/>
      <c r="R125" s="98"/>
      <c r="S125" s="47">
        <f t="shared" si="84"/>
        <v>3273.525125</v>
      </c>
      <c r="T125" s="47"/>
      <c r="U125" s="47">
        <f t="shared" si="85"/>
        <v>135.8175</v>
      </c>
      <c r="V125" s="47"/>
      <c r="W125" s="99">
        <v>255</v>
      </c>
      <c r="X125" s="47">
        <f t="shared" si="79"/>
        <v>3664.342625</v>
      </c>
      <c r="Y125" s="102">
        <f t="shared" si="86"/>
        <v>744.93635125</v>
      </c>
      <c r="Z125" s="102"/>
      <c r="AA125" s="102">
        <f t="shared" si="87"/>
        <v>3.84234175</v>
      </c>
      <c r="AB125" s="102">
        <f t="shared" si="80"/>
        <v>748.778693</v>
      </c>
      <c r="AC125" s="89">
        <v>7.26</v>
      </c>
      <c r="AD125" s="47">
        <f t="shared" si="81"/>
        <v>5436.13331118</v>
      </c>
      <c r="AE125" s="47">
        <f t="shared" si="82"/>
        <v>9100.47593618</v>
      </c>
      <c r="AF125" s="47">
        <f t="shared" si="83"/>
        <v>10916.28406382</v>
      </c>
    </row>
    <row r="126" s="2" customFormat="1" spans="1:32">
      <c r="A126" s="86"/>
      <c r="B126" s="45"/>
      <c r="C126" s="23">
        <v>241226000023</v>
      </c>
      <c r="D126" s="24">
        <v>46018</v>
      </c>
      <c r="E126" s="24" t="s">
        <v>83</v>
      </c>
      <c r="F126" s="45" t="s">
        <v>84</v>
      </c>
      <c r="G126" s="45" t="s">
        <v>117</v>
      </c>
      <c r="H126" s="87">
        <v>0.8304</v>
      </c>
      <c r="I126" s="87">
        <v>88</v>
      </c>
      <c r="J126" s="92"/>
      <c r="K126" s="103">
        <v>488305</v>
      </c>
      <c r="L126" s="45"/>
      <c r="M126" s="44">
        <f t="shared" ref="M126:M131" si="95">SUM(K126/N126)</f>
        <v>1581.29857512953</v>
      </c>
      <c r="N126" s="95">
        <v>308.8</v>
      </c>
      <c r="O126" s="91">
        <v>7.27</v>
      </c>
      <c r="P126" s="92">
        <f t="shared" ref="P126:P131" si="96">SUM(N126*O126)</f>
        <v>2244.976</v>
      </c>
      <c r="Q126" s="98"/>
      <c r="R126" s="98"/>
      <c r="S126" s="47">
        <f t="shared" si="84"/>
        <v>618.098470588235</v>
      </c>
      <c r="T126" s="47"/>
      <c r="U126" s="47">
        <f t="shared" si="85"/>
        <v>25.6447058823529</v>
      </c>
      <c r="V126" s="47"/>
      <c r="W126" s="47"/>
      <c r="X126" s="47">
        <f t="shared" si="79"/>
        <v>643.743176470588</v>
      </c>
      <c r="Y126" s="102">
        <f t="shared" si="86"/>
        <v>140.656937647059</v>
      </c>
      <c r="Z126" s="101">
        <v>35.59</v>
      </c>
      <c r="AA126" s="102">
        <f t="shared" si="87"/>
        <v>0.725500941176471</v>
      </c>
      <c r="AB126" s="102">
        <f t="shared" si="80"/>
        <v>176.972438588235</v>
      </c>
      <c r="AC126" s="89">
        <v>7.26</v>
      </c>
      <c r="AD126" s="47">
        <f t="shared" si="81"/>
        <v>1284.81990415059</v>
      </c>
      <c r="AE126" s="47">
        <f t="shared" si="82"/>
        <v>1928.56308062118</v>
      </c>
      <c r="AF126" s="47">
        <f t="shared" si="83"/>
        <v>316.412919378824</v>
      </c>
    </row>
    <row r="127" s="2" customFormat="1" spans="1:32">
      <c r="A127" s="86"/>
      <c r="B127" s="45"/>
      <c r="C127" s="23">
        <v>241226000032</v>
      </c>
      <c r="D127" s="24">
        <v>46018</v>
      </c>
      <c r="E127" s="24" t="s">
        <v>59</v>
      </c>
      <c r="F127" s="45" t="s">
        <v>60</v>
      </c>
      <c r="G127" s="45" t="s">
        <v>61</v>
      </c>
      <c r="H127" s="87">
        <v>0.19</v>
      </c>
      <c r="I127" s="87">
        <v>26</v>
      </c>
      <c r="J127" s="92"/>
      <c r="K127" s="103">
        <v>81805.22</v>
      </c>
      <c r="L127" s="45"/>
      <c r="M127" s="44">
        <f t="shared" si="95"/>
        <v>1582</v>
      </c>
      <c r="N127" s="95">
        <v>51.71</v>
      </c>
      <c r="O127" s="45">
        <v>7.18</v>
      </c>
      <c r="P127" s="92">
        <f t="shared" si="96"/>
        <v>371.2778</v>
      </c>
      <c r="Q127" s="98"/>
      <c r="R127" s="98"/>
      <c r="S127" s="47">
        <f t="shared" si="84"/>
        <v>141.424264705882</v>
      </c>
      <c r="T127" s="47"/>
      <c r="U127" s="47">
        <f t="shared" si="85"/>
        <v>5.86764705882353</v>
      </c>
      <c r="V127" s="47"/>
      <c r="W127" s="47"/>
      <c r="X127" s="47">
        <f t="shared" si="79"/>
        <v>147.291911764706</v>
      </c>
      <c r="Y127" s="102">
        <f t="shared" si="86"/>
        <v>32.1830661764706</v>
      </c>
      <c r="Z127" s="102"/>
      <c r="AA127" s="102">
        <f t="shared" si="87"/>
        <v>0.165998529411765</v>
      </c>
      <c r="AB127" s="102">
        <f t="shared" si="80"/>
        <v>32.3490647058824</v>
      </c>
      <c r="AC127" s="89">
        <v>7.26</v>
      </c>
      <c r="AD127" s="47">
        <f t="shared" si="81"/>
        <v>234.854209764706</v>
      </c>
      <c r="AE127" s="47">
        <f t="shared" si="82"/>
        <v>382.146121529412</v>
      </c>
      <c r="AF127" s="47">
        <f t="shared" si="83"/>
        <v>-10.8683215294118</v>
      </c>
    </row>
    <row r="128" s="2" customFormat="1" spans="1:32">
      <c r="A128" s="86"/>
      <c r="B128" s="45"/>
      <c r="C128" s="23">
        <v>241023000034</v>
      </c>
      <c r="D128" s="24">
        <v>45617</v>
      </c>
      <c r="E128" s="24" t="s">
        <v>65</v>
      </c>
      <c r="F128" s="45" t="s">
        <v>65</v>
      </c>
      <c r="G128" s="45" t="s">
        <v>67</v>
      </c>
      <c r="H128" s="87">
        <v>0.0452</v>
      </c>
      <c r="I128" s="87">
        <v>13</v>
      </c>
      <c r="J128" s="88">
        <v>131.2</v>
      </c>
      <c r="K128" s="89"/>
      <c r="L128" s="45"/>
      <c r="M128" s="44"/>
      <c r="N128" s="90"/>
      <c r="O128" s="91"/>
      <c r="P128" s="92">
        <f t="shared" si="94"/>
        <v>131.2</v>
      </c>
      <c r="Q128" s="98"/>
      <c r="R128" s="98"/>
      <c r="S128" s="47">
        <f t="shared" si="84"/>
        <v>33.6440882352941</v>
      </c>
      <c r="T128" s="47"/>
      <c r="U128" s="47">
        <f t="shared" si="85"/>
        <v>1.39588235294118</v>
      </c>
      <c r="V128" s="47"/>
      <c r="W128" s="47"/>
      <c r="X128" s="47">
        <f t="shared" si="79"/>
        <v>35.0399705882353</v>
      </c>
      <c r="Y128" s="102">
        <f t="shared" si="86"/>
        <v>7.65618205882353</v>
      </c>
      <c r="Z128" s="102"/>
      <c r="AA128" s="102">
        <f t="shared" si="87"/>
        <v>0.0394901764705882</v>
      </c>
      <c r="AB128" s="102">
        <f t="shared" si="80"/>
        <v>7.69567223529412</v>
      </c>
      <c r="AC128" s="89">
        <v>7.26</v>
      </c>
      <c r="AD128" s="47">
        <f t="shared" si="81"/>
        <v>55.8705804282353</v>
      </c>
      <c r="AE128" s="47">
        <f t="shared" si="82"/>
        <v>90.9105510164706</v>
      </c>
      <c r="AF128" s="47">
        <f t="shared" si="83"/>
        <v>40.2894489835294</v>
      </c>
    </row>
    <row r="129" s="2" customFormat="1" spans="1:32">
      <c r="A129" s="86"/>
      <c r="B129" s="45"/>
      <c r="C129" s="23">
        <v>241226000033</v>
      </c>
      <c r="D129" s="24">
        <v>46018</v>
      </c>
      <c r="E129" s="24" t="s">
        <v>59</v>
      </c>
      <c r="F129" s="45" t="s">
        <v>60</v>
      </c>
      <c r="G129" s="45" t="s">
        <v>61</v>
      </c>
      <c r="H129" s="87">
        <v>1.481</v>
      </c>
      <c r="I129" s="87">
        <v>251</v>
      </c>
      <c r="J129" s="92"/>
      <c r="K129" s="103">
        <v>637277.06</v>
      </c>
      <c r="L129" s="45"/>
      <c r="M129" s="44">
        <f t="shared" si="95"/>
        <v>1582</v>
      </c>
      <c r="N129" s="95">
        <v>402.83</v>
      </c>
      <c r="O129" s="45">
        <v>7.18</v>
      </c>
      <c r="P129" s="92">
        <f t="shared" si="96"/>
        <v>2892.3194</v>
      </c>
      <c r="Q129" s="98"/>
      <c r="R129" s="98"/>
      <c r="S129" s="47">
        <f t="shared" si="84"/>
        <v>1102.36492647059</v>
      </c>
      <c r="T129" s="47"/>
      <c r="U129" s="47">
        <f t="shared" si="85"/>
        <v>45.7367647058824</v>
      </c>
      <c r="V129" s="47"/>
      <c r="W129" s="47"/>
      <c r="X129" s="47">
        <f t="shared" si="79"/>
        <v>1148.10169117647</v>
      </c>
      <c r="Y129" s="102">
        <f t="shared" si="86"/>
        <v>250.858531617647</v>
      </c>
      <c r="Z129" s="102"/>
      <c r="AA129" s="102">
        <f t="shared" si="87"/>
        <v>1.29391485294118</v>
      </c>
      <c r="AB129" s="102">
        <f t="shared" si="80"/>
        <v>252.152446470588</v>
      </c>
      <c r="AC129" s="89">
        <v>7.26</v>
      </c>
      <c r="AD129" s="47">
        <f t="shared" si="81"/>
        <v>1830.62676137647</v>
      </c>
      <c r="AE129" s="47">
        <f t="shared" si="82"/>
        <v>2978.72845255294</v>
      </c>
      <c r="AF129" s="47">
        <f t="shared" si="83"/>
        <v>-86.4090525529414</v>
      </c>
    </row>
    <row r="130" s="2" customFormat="1" spans="1:32">
      <c r="A130" s="86"/>
      <c r="B130" s="45"/>
      <c r="C130" s="23">
        <v>241225000006</v>
      </c>
      <c r="D130" s="24">
        <v>46020</v>
      </c>
      <c r="E130" s="24" t="s">
        <v>83</v>
      </c>
      <c r="F130" s="45" t="s">
        <v>84</v>
      </c>
      <c r="G130" s="45" t="s">
        <v>123</v>
      </c>
      <c r="H130" s="87">
        <v>2.399</v>
      </c>
      <c r="I130" s="87">
        <v>1988</v>
      </c>
      <c r="J130" s="92"/>
      <c r="K130" s="94">
        <v>1244263</v>
      </c>
      <c r="L130" s="45"/>
      <c r="M130" s="44">
        <f t="shared" si="95"/>
        <v>1573.02528445006</v>
      </c>
      <c r="N130" s="95">
        <v>791</v>
      </c>
      <c r="O130" s="91">
        <v>7.25</v>
      </c>
      <c r="P130" s="92">
        <f t="shared" si="96"/>
        <v>5734.75</v>
      </c>
      <c r="Q130" s="98"/>
      <c r="R130" s="98"/>
      <c r="S130" s="47">
        <f t="shared" si="84"/>
        <v>1785.66742647059</v>
      </c>
      <c r="T130" s="47"/>
      <c r="U130" s="47">
        <f t="shared" si="85"/>
        <v>74.0867647058824</v>
      </c>
      <c r="V130" s="47"/>
      <c r="W130" s="47"/>
      <c r="X130" s="47">
        <f t="shared" si="79"/>
        <v>1859.75419117647</v>
      </c>
      <c r="Y130" s="102">
        <f t="shared" si="86"/>
        <v>406.353556617647</v>
      </c>
      <c r="Z130" s="102"/>
      <c r="AA130" s="102">
        <f t="shared" si="87"/>
        <v>2.09594985294118</v>
      </c>
      <c r="AB130" s="102">
        <f t="shared" si="80"/>
        <v>408.449506470588</v>
      </c>
      <c r="AC130" s="89">
        <v>7.26</v>
      </c>
      <c r="AD130" s="47">
        <f t="shared" si="81"/>
        <v>2965.34341697647</v>
      </c>
      <c r="AE130" s="47">
        <f t="shared" si="82"/>
        <v>4825.09760815294</v>
      </c>
      <c r="AF130" s="47">
        <f t="shared" ref="AF130:AF144" si="97">SUM(P130-AE130)</f>
        <v>909.652391847059</v>
      </c>
    </row>
    <row r="131" s="2" customFormat="1" spans="1:32">
      <c r="A131" s="86"/>
      <c r="B131" s="45"/>
      <c r="C131" s="23">
        <v>241226000034</v>
      </c>
      <c r="D131" s="24">
        <v>46018</v>
      </c>
      <c r="E131" s="24" t="s">
        <v>59</v>
      </c>
      <c r="F131" s="45" t="s">
        <v>60</v>
      </c>
      <c r="G131" s="45" t="s">
        <v>61</v>
      </c>
      <c r="H131" s="87">
        <v>0.3501</v>
      </c>
      <c r="I131" s="87">
        <v>96</v>
      </c>
      <c r="J131" s="92"/>
      <c r="K131" s="103">
        <v>150653.86</v>
      </c>
      <c r="L131" s="45"/>
      <c r="M131" s="44">
        <f t="shared" si="95"/>
        <v>1582</v>
      </c>
      <c r="N131" s="95">
        <v>95.23</v>
      </c>
      <c r="O131" s="45">
        <v>7.18</v>
      </c>
      <c r="P131" s="92">
        <f t="shared" si="96"/>
        <v>683.7514</v>
      </c>
      <c r="Q131" s="100"/>
      <c r="R131" s="100"/>
      <c r="S131" s="47">
        <f t="shared" si="84"/>
        <v>260.592816176471</v>
      </c>
      <c r="T131" s="47"/>
      <c r="U131" s="47">
        <f t="shared" si="85"/>
        <v>10.8119117647059</v>
      </c>
      <c r="V131" s="47"/>
      <c r="W131" s="47"/>
      <c r="X131" s="47">
        <f t="shared" ref="X131:X145" si="98">SUM(S131:W131)</f>
        <v>271.404727941176</v>
      </c>
      <c r="Y131" s="102">
        <f t="shared" si="86"/>
        <v>59.3015340441176</v>
      </c>
      <c r="Z131" s="102"/>
      <c r="AA131" s="102">
        <f t="shared" si="87"/>
        <v>0.305874132352941</v>
      </c>
      <c r="AB131" s="102">
        <f t="shared" ref="AB131:AB145" si="99">SUM(Y131:AA131)</f>
        <v>59.6074081764706</v>
      </c>
      <c r="AC131" s="89">
        <v>7.26</v>
      </c>
      <c r="AD131" s="47">
        <f t="shared" ref="AD131:AD145" si="100">SUM(AB131*AC131)</f>
        <v>432.749783361176</v>
      </c>
      <c r="AE131" s="47">
        <f t="shared" ref="AE131:AE145" si="101">SUM(X131+AD131)</f>
        <v>704.154511302353</v>
      </c>
      <c r="AF131" s="47">
        <f t="shared" si="97"/>
        <v>-20.4031113023528</v>
      </c>
    </row>
    <row r="132" s="2" customFormat="1" spans="1:32">
      <c r="A132" s="86" t="s">
        <v>18</v>
      </c>
      <c r="B132" s="45" t="s">
        <v>19</v>
      </c>
      <c r="C132" s="23">
        <v>241128000030</v>
      </c>
      <c r="D132" s="24">
        <v>46020</v>
      </c>
      <c r="E132" s="24" t="s">
        <v>65</v>
      </c>
      <c r="F132" s="45" t="s">
        <v>65</v>
      </c>
      <c r="G132" s="45" t="s">
        <v>101</v>
      </c>
      <c r="H132" s="87">
        <v>5.8708</v>
      </c>
      <c r="I132" s="87">
        <v>3354</v>
      </c>
      <c r="J132" s="88">
        <v>17261.3</v>
      </c>
      <c r="K132" s="89"/>
      <c r="L132" s="45"/>
      <c r="M132" s="44"/>
      <c r="N132" s="90"/>
      <c r="O132" s="91"/>
      <c r="P132" s="92">
        <f t="shared" ref="P132:P137" si="102">SUBTOTAL(9,J132)</f>
        <v>17261.3</v>
      </c>
      <c r="Q132" s="96">
        <f>SUM(P132:P144)</f>
        <v>158708.12</v>
      </c>
      <c r="R132" s="97" t="s">
        <v>129</v>
      </c>
      <c r="S132" s="47">
        <f>SUM(50190/68)*H132</f>
        <v>4333.16841176471</v>
      </c>
      <c r="T132" s="47"/>
      <c r="U132" s="47">
        <f>SUM(1800/68)*H132</f>
        <v>155.403529411765</v>
      </c>
      <c r="V132" s="47"/>
      <c r="W132" s="47"/>
      <c r="X132" s="47">
        <f t="shared" si="98"/>
        <v>4488.57194117647</v>
      </c>
      <c r="Y132" s="101">
        <f>SUM(11143.04/68)*H132</f>
        <v>962.037635764706</v>
      </c>
      <c r="Z132" s="101">
        <v>114.79</v>
      </c>
      <c r="AA132" s="101">
        <f>SUM(134.1/68)*H132</f>
        <v>11.5775629411765</v>
      </c>
      <c r="AB132" s="102">
        <f t="shared" si="99"/>
        <v>1088.40519870588</v>
      </c>
      <c r="AC132" s="89">
        <v>7.25</v>
      </c>
      <c r="AD132" s="47">
        <f t="shared" si="100"/>
        <v>7890.93769061765</v>
      </c>
      <c r="AE132" s="47">
        <f t="shared" si="101"/>
        <v>12379.5096317941</v>
      </c>
      <c r="AF132" s="47">
        <f t="shared" si="97"/>
        <v>4881.79036820588</v>
      </c>
    </row>
    <row r="133" s="2" customFormat="1" spans="1:32">
      <c r="A133" s="86" t="s">
        <v>18</v>
      </c>
      <c r="B133" s="45" t="s">
        <v>19</v>
      </c>
      <c r="C133" s="23">
        <v>241126000018</v>
      </c>
      <c r="D133" s="24">
        <v>46020</v>
      </c>
      <c r="E133" s="24" t="s">
        <v>81</v>
      </c>
      <c r="F133" s="45" t="s">
        <v>89</v>
      </c>
      <c r="G133" s="45" t="s">
        <v>128</v>
      </c>
      <c r="H133" s="87">
        <v>4.16</v>
      </c>
      <c r="I133" s="87">
        <v>10000</v>
      </c>
      <c r="J133" s="88">
        <v>18934.4</v>
      </c>
      <c r="K133" s="46"/>
      <c r="L133" s="93"/>
      <c r="M133" s="44"/>
      <c r="N133" s="90"/>
      <c r="O133" s="91"/>
      <c r="P133" s="92">
        <f t="shared" si="102"/>
        <v>18934.4</v>
      </c>
      <c r="Q133" s="98"/>
      <c r="R133" s="98"/>
      <c r="S133" s="47">
        <f t="shared" ref="S133:S144" si="103">SUM(50190/68)*H133</f>
        <v>3070.44705882353</v>
      </c>
      <c r="T133" s="47"/>
      <c r="U133" s="47">
        <f t="shared" ref="U133:U144" si="104">SUM(1800/68)*H133</f>
        <v>110.117647058824</v>
      </c>
      <c r="V133" s="47"/>
      <c r="W133" s="47"/>
      <c r="X133" s="47">
        <f t="shared" si="98"/>
        <v>3180.56470588235</v>
      </c>
      <c r="Y133" s="101">
        <f t="shared" ref="Y133:Y144" si="105">SUM(11143.04/68)*H133</f>
        <v>681.69185882353</v>
      </c>
      <c r="Z133" s="102"/>
      <c r="AA133" s="101">
        <f t="shared" ref="AA133:AA144" si="106">SUM(134.1/68)*H133</f>
        <v>8.20376470588235</v>
      </c>
      <c r="AB133" s="102">
        <f t="shared" si="99"/>
        <v>689.895623529412</v>
      </c>
      <c r="AC133" s="89">
        <v>7.25</v>
      </c>
      <c r="AD133" s="47">
        <f t="shared" si="100"/>
        <v>5001.74327058824</v>
      </c>
      <c r="AE133" s="47">
        <f t="shared" si="101"/>
        <v>8182.30797647059</v>
      </c>
      <c r="AF133" s="47">
        <f t="shared" si="97"/>
        <v>10752.0920235294</v>
      </c>
    </row>
    <row r="134" s="2" customFormat="1" spans="1:32">
      <c r="A134" s="86"/>
      <c r="B134" s="45"/>
      <c r="C134" s="23">
        <v>241209000079</v>
      </c>
      <c r="D134" s="24">
        <v>46020</v>
      </c>
      <c r="E134" s="24" t="s">
        <v>68</v>
      </c>
      <c r="F134" s="45" t="s">
        <v>69</v>
      </c>
      <c r="G134" s="45" t="s">
        <v>116</v>
      </c>
      <c r="H134" s="87">
        <v>3.7703</v>
      </c>
      <c r="I134" s="87">
        <v>879</v>
      </c>
      <c r="J134" s="88">
        <v>9709</v>
      </c>
      <c r="K134" s="89"/>
      <c r="L134" s="45"/>
      <c r="M134" s="44"/>
      <c r="N134" s="90"/>
      <c r="O134" s="91"/>
      <c r="P134" s="92">
        <f t="shared" si="102"/>
        <v>9709</v>
      </c>
      <c r="Q134" s="98"/>
      <c r="R134" s="98"/>
      <c r="S134" s="47">
        <f t="shared" si="103"/>
        <v>2782.81407352941</v>
      </c>
      <c r="T134" s="47"/>
      <c r="U134" s="47">
        <f t="shared" si="104"/>
        <v>99.8020588235294</v>
      </c>
      <c r="V134" s="47"/>
      <c r="W134" s="47"/>
      <c r="X134" s="47">
        <f t="shared" si="98"/>
        <v>2882.61613235294</v>
      </c>
      <c r="Y134" s="101">
        <f t="shared" si="105"/>
        <v>617.832407529412</v>
      </c>
      <c r="Z134" s="102"/>
      <c r="AA134" s="101">
        <f t="shared" si="106"/>
        <v>7.43525338235294</v>
      </c>
      <c r="AB134" s="102">
        <f t="shared" si="99"/>
        <v>625.267660911765</v>
      </c>
      <c r="AC134" s="89">
        <v>7.25</v>
      </c>
      <c r="AD134" s="47">
        <f t="shared" si="100"/>
        <v>4533.19054161029</v>
      </c>
      <c r="AE134" s="47">
        <f t="shared" si="101"/>
        <v>7415.80667396324</v>
      </c>
      <c r="AF134" s="47">
        <f t="shared" si="97"/>
        <v>2293.19332603676</v>
      </c>
    </row>
    <row r="135" s="2" customFormat="1" spans="1:32">
      <c r="A135" s="86"/>
      <c r="B135" s="45"/>
      <c r="C135" s="23">
        <v>241220000032</v>
      </c>
      <c r="D135" s="24">
        <v>46020</v>
      </c>
      <c r="E135" s="24" t="s">
        <v>83</v>
      </c>
      <c r="F135" s="45" t="s">
        <v>84</v>
      </c>
      <c r="G135" s="45" t="s">
        <v>86</v>
      </c>
      <c r="H135" s="87">
        <v>0.1307</v>
      </c>
      <c r="I135" s="87">
        <v>18</v>
      </c>
      <c r="J135" s="88">
        <v>264.26</v>
      </c>
      <c r="K135" s="89"/>
      <c r="L135" s="45"/>
      <c r="M135" s="44"/>
      <c r="N135" s="90"/>
      <c r="O135" s="91"/>
      <c r="P135" s="92">
        <f t="shared" si="102"/>
        <v>264.26</v>
      </c>
      <c r="Q135" s="98"/>
      <c r="R135" s="98"/>
      <c r="S135" s="47">
        <f t="shared" si="103"/>
        <v>96.4681323529412</v>
      </c>
      <c r="T135" s="47"/>
      <c r="U135" s="47">
        <f t="shared" si="104"/>
        <v>3.45970588235294</v>
      </c>
      <c r="V135" s="47"/>
      <c r="W135" s="47"/>
      <c r="X135" s="47">
        <f t="shared" si="98"/>
        <v>99.9278382352941</v>
      </c>
      <c r="Y135" s="101">
        <f t="shared" si="105"/>
        <v>21.4175783529412</v>
      </c>
      <c r="Z135" s="102"/>
      <c r="AA135" s="101">
        <f t="shared" si="106"/>
        <v>0.257748088235294</v>
      </c>
      <c r="AB135" s="102">
        <f t="shared" si="99"/>
        <v>21.6753264411765</v>
      </c>
      <c r="AC135" s="89">
        <v>7.25</v>
      </c>
      <c r="AD135" s="47">
        <f t="shared" si="100"/>
        <v>157.146116698529</v>
      </c>
      <c r="AE135" s="47">
        <f t="shared" si="101"/>
        <v>257.073954933824</v>
      </c>
      <c r="AF135" s="47">
        <f t="shared" si="97"/>
        <v>7.18604506617646</v>
      </c>
    </row>
    <row r="136" s="2" customFormat="1" spans="1:32">
      <c r="A136" s="86"/>
      <c r="B136" s="45"/>
      <c r="C136" s="23">
        <v>241220000033</v>
      </c>
      <c r="D136" s="24">
        <v>46020</v>
      </c>
      <c r="E136" s="24" t="s">
        <v>83</v>
      </c>
      <c r="F136" s="45" t="s">
        <v>84</v>
      </c>
      <c r="G136" s="45" t="s">
        <v>86</v>
      </c>
      <c r="H136" s="87">
        <v>4.4833</v>
      </c>
      <c r="I136" s="87">
        <v>535</v>
      </c>
      <c r="J136" s="88">
        <v>9724.04</v>
      </c>
      <c r="K136" s="89"/>
      <c r="L136" s="45"/>
      <c r="M136" s="44"/>
      <c r="N136" s="90"/>
      <c r="O136" s="91"/>
      <c r="P136" s="92">
        <f t="shared" si="102"/>
        <v>9724.04</v>
      </c>
      <c r="Q136" s="98"/>
      <c r="R136" s="98"/>
      <c r="S136" s="47">
        <f t="shared" si="103"/>
        <v>3309.07098529412</v>
      </c>
      <c r="T136" s="47"/>
      <c r="U136" s="47">
        <f t="shared" si="104"/>
        <v>118.675588235294</v>
      </c>
      <c r="V136" s="99">
        <v>600</v>
      </c>
      <c r="W136" s="47"/>
      <c r="X136" s="47">
        <f t="shared" si="98"/>
        <v>4027.74657352941</v>
      </c>
      <c r="Y136" s="101">
        <f t="shared" si="105"/>
        <v>734.670459294118</v>
      </c>
      <c r="Z136" s="102"/>
      <c r="AA136" s="101">
        <f t="shared" si="106"/>
        <v>8.84133132352941</v>
      </c>
      <c r="AB136" s="102">
        <f t="shared" si="99"/>
        <v>743.511790617647</v>
      </c>
      <c r="AC136" s="89">
        <v>7.25</v>
      </c>
      <c r="AD136" s="47">
        <f t="shared" si="100"/>
        <v>5390.46048197794</v>
      </c>
      <c r="AE136" s="47">
        <f t="shared" si="101"/>
        <v>9418.20705550735</v>
      </c>
      <c r="AF136" s="47">
        <f t="shared" si="97"/>
        <v>305.832944492648</v>
      </c>
    </row>
    <row r="137" s="2" customFormat="1" spans="1:32">
      <c r="A137" s="86"/>
      <c r="B137" s="45"/>
      <c r="C137" s="23">
        <v>241222000001</v>
      </c>
      <c r="D137" s="24">
        <v>46020</v>
      </c>
      <c r="E137" s="24" t="s">
        <v>65</v>
      </c>
      <c r="F137" s="45" t="s">
        <v>65</v>
      </c>
      <c r="G137" s="45" t="s">
        <v>106</v>
      </c>
      <c r="H137" s="87">
        <v>2.8117</v>
      </c>
      <c r="I137" s="87">
        <v>782</v>
      </c>
      <c r="J137" s="88">
        <v>7663</v>
      </c>
      <c r="K137" s="89"/>
      <c r="L137" s="45"/>
      <c r="M137" s="44"/>
      <c r="N137" s="90"/>
      <c r="O137" s="91"/>
      <c r="P137" s="92">
        <f t="shared" si="102"/>
        <v>7663</v>
      </c>
      <c r="Q137" s="98"/>
      <c r="R137" s="98"/>
      <c r="S137" s="47">
        <f t="shared" si="103"/>
        <v>2075.28269117647</v>
      </c>
      <c r="T137" s="47"/>
      <c r="U137" s="47">
        <f t="shared" si="104"/>
        <v>74.4273529411765</v>
      </c>
      <c r="V137" s="47"/>
      <c r="W137" s="47"/>
      <c r="X137" s="47">
        <f t="shared" si="98"/>
        <v>2149.71004411765</v>
      </c>
      <c r="Y137" s="101">
        <f t="shared" si="105"/>
        <v>460.748317176471</v>
      </c>
      <c r="Z137" s="102"/>
      <c r="AA137" s="101">
        <f t="shared" si="106"/>
        <v>5.54483779411765</v>
      </c>
      <c r="AB137" s="102">
        <f t="shared" si="99"/>
        <v>466.293154970588</v>
      </c>
      <c r="AC137" s="89">
        <v>7.25</v>
      </c>
      <c r="AD137" s="47">
        <f t="shared" si="100"/>
        <v>3380.62537353676</v>
      </c>
      <c r="AE137" s="47">
        <f t="shared" si="101"/>
        <v>5530.33541765441</v>
      </c>
      <c r="AF137" s="47">
        <f t="shared" si="97"/>
        <v>2132.66458234559</v>
      </c>
    </row>
    <row r="138" s="2" customFormat="1" spans="1:32">
      <c r="A138" s="86"/>
      <c r="B138" s="45"/>
      <c r="C138" s="23">
        <v>241225000006</v>
      </c>
      <c r="D138" s="24">
        <v>46020</v>
      </c>
      <c r="E138" s="24" t="s">
        <v>83</v>
      </c>
      <c r="F138" s="45" t="s">
        <v>84</v>
      </c>
      <c r="G138" s="45" t="s">
        <v>123</v>
      </c>
      <c r="H138" s="87">
        <v>1.7317</v>
      </c>
      <c r="I138" s="87">
        <v>1184</v>
      </c>
      <c r="J138" s="92"/>
      <c r="K138" s="94">
        <v>898163</v>
      </c>
      <c r="L138" s="45"/>
      <c r="M138" s="44">
        <f>SUM(K138/N138)</f>
        <v>1572.9649737303</v>
      </c>
      <c r="N138" s="95">
        <v>571</v>
      </c>
      <c r="O138" s="91">
        <v>7.25</v>
      </c>
      <c r="P138" s="92">
        <f>SUM(N138*O138)</f>
        <v>4139.75</v>
      </c>
      <c r="Q138" s="98"/>
      <c r="R138" s="98"/>
      <c r="S138" s="47">
        <f t="shared" si="103"/>
        <v>1278.14739705882</v>
      </c>
      <c r="T138" s="47"/>
      <c r="U138" s="47">
        <f t="shared" si="104"/>
        <v>45.8391176470588</v>
      </c>
      <c r="V138" s="47"/>
      <c r="W138" s="47"/>
      <c r="X138" s="47">
        <f t="shared" si="98"/>
        <v>1323.98651470588</v>
      </c>
      <c r="Y138" s="101">
        <f t="shared" si="105"/>
        <v>283.770623058824</v>
      </c>
      <c r="Z138" s="101">
        <v>52.28</v>
      </c>
      <c r="AA138" s="101">
        <f t="shared" si="106"/>
        <v>3.41501426470588</v>
      </c>
      <c r="AB138" s="102">
        <f t="shared" si="99"/>
        <v>339.465637323529</v>
      </c>
      <c r="AC138" s="89">
        <v>7.25</v>
      </c>
      <c r="AD138" s="47">
        <f t="shared" si="100"/>
        <v>2461.12587059559</v>
      </c>
      <c r="AE138" s="47">
        <f t="shared" si="101"/>
        <v>3785.11238530147</v>
      </c>
      <c r="AF138" s="47">
        <f t="shared" si="97"/>
        <v>354.637614698529</v>
      </c>
    </row>
    <row r="139" s="2" customFormat="1" spans="1:32">
      <c r="A139" s="86"/>
      <c r="B139" s="45"/>
      <c r="C139" s="23">
        <v>241227000020</v>
      </c>
      <c r="D139" s="24">
        <v>46020</v>
      </c>
      <c r="E139" s="24" t="s">
        <v>62</v>
      </c>
      <c r="F139" s="45" t="s">
        <v>63</v>
      </c>
      <c r="G139" s="45" t="s">
        <v>71</v>
      </c>
      <c r="H139" s="87">
        <v>13.5726</v>
      </c>
      <c r="I139" s="87">
        <v>6092</v>
      </c>
      <c r="J139" s="88">
        <v>27674.5</v>
      </c>
      <c r="K139" s="46"/>
      <c r="L139" s="45"/>
      <c r="M139" s="44"/>
      <c r="N139" s="90"/>
      <c r="O139" s="91"/>
      <c r="P139" s="92">
        <f t="shared" ref="P139:P144" si="107">SUBTOTAL(9,J139)</f>
        <v>27674.5</v>
      </c>
      <c r="Q139" s="98"/>
      <c r="R139" s="98"/>
      <c r="S139" s="47">
        <f t="shared" si="103"/>
        <v>10017.7763823529</v>
      </c>
      <c r="T139" s="47"/>
      <c r="U139" s="47">
        <f t="shared" si="104"/>
        <v>359.274705882353</v>
      </c>
      <c r="V139" s="47"/>
      <c r="W139" s="47"/>
      <c r="X139" s="47">
        <f t="shared" si="98"/>
        <v>10377.0510882353</v>
      </c>
      <c r="Y139" s="101">
        <f t="shared" si="105"/>
        <v>2224.11801035294</v>
      </c>
      <c r="Z139" s="102"/>
      <c r="AA139" s="101">
        <f t="shared" si="106"/>
        <v>26.7659655882353</v>
      </c>
      <c r="AB139" s="102">
        <f t="shared" si="99"/>
        <v>2250.88397594118</v>
      </c>
      <c r="AC139" s="89">
        <v>7.25</v>
      </c>
      <c r="AD139" s="47">
        <f t="shared" si="100"/>
        <v>16318.9088255735</v>
      </c>
      <c r="AE139" s="47">
        <f t="shared" si="101"/>
        <v>26695.9599138088</v>
      </c>
      <c r="AF139" s="47">
        <f t="shared" si="97"/>
        <v>978.540086191173</v>
      </c>
    </row>
    <row r="140" s="2" customFormat="1" spans="1:32">
      <c r="A140" s="86"/>
      <c r="B140" s="45"/>
      <c r="C140" s="23">
        <v>241227000049</v>
      </c>
      <c r="D140" s="24">
        <v>46020</v>
      </c>
      <c r="E140" s="24" t="s">
        <v>77</v>
      </c>
      <c r="F140" s="45" t="s">
        <v>78</v>
      </c>
      <c r="G140" s="45" t="s">
        <v>130</v>
      </c>
      <c r="H140" s="87">
        <v>2.8728</v>
      </c>
      <c r="I140" s="87">
        <v>1490</v>
      </c>
      <c r="J140" s="88">
        <v>5584.75</v>
      </c>
      <c r="K140" s="89"/>
      <c r="L140" s="45"/>
      <c r="M140" s="44"/>
      <c r="N140" s="90"/>
      <c r="O140" s="45"/>
      <c r="P140" s="92">
        <f t="shared" si="107"/>
        <v>5584.75</v>
      </c>
      <c r="Q140" s="98"/>
      <c r="R140" s="98"/>
      <c r="S140" s="47">
        <f t="shared" si="103"/>
        <v>2120.37988235294</v>
      </c>
      <c r="T140" s="47"/>
      <c r="U140" s="47">
        <f t="shared" si="104"/>
        <v>76.0447058823529</v>
      </c>
      <c r="V140" s="47"/>
      <c r="W140" s="47"/>
      <c r="X140" s="47">
        <f t="shared" si="98"/>
        <v>2196.42458823529</v>
      </c>
      <c r="Y140" s="101">
        <f t="shared" si="105"/>
        <v>470.760666352941</v>
      </c>
      <c r="Z140" s="102"/>
      <c r="AA140" s="101">
        <f t="shared" si="106"/>
        <v>5.66533058823529</v>
      </c>
      <c r="AB140" s="102">
        <f t="shared" si="99"/>
        <v>476.425996941176</v>
      </c>
      <c r="AC140" s="89">
        <v>7.25</v>
      </c>
      <c r="AD140" s="47">
        <f t="shared" si="100"/>
        <v>3454.08847782353</v>
      </c>
      <c r="AE140" s="47">
        <f t="shared" si="101"/>
        <v>5650.51306605882</v>
      </c>
      <c r="AF140" s="47">
        <f t="shared" si="97"/>
        <v>-65.7630660588229</v>
      </c>
    </row>
    <row r="141" s="2" customFormat="1" spans="1:32">
      <c r="A141" s="86"/>
      <c r="B141" s="45"/>
      <c r="C141" s="23">
        <v>241227000050</v>
      </c>
      <c r="D141" s="24">
        <v>46020</v>
      </c>
      <c r="E141" s="24" t="s">
        <v>77</v>
      </c>
      <c r="F141" s="45" t="s">
        <v>78</v>
      </c>
      <c r="G141" s="45" t="s">
        <v>88</v>
      </c>
      <c r="H141" s="87">
        <v>0.4118</v>
      </c>
      <c r="I141" s="87">
        <v>482</v>
      </c>
      <c r="J141" s="88">
        <v>1338.62</v>
      </c>
      <c r="K141" s="89"/>
      <c r="L141" s="45"/>
      <c r="M141" s="44"/>
      <c r="N141" s="90"/>
      <c r="O141" s="45"/>
      <c r="P141" s="92">
        <f t="shared" si="107"/>
        <v>1338.62</v>
      </c>
      <c r="Q141" s="98"/>
      <c r="R141" s="98"/>
      <c r="S141" s="47">
        <f t="shared" si="103"/>
        <v>303.944735294118</v>
      </c>
      <c r="T141" s="47"/>
      <c r="U141" s="47">
        <f t="shared" si="104"/>
        <v>10.9005882352941</v>
      </c>
      <c r="V141" s="47"/>
      <c r="W141" s="47"/>
      <c r="X141" s="47">
        <f t="shared" si="98"/>
        <v>314.845323529412</v>
      </c>
      <c r="Y141" s="101">
        <f t="shared" si="105"/>
        <v>67.4809392941176</v>
      </c>
      <c r="Z141" s="102"/>
      <c r="AA141" s="101">
        <f t="shared" si="106"/>
        <v>0.812093823529412</v>
      </c>
      <c r="AB141" s="102">
        <f t="shared" si="99"/>
        <v>68.2930331176471</v>
      </c>
      <c r="AC141" s="89">
        <v>7.25</v>
      </c>
      <c r="AD141" s="47">
        <f t="shared" si="100"/>
        <v>495.124490102941</v>
      </c>
      <c r="AE141" s="47">
        <f t="shared" si="101"/>
        <v>809.969813632353</v>
      </c>
      <c r="AF141" s="47">
        <f t="shared" si="97"/>
        <v>528.650186367647</v>
      </c>
    </row>
    <row r="142" s="2" customFormat="1" spans="1:32">
      <c r="A142" s="86"/>
      <c r="B142" s="45"/>
      <c r="C142" s="23">
        <v>241227000051</v>
      </c>
      <c r="D142" s="24">
        <v>46020</v>
      </c>
      <c r="E142" s="24" t="s">
        <v>77</v>
      </c>
      <c r="F142" s="45" t="s">
        <v>78</v>
      </c>
      <c r="G142" s="45" t="s">
        <v>93</v>
      </c>
      <c r="H142" s="87">
        <v>0.0622</v>
      </c>
      <c r="I142" s="87">
        <v>8</v>
      </c>
      <c r="J142" s="88">
        <v>120.89</v>
      </c>
      <c r="K142" s="89"/>
      <c r="L142" s="45"/>
      <c r="M142" s="44"/>
      <c r="N142" s="90"/>
      <c r="O142" s="45"/>
      <c r="P142" s="92">
        <f t="shared" si="107"/>
        <v>120.89</v>
      </c>
      <c r="Q142" s="98"/>
      <c r="R142" s="98"/>
      <c r="S142" s="47">
        <f t="shared" si="103"/>
        <v>45.9090882352941</v>
      </c>
      <c r="T142" s="47"/>
      <c r="U142" s="47">
        <f t="shared" si="104"/>
        <v>1.64647058823529</v>
      </c>
      <c r="V142" s="47"/>
      <c r="W142" s="47"/>
      <c r="X142" s="47">
        <f t="shared" si="98"/>
        <v>47.5555588235294</v>
      </c>
      <c r="Y142" s="101">
        <f t="shared" si="105"/>
        <v>10.1926042352941</v>
      </c>
      <c r="Z142" s="102"/>
      <c r="AA142" s="101">
        <f t="shared" si="106"/>
        <v>0.122662058823529</v>
      </c>
      <c r="AB142" s="102">
        <f t="shared" si="99"/>
        <v>10.3152662941176</v>
      </c>
      <c r="AC142" s="89">
        <v>7.25</v>
      </c>
      <c r="AD142" s="47">
        <f t="shared" si="100"/>
        <v>74.7856806323529</v>
      </c>
      <c r="AE142" s="47">
        <f t="shared" si="101"/>
        <v>122.341239455882</v>
      </c>
      <c r="AF142" s="47">
        <f t="shared" si="97"/>
        <v>-1.45123945588234</v>
      </c>
    </row>
    <row r="143" s="2" customFormat="1" spans="1:32">
      <c r="A143" s="86"/>
      <c r="B143" s="45"/>
      <c r="C143" s="23">
        <v>241229000001</v>
      </c>
      <c r="D143" s="24">
        <v>46020</v>
      </c>
      <c r="E143" s="24" t="s">
        <v>59</v>
      </c>
      <c r="F143" s="45" t="s">
        <v>60</v>
      </c>
      <c r="G143" s="45" t="s">
        <v>102</v>
      </c>
      <c r="H143" s="87">
        <v>32.35</v>
      </c>
      <c r="I143" s="87">
        <v>3811</v>
      </c>
      <c r="J143" s="88">
        <v>53783.17</v>
      </c>
      <c r="K143" s="89"/>
      <c r="L143" s="45"/>
      <c r="M143" s="44"/>
      <c r="N143" s="95"/>
      <c r="O143" s="91"/>
      <c r="P143" s="92">
        <f t="shared" si="107"/>
        <v>53783.17</v>
      </c>
      <c r="Q143" s="98"/>
      <c r="R143" s="98"/>
      <c r="S143" s="47">
        <f t="shared" si="103"/>
        <v>23877.1544117647</v>
      </c>
      <c r="T143" s="47"/>
      <c r="U143" s="47">
        <f t="shared" si="104"/>
        <v>856.323529411765</v>
      </c>
      <c r="V143" s="47"/>
      <c r="W143" s="47"/>
      <c r="X143" s="47">
        <f t="shared" si="98"/>
        <v>24733.4779411765</v>
      </c>
      <c r="Y143" s="101">
        <f t="shared" si="105"/>
        <v>5301.13741176471</v>
      </c>
      <c r="Z143" s="102"/>
      <c r="AA143" s="101">
        <f t="shared" si="106"/>
        <v>63.7961029411765</v>
      </c>
      <c r="AB143" s="102">
        <f t="shared" si="99"/>
        <v>5364.93351470588</v>
      </c>
      <c r="AC143" s="89">
        <v>7.25</v>
      </c>
      <c r="AD143" s="47">
        <f t="shared" si="100"/>
        <v>38895.7679816177</v>
      </c>
      <c r="AE143" s="47">
        <f t="shared" si="101"/>
        <v>63629.2459227941</v>
      </c>
      <c r="AF143" s="47">
        <f t="shared" si="97"/>
        <v>-9846.07592279413</v>
      </c>
    </row>
    <row r="144" s="2" customFormat="1" spans="1:32">
      <c r="A144" s="86"/>
      <c r="B144" s="45"/>
      <c r="C144" s="23">
        <v>241229000003</v>
      </c>
      <c r="D144" s="24">
        <v>46020</v>
      </c>
      <c r="E144" s="24" t="s">
        <v>59</v>
      </c>
      <c r="F144" s="45" t="s">
        <v>60</v>
      </c>
      <c r="G144" s="45" t="s">
        <v>102</v>
      </c>
      <c r="H144" s="87">
        <v>1.51</v>
      </c>
      <c r="I144" s="87">
        <v>270</v>
      </c>
      <c r="J144" s="88">
        <v>2510.44</v>
      </c>
      <c r="K144" s="89"/>
      <c r="L144" s="45"/>
      <c r="M144" s="44"/>
      <c r="N144" s="95"/>
      <c r="O144" s="91"/>
      <c r="P144" s="92">
        <f t="shared" si="107"/>
        <v>2510.44</v>
      </c>
      <c r="Q144" s="100"/>
      <c r="R144" s="100"/>
      <c r="S144" s="47">
        <f t="shared" si="103"/>
        <v>1114.51323529412</v>
      </c>
      <c r="T144" s="47"/>
      <c r="U144" s="47">
        <f t="shared" si="104"/>
        <v>39.9705882352941</v>
      </c>
      <c r="V144" s="47"/>
      <c r="W144" s="47"/>
      <c r="X144" s="47">
        <f t="shared" si="98"/>
        <v>1154.48382352941</v>
      </c>
      <c r="Y144" s="101">
        <f t="shared" si="105"/>
        <v>247.441035294118</v>
      </c>
      <c r="Z144" s="102"/>
      <c r="AA144" s="101">
        <f t="shared" si="106"/>
        <v>2.97780882352941</v>
      </c>
      <c r="AB144" s="102">
        <f t="shared" si="99"/>
        <v>250.418844117647</v>
      </c>
      <c r="AC144" s="89">
        <v>7.25</v>
      </c>
      <c r="AD144" s="47">
        <f t="shared" si="100"/>
        <v>1815.53661985294</v>
      </c>
      <c r="AE144" s="47">
        <f t="shared" si="101"/>
        <v>2970.02044338235</v>
      </c>
      <c r="AF144" s="47">
        <f t="shared" si="97"/>
        <v>-459.580443382353</v>
      </c>
    </row>
    <row r="145" s="2" customFormat="1" spans="1:32">
      <c r="A145" s="21" t="s">
        <v>20</v>
      </c>
      <c r="B145" s="22" t="s">
        <v>21</v>
      </c>
      <c r="C145" s="23">
        <v>241124000003</v>
      </c>
      <c r="D145" s="24">
        <v>46018</v>
      </c>
      <c r="E145" s="24" t="s">
        <v>68</v>
      </c>
      <c r="F145" s="22" t="s">
        <v>69</v>
      </c>
      <c r="G145" s="22" t="s">
        <v>112</v>
      </c>
      <c r="H145" s="25">
        <v>18.78</v>
      </c>
      <c r="I145" s="25">
        <v>11408</v>
      </c>
      <c r="J145" s="43">
        <v>37467.5</v>
      </c>
      <c r="K145" s="25"/>
      <c r="L145" s="22"/>
      <c r="M145" s="44"/>
      <c r="N145" s="45"/>
      <c r="O145" s="46"/>
      <c r="P145" s="47">
        <f>SUM(J145)</f>
        <v>37467.5</v>
      </c>
      <c r="Q145" s="47">
        <f>SUM(P145)</f>
        <v>37467.5</v>
      </c>
      <c r="R145" s="69" t="s">
        <v>131</v>
      </c>
      <c r="S145" s="69">
        <v>32772</v>
      </c>
      <c r="T145" s="69"/>
      <c r="U145" s="69"/>
      <c r="V145" s="70">
        <f>SUM(351+277.5)</f>
        <v>628.5</v>
      </c>
      <c r="W145" s="69"/>
      <c r="X145" s="69">
        <f t="shared" si="98"/>
        <v>33400.5</v>
      </c>
      <c r="Y145" s="83"/>
      <c r="Z145" s="83"/>
      <c r="AA145" s="83"/>
      <c r="AB145" s="83">
        <f t="shared" si="99"/>
        <v>0</v>
      </c>
      <c r="AC145" s="84"/>
      <c r="AD145" s="69">
        <f t="shared" si="100"/>
        <v>0</v>
      </c>
      <c r="AE145" s="69">
        <f t="shared" si="101"/>
        <v>33400.5</v>
      </c>
      <c r="AF145" s="69">
        <f>SUM(Q145-AE145)</f>
        <v>4067</v>
      </c>
    </row>
    <row r="146" ht="15.75" spans="1:32">
      <c r="A146" s="26" t="s">
        <v>22</v>
      </c>
      <c r="B146" s="27"/>
      <c r="C146" s="27"/>
      <c r="D146" s="27"/>
      <c r="E146" s="27"/>
      <c r="F146" s="27"/>
      <c r="G146" s="27"/>
      <c r="H146" s="27"/>
      <c r="I146" s="48"/>
      <c r="J146" s="27">
        <f>SUM(J3:J3)</f>
        <v>0</v>
      </c>
      <c r="K146" s="49"/>
      <c r="L146" s="50"/>
      <c r="M146" s="49"/>
      <c r="N146" s="49"/>
      <c r="O146" s="27"/>
      <c r="P146" s="27"/>
      <c r="Q146" s="109">
        <f>SUM(Q4:Q145)</f>
        <v>1335122.34075431</v>
      </c>
      <c r="R146" s="27"/>
      <c r="S146" s="27"/>
      <c r="T146" s="27"/>
      <c r="U146" s="27"/>
      <c r="V146" s="27"/>
      <c r="W146" s="27"/>
      <c r="X146" s="71">
        <f>SUM(X3:X3)</f>
        <v>0</v>
      </c>
      <c r="Y146" s="50"/>
      <c r="Z146" s="50"/>
      <c r="AA146" s="50"/>
      <c r="AB146" s="50"/>
      <c r="AC146" s="49"/>
      <c r="AD146" s="27"/>
      <c r="AE146" s="109">
        <f>SUM(AE4:AE145)</f>
        <v>1220393.37583701</v>
      </c>
      <c r="AF146" s="85">
        <f>SUM(AF3:AF145)</f>
        <v>114728.964917302</v>
      </c>
    </row>
    <row r="147" customFormat="1" spans="4:32">
      <c r="D147" s="3"/>
      <c r="E147" s="3"/>
      <c r="K147" s="4"/>
      <c r="L147" s="5"/>
      <c r="M147" s="4"/>
      <c r="X147" s="7"/>
      <c r="Y147" s="5"/>
      <c r="Z147" s="5"/>
      <c r="AA147" s="5"/>
      <c r="AB147" s="5"/>
      <c r="AC147" s="4"/>
      <c r="AF147" s="8"/>
    </row>
    <row r="148" customFormat="1" spans="4:32">
      <c r="D148" s="3"/>
      <c r="E148" s="3"/>
      <c r="K148" s="4"/>
      <c r="L148" s="5"/>
      <c r="M148" s="4"/>
      <c r="X148" s="7"/>
      <c r="Y148" s="5"/>
      <c r="Z148" s="5"/>
      <c r="AA148" s="5"/>
      <c r="AB148" s="5"/>
      <c r="AC148" s="4"/>
      <c r="AF148" s="8"/>
    </row>
    <row r="149" customFormat="1" spans="4:32">
      <c r="D149" s="3"/>
      <c r="E149" s="3"/>
      <c r="K149" s="4"/>
      <c r="L149" s="5"/>
      <c r="M149" s="4"/>
      <c r="X149" s="7"/>
      <c r="Y149" s="5"/>
      <c r="Z149" s="5"/>
      <c r="AA149" s="5"/>
      <c r="AB149" s="5"/>
      <c r="AC149" s="4"/>
      <c r="AF149" s="8"/>
    </row>
    <row r="150" customFormat="1" spans="4:32">
      <c r="D150" s="3"/>
      <c r="E150" s="3"/>
      <c r="K150" s="4"/>
      <c r="L150" s="5"/>
      <c r="M150" s="4"/>
      <c r="X150" s="7"/>
      <c r="Y150" s="5"/>
      <c r="Z150" s="5"/>
      <c r="AA150" s="5"/>
      <c r="AB150" s="5"/>
      <c r="AC150" s="4"/>
      <c r="AF150" s="8"/>
    </row>
    <row r="151" customFormat="1" spans="4:32">
      <c r="D151" s="3"/>
      <c r="E151" s="3"/>
      <c r="K151" s="4"/>
      <c r="L151" s="5"/>
      <c r="M151" s="4"/>
      <c r="X151" s="7"/>
      <c r="Y151" s="5"/>
      <c r="Z151" s="5"/>
      <c r="AA151" s="5"/>
      <c r="AB151" s="5"/>
      <c r="AC151" s="4"/>
      <c r="AF151" s="8"/>
    </row>
    <row r="152" customFormat="1" spans="4:32">
      <c r="D152" s="3"/>
      <c r="E152" s="3"/>
      <c r="K152" s="4"/>
      <c r="L152" s="5"/>
      <c r="M152" s="4"/>
      <c r="X152" s="7"/>
      <c r="Y152" s="5"/>
      <c r="Z152" s="5"/>
      <c r="AA152" s="5"/>
      <c r="AB152" s="5"/>
      <c r="AC152" s="4"/>
      <c r="AF152" s="8"/>
    </row>
    <row r="153" customFormat="1" spans="4:32">
      <c r="D153" s="3"/>
      <c r="E153" s="3"/>
      <c r="K153" s="4"/>
      <c r="L153" s="5"/>
      <c r="M153" s="4"/>
      <c r="X153" s="7"/>
      <c r="Y153" s="5"/>
      <c r="Z153" s="5"/>
      <c r="AA153" s="5"/>
      <c r="AB153" s="5"/>
      <c r="AC153" s="4"/>
      <c r="AF153" s="8"/>
    </row>
    <row r="154" customFormat="1" spans="4:32">
      <c r="D154" s="3"/>
      <c r="E154" s="3"/>
      <c r="K154" s="4"/>
      <c r="L154" s="5"/>
      <c r="M154" s="4"/>
      <c r="X154" s="7"/>
      <c r="Y154" s="5"/>
      <c r="Z154" s="5"/>
      <c r="AA154" s="5"/>
      <c r="AB154" s="5"/>
      <c r="AC154" s="4"/>
      <c r="AF154" s="8"/>
    </row>
    <row r="155" customFormat="1" spans="4:32">
      <c r="D155" s="3"/>
      <c r="E155" s="3"/>
      <c r="K155" s="4"/>
      <c r="L155" s="5"/>
      <c r="M155" s="4"/>
      <c r="X155" s="7"/>
      <c r="Y155" s="5"/>
      <c r="Z155" s="5"/>
      <c r="AA155" s="5"/>
      <c r="AB155" s="5"/>
      <c r="AC155" s="4"/>
      <c r="AF155" s="8"/>
    </row>
    <row r="156" customFormat="1" spans="4:32">
      <c r="D156" s="3"/>
      <c r="E156" s="3"/>
      <c r="K156" s="4"/>
      <c r="L156" s="5"/>
      <c r="M156" s="4"/>
      <c r="X156" s="7"/>
      <c r="Y156" s="5"/>
      <c r="Z156" s="5"/>
      <c r="AA156" s="5"/>
      <c r="AB156" s="5"/>
      <c r="AC156" s="4"/>
      <c r="AF156" s="8"/>
    </row>
    <row r="157" customFormat="1" spans="4:32">
      <c r="D157" s="3"/>
      <c r="E157" s="3"/>
      <c r="K157" s="4"/>
      <c r="L157" s="5"/>
      <c r="M157" s="4"/>
      <c r="X157" s="7"/>
      <c r="Y157" s="5"/>
      <c r="Z157" s="5"/>
      <c r="AA157" s="5"/>
      <c r="AB157" s="5"/>
      <c r="AC157" s="4"/>
      <c r="AF157" s="8"/>
    </row>
    <row r="158" customFormat="1" spans="4:32">
      <c r="D158" s="3"/>
      <c r="E158" s="3"/>
      <c r="K158" s="4"/>
      <c r="L158" s="5"/>
      <c r="M158" s="4"/>
      <c r="X158" s="7"/>
      <c r="Y158" s="5"/>
      <c r="Z158" s="5"/>
      <c r="AA158" s="5"/>
      <c r="AB158" s="5"/>
      <c r="AC158" s="4"/>
      <c r="AF158" s="8"/>
    </row>
    <row r="159" customFormat="1" spans="4:32">
      <c r="D159" s="3"/>
      <c r="E159" s="3"/>
      <c r="K159" s="4"/>
      <c r="L159" s="5"/>
      <c r="M159" s="4"/>
      <c r="X159" s="7"/>
      <c r="Y159" s="5"/>
      <c r="Z159" s="5"/>
      <c r="AA159" s="5"/>
      <c r="AB159" s="5"/>
      <c r="AC159" s="4"/>
      <c r="AF159" s="8"/>
    </row>
    <row r="160" customFormat="1" spans="4:32">
      <c r="D160" s="3"/>
      <c r="E160" s="3"/>
      <c r="K160" s="4"/>
      <c r="L160" s="5"/>
      <c r="M160" s="4"/>
      <c r="X160" s="7"/>
      <c r="Y160" s="5"/>
      <c r="Z160" s="5"/>
      <c r="AA160" s="5"/>
      <c r="AB160" s="5"/>
      <c r="AC160" s="4"/>
      <c r="AF160" s="8"/>
    </row>
    <row r="161" customFormat="1" spans="4:32">
      <c r="D161" s="3"/>
      <c r="E161" s="3"/>
      <c r="K161" s="4"/>
      <c r="L161" s="5"/>
      <c r="M161" s="4"/>
      <c r="X161" s="7"/>
      <c r="Y161" s="5"/>
      <c r="Z161" s="5"/>
      <c r="AA161" s="5"/>
      <c r="AB161" s="5"/>
      <c r="AC161" s="4"/>
      <c r="AF161" s="8"/>
    </row>
    <row r="162" customFormat="1" spans="4:32">
      <c r="D162" s="3"/>
      <c r="E162" s="3"/>
      <c r="K162" s="4"/>
      <c r="L162" s="5"/>
      <c r="M162" s="4"/>
      <c r="X162" s="7"/>
      <c r="Y162" s="5"/>
      <c r="Z162" s="5"/>
      <c r="AA162" s="5"/>
      <c r="AB162" s="5"/>
      <c r="AC162" s="4"/>
      <c r="AF162" s="8"/>
    </row>
  </sheetData>
  <autoFilter xmlns:etc="http://www.wps.cn/officeDocument/2017/etCustomData" ref="A2:AF146" etc:filterBottomFollowUsedRange="0">
    <extLst/>
  </autoFilter>
  <mergeCells count="49">
    <mergeCell ref="A1:AF1"/>
    <mergeCell ref="J2:P2"/>
    <mergeCell ref="R2:V2"/>
    <mergeCell ref="Y2:AD2"/>
    <mergeCell ref="A2:A3"/>
    <mergeCell ref="A4:A39"/>
    <mergeCell ref="A40:A52"/>
    <mergeCell ref="A53:A60"/>
    <mergeCell ref="A61:A70"/>
    <mergeCell ref="A71:A93"/>
    <mergeCell ref="A94:A100"/>
    <mergeCell ref="A101:A131"/>
    <mergeCell ref="A132:A144"/>
    <mergeCell ref="B2:B3"/>
    <mergeCell ref="B4:B39"/>
    <mergeCell ref="B40:B52"/>
    <mergeCell ref="B53:B60"/>
    <mergeCell ref="B61:B70"/>
    <mergeCell ref="B71:B93"/>
    <mergeCell ref="B94:B100"/>
    <mergeCell ref="B101:B131"/>
    <mergeCell ref="B132:B144"/>
    <mergeCell ref="C2:C3"/>
    <mergeCell ref="D2:D3"/>
    <mergeCell ref="E2:E3"/>
    <mergeCell ref="F2:F3"/>
    <mergeCell ref="G2:G3"/>
    <mergeCell ref="H2:H3"/>
    <mergeCell ref="I2:I3"/>
    <mergeCell ref="Q2:Q3"/>
    <mergeCell ref="Q4:Q39"/>
    <mergeCell ref="Q40:Q52"/>
    <mergeCell ref="Q53:Q60"/>
    <mergeCell ref="Q61:Q70"/>
    <mergeCell ref="Q71:Q93"/>
    <mergeCell ref="Q94:Q100"/>
    <mergeCell ref="Q101:Q131"/>
    <mergeCell ref="Q132:Q144"/>
    <mergeCell ref="R4:R39"/>
    <mergeCell ref="R40:R52"/>
    <mergeCell ref="R53:R60"/>
    <mergeCell ref="R61:R70"/>
    <mergeCell ref="R71:R93"/>
    <mergeCell ref="R94:R100"/>
    <mergeCell ref="R101:R131"/>
    <mergeCell ref="R132:R144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"/>
  <sheetViews>
    <sheetView zoomScale="110" zoomScaleNormal="110" workbookViewId="0">
      <pane xSplit="8" ySplit="1" topLeftCell="Y10" activePane="bottomRight" state="frozen"/>
      <selection/>
      <selection pane="topRight"/>
      <selection pane="bottomLeft"/>
      <selection pane="bottomRight" activeCell="U5" sqref="U5:U40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69.7576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4</v>
      </c>
      <c r="B5" s="45" t="s">
        <v>5</v>
      </c>
      <c r="C5" s="23">
        <v>240925000017</v>
      </c>
      <c r="D5" s="24">
        <v>45631</v>
      </c>
      <c r="E5" s="24" t="s">
        <v>55</v>
      </c>
      <c r="F5" s="45" t="s">
        <v>56</v>
      </c>
      <c r="G5" s="45" t="s">
        <v>57</v>
      </c>
      <c r="H5" s="87">
        <v>0.1799</v>
      </c>
      <c r="I5" s="87">
        <v>17</v>
      </c>
      <c r="J5" s="92"/>
      <c r="K5" s="108">
        <v>84600</v>
      </c>
      <c r="L5" s="93"/>
      <c r="M5" s="44">
        <f t="shared" ref="M5:M8" si="0">SUM(K5/N5)</f>
        <v>1679.57134004083</v>
      </c>
      <c r="N5" s="95">
        <v>50.369995</v>
      </c>
      <c r="O5" s="45">
        <v>7.27</v>
      </c>
      <c r="P5" s="92">
        <f t="shared" ref="P5:P8" si="1">SUM(N5*O5)</f>
        <v>366.18986365</v>
      </c>
      <c r="Q5" s="96">
        <f>SUM(P5:P40)</f>
        <v>162259.23832881</v>
      </c>
      <c r="R5" s="97" t="s">
        <v>58</v>
      </c>
      <c r="S5" s="47">
        <f>SUM(46963.25/68)*H5</f>
        <v>124.245421691176</v>
      </c>
      <c r="T5" s="47"/>
      <c r="U5" s="47">
        <f>SUM(2500/68)*H5</f>
        <v>6.61397058823529</v>
      </c>
      <c r="V5" s="47"/>
      <c r="W5" s="47"/>
      <c r="X5" s="47">
        <f t="shared" ref="X5:X68" si="2">SUM(S5:W5)</f>
        <v>130.859392279412</v>
      </c>
      <c r="Y5" s="102">
        <f>SUM(11081/68)*H5</f>
        <v>29.3157632352941</v>
      </c>
      <c r="Z5" s="102"/>
      <c r="AA5" s="102"/>
      <c r="AB5" s="102">
        <f t="shared" ref="AB5:AB68" si="3">SUM(Y5:AA5)</f>
        <v>29.3157632352941</v>
      </c>
      <c r="AC5" s="89">
        <v>7.24</v>
      </c>
      <c r="AD5" s="47">
        <f t="shared" ref="AD5:AD68" si="4">SUM(AB5*AC5)</f>
        <v>212.246125823529</v>
      </c>
      <c r="AE5" s="47">
        <f t="shared" ref="AE5:AE68" si="5">SUM(X5+AD5)</f>
        <v>343.105518102941</v>
      </c>
      <c r="AF5" s="47">
        <f t="shared" ref="AF5:AF68" si="6">SUM(P5-AE5)</f>
        <v>23.0843455470588</v>
      </c>
    </row>
    <row r="6" s="2" customFormat="1" spans="1:32">
      <c r="A6" s="86"/>
      <c r="B6" s="45"/>
      <c r="C6" s="23">
        <v>241118000063</v>
      </c>
      <c r="D6" s="24">
        <v>45631</v>
      </c>
      <c r="E6" s="24" t="s">
        <v>59</v>
      </c>
      <c r="F6" s="45" t="s">
        <v>60</v>
      </c>
      <c r="G6" s="45" t="s">
        <v>61</v>
      </c>
      <c r="H6" s="87">
        <v>1.6585</v>
      </c>
      <c r="I6" s="87">
        <v>270</v>
      </c>
      <c r="J6" s="92"/>
      <c r="K6" s="103">
        <v>719837.28</v>
      </c>
      <c r="L6" s="93"/>
      <c r="M6" s="44">
        <f t="shared" si="0"/>
        <v>1608</v>
      </c>
      <c r="N6" s="95">
        <v>447.66</v>
      </c>
      <c r="O6" s="91">
        <v>7.3</v>
      </c>
      <c r="P6" s="92">
        <f t="shared" si="1"/>
        <v>3267.918</v>
      </c>
      <c r="Q6" s="98"/>
      <c r="R6" s="98"/>
      <c r="S6" s="47">
        <f t="shared" ref="S6:S40" si="7">SUM(46963.25/68)*H6</f>
        <v>1145.41985477941</v>
      </c>
      <c r="T6" s="47"/>
      <c r="U6" s="47">
        <f t="shared" ref="U6:U40" si="8">SUM(2500/68)*H6</f>
        <v>60.9742647058824</v>
      </c>
      <c r="V6" s="47"/>
      <c r="W6" s="47"/>
      <c r="X6" s="47">
        <f t="shared" si="2"/>
        <v>1206.39411948529</v>
      </c>
      <c r="Y6" s="102">
        <f t="shared" ref="Y6:Y40" si="9">SUM(11081/68)*H6</f>
        <v>270.262330882353</v>
      </c>
      <c r="Z6" s="102"/>
      <c r="AA6" s="102"/>
      <c r="AB6" s="102">
        <f t="shared" si="3"/>
        <v>270.262330882353</v>
      </c>
      <c r="AC6" s="89">
        <v>7.24</v>
      </c>
      <c r="AD6" s="47">
        <f t="shared" si="4"/>
        <v>1956.69927558824</v>
      </c>
      <c r="AE6" s="47">
        <f t="shared" si="5"/>
        <v>3163.09339507353</v>
      </c>
      <c r="AF6" s="47">
        <f t="shared" si="6"/>
        <v>104.82460492647</v>
      </c>
    </row>
    <row r="7" s="2" customFormat="1" spans="1:32">
      <c r="A7" s="86"/>
      <c r="B7" s="45"/>
      <c r="C7" s="23">
        <v>241118000066</v>
      </c>
      <c r="D7" s="24">
        <v>45631</v>
      </c>
      <c r="E7" s="24" t="s">
        <v>59</v>
      </c>
      <c r="F7" s="45" t="s">
        <v>60</v>
      </c>
      <c r="G7" s="45" t="s">
        <v>61</v>
      </c>
      <c r="H7" s="87">
        <v>1.2581</v>
      </c>
      <c r="I7" s="87">
        <v>125</v>
      </c>
      <c r="J7" s="92"/>
      <c r="K7" s="103">
        <v>546173.28</v>
      </c>
      <c r="L7" s="93"/>
      <c r="M7" s="44">
        <f t="shared" si="0"/>
        <v>1608</v>
      </c>
      <c r="N7" s="95">
        <v>339.66</v>
      </c>
      <c r="O7" s="91">
        <v>7.3</v>
      </c>
      <c r="P7" s="92">
        <f t="shared" si="1"/>
        <v>2479.518</v>
      </c>
      <c r="Q7" s="98"/>
      <c r="R7" s="98"/>
      <c r="S7" s="47">
        <f t="shared" si="7"/>
        <v>868.889188602941</v>
      </c>
      <c r="T7" s="47"/>
      <c r="U7" s="47">
        <f t="shared" si="8"/>
        <v>46.2536764705882</v>
      </c>
      <c r="V7" s="47"/>
      <c r="W7" s="47"/>
      <c r="X7" s="47">
        <f t="shared" si="2"/>
        <v>915.142865073529</v>
      </c>
      <c r="Y7" s="102">
        <f t="shared" si="9"/>
        <v>205.014795588235</v>
      </c>
      <c r="Z7" s="102"/>
      <c r="AA7" s="102"/>
      <c r="AB7" s="102">
        <f t="shared" si="3"/>
        <v>205.014795588235</v>
      </c>
      <c r="AC7" s="89">
        <v>7.24</v>
      </c>
      <c r="AD7" s="47">
        <f t="shared" si="4"/>
        <v>1484.30712005882</v>
      </c>
      <c r="AE7" s="47">
        <f t="shared" si="5"/>
        <v>2399.44998513235</v>
      </c>
      <c r="AF7" s="47">
        <f t="shared" si="6"/>
        <v>80.068014867647</v>
      </c>
    </row>
    <row r="8" s="2" customFormat="1" spans="1:32">
      <c r="A8" s="86"/>
      <c r="B8" s="45"/>
      <c r="C8" s="23">
        <v>241120000012</v>
      </c>
      <c r="D8" s="24">
        <v>45631</v>
      </c>
      <c r="E8" s="24" t="s">
        <v>62</v>
      </c>
      <c r="F8" s="45" t="s">
        <v>63</v>
      </c>
      <c r="G8" s="45" t="s">
        <v>64</v>
      </c>
      <c r="H8" s="87">
        <v>0.1878</v>
      </c>
      <c r="I8" s="87">
        <v>62</v>
      </c>
      <c r="J8" s="92"/>
      <c r="K8" s="103">
        <v>94651.2</v>
      </c>
      <c r="L8" s="93"/>
      <c r="M8" s="44">
        <f t="shared" si="0"/>
        <v>1680.00011927583</v>
      </c>
      <c r="N8" s="95">
        <v>56.339996</v>
      </c>
      <c r="O8" s="45">
        <v>7.3</v>
      </c>
      <c r="P8" s="92">
        <f t="shared" si="1"/>
        <v>411.2819708</v>
      </c>
      <c r="Q8" s="98"/>
      <c r="R8" s="98"/>
      <c r="S8" s="47">
        <f t="shared" si="7"/>
        <v>129.701446323529</v>
      </c>
      <c r="T8" s="47"/>
      <c r="U8" s="47">
        <f t="shared" si="8"/>
        <v>6.90441176470588</v>
      </c>
      <c r="V8" s="47"/>
      <c r="W8" s="47"/>
      <c r="X8" s="47">
        <f t="shared" si="2"/>
        <v>136.605858088235</v>
      </c>
      <c r="Y8" s="102">
        <f t="shared" si="9"/>
        <v>30.6031147058824</v>
      </c>
      <c r="Z8" s="102"/>
      <c r="AA8" s="102"/>
      <c r="AB8" s="102">
        <f t="shared" si="3"/>
        <v>30.6031147058824</v>
      </c>
      <c r="AC8" s="89">
        <v>7.24</v>
      </c>
      <c r="AD8" s="47">
        <f t="shared" si="4"/>
        <v>221.566550470588</v>
      </c>
      <c r="AE8" s="47">
        <f t="shared" si="5"/>
        <v>358.172408558824</v>
      </c>
      <c r="AF8" s="47">
        <f t="shared" si="6"/>
        <v>53.1095622411764</v>
      </c>
    </row>
    <row r="9" s="2" customFormat="1" spans="1:32">
      <c r="A9" s="86"/>
      <c r="B9" s="45"/>
      <c r="C9" s="23">
        <v>241120000023</v>
      </c>
      <c r="D9" s="24">
        <v>45631</v>
      </c>
      <c r="E9" s="24" t="s">
        <v>65</v>
      </c>
      <c r="F9" s="45" t="s">
        <v>65</v>
      </c>
      <c r="G9" s="45" t="s">
        <v>66</v>
      </c>
      <c r="H9" s="87">
        <v>1.3317</v>
      </c>
      <c r="I9" s="87">
        <v>326</v>
      </c>
      <c r="J9" s="88">
        <v>4965</v>
      </c>
      <c r="K9" s="89"/>
      <c r="L9" s="93"/>
      <c r="M9" s="44"/>
      <c r="N9" s="90"/>
      <c r="O9" s="45"/>
      <c r="P9" s="92">
        <f t="shared" ref="P9:P15" si="10">SUBTOTAL(9,J9)</f>
        <v>4965</v>
      </c>
      <c r="Q9" s="98"/>
      <c r="R9" s="98"/>
      <c r="S9" s="47">
        <f t="shared" si="7"/>
        <v>919.720000367647</v>
      </c>
      <c r="T9" s="47"/>
      <c r="U9" s="47">
        <f t="shared" si="8"/>
        <v>48.9595588235294</v>
      </c>
      <c r="V9" s="99">
        <v>500</v>
      </c>
      <c r="W9" s="47"/>
      <c r="X9" s="47">
        <f t="shared" si="2"/>
        <v>1468.67955919118</v>
      </c>
      <c r="Y9" s="102">
        <f t="shared" si="9"/>
        <v>217.008348529412</v>
      </c>
      <c r="Z9" s="102"/>
      <c r="AA9" s="102"/>
      <c r="AB9" s="102">
        <f t="shared" si="3"/>
        <v>217.008348529412</v>
      </c>
      <c r="AC9" s="89">
        <v>7.24</v>
      </c>
      <c r="AD9" s="47">
        <f t="shared" si="4"/>
        <v>1571.14044335294</v>
      </c>
      <c r="AE9" s="47">
        <f t="shared" si="5"/>
        <v>3039.82000254412</v>
      </c>
      <c r="AF9" s="47">
        <f t="shared" si="6"/>
        <v>1925.17999745588</v>
      </c>
    </row>
    <row r="10" s="2" customFormat="1" spans="1:32">
      <c r="A10" s="86"/>
      <c r="B10" s="45"/>
      <c r="C10" s="23">
        <v>241121000013</v>
      </c>
      <c r="D10" s="24">
        <v>45631</v>
      </c>
      <c r="E10" s="24" t="s">
        <v>65</v>
      </c>
      <c r="F10" s="45" t="s">
        <v>65</v>
      </c>
      <c r="G10" s="45" t="s">
        <v>66</v>
      </c>
      <c r="H10" s="87">
        <v>2.2982</v>
      </c>
      <c r="I10" s="87">
        <v>612</v>
      </c>
      <c r="J10" s="88">
        <v>7707</v>
      </c>
      <c r="K10" s="89"/>
      <c r="L10" s="93"/>
      <c r="M10" s="44"/>
      <c r="N10" s="90"/>
      <c r="O10" s="45"/>
      <c r="P10" s="92">
        <f t="shared" si="10"/>
        <v>7707</v>
      </c>
      <c r="Q10" s="98"/>
      <c r="R10" s="98"/>
      <c r="S10" s="47">
        <f t="shared" si="7"/>
        <v>1587.21972279412</v>
      </c>
      <c r="T10" s="47"/>
      <c r="U10" s="47">
        <f t="shared" si="8"/>
        <v>84.4926470588235</v>
      </c>
      <c r="V10" s="99">
        <v>400</v>
      </c>
      <c r="W10" s="47"/>
      <c r="X10" s="47">
        <f t="shared" si="2"/>
        <v>2071.71236985294</v>
      </c>
      <c r="Y10" s="102">
        <f t="shared" si="9"/>
        <v>374.505208823529</v>
      </c>
      <c r="Z10" s="102"/>
      <c r="AA10" s="102"/>
      <c r="AB10" s="102">
        <f t="shared" si="3"/>
        <v>374.505208823529</v>
      </c>
      <c r="AC10" s="89">
        <v>7.24</v>
      </c>
      <c r="AD10" s="47">
        <f t="shared" si="4"/>
        <v>2711.41771188235</v>
      </c>
      <c r="AE10" s="47">
        <f t="shared" si="5"/>
        <v>4783.13008173529</v>
      </c>
      <c r="AF10" s="47">
        <f t="shared" si="6"/>
        <v>2923.86991826471</v>
      </c>
    </row>
    <row r="11" s="2" customFormat="1" spans="1:32">
      <c r="A11" s="86"/>
      <c r="B11" s="45"/>
      <c r="C11" s="23">
        <v>241121000018</v>
      </c>
      <c r="D11" s="24">
        <v>45631</v>
      </c>
      <c r="E11" s="24" t="s">
        <v>65</v>
      </c>
      <c r="F11" s="45" t="s">
        <v>65</v>
      </c>
      <c r="G11" s="45" t="s">
        <v>67</v>
      </c>
      <c r="H11" s="87">
        <v>0.0768</v>
      </c>
      <c r="I11" s="87">
        <v>14</v>
      </c>
      <c r="J11" s="88">
        <v>296.22</v>
      </c>
      <c r="K11" s="89"/>
      <c r="L11" s="93"/>
      <c r="M11" s="44"/>
      <c r="N11" s="90"/>
      <c r="O11" s="45"/>
      <c r="P11" s="92">
        <f t="shared" si="10"/>
        <v>296.22</v>
      </c>
      <c r="Q11" s="98"/>
      <c r="R11" s="98"/>
      <c r="S11" s="47">
        <f t="shared" si="7"/>
        <v>53.0408470588235</v>
      </c>
      <c r="T11" s="47"/>
      <c r="U11" s="47">
        <f t="shared" si="8"/>
        <v>2.82352941176471</v>
      </c>
      <c r="V11" s="47"/>
      <c r="W11" s="47"/>
      <c r="X11" s="47">
        <f t="shared" si="2"/>
        <v>55.8643764705882</v>
      </c>
      <c r="Y11" s="102">
        <f t="shared" si="9"/>
        <v>12.5150117647059</v>
      </c>
      <c r="Z11" s="101">
        <v>4.51</v>
      </c>
      <c r="AA11" s="102"/>
      <c r="AB11" s="102">
        <f t="shared" si="3"/>
        <v>17.0250117647059</v>
      </c>
      <c r="AC11" s="89">
        <v>7.24</v>
      </c>
      <c r="AD11" s="47">
        <f t="shared" si="4"/>
        <v>123.261085176471</v>
      </c>
      <c r="AE11" s="47">
        <f t="shared" si="5"/>
        <v>179.125461647059</v>
      </c>
      <c r="AF11" s="47">
        <f t="shared" si="6"/>
        <v>117.094538352941</v>
      </c>
    </row>
    <row r="12" s="2" customFormat="1" spans="1:32">
      <c r="A12" s="86"/>
      <c r="B12" s="45"/>
      <c r="C12" s="23">
        <v>241121000019</v>
      </c>
      <c r="D12" s="24">
        <v>45631</v>
      </c>
      <c r="E12" s="24" t="s">
        <v>65</v>
      </c>
      <c r="F12" s="45" t="s">
        <v>65</v>
      </c>
      <c r="G12" s="45" t="s">
        <v>66</v>
      </c>
      <c r="H12" s="87">
        <v>1.4834</v>
      </c>
      <c r="I12" s="87">
        <v>471</v>
      </c>
      <c r="J12" s="88">
        <v>3598</v>
      </c>
      <c r="K12" s="89"/>
      <c r="L12" s="93"/>
      <c r="M12" s="44"/>
      <c r="N12" s="90"/>
      <c r="O12" s="45"/>
      <c r="P12" s="92">
        <f t="shared" si="10"/>
        <v>3598</v>
      </c>
      <c r="Q12" s="98"/>
      <c r="R12" s="98"/>
      <c r="S12" s="47">
        <f t="shared" si="7"/>
        <v>1024.48948602941</v>
      </c>
      <c r="T12" s="47"/>
      <c r="U12" s="47">
        <f t="shared" si="8"/>
        <v>54.5367647058824</v>
      </c>
      <c r="V12" s="47"/>
      <c r="W12" s="47"/>
      <c r="X12" s="47">
        <f t="shared" si="2"/>
        <v>1079.02625073529</v>
      </c>
      <c r="Y12" s="102">
        <f t="shared" si="9"/>
        <v>241.728755882353</v>
      </c>
      <c r="Z12" s="102"/>
      <c r="AA12" s="102"/>
      <c r="AB12" s="102">
        <f t="shared" si="3"/>
        <v>241.728755882353</v>
      </c>
      <c r="AC12" s="89">
        <v>7.24</v>
      </c>
      <c r="AD12" s="47">
        <f t="shared" si="4"/>
        <v>1750.11619258824</v>
      </c>
      <c r="AE12" s="47">
        <f t="shared" si="5"/>
        <v>2829.14244332353</v>
      </c>
      <c r="AF12" s="47">
        <f t="shared" si="6"/>
        <v>768.85755667647</v>
      </c>
    </row>
    <row r="13" s="2" customFormat="1" spans="1:32">
      <c r="A13" s="86"/>
      <c r="B13" s="45"/>
      <c r="C13" s="23">
        <v>241123000017</v>
      </c>
      <c r="D13" s="24">
        <v>45631</v>
      </c>
      <c r="E13" s="24" t="s">
        <v>68</v>
      </c>
      <c r="F13" s="45" t="s">
        <v>69</v>
      </c>
      <c r="G13" s="45" t="s">
        <v>70</v>
      </c>
      <c r="H13" s="87">
        <v>0.3608</v>
      </c>
      <c r="I13" s="87">
        <v>202</v>
      </c>
      <c r="J13" s="88">
        <v>792</v>
      </c>
      <c r="K13" s="89"/>
      <c r="L13" s="93"/>
      <c r="M13" s="44"/>
      <c r="N13" s="90"/>
      <c r="O13" s="45"/>
      <c r="P13" s="92">
        <f t="shared" si="10"/>
        <v>792</v>
      </c>
      <c r="Q13" s="98"/>
      <c r="R13" s="98"/>
      <c r="S13" s="47">
        <f t="shared" si="7"/>
        <v>249.181479411765</v>
      </c>
      <c r="T13" s="47"/>
      <c r="U13" s="47">
        <f t="shared" si="8"/>
        <v>13.2647058823529</v>
      </c>
      <c r="V13" s="47"/>
      <c r="W13" s="47"/>
      <c r="X13" s="47">
        <f t="shared" si="2"/>
        <v>262.446185294118</v>
      </c>
      <c r="Y13" s="102">
        <f t="shared" si="9"/>
        <v>58.7944823529412</v>
      </c>
      <c r="Z13" s="102"/>
      <c r="AA13" s="102"/>
      <c r="AB13" s="102">
        <f t="shared" si="3"/>
        <v>58.7944823529412</v>
      </c>
      <c r="AC13" s="89">
        <v>7.24</v>
      </c>
      <c r="AD13" s="47">
        <f t="shared" si="4"/>
        <v>425.672052235294</v>
      </c>
      <c r="AE13" s="47">
        <f t="shared" si="5"/>
        <v>688.118237529412</v>
      </c>
      <c r="AF13" s="47">
        <f t="shared" si="6"/>
        <v>103.881762470588</v>
      </c>
    </row>
    <row r="14" s="2" customFormat="1" spans="1:32">
      <c r="A14" s="86"/>
      <c r="B14" s="45"/>
      <c r="C14" s="23">
        <v>241123000018</v>
      </c>
      <c r="D14" s="24">
        <v>45631</v>
      </c>
      <c r="E14" s="24" t="s">
        <v>62</v>
      </c>
      <c r="F14" s="45" t="s">
        <v>63</v>
      </c>
      <c r="G14" s="45" t="s">
        <v>71</v>
      </c>
      <c r="H14" s="87">
        <v>11.1459</v>
      </c>
      <c r="I14" s="87">
        <v>16993</v>
      </c>
      <c r="J14" s="88">
        <v>36986</v>
      </c>
      <c r="K14" s="89"/>
      <c r="L14" s="93"/>
      <c r="M14" s="44"/>
      <c r="N14" s="90"/>
      <c r="O14" s="45"/>
      <c r="P14" s="92">
        <f t="shared" si="10"/>
        <v>36986</v>
      </c>
      <c r="Q14" s="98"/>
      <c r="R14" s="98"/>
      <c r="S14" s="47">
        <f t="shared" si="7"/>
        <v>7697.76012022059</v>
      </c>
      <c r="T14" s="47"/>
      <c r="U14" s="47">
        <f t="shared" si="8"/>
        <v>409.775735294118</v>
      </c>
      <c r="V14" s="99">
        <v>280</v>
      </c>
      <c r="W14" s="47"/>
      <c r="X14" s="47">
        <f t="shared" si="2"/>
        <v>8387.53585551471</v>
      </c>
      <c r="Y14" s="102">
        <f t="shared" si="9"/>
        <v>1816.28996911765</v>
      </c>
      <c r="Z14" s="101">
        <v>288.81</v>
      </c>
      <c r="AA14" s="102"/>
      <c r="AB14" s="102">
        <f t="shared" si="3"/>
        <v>2105.09996911765</v>
      </c>
      <c r="AC14" s="89">
        <v>7.24</v>
      </c>
      <c r="AD14" s="47">
        <f t="shared" si="4"/>
        <v>15240.9237764118</v>
      </c>
      <c r="AE14" s="47">
        <f t="shared" si="5"/>
        <v>23628.4596319265</v>
      </c>
      <c r="AF14" s="47">
        <f t="shared" si="6"/>
        <v>13357.5403680735</v>
      </c>
    </row>
    <row r="15" s="2" customFormat="1" spans="1:32">
      <c r="A15" s="86"/>
      <c r="B15" s="45"/>
      <c r="C15" s="23">
        <v>241125000061</v>
      </c>
      <c r="D15" s="24">
        <v>45631</v>
      </c>
      <c r="E15" s="24" t="s">
        <v>68</v>
      </c>
      <c r="F15" s="45" t="s">
        <v>69</v>
      </c>
      <c r="G15" s="45" t="s">
        <v>72</v>
      </c>
      <c r="H15" s="87">
        <v>0.8795</v>
      </c>
      <c r="I15" s="87">
        <v>210</v>
      </c>
      <c r="J15" s="88">
        <v>2670.5</v>
      </c>
      <c r="K15" s="89"/>
      <c r="L15" s="93"/>
      <c r="M15" s="44"/>
      <c r="N15" s="90"/>
      <c r="O15" s="45"/>
      <c r="P15" s="92">
        <f t="shared" si="10"/>
        <v>2670.5</v>
      </c>
      <c r="Q15" s="98"/>
      <c r="R15" s="98"/>
      <c r="S15" s="47">
        <f t="shared" si="7"/>
        <v>607.414387867647</v>
      </c>
      <c r="T15" s="47"/>
      <c r="U15" s="47">
        <f t="shared" si="8"/>
        <v>32.3345588235294</v>
      </c>
      <c r="V15" s="47"/>
      <c r="W15" s="47"/>
      <c r="X15" s="47">
        <f t="shared" si="2"/>
        <v>639.748946691176</v>
      </c>
      <c r="Y15" s="102">
        <f t="shared" si="9"/>
        <v>143.319698529412</v>
      </c>
      <c r="Z15" s="101">
        <v>104.36</v>
      </c>
      <c r="AA15" s="102"/>
      <c r="AB15" s="102">
        <f t="shared" si="3"/>
        <v>247.679698529412</v>
      </c>
      <c r="AC15" s="89">
        <v>7.24</v>
      </c>
      <c r="AD15" s="47">
        <f t="shared" si="4"/>
        <v>1793.20101735294</v>
      </c>
      <c r="AE15" s="47">
        <f t="shared" si="5"/>
        <v>2432.94996404412</v>
      </c>
      <c r="AF15" s="47">
        <f t="shared" si="6"/>
        <v>237.550035955882</v>
      </c>
    </row>
    <row r="16" s="2" customFormat="1" spans="1:32">
      <c r="A16" s="86"/>
      <c r="B16" s="45"/>
      <c r="C16" s="23">
        <v>241125000067</v>
      </c>
      <c r="D16" s="24">
        <v>45631</v>
      </c>
      <c r="E16" s="24" t="s">
        <v>55</v>
      </c>
      <c r="F16" s="45" t="s">
        <v>56</v>
      </c>
      <c r="G16" s="45" t="s">
        <v>73</v>
      </c>
      <c r="H16" s="87">
        <v>1.0967</v>
      </c>
      <c r="I16" s="87">
        <v>203</v>
      </c>
      <c r="J16" s="92"/>
      <c r="K16" s="103">
        <v>552736</v>
      </c>
      <c r="L16" s="93"/>
      <c r="M16" s="44">
        <f t="shared" ref="M16:M18" si="11">SUM(K16/N16)</f>
        <v>1679.99767058738</v>
      </c>
      <c r="N16" s="95">
        <v>329.00998</v>
      </c>
      <c r="O16" s="45">
        <v>7.27</v>
      </c>
      <c r="P16" s="92">
        <f t="shared" ref="P16:P18" si="12">SUM(N16*O16)</f>
        <v>2391.9025546</v>
      </c>
      <c r="Q16" s="98"/>
      <c r="R16" s="98"/>
      <c r="S16" s="47">
        <f t="shared" si="7"/>
        <v>757.420533455882</v>
      </c>
      <c r="T16" s="47"/>
      <c r="U16" s="47">
        <f t="shared" si="8"/>
        <v>40.3198529411765</v>
      </c>
      <c r="V16" s="47"/>
      <c r="W16" s="47"/>
      <c r="X16" s="47">
        <f t="shared" si="2"/>
        <v>797.740386397059</v>
      </c>
      <c r="Y16" s="102">
        <f t="shared" si="9"/>
        <v>178.713716176471</v>
      </c>
      <c r="Z16" s="102"/>
      <c r="AA16" s="102"/>
      <c r="AB16" s="102">
        <f t="shared" si="3"/>
        <v>178.713716176471</v>
      </c>
      <c r="AC16" s="89">
        <v>7.24</v>
      </c>
      <c r="AD16" s="47">
        <f t="shared" si="4"/>
        <v>1293.88730511765</v>
      </c>
      <c r="AE16" s="47">
        <f t="shared" si="5"/>
        <v>2091.62769151471</v>
      </c>
      <c r="AF16" s="47">
        <f t="shared" si="6"/>
        <v>300.274863085294</v>
      </c>
    </row>
    <row r="17" s="2" customFormat="1" spans="1:32">
      <c r="A17" s="86"/>
      <c r="B17" s="45"/>
      <c r="C17" s="23">
        <v>241127000012</v>
      </c>
      <c r="D17" s="24">
        <v>45631</v>
      </c>
      <c r="E17" s="24" t="s">
        <v>59</v>
      </c>
      <c r="F17" s="45" t="s">
        <v>60</v>
      </c>
      <c r="G17" s="45" t="s">
        <v>61</v>
      </c>
      <c r="H17" s="87">
        <v>3.0636</v>
      </c>
      <c r="I17" s="87">
        <v>768</v>
      </c>
      <c r="J17" s="92"/>
      <c r="K17" s="103">
        <v>1330089.36</v>
      </c>
      <c r="L17" s="93"/>
      <c r="M17" s="44">
        <f t="shared" si="11"/>
        <v>1608</v>
      </c>
      <c r="N17" s="95">
        <v>827.17</v>
      </c>
      <c r="O17" s="91">
        <v>7.3</v>
      </c>
      <c r="P17" s="92">
        <f t="shared" si="12"/>
        <v>6038.341</v>
      </c>
      <c r="Q17" s="98"/>
      <c r="R17" s="98"/>
      <c r="S17" s="47">
        <f t="shared" si="7"/>
        <v>2115.83253970588</v>
      </c>
      <c r="T17" s="47"/>
      <c r="U17" s="47">
        <f t="shared" si="8"/>
        <v>112.632352941176</v>
      </c>
      <c r="V17" s="47"/>
      <c r="W17" s="47"/>
      <c r="X17" s="47">
        <f t="shared" si="2"/>
        <v>2228.46489264706</v>
      </c>
      <c r="Y17" s="102">
        <f t="shared" si="9"/>
        <v>499.231641176471</v>
      </c>
      <c r="Z17" s="102"/>
      <c r="AA17" s="102"/>
      <c r="AB17" s="102">
        <f t="shared" si="3"/>
        <v>499.231641176471</v>
      </c>
      <c r="AC17" s="89">
        <v>7.24</v>
      </c>
      <c r="AD17" s="47">
        <f t="shared" si="4"/>
        <v>3614.43708211765</v>
      </c>
      <c r="AE17" s="47">
        <f t="shared" si="5"/>
        <v>5842.90197476471</v>
      </c>
      <c r="AF17" s="47">
        <f t="shared" si="6"/>
        <v>195.439025235293</v>
      </c>
    </row>
    <row r="18" s="2" customFormat="1" spans="1:32">
      <c r="A18" s="86"/>
      <c r="B18" s="45"/>
      <c r="C18" s="23">
        <v>241127000014</v>
      </c>
      <c r="D18" s="24">
        <v>45631</v>
      </c>
      <c r="E18" s="24" t="s">
        <v>59</v>
      </c>
      <c r="F18" s="45" t="s">
        <v>60</v>
      </c>
      <c r="G18" s="45" t="s">
        <v>61</v>
      </c>
      <c r="H18" s="87">
        <v>0.4158</v>
      </c>
      <c r="I18" s="87">
        <v>55</v>
      </c>
      <c r="J18" s="92"/>
      <c r="K18" s="103">
        <v>180530.16</v>
      </c>
      <c r="L18" s="93"/>
      <c r="M18" s="44">
        <f t="shared" si="11"/>
        <v>1608</v>
      </c>
      <c r="N18" s="95">
        <v>112.27</v>
      </c>
      <c r="O18" s="91">
        <v>7.3</v>
      </c>
      <c r="P18" s="92">
        <f t="shared" si="12"/>
        <v>819.571</v>
      </c>
      <c r="Q18" s="98"/>
      <c r="R18" s="98"/>
      <c r="S18" s="47">
        <f t="shared" si="7"/>
        <v>287.166461029412</v>
      </c>
      <c r="T18" s="47"/>
      <c r="U18" s="47">
        <f t="shared" si="8"/>
        <v>15.2867647058824</v>
      </c>
      <c r="V18" s="47"/>
      <c r="W18" s="47"/>
      <c r="X18" s="47">
        <f t="shared" si="2"/>
        <v>302.453225735294</v>
      </c>
      <c r="Y18" s="102">
        <f t="shared" si="9"/>
        <v>67.7570558823529</v>
      </c>
      <c r="Z18" s="102"/>
      <c r="AA18" s="102"/>
      <c r="AB18" s="102">
        <f t="shared" si="3"/>
        <v>67.7570558823529</v>
      </c>
      <c r="AC18" s="89">
        <v>7.24</v>
      </c>
      <c r="AD18" s="47">
        <f t="shared" si="4"/>
        <v>490.561084588235</v>
      </c>
      <c r="AE18" s="47">
        <f t="shared" si="5"/>
        <v>793.014310323529</v>
      </c>
      <c r="AF18" s="47">
        <f t="shared" si="6"/>
        <v>26.5566896764706</v>
      </c>
    </row>
    <row r="19" s="2" customFormat="1" spans="1:32">
      <c r="A19" s="86"/>
      <c r="B19" s="45"/>
      <c r="C19" s="23">
        <v>241127000042</v>
      </c>
      <c r="D19" s="24">
        <v>45631</v>
      </c>
      <c r="E19" s="24" t="s">
        <v>68</v>
      </c>
      <c r="F19" s="45" t="s">
        <v>69</v>
      </c>
      <c r="G19" s="45" t="s">
        <v>74</v>
      </c>
      <c r="H19" s="87">
        <v>0.3625</v>
      </c>
      <c r="I19" s="87">
        <v>15</v>
      </c>
      <c r="J19" s="88">
        <v>870</v>
      </c>
      <c r="K19" s="89"/>
      <c r="L19" s="93"/>
      <c r="M19" s="44"/>
      <c r="N19" s="90"/>
      <c r="O19" s="45"/>
      <c r="P19" s="92">
        <f t="shared" ref="P19:P24" si="13">SUBTOTAL(9,J19)</f>
        <v>870</v>
      </c>
      <c r="Q19" s="98"/>
      <c r="R19" s="98"/>
      <c r="S19" s="47">
        <f t="shared" si="7"/>
        <v>250.355560661765</v>
      </c>
      <c r="T19" s="47"/>
      <c r="U19" s="47">
        <f t="shared" si="8"/>
        <v>13.3272058823529</v>
      </c>
      <c r="V19" s="47"/>
      <c r="W19" s="99">
        <f>SUM(26+36)</f>
        <v>62</v>
      </c>
      <c r="X19" s="47">
        <f t="shared" si="2"/>
        <v>325.682766544118</v>
      </c>
      <c r="Y19" s="102">
        <f t="shared" si="9"/>
        <v>59.0715073529412</v>
      </c>
      <c r="Z19" s="102"/>
      <c r="AA19" s="102"/>
      <c r="AB19" s="102">
        <f t="shared" si="3"/>
        <v>59.0715073529412</v>
      </c>
      <c r="AC19" s="89">
        <v>7.24</v>
      </c>
      <c r="AD19" s="47">
        <f t="shared" si="4"/>
        <v>427.677713235294</v>
      </c>
      <c r="AE19" s="47">
        <f t="shared" si="5"/>
        <v>753.360479779412</v>
      </c>
      <c r="AF19" s="47">
        <f t="shared" si="6"/>
        <v>116.639520220588</v>
      </c>
    </row>
    <row r="20" s="2" customFormat="1" spans="1:32">
      <c r="A20" s="86"/>
      <c r="B20" s="45"/>
      <c r="C20" s="23">
        <v>241127000053</v>
      </c>
      <c r="D20" s="24">
        <v>45631</v>
      </c>
      <c r="E20" s="24" t="s">
        <v>68</v>
      </c>
      <c r="F20" s="45" t="s">
        <v>69</v>
      </c>
      <c r="G20" s="45" t="s">
        <v>75</v>
      </c>
      <c r="H20" s="87">
        <v>0.6069</v>
      </c>
      <c r="I20" s="87">
        <v>165</v>
      </c>
      <c r="J20" s="88">
        <v>2195</v>
      </c>
      <c r="K20" s="89"/>
      <c r="L20" s="93"/>
      <c r="M20" s="44"/>
      <c r="N20" s="90"/>
      <c r="O20" s="45"/>
      <c r="P20" s="92">
        <f t="shared" si="13"/>
        <v>2195</v>
      </c>
      <c r="Q20" s="98"/>
      <c r="R20" s="98"/>
      <c r="S20" s="47">
        <f t="shared" si="7"/>
        <v>419.14700625</v>
      </c>
      <c r="T20" s="47"/>
      <c r="U20" s="47">
        <f t="shared" si="8"/>
        <v>22.3125</v>
      </c>
      <c r="V20" s="47"/>
      <c r="W20" s="47"/>
      <c r="X20" s="47">
        <f t="shared" si="2"/>
        <v>441.45950625</v>
      </c>
      <c r="Y20" s="102">
        <f t="shared" si="9"/>
        <v>98.897925</v>
      </c>
      <c r="Z20" s="101">
        <v>111.31</v>
      </c>
      <c r="AA20" s="102"/>
      <c r="AB20" s="102">
        <f t="shared" si="3"/>
        <v>210.207925</v>
      </c>
      <c r="AC20" s="89">
        <v>7.24</v>
      </c>
      <c r="AD20" s="47">
        <f t="shared" si="4"/>
        <v>1521.905377</v>
      </c>
      <c r="AE20" s="47">
        <f t="shared" si="5"/>
        <v>1963.36488325</v>
      </c>
      <c r="AF20" s="47">
        <f t="shared" si="6"/>
        <v>231.63511675</v>
      </c>
    </row>
    <row r="21" s="2" customFormat="1" spans="1:32">
      <c r="A21" s="86"/>
      <c r="B21" s="45"/>
      <c r="C21" s="23">
        <v>241128000039</v>
      </c>
      <c r="D21" s="24">
        <v>45631</v>
      </c>
      <c r="E21" s="24" t="s">
        <v>55</v>
      </c>
      <c r="F21" s="45" t="s">
        <v>56</v>
      </c>
      <c r="G21" s="45" t="s">
        <v>57</v>
      </c>
      <c r="H21" s="87">
        <v>0.5074</v>
      </c>
      <c r="I21" s="87">
        <v>252</v>
      </c>
      <c r="J21" s="92"/>
      <c r="K21" s="103">
        <v>239442</v>
      </c>
      <c r="L21" s="93"/>
      <c r="M21" s="44">
        <f t="shared" ref="M21:M26" si="14">SUM(K21/N21)</f>
        <v>1572.99929582198</v>
      </c>
      <c r="N21" s="95">
        <v>152.22003</v>
      </c>
      <c r="O21" s="45">
        <v>7.27</v>
      </c>
      <c r="P21" s="92">
        <f t="shared" ref="P21:P26" si="15">SUM(N21*O21)</f>
        <v>1106.6396181</v>
      </c>
      <c r="Q21" s="98"/>
      <c r="R21" s="98"/>
      <c r="S21" s="47">
        <f t="shared" si="7"/>
        <v>350.428721323529</v>
      </c>
      <c r="T21" s="47"/>
      <c r="U21" s="47">
        <f t="shared" si="8"/>
        <v>18.6544117647059</v>
      </c>
      <c r="V21" s="47"/>
      <c r="W21" s="47"/>
      <c r="X21" s="47">
        <f t="shared" si="2"/>
        <v>369.083133088235</v>
      </c>
      <c r="Y21" s="102">
        <f t="shared" si="9"/>
        <v>82.6838147058824</v>
      </c>
      <c r="Z21" s="102"/>
      <c r="AA21" s="102"/>
      <c r="AB21" s="102">
        <f t="shared" si="3"/>
        <v>82.6838147058824</v>
      </c>
      <c r="AC21" s="89">
        <v>7.24</v>
      </c>
      <c r="AD21" s="47">
        <f t="shared" si="4"/>
        <v>598.630818470588</v>
      </c>
      <c r="AE21" s="47">
        <f t="shared" si="5"/>
        <v>967.713951558824</v>
      </c>
      <c r="AF21" s="47">
        <f t="shared" si="6"/>
        <v>138.925666541176</v>
      </c>
    </row>
    <row r="22" s="2" customFormat="1" spans="1:32">
      <c r="A22" s="86"/>
      <c r="B22" s="45"/>
      <c r="C22" s="23">
        <v>241128000041</v>
      </c>
      <c r="D22" s="24">
        <v>45631</v>
      </c>
      <c r="E22" s="24" t="s">
        <v>68</v>
      </c>
      <c r="F22" s="45" t="s">
        <v>69</v>
      </c>
      <c r="G22" s="45" t="s">
        <v>76</v>
      </c>
      <c r="H22" s="87">
        <v>0.2074</v>
      </c>
      <c r="I22" s="87">
        <v>60</v>
      </c>
      <c r="J22" s="88">
        <v>463</v>
      </c>
      <c r="K22" s="89"/>
      <c r="L22" s="93"/>
      <c r="M22" s="44"/>
      <c r="N22" s="90"/>
      <c r="O22" s="45"/>
      <c r="P22" s="92">
        <f t="shared" si="13"/>
        <v>463</v>
      </c>
      <c r="Q22" s="98"/>
      <c r="R22" s="98"/>
      <c r="S22" s="47">
        <f t="shared" si="7"/>
        <v>143.2379125</v>
      </c>
      <c r="T22" s="47"/>
      <c r="U22" s="47">
        <f t="shared" si="8"/>
        <v>7.625</v>
      </c>
      <c r="V22" s="47"/>
      <c r="W22" s="47"/>
      <c r="X22" s="47">
        <f t="shared" si="2"/>
        <v>150.8629125</v>
      </c>
      <c r="Y22" s="102">
        <f t="shared" si="9"/>
        <v>33.79705</v>
      </c>
      <c r="Z22" s="102"/>
      <c r="AA22" s="102"/>
      <c r="AB22" s="102">
        <f t="shared" si="3"/>
        <v>33.79705</v>
      </c>
      <c r="AC22" s="89">
        <v>7.24</v>
      </c>
      <c r="AD22" s="47">
        <f t="shared" si="4"/>
        <v>244.690642</v>
      </c>
      <c r="AE22" s="47">
        <f t="shared" si="5"/>
        <v>395.5535545</v>
      </c>
      <c r="AF22" s="47">
        <f t="shared" si="6"/>
        <v>67.4464454999999</v>
      </c>
    </row>
    <row r="23" s="2" customFormat="1" spans="1:32">
      <c r="A23" s="86"/>
      <c r="B23" s="45"/>
      <c r="C23" s="23">
        <v>241129000029</v>
      </c>
      <c r="D23" s="24">
        <v>45631</v>
      </c>
      <c r="E23" s="24" t="s">
        <v>77</v>
      </c>
      <c r="F23" s="45" t="s">
        <v>78</v>
      </c>
      <c r="G23" s="45" t="s">
        <v>79</v>
      </c>
      <c r="H23" s="87">
        <v>0.19</v>
      </c>
      <c r="I23" s="87">
        <v>24</v>
      </c>
      <c r="J23" s="88">
        <v>369.36</v>
      </c>
      <c r="K23" s="89"/>
      <c r="L23" s="93"/>
      <c r="M23" s="44"/>
      <c r="N23" s="90"/>
      <c r="O23" s="45"/>
      <c r="P23" s="92">
        <f t="shared" si="13"/>
        <v>369.36</v>
      </c>
      <c r="Q23" s="98"/>
      <c r="R23" s="98"/>
      <c r="S23" s="47">
        <f t="shared" si="7"/>
        <v>131.220845588235</v>
      </c>
      <c r="T23" s="47"/>
      <c r="U23" s="47">
        <f t="shared" si="8"/>
        <v>6.98529411764706</v>
      </c>
      <c r="V23" s="47"/>
      <c r="W23" s="47"/>
      <c r="X23" s="47">
        <f t="shared" si="2"/>
        <v>138.206139705882</v>
      </c>
      <c r="Y23" s="102">
        <f t="shared" si="9"/>
        <v>30.9616176470588</v>
      </c>
      <c r="Z23" s="102"/>
      <c r="AA23" s="102"/>
      <c r="AB23" s="102">
        <f t="shared" si="3"/>
        <v>30.9616176470588</v>
      </c>
      <c r="AC23" s="89">
        <v>7.24</v>
      </c>
      <c r="AD23" s="47">
        <f t="shared" si="4"/>
        <v>224.162111764706</v>
      </c>
      <c r="AE23" s="47">
        <f t="shared" si="5"/>
        <v>362.368251470588</v>
      </c>
      <c r="AF23" s="47">
        <f t="shared" si="6"/>
        <v>6.99174852941172</v>
      </c>
    </row>
    <row r="24" s="2" customFormat="1" spans="1:32">
      <c r="A24" s="86"/>
      <c r="B24" s="45"/>
      <c r="C24" s="23">
        <v>241129000035</v>
      </c>
      <c r="D24" s="24">
        <v>45631</v>
      </c>
      <c r="E24" s="24" t="s">
        <v>68</v>
      </c>
      <c r="F24" s="45" t="s">
        <v>69</v>
      </c>
      <c r="G24" s="45" t="s">
        <v>80</v>
      </c>
      <c r="H24" s="87">
        <v>0.3468</v>
      </c>
      <c r="I24" s="87">
        <v>269</v>
      </c>
      <c r="J24" s="88">
        <v>1003</v>
      </c>
      <c r="K24" s="89"/>
      <c r="L24" s="93"/>
      <c r="M24" s="44"/>
      <c r="N24" s="90"/>
      <c r="O24" s="45"/>
      <c r="P24" s="92">
        <f t="shared" si="13"/>
        <v>1003</v>
      </c>
      <c r="Q24" s="98"/>
      <c r="R24" s="98"/>
      <c r="S24" s="47">
        <f t="shared" si="7"/>
        <v>239.512575</v>
      </c>
      <c r="T24" s="47"/>
      <c r="U24" s="47">
        <f t="shared" si="8"/>
        <v>12.75</v>
      </c>
      <c r="V24" s="47"/>
      <c r="W24" s="47"/>
      <c r="X24" s="47">
        <f t="shared" si="2"/>
        <v>252.262575</v>
      </c>
      <c r="Y24" s="102">
        <f t="shared" si="9"/>
        <v>56.5131</v>
      </c>
      <c r="Z24" s="102"/>
      <c r="AA24" s="102"/>
      <c r="AB24" s="102">
        <f t="shared" si="3"/>
        <v>56.5131</v>
      </c>
      <c r="AC24" s="89">
        <v>7.24</v>
      </c>
      <c r="AD24" s="47">
        <f t="shared" si="4"/>
        <v>409.154844</v>
      </c>
      <c r="AE24" s="47">
        <f t="shared" si="5"/>
        <v>661.417419</v>
      </c>
      <c r="AF24" s="47">
        <f t="shared" si="6"/>
        <v>341.582581</v>
      </c>
    </row>
    <row r="25" s="2" customFormat="1" spans="1:32">
      <c r="A25" s="86"/>
      <c r="B25" s="45"/>
      <c r="C25" s="23">
        <v>241130000012</v>
      </c>
      <c r="D25" s="24">
        <v>45631</v>
      </c>
      <c r="E25" s="24" t="s">
        <v>81</v>
      </c>
      <c r="F25" s="45" t="s">
        <v>82</v>
      </c>
      <c r="G25" s="45" t="s">
        <v>82</v>
      </c>
      <c r="H25" s="87">
        <v>0.0882</v>
      </c>
      <c r="I25" s="87">
        <v>30</v>
      </c>
      <c r="J25" s="92"/>
      <c r="K25" s="103">
        <v>56179</v>
      </c>
      <c r="L25" s="93"/>
      <c r="M25" s="44">
        <f t="shared" si="14"/>
        <v>1679.99401913876</v>
      </c>
      <c r="N25" s="95">
        <v>33.44</v>
      </c>
      <c r="O25" s="45">
        <v>7.27</v>
      </c>
      <c r="P25" s="92">
        <f t="shared" si="15"/>
        <v>243.1088</v>
      </c>
      <c r="Q25" s="98"/>
      <c r="R25" s="98"/>
      <c r="S25" s="47">
        <f t="shared" si="7"/>
        <v>60.9140977941177</v>
      </c>
      <c r="T25" s="47"/>
      <c r="U25" s="47">
        <f t="shared" si="8"/>
        <v>3.24264705882353</v>
      </c>
      <c r="V25" s="47"/>
      <c r="W25" s="47"/>
      <c r="X25" s="47">
        <f t="shared" si="2"/>
        <v>64.1567448529412</v>
      </c>
      <c r="Y25" s="102">
        <f t="shared" si="9"/>
        <v>14.3727088235294</v>
      </c>
      <c r="Z25" s="102"/>
      <c r="AA25" s="102"/>
      <c r="AB25" s="102">
        <f t="shared" si="3"/>
        <v>14.3727088235294</v>
      </c>
      <c r="AC25" s="89">
        <v>7.24</v>
      </c>
      <c r="AD25" s="47">
        <f t="shared" si="4"/>
        <v>104.058411882353</v>
      </c>
      <c r="AE25" s="47">
        <f t="shared" si="5"/>
        <v>168.215156735294</v>
      </c>
      <c r="AF25" s="47">
        <f t="shared" si="6"/>
        <v>74.8936432647058</v>
      </c>
    </row>
    <row r="26" s="2" customFormat="1" spans="1:32">
      <c r="A26" s="86"/>
      <c r="B26" s="45"/>
      <c r="C26" s="23">
        <v>241202000005</v>
      </c>
      <c r="D26" s="24">
        <v>45631</v>
      </c>
      <c r="E26" s="24" t="s">
        <v>83</v>
      </c>
      <c r="F26" s="45" t="s">
        <v>84</v>
      </c>
      <c r="G26" s="45" t="s">
        <v>85</v>
      </c>
      <c r="H26" s="87">
        <v>0.8261</v>
      </c>
      <c r="I26" s="87">
        <v>59</v>
      </c>
      <c r="J26" s="92"/>
      <c r="K26" s="103">
        <v>424545</v>
      </c>
      <c r="L26" s="93"/>
      <c r="M26" s="44">
        <f t="shared" si="14"/>
        <v>1657.79589310837</v>
      </c>
      <c r="N26" s="95">
        <v>256.09003</v>
      </c>
      <c r="O26" s="45">
        <v>7.27</v>
      </c>
      <c r="P26" s="92">
        <f t="shared" si="15"/>
        <v>1861.7745181</v>
      </c>
      <c r="Q26" s="98"/>
      <c r="R26" s="98"/>
      <c r="S26" s="47">
        <f t="shared" si="7"/>
        <v>570.534423897059</v>
      </c>
      <c r="T26" s="47"/>
      <c r="U26" s="47">
        <f t="shared" si="8"/>
        <v>30.3713235294118</v>
      </c>
      <c r="V26" s="47"/>
      <c r="W26" s="47"/>
      <c r="X26" s="47">
        <f t="shared" si="2"/>
        <v>600.90574742647</v>
      </c>
      <c r="Y26" s="102">
        <f t="shared" si="9"/>
        <v>134.617854411765</v>
      </c>
      <c r="Z26" s="102"/>
      <c r="AA26" s="102"/>
      <c r="AB26" s="102">
        <f t="shared" si="3"/>
        <v>134.617854411765</v>
      </c>
      <c r="AC26" s="89">
        <v>7.24</v>
      </c>
      <c r="AD26" s="47">
        <f t="shared" si="4"/>
        <v>974.633265941177</v>
      </c>
      <c r="AE26" s="47">
        <f t="shared" si="5"/>
        <v>1575.53901336765</v>
      </c>
      <c r="AF26" s="47">
        <f t="shared" si="6"/>
        <v>286.235504732353</v>
      </c>
    </row>
    <row r="27" s="2" customFormat="1" spans="1:32">
      <c r="A27" s="86"/>
      <c r="B27" s="45"/>
      <c r="C27" s="23">
        <v>241202000011</v>
      </c>
      <c r="D27" s="24">
        <v>45631</v>
      </c>
      <c r="E27" s="24" t="s">
        <v>83</v>
      </c>
      <c r="F27" s="45" t="s">
        <v>84</v>
      </c>
      <c r="G27" s="45" t="s">
        <v>86</v>
      </c>
      <c r="H27" s="87">
        <v>0.4399</v>
      </c>
      <c r="I27" s="87">
        <v>73</v>
      </c>
      <c r="J27" s="104">
        <v>900.59</v>
      </c>
      <c r="K27" s="89"/>
      <c r="L27" s="93"/>
      <c r="M27" s="44"/>
      <c r="N27" s="90"/>
      <c r="O27" s="45"/>
      <c r="P27" s="92">
        <f>SUBTOTAL(9,J27)</f>
        <v>900.59</v>
      </c>
      <c r="Q27" s="98"/>
      <c r="R27" s="98"/>
      <c r="S27" s="47">
        <f t="shared" si="7"/>
        <v>303.810789338235</v>
      </c>
      <c r="T27" s="47"/>
      <c r="U27" s="47">
        <f t="shared" si="8"/>
        <v>16.1727941176471</v>
      </c>
      <c r="V27" s="47"/>
      <c r="W27" s="47"/>
      <c r="X27" s="47">
        <f t="shared" si="2"/>
        <v>319.983583455882</v>
      </c>
      <c r="Y27" s="102">
        <f t="shared" si="9"/>
        <v>71.6842926470588</v>
      </c>
      <c r="Z27" s="102"/>
      <c r="AA27" s="102"/>
      <c r="AB27" s="102">
        <f t="shared" si="3"/>
        <v>71.6842926470588</v>
      </c>
      <c r="AC27" s="89">
        <v>7.24</v>
      </c>
      <c r="AD27" s="47">
        <f t="shared" si="4"/>
        <v>518.994278764706</v>
      </c>
      <c r="AE27" s="47">
        <f t="shared" si="5"/>
        <v>838.977862220588</v>
      </c>
      <c r="AF27" s="47">
        <f t="shared" si="6"/>
        <v>61.6121377794117</v>
      </c>
    </row>
    <row r="28" s="2" customFormat="1" spans="1:32">
      <c r="A28" s="86"/>
      <c r="B28" s="45"/>
      <c r="C28" s="23">
        <v>241202000031</v>
      </c>
      <c r="D28" s="24">
        <v>45631</v>
      </c>
      <c r="E28" s="24" t="s">
        <v>68</v>
      </c>
      <c r="F28" s="45" t="s">
        <v>69</v>
      </c>
      <c r="G28" s="45" t="s">
        <v>87</v>
      </c>
      <c r="H28" s="87">
        <v>0.6255</v>
      </c>
      <c r="I28" s="87">
        <v>265</v>
      </c>
      <c r="J28" s="92"/>
      <c r="K28" s="103">
        <v>283185</v>
      </c>
      <c r="L28" s="93"/>
      <c r="M28" s="44">
        <f t="shared" ref="M28:M39" si="16">SUM(K28/N28)</f>
        <v>1588.51723918582</v>
      </c>
      <c r="N28" s="95">
        <v>178.27002</v>
      </c>
      <c r="O28" s="45">
        <v>7.27</v>
      </c>
      <c r="P28" s="92">
        <f t="shared" ref="P28:P39" si="17">SUM(N28*O28)</f>
        <v>1296.0230454</v>
      </c>
      <c r="Q28" s="98"/>
      <c r="R28" s="98"/>
      <c r="S28" s="47">
        <f t="shared" si="7"/>
        <v>431.992836397059</v>
      </c>
      <c r="T28" s="47"/>
      <c r="U28" s="47">
        <f t="shared" si="8"/>
        <v>22.9963235294118</v>
      </c>
      <c r="V28" s="47"/>
      <c r="W28" s="47"/>
      <c r="X28" s="47">
        <f t="shared" si="2"/>
        <v>454.989159926471</v>
      </c>
      <c r="Y28" s="102">
        <f t="shared" si="9"/>
        <v>101.928904411765</v>
      </c>
      <c r="Z28" s="102"/>
      <c r="AA28" s="102"/>
      <c r="AB28" s="102">
        <f t="shared" si="3"/>
        <v>101.928904411765</v>
      </c>
      <c r="AC28" s="89">
        <v>7.24</v>
      </c>
      <c r="AD28" s="47">
        <f t="shared" si="4"/>
        <v>737.965267941177</v>
      </c>
      <c r="AE28" s="47">
        <f t="shared" si="5"/>
        <v>1192.95442786765</v>
      </c>
      <c r="AF28" s="47">
        <f t="shared" si="6"/>
        <v>103.068617532353</v>
      </c>
    </row>
    <row r="29" s="2" customFormat="1" spans="1:32">
      <c r="A29" s="86"/>
      <c r="B29" s="45"/>
      <c r="C29" s="23">
        <v>241202000042</v>
      </c>
      <c r="D29" s="24">
        <v>45631</v>
      </c>
      <c r="E29" s="24" t="s">
        <v>55</v>
      </c>
      <c r="F29" s="45" t="s">
        <v>56</v>
      </c>
      <c r="G29" s="45" t="s">
        <v>57</v>
      </c>
      <c r="H29" s="87">
        <v>0.1256</v>
      </c>
      <c r="I29" s="87">
        <v>54</v>
      </c>
      <c r="J29" s="92"/>
      <c r="K29" s="103">
        <v>63300</v>
      </c>
      <c r="L29" s="93"/>
      <c r="M29" s="44">
        <f t="shared" si="16"/>
        <v>1679.93594905818</v>
      </c>
      <c r="N29" s="95">
        <v>37.680008</v>
      </c>
      <c r="O29" s="45">
        <v>7.27</v>
      </c>
      <c r="P29" s="92">
        <f t="shared" si="17"/>
        <v>273.93365816</v>
      </c>
      <c r="Q29" s="98"/>
      <c r="R29" s="98"/>
      <c r="S29" s="47">
        <f t="shared" si="7"/>
        <v>86.7438852941176</v>
      </c>
      <c r="T29" s="47"/>
      <c r="U29" s="47">
        <f t="shared" si="8"/>
        <v>4.61764705882353</v>
      </c>
      <c r="V29" s="47"/>
      <c r="W29" s="47"/>
      <c r="X29" s="47">
        <f t="shared" si="2"/>
        <v>91.3615323529412</v>
      </c>
      <c r="Y29" s="102">
        <f t="shared" si="9"/>
        <v>20.4672588235294</v>
      </c>
      <c r="Z29" s="102"/>
      <c r="AA29" s="102"/>
      <c r="AB29" s="102">
        <f t="shared" si="3"/>
        <v>20.4672588235294</v>
      </c>
      <c r="AC29" s="89">
        <v>7.24</v>
      </c>
      <c r="AD29" s="47">
        <f t="shared" si="4"/>
        <v>148.182953882353</v>
      </c>
      <c r="AE29" s="47">
        <f t="shared" si="5"/>
        <v>239.544486235294</v>
      </c>
      <c r="AF29" s="47">
        <f t="shared" si="6"/>
        <v>34.3891719247059</v>
      </c>
    </row>
    <row r="30" s="2" customFormat="1" spans="1:32">
      <c r="A30" s="86"/>
      <c r="B30" s="45"/>
      <c r="C30" s="23">
        <v>241204000039</v>
      </c>
      <c r="D30" s="24">
        <v>45631</v>
      </c>
      <c r="E30" s="24" t="s">
        <v>77</v>
      </c>
      <c r="F30" s="45" t="s">
        <v>78</v>
      </c>
      <c r="G30" s="45" t="s">
        <v>88</v>
      </c>
      <c r="H30" s="87">
        <v>0.0608</v>
      </c>
      <c r="I30" s="87">
        <v>12</v>
      </c>
      <c r="J30" s="88">
        <v>113.83</v>
      </c>
      <c r="K30" s="89"/>
      <c r="L30" s="93"/>
      <c r="M30" s="44"/>
      <c r="N30" s="90"/>
      <c r="O30" s="45"/>
      <c r="P30" s="92">
        <f>SUBTOTAL(9,J30)</f>
        <v>113.83</v>
      </c>
      <c r="Q30" s="98"/>
      <c r="R30" s="98"/>
      <c r="S30" s="47">
        <f t="shared" si="7"/>
        <v>41.9906705882353</v>
      </c>
      <c r="T30" s="47"/>
      <c r="U30" s="47">
        <f t="shared" si="8"/>
        <v>2.23529411764706</v>
      </c>
      <c r="V30" s="47"/>
      <c r="W30" s="47"/>
      <c r="X30" s="47">
        <f t="shared" si="2"/>
        <v>44.2259647058824</v>
      </c>
      <c r="Y30" s="102">
        <f t="shared" si="9"/>
        <v>9.90771764705882</v>
      </c>
      <c r="Z30" s="102"/>
      <c r="AA30" s="102"/>
      <c r="AB30" s="102">
        <f t="shared" si="3"/>
        <v>9.90771764705882</v>
      </c>
      <c r="AC30" s="89">
        <v>7.24</v>
      </c>
      <c r="AD30" s="47">
        <f t="shared" si="4"/>
        <v>71.7318757647059</v>
      </c>
      <c r="AE30" s="47">
        <f t="shared" si="5"/>
        <v>115.957840470588</v>
      </c>
      <c r="AF30" s="47">
        <f t="shared" si="6"/>
        <v>-2.12784047058825</v>
      </c>
    </row>
    <row r="31" s="2" customFormat="1" spans="1:32">
      <c r="A31" s="86"/>
      <c r="B31" s="45"/>
      <c r="C31" s="23">
        <v>241204000043</v>
      </c>
      <c r="D31" s="24">
        <v>45631</v>
      </c>
      <c r="E31" s="24" t="s">
        <v>59</v>
      </c>
      <c r="F31" s="45" t="s">
        <v>60</v>
      </c>
      <c r="G31" s="45" t="s">
        <v>61</v>
      </c>
      <c r="H31" s="87">
        <v>1.3963</v>
      </c>
      <c r="I31" s="87">
        <v>248</v>
      </c>
      <c r="J31" s="92"/>
      <c r="K31" s="103">
        <v>606216</v>
      </c>
      <c r="L31" s="93"/>
      <c r="M31" s="44">
        <f t="shared" si="16"/>
        <v>1608</v>
      </c>
      <c r="N31" s="95">
        <v>377</v>
      </c>
      <c r="O31" s="91">
        <v>7.3</v>
      </c>
      <c r="P31" s="92">
        <f t="shared" si="17"/>
        <v>2752.1</v>
      </c>
      <c r="Q31" s="98"/>
      <c r="R31" s="98"/>
      <c r="S31" s="47">
        <f t="shared" si="7"/>
        <v>964.335087867647</v>
      </c>
      <c r="T31" s="47"/>
      <c r="U31" s="47">
        <f t="shared" si="8"/>
        <v>51.3345588235294</v>
      </c>
      <c r="V31" s="47"/>
      <c r="W31" s="47"/>
      <c r="X31" s="47">
        <f t="shared" si="2"/>
        <v>1015.66964669118</v>
      </c>
      <c r="Y31" s="102">
        <f t="shared" si="9"/>
        <v>227.535298529412</v>
      </c>
      <c r="Z31" s="102"/>
      <c r="AA31" s="102"/>
      <c r="AB31" s="102">
        <f t="shared" si="3"/>
        <v>227.535298529412</v>
      </c>
      <c r="AC31" s="89">
        <v>7.24</v>
      </c>
      <c r="AD31" s="47">
        <f t="shared" si="4"/>
        <v>1647.35556135294</v>
      </c>
      <c r="AE31" s="47">
        <f t="shared" si="5"/>
        <v>2663.02520804412</v>
      </c>
      <c r="AF31" s="47">
        <f t="shared" si="6"/>
        <v>89.0747919558821</v>
      </c>
    </row>
    <row r="32" s="2" customFormat="1" spans="1:32">
      <c r="A32" s="86"/>
      <c r="B32" s="45"/>
      <c r="C32" s="23">
        <v>241204000044</v>
      </c>
      <c r="D32" s="24">
        <v>45631</v>
      </c>
      <c r="E32" s="24" t="s">
        <v>59</v>
      </c>
      <c r="F32" s="45" t="s">
        <v>60</v>
      </c>
      <c r="G32" s="45" t="s">
        <v>61</v>
      </c>
      <c r="H32" s="87">
        <v>0.7235</v>
      </c>
      <c r="I32" s="87">
        <v>107</v>
      </c>
      <c r="J32" s="92"/>
      <c r="K32" s="103">
        <v>314122.8</v>
      </c>
      <c r="L32" s="93"/>
      <c r="M32" s="44">
        <f t="shared" si="16"/>
        <v>1608</v>
      </c>
      <c r="N32" s="95">
        <v>195.35</v>
      </c>
      <c r="O32" s="91">
        <v>7.3</v>
      </c>
      <c r="P32" s="92">
        <f t="shared" si="17"/>
        <v>1426.055</v>
      </c>
      <c r="Q32" s="98"/>
      <c r="R32" s="98"/>
      <c r="S32" s="47">
        <f t="shared" si="7"/>
        <v>499.675167279412</v>
      </c>
      <c r="T32" s="47"/>
      <c r="U32" s="47">
        <f t="shared" si="8"/>
        <v>26.5992647058824</v>
      </c>
      <c r="V32" s="47"/>
      <c r="W32" s="47"/>
      <c r="X32" s="47">
        <f t="shared" si="2"/>
        <v>526.274431985294</v>
      </c>
      <c r="Y32" s="102">
        <f t="shared" si="9"/>
        <v>117.898580882353</v>
      </c>
      <c r="Z32" s="102"/>
      <c r="AA32" s="102"/>
      <c r="AB32" s="102">
        <f t="shared" si="3"/>
        <v>117.898580882353</v>
      </c>
      <c r="AC32" s="89">
        <v>7.24</v>
      </c>
      <c r="AD32" s="47">
        <f t="shared" si="4"/>
        <v>853.585725588236</v>
      </c>
      <c r="AE32" s="47">
        <f t="shared" si="5"/>
        <v>1379.86015757353</v>
      </c>
      <c r="AF32" s="47">
        <f t="shared" si="6"/>
        <v>46.1948424264704</v>
      </c>
    </row>
    <row r="33" s="2" customFormat="1" spans="1:32">
      <c r="A33" s="86"/>
      <c r="B33" s="45"/>
      <c r="C33" s="23">
        <v>241204000045</v>
      </c>
      <c r="D33" s="24">
        <v>45631</v>
      </c>
      <c r="E33" s="24" t="s">
        <v>59</v>
      </c>
      <c r="F33" s="45" t="s">
        <v>60</v>
      </c>
      <c r="G33" s="45" t="s">
        <v>61</v>
      </c>
      <c r="H33" s="87">
        <v>0.26</v>
      </c>
      <c r="I33" s="87">
        <v>48</v>
      </c>
      <c r="J33" s="92"/>
      <c r="K33" s="103">
        <v>112929.84</v>
      </c>
      <c r="L33" s="93"/>
      <c r="M33" s="44">
        <f t="shared" si="16"/>
        <v>1608</v>
      </c>
      <c r="N33" s="95">
        <v>70.23</v>
      </c>
      <c r="O33" s="91">
        <v>7.3</v>
      </c>
      <c r="P33" s="92">
        <f t="shared" si="17"/>
        <v>512.679</v>
      </c>
      <c r="Q33" s="98"/>
      <c r="R33" s="98"/>
      <c r="S33" s="47">
        <f t="shared" si="7"/>
        <v>179.565367647059</v>
      </c>
      <c r="T33" s="47"/>
      <c r="U33" s="47">
        <f t="shared" si="8"/>
        <v>9.55882352941176</v>
      </c>
      <c r="V33" s="47"/>
      <c r="W33" s="47"/>
      <c r="X33" s="47">
        <f t="shared" si="2"/>
        <v>189.124191176471</v>
      </c>
      <c r="Y33" s="102">
        <f t="shared" si="9"/>
        <v>42.3685294117647</v>
      </c>
      <c r="Z33" s="102"/>
      <c r="AA33" s="102"/>
      <c r="AB33" s="102">
        <f t="shared" si="3"/>
        <v>42.3685294117647</v>
      </c>
      <c r="AC33" s="89">
        <v>7.24</v>
      </c>
      <c r="AD33" s="47">
        <f t="shared" si="4"/>
        <v>306.748152941176</v>
      </c>
      <c r="AE33" s="47">
        <f t="shared" si="5"/>
        <v>495.872344117647</v>
      </c>
      <c r="AF33" s="47">
        <f t="shared" si="6"/>
        <v>16.8066558823529</v>
      </c>
    </row>
    <row r="34" s="2" customFormat="1" spans="1:32">
      <c r="A34" s="86"/>
      <c r="B34" s="45"/>
      <c r="C34" s="23">
        <v>241204000046</v>
      </c>
      <c r="D34" s="24">
        <v>45631</v>
      </c>
      <c r="E34" s="24" t="s">
        <v>59</v>
      </c>
      <c r="F34" s="45" t="s">
        <v>60</v>
      </c>
      <c r="G34" s="45" t="s">
        <v>61</v>
      </c>
      <c r="H34" s="87">
        <v>0.2492</v>
      </c>
      <c r="I34" s="87">
        <v>51</v>
      </c>
      <c r="J34" s="92"/>
      <c r="K34" s="103">
        <v>108090.06</v>
      </c>
      <c r="L34" s="93"/>
      <c r="M34" s="44">
        <f t="shared" si="16"/>
        <v>1606.57045184304</v>
      </c>
      <c r="N34" s="95">
        <v>67.28</v>
      </c>
      <c r="O34" s="91">
        <v>7.3</v>
      </c>
      <c r="P34" s="92">
        <f t="shared" si="17"/>
        <v>491.144</v>
      </c>
      <c r="Q34" s="98"/>
      <c r="R34" s="98"/>
      <c r="S34" s="47">
        <f t="shared" si="7"/>
        <v>172.106498529412</v>
      </c>
      <c r="T34" s="47"/>
      <c r="U34" s="47">
        <f t="shared" si="8"/>
        <v>9.16176470588235</v>
      </c>
      <c r="V34" s="47"/>
      <c r="W34" s="47"/>
      <c r="X34" s="47">
        <f t="shared" si="2"/>
        <v>181.268263235294</v>
      </c>
      <c r="Y34" s="102">
        <f t="shared" si="9"/>
        <v>40.6086058823529</v>
      </c>
      <c r="Z34" s="102"/>
      <c r="AA34" s="102"/>
      <c r="AB34" s="102">
        <f t="shared" si="3"/>
        <v>40.6086058823529</v>
      </c>
      <c r="AC34" s="89">
        <v>7.24</v>
      </c>
      <c r="AD34" s="47">
        <f t="shared" si="4"/>
        <v>294.006306588235</v>
      </c>
      <c r="AE34" s="47">
        <f t="shared" si="5"/>
        <v>475.274569823529</v>
      </c>
      <c r="AF34" s="47">
        <f t="shared" si="6"/>
        <v>15.8694301764705</v>
      </c>
    </row>
    <row r="35" s="2" customFormat="1" spans="1:32">
      <c r="A35" s="86"/>
      <c r="B35" s="45"/>
      <c r="C35" s="23">
        <v>241204000047</v>
      </c>
      <c r="D35" s="24">
        <v>45631</v>
      </c>
      <c r="E35" s="24" t="s">
        <v>59</v>
      </c>
      <c r="F35" s="45" t="s">
        <v>60</v>
      </c>
      <c r="G35" s="45" t="s">
        <v>61</v>
      </c>
      <c r="H35" s="87">
        <v>0.2023</v>
      </c>
      <c r="I35" s="87">
        <v>17</v>
      </c>
      <c r="J35" s="92"/>
      <c r="K35" s="103">
        <v>87064.28</v>
      </c>
      <c r="L35" s="93"/>
      <c r="M35" s="44">
        <f t="shared" si="16"/>
        <v>1594</v>
      </c>
      <c r="N35" s="95">
        <v>54.62</v>
      </c>
      <c r="O35" s="45">
        <v>7.29</v>
      </c>
      <c r="P35" s="92">
        <f t="shared" si="17"/>
        <v>398.1798</v>
      </c>
      <c r="Q35" s="98"/>
      <c r="R35" s="98"/>
      <c r="S35" s="47">
        <f t="shared" si="7"/>
        <v>139.71566875</v>
      </c>
      <c r="T35" s="47"/>
      <c r="U35" s="47">
        <f t="shared" si="8"/>
        <v>7.4375</v>
      </c>
      <c r="V35" s="47"/>
      <c r="W35" s="47"/>
      <c r="X35" s="47">
        <f t="shared" si="2"/>
        <v>147.15316875</v>
      </c>
      <c r="Y35" s="102">
        <f t="shared" si="9"/>
        <v>32.965975</v>
      </c>
      <c r="Z35" s="102"/>
      <c r="AA35" s="102"/>
      <c r="AB35" s="102">
        <f t="shared" si="3"/>
        <v>32.965975</v>
      </c>
      <c r="AC35" s="89">
        <v>7.24</v>
      </c>
      <c r="AD35" s="47">
        <f t="shared" si="4"/>
        <v>238.673659</v>
      </c>
      <c r="AE35" s="47">
        <f t="shared" si="5"/>
        <v>385.82682775</v>
      </c>
      <c r="AF35" s="47">
        <f t="shared" si="6"/>
        <v>12.35297225</v>
      </c>
    </row>
    <row r="36" s="2" customFormat="1" spans="1:32">
      <c r="A36" s="86"/>
      <c r="B36" s="45"/>
      <c r="C36" s="23">
        <v>241204000048</v>
      </c>
      <c r="D36" s="24">
        <v>45631</v>
      </c>
      <c r="E36" s="24" t="s">
        <v>59</v>
      </c>
      <c r="F36" s="45" t="s">
        <v>60</v>
      </c>
      <c r="G36" s="45" t="s">
        <v>61</v>
      </c>
      <c r="H36" s="87">
        <v>0.5307</v>
      </c>
      <c r="I36" s="87">
        <v>90</v>
      </c>
      <c r="J36" s="92"/>
      <c r="K36" s="103">
        <v>228404.26</v>
      </c>
      <c r="L36" s="93"/>
      <c r="M36" s="44">
        <f t="shared" si="16"/>
        <v>1594</v>
      </c>
      <c r="N36" s="95">
        <v>143.29</v>
      </c>
      <c r="O36" s="45">
        <v>7.29</v>
      </c>
      <c r="P36" s="92">
        <f t="shared" si="17"/>
        <v>1044.5841</v>
      </c>
      <c r="Q36" s="98"/>
      <c r="R36" s="98"/>
      <c r="S36" s="47">
        <f t="shared" si="7"/>
        <v>366.520540808824</v>
      </c>
      <c r="T36" s="47"/>
      <c r="U36" s="47">
        <f t="shared" si="8"/>
        <v>19.5110294117647</v>
      </c>
      <c r="V36" s="47"/>
      <c r="W36" s="47"/>
      <c r="X36" s="47">
        <f t="shared" si="2"/>
        <v>386.031570220588</v>
      </c>
      <c r="Y36" s="102">
        <f t="shared" si="9"/>
        <v>86.4806867647059</v>
      </c>
      <c r="Z36" s="102"/>
      <c r="AA36" s="102"/>
      <c r="AB36" s="102">
        <f t="shared" si="3"/>
        <v>86.4806867647059</v>
      </c>
      <c r="AC36" s="89">
        <v>7.24</v>
      </c>
      <c r="AD36" s="47">
        <f t="shared" si="4"/>
        <v>626.120172176471</v>
      </c>
      <c r="AE36" s="47">
        <f t="shared" si="5"/>
        <v>1012.15174239706</v>
      </c>
      <c r="AF36" s="47">
        <f t="shared" si="6"/>
        <v>32.4323576029412</v>
      </c>
    </row>
    <row r="37" s="2" customFormat="1" spans="1:32">
      <c r="A37" s="86"/>
      <c r="B37" s="45"/>
      <c r="C37" s="23">
        <v>241204000050</v>
      </c>
      <c r="D37" s="24">
        <v>45631</v>
      </c>
      <c r="E37" s="24" t="s">
        <v>59</v>
      </c>
      <c r="F37" s="45" t="s">
        <v>60</v>
      </c>
      <c r="G37" s="45" t="s">
        <v>61</v>
      </c>
      <c r="H37" s="87">
        <v>14.6981</v>
      </c>
      <c r="I37" s="87">
        <v>2994</v>
      </c>
      <c r="J37" s="92"/>
      <c r="K37" s="103">
        <v>6392673.24</v>
      </c>
      <c r="L37" s="93"/>
      <c r="M37" s="44">
        <f t="shared" si="16"/>
        <v>1594</v>
      </c>
      <c r="N37" s="95">
        <v>4010.46</v>
      </c>
      <c r="O37" s="45">
        <v>7.27</v>
      </c>
      <c r="P37" s="92">
        <f t="shared" si="17"/>
        <v>29156.0442</v>
      </c>
      <c r="Q37" s="98"/>
      <c r="R37" s="98"/>
      <c r="S37" s="47">
        <f t="shared" si="7"/>
        <v>10151.0374238971</v>
      </c>
      <c r="T37" s="47"/>
      <c r="U37" s="47">
        <f t="shared" si="8"/>
        <v>540.371323529412</v>
      </c>
      <c r="V37" s="47"/>
      <c r="W37" s="47"/>
      <c r="X37" s="47">
        <f t="shared" si="2"/>
        <v>10691.4087474265</v>
      </c>
      <c r="Y37" s="102">
        <f t="shared" si="9"/>
        <v>2395.14185441177</v>
      </c>
      <c r="Z37" s="102"/>
      <c r="AA37" s="102"/>
      <c r="AB37" s="102">
        <f t="shared" si="3"/>
        <v>2395.14185441177</v>
      </c>
      <c r="AC37" s="89">
        <v>7.24</v>
      </c>
      <c r="AD37" s="47">
        <f t="shared" si="4"/>
        <v>17340.8270259412</v>
      </c>
      <c r="AE37" s="47">
        <f t="shared" si="5"/>
        <v>28032.2357733677</v>
      </c>
      <c r="AF37" s="47">
        <f t="shared" si="6"/>
        <v>1123.80842663235</v>
      </c>
    </row>
    <row r="38" s="2" customFormat="1" spans="1:32">
      <c r="A38" s="86"/>
      <c r="B38" s="45"/>
      <c r="C38" s="23">
        <v>241204000052</v>
      </c>
      <c r="D38" s="24">
        <v>45631</v>
      </c>
      <c r="E38" s="24" t="s">
        <v>59</v>
      </c>
      <c r="F38" s="45" t="s">
        <v>60</v>
      </c>
      <c r="G38" s="45" t="s">
        <v>61</v>
      </c>
      <c r="H38" s="87">
        <v>21.052</v>
      </c>
      <c r="I38" s="87">
        <v>2202</v>
      </c>
      <c r="J38" s="92"/>
      <c r="K38" s="103">
        <v>9257809.04</v>
      </c>
      <c r="L38" s="93"/>
      <c r="M38" s="44">
        <f t="shared" si="16"/>
        <v>1616.79084323546</v>
      </c>
      <c r="N38" s="95">
        <v>5726.04</v>
      </c>
      <c r="O38" s="45">
        <v>7.22</v>
      </c>
      <c r="P38" s="92">
        <f t="shared" si="17"/>
        <v>41342.0088</v>
      </c>
      <c r="Q38" s="98"/>
      <c r="R38" s="98"/>
      <c r="S38" s="47">
        <f t="shared" si="7"/>
        <v>14539.2696911765</v>
      </c>
      <c r="T38" s="47"/>
      <c r="U38" s="47">
        <f t="shared" si="8"/>
        <v>773.970588235294</v>
      </c>
      <c r="V38" s="47"/>
      <c r="W38" s="47"/>
      <c r="X38" s="47">
        <f t="shared" si="2"/>
        <v>15313.2402794118</v>
      </c>
      <c r="Y38" s="102">
        <f t="shared" si="9"/>
        <v>3430.54723529412</v>
      </c>
      <c r="Z38" s="102"/>
      <c r="AA38" s="102"/>
      <c r="AB38" s="102">
        <f t="shared" si="3"/>
        <v>3430.54723529412</v>
      </c>
      <c r="AC38" s="89">
        <v>7.24</v>
      </c>
      <c r="AD38" s="47">
        <f t="shared" si="4"/>
        <v>24837.1619835294</v>
      </c>
      <c r="AE38" s="47">
        <f t="shared" si="5"/>
        <v>40150.4022629412</v>
      </c>
      <c r="AF38" s="47">
        <f t="shared" si="6"/>
        <v>1191.60653705883</v>
      </c>
    </row>
    <row r="39" s="2" customFormat="1" spans="1:32">
      <c r="A39" s="86"/>
      <c r="B39" s="45"/>
      <c r="C39" s="23">
        <v>241204000053</v>
      </c>
      <c r="D39" s="24">
        <v>45631</v>
      </c>
      <c r="E39" s="24" t="s">
        <v>59</v>
      </c>
      <c r="F39" s="45" t="s">
        <v>60</v>
      </c>
      <c r="G39" s="45" t="s">
        <v>61</v>
      </c>
      <c r="H39" s="87">
        <v>0.1958</v>
      </c>
      <c r="I39" s="87">
        <v>447</v>
      </c>
      <c r="J39" s="92"/>
      <c r="K39" s="103">
        <v>85649.4</v>
      </c>
      <c r="L39" s="93"/>
      <c r="M39" s="44">
        <f t="shared" si="16"/>
        <v>1620</v>
      </c>
      <c r="N39" s="95">
        <v>52.87</v>
      </c>
      <c r="O39" s="45">
        <v>7.22</v>
      </c>
      <c r="P39" s="92">
        <f t="shared" si="17"/>
        <v>381.7214</v>
      </c>
      <c r="Q39" s="98"/>
      <c r="R39" s="98"/>
      <c r="S39" s="47">
        <f t="shared" si="7"/>
        <v>135.226534558824</v>
      </c>
      <c r="T39" s="47"/>
      <c r="U39" s="47">
        <f t="shared" si="8"/>
        <v>7.19852941176471</v>
      </c>
      <c r="V39" s="47"/>
      <c r="W39" s="47"/>
      <c r="X39" s="47">
        <f t="shared" si="2"/>
        <v>142.425063970588</v>
      </c>
      <c r="Y39" s="102">
        <f t="shared" si="9"/>
        <v>31.9067617647059</v>
      </c>
      <c r="Z39" s="102"/>
      <c r="AA39" s="102"/>
      <c r="AB39" s="102">
        <f t="shared" si="3"/>
        <v>31.9067617647059</v>
      </c>
      <c r="AC39" s="89">
        <v>7.24</v>
      </c>
      <c r="AD39" s="47">
        <f t="shared" si="4"/>
        <v>231.004955176471</v>
      </c>
      <c r="AE39" s="47">
        <f t="shared" si="5"/>
        <v>373.430019147059</v>
      </c>
      <c r="AF39" s="47">
        <f t="shared" si="6"/>
        <v>8.29138085294119</v>
      </c>
    </row>
    <row r="40" s="2" customFormat="1" spans="1:32">
      <c r="A40" s="86"/>
      <c r="B40" s="45"/>
      <c r="C40" s="23">
        <v>241204000060</v>
      </c>
      <c r="D40" s="24">
        <v>45631</v>
      </c>
      <c r="E40" s="24" t="s">
        <v>83</v>
      </c>
      <c r="F40" s="45" t="s">
        <v>84</v>
      </c>
      <c r="G40" s="45" t="s">
        <v>86</v>
      </c>
      <c r="H40" s="87">
        <v>0.6256</v>
      </c>
      <c r="I40" s="87">
        <v>144</v>
      </c>
      <c r="J40" s="88">
        <v>1269.02</v>
      </c>
      <c r="K40" s="89"/>
      <c r="L40" s="93"/>
      <c r="M40" s="44"/>
      <c r="N40" s="90"/>
      <c r="O40" s="45"/>
      <c r="P40" s="92">
        <f>SUBTOTAL(9,J40)</f>
        <v>1269.02</v>
      </c>
      <c r="Q40" s="100"/>
      <c r="R40" s="100"/>
      <c r="S40" s="47">
        <f t="shared" si="7"/>
        <v>432.0619</v>
      </c>
      <c r="T40" s="47"/>
      <c r="U40" s="47">
        <f t="shared" si="8"/>
        <v>23</v>
      </c>
      <c r="V40" s="47"/>
      <c r="W40" s="47"/>
      <c r="X40" s="47">
        <f t="shared" si="2"/>
        <v>455.0619</v>
      </c>
      <c r="Y40" s="102">
        <f t="shared" si="9"/>
        <v>101.9452</v>
      </c>
      <c r="Z40" s="102"/>
      <c r="AA40" s="102"/>
      <c r="AB40" s="102">
        <f t="shared" si="3"/>
        <v>101.9452</v>
      </c>
      <c r="AC40" s="89">
        <v>7.24</v>
      </c>
      <c r="AD40" s="47">
        <f t="shared" si="4"/>
        <v>738.083248</v>
      </c>
      <c r="AE40" s="47">
        <f t="shared" si="5"/>
        <v>1193.145148</v>
      </c>
      <c r="AF40" s="47">
        <f t="shared" si="6"/>
        <v>75.8748519999999</v>
      </c>
    </row>
    <row r="41" ht="15.75" spans="1:32">
      <c r="A41" s="26" t="s">
        <v>22</v>
      </c>
      <c r="B41" s="27"/>
      <c r="C41" s="27"/>
      <c r="D41" s="27"/>
      <c r="E41" s="27"/>
      <c r="F41" s="27"/>
      <c r="G41" s="27"/>
      <c r="H41" s="27"/>
      <c r="I41" s="48"/>
      <c r="J41" s="27">
        <f>SUM(J4:J4)</f>
        <v>0</v>
      </c>
      <c r="K41" s="49"/>
      <c r="L41" s="50"/>
      <c r="M41" s="49"/>
      <c r="N41" s="49">
        <f t="shared" ref="N41:Q41" si="18">SUM(N4:N4)</f>
        <v>0</v>
      </c>
      <c r="O41" s="27"/>
      <c r="P41" s="27">
        <f t="shared" si="18"/>
        <v>0</v>
      </c>
      <c r="Q41" s="27">
        <f t="shared" si="18"/>
        <v>0</v>
      </c>
      <c r="R41" s="27"/>
      <c r="S41" s="27"/>
      <c r="T41" s="27"/>
      <c r="U41" s="27"/>
      <c r="V41" s="27"/>
      <c r="W41" s="27"/>
      <c r="X41" s="71">
        <f>SUM(X4:X4)</f>
        <v>0</v>
      </c>
      <c r="Y41" s="50"/>
      <c r="Z41" s="50"/>
      <c r="AA41" s="50"/>
      <c r="AB41" s="50"/>
      <c r="AC41" s="49"/>
      <c r="AD41" s="27">
        <f>SUM(AD4:AD4)</f>
        <v>0</v>
      </c>
      <c r="AE41" s="27"/>
      <c r="AF41" s="85">
        <f>SUM(AF4:AF40)</f>
        <v>24290.9358429718</v>
      </c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  <row r="45" customFormat="1" spans="4:32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  <c r="AF45" s="8"/>
    </row>
    <row r="46" customFormat="1" spans="4:32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  <c r="AF46" s="8"/>
    </row>
    <row r="47" customFormat="1" spans="4:32">
      <c r="D47" s="3"/>
      <c r="E47" s="3"/>
      <c r="K47" s="4"/>
      <c r="L47" s="5"/>
      <c r="M47" s="4"/>
      <c r="X47" s="7"/>
      <c r="Y47" s="5"/>
      <c r="Z47" s="5"/>
      <c r="AA47" s="5"/>
      <c r="AB47" s="5"/>
      <c r="AC47" s="4"/>
      <c r="AF47" s="8"/>
    </row>
    <row r="48" customFormat="1" spans="4:32">
      <c r="D48" s="3"/>
      <c r="E48" s="3"/>
      <c r="K48" s="4"/>
      <c r="L48" s="5"/>
      <c r="M48" s="4"/>
      <c r="X48" s="7"/>
      <c r="Y48" s="5"/>
      <c r="Z48" s="5"/>
      <c r="AA48" s="5"/>
      <c r="AB48" s="5"/>
      <c r="AC48" s="4"/>
      <c r="AF48" s="8"/>
    </row>
    <row r="49" customFormat="1" spans="4:32">
      <c r="D49" s="3"/>
      <c r="E49" s="3"/>
      <c r="K49" s="4"/>
      <c r="L49" s="5"/>
      <c r="M49" s="4"/>
      <c r="X49" s="7"/>
      <c r="Y49" s="5"/>
      <c r="Z49" s="5"/>
      <c r="AA49" s="5"/>
      <c r="AB49" s="5"/>
      <c r="AC49" s="4"/>
      <c r="AF49" s="8"/>
    </row>
    <row r="50" customFormat="1" spans="4:32">
      <c r="D50" s="3"/>
      <c r="E50" s="3"/>
      <c r="K50" s="4"/>
      <c r="L50" s="5"/>
      <c r="M50" s="4"/>
      <c r="X50" s="7"/>
      <c r="Y50" s="5"/>
      <c r="Z50" s="5"/>
      <c r="AA50" s="5"/>
      <c r="AB50" s="5"/>
      <c r="AC50" s="4"/>
      <c r="AF50" s="8"/>
    </row>
    <row r="51" customFormat="1" spans="4:32">
      <c r="D51" s="3"/>
      <c r="E51" s="3"/>
      <c r="K51" s="4"/>
      <c r="L51" s="5"/>
      <c r="M51" s="4"/>
      <c r="X51" s="7"/>
      <c r="Y51" s="5"/>
      <c r="Z51" s="5"/>
      <c r="AA51" s="5"/>
      <c r="AB51" s="5"/>
      <c r="AC51" s="4"/>
      <c r="AF51" s="8"/>
    </row>
    <row r="52" customFormat="1" spans="4:32">
      <c r="D52" s="3"/>
      <c r="E52" s="3"/>
      <c r="K52" s="4"/>
      <c r="L52" s="5"/>
      <c r="M52" s="4"/>
      <c r="X52" s="7"/>
      <c r="Y52" s="5"/>
      <c r="Z52" s="5"/>
      <c r="AA52" s="5"/>
      <c r="AB52" s="5"/>
      <c r="AC52" s="4"/>
      <c r="AF52" s="8"/>
    </row>
    <row r="53" customFormat="1" spans="4:32">
      <c r="D53" s="3"/>
      <c r="E53" s="3"/>
      <c r="K53" s="4"/>
      <c r="L53" s="5"/>
      <c r="M53" s="4"/>
      <c r="X53" s="7"/>
      <c r="Y53" s="5"/>
      <c r="Z53" s="5"/>
      <c r="AA53" s="5"/>
      <c r="AB53" s="5"/>
      <c r="AC53" s="4"/>
      <c r="AF53" s="8"/>
    </row>
    <row r="54" customFormat="1" spans="4:32">
      <c r="D54" s="3"/>
      <c r="E54" s="3"/>
      <c r="K54" s="4"/>
      <c r="L54" s="5"/>
      <c r="M54" s="4"/>
      <c r="X54" s="7"/>
      <c r="Y54" s="5"/>
      <c r="Z54" s="5"/>
      <c r="AA54" s="5"/>
      <c r="AB54" s="5"/>
      <c r="AC54" s="4"/>
      <c r="AF54" s="8"/>
    </row>
    <row r="55" customFormat="1" spans="4:32">
      <c r="D55" s="3"/>
      <c r="E55" s="3"/>
      <c r="K55" s="4"/>
      <c r="L55" s="5"/>
      <c r="M55" s="4"/>
      <c r="X55" s="7"/>
      <c r="Y55" s="5"/>
      <c r="Z55" s="5"/>
      <c r="AA55" s="5"/>
      <c r="AB55" s="5"/>
      <c r="AC55" s="4"/>
      <c r="AF55" s="8"/>
    </row>
    <row r="56" customFormat="1" spans="4:32">
      <c r="D56" s="3"/>
      <c r="E56" s="3"/>
      <c r="K56" s="4"/>
      <c r="L56" s="5"/>
      <c r="M56" s="4"/>
      <c r="X56" s="7"/>
      <c r="Y56" s="5"/>
      <c r="Z56" s="5"/>
      <c r="AA56" s="5"/>
      <c r="AB56" s="5"/>
      <c r="AC56" s="4"/>
      <c r="AF56" s="8"/>
    </row>
    <row r="57" customFormat="1" spans="4:32">
      <c r="D57" s="3"/>
      <c r="E57" s="3"/>
      <c r="K57" s="4"/>
      <c r="L57" s="5"/>
      <c r="M57" s="4"/>
      <c r="X57" s="7"/>
      <c r="Y57" s="5"/>
      <c r="Z57" s="5"/>
      <c r="AA57" s="5"/>
      <c r="AB57" s="5"/>
      <c r="AC57" s="4"/>
      <c r="AF57" s="8"/>
    </row>
  </sheetData>
  <autoFilter xmlns:etc="http://www.wps.cn/officeDocument/2017/etCustomData" ref="A3:AF41" etc:filterBottomFollowUsedRange="0">
    <extLst/>
  </autoFilter>
  <mergeCells count="21">
    <mergeCell ref="A1:AF1"/>
    <mergeCell ref="J3:P3"/>
    <mergeCell ref="R3:V3"/>
    <mergeCell ref="Y3:AD3"/>
    <mergeCell ref="A3:A4"/>
    <mergeCell ref="A5:A40"/>
    <mergeCell ref="B3:B4"/>
    <mergeCell ref="B5:B40"/>
    <mergeCell ref="C3:C4"/>
    <mergeCell ref="D3:D4"/>
    <mergeCell ref="E3:E4"/>
    <mergeCell ref="F3:F4"/>
    <mergeCell ref="G3:G4"/>
    <mergeCell ref="H3:H4"/>
    <mergeCell ref="I3:I4"/>
    <mergeCell ref="Q3:Q4"/>
    <mergeCell ref="Q5:Q40"/>
    <mergeCell ref="R5:R40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J17" sqref="J17:P1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69.9989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6</v>
      </c>
      <c r="B5" s="45" t="s">
        <v>7</v>
      </c>
      <c r="C5" s="23">
        <v>241109000014</v>
      </c>
      <c r="D5" s="24">
        <v>45636</v>
      </c>
      <c r="E5" s="24" t="s">
        <v>81</v>
      </c>
      <c r="F5" s="45" t="s">
        <v>89</v>
      </c>
      <c r="G5" s="45" t="s">
        <v>90</v>
      </c>
      <c r="H5" s="87">
        <v>1.5052</v>
      </c>
      <c r="I5" s="87">
        <v>360</v>
      </c>
      <c r="J5" s="88">
        <v>3329.55</v>
      </c>
      <c r="K5" s="89"/>
      <c r="L5" s="93"/>
      <c r="M5" s="44"/>
      <c r="N5" s="90"/>
      <c r="O5" s="45"/>
      <c r="P5" s="92">
        <f>SUBTOTAL(9,J5)</f>
        <v>3329.55</v>
      </c>
      <c r="Q5" s="96">
        <f>SUM(P5:P17)</f>
        <v>166063.2330822</v>
      </c>
      <c r="R5" s="97" t="s">
        <v>91</v>
      </c>
      <c r="S5" s="47">
        <f>SUM(49568.5/68)*H5</f>
        <v>1097.21332647059</v>
      </c>
      <c r="T5" s="47"/>
      <c r="U5" s="47">
        <f>SUM(2100/68)*H5</f>
        <v>46.4841176470588</v>
      </c>
      <c r="V5" s="47"/>
      <c r="W5" s="47"/>
      <c r="X5" s="47">
        <f t="shared" ref="X5:X32" si="0">SUM(S5:W5)</f>
        <v>1143.69744411765</v>
      </c>
      <c r="Y5" s="102">
        <f>SUM(11623/68)*H5</f>
        <v>257.278523529412</v>
      </c>
      <c r="Z5" s="102"/>
      <c r="AA5" s="102">
        <f>SUM(55.62/68)*H5</f>
        <v>1.23116505882353</v>
      </c>
      <c r="AB5" s="102">
        <f t="shared" ref="AB5:AB32" si="1">SUM(Y5:AA5)</f>
        <v>258.509688588235</v>
      </c>
      <c r="AC5" s="89">
        <v>7.3</v>
      </c>
      <c r="AD5" s="47">
        <f t="shared" ref="AD5:AD32" si="2">SUM(AB5*AC5)</f>
        <v>1887.12072669412</v>
      </c>
      <c r="AE5" s="47">
        <f t="shared" ref="AE5:AE32" si="3">SUM(X5+AD5)</f>
        <v>3030.81817081177</v>
      </c>
      <c r="AF5" s="47">
        <f t="shared" ref="AF5:AF32" si="4">SUM(P5-AE5)</f>
        <v>298.73182918823</v>
      </c>
    </row>
    <row r="6" s="2" customFormat="1" spans="1:32">
      <c r="A6" s="86"/>
      <c r="B6" s="45"/>
      <c r="C6" s="23">
        <v>241127000004</v>
      </c>
      <c r="D6" s="24">
        <v>45636</v>
      </c>
      <c r="E6" s="24" t="s">
        <v>81</v>
      </c>
      <c r="F6" s="45" t="s">
        <v>89</v>
      </c>
      <c r="G6" s="45" t="s">
        <v>92</v>
      </c>
      <c r="H6" s="87">
        <v>2.3335</v>
      </c>
      <c r="I6" s="87">
        <v>2600</v>
      </c>
      <c r="J6" s="92"/>
      <c r="K6" s="103">
        <v>1863312</v>
      </c>
      <c r="L6" s="93"/>
      <c r="M6" s="44">
        <f t="shared" ref="M6:M8" si="5">SUM(K6/N6)</f>
        <v>1600</v>
      </c>
      <c r="N6" s="95">
        <v>1164.57</v>
      </c>
      <c r="O6" s="45">
        <v>7.28</v>
      </c>
      <c r="P6" s="92">
        <f t="shared" ref="P6:P8" si="6">SUM(N6*O6)</f>
        <v>8478.0696</v>
      </c>
      <c r="Q6" s="98"/>
      <c r="R6" s="98"/>
      <c r="S6" s="47">
        <f t="shared" ref="S6:S17" si="7">SUM(49568.5/68)*H6</f>
        <v>1701.00139338235</v>
      </c>
      <c r="T6" s="47"/>
      <c r="U6" s="47">
        <f t="shared" ref="U6:U17" si="8">SUM(2100/68)*H6</f>
        <v>72.0639705882353</v>
      </c>
      <c r="V6" s="47"/>
      <c r="W6" s="47"/>
      <c r="X6" s="47">
        <f t="shared" si="0"/>
        <v>1773.06536397059</v>
      </c>
      <c r="Y6" s="102">
        <f t="shared" ref="Y6:Y17" si="9">SUM(11623/68)*H6</f>
        <v>398.856919117647</v>
      </c>
      <c r="Z6" s="102"/>
      <c r="AA6" s="102">
        <f t="shared" ref="AA6:AA17" si="10">SUM(55.62/68)*H6</f>
        <v>1.90866573529412</v>
      </c>
      <c r="AB6" s="102">
        <f t="shared" si="1"/>
        <v>400.765584852941</v>
      </c>
      <c r="AC6" s="89">
        <v>7.3</v>
      </c>
      <c r="AD6" s="47">
        <f t="shared" si="2"/>
        <v>2925.58876942647</v>
      </c>
      <c r="AE6" s="47">
        <f t="shared" si="3"/>
        <v>4698.65413339706</v>
      </c>
      <c r="AF6" s="47">
        <f t="shared" si="4"/>
        <v>3779.41546660294</v>
      </c>
    </row>
    <row r="7" s="2" customFormat="1" spans="1:32">
      <c r="A7" s="86"/>
      <c r="B7" s="45"/>
      <c r="C7" s="23">
        <v>241128000012</v>
      </c>
      <c r="D7" s="24">
        <v>45636</v>
      </c>
      <c r="E7" s="24" t="s">
        <v>62</v>
      </c>
      <c r="F7" s="45" t="s">
        <v>63</v>
      </c>
      <c r="G7" s="45" t="s">
        <v>64</v>
      </c>
      <c r="H7" s="87">
        <v>0.196</v>
      </c>
      <c r="I7" s="87">
        <v>106</v>
      </c>
      <c r="J7" s="92"/>
      <c r="K7" s="103">
        <v>98784</v>
      </c>
      <c r="L7" s="93"/>
      <c r="M7" s="44">
        <f t="shared" si="5"/>
        <v>1679.99942857162</v>
      </c>
      <c r="N7" s="95">
        <v>58.80002</v>
      </c>
      <c r="O7" s="45">
        <v>7.3</v>
      </c>
      <c r="P7" s="92">
        <f t="shared" si="6"/>
        <v>429.240146</v>
      </c>
      <c r="Q7" s="98"/>
      <c r="R7" s="98"/>
      <c r="S7" s="47">
        <f t="shared" si="7"/>
        <v>142.873911764706</v>
      </c>
      <c r="T7" s="47"/>
      <c r="U7" s="47">
        <f t="shared" si="8"/>
        <v>6.05294117647059</v>
      </c>
      <c r="V7" s="47"/>
      <c r="W7" s="47"/>
      <c r="X7" s="47">
        <f t="shared" si="0"/>
        <v>148.926852941176</v>
      </c>
      <c r="Y7" s="102">
        <f t="shared" si="9"/>
        <v>33.5015882352941</v>
      </c>
      <c r="Z7" s="102"/>
      <c r="AA7" s="102">
        <f t="shared" si="10"/>
        <v>0.160316470588235</v>
      </c>
      <c r="AB7" s="102">
        <f t="shared" si="1"/>
        <v>33.6619047058824</v>
      </c>
      <c r="AC7" s="89">
        <v>7.3</v>
      </c>
      <c r="AD7" s="47">
        <f t="shared" si="2"/>
        <v>245.731904352941</v>
      </c>
      <c r="AE7" s="47">
        <f t="shared" si="3"/>
        <v>394.658757294118</v>
      </c>
      <c r="AF7" s="47">
        <f t="shared" si="4"/>
        <v>34.581388705882</v>
      </c>
    </row>
    <row r="8" s="2" customFormat="1" spans="1:32">
      <c r="A8" s="86"/>
      <c r="B8" s="45"/>
      <c r="C8" s="23">
        <v>241202000044</v>
      </c>
      <c r="D8" s="24">
        <v>45636</v>
      </c>
      <c r="E8" s="24" t="s">
        <v>68</v>
      </c>
      <c r="F8" s="45" t="s">
        <v>69</v>
      </c>
      <c r="G8" s="45" t="s">
        <v>87</v>
      </c>
      <c r="H8" s="87">
        <v>3.774</v>
      </c>
      <c r="I8" s="87">
        <v>1521</v>
      </c>
      <c r="J8" s="92"/>
      <c r="K8" s="103">
        <v>1698783.75</v>
      </c>
      <c r="L8" s="93"/>
      <c r="M8" s="44">
        <f t="shared" si="5"/>
        <v>1579.39697473973</v>
      </c>
      <c r="N8" s="95">
        <v>1075.5901</v>
      </c>
      <c r="O8" s="45">
        <v>7.27</v>
      </c>
      <c r="P8" s="92">
        <f t="shared" si="6"/>
        <v>7819.540027</v>
      </c>
      <c r="Q8" s="98"/>
      <c r="R8" s="98"/>
      <c r="S8" s="47">
        <f t="shared" si="7"/>
        <v>2751.05175</v>
      </c>
      <c r="T8" s="47"/>
      <c r="U8" s="47">
        <f t="shared" si="8"/>
        <v>116.55</v>
      </c>
      <c r="V8" s="47"/>
      <c r="W8" s="47"/>
      <c r="X8" s="47">
        <f t="shared" si="0"/>
        <v>2867.60175</v>
      </c>
      <c r="Y8" s="102">
        <f t="shared" si="9"/>
        <v>645.0765</v>
      </c>
      <c r="Z8" s="102"/>
      <c r="AA8" s="102">
        <f t="shared" si="10"/>
        <v>3.08691</v>
      </c>
      <c r="AB8" s="102">
        <f t="shared" si="1"/>
        <v>648.16341</v>
      </c>
      <c r="AC8" s="89">
        <v>7.3</v>
      </c>
      <c r="AD8" s="47">
        <f t="shared" si="2"/>
        <v>4731.592893</v>
      </c>
      <c r="AE8" s="47">
        <f t="shared" si="3"/>
        <v>7599.194643</v>
      </c>
      <c r="AF8" s="47">
        <f t="shared" si="4"/>
        <v>220.345384</v>
      </c>
    </row>
    <row r="9" s="2" customFormat="1" spans="1:32">
      <c r="A9" s="86"/>
      <c r="B9" s="45"/>
      <c r="C9" s="23">
        <v>241203000015</v>
      </c>
      <c r="D9" s="24">
        <v>45636</v>
      </c>
      <c r="E9" s="24" t="s">
        <v>62</v>
      </c>
      <c r="F9" s="45" t="s">
        <v>63</v>
      </c>
      <c r="G9" s="45" t="s">
        <v>71</v>
      </c>
      <c r="H9" s="87">
        <v>7.8671</v>
      </c>
      <c r="I9" s="87">
        <v>16682</v>
      </c>
      <c r="J9" s="104">
        <v>33835.5</v>
      </c>
      <c r="K9" s="89"/>
      <c r="L9" s="93"/>
      <c r="M9" s="44"/>
      <c r="N9" s="45"/>
      <c r="O9" s="45"/>
      <c r="P9" s="92">
        <f>SUM(J9)</f>
        <v>33835.5</v>
      </c>
      <c r="Q9" s="98"/>
      <c r="R9" s="98"/>
      <c r="S9" s="47">
        <f t="shared" si="7"/>
        <v>5734.71097573529</v>
      </c>
      <c r="T9" s="47"/>
      <c r="U9" s="47">
        <f t="shared" si="8"/>
        <v>242.954558823529</v>
      </c>
      <c r="V9" s="47"/>
      <c r="W9" s="47"/>
      <c r="X9" s="47">
        <f t="shared" si="0"/>
        <v>5977.66553455882</v>
      </c>
      <c r="Y9" s="102">
        <f t="shared" si="9"/>
        <v>1344.69563676471</v>
      </c>
      <c r="Z9" s="102"/>
      <c r="AA9" s="102">
        <f t="shared" si="10"/>
        <v>6.43482502941176</v>
      </c>
      <c r="AB9" s="102">
        <f t="shared" si="1"/>
        <v>1351.13046179412</v>
      </c>
      <c r="AC9" s="89">
        <v>7.3</v>
      </c>
      <c r="AD9" s="47">
        <f t="shared" si="2"/>
        <v>9863.25237109706</v>
      </c>
      <c r="AE9" s="47">
        <f t="shared" si="3"/>
        <v>15840.9179056559</v>
      </c>
      <c r="AF9" s="47">
        <f t="shared" si="4"/>
        <v>17994.5820943441</v>
      </c>
    </row>
    <row r="10" s="2" customFormat="1" spans="1:32">
      <c r="A10" s="86"/>
      <c r="B10" s="45"/>
      <c r="C10" s="23">
        <v>241204000049</v>
      </c>
      <c r="D10" s="24">
        <v>45636</v>
      </c>
      <c r="E10" s="24" t="s">
        <v>59</v>
      </c>
      <c r="F10" s="45" t="s">
        <v>60</v>
      </c>
      <c r="G10" s="45" t="s">
        <v>61</v>
      </c>
      <c r="H10" s="87">
        <v>14.985</v>
      </c>
      <c r="I10" s="87">
        <v>2696</v>
      </c>
      <c r="J10" s="92"/>
      <c r="K10" s="103">
        <v>6707917.9</v>
      </c>
      <c r="L10" s="93"/>
      <c r="M10" s="44">
        <f t="shared" ref="M10:M12" si="11">SUM(K10/N10)</f>
        <v>1582.87741280853</v>
      </c>
      <c r="N10" s="95">
        <v>4237.8</v>
      </c>
      <c r="O10" s="45">
        <v>7.18</v>
      </c>
      <c r="P10" s="92">
        <f t="shared" ref="P10:P12" si="12">SUM(N10*O10)</f>
        <v>30427.404</v>
      </c>
      <c r="Q10" s="98"/>
      <c r="R10" s="98"/>
      <c r="S10" s="47">
        <f t="shared" si="7"/>
        <v>10923.2937132353</v>
      </c>
      <c r="T10" s="47"/>
      <c r="U10" s="47">
        <f t="shared" si="8"/>
        <v>462.772058823529</v>
      </c>
      <c r="V10" s="47"/>
      <c r="W10" s="47"/>
      <c r="X10" s="47">
        <f t="shared" si="0"/>
        <v>11386.0657720588</v>
      </c>
      <c r="Y10" s="102">
        <f t="shared" si="9"/>
        <v>2561.33316176471</v>
      </c>
      <c r="Z10" s="102"/>
      <c r="AA10" s="102">
        <f t="shared" si="10"/>
        <v>12.2568485294118</v>
      </c>
      <c r="AB10" s="102">
        <f t="shared" si="1"/>
        <v>2573.59001029412</v>
      </c>
      <c r="AC10" s="89">
        <v>7.3</v>
      </c>
      <c r="AD10" s="47">
        <f t="shared" si="2"/>
        <v>18787.2070751471</v>
      </c>
      <c r="AE10" s="47">
        <f t="shared" si="3"/>
        <v>30173.2728472059</v>
      </c>
      <c r="AF10" s="47">
        <f t="shared" si="4"/>
        <v>254.1311527941</v>
      </c>
    </row>
    <row r="11" s="2" customFormat="1" spans="1:32">
      <c r="A11" s="86"/>
      <c r="B11" s="45"/>
      <c r="C11" s="23">
        <v>241204000051</v>
      </c>
      <c r="D11" s="24">
        <v>45636</v>
      </c>
      <c r="E11" s="24" t="s">
        <v>59</v>
      </c>
      <c r="F11" s="45" t="s">
        <v>60</v>
      </c>
      <c r="G11" s="45" t="s">
        <v>61</v>
      </c>
      <c r="H11" s="87">
        <v>2.1818</v>
      </c>
      <c r="I11" s="87">
        <v>358</v>
      </c>
      <c r="J11" s="92"/>
      <c r="K11" s="103">
        <v>966443.8</v>
      </c>
      <c r="L11" s="93"/>
      <c r="M11" s="44">
        <f t="shared" si="11"/>
        <v>1582</v>
      </c>
      <c r="N11" s="95">
        <v>610.9</v>
      </c>
      <c r="O11" s="45">
        <v>7.18</v>
      </c>
      <c r="P11" s="92">
        <f t="shared" si="12"/>
        <v>4386.262</v>
      </c>
      <c r="Q11" s="98"/>
      <c r="R11" s="98"/>
      <c r="S11" s="47">
        <f t="shared" si="7"/>
        <v>1590.41990147059</v>
      </c>
      <c r="T11" s="47"/>
      <c r="U11" s="47">
        <f t="shared" si="8"/>
        <v>67.3791176470588</v>
      </c>
      <c r="V11" s="47"/>
      <c r="W11" s="47"/>
      <c r="X11" s="47">
        <f t="shared" si="0"/>
        <v>1657.79901911765</v>
      </c>
      <c r="Y11" s="102">
        <f t="shared" si="9"/>
        <v>372.927373529412</v>
      </c>
      <c r="Z11" s="102"/>
      <c r="AA11" s="102">
        <f t="shared" si="10"/>
        <v>1.78458405882353</v>
      </c>
      <c r="AB11" s="102">
        <f t="shared" si="1"/>
        <v>374.711957588235</v>
      </c>
      <c r="AC11" s="89">
        <v>7.3</v>
      </c>
      <c r="AD11" s="47">
        <f t="shared" si="2"/>
        <v>2735.39729039412</v>
      </c>
      <c r="AE11" s="47">
        <f t="shared" si="3"/>
        <v>4393.19630951177</v>
      </c>
      <c r="AF11" s="47">
        <f t="shared" si="4"/>
        <v>-6.93430951177015</v>
      </c>
    </row>
    <row r="12" s="2" customFormat="1" spans="1:32">
      <c r="A12" s="86"/>
      <c r="B12" s="45"/>
      <c r="C12" s="23">
        <v>241205000007</v>
      </c>
      <c r="D12" s="24">
        <v>45636</v>
      </c>
      <c r="E12" s="24" t="s">
        <v>68</v>
      </c>
      <c r="F12" s="45" t="s">
        <v>69</v>
      </c>
      <c r="G12" s="45" t="s">
        <v>87</v>
      </c>
      <c r="H12" s="87">
        <v>1.2288</v>
      </c>
      <c r="I12" s="87">
        <v>508</v>
      </c>
      <c r="J12" s="92"/>
      <c r="K12" s="103">
        <v>552776.25</v>
      </c>
      <c r="L12" s="93"/>
      <c r="M12" s="44">
        <f t="shared" si="11"/>
        <v>1578.41384636805</v>
      </c>
      <c r="N12" s="95">
        <v>350.20996</v>
      </c>
      <c r="O12" s="45">
        <v>7.27</v>
      </c>
      <c r="P12" s="92">
        <f t="shared" si="12"/>
        <v>2546.0264092</v>
      </c>
      <c r="Q12" s="98"/>
      <c r="R12" s="98"/>
      <c r="S12" s="47">
        <f t="shared" si="7"/>
        <v>895.731952941176</v>
      </c>
      <c r="T12" s="47"/>
      <c r="U12" s="47">
        <f t="shared" si="8"/>
        <v>37.9482352941176</v>
      </c>
      <c r="V12" s="47"/>
      <c r="W12" s="47"/>
      <c r="X12" s="47">
        <f t="shared" si="0"/>
        <v>933.680188235294</v>
      </c>
      <c r="Y12" s="102">
        <f t="shared" si="9"/>
        <v>210.034447058824</v>
      </c>
      <c r="Z12" s="102"/>
      <c r="AA12" s="102">
        <f t="shared" si="10"/>
        <v>1.00508611764706</v>
      </c>
      <c r="AB12" s="102">
        <f t="shared" si="1"/>
        <v>211.039533176471</v>
      </c>
      <c r="AC12" s="89">
        <v>7.3</v>
      </c>
      <c r="AD12" s="47">
        <f t="shared" si="2"/>
        <v>1540.58859218824</v>
      </c>
      <c r="AE12" s="47">
        <f t="shared" si="3"/>
        <v>2474.26878042353</v>
      </c>
      <c r="AF12" s="47">
        <f t="shared" si="4"/>
        <v>71.75762877647</v>
      </c>
    </row>
    <row r="13" s="2" customFormat="1" spans="1:32">
      <c r="A13" s="86"/>
      <c r="B13" s="45"/>
      <c r="C13" s="23">
        <v>241206000037</v>
      </c>
      <c r="D13" s="24">
        <v>45636</v>
      </c>
      <c r="E13" s="24" t="s">
        <v>65</v>
      </c>
      <c r="F13" s="45" t="s">
        <v>65</v>
      </c>
      <c r="G13" s="45" t="s">
        <v>66</v>
      </c>
      <c r="H13" s="87">
        <v>0.6414</v>
      </c>
      <c r="I13" s="87">
        <v>108</v>
      </c>
      <c r="J13" s="88">
        <v>2673</v>
      </c>
      <c r="K13" s="89"/>
      <c r="L13" s="93"/>
      <c r="M13" s="44"/>
      <c r="N13" s="90"/>
      <c r="O13" s="45"/>
      <c r="P13" s="92">
        <f t="shared" ref="P13:P15" si="13">SUBTOTAL(9,J13)</f>
        <v>2673</v>
      </c>
      <c r="Q13" s="98"/>
      <c r="R13" s="98"/>
      <c r="S13" s="47">
        <f t="shared" si="7"/>
        <v>467.547586764706</v>
      </c>
      <c r="T13" s="47"/>
      <c r="U13" s="47">
        <f t="shared" si="8"/>
        <v>19.8079411764706</v>
      </c>
      <c r="V13" s="99">
        <v>300</v>
      </c>
      <c r="W13" s="47"/>
      <c r="X13" s="47">
        <f t="shared" si="0"/>
        <v>787.355527941176</v>
      </c>
      <c r="Y13" s="102">
        <f t="shared" si="9"/>
        <v>109.632238235294</v>
      </c>
      <c r="Z13" s="102"/>
      <c r="AA13" s="102">
        <f t="shared" si="10"/>
        <v>0.524627470588235</v>
      </c>
      <c r="AB13" s="102">
        <f t="shared" si="1"/>
        <v>110.156865705882</v>
      </c>
      <c r="AC13" s="89">
        <v>7.3</v>
      </c>
      <c r="AD13" s="47">
        <f t="shared" si="2"/>
        <v>804.145119652941</v>
      </c>
      <c r="AE13" s="47">
        <f t="shared" si="3"/>
        <v>1591.50064759412</v>
      </c>
      <c r="AF13" s="47">
        <f t="shared" si="4"/>
        <v>1081.49935240588</v>
      </c>
    </row>
    <row r="14" s="2" customFormat="1" spans="1:32">
      <c r="A14" s="86"/>
      <c r="B14" s="45"/>
      <c r="C14" s="23">
        <v>241206000040</v>
      </c>
      <c r="D14" s="24">
        <v>45636</v>
      </c>
      <c r="E14" s="24" t="s">
        <v>65</v>
      </c>
      <c r="F14" s="45" t="s">
        <v>65</v>
      </c>
      <c r="G14" s="45" t="s">
        <v>66</v>
      </c>
      <c r="H14" s="87">
        <v>0.7876</v>
      </c>
      <c r="I14" s="87">
        <v>213</v>
      </c>
      <c r="J14" s="88">
        <v>2732</v>
      </c>
      <c r="K14" s="89"/>
      <c r="L14" s="93"/>
      <c r="M14" s="44"/>
      <c r="N14" s="90"/>
      <c r="O14" s="45"/>
      <c r="P14" s="92">
        <f t="shared" si="13"/>
        <v>2732</v>
      </c>
      <c r="Q14" s="98"/>
      <c r="R14" s="98"/>
      <c r="S14" s="47">
        <f t="shared" si="7"/>
        <v>574.119861764706</v>
      </c>
      <c r="T14" s="47"/>
      <c r="U14" s="47">
        <f t="shared" si="8"/>
        <v>24.3229411764706</v>
      </c>
      <c r="V14" s="99">
        <v>300</v>
      </c>
      <c r="W14" s="47"/>
      <c r="X14" s="47">
        <f t="shared" si="0"/>
        <v>898.442802941177</v>
      </c>
      <c r="Y14" s="102">
        <f t="shared" si="9"/>
        <v>134.621688235294</v>
      </c>
      <c r="Z14" s="102"/>
      <c r="AA14" s="102">
        <f t="shared" si="10"/>
        <v>0.644210470588235</v>
      </c>
      <c r="AB14" s="102">
        <f t="shared" si="1"/>
        <v>135.265898705882</v>
      </c>
      <c r="AC14" s="89">
        <v>7.3</v>
      </c>
      <c r="AD14" s="47">
        <f t="shared" si="2"/>
        <v>987.441060552941</v>
      </c>
      <c r="AE14" s="47">
        <f t="shared" si="3"/>
        <v>1885.88386349412</v>
      </c>
      <c r="AF14" s="47">
        <f t="shared" si="4"/>
        <v>846.11613650588</v>
      </c>
    </row>
    <row r="15" s="2" customFormat="1" spans="1:32">
      <c r="A15" s="86"/>
      <c r="B15" s="45"/>
      <c r="C15" s="23">
        <v>241216000026</v>
      </c>
      <c r="D15" s="24">
        <v>45638</v>
      </c>
      <c r="E15" s="24" t="s">
        <v>77</v>
      </c>
      <c r="F15" s="45" t="s">
        <v>78</v>
      </c>
      <c r="G15" s="45" t="s">
        <v>93</v>
      </c>
      <c r="H15" s="87">
        <v>12.7436</v>
      </c>
      <c r="I15" s="87">
        <v>1324.23</v>
      </c>
      <c r="J15" s="88">
        <v>22939.2</v>
      </c>
      <c r="K15" s="107"/>
      <c r="L15" s="93"/>
      <c r="M15" s="44"/>
      <c r="N15" s="90"/>
      <c r="O15" s="45"/>
      <c r="P15" s="92">
        <f t="shared" si="13"/>
        <v>22939.2</v>
      </c>
      <c r="Q15" s="98"/>
      <c r="R15" s="98"/>
      <c r="S15" s="47">
        <f t="shared" si="7"/>
        <v>9289.42847941177</v>
      </c>
      <c r="T15" s="47"/>
      <c r="U15" s="47">
        <f t="shared" si="8"/>
        <v>393.552352941176</v>
      </c>
      <c r="V15" s="47"/>
      <c r="W15" s="47"/>
      <c r="X15" s="47">
        <f t="shared" si="0"/>
        <v>9682.98083235294</v>
      </c>
      <c r="Y15" s="102">
        <f t="shared" si="9"/>
        <v>2178.21857058824</v>
      </c>
      <c r="Z15" s="102"/>
      <c r="AA15" s="102">
        <f t="shared" si="10"/>
        <v>10.4235151764706</v>
      </c>
      <c r="AB15" s="102">
        <f t="shared" si="1"/>
        <v>2188.64208576471</v>
      </c>
      <c r="AC15" s="89">
        <v>7.3</v>
      </c>
      <c r="AD15" s="47">
        <f t="shared" si="2"/>
        <v>15977.0872260824</v>
      </c>
      <c r="AE15" s="47">
        <f t="shared" si="3"/>
        <v>25660.0680584353</v>
      </c>
      <c r="AF15" s="47">
        <f t="shared" si="4"/>
        <v>-2720.8680584353</v>
      </c>
    </row>
    <row r="16" s="2" customFormat="1" spans="1:32">
      <c r="A16" s="86"/>
      <c r="B16" s="45"/>
      <c r="C16" s="23">
        <v>241208000009</v>
      </c>
      <c r="D16" s="24">
        <v>45636</v>
      </c>
      <c r="E16" s="24" t="s">
        <v>55</v>
      </c>
      <c r="F16" s="45" t="s">
        <v>94</v>
      </c>
      <c r="G16" s="45" t="s">
        <v>95</v>
      </c>
      <c r="H16" s="87">
        <v>4.1388</v>
      </c>
      <c r="I16" s="87">
        <v>540</v>
      </c>
      <c r="J16" s="92"/>
      <c r="K16" s="103">
        <v>2050281</v>
      </c>
      <c r="L16" s="93"/>
      <c r="M16" s="44">
        <f>SUM(K16/N16)</f>
        <v>1597.9992673593</v>
      </c>
      <c r="N16" s="95">
        <v>1283.03</v>
      </c>
      <c r="O16" s="45">
        <v>7.27</v>
      </c>
      <c r="P16" s="92">
        <f>SUM(N16*O16)</f>
        <v>9327.6281</v>
      </c>
      <c r="Q16" s="98"/>
      <c r="R16" s="98"/>
      <c r="S16" s="47">
        <f t="shared" si="7"/>
        <v>3016.97217352941</v>
      </c>
      <c r="T16" s="47"/>
      <c r="U16" s="47">
        <f t="shared" si="8"/>
        <v>127.815882352941</v>
      </c>
      <c r="V16" s="47"/>
      <c r="W16" s="47"/>
      <c r="X16" s="47">
        <f t="shared" si="0"/>
        <v>3144.78805588235</v>
      </c>
      <c r="Y16" s="102">
        <f t="shared" si="9"/>
        <v>707.430476470588</v>
      </c>
      <c r="Z16" s="102"/>
      <c r="AA16" s="102">
        <f t="shared" si="10"/>
        <v>3.38529494117647</v>
      </c>
      <c r="AB16" s="102">
        <f t="shared" si="1"/>
        <v>710.815771411765</v>
      </c>
      <c r="AC16" s="89">
        <v>7.3</v>
      </c>
      <c r="AD16" s="47">
        <f t="shared" si="2"/>
        <v>5188.95513130588</v>
      </c>
      <c r="AE16" s="47">
        <f t="shared" si="3"/>
        <v>8333.74318718823</v>
      </c>
      <c r="AF16" s="47">
        <f t="shared" si="4"/>
        <v>993.884912811769</v>
      </c>
    </row>
    <row r="17" s="2" customFormat="1" spans="1:32">
      <c r="A17" s="86"/>
      <c r="B17" s="45"/>
      <c r="C17" s="23">
        <v>241210000005</v>
      </c>
      <c r="D17" s="24">
        <v>45636</v>
      </c>
      <c r="E17" s="24" t="s">
        <v>59</v>
      </c>
      <c r="F17" s="45" t="s">
        <v>60</v>
      </c>
      <c r="G17" s="45" t="s">
        <v>96</v>
      </c>
      <c r="H17" s="87">
        <v>17.6161</v>
      </c>
      <c r="I17" s="87">
        <v>1662</v>
      </c>
      <c r="J17" s="92"/>
      <c r="K17" s="103">
        <v>7918392</v>
      </c>
      <c r="L17" s="93"/>
      <c r="M17" s="44">
        <f>SUM(K17/N17)</f>
        <v>1550</v>
      </c>
      <c r="N17" s="95">
        <v>5108.64</v>
      </c>
      <c r="O17" s="45">
        <v>7.27</v>
      </c>
      <c r="P17" s="92">
        <f>SUM(N17*O17)</f>
        <v>37139.8128</v>
      </c>
      <c r="Q17" s="100"/>
      <c r="R17" s="100"/>
      <c r="S17" s="47">
        <f t="shared" si="7"/>
        <v>12841.2301889706</v>
      </c>
      <c r="T17" s="47"/>
      <c r="U17" s="47">
        <f t="shared" si="8"/>
        <v>544.026617647059</v>
      </c>
      <c r="V17" s="99">
        <v>200</v>
      </c>
      <c r="W17" s="47"/>
      <c r="X17" s="47">
        <f t="shared" si="0"/>
        <v>13585.2568066176</v>
      </c>
      <c r="Y17" s="102">
        <f t="shared" si="9"/>
        <v>3011.05779852941</v>
      </c>
      <c r="Z17" s="102"/>
      <c r="AA17" s="102">
        <f t="shared" si="10"/>
        <v>14.4089335588235</v>
      </c>
      <c r="AB17" s="102">
        <f t="shared" si="1"/>
        <v>3025.46673208824</v>
      </c>
      <c r="AC17" s="89">
        <v>7.3</v>
      </c>
      <c r="AD17" s="47">
        <f t="shared" si="2"/>
        <v>22085.9071442441</v>
      </c>
      <c r="AE17" s="47">
        <f t="shared" si="3"/>
        <v>35671.1639508618</v>
      </c>
      <c r="AF17" s="47">
        <f t="shared" si="4"/>
        <v>1468.6488491382</v>
      </c>
    </row>
    <row r="18" ht="15.75" spans="1:32">
      <c r="A18" s="26" t="s">
        <v>22</v>
      </c>
      <c r="B18" s="27"/>
      <c r="C18" s="27"/>
      <c r="D18" s="27"/>
      <c r="E18" s="27"/>
      <c r="F18" s="27"/>
      <c r="G18" s="27"/>
      <c r="H18" s="27"/>
      <c r="I18" s="48"/>
      <c r="J18" s="27">
        <f>SUM(J4:J4)</f>
        <v>0</v>
      </c>
      <c r="K18" s="49"/>
      <c r="L18" s="50"/>
      <c r="M18" s="49"/>
      <c r="N18" s="49">
        <f t="shared" ref="N18:Q18" si="14">SUM(N4:N4)</f>
        <v>0</v>
      </c>
      <c r="O18" s="27"/>
      <c r="P18" s="27">
        <f t="shared" si="14"/>
        <v>0</v>
      </c>
      <c r="Q18" s="27">
        <f t="shared" si="14"/>
        <v>0</v>
      </c>
      <c r="R18" s="27"/>
      <c r="S18" s="27"/>
      <c r="T18" s="27"/>
      <c r="U18" s="27"/>
      <c r="V18" s="27"/>
      <c r="W18" s="27"/>
      <c r="X18" s="71">
        <f>SUM(X4:X4)</f>
        <v>0</v>
      </c>
      <c r="Y18" s="50"/>
      <c r="Z18" s="50"/>
      <c r="AA18" s="50"/>
      <c r="AB18" s="50"/>
      <c r="AC18" s="49"/>
      <c r="AD18" s="27">
        <f>SUM(AD4:AD4)</f>
        <v>0</v>
      </c>
      <c r="AE18" s="27"/>
      <c r="AF18" s="85">
        <f>SUM(AF4:AF17)</f>
        <v>24315.8918273264</v>
      </c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</sheetData>
  <autoFilter xmlns:etc="http://www.wps.cn/officeDocument/2017/etCustomData" ref="A3:AF18" etc:filterBottomFollowUsedRange="0">
    <extLst/>
  </autoFilter>
  <mergeCells count="21">
    <mergeCell ref="A1:AF1"/>
    <mergeCell ref="J3:P3"/>
    <mergeCell ref="R3:V3"/>
    <mergeCell ref="Y3:AD3"/>
    <mergeCell ref="A3:A4"/>
    <mergeCell ref="A5:A17"/>
    <mergeCell ref="B3:B4"/>
    <mergeCell ref="B5:B17"/>
    <mergeCell ref="C3:C4"/>
    <mergeCell ref="D3:D4"/>
    <mergeCell ref="E3:E4"/>
    <mergeCell ref="F3:F4"/>
    <mergeCell ref="G3:G4"/>
    <mergeCell ref="H3:H4"/>
    <mergeCell ref="I3:I4"/>
    <mergeCell ref="Q3:Q4"/>
    <mergeCell ref="Q5:Q17"/>
    <mergeCell ref="R5:R17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zoomScale="110" zoomScaleNormal="110" workbookViewId="0">
      <pane xSplit="8" ySplit="1" topLeftCell="Q2" activePane="bottomRight" state="frozen"/>
      <selection/>
      <selection pane="topRight"/>
      <selection pane="bottomLeft"/>
      <selection pane="bottomRight" activeCell="AA5" sqref="AA5:AA1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72.8326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8</v>
      </c>
      <c r="B5" s="45" t="s">
        <v>9</v>
      </c>
      <c r="C5" s="23">
        <v>241122000025</v>
      </c>
      <c r="D5" s="24">
        <v>45636</v>
      </c>
      <c r="E5" s="24" t="s">
        <v>81</v>
      </c>
      <c r="F5" s="45" t="s">
        <v>89</v>
      </c>
      <c r="G5" s="45" t="s">
        <v>97</v>
      </c>
      <c r="H5" s="87">
        <v>3.6276</v>
      </c>
      <c r="I5" s="87">
        <v>1507</v>
      </c>
      <c r="J5" s="92"/>
      <c r="K5" s="103">
        <v>2696680</v>
      </c>
      <c r="L5" s="93"/>
      <c r="M5" s="44">
        <f>SUM(K5/N5)</f>
        <v>1630.00483558994</v>
      </c>
      <c r="N5" s="95">
        <v>1654.4</v>
      </c>
      <c r="O5" s="45">
        <v>7.27</v>
      </c>
      <c r="P5" s="92">
        <f>SUM(N5*O5)</f>
        <v>12027.488</v>
      </c>
      <c r="Q5" s="96">
        <f>SUM(P5:P12)</f>
        <v>148560.866</v>
      </c>
      <c r="R5" s="97" t="s">
        <v>98</v>
      </c>
      <c r="S5" s="47">
        <f>SUM(48851.5/68)*H5</f>
        <v>2606.08384411765</v>
      </c>
      <c r="T5" s="47"/>
      <c r="U5" s="47">
        <f>SUM(1000/68)*H5</f>
        <v>53.3470588235294</v>
      </c>
      <c r="V5" s="47"/>
      <c r="W5" s="47"/>
      <c r="X5" s="47">
        <f t="shared" ref="X5:X19" si="0">SUM(S5:W5)</f>
        <v>2659.43090294118</v>
      </c>
      <c r="Y5" s="102">
        <f>SUM(11570.25/68)*H5</f>
        <v>617.238807352941</v>
      </c>
      <c r="Z5" s="101">
        <v>315.51</v>
      </c>
      <c r="AA5" s="102">
        <f>SUM(140.12/68)*H5</f>
        <v>7.47498988235294</v>
      </c>
      <c r="AB5" s="102">
        <f t="shared" ref="AB5:AB19" si="1">SUM(Y5:AA5)</f>
        <v>940.223797235294</v>
      </c>
      <c r="AC5" s="89">
        <v>7.25</v>
      </c>
      <c r="AD5" s="47">
        <f t="shared" ref="AD5:AD19" si="2">SUM(AB5*AC5)</f>
        <v>6816.62252995588</v>
      </c>
      <c r="AE5" s="47">
        <f t="shared" ref="AE5:AE19" si="3">SUM(X5+AD5)</f>
        <v>9476.05343289706</v>
      </c>
      <c r="AF5" s="47">
        <f t="shared" ref="AF5:AF19" si="4">SUM(P5-AE5)</f>
        <v>2551.43456710294</v>
      </c>
    </row>
    <row r="6" s="2" customFormat="1" spans="1:32">
      <c r="A6" s="86"/>
      <c r="B6" s="45"/>
      <c r="C6" s="23">
        <v>241202000029</v>
      </c>
      <c r="D6" s="24">
        <v>45636</v>
      </c>
      <c r="E6" s="24" t="s">
        <v>81</v>
      </c>
      <c r="F6" s="45" t="s">
        <v>89</v>
      </c>
      <c r="G6" s="45" t="s">
        <v>99</v>
      </c>
      <c r="H6" s="87">
        <v>8.2313</v>
      </c>
      <c r="I6" s="87">
        <v>1683</v>
      </c>
      <c r="J6" s="92"/>
      <c r="K6" s="103">
        <v>4862127</v>
      </c>
      <c r="L6" s="93"/>
      <c r="M6" s="44">
        <f>SUM(K6/N6)</f>
        <v>1630</v>
      </c>
      <c r="N6" s="95">
        <v>2982.9</v>
      </c>
      <c r="O6" s="45">
        <v>7.28</v>
      </c>
      <c r="P6" s="92">
        <f>SUM(N6*O6)</f>
        <v>21715.512</v>
      </c>
      <c r="Q6" s="98"/>
      <c r="R6" s="98"/>
      <c r="S6" s="47">
        <f t="shared" ref="S6:S12" si="5">SUM(48851.5/68)*H6</f>
        <v>5913.40223455882</v>
      </c>
      <c r="T6" s="47"/>
      <c r="U6" s="47">
        <f t="shared" ref="U6:U12" si="6">SUM(1000/68)*H6</f>
        <v>121.048529411765</v>
      </c>
      <c r="V6" s="47"/>
      <c r="W6" s="47"/>
      <c r="X6" s="47">
        <f t="shared" si="0"/>
        <v>6034.45076397059</v>
      </c>
      <c r="Y6" s="102">
        <f t="shared" ref="Y6:Y12" si="7">SUM(11570.25/68)*H6</f>
        <v>1400.56174742647</v>
      </c>
      <c r="Z6" s="101">
        <v>715.9</v>
      </c>
      <c r="AA6" s="102">
        <f t="shared" ref="AA6:AA12" si="8">SUM(140.12/68)*H6</f>
        <v>16.9613199411765</v>
      </c>
      <c r="AB6" s="102">
        <f t="shared" si="1"/>
        <v>2133.42306736765</v>
      </c>
      <c r="AC6" s="89">
        <v>7.25</v>
      </c>
      <c r="AD6" s="47">
        <f t="shared" si="2"/>
        <v>15467.3172384154</v>
      </c>
      <c r="AE6" s="47">
        <f t="shared" si="3"/>
        <v>21501.768002386</v>
      </c>
      <c r="AF6" s="47">
        <f t="shared" si="4"/>
        <v>213.743997613972</v>
      </c>
    </row>
    <row r="7" s="2" customFormat="1" spans="1:32">
      <c r="A7" s="86"/>
      <c r="B7" s="45"/>
      <c r="C7" s="23">
        <v>241203000014</v>
      </c>
      <c r="D7" s="24">
        <v>45636</v>
      </c>
      <c r="E7" s="24" t="s">
        <v>62</v>
      </c>
      <c r="F7" s="45" t="s">
        <v>63</v>
      </c>
      <c r="G7" s="45" t="s">
        <v>71</v>
      </c>
      <c r="H7" s="87">
        <v>13.3392</v>
      </c>
      <c r="I7" s="87">
        <v>17441</v>
      </c>
      <c r="J7" s="104">
        <v>35368.5</v>
      </c>
      <c r="K7" s="89"/>
      <c r="L7" s="93"/>
      <c r="M7" s="44"/>
      <c r="N7" s="45"/>
      <c r="O7" s="45"/>
      <c r="P7" s="92">
        <f>SUM(J7)</f>
        <v>35368.5</v>
      </c>
      <c r="Q7" s="98"/>
      <c r="R7" s="98"/>
      <c r="S7" s="47">
        <f t="shared" si="5"/>
        <v>9582.94012941177</v>
      </c>
      <c r="T7" s="47"/>
      <c r="U7" s="47">
        <f t="shared" si="6"/>
        <v>196.164705882353</v>
      </c>
      <c r="V7" s="47"/>
      <c r="W7" s="47"/>
      <c r="X7" s="47">
        <f t="shared" si="0"/>
        <v>9779.10483529412</v>
      </c>
      <c r="Y7" s="102">
        <f t="shared" si="7"/>
        <v>2269.67468823529</v>
      </c>
      <c r="Z7" s="102"/>
      <c r="AA7" s="102">
        <f t="shared" si="8"/>
        <v>27.4865985882353</v>
      </c>
      <c r="AB7" s="102">
        <f t="shared" si="1"/>
        <v>2297.16128682353</v>
      </c>
      <c r="AC7" s="89">
        <v>7.25</v>
      </c>
      <c r="AD7" s="47">
        <f t="shared" si="2"/>
        <v>16654.4193294706</v>
      </c>
      <c r="AE7" s="47">
        <f t="shared" si="3"/>
        <v>26433.5241647647</v>
      </c>
      <c r="AF7" s="47">
        <f t="shared" si="4"/>
        <v>8934.97583523529</v>
      </c>
    </row>
    <row r="8" s="2" customFormat="1" spans="1:32">
      <c r="A8" s="86"/>
      <c r="B8" s="45"/>
      <c r="C8" s="23">
        <v>241204000017</v>
      </c>
      <c r="D8" s="24">
        <v>45636</v>
      </c>
      <c r="E8" s="24" t="s">
        <v>81</v>
      </c>
      <c r="F8" s="45" t="s">
        <v>89</v>
      </c>
      <c r="G8" s="45" t="s">
        <v>100</v>
      </c>
      <c r="H8" s="87">
        <v>0.5672</v>
      </c>
      <c r="I8" s="87">
        <v>104</v>
      </c>
      <c r="J8" s="92"/>
      <c r="K8" s="103">
        <v>270180</v>
      </c>
      <c r="L8" s="93"/>
      <c r="M8" s="44">
        <f>SUM(K8/N8)</f>
        <v>1580</v>
      </c>
      <c r="N8" s="95">
        <v>171</v>
      </c>
      <c r="O8" s="45">
        <v>7.29</v>
      </c>
      <c r="P8" s="92">
        <f>SUM(N8*O8)</f>
        <v>1246.59</v>
      </c>
      <c r="Q8" s="98"/>
      <c r="R8" s="98"/>
      <c r="S8" s="47">
        <f t="shared" si="5"/>
        <v>407.478982352941</v>
      </c>
      <c r="T8" s="47"/>
      <c r="U8" s="47">
        <f t="shared" si="6"/>
        <v>8.34117647058824</v>
      </c>
      <c r="V8" s="47"/>
      <c r="W8" s="47"/>
      <c r="X8" s="47">
        <f t="shared" si="0"/>
        <v>415.820158823529</v>
      </c>
      <c r="Y8" s="102">
        <f t="shared" si="7"/>
        <v>96.5094970588235</v>
      </c>
      <c r="Z8" s="101">
        <v>49.33</v>
      </c>
      <c r="AA8" s="102">
        <f t="shared" si="8"/>
        <v>1.16876564705882</v>
      </c>
      <c r="AB8" s="102">
        <f t="shared" si="1"/>
        <v>147.008262705882</v>
      </c>
      <c r="AC8" s="89">
        <v>7.25</v>
      </c>
      <c r="AD8" s="47">
        <f t="shared" si="2"/>
        <v>1065.80990461765</v>
      </c>
      <c r="AE8" s="47">
        <f t="shared" si="3"/>
        <v>1481.63006344118</v>
      </c>
      <c r="AF8" s="47">
        <f t="shared" si="4"/>
        <v>-235.040063441177</v>
      </c>
    </row>
    <row r="9" s="2" customFormat="1" spans="1:32">
      <c r="A9" s="86"/>
      <c r="B9" s="45"/>
      <c r="C9" s="23">
        <v>241209000071</v>
      </c>
      <c r="D9" s="24">
        <v>45636</v>
      </c>
      <c r="E9" s="24" t="s">
        <v>65</v>
      </c>
      <c r="F9" s="45" t="s">
        <v>65</v>
      </c>
      <c r="G9" s="45" t="s">
        <v>101</v>
      </c>
      <c r="H9" s="87">
        <v>0.1971</v>
      </c>
      <c r="I9" s="87">
        <v>30.5</v>
      </c>
      <c r="J9" s="88">
        <v>788.4</v>
      </c>
      <c r="K9" s="89"/>
      <c r="L9" s="93"/>
      <c r="M9" s="44"/>
      <c r="N9" s="90"/>
      <c r="O9" s="45"/>
      <c r="P9" s="92">
        <f t="shared" ref="P9:P11" si="9">SUBTOTAL(9,J9)</f>
        <v>788.4</v>
      </c>
      <c r="Q9" s="98"/>
      <c r="R9" s="98"/>
      <c r="S9" s="47">
        <f t="shared" si="5"/>
        <v>141.597509558824</v>
      </c>
      <c r="T9" s="47"/>
      <c r="U9" s="47">
        <f t="shared" si="6"/>
        <v>2.89852941176471</v>
      </c>
      <c r="V9" s="47"/>
      <c r="W9" s="47"/>
      <c r="X9" s="47">
        <f t="shared" si="0"/>
        <v>144.496038970588</v>
      </c>
      <c r="Y9" s="102">
        <f t="shared" si="7"/>
        <v>33.5367099264706</v>
      </c>
      <c r="Z9" s="102">
        <v>0.84</v>
      </c>
      <c r="AA9" s="102">
        <f t="shared" si="8"/>
        <v>0.406141941176471</v>
      </c>
      <c r="AB9" s="102">
        <f t="shared" si="1"/>
        <v>34.7828518676471</v>
      </c>
      <c r="AC9" s="89">
        <v>7.25</v>
      </c>
      <c r="AD9" s="47">
        <f t="shared" si="2"/>
        <v>252.175676040441</v>
      </c>
      <c r="AE9" s="47">
        <f t="shared" si="3"/>
        <v>396.671715011029</v>
      </c>
      <c r="AF9" s="47">
        <f t="shared" si="4"/>
        <v>391.728284988971</v>
      </c>
    </row>
    <row r="10" s="2" customFormat="1" spans="1:32">
      <c r="A10" s="86"/>
      <c r="B10" s="45"/>
      <c r="C10" s="23">
        <v>241216000026</v>
      </c>
      <c r="D10" s="24">
        <v>45638</v>
      </c>
      <c r="E10" s="24" t="s">
        <v>77</v>
      </c>
      <c r="F10" s="45" t="s">
        <v>78</v>
      </c>
      <c r="G10" s="45" t="s">
        <v>93</v>
      </c>
      <c r="H10" s="87">
        <v>11.0893</v>
      </c>
      <c r="I10" s="87">
        <v>1146.94</v>
      </c>
      <c r="J10" s="88">
        <v>19958.4</v>
      </c>
      <c r="K10" s="107"/>
      <c r="L10" s="93"/>
      <c r="M10" s="44"/>
      <c r="N10" s="90"/>
      <c r="O10" s="45"/>
      <c r="P10" s="92">
        <f t="shared" si="9"/>
        <v>19958.4</v>
      </c>
      <c r="Q10" s="98"/>
      <c r="R10" s="98"/>
      <c r="S10" s="47">
        <f t="shared" si="5"/>
        <v>7966.60204338235</v>
      </c>
      <c r="T10" s="47"/>
      <c r="U10" s="47">
        <f t="shared" si="6"/>
        <v>163.077941176471</v>
      </c>
      <c r="V10" s="47"/>
      <c r="W10" s="47"/>
      <c r="X10" s="47">
        <f t="shared" si="0"/>
        <v>8129.67998455882</v>
      </c>
      <c r="Y10" s="102">
        <f t="shared" si="7"/>
        <v>1886.85254889706</v>
      </c>
      <c r="Z10" s="102"/>
      <c r="AA10" s="102">
        <f t="shared" si="8"/>
        <v>22.8504811176471</v>
      </c>
      <c r="AB10" s="102">
        <f t="shared" si="1"/>
        <v>1909.70303001471</v>
      </c>
      <c r="AC10" s="89">
        <v>7.25</v>
      </c>
      <c r="AD10" s="47">
        <f t="shared" si="2"/>
        <v>13845.3469676066</v>
      </c>
      <c r="AE10" s="47">
        <f t="shared" si="3"/>
        <v>21975.0269521654</v>
      </c>
      <c r="AF10" s="47">
        <f t="shared" si="4"/>
        <v>-2016.62695216544</v>
      </c>
    </row>
    <row r="11" s="2" customFormat="1" spans="1:32">
      <c r="A11" s="86"/>
      <c r="B11" s="45"/>
      <c r="C11" s="23">
        <v>241210000006</v>
      </c>
      <c r="D11" s="24">
        <v>45636</v>
      </c>
      <c r="E11" s="24" t="s">
        <v>59</v>
      </c>
      <c r="F11" s="45" t="s">
        <v>60</v>
      </c>
      <c r="G11" s="45" t="s">
        <v>102</v>
      </c>
      <c r="H11" s="87">
        <v>35.4</v>
      </c>
      <c r="I11" s="87">
        <v>5354</v>
      </c>
      <c r="J11" s="88">
        <v>56540.88</v>
      </c>
      <c r="K11" s="89"/>
      <c r="L11" s="93"/>
      <c r="M11" s="44"/>
      <c r="N11" s="95"/>
      <c r="O11" s="45"/>
      <c r="P11" s="92">
        <f t="shared" si="9"/>
        <v>56540.88</v>
      </c>
      <c r="Q11" s="98"/>
      <c r="R11" s="98"/>
      <c r="S11" s="47">
        <f t="shared" si="5"/>
        <v>25431.5161764706</v>
      </c>
      <c r="T11" s="47"/>
      <c r="U11" s="47">
        <f t="shared" si="6"/>
        <v>520.588235294118</v>
      </c>
      <c r="V11" s="47"/>
      <c r="W11" s="47"/>
      <c r="X11" s="47">
        <f t="shared" si="0"/>
        <v>25952.1044117647</v>
      </c>
      <c r="Y11" s="102">
        <f t="shared" si="7"/>
        <v>6023.33602941176</v>
      </c>
      <c r="Z11" s="102"/>
      <c r="AA11" s="102">
        <f t="shared" si="8"/>
        <v>72.9448235294118</v>
      </c>
      <c r="AB11" s="102">
        <f t="shared" si="1"/>
        <v>6096.28085294118</v>
      </c>
      <c r="AC11" s="89">
        <v>7.25</v>
      </c>
      <c r="AD11" s="47">
        <f t="shared" si="2"/>
        <v>44198.0361838235</v>
      </c>
      <c r="AE11" s="47">
        <f t="shared" si="3"/>
        <v>70150.1405955882</v>
      </c>
      <c r="AF11" s="47">
        <f t="shared" si="4"/>
        <v>-13609.2605955882</v>
      </c>
    </row>
    <row r="12" s="2" customFormat="1" spans="1:32">
      <c r="A12" s="86"/>
      <c r="B12" s="45"/>
      <c r="C12" s="23">
        <v>241216000056</v>
      </c>
      <c r="D12" s="24">
        <v>45636</v>
      </c>
      <c r="E12" s="24" t="s">
        <v>81</v>
      </c>
      <c r="F12" s="45" t="s">
        <v>89</v>
      </c>
      <c r="G12" s="45" t="s">
        <v>103</v>
      </c>
      <c r="H12" s="87">
        <v>0.3809</v>
      </c>
      <c r="I12" s="87">
        <v>90</v>
      </c>
      <c r="J12" s="92"/>
      <c r="K12" s="103">
        <v>197726.1</v>
      </c>
      <c r="L12" s="93"/>
      <c r="M12" s="44">
        <f>SUM(K12/N12)</f>
        <v>1573</v>
      </c>
      <c r="N12" s="95">
        <v>125.7</v>
      </c>
      <c r="O12" s="45">
        <v>7.28</v>
      </c>
      <c r="P12" s="92">
        <f>SUM(N12*O12)</f>
        <v>915.096</v>
      </c>
      <c r="Q12" s="100"/>
      <c r="R12" s="100"/>
      <c r="S12" s="47">
        <f t="shared" si="5"/>
        <v>273.640240441176</v>
      </c>
      <c r="T12" s="47"/>
      <c r="U12" s="47">
        <f t="shared" si="6"/>
        <v>5.60147058823529</v>
      </c>
      <c r="V12" s="47"/>
      <c r="W12" s="47"/>
      <c r="X12" s="47">
        <f t="shared" si="0"/>
        <v>279.241711029412</v>
      </c>
      <c r="Y12" s="102">
        <f t="shared" si="7"/>
        <v>64.8104150735294</v>
      </c>
      <c r="Z12" s="102"/>
      <c r="AA12" s="102">
        <f t="shared" si="8"/>
        <v>0.784878058823529</v>
      </c>
      <c r="AB12" s="102">
        <f t="shared" si="1"/>
        <v>65.5952931323529</v>
      </c>
      <c r="AC12" s="89">
        <v>7.25</v>
      </c>
      <c r="AD12" s="47">
        <f t="shared" si="2"/>
        <v>475.565875209559</v>
      </c>
      <c r="AE12" s="47">
        <f t="shared" si="3"/>
        <v>754.807586238971</v>
      </c>
      <c r="AF12" s="47">
        <f t="shared" si="4"/>
        <v>160.288413761029</v>
      </c>
    </row>
    <row r="13" ht="15.75" spans="1:32">
      <c r="A13" s="26" t="s">
        <v>22</v>
      </c>
      <c r="B13" s="27"/>
      <c r="C13" s="27"/>
      <c r="D13" s="27"/>
      <c r="E13" s="27"/>
      <c r="F13" s="27"/>
      <c r="G13" s="27"/>
      <c r="H13" s="27"/>
      <c r="I13" s="48"/>
      <c r="J13" s="27">
        <f>SUM(J4:J4)</f>
        <v>0</v>
      </c>
      <c r="K13" s="49"/>
      <c r="L13" s="50"/>
      <c r="M13" s="49"/>
      <c r="N13" s="49">
        <f t="shared" ref="N13:Q13" si="10">SUM(N4:N4)</f>
        <v>0</v>
      </c>
      <c r="O13" s="27"/>
      <c r="P13" s="27">
        <f t="shared" si="10"/>
        <v>0</v>
      </c>
      <c r="Q13" s="27">
        <f t="shared" si="10"/>
        <v>0</v>
      </c>
      <c r="R13" s="27"/>
      <c r="S13" s="27"/>
      <c r="T13" s="27"/>
      <c r="U13" s="27"/>
      <c r="V13" s="27"/>
      <c r="W13" s="27"/>
      <c r="X13" s="71">
        <f>SUM(X4:X4)</f>
        <v>0</v>
      </c>
      <c r="Y13" s="50"/>
      <c r="Z13" s="50"/>
      <c r="AA13" s="50"/>
      <c r="AB13" s="50"/>
      <c r="AC13" s="49"/>
      <c r="AD13" s="27">
        <f>SUM(AD4:AD4)</f>
        <v>0</v>
      </c>
      <c r="AE13" s="27"/>
      <c r="AF13" s="85">
        <f>SUM(AF4:AF12)</f>
        <v>-3608.75651249265</v>
      </c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</sheetData>
  <autoFilter xmlns:etc="http://www.wps.cn/officeDocument/2017/etCustomData" ref="A3:AF13" etc:filterBottomFollowUsedRange="0">
    <extLst/>
  </autoFilter>
  <mergeCells count="21">
    <mergeCell ref="A1:AF1"/>
    <mergeCell ref="J3:P3"/>
    <mergeCell ref="R3:V3"/>
    <mergeCell ref="Y3:AD3"/>
    <mergeCell ref="A3:A4"/>
    <mergeCell ref="A5:A12"/>
    <mergeCell ref="B3:B4"/>
    <mergeCell ref="B5:B12"/>
    <mergeCell ref="C3:C4"/>
    <mergeCell ref="D3:D4"/>
    <mergeCell ref="E3:E4"/>
    <mergeCell ref="F3:F4"/>
    <mergeCell ref="G3:G4"/>
    <mergeCell ref="H3:H4"/>
    <mergeCell ref="I3:I4"/>
    <mergeCell ref="Q3:Q4"/>
    <mergeCell ref="Q5:Q12"/>
    <mergeCell ref="R5:R12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U5" sqref="U5:U1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72.3035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10</v>
      </c>
      <c r="B5" s="45" t="s">
        <v>11</v>
      </c>
      <c r="C5" s="23">
        <v>241023000034</v>
      </c>
      <c r="D5" s="24">
        <v>45638</v>
      </c>
      <c r="E5" s="24" t="s">
        <v>65</v>
      </c>
      <c r="F5" s="45" t="s">
        <v>65</v>
      </c>
      <c r="G5" s="45" t="s">
        <v>67</v>
      </c>
      <c r="H5" s="87">
        <v>0.3134</v>
      </c>
      <c r="I5" s="87">
        <v>126</v>
      </c>
      <c r="J5" s="88">
        <v>906</v>
      </c>
      <c r="K5" s="89"/>
      <c r="L5" s="93"/>
      <c r="M5" s="44"/>
      <c r="N5" s="90"/>
      <c r="O5" s="45"/>
      <c r="P5" s="92">
        <f t="shared" ref="P5:P8" si="0">SUBTOTAL(9,J5)</f>
        <v>906</v>
      </c>
      <c r="Q5" s="96">
        <f>SUM(P5:P14)</f>
        <v>146435.8084</v>
      </c>
      <c r="R5" s="97" t="s">
        <v>104</v>
      </c>
      <c r="S5" s="47">
        <f>SUM(48759.5/68)*H5</f>
        <v>224.723930882353</v>
      </c>
      <c r="T5" s="47"/>
      <c r="U5" s="47">
        <f>SUM(1800/68)*H5</f>
        <v>8.29588235294118</v>
      </c>
      <c r="V5" s="47"/>
      <c r="W5" s="47"/>
      <c r="X5" s="47">
        <f t="shared" ref="X5:X14" si="1">SUM(S5:W5)</f>
        <v>233.019813235294</v>
      </c>
      <c r="Y5" s="102">
        <f>SUM(11621.97/68)*H5</f>
        <v>53.5636087941176</v>
      </c>
      <c r="Z5" s="102"/>
      <c r="AA5" s="102">
        <f>SUM(140.12/68)*H5</f>
        <v>0.645788352941177</v>
      </c>
      <c r="AB5" s="102">
        <f t="shared" ref="AB5:AB14" si="2">SUM(Y5:AA5)</f>
        <v>54.2093971470588</v>
      </c>
      <c r="AC5" s="89">
        <v>7.25</v>
      </c>
      <c r="AD5" s="47">
        <f t="shared" ref="AD5:AD14" si="3">SUM(AB5*AC5)</f>
        <v>393.018129316176</v>
      </c>
      <c r="AE5" s="47">
        <f t="shared" ref="AE5:AE14" si="4">SUM(X5+AD5)</f>
        <v>626.037942551471</v>
      </c>
      <c r="AF5" s="47">
        <f t="shared" ref="AF5:AF14" si="5">SUM(P5-AE5)</f>
        <v>279.962057448529</v>
      </c>
    </row>
    <row r="6" s="2" customFormat="1" spans="1:32">
      <c r="A6" s="86"/>
      <c r="B6" s="45"/>
      <c r="C6" s="23">
        <v>241115000013</v>
      </c>
      <c r="D6" s="24">
        <v>45638</v>
      </c>
      <c r="E6" s="24" t="s">
        <v>65</v>
      </c>
      <c r="F6" s="45" t="s">
        <v>65</v>
      </c>
      <c r="G6" s="45" t="s">
        <v>105</v>
      </c>
      <c r="H6" s="87">
        <v>0.367</v>
      </c>
      <c r="I6" s="87">
        <v>106</v>
      </c>
      <c r="J6" s="88">
        <v>780</v>
      </c>
      <c r="K6" s="89"/>
      <c r="L6" s="93"/>
      <c r="M6" s="44"/>
      <c r="N6" s="90"/>
      <c r="O6" s="45"/>
      <c r="P6" s="92">
        <f t="shared" si="0"/>
        <v>780</v>
      </c>
      <c r="Q6" s="98"/>
      <c r="R6" s="98"/>
      <c r="S6" s="47">
        <f t="shared" ref="S6:S14" si="6">SUM(48759.5/68)*H6</f>
        <v>263.157889705882</v>
      </c>
      <c r="T6" s="47"/>
      <c r="U6" s="47">
        <f t="shared" ref="U6:U14" si="7">SUM(1800/68)*H6</f>
        <v>9.71470588235294</v>
      </c>
      <c r="V6" s="99">
        <v>240</v>
      </c>
      <c r="W6" s="47"/>
      <c r="X6" s="47">
        <f t="shared" si="1"/>
        <v>512.872595588235</v>
      </c>
      <c r="Y6" s="102">
        <f t="shared" ref="Y6:Y14" si="8">SUM(11621.97/68)*H6</f>
        <v>62.7244557352941</v>
      </c>
      <c r="Z6" s="102"/>
      <c r="AA6" s="102">
        <f t="shared" ref="AA6:AA14" si="9">SUM(140.12/68)*H6</f>
        <v>0.756235882352941</v>
      </c>
      <c r="AB6" s="102">
        <f t="shared" si="2"/>
        <v>63.4806916176471</v>
      </c>
      <c r="AC6" s="89">
        <v>7.25</v>
      </c>
      <c r="AD6" s="47">
        <f t="shared" si="3"/>
        <v>460.235014227941</v>
      </c>
      <c r="AE6" s="47">
        <f t="shared" si="4"/>
        <v>973.107609816176</v>
      </c>
      <c r="AF6" s="47">
        <f t="shared" si="5"/>
        <v>-193.107609816176</v>
      </c>
    </row>
    <row r="7" s="2" customFormat="1" spans="1:32">
      <c r="A7" s="86"/>
      <c r="B7" s="45"/>
      <c r="C7" s="23">
        <v>241126000049</v>
      </c>
      <c r="D7" s="24">
        <v>45638</v>
      </c>
      <c r="E7" s="24" t="s">
        <v>65</v>
      </c>
      <c r="F7" s="45" t="s">
        <v>65</v>
      </c>
      <c r="G7" s="45" t="s">
        <v>106</v>
      </c>
      <c r="H7" s="87">
        <v>2.7422</v>
      </c>
      <c r="I7" s="87">
        <v>1148</v>
      </c>
      <c r="J7" s="88">
        <v>7878</v>
      </c>
      <c r="K7" s="89"/>
      <c r="L7" s="93"/>
      <c r="M7" s="44"/>
      <c r="N7" s="90"/>
      <c r="O7" s="45"/>
      <c r="P7" s="92">
        <f t="shared" si="0"/>
        <v>7878</v>
      </c>
      <c r="Q7" s="98"/>
      <c r="R7" s="98"/>
      <c r="S7" s="47">
        <f t="shared" si="6"/>
        <v>1966.29854264706</v>
      </c>
      <c r="T7" s="47"/>
      <c r="U7" s="47">
        <f t="shared" si="7"/>
        <v>72.5876470588235</v>
      </c>
      <c r="V7" s="99">
        <v>1000</v>
      </c>
      <c r="W7" s="47"/>
      <c r="X7" s="47">
        <f t="shared" si="1"/>
        <v>3038.88618970588</v>
      </c>
      <c r="Y7" s="102">
        <f t="shared" si="8"/>
        <v>468.673031382353</v>
      </c>
      <c r="Z7" s="102"/>
      <c r="AA7" s="102">
        <f t="shared" si="9"/>
        <v>5.65054505882353</v>
      </c>
      <c r="AB7" s="102">
        <f t="shared" si="2"/>
        <v>474.323576441176</v>
      </c>
      <c r="AC7" s="89">
        <v>7.25</v>
      </c>
      <c r="AD7" s="47">
        <f t="shared" si="3"/>
        <v>3438.84592919853</v>
      </c>
      <c r="AE7" s="47">
        <f t="shared" si="4"/>
        <v>6477.73211890441</v>
      </c>
      <c r="AF7" s="47">
        <f t="shared" si="5"/>
        <v>1400.26788109559</v>
      </c>
    </row>
    <row r="8" s="2" customFormat="1" spans="1:32">
      <c r="A8" s="86"/>
      <c r="B8" s="45"/>
      <c r="C8" s="23">
        <v>241209000082</v>
      </c>
      <c r="D8" s="24">
        <v>45638</v>
      </c>
      <c r="E8" s="24" t="s">
        <v>81</v>
      </c>
      <c r="F8" s="45" t="s">
        <v>89</v>
      </c>
      <c r="G8" s="45" t="s">
        <v>107</v>
      </c>
      <c r="H8" s="87">
        <v>2.4778</v>
      </c>
      <c r="I8" s="87">
        <v>1373</v>
      </c>
      <c r="J8" s="88">
        <v>6015.2</v>
      </c>
      <c r="K8" s="89"/>
      <c r="L8" s="93"/>
      <c r="M8" s="44"/>
      <c r="N8" s="90"/>
      <c r="O8" s="45"/>
      <c r="P8" s="92">
        <f t="shared" si="0"/>
        <v>6015.2</v>
      </c>
      <c r="Q8" s="98"/>
      <c r="R8" s="98"/>
      <c r="S8" s="47">
        <f t="shared" si="6"/>
        <v>1776.71013382353</v>
      </c>
      <c r="T8" s="47"/>
      <c r="U8" s="47">
        <f t="shared" si="7"/>
        <v>65.5888235294118</v>
      </c>
      <c r="V8" s="47"/>
      <c r="W8" s="47"/>
      <c r="X8" s="47">
        <f t="shared" si="1"/>
        <v>1842.29895735294</v>
      </c>
      <c r="Y8" s="102">
        <f t="shared" si="8"/>
        <v>423.484077441176</v>
      </c>
      <c r="Z8" s="102"/>
      <c r="AA8" s="102">
        <f t="shared" si="9"/>
        <v>5.10572552941176</v>
      </c>
      <c r="AB8" s="102">
        <f t="shared" si="2"/>
        <v>428.589802970588</v>
      </c>
      <c r="AC8" s="89">
        <v>7.25</v>
      </c>
      <c r="AD8" s="47">
        <f t="shared" si="3"/>
        <v>3107.27607153676</v>
      </c>
      <c r="AE8" s="47">
        <f t="shared" si="4"/>
        <v>4949.57502888971</v>
      </c>
      <c r="AF8" s="47">
        <f t="shared" si="5"/>
        <v>1065.62497111029</v>
      </c>
    </row>
    <row r="9" s="2" customFormat="1" spans="1:32">
      <c r="A9" s="86"/>
      <c r="B9" s="45"/>
      <c r="C9" s="23">
        <v>241209000084</v>
      </c>
      <c r="D9" s="24">
        <v>45638</v>
      </c>
      <c r="E9" s="24" t="s">
        <v>59</v>
      </c>
      <c r="F9" s="45" t="s">
        <v>60</v>
      </c>
      <c r="G9" s="45" t="s">
        <v>61</v>
      </c>
      <c r="H9" s="87">
        <v>3.5753</v>
      </c>
      <c r="I9" s="87">
        <v>397</v>
      </c>
      <c r="J9" s="92"/>
      <c r="K9" s="103">
        <v>1527152.06</v>
      </c>
      <c r="L9" s="93"/>
      <c r="M9" s="44">
        <f>SUM(K9/N9)</f>
        <v>1582</v>
      </c>
      <c r="N9" s="95">
        <v>965.33</v>
      </c>
      <c r="O9" s="45">
        <v>7.18</v>
      </c>
      <c r="P9" s="92">
        <f>SUM(N9*O9)</f>
        <v>6931.0694</v>
      </c>
      <c r="Q9" s="98"/>
      <c r="R9" s="98"/>
      <c r="S9" s="47">
        <f t="shared" si="6"/>
        <v>2563.67412279412</v>
      </c>
      <c r="T9" s="47"/>
      <c r="U9" s="47">
        <f t="shared" si="7"/>
        <v>94.640294117647</v>
      </c>
      <c r="V9" s="47"/>
      <c r="W9" s="47"/>
      <c r="X9" s="47">
        <f t="shared" si="1"/>
        <v>2658.31441691176</v>
      </c>
      <c r="Y9" s="102">
        <f t="shared" si="8"/>
        <v>611.059255014706</v>
      </c>
      <c r="Z9" s="102"/>
      <c r="AA9" s="102">
        <f t="shared" si="9"/>
        <v>7.36722111764706</v>
      </c>
      <c r="AB9" s="102">
        <f t="shared" si="2"/>
        <v>618.426476132353</v>
      </c>
      <c r="AC9" s="89">
        <v>7.25</v>
      </c>
      <c r="AD9" s="47">
        <f t="shared" si="3"/>
        <v>4483.59195195956</v>
      </c>
      <c r="AE9" s="47">
        <f t="shared" si="4"/>
        <v>7141.90636887132</v>
      </c>
      <c r="AF9" s="47">
        <f t="shared" si="5"/>
        <v>-210.836968871323</v>
      </c>
    </row>
    <row r="10" s="2" customFormat="1" spans="1:32">
      <c r="A10" s="86"/>
      <c r="B10" s="45"/>
      <c r="C10" s="23">
        <v>241211000002</v>
      </c>
      <c r="D10" s="24">
        <v>45638</v>
      </c>
      <c r="E10" s="24" t="s">
        <v>62</v>
      </c>
      <c r="F10" s="45" t="s">
        <v>63</v>
      </c>
      <c r="G10" s="45" t="s">
        <v>71</v>
      </c>
      <c r="H10" s="87">
        <v>13.0793</v>
      </c>
      <c r="I10" s="87">
        <v>19192</v>
      </c>
      <c r="J10" s="104">
        <v>38909</v>
      </c>
      <c r="K10" s="89"/>
      <c r="L10" s="93"/>
      <c r="M10" s="44"/>
      <c r="N10" s="45"/>
      <c r="O10" s="45"/>
      <c r="P10" s="92">
        <f>SUM(J10)</f>
        <v>38909</v>
      </c>
      <c r="Q10" s="98"/>
      <c r="R10" s="98"/>
      <c r="S10" s="47">
        <f t="shared" si="6"/>
        <v>9378.5312992647</v>
      </c>
      <c r="T10" s="47"/>
      <c r="U10" s="47">
        <f t="shared" si="7"/>
        <v>346.216764705882</v>
      </c>
      <c r="V10" s="47"/>
      <c r="W10" s="47"/>
      <c r="X10" s="47">
        <f t="shared" si="1"/>
        <v>9724.74806397059</v>
      </c>
      <c r="Y10" s="102">
        <f t="shared" si="8"/>
        <v>2235.40047383824</v>
      </c>
      <c r="Z10" s="102"/>
      <c r="AA10" s="102">
        <f t="shared" si="9"/>
        <v>26.9510517058824</v>
      </c>
      <c r="AB10" s="102">
        <f t="shared" si="2"/>
        <v>2262.35152554412</v>
      </c>
      <c r="AC10" s="89">
        <v>7.25</v>
      </c>
      <c r="AD10" s="47">
        <f t="shared" si="3"/>
        <v>16402.0485601949</v>
      </c>
      <c r="AE10" s="47">
        <f t="shared" si="4"/>
        <v>26126.7966241654</v>
      </c>
      <c r="AF10" s="47">
        <f t="shared" si="5"/>
        <v>12782.2033758346</v>
      </c>
    </row>
    <row r="11" s="2" customFormat="1" spans="1:32">
      <c r="A11" s="86"/>
      <c r="B11" s="45"/>
      <c r="C11" s="23">
        <v>241211000045</v>
      </c>
      <c r="D11" s="24">
        <v>45638</v>
      </c>
      <c r="E11" s="24" t="s">
        <v>59</v>
      </c>
      <c r="F11" s="45" t="s">
        <v>60</v>
      </c>
      <c r="G11" s="45" t="s">
        <v>61</v>
      </c>
      <c r="H11" s="87">
        <v>10.4649</v>
      </c>
      <c r="I11" s="87">
        <v>835</v>
      </c>
      <c r="J11" s="92"/>
      <c r="K11" s="103">
        <v>4470020.1</v>
      </c>
      <c r="L11" s="93"/>
      <c r="M11" s="44">
        <f>SUM(K11/N11)</f>
        <v>1582</v>
      </c>
      <c r="N11" s="95">
        <v>2825.55</v>
      </c>
      <c r="O11" s="45">
        <v>7.18</v>
      </c>
      <c r="P11" s="92">
        <f>SUM(N11*O11)</f>
        <v>20287.449</v>
      </c>
      <c r="Q11" s="98"/>
      <c r="R11" s="98"/>
      <c r="S11" s="47">
        <f t="shared" si="6"/>
        <v>7503.87193455882</v>
      </c>
      <c r="T11" s="47"/>
      <c r="U11" s="47">
        <f t="shared" si="7"/>
        <v>277.012058823529</v>
      </c>
      <c r="V11" s="47"/>
      <c r="W11" s="47"/>
      <c r="X11" s="47">
        <f t="shared" si="1"/>
        <v>7780.88399338235</v>
      </c>
      <c r="Y11" s="102">
        <f t="shared" si="8"/>
        <v>1788.56990960294</v>
      </c>
      <c r="Z11" s="102"/>
      <c r="AA11" s="102">
        <f t="shared" si="9"/>
        <v>21.5638498235294</v>
      </c>
      <c r="AB11" s="102">
        <f t="shared" si="2"/>
        <v>1810.13375942647</v>
      </c>
      <c r="AC11" s="89">
        <v>7.25</v>
      </c>
      <c r="AD11" s="47">
        <f t="shared" si="3"/>
        <v>13123.4697558419</v>
      </c>
      <c r="AE11" s="47">
        <f t="shared" si="4"/>
        <v>20904.3537492243</v>
      </c>
      <c r="AF11" s="47">
        <f t="shared" si="5"/>
        <v>-616.904749224264</v>
      </c>
    </row>
    <row r="12" s="2" customFormat="1" spans="1:32">
      <c r="A12" s="86"/>
      <c r="B12" s="45"/>
      <c r="C12" s="23">
        <v>241212000002</v>
      </c>
      <c r="D12" s="24">
        <v>45638</v>
      </c>
      <c r="E12" s="24" t="s">
        <v>59</v>
      </c>
      <c r="F12" s="45" t="s">
        <v>60</v>
      </c>
      <c r="G12" s="45" t="s">
        <v>102</v>
      </c>
      <c r="H12" s="87">
        <v>29.57</v>
      </c>
      <c r="I12" s="87">
        <v>4902</v>
      </c>
      <c r="J12" s="88">
        <v>47229.2</v>
      </c>
      <c r="K12" s="89"/>
      <c r="L12" s="93"/>
      <c r="M12" s="44"/>
      <c r="N12" s="95"/>
      <c r="O12" s="45"/>
      <c r="P12" s="92">
        <f>SUBTOTAL(9,J12)</f>
        <v>47229.2</v>
      </c>
      <c r="Q12" s="98"/>
      <c r="R12" s="98"/>
      <c r="S12" s="47">
        <f t="shared" si="6"/>
        <v>21203.2119852941</v>
      </c>
      <c r="T12" s="47"/>
      <c r="U12" s="47">
        <f t="shared" si="7"/>
        <v>782.735294117647</v>
      </c>
      <c r="V12" s="47"/>
      <c r="W12" s="47"/>
      <c r="X12" s="47">
        <f t="shared" si="1"/>
        <v>21985.9472794118</v>
      </c>
      <c r="Y12" s="102">
        <f t="shared" si="8"/>
        <v>5053.84783676471</v>
      </c>
      <c r="Z12" s="102"/>
      <c r="AA12" s="102">
        <f t="shared" si="9"/>
        <v>60.9315941176471</v>
      </c>
      <c r="AB12" s="102">
        <f t="shared" si="2"/>
        <v>5114.77943088235</v>
      </c>
      <c r="AC12" s="89">
        <v>7.25</v>
      </c>
      <c r="AD12" s="47">
        <f t="shared" si="3"/>
        <v>37082.1508738971</v>
      </c>
      <c r="AE12" s="47">
        <f t="shared" si="4"/>
        <v>59068.0981533088</v>
      </c>
      <c r="AF12" s="47">
        <f t="shared" si="5"/>
        <v>-11838.8981533088</v>
      </c>
    </row>
    <row r="13" s="2" customFormat="1" spans="1:32">
      <c r="A13" s="86"/>
      <c r="B13" s="45"/>
      <c r="C13" s="23">
        <v>241212000013</v>
      </c>
      <c r="D13" s="24">
        <v>45638</v>
      </c>
      <c r="E13" s="24" t="s">
        <v>77</v>
      </c>
      <c r="F13" s="45" t="s">
        <v>78</v>
      </c>
      <c r="G13" s="45" t="s">
        <v>93</v>
      </c>
      <c r="H13" s="87">
        <v>0.0957</v>
      </c>
      <c r="I13" s="87">
        <v>26</v>
      </c>
      <c r="J13" s="88">
        <v>186.05</v>
      </c>
      <c r="K13" s="89"/>
      <c r="L13" s="93"/>
      <c r="M13" s="44"/>
      <c r="N13" s="90"/>
      <c r="O13" s="45"/>
      <c r="P13" s="92">
        <f>SUBTOTAL(9,J13)</f>
        <v>186.05</v>
      </c>
      <c r="Q13" s="98"/>
      <c r="R13" s="98"/>
      <c r="S13" s="47">
        <f t="shared" si="6"/>
        <v>68.6218257352941</v>
      </c>
      <c r="T13" s="47"/>
      <c r="U13" s="47">
        <f t="shared" si="7"/>
        <v>2.53323529411765</v>
      </c>
      <c r="V13" s="47"/>
      <c r="W13" s="47"/>
      <c r="X13" s="47">
        <f t="shared" si="1"/>
        <v>71.1550610294118</v>
      </c>
      <c r="Y13" s="102">
        <f t="shared" si="8"/>
        <v>16.3562136617647</v>
      </c>
      <c r="Z13" s="102"/>
      <c r="AA13" s="102">
        <f t="shared" si="9"/>
        <v>0.197198294117647</v>
      </c>
      <c r="AB13" s="102">
        <f t="shared" si="2"/>
        <v>16.5534119558824</v>
      </c>
      <c r="AC13" s="89">
        <v>7.25</v>
      </c>
      <c r="AD13" s="47">
        <f t="shared" si="3"/>
        <v>120.012236680147</v>
      </c>
      <c r="AE13" s="47">
        <f t="shared" si="4"/>
        <v>191.167297709559</v>
      </c>
      <c r="AF13" s="47">
        <f t="shared" si="5"/>
        <v>-5.11729770955878</v>
      </c>
    </row>
    <row r="14" s="2" customFormat="1" spans="1:32">
      <c r="A14" s="86"/>
      <c r="B14" s="45"/>
      <c r="C14" s="23">
        <v>241216000026</v>
      </c>
      <c r="D14" s="24">
        <v>45638</v>
      </c>
      <c r="E14" s="24" t="s">
        <v>77</v>
      </c>
      <c r="F14" s="45" t="s">
        <v>78</v>
      </c>
      <c r="G14" s="45" t="s">
        <v>93</v>
      </c>
      <c r="H14" s="87">
        <v>9.6179</v>
      </c>
      <c r="I14" s="87">
        <v>931.83</v>
      </c>
      <c r="J14" s="88">
        <v>17313.84</v>
      </c>
      <c r="K14" s="89"/>
      <c r="L14" s="93"/>
      <c r="M14" s="44"/>
      <c r="N14" s="90"/>
      <c r="O14" s="45"/>
      <c r="P14" s="92">
        <f>SUBTOTAL(9,J14)</f>
        <v>17313.84</v>
      </c>
      <c r="Q14" s="100"/>
      <c r="R14" s="100"/>
      <c r="S14" s="47">
        <f t="shared" si="6"/>
        <v>6896.52933897059</v>
      </c>
      <c r="T14" s="47"/>
      <c r="U14" s="47">
        <f t="shared" si="7"/>
        <v>254.591470588235</v>
      </c>
      <c r="V14" s="47"/>
      <c r="W14" s="47"/>
      <c r="X14" s="47">
        <f t="shared" si="1"/>
        <v>7151.12080955882</v>
      </c>
      <c r="Y14" s="102">
        <f t="shared" si="8"/>
        <v>1643.80801857353</v>
      </c>
      <c r="Z14" s="102"/>
      <c r="AA14" s="102">
        <f t="shared" si="9"/>
        <v>19.8185315882353</v>
      </c>
      <c r="AB14" s="102">
        <f t="shared" si="2"/>
        <v>1663.62655016176</v>
      </c>
      <c r="AC14" s="89">
        <v>7.25</v>
      </c>
      <c r="AD14" s="47">
        <f t="shared" si="3"/>
        <v>12061.2924886728</v>
      </c>
      <c r="AE14" s="47">
        <f t="shared" si="4"/>
        <v>19212.4132982316</v>
      </c>
      <c r="AF14" s="47">
        <f t="shared" si="5"/>
        <v>-1898.57329823162</v>
      </c>
    </row>
    <row r="15" ht="15.75" spans="1:32">
      <c r="A15" s="26" t="s">
        <v>22</v>
      </c>
      <c r="B15" s="27"/>
      <c r="C15" s="27"/>
      <c r="D15" s="27"/>
      <c r="E15" s="27"/>
      <c r="F15" s="27"/>
      <c r="G15" s="27"/>
      <c r="H15" s="27"/>
      <c r="I15" s="48"/>
      <c r="J15" s="27">
        <f>SUM(J4:J4)</f>
        <v>0</v>
      </c>
      <c r="K15" s="49"/>
      <c r="L15" s="50"/>
      <c r="M15" s="49"/>
      <c r="N15" s="49">
        <f t="shared" ref="N15:Q15" si="10">SUM(N4:N4)</f>
        <v>0</v>
      </c>
      <c r="O15" s="27"/>
      <c r="P15" s="27">
        <f t="shared" si="10"/>
        <v>0</v>
      </c>
      <c r="Q15" s="27">
        <f t="shared" si="10"/>
        <v>0</v>
      </c>
      <c r="R15" s="27"/>
      <c r="S15" s="27"/>
      <c r="T15" s="27"/>
      <c r="U15" s="27"/>
      <c r="V15" s="27"/>
      <c r="W15" s="27"/>
      <c r="X15" s="71">
        <f>SUM(X4:X4)</f>
        <v>0</v>
      </c>
      <c r="Y15" s="50"/>
      <c r="Z15" s="50"/>
      <c r="AA15" s="50"/>
      <c r="AB15" s="50"/>
      <c r="AC15" s="49"/>
      <c r="AD15" s="27">
        <f>SUM(AD4:AD4)</f>
        <v>0</v>
      </c>
      <c r="AE15" s="27"/>
      <c r="AF15" s="85">
        <f>SUM(AF4:AF14)</f>
        <v>764.620208327206</v>
      </c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J26" sqref="J26:P2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73.6909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12</v>
      </c>
      <c r="B5" s="45" t="s">
        <v>13</v>
      </c>
      <c r="C5" s="23">
        <v>241127000030</v>
      </c>
      <c r="D5" s="24">
        <v>45643</v>
      </c>
      <c r="E5" s="24" t="s">
        <v>68</v>
      </c>
      <c r="F5" s="45" t="s">
        <v>69</v>
      </c>
      <c r="G5" s="45" t="s">
        <v>75</v>
      </c>
      <c r="H5" s="87">
        <v>0.4598</v>
      </c>
      <c r="I5" s="87">
        <v>114</v>
      </c>
      <c r="J5" s="88">
        <v>860.5</v>
      </c>
      <c r="K5" s="89"/>
      <c r="L5" s="93"/>
      <c r="M5" s="44"/>
      <c r="N5" s="90"/>
      <c r="O5" s="45"/>
      <c r="P5" s="92">
        <f>SUBTOTAL(9,J5)</f>
        <v>860.5</v>
      </c>
      <c r="Q5" s="96">
        <f>SUM(P5:P27)</f>
        <v>185884.7669</v>
      </c>
      <c r="R5" s="97" t="s">
        <v>108</v>
      </c>
      <c r="S5" s="47">
        <f>SUM(50080.5/68)*H5</f>
        <v>338.632557352941</v>
      </c>
      <c r="T5" s="47"/>
      <c r="U5" s="47">
        <f>SUM(2000/68)*H5</f>
        <v>13.5235294117647</v>
      </c>
      <c r="V5" s="47"/>
      <c r="W5" s="47"/>
      <c r="X5" s="47">
        <f t="shared" ref="X5:X65" si="0">SUM(S5:W5)</f>
        <v>352.156086764706</v>
      </c>
      <c r="Y5" s="101">
        <f>SUM(12270/68)*H5</f>
        <v>82.9668529411765</v>
      </c>
      <c r="Z5" s="101">
        <v>76.28</v>
      </c>
      <c r="AA5" s="101">
        <f>SUM(55.42/68)*H5</f>
        <v>0.374737</v>
      </c>
      <c r="AB5" s="102">
        <f t="shared" ref="AB5:AB65" si="1">SUM(Y5:AA5)</f>
        <v>159.621589941176</v>
      </c>
      <c r="AC5" s="89">
        <v>7.25</v>
      </c>
      <c r="AD5" s="47">
        <f t="shared" ref="AD5:AD65" si="2">SUM(AB5*AC5)</f>
        <v>1157.25652707353</v>
      </c>
      <c r="AE5" s="47">
        <f t="shared" ref="AE5:AE65" si="3">SUM(X5+AD5)</f>
        <v>1509.41261383824</v>
      </c>
      <c r="AF5" s="47">
        <f t="shared" ref="AF5:AF65" si="4">SUM(P5-AE5)</f>
        <v>-648.91261383824</v>
      </c>
    </row>
    <row r="6" s="2" customFormat="1" spans="1:32">
      <c r="A6" s="86"/>
      <c r="B6" s="45"/>
      <c r="C6" s="23">
        <v>241209000067</v>
      </c>
      <c r="D6" s="24">
        <v>45643</v>
      </c>
      <c r="E6" s="24" t="s">
        <v>65</v>
      </c>
      <c r="F6" s="45" t="s">
        <v>65</v>
      </c>
      <c r="G6" s="45" t="s">
        <v>109</v>
      </c>
      <c r="H6" s="87">
        <v>0.023</v>
      </c>
      <c r="I6" s="87">
        <v>43</v>
      </c>
      <c r="J6" s="88">
        <v>152.5</v>
      </c>
      <c r="K6" s="89"/>
      <c r="L6" s="93"/>
      <c r="M6" s="44"/>
      <c r="N6" s="90"/>
      <c r="O6" s="45"/>
      <c r="P6" s="92">
        <f>SUBTOTAL(9,J6)</f>
        <v>152.5</v>
      </c>
      <c r="Q6" s="98"/>
      <c r="R6" s="98"/>
      <c r="S6" s="47">
        <f t="shared" ref="S6:S27" si="5">SUM(50080.5/68)*H6</f>
        <v>16.9389926470588</v>
      </c>
      <c r="T6" s="47"/>
      <c r="U6" s="47">
        <f t="shared" ref="U6:U27" si="6">SUM(2000/68)*H6</f>
        <v>0.676470588235294</v>
      </c>
      <c r="V6" s="47"/>
      <c r="W6" s="47"/>
      <c r="X6" s="47">
        <f t="shared" si="0"/>
        <v>17.6154632352941</v>
      </c>
      <c r="Y6" s="101">
        <f t="shared" ref="Y6:Y27" si="7">SUM(12270/68)*H6</f>
        <v>4.15014705882353</v>
      </c>
      <c r="Z6" s="102"/>
      <c r="AA6" s="101">
        <f t="shared" ref="AA6:AA27" si="8">SUM(55.42/68)*H6</f>
        <v>0.018745</v>
      </c>
      <c r="AB6" s="102">
        <f t="shared" si="1"/>
        <v>4.16889205882353</v>
      </c>
      <c r="AC6" s="89">
        <v>7.25</v>
      </c>
      <c r="AD6" s="47">
        <f t="shared" si="2"/>
        <v>30.2244674264706</v>
      </c>
      <c r="AE6" s="47">
        <f t="shared" si="3"/>
        <v>47.8399306617647</v>
      </c>
      <c r="AF6" s="47">
        <f t="shared" si="4"/>
        <v>104.660069338235</v>
      </c>
    </row>
    <row r="7" s="2" customFormat="1" spans="1:32">
      <c r="A7" s="86"/>
      <c r="B7" s="45"/>
      <c r="C7" s="23">
        <v>241209000092</v>
      </c>
      <c r="D7" s="24">
        <v>45643</v>
      </c>
      <c r="E7" s="24" t="s">
        <v>68</v>
      </c>
      <c r="F7" s="45" t="s">
        <v>69</v>
      </c>
      <c r="G7" s="45" t="s">
        <v>110</v>
      </c>
      <c r="H7" s="87">
        <v>0.1652</v>
      </c>
      <c r="I7" s="87">
        <v>33</v>
      </c>
      <c r="J7" s="88">
        <v>565</v>
      </c>
      <c r="K7" s="89"/>
      <c r="L7" s="93"/>
      <c r="M7" s="44"/>
      <c r="N7" s="90"/>
      <c r="O7" s="45"/>
      <c r="P7" s="92">
        <f>SUBTOTAL(9,J7)</f>
        <v>565</v>
      </c>
      <c r="Q7" s="98"/>
      <c r="R7" s="98"/>
      <c r="S7" s="47">
        <f t="shared" si="5"/>
        <v>121.666155882353</v>
      </c>
      <c r="T7" s="47"/>
      <c r="U7" s="47">
        <f t="shared" si="6"/>
        <v>4.85882352941177</v>
      </c>
      <c r="V7" s="47"/>
      <c r="W7" s="47"/>
      <c r="X7" s="47">
        <f t="shared" si="0"/>
        <v>126.524979411765</v>
      </c>
      <c r="Y7" s="101">
        <f t="shared" si="7"/>
        <v>29.8088823529412</v>
      </c>
      <c r="Z7" s="101">
        <v>19.6</v>
      </c>
      <c r="AA7" s="101">
        <f t="shared" si="8"/>
        <v>0.134638</v>
      </c>
      <c r="AB7" s="102">
        <f t="shared" si="1"/>
        <v>49.5435203529412</v>
      </c>
      <c r="AC7" s="89">
        <v>7.25</v>
      </c>
      <c r="AD7" s="47">
        <f t="shared" si="2"/>
        <v>359.190522558824</v>
      </c>
      <c r="AE7" s="47">
        <f t="shared" si="3"/>
        <v>485.715501970588</v>
      </c>
      <c r="AF7" s="47">
        <f t="shared" si="4"/>
        <v>79.284498029412</v>
      </c>
    </row>
    <row r="8" s="2" customFormat="1" spans="1:32">
      <c r="A8" s="86"/>
      <c r="B8" s="45"/>
      <c r="C8" s="23">
        <v>241210000030</v>
      </c>
      <c r="D8" s="24">
        <v>45643</v>
      </c>
      <c r="E8" s="24" t="s">
        <v>68</v>
      </c>
      <c r="F8" s="45" t="s">
        <v>69</v>
      </c>
      <c r="G8" s="45" t="s">
        <v>100</v>
      </c>
      <c r="H8" s="87">
        <v>0.5114</v>
      </c>
      <c r="I8" s="87">
        <v>65</v>
      </c>
      <c r="J8" s="92"/>
      <c r="K8" s="103">
        <v>312494</v>
      </c>
      <c r="L8" s="93"/>
      <c r="M8" s="44">
        <f>SUM(K8/N8)</f>
        <v>1651.48504386428</v>
      </c>
      <c r="N8" s="95">
        <v>189.22</v>
      </c>
      <c r="O8" s="45">
        <v>7.27</v>
      </c>
      <c r="P8" s="92">
        <f>SUM(N8*O8)</f>
        <v>1375.6294</v>
      </c>
      <c r="Q8" s="98"/>
      <c r="R8" s="98"/>
      <c r="S8" s="47">
        <f t="shared" si="5"/>
        <v>376.634819117647</v>
      </c>
      <c r="T8" s="47"/>
      <c r="U8" s="47">
        <f t="shared" si="6"/>
        <v>15.0411764705882</v>
      </c>
      <c r="V8" s="47"/>
      <c r="W8" s="47"/>
      <c r="X8" s="47">
        <f t="shared" si="0"/>
        <v>391.675995588235</v>
      </c>
      <c r="Y8" s="101">
        <f t="shared" si="7"/>
        <v>92.2776176470588</v>
      </c>
      <c r="Z8" s="102"/>
      <c r="AA8" s="101">
        <f t="shared" si="8"/>
        <v>0.416791</v>
      </c>
      <c r="AB8" s="102">
        <f t="shared" si="1"/>
        <v>92.6944086470588</v>
      </c>
      <c r="AC8" s="89">
        <v>7.25</v>
      </c>
      <c r="AD8" s="47">
        <f t="shared" si="2"/>
        <v>672.034462691176</v>
      </c>
      <c r="AE8" s="47">
        <f t="shared" si="3"/>
        <v>1063.71045827941</v>
      </c>
      <c r="AF8" s="47">
        <f t="shared" si="4"/>
        <v>311.91894172059</v>
      </c>
    </row>
    <row r="9" s="2" customFormat="1" spans="1:32">
      <c r="A9" s="86"/>
      <c r="B9" s="45"/>
      <c r="C9" s="23">
        <v>241210000041</v>
      </c>
      <c r="D9" s="24">
        <v>45643</v>
      </c>
      <c r="E9" s="24" t="s">
        <v>68</v>
      </c>
      <c r="F9" s="45" t="s">
        <v>69</v>
      </c>
      <c r="G9" s="45" t="s">
        <v>111</v>
      </c>
      <c r="H9" s="87">
        <v>0.7637</v>
      </c>
      <c r="I9" s="87">
        <v>207</v>
      </c>
      <c r="J9" s="88">
        <v>1810.4</v>
      </c>
      <c r="K9" s="89"/>
      <c r="L9" s="93"/>
      <c r="M9" s="44"/>
      <c r="N9" s="90"/>
      <c r="O9" s="45"/>
      <c r="P9" s="92">
        <f t="shared" ref="P9:P14" si="9">SUBTOTAL(9,J9)</f>
        <v>1810.4</v>
      </c>
      <c r="Q9" s="98"/>
      <c r="R9" s="98"/>
      <c r="S9" s="47">
        <f t="shared" si="5"/>
        <v>562.448203676471</v>
      </c>
      <c r="T9" s="47"/>
      <c r="U9" s="47">
        <f t="shared" si="6"/>
        <v>22.4617647058824</v>
      </c>
      <c r="V9" s="47"/>
      <c r="W9" s="47"/>
      <c r="X9" s="47">
        <f t="shared" si="0"/>
        <v>584.909968382353</v>
      </c>
      <c r="Y9" s="101">
        <f t="shared" si="7"/>
        <v>137.802926470588</v>
      </c>
      <c r="Z9" s="102"/>
      <c r="AA9" s="101">
        <f t="shared" si="8"/>
        <v>0.6224155</v>
      </c>
      <c r="AB9" s="102">
        <f t="shared" si="1"/>
        <v>138.425341970588</v>
      </c>
      <c r="AC9" s="89">
        <v>7.25</v>
      </c>
      <c r="AD9" s="47">
        <f t="shared" si="2"/>
        <v>1003.58372928676</v>
      </c>
      <c r="AE9" s="47">
        <f t="shared" si="3"/>
        <v>1588.49369766912</v>
      </c>
      <c r="AF9" s="47">
        <f t="shared" si="4"/>
        <v>221.90630233088</v>
      </c>
    </row>
    <row r="10" s="2" customFormat="1" spans="1:32">
      <c r="A10" s="86"/>
      <c r="B10" s="45"/>
      <c r="C10" s="23">
        <v>241211000027</v>
      </c>
      <c r="D10" s="24">
        <v>45643</v>
      </c>
      <c r="E10" s="24" t="s">
        <v>65</v>
      </c>
      <c r="F10" s="45" t="s">
        <v>65</v>
      </c>
      <c r="G10" s="45" t="s">
        <v>101</v>
      </c>
      <c r="H10" s="87">
        <v>23.8172</v>
      </c>
      <c r="I10" s="87">
        <v>4565</v>
      </c>
      <c r="J10" s="88">
        <v>54267</v>
      </c>
      <c r="K10" s="89"/>
      <c r="L10" s="93"/>
      <c r="M10" s="44"/>
      <c r="N10" s="90"/>
      <c r="O10" s="45"/>
      <c r="P10" s="92">
        <f t="shared" si="9"/>
        <v>54267</v>
      </c>
      <c r="Q10" s="98"/>
      <c r="R10" s="98"/>
      <c r="S10" s="47">
        <f t="shared" si="5"/>
        <v>17540.8424205882</v>
      </c>
      <c r="T10" s="47"/>
      <c r="U10" s="47">
        <f t="shared" si="6"/>
        <v>700.505882352941</v>
      </c>
      <c r="V10" s="47"/>
      <c r="W10" s="47"/>
      <c r="X10" s="47">
        <f t="shared" si="0"/>
        <v>18241.3483029412</v>
      </c>
      <c r="Y10" s="101">
        <f t="shared" si="7"/>
        <v>4297.60358823529</v>
      </c>
      <c r="Z10" s="101">
        <v>136.87</v>
      </c>
      <c r="AA10" s="101">
        <f t="shared" si="8"/>
        <v>19.411018</v>
      </c>
      <c r="AB10" s="102">
        <f t="shared" si="1"/>
        <v>4453.88460623529</v>
      </c>
      <c r="AC10" s="89">
        <v>7.25</v>
      </c>
      <c r="AD10" s="47">
        <f t="shared" si="2"/>
        <v>32290.6633952059</v>
      </c>
      <c r="AE10" s="47">
        <f t="shared" si="3"/>
        <v>50532.0116981471</v>
      </c>
      <c r="AF10" s="47">
        <f t="shared" si="4"/>
        <v>3734.9883018529</v>
      </c>
    </row>
    <row r="11" s="2" customFormat="1" spans="1:32">
      <c r="A11" s="86"/>
      <c r="B11" s="45"/>
      <c r="C11" s="23">
        <v>241212000006</v>
      </c>
      <c r="D11" s="24">
        <v>45643</v>
      </c>
      <c r="E11" s="24" t="s">
        <v>68</v>
      </c>
      <c r="F11" s="45" t="s">
        <v>69</v>
      </c>
      <c r="G11" s="45" t="s">
        <v>112</v>
      </c>
      <c r="H11" s="87">
        <v>3.0701</v>
      </c>
      <c r="I11" s="87">
        <v>1383</v>
      </c>
      <c r="J11" s="92"/>
      <c r="K11" s="103">
        <v>1406444</v>
      </c>
      <c r="L11" s="93"/>
      <c r="M11" s="44">
        <f>SUM(K11/N11)</f>
        <v>1607.40131202999</v>
      </c>
      <c r="N11" s="95">
        <v>874.98</v>
      </c>
      <c r="O11" s="45">
        <v>7.3</v>
      </c>
      <c r="P11" s="92">
        <f>SUM(N11*O11)</f>
        <v>6387.354</v>
      </c>
      <c r="Q11" s="98"/>
      <c r="R11" s="98"/>
      <c r="S11" s="47">
        <f t="shared" si="5"/>
        <v>2261.06092720588</v>
      </c>
      <c r="T11" s="47"/>
      <c r="U11" s="47">
        <f t="shared" si="6"/>
        <v>90.2970588235294</v>
      </c>
      <c r="V11" s="47"/>
      <c r="W11" s="47"/>
      <c r="X11" s="47">
        <f t="shared" si="0"/>
        <v>2351.35798602941</v>
      </c>
      <c r="Y11" s="101">
        <f t="shared" si="7"/>
        <v>553.972455882353</v>
      </c>
      <c r="Z11" s="102"/>
      <c r="AA11" s="101">
        <f t="shared" si="8"/>
        <v>2.5021315</v>
      </c>
      <c r="AB11" s="102">
        <f t="shared" si="1"/>
        <v>556.474587382353</v>
      </c>
      <c r="AC11" s="89">
        <v>7.25</v>
      </c>
      <c r="AD11" s="47">
        <f t="shared" si="2"/>
        <v>4034.44075852206</v>
      </c>
      <c r="AE11" s="47">
        <f t="shared" si="3"/>
        <v>6385.79874455147</v>
      </c>
      <c r="AF11" s="47">
        <f t="shared" si="4"/>
        <v>1.55525544853026</v>
      </c>
    </row>
    <row r="12" s="2" customFormat="1" spans="1:32">
      <c r="A12" s="86"/>
      <c r="B12" s="45"/>
      <c r="C12" s="23">
        <v>241212000015</v>
      </c>
      <c r="D12" s="24">
        <v>45643</v>
      </c>
      <c r="E12" s="24" t="s">
        <v>65</v>
      </c>
      <c r="F12" s="45" t="s">
        <v>65</v>
      </c>
      <c r="G12" s="45" t="s">
        <v>109</v>
      </c>
      <c r="H12" s="87">
        <v>2.957</v>
      </c>
      <c r="I12" s="87">
        <v>1339</v>
      </c>
      <c r="J12" s="88">
        <v>7123.63</v>
      </c>
      <c r="K12" s="89"/>
      <c r="L12" s="93"/>
      <c r="M12" s="44"/>
      <c r="N12" s="90"/>
      <c r="O12" s="45"/>
      <c r="P12" s="92">
        <f t="shared" si="9"/>
        <v>7123.63</v>
      </c>
      <c r="Q12" s="98"/>
      <c r="R12" s="98"/>
      <c r="S12" s="47">
        <f t="shared" si="5"/>
        <v>2177.76527205882</v>
      </c>
      <c r="T12" s="47"/>
      <c r="U12" s="47">
        <f t="shared" si="6"/>
        <v>86.9705882352941</v>
      </c>
      <c r="V12" s="47"/>
      <c r="W12" s="47"/>
      <c r="X12" s="47">
        <f t="shared" si="0"/>
        <v>2264.73586029412</v>
      </c>
      <c r="Y12" s="101">
        <f t="shared" si="7"/>
        <v>533.564558823529</v>
      </c>
      <c r="Z12" s="102"/>
      <c r="AA12" s="101">
        <f t="shared" si="8"/>
        <v>2.409955</v>
      </c>
      <c r="AB12" s="102">
        <f t="shared" si="1"/>
        <v>535.974513823529</v>
      </c>
      <c r="AC12" s="89">
        <v>7.25</v>
      </c>
      <c r="AD12" s="47">
        <f t="shared" si="2"/>
        <v>3885.81522522059</v>
      </c>
      <c r="AE12" s="47">
        <f t="shared" si="3"/>
        <v>6150.55108551471</v>
      </c>
      <c r="AF12" s="47">
        <f t="shared" si="4"/>
        <v>973.07891448529</v>
      </c>
    </row>
    <row r="13" s="2" customFormat="1" spans="1:32">
      <c r="A13" s="86"/>
      <c r="B13" s="45"/>
      <c r="C13" s="23">
        <v>241213000032</v>
      </c>
      <c r="D13" s="24">
        <v>45643</v>
      </c>
      <c r="E13" s="24" t="s">
        <v>68</v>
      </c>
      <c r="F13" s="45" t="s">
        <v>69</v>
      </c>
      <c r="G13" s="45" t="s">
        <v>113</v>
      </c>
      <c r="H13" s="87">
        <v>1.137</v>
      </c>
      <c r="I13" s="87">
        <v>240</v>
      </c>
      <c r="J13" s="88">
        <v>2906</v>
      </c>
      <c r="K13" s="89"/>
      <c r="L13" s="93"/>
      <c r="M13" s="44"/>
      <c r="N13" s="90"/>
      <c r="O13" s="45"/>
      <c r="P13" s="92">
        <f t="shared" si="9"/>
        <v>2906</v>
      </c>
      <c r="Q13" s="98"/>
      <c r="R13" s="98"/>
      <c r="S13" s="47">
        <f t="shared" si="5"/>
        <v>837.375419117647</v>
      </c>
      <c r="T13" s="47"/>
      <c r="U13" s="47">
        <f t="shared" si="6"/>
        <v>33.4411764705882</v>
      </c>
      <c r="V13" s="47"/>
      <c r="W13" s="47"/>
      <c r="X13" s="47">
        <f t="shared" si="0"/>
        <v>870.816595588235</v>
      </c>
      <c r="Y13" s="101">
        <f t="shared" si="7"/>
        <v>205.161617647059</v>
      </c>
      <c r="Z13" s="101">
        <v>41.99</v>
      </c>
      <c r="AA13" s="101">
        <f t="shared" si="8"/>
        <v>0.926655</v>
      </c>
      <c r="AB13" s="102">
        <f t="shared" si="1"/>
        <v>248.078272647059</v>
      </c>
      <c r="AC13" s="89">
        <v>7.25</v>
      </c>
      <c r="AD13" s="47">
        <f t="shared" si="2"/>
        <v>1798.56747669118</v>
      </c>
      <c r="AE13" s="47">
        <f t="shared" si="3"/>
        <v>2669.38407227941</v>
      </c>
      <c r="AF13" s="47">
        <f t="shared" si="4"/>
        <v>236.61592772059</v>
      </c>
    </row>
    <row r="14" s="2" customFormat="1" spans="1:32">
      <c r="A14" s="86"/>
      <c r="B14" s="45"/>
      <c r="C14" s="23">
        <v>241213000053</v>
      </c>
      <c r="D14" s="24">
        <v>45643</v>
      </c>
      <c r="E14" s="24" t="s">
        <v>68</v>
      </c>
      <c r="F14" s="45" t="s">
        <v>69</v>
      </c>
      <c r="G14" s="45" t="s">
        <v>113</v>
      </c>
      <c r="H14" s="87">
        <v>0.0959</v>
      </c>
      <c r="I14" s="87">
        <v>16</v>
      </c>
      <c r="J14" s="88">
        <v>228</v>
      </c>
      <c r="K14" s="89"/>
      <c r="L14" s="93"/>
      <c r="M14" s="44"/>
      <c r="N14" s="90"/>
      <c r="O14" s="45"/>
      <c r="P14" s="92">
        <f t="shared" si="9"/>
        <v>228</v>
      </c>
      <c r="Q14" s="98"/>
      <c r="R14" s="98"/>
      <c r="S14" s="47">
        <f t="shared" si="5"/>
        <v>70.6282345588235</v>
      </c>
      <c r="T14" s="47"/>
      <c r="U14" s="47">
        <f t="shared" si="6"/>
        <v>2.82058823529412</v>
      </c>
      <c r="V14" s="47"/>
      <c r="W14" s="47"/>
      <c r="X14" s="47">
        <f t="shared" si="0"/>
        <v>73.4488227941177</v>
      </c>
      <c r="Y14" s="101">
        <f t="shared" si="7"/>
        <v>17.3043088235294</v>
      </c>
      <c r="Z14" s="101">
        <v>35.58</v>
      </c>
      <c r="AA14" s="101">
        <f t="shared" si="8"/>
        <v>0.0781585</v>
      </c>
      <c r="AB14" s="102">
        <f t="shared" si="1"/>
        <v>52.9624673235294</v>
      </c>
      <c r="AC14" s="89">
        <v>7.25</v>
      </c>
      <c r="AD14" s="47">
        <f t="shared" si="2"/>
        <v>383.977888095588</v>
      </c>
      <c r="AE14" s="47">
        <f t="shared" si="3"/>
        <v>457.426710889706</v>
      </c>
      <c r="AF14" s="47">
        <f t="shared" si="4"/>
        <v>-229.426710889706</v>
      </c>
    </row>
    <row r="15" s="2" customFormat="1" spans="1:32">
      <c r="A15" s="86"/>
      <c r="B15" s="45"/>
      <c r="C15" s="23">
        <v>241213000056</v>
      </c>
      <c r="D15" s="24">
        <v>45643</v>
      </c>
      <c r="E15" s="24" t="s">
        <v>55</v>
      </c>
      <c r="F15" s="45" t="s">
        <v>56</v>
      </c>
      <c r="G15" s="45" t="s">
        <v>57</v>
      </c>
      <c r="H15" s="87">
        <v>1.2461</v>
      </c>
      <c r="I15" s="87">
        <v>230</v>
      </c>
      <c r="J15" s="92"/>
      <c r="K15" s="103">
        <v>116181</v>
      </c>
      <c r="L15" s="95">
        <v>300</v>
      </c>
      <c r="M15" s="44">
        <f>SUM(K15/N15)</f>
        <v>310.760712566201</v>
      </c>
      <c r="N15" s="95">
        <v>373.86</v>
      </c>
      <c r="O15" s="45">
        <v>7.27</v>
      </c>
      <c r="P15" s="92">
        <f>SUM(N15*O15)</f>
        <v>2717.9622</v>
      </c>
      <c r="Q15" s="98"/>
      <c r="R15" s="98"/>
      <c r="S15" s="47">
        <f t="shared" si="5"/>
        <v>917.7251625</v>
      </c>
      <c r="T15" s="47"/>
      <c r="U15" s="47">
        <f t="shared" si="6"/>
        <v>36.65</v>
      </c>
      <c r="V15" s="47"/>
      <c r="W15" s="47"/>
      <c r="X15" s="47">
        <f t="shared" si="0"/>
        <v>954.3751625</v>
      </c>
      <c r="Y15" s="101">
        <f t="shared" si="7"/>
        <v>224.84775</v>
      </c>
      <c r="Z15" s="102"/>
      <c r="AA15" s="101">
        <f t="shared" si="8"/>
        <v>1.0155715</v>
      </c>
      <c r="AB15" s="102">
        <f t="shared" si="1"/>
        <v>225.8633215</v>
      </c>
      <c r="AC15" s="89">
        <v>7.25</v>
      </c>
      <c r="AD15" s="47">
        <f t="shared" si="2"/>
        <v>1637.509080875</v>
      </c>
      <c r="AE15" s="47">
        <f t="shared" si="3"/>
        <v>2591.884243375</v>
      </c>
      <c r="AF15" s="47">
        <f t="shared" si="4"/>
        <v>126.077956625</v>
      </c>
    </row>
    <row r="16" s="2" customFormat="1" spans="1:32">
      <c r="A16" s="86"/>
      <c r="B16" s="45"/>
      <c r="C16" s="23">
        <v>241214000027</v>
      </c>
      <c r="D16" s="24">
        <v>45643</v>
      </c>
      <c r="E16" s="24" t="s">
        <v>65</v>
      </c>
      <c r="F16" s="45" t="s">
        <v>65</v>
      </c>
      <c r="G16" s="45" t="s">
        <v>114</v>
      </c>
      <c r="H16" s="87">
        <v>0.0295</v>
      </c>
      <c r="I16" s="87">
        <v>50</v>
      </c>
      <c r="J16" s="88">
        <v>555.8</v>
      </c>
      <c r="K16" s="107"/>
      <c r="L16" s="93"/>
      <c r="M16" s="44"/>
      <c r="N16" s="90"/>
      <c r="O16" s="45"/>
      <c r="P16" s="92">
        <f t="shared" ref="P16:P21" si="10">SUBTOTAL(9,J16)</f>
        <v>555.8</v>
      </c>
      <c r="Q16" s="98"/>
      <c r="R16" s="98"/>
      <c r="S16" s="47">
        <f t="shared" si="5"/>
        <v>21.7260992647059</v>
      </c>
      <c r="T16" s="47"/>
      <c r="U16" s="47">
        <f t="shared" si="6"/>
        <v>0.867647058823529</v>
      </c>
      <c r="V16" s="47"/>
      <c r="W16" s="47"/>
      <c r="X16" s="47">
        <f t="shared" si="0"/>
        <v>22.5937463235294</v>
      </c>
      <c r="Y16" s="101">
        <f t="shared" si="7"/>
        <v>5.32301470588235</v>
      </c>
      <c r="Z16" s="101">
        <v>44.59</v>
      </c>
      <c r="AA16" s="101">
        <f t="shared" si="8"/>
        <v>0.0240425</v>
      </c>
      <c r="AB16" s="102">
        <f t="shared" si="1"/>
        <v>49.9370572058824</v>
      </c>
      <c r="AC16" s="89">
        <v>7.25</v>
      </c>
      <c r="AD16" s="47">
        <f t="shared" si="2"/>
        <v>362.043664742647</v>
      </c>
      <c r="AE16" s="47">
        <f t="shared" si="3"/>
        <v>384.637411066176</v>
      </c>
      <c r="AF16" s="47">
        <f t="shared" si="4"/>
        <v>171.162588933824</v>
      </c>
    </row>
    <row r="17" s="2" customFormat="1" spans="1:32">
      <c r="A17" s="86"/>
      <c r="B17" s="45"/>
      <c r="C17" s="23">
        <v>241128000030</v>
      </c>
      <c r="D17" s="24">
        <v>45643</v>
      </c>
      <c r="E17" s="24" t="s">
        <v>65</v>
      </c>
      <c r="F17" s="45" t="s">
        <v>65</v>
      </c>
      <c r="G17" s="45" t="s">
        <v>101</v>
      </c>
      <c r="H17" s="87">
        <v>6.1439</v>
      </c>
      <c r="I17" s="87">
        <v>3510</v>
      </c>
      <c r="J17" s="88">
        <v>18062</v>
      </c>
      <c r="K17" s="89"/>
      <c r="L17" s="93"/>
      <c r="M17" s="44"/>
      <c r="N17" s="90"/>
      <c r="O17" s="45"/>
      <c r="P17" s="92">
        <f t="shared" si="10"/>
        <v>18062</v>
      </c>
      <c r="Q17" s="98"/>
      <c r="R17" s="98"/>
      <c r="S17" s="47">
        <f t="shared" si="5"/>
        <v>4524.84682279412</v>
      </c>
      <c r="T17" s="47"/>
      <c r="U17" s="47">
        <f t="shared" si="6"/>
        <v>180.702941176471</v>
      </c>
      <c r="V17" s="47"/>
      <c r="W17" s="47"/>
      <c r="X17" s="47">
        <f t="shared" si="0"/>
        <v>4705.54976397059</v>
      </c>
      <c r="Y17" s="101">
        <f t="shared" si="7"/>
        <v>1108.61254411765</v>
      </c>
      <c r="Z17" s="102"/>
      <c r="AA17" s="101">
        <f t="shared" si="8"/>
        <v>5.0072785</v>
      </c>
      <c r="AB17" s="102">
        <f t="shared" si="1"/>
        <v>1113.61982261765</v>
      </c>
      <c r="AC17" s="89">
        <v>7.25</v>
      </c>
      <c r="AD17" s="47">
        <f t="shared" si="2"/>
        <v>8073.74371397794</v>
      </c>
      <c r="AE17" s="47">
        <f t="shared" si="3"/>
        <v>12779.2934779485</v>
      </c>
      <c r="AF17" s="47">
        <f t="shared" si="4"/>
        <v>5282.7065220515</v>
      </c>
    </row>
    <row r="18" s="2" customFormat="1" spans="1:32">
      <c r="A18" s="86"/>
      <c r="B18" s="45"/>
      <c r="C18" s="23">
        <v>250110000026</v>
      </c>
      <c r="D18" s="24">
        <v>45643</v>
      </c>
      <c r="E18" s="24" t="s">
        <v>81</v>
      </c>
      <c r="F18" s="45" t="s">
        <v>89</v>
      </c>
      <c r="G18" s="45" t="s">
        <v>90</v>
      </c>
      <c r="H18" s="87">
        <v>1.0248</v>
      </c>
      <c r="I18" s="87">
        <v>276</v>
      </c>
      <c r="J18" s="88">
        <v>2271.15</v>
      </c>
      <c r="K18" s="89"/>
      <c r="L18" s="93"/>
      <c r="M18" s="44"/>
      <c r="N18" s="90"/>
      <c r="O18" s="45"/>
      <c r="P18" s="92">
        <f t="shared" si="10"/>
        <v>2271.15</v>
      </c>
      <c r="Q18" s="98"/>
      <c r="R18" s="98"/>
      <c r="S18" s="47">
        <f t="shared" si="5"/>
        <v>754.742594117647</v>
      </c>
      <c r="T18" s="47"/>
      <c r="U18" s="47">
        <f t="shared" si="6"/>
        <v>30.1411764705882</v>
      </c>
      <c r="V18" s="47"/>
      <c r="W18" s="47"/>
      <c r="X18" s="47">
        <f t="shared" si="0"/>
        <v>784.883770588235</v>
      </c>
      <c r="Y18" s="101">
        <f t="shared" si="7"/>
        <v>184.916117647059</v>
      </c>
      <c r="Z18" s="102"/>
      <c r="AA18" s="101">
        <f t="shared" si="8"/>
        <v>0.835212</v>
      </c>
      <c r="AB18" s="102">
        <f t="shared" si="1"/>
        <v>185.751329647059</v>
      </c>
      <c r="AC18" s="89">
        <v>7.25</v>
      </c>
      <c r="AD18" s="47">
        <f t="shared" si="2"/>
        <v>1346.69713994118</v>
      </c>
      <c r="AE18" s="47">
        <f t="shared" si="3"/>
        <v>2131.58091052941</v>
      </c>
      <c r="AF18" s="47">
        <f t="shared" si="4"/>
        <v>139.56908947059</v>
      </c>
    </row>
    <row r="19" s="2" customFormat="1" spans="1:32">
      <c r="A19" s="86"/>
      <c r="B19" s="45"/>
      <c r="C19" s="23">
        <v>241126000049</v>
      </c>
      <c r="D19" s="24">
        <v>45638</v>
      </c>
      <c r="E19" s="24" t="s">
        <v>65</v>
      </c>
      <c r="F19" s="45" t="s">
        <v>65</v>
      </c>
      <c r="G19" s="45" t="s">
        <v>106</v>
      </c>
      <c r="H19" s="87">
        <v>20.5166</v>
      </c>
      <c r="I19" s="87">
        <v>8722</v>
      </c>
      <c r="J19" s="88">
        <v>58944</v>
      </c>
      <c r="K19" s="89"/>
      <c r="L19" s="93"/>
      <c r="M19" s="44"/>
      <c r="N19" s="90"/>
      <c r="O19" s="45"/>
      <c r="P19" s="92">
        <f t="shared" si="10"/>
        <v>58944</v>
      </c>
      <c r="Q19" s="98"/>
      <c r="R19" s="98"/>
      <c r="S19" s="47">
        <f t="shared" si="5"/>
        <v>15110.0233279412</v>
      </c>
      <c r="T19" s="47"/>
      <c r="U19" s="47">
        <f t="shared" si="6"/>
        <v>603.429411764706</v>
      </c>
      <c r="V19" s="47"/>
      <c r="W19" s="47"/>
      <c r="X19" s="47">
        <f t="shared" si="0"/>
        <v>15713.4527397059</v>
      </c>
      <c r="Y19" s="101">
        <f t="shared" si="7"/>
        <v>3702.03944117647</v>
      </c>
      <c r="Z19" s="101">
        <v>1082.8</v>
      </c>
      <c r="AA19" s="101">
        <f t="shared" si="8"/>
        <v>16.721029</v>
      </c>
      <c r="AB19" s="102">
        <f t="shared" si="1"/>
        <v>4801.56047017647</v>
      </c>
      <c r="AC19" s="89">
        <v>7.25</v>
      </c>
      <c r="AD19" s="47">
        <f t="shared" si="2"/>
        <v>34811.3134087794</v>
      </c>
      <c r="AE19" s="47">
        <f t="shared" si="3"/>
        <v>50524.7661484853</v>
      </c>
      <c r="AF19" s="47">
        <f t="shared" si="4"/>
        <v>8419.2338515147</v>
      </c>
    </row>
    <row r="20" s="2" customFormat="1" spans="1:32">
      <c r="A20" s="86"/>
      <c r="B20" s="45"/>
      <c r="C20" s="23">
        <v>241115000013</v>
      </c>
      <c r="D20" s="24">
        <v>45638</v>
      </c>
      <c r="E20" s="24" t="s">
        <v>65</v>
      </c>
      <c r="F20" s="45" t="s">
        <v>65</v>
      </c>
      <c r="G20" s="45" t="s">
        <v>105</v>
      </c>
      <c r="H20" s="87">
        <v>6.3827</v>
      </c>
      <c r="I20" s="87">
        <v>2355</v>
      </c>
      <c r="J20" s="88">
        <v>13563</v>
      </c>
      <c r="K20" s="89"/>
      <c r="L20" s="93"/>
      <c r="M20" s="44"/>
      <c r="N20" s="90"/>
      <c r="O20" s="45"/>
      <c r="P20" s="92">
        <f t="shared" si="10"/>
        <v>13563</v>
      </c>
      <c r="Q20" s="98"/>
      <c r="R20" s="98"/>
      <c r="S20" s="47">
        <f t="shared" si="5"/>
        <v>4700.71775514706</v>
      </c>
      <c r="T20" s="47"/>
      <c r="U20" s="47">
        <f t="shared" si="6"/>
        <v>187.726470588235</v>
      </c>
      <c r="V20" s="47"/>
      <c r="W20" s="47"/>
      <c r="X20" s="47">
        <f t="shared" si="0"/>
        <v>4888.44422573529</v>
      </c>
      <c r="Y20" s="101">
        <f t="shared" si="7"/>
        <v>1151.70189705882</v>
      </c>
      <c r="Z20" s="102"/>
      <c r="AA20" s="101">
        <f t="shared" si="8"/>
        <v>5.2019005</v>
      </c>
      <c r="AB20" s="102">
        <f t="shared" si="1"/>
        <v>1156.90379755882</v>
      </c>
      <c r="AC20" s="89">
        <v>7.25</v>
      </c>
      <c r="AD20" s="47">
        <f t="shared" si="2"/>
        <v>8387.55253230147</v>
      </c>
      <c r="AE20" s="47">
        <f t="shared" si="3"/>
        <v>13275.9967580368</v>
      </c>
      <c r="AF20" s="47">
        <f t="shared" si="4"/>
        <v>287.003241963201</v>
      </c>
    </row>
    <row r="21" s="2" customFormat="1" spans="1:32">
      <c r="A21" s="86"/>
      <c r="B21" s="45"/>
      <c r="C21" s="23">
        <v>241214000030</v>
      </c>
      <c r="D21" s="24">
        <v>45643</v>
      </c>
      <c r="E21" s="24" t="s">
        <v>68</v>
      </c>
      <c r="F21" s="45" t="s">
        <v>69</v>
      </c>
      <c r="G21" s="45" t="s">
        <v>115</v>
      </c>
      <c r="H21" s="87">
        <v>0.823</v>
      </c>
      <c r="I21" s="87">
        <v>696</v>
      </c>
      <c r="J21" s="88">
        <v>3584</v>
      </c>
      <c r="K21" s="107"/>
      <c r="L21" s="93"/>
      <c r="M21" s="44"/>
      <c r="N21" s="90"/>
      <c r="O21" s="45"/>
      <c r="P21" s="92">
        <f t="shared" si="10"/>
        <v>3584</v>
      </c>
      <c r="Q21" s="98"/>
      <c r="R21" s="98"/>
      <c r="S21" s="47">
        <f t="shared" si="5"/>
        <v>606.121345588235</v>
      </c>
      <c r="T21" s="47"/>
      <c r="U21" s="47">
        <f t="shared" si="6"/>
        <v>24.2058823529412</v>
      </c>
      <c r="V21" s="47"/>
      <c r="W21" s="47"/>
      <c r="X21" s="47">
        <f t="shared" si="0"/>
        <v>630.327227941176</v>
      </c>
      <c r="Y21" s="101">
        <f t="shared" si="7"/>
        <v>148.503088235294</v>
      </c>
      <c r="Z21" s="101">
        <v>136.53</v>
      </c>
      <c r="AA21" s="101">
        <f t="shared" si="8"/>
        <v>0.670745</v>
      </c>
      <c r="AB21" s="102">
        <f t="shared" si="1"/>
        <v>285.703833235294</v>
      </c>
      <c r="AC21" s="89">
        <v>7.25</v>
      </c>
      <c r="AD21" s="47">
        <f t="shared" si="2"/>
        <v>2071.35279095588</v>
      </c>
      <c r="AE21" s="47">
        <f t="shared" si="3"/>
        <v>2701.68001889706</v>
      </c>
      <c r="AF21" s="47">
        <f t="shared" si="4"/>
        <v>882.31998110294</v>
      </c>
    </row>
    <row r="22" s="2" customFormat="1" spans="1:32">
      <c r="A22" s="86"/>
      <c r="B22" s="45"/>
      <c r="C22" s="23">
        <v>241212000021</v>
      </c>
      <c r="D22" s="24">
        <v>45643</v>
      </c>
      <c r="E22" s="24" t="s">
        <v>68</v>
      </c>
      <c r="F22" s="45" t="s">
        <v>69</v>
      </c>
      <c r="G22" s="45" t="s">
        <v>115</v>
      </c>
      <c r="H22" s="87">
        <v>1.9011</v>
      </c>
      <c r="I22" s="87">
        <v>816.18</v>
      </c>
      <c r="J22" s="92"/>
      <c r="K22" s="103">
        <v>846007</v>
      </c>
      <c r="L22" s="93"/>
      <c r="M22" s="44">
        <f t="shared" ref="M22:M26" si="11">SUM(K22/N22)</f>
        <v>1561.4458943172</v>
      </c>
      <c r="N22" s="95">
        <v>541.81</v>
      </c>
      <c r="O22" s="45">
        <v>7.27</v>
      </c>
      <c r="P22" s="92">
        <f t="shared" ref="P22:P26" si="12">SUM(N22*O22)</f>
        <v>3938.9587</v>
      </c>
      <c r="Q22" s="98"/>
      <c r="R22" s="98"/>
      <c r="S22" s="47">
        <f t="shared" si="5"/>
        <v>1400.11821397059</v>
      </c>
      <c r="T22" s="47"/>
      <c r="U22" s="47">
        <f t="shared" si="6"/>
        <v>55.9147058823529</v>
      </c>
      <c r="V22" s="47"/>
      <c r="W22" s="47"/>
      <c r="X22" s="47">
        <f t="shared" si="0"/>
        <v>1456.03291985294</v>
      </c>
      <c r="Y22" s="101">
        <f t="shared" si="7"/>
        <v>343.036720588235</v>
      </c>
      <c r="Z22" s="102"/>
      <c r="AA22" s="101">
        <f t="shared" si="8"/>
        <v>1.5493965</v>
      </c>
      <c r="AB22" s="102">
        <f t="shared" si="1"/>
        <v>344.586117088235</v>
      </c>
      <c r="AC22" s="89">
        <v>7.25</v>
      </c>
      <c r="AD22" s="47">
        <f t="shared" si="2"/>
        <v>2498.24934888971</v>
      </c>
      <c r="AE22" s="47">
        <f t="shared" si="3"/>
        <v>3954.28226874265</v>
      </c>
      <c r="AF22" s="47">
        <f t="shared" si="4"/>
        <v>-15.3235687426509</v>
      </c>
    </row>
    <row r="23" s="2" customFormat="1" spans="1:32">
      <c r="A23" s="86"/>
      <c r="B23" s="45"/>
      <c r="C23" s="23">
        <v>241209000079</v>
      </c>
      <c r="D23" s="24">
        <v>45643</v>
      </c>
      <c r="E23" s="24" t="s">
        <v>68</v>
      </c>
      <c r="F23" s="45" t="s">
        <v>69</v>
      </c>
      <c r="G23" s="45" t="s">
        <v>116</v>
      </c>
      <c r="H23" s="87">
        <v>0.0757</v>
      </c>
      <c r="I23" s="87">
        <v>16</v>
      </c>
      <c r="J23" s="88">
        <v>195</v>
      </c>
      <c r="K23" s="89"/>
      <c r="L23" s="93"/>
      <c r="M23" s="44"/>
      <c r="N23" s="90"/>
      <c r="O23" s="45"/>
      <c r="P23" s="92">
        <f>SUBTOTAL(9,J23)</f>
        <v>195</v>
      </c>
      <c r="Q23" s="98"/>
      <c r="R23" s="98"/>
      <c r="S23" s="47">
        <f t="shared" si="5"/>
        <v>55.7513801470588</v>
      </c>
      <c r="T23" s="47"/>
      <c r="U23" s="47">
        <f t="shared" si="6"/>
        <v>2.22647058823529</v>
      </c>
      <c r="V23" s="47"/>
      <c r="W23" s="47"/>
      <c r="X23" s="47">
        <f t="shared" si="0"/>
        <v>57.9778507352941</v>
      </c>
      <c r="Y23" s="101">
        <f t="shared" si="7"/>
        <v>13.6593970588235</v>
      </c>
      <c r="Z23" s="102"/>
      <c r="AA23" s="101">
        <f t="shared" si="8"/>
        <v>0.0616955</v>
      </c>
      <c r="AB23" s="102">
        <f t="shared" si="1"/>
        <v>13.7210925588235</v>
      </c>
      <c r="AC23" s="89">
        <v>7.25</v>
      </c>
      <c r="AD23" s="47">
        <f t="shared" si="2"/>
        <v>99.4779210514706</v>
      </c>
      <c r="AE23" s="47">
        <f t="shared" si="3"/>
        <v>157.455771786765</v>
      </c>
      <c r="AF23" s="47">
        <f t="shared" si="4"/>
        <v>37.544228213235</v>
      </c>
    </row>
    <row r="24" s="2" customFormat="1" spans="1:32">
      <c r="A24" s="86"/>
      <c r="B24" s="45"/>
      <c r="C24" s="23">
        <v>241217000014</v>
      </c>
      <c r="D24" s="24">
        <v>45643</v>
      </c>
      <c r="E24" s="24" t="s">
        <v>83</v>
      </c>
      <c r="F24" s="45" t="s">
        <v>84</v>
      </c>
      <c r="G24" s="45" t="s">
        <v>117</v>
      </c>
      <c r="H24" s="87">
        <v>1.1639</v>
      </c>
      <c r="I24" s="87">
        <v>148</v>
      </c>
      <c r="J24" s="92"/>
      <c r="K24" s="103">
        <v>687330</v>
      </c>
      <c r="L24" s="93"/>
      <c r="M24" s="44">
        <f t="shared" si="11"/>
        <v>1536.00160901046</v>
      </c>
      <c r="N24" s="95">
        <v>447.48</v>
      </c>
      <c r="O24" s="45">
        <v>7.27</v>
      </c>
      <c r="P24" s="92">
        <f t="shared" si="12"/>
        <v>3253.1796</v>
      </c>
      <c r="Q24" s="98"/>
      <c r="R24" s="98"/>
      <c r="S24" s="47">
        <f t="shared" si="5"/>
        <v>857.186675735294</v>
      </c>
      <c r="T24" s="47"/>
      <c r="U24" s="47">
        <f t="shared" si="6"/>
        <v>34.2323529411765</v>
      </c>
      <c r="V24" s="47"/>
      <c r="W24" s="47"/>
      <c r="X24" s="47">
        <f t="shared" si="0"/>
        <v>891.419028676471</v>
      </c>
      <c r="Y24" s="101">
        <f t="shared" si="7"/>
        <v>210.015485294118</v>
      </c>
      <c r="Z24" s="101">
        <v>66.75</v>
      </c>
      <c r="AA24" s="101">
        <f t="shared" si="8"/>
        <v>0.9485785</v>
      </c>
      <c r="AB24" s="102">
        <f t="shared" si="1"/>
        <v>277.714063794118</v>
      </c>
      <c r="AC24" s="89">
        <v>7.25</v>
      </c>
      <c r="AD24" s="47">
        <f t="shared" si="2"/>
        <v>2013.42696250735</v>
      </c>
      <c r="AE24" s="47">
        <f t="shared" si="3"/>
        <v>2904.84599118382</v>
      </c>
      <c r="AF24" s="47">
        <f t="shared" si="4"/>
        <v>348.33360881618</v>
      </c>
    </row>
    <row r="25" s="2" customFormat="1" spans="1:32">
      <c r="A25" s="86"/>
      <c r="B25" s="45"/>
      <c r="C25" s="23">
        <v>241217000015</v>
      </c>
      <c r="D25" s="24">
        <v>45643</v>
      </c>
      <c r="E25" s="24" t="s">
        <v>83</v>
      </c>
      <c r="F25" s="45" t="s">
        <v>84</v>
      </c>
      <c r="G25" s="45" t="s">
        <v>118</v>
      </c>
      <c r="H25" s="87">
        <v>0.322</v>
      </c>
      <c r="I25" s="87">
        <v>85</v>
      </c>
      <c r="J25" s="92"/>
      <c r="K25" s="103">
        <v>186847</v>
      </c>
      <c r="L25" s="93"/>
      <c r="M25" s="44">
        <f t="shared" si="11"/>
        <v>1582.1083827265</v>
      </c>
      <c r="N25" s="95">
        <v>118.1</v>
      </c>
      <c r="O25" s="45">
        <v>7.25</v>
      </c>
      <c r="P25" s="92">
        <f t="shared" si="12"/>
        <v>856.225</v>
      </c>
      <c r="Q25" s="98"/>
      <c r="R25" s="98"/>
      <c r="S25" s="47">
        <f t="shared" si="5"/>
        <v>237.145897058824</v>
      </c>
      <c r="T25" s="47"/>
      <c r="U25" s="47">
        <f t="shared" si="6"/>
        <v>9.47058823529412</v>
      </c>
      <c r="V25" s="47"/>
      <c r="W25" s="47"/>
      <c r="X25" s="47">
        <f t="shared" si="0"/>
        <v>246.616485294118</v>
      </c>
      <c r="Y25" s="101">
        <f t="shared" si="7"/>
        <v>58.1020588235294</v>
      </c>
      <c r="Z25" s="102"/>
      <c r="AA25" s="101">
        <f t="shared" si="8"/>
        <v>0.26243</v>
      </c>
      <c r="AB25" s="102">
        <f t="shared" si="1"/>
        <v>58.3644888235294</v>
      </c>
      <c r="AC25" s="89">
        <v>7.25</v>
      </c>
      <c r="AD25" s="47">
        <f t="shared" si="2"/>
        <v>423.142543970588</v>
      </c>
      <c r="AE25" s="47">
        <f t="shared" si="3"/>
        <v>669.759029264706</v>
      </c>
      <c r="AF25" s="47">
        <f t="shared" si="4"/>
        <v>186.465970735294</v>
      </c>
    </row>
    <row r="26" s="2" customFormat="1" spans="1:32">
      <c r="A26" s="86"/>
      <c r="B26" s="45"/>
      <c r="C26" s="23">
        <v>241217000016</v>
      </c>
      <c r="D26" s="24">
        <v>45643</v>
      </c>
      <c r="E26" s="24" t="s">
        <v>59</v>
      </c>
      <c r="F26" s="45" t="s">
        <v>60</v>
      </c>
      <c r="G26" s="45" t="s">
        <v>96</v>
      </c>
      <c r="H26" s="87">
        <v>0.6596</v>
      </c>
      <c r="I26" s="87">
        <v>58</v>
      </c>
      <c r="J26" s="92"/>
      <c r="K26" s="103">
        <v>296670</v>
      </c>
      <c r="L26" s="93"/>
      <c r="M26" s="44">
        <f t="shared" si="11"/>
        <v>1550</v>
      </c>
      <c r="N26" s="95">
        <v>191.4</v>
      </c>
      <c r="O26" s="45">
        <v>7.27</v>
      </c>
      <c r="P26" s="92">
        <f t="shared" si="12"/>
        <v>1391.478</v>
      </c>
      <c r="Q26" s="98"/>
      <c r="R26" s="98"/>
      <c r="S26" s="47">
        <f t="shared" si="5"/>
        <v>485.78085</v>
      </c>
      <c r="T26" s="47"/>
      <c r="U26" s="47">
        <f t="shared" si="6"/>
        <v>19.4</v>
      </c>
      <c r="V26" s="47"/>
      <c r="W26" s="47"/>
      <c r="X26" s="47">
        <f t="shared" si="0"/>
        <v>505.18085</v>
      </c>
      <c r="Y26" s="101">
        <f t="shared" si="7"/>
        <v>119.019</v>
      </c>
      <c r="Z26" s="102"/>
      <c r="AA26" s="101">
        <f t="shared" si="8"/>
        <v>0.537574</v>
      </c>
      <c r="AB26" s="102">
        <f t="shared" si="1"/>
        <v>119.556574</v>
      </c>
      <c r="AC26" s="89">
        <v>7.25</v>
      </c>
      <c r="AD26" s="47">
        <f t="shared" si="2"/>
        <v>866.7851615</v>
      </c>
      <c r="AE26" s="47">
        <f t="shared" si="3"/>
        <v>1371.9660115</v>
      </c>
      <c r="AF26" s="47">
        <f t="shared" si="4"/>
        <v>19.5119885000001</v>
      </c>
    </row>
    <row r="27" s="2" customFormat="1" spans="1:32">
      <c r="A27" s="86"/>
      <c r="B27" s="45"/>
      <c r="C27" s="23">
        <v>241217000024</v>
      </c>
      <c r="D27" s="24">
        <v>45643</v>
      </c>
      <c r="E27" s="24" t="s">
        <v>68</v>
      </c>
      <c r="F27" s="45" t="s">
        <v>69</v>
      </c>
      <c r="G27" s="45" t="s">
        <v>119</v>
      </c>
      <c r="H27" s="87">
        <v>0.4017</v>
      </c>
      <c r="I27" s="87">
        <v>36</v>
      </c>
      <c r="J27" s="88">
        <v>876</v>
      </c>
      <c r="K27" s="89"/>
      <c r="L27" s="93"/>
      <c r="M27" s="44"/>
      <c r="N27" s="90"/>
      <c r="O27" s="45"/>
      <c r="P27" s="92">
        <f>SUBTOTAL(9,J27)</f>
        <v>876</v>
      </c>
      <c r="Q27" s="100"/>
      <c r="R27" s="100"/>
      <c r="S27" s="47">
        <f t="shared" si="5"/>
        <v>295.843188970588</v>
      </c>
      <c r="T27" s="47"/>
      <c r="U27" s="47">
        <f t="shared" si="6"/>
        <v>11.8147058823529</v>
      </c>
      <c r="V27" s="47"/>
      <c r="W27" s="47"/>
      <c r="X27" s="47">
        <f t="shared" si="0"/>
        <v>307.657894852941</v>
      </c>
      <c r="Y27" s="101">
        <f t="shared" si="7"/>
        <v>72.4832205882353</v>
      </c>
      <c r="Z27" s="102"/>
      <c r="AA27" s="101">
        <f t="shared" si="8"/>
        <v>0.3273855</v>
      </c>
      <c r="AB27" s="102">
        <f t="shared" si="1"/>
        <v>72.8106060882353</v>
      </c>
      <c r="AC27" s="89">
        <v>7.25</v>
      </c>
      <c r="AD27" s="47">
        <f t="shared" si="2"/>
        <v>527.876894139706</v>
      </c>
      <c r="AE27" s="47">
        <f t="shared" si="3"/>
        <v>835.534788992647</v>
      </c>
      <c r="AF27" s="47">
        <f t="shared" si="4"/>
        <v>40.465211007353</v>
      </c>
    </row>
    <row r="28" ht="15.75" spans="1:32">
      <c r="A28" s="26" t="s">
        <v>22</v>
      </c>
      <c r="B28" s="27"/>
      <c r="C28" s="27"/>
      <c r="D28" s="27"/>
      <c r="E28" s="27"/>
      <c r="F28" s="27"/>
      <c r="G28" s="27"/>
      <c r="H28" s="27"/>
      <c r="I28" s="48"/>
      <c r="J28" s="27">
        <f>SUM(J4:J4)</f>
        <v>0</v>
      </c>
      <c r="K28" s="49"/>
      <c r="L28" s="50"/>
      <c r="M28" s="49"/>
      <c r="N28" s="49">
        <f t="shared" ref="N28:Q28" si="13">SUM(N4:N4)</f>
        <v>0</v>
      </c>
      <c r="O28" s="27"/>
      <c r="P28" s="27">
        <f t="shared" si="13"/>
        <v>0</v>
      </c>
      <c r="Q28" s="27">
        <f t="shared" si="13"/>
        <v>0</v>
      </c>
      <c r="R28" s="27"/>
      <c r="S28" s="27"/>
      <c r="T28" s="27"/>
      <c r="U28" s="27"/>
      <c r="V28" s="27"/>
      <c r="W28" s="27"/>
      <c r="X28" s="71">
        <f>SUM(X4:X4)</f>
        <v>0</v>
      </c>
      <c r="Y28" s="50"/>
      <c r="Z28" s="50"/>
      <c r="AA28" s="50"/>
      <c r="AB28" s="50"/>
      <c r="AC28" s="49"/>
      <c r="AD28" s="27">
        <f>SUM(AD4:AD4)</f>
        <v>0</v>
      </c>
      <c r="AE28" s="27"/>
      <c r="AF28" s="85">
        <f>SUM(AF4:AF27)</f>
        <v>20710.7395563896</v>
      </c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</sheetData>
  <autoFilter xmlns:etc="http://www.wps.cn/officeDocument/2017/etCustomData" ref="A3:AF28" etc:filterBottomFollowUsedRange="0">
    <extLst/>
  </autoFilter>
  <mergeCells count="21">
    <mergeCell ref="A1:AF1"/>
    <mergeCell ref="J3:P3"/>
    <mergeCell ref="R3:V3"/>
    <mergeCell ref="Y3:AD3"/>
    <mergeCell ref="A3:A4"/>
    <mergeCell ref="A5:A27"/>
    <mergeCell ref="B3:B4"/>
    <mergeCell ref="B5:B27"/>
    <mergeCell ref="C3:C4"/>
    <mergeCell ref="D3:D4"/>
    <mergeCell ref="E3:E4"/>
    <mergeCell ref="F3:F4"/>
    <mergeCell ref="G3:G4"/>
    <mergeCell ref="H3:H4"/>
    <mergeCell ref="I3:I4"/>
    <mergeCell ref="Q3:Q4"/>
    <mergeCell ref="Q5:Q27"/>
    <mergeCell ref="R5:R27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zoomScale="110" zoomScaleNormal="110" workbookViewId="0">
      <pane xSplit="8" ySplit="1" topLeftCell="Y2" activePane="bottomRight" state="frozen"/>
      <selection/>
      <selection pane="topRight"/>
      <selection pane="bottomLeft"/>
      <selection pane="bottomRight" activeCell="AA5" sqref="AA5:AA11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72.6467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14</v>
      </c>
      <c r="B5" s="45" t="s">
        <v>15</v>
      </c>
      <c r="C5" s="23">
        <v>241212000021</v>
      </c>
      <c r="D5" s="106">
        <v>46010</v>
      </c>
      <c r="E5" s="24" t="s">
        <v>68</v>
      </c>
      <c r="F5" s="45" t="s">
        <v>69</v>
      </c>
      <c r="G5" s="45" t="s">
        <v>115</v>
      </c>
      <c r="H5" s="87">
        <v>0.1207</v>
      </c>
      <c r="I5" s="87">
        <v>51.82</v>
      </c>
      <c r="J5" s="92"/>
      <c r="K5" s="103">
        <v>53713</v>
      </c>
      <c r="L5" s="45"/>
      <c r="M5" s="44">
        <f>SUM(K5/N5)</f>
        <v>1561.42441860465</v>
      </c>
      <c r="N5" s="95">
        <v>34.4</v>
      </c>
      <c r="O5" s="45">
        <v>7.27</v>
      </c>
      <c r="P5" s="92">
        <f>SUM(N5*O5)</f>
        <v>250.088</v>
      </c>
      <c r="Q5" s="96">
        <f>SUM(P5:P11)</f>
        <v>155095.058</v>
      </c>
      <c r="R5" s="97" t="s">
        <v>120</v>
      </c>
      <c r="S5" s="47">
        <f>SUM(48777.5/68)*H5</f>
        <v>86.5800625</v>
      </c>
      <c r="T5" s="47">
        <f>SUM(88.88/68)*H5</f>
        <v>0.157762</v>
      </c>
      <c r="U5" s="47">
        <f>SUM(1900/68)*H5</f>
        <v>3.3725</v>
      </c>
      <c r="V5" s="47"/>
      <c r="W5" s="47"/>
      <c r="X5" s="47">
        <f t="shared" ref="X5:X42" si="0">SUM(S5:W5)</f>
        <v>90.1103245</v>
      </c>
      <c r="Y5" s="102">
        <f>SUM(12037/68)*H5</f>
        <v>21.365675</v>
      </c>
      <c r="Z5" s="102"/>
      <c r="AA5" s="102">
        <f>SUM(57.52/68)*H5</f>
        <v>0.102098</v>
      </c>
      <c r="AB5" s="102">
        <f t="shared" ref="AB5:AB42" si="1">SUM(Y5:AA5)</f>
        <v>21.467773</v>
      </c>
      <c r="AC5" s="89">
        <v>7.25</v>
      </c>
      <c r="AD5" s="47">
        <f t="shared" ref="AD5:AD42" si="2">SUM(AB5*AC5)</f>
        <v>155.64135425</v>
      </c>
      <c r="AE5" s="47">
        <f t="shared" ref="AE5:AE42" si="3">SUM(X5+AD5)</f>
        <v>245.75167875</v>
      </c>
      <c r="AF5" s="47">
        <f t="shared" ref="AF5:AF42" si="4">SUM(P5-AE5)</f>
        <v>4.33632124999997</v>
      </c>
    </row>
    <row r="6" s="2" customFormat="1" spans="1:32">
      <c r="A6" s="86"/>
      <c r="B6" s="45"/>
      <c r="C6" s="23">
        <v>241219000026</v>
      </c>
      <c r="D6" s="106">
        <v>46010</v>
      </c>
      <c r="E6" s="24" t="s">
        <v>65</v>
      </c>
      <c r="F6" s="45" t="s">
        <v>65</v>
      </c>
      <c r="G6" s="45" t="s">
        <v>101</v>
      </c>
      <c r="H6" s="87">
        <v>6.1439</v>
      </c>
      <c r="I6" s="87">
        <v>3510</v>
      </c>
      <c r="J6" s="88">
        <v>18062</v>
      </c>
      <c r="K6" s="89"/>
      <c r="L6" s="45"/>
      <c r="M6" s="44"/>
      <c r="N6" s="90"/>
      <c r="O6" s="45"/>
      <c r="P6" s="92">
        <f t="shared" ref="P5:P13" si="5">SUBTOTAL(9,J6)</f>
        <v>18062</v>
      </c>
      <c r="Q6" s="98"/>
      <c r="R6" s="98"/>
      <c r="S6" s="47">
        <f t="shared" ref="S6:S11" si="6">SUM(48777.5/68)*H6</f>
        <v>4407.11885661765</v>
      </c>
      <c r="T6" s="47">
        <f t="shared" ref="T6:T11" si="7">SUM(88.88/68)*H6</f>
        <v>8.03043870588235</v>
      </c>
      <c r="U6" s="47">
        <f t="shared" ref="U6:U11" si="8">SUM(1900/68)*H6</f>
        <v>171.667794117647</v>
      </c>
      <c r="V6" s="47"/>
      <c r="W6" s="47"/>
      <c r="X6" s="47">
        <f t="shared" si="0"/>
        <v>4586.81708944118</v>
      </c>
      <c r="Y6" s="102">
        <f t="shared" ref="Y6:Y11" si="9">SUM(12037/68)*H6</f>
        <v>1087.56065147059</v>
      </c>
      <c r="Z6" s="102"/>
      <c r="AA6" s="102">
        <f t="shared" ref="AA6:AA11" si="10">SUM(57.52/68)*H6</f>
        <v>5.19701658823529</v>
      </c>
      <c r="AB6" s="102">
        <f t="shared" si="1"/>
        <v>1092.75766805882</v>
      </c>
      <c r="AC6" s="89">
        <v>7.25</v>
      </c>
      <c r="AD6" s="47">
        <f t="shared" si="2"/>
        <v>7922.49309342647</v>
      </c>
      <c r="AE6" s="47">
        <f t="shared" si="3"/>
        <v>12509.3101828676</v>
      </c>
      <c r="AF6" s="47">
        <f t="shared" si="4"/>
        <v>5552.68981713235</v>
      </c>
    </row>
    <row r="7" s="2" customFormat="1" spans="1:32">
      <c r="A7" s="86"/>
      <c r="B7" s="45"/>
      <c r="C7" s="23">
        <v>241219000027</v>
      </c>
      <c r="D7" s="106">
        <v>46010</v>
      </c>
      <c r="E7" s="24" t="s">
        <v>77</v>
      </c>
      <c r="F7" s="45" t="s">
        <v>78</v>
      </c>
      <c r="G7" s="45" t="s">
        <v>79</v>
      </c>
      <c r="H7" s="87">
        <v>0.9378</v>
      </c>
      <c r="I7" s="87">
        <v>1454</v>
      </c>
      <c r="J7" s="88">
        <v>4037.69</v>
      </c>
      <c r="K7" s="89"/>
      <c r="L7" s="45"/>
      <c r="M7" s="44"/>
      <c r="N7" s="90"/>
      <c r="O7" s="45"/>
      <c r="P7" s="92">
        <f t="shared" si="5"/>
        <v>4037.69</v>
      </c>
      <c r="Q7" s="98"/>
      <c r="R7" s="98"/>
      <c r="S7" s="47">
        <f t="shared" si="6"/>
        <v>672.699110294118</v>
      </c>
      <c r="T7" s="47">
        <f t="shared" si="7"/>
        <v>1.22575976470588</v>
      </c>
      <c r="U7" s="47">
        <f t="shared" si="8"/>
        <v>26.2032352941176</v>
      </c>
      <c r="V7" s="47"/>
      <c r="W7" s="47"/>
      <c r="X7" s="47">
        <f t="shared" si="0"/>
        <v>700.128105352941</v>
      </c>
      <c r="Y7" s="102">
        <f t="shared" si="9"/>
        <v>166.004391176471</v>
      </c>
      <c r="Z7" s="102"/>
      <c r="AA7" s="102">
        <f t="shared" si="10"/>
        <v>0.793268470588235</v>
      </c>
      <c r="AB7" s="102">
        <f t="shared" si="1"/>
        <v>166.797659647059</v>
      </c>
      <c r="AC7" s="89">
        <v>7.25</v>
      </c>
      <c r="AD7" s="47">
        <f t="shared" si="2"/>
        <v>1209.28303244118</v>
      </c>
      <c r="AE7" s="47">
        <f t="shared" si="3"/>
        <v>1909.41113779412</v>
      </c>
      <c r="AF7" s="47">
        <f t="shared" si="4"/>
        <v>2128.27886220588</v>
      </c>
    </row>
    <row r="8" s="2" customFormat="1" spans="1:32">
      <c r="A8" s="86"/>
      <c r="B8" s="45"/>
      <c r="C8" s="23">
        <v>241219000017</v>
      </c>
      <c r="D8" s="24">
        <v>46010</v>
      </c>
      <c r="E8" s="24" t="s">
        <v>83</v>
      </c>
      <c r="F8" s="45" t="s">
        <v>84</v>
      </c>
      <c r="G8" s="45" t="s">
        <v>86</v>
      </c>
      <c r="H8" s="87">
        <v>2.2361</v>
      </c>
      <c r="I8" s="87">
        <v>234</v>
      </c>
      <c r="J8" s="88">
        <v>4542.5</v>
      </c>
      <c r="K8" s="89"/>
      <c r="L8" s="93"/>
      <c r="M8" s="44"/>
      <c r="N8" s="101"/>
      <c r="O8" s="45"/>
      <c r="P8" s="92">
        <f t="shared" si="5"/>
        <v>4542.5</v>
      </c>
      <c r="Q8" s="98"/>
      <c r="R8" s="98"/>
      <c r="S8" s="47">
        <f t="shared" si="6"/>
        <v>1603.99070220588</v>
      </c>
      <c r="T8" s="47">
        <f t="shared" si="7"/>
        <v>2.92271423529412</v>
      </c>
      <c r="U8" s="47">
        <f t="shared" si="8"/>
        <v>62.4792647058824</v>
      </c>
      <c r="V8" s="47"/>
      <c r="W8" s="47"/>
      <c r="X8" s="47">
        <f t="shared" si="0"/>
        <v>1669.39268114706</v>
      </c>
      <c r="Y8" s="102">
        <f t="shared" si="9"/>
        <v>395.822583823529</v>
      </c>
      <c r="Z8" s="102"/>
      <c r="AA8" s="102">
        <f t="shared" si="10"/>
        <v>1.89147752941176</v>
      </c>
      <c r="AB8" s="102">
        <f t="shared" si="1"/>
        <v>397.714061352941</v>
      </c>
      <c r="AC8" s="89">
        <v>7.25</v>
      </c>
      <c r="AD8" s="47">
        <f t="shared" si="2"/>
        <v>2883.42694480882</v>
      </c>
      <c r="AE8" s="47">
        <f t="shared" si="3"/>
        <v>4552.81962595588</v>
      </c>
      <c r="AF8" s="47">
        <f t="shared" si="4"/>
        <v>-10.3196259558827</v>
      </c>
    </row>
    <row r="9" s="2" customFormat="1" spans="1:32">
      <c r="A9" s="86"/>
      <c r="B9" s="45"/>
      <c r="C9" s="23">
        <v>241115000013</v>
      </c>
      <c r="D9" s="24">
        <v>45638</v>
      </c>
      <c r="E9" s="24" t="s">
        <v>65</v>
      </c>
      <c r="F9" s="45" t="s">
        <v>65</v>
      </c>
      <c r="G9" s="45" t="s">
        <v>105</v>
      </c>
      <c r="H9" s="87">
        <v>25.3204</v>
      </c>
      <c r="I9" s="87">
        <v>5102</v>
      </c>
      <c r="J9" s="88">
        <v>53816</v>
      </c>
      <c r="K9" s="89"/>
      <c r="L9" s="93"/>
      <c r="M9" s="44"/>
      <c r="N9" s="90"/>
      <c r="O9" s="45"/>
      <c r="P9" s="92">
        <f t="shared" si="5"/>
        <v>53816</v>
      </c>
      <c r="Q9" s="98"/>
      <c r="R9" s="98"/>
      <c r="S9" s="47">
        <f t="shared" si="6"/>
        <v>18162.7325147059</v>
      </c>
      <c r="T9" s="47">
        <f t="shared" si="7"/>
        <v>33.0952522352941</v>
      </c>
      <c r="U9" s="47">
        <f t="shared" si="8"/>
        <v>707.481764705882</v>
      </c>
      <c r="V9" s="47"/>
      <c r="W9" s="47"/>
      <c r="X9" s="47">
        <f t="shared" si="0"/>
        <v>18903.3095316471</v>
      </c>
      <c r="Y9" s="102">
        <f t="shared" si="9"/>
        <v>4482.08315882353</v>
      </c>
      <c r="Z9" s="102"/>
      <c r="AA9" s="102">
        <f t="shared" si="10"/>
        <v>21.4180795294118</v>
      </c>
      <c r="AB9" s="102">
        <f t="shared" si="1"/>
        <v>4503.50123835294</v>
      </c>
      <c r="AC9" s="89">
        <v>7.25</v>
      </c>
      <c r="AD9" s="47">
        <f t="shared" si="2"/>
        <v>32650.3839780588</v>
      </c>
      <c r="AE9" s="47">
        <f t="shared" si="3"/>
        <v>51553.6935097059</v>
      </c>
      <c r="AF9" s="47">
        <f t="shared" si="4"/>
        <v>2262.30649029413</v>
      </c>
    </row>
    <row r="10" s="2" customFormat="1" spans="1:32">
      <c r="A10" s="86"/>
      <c r="B10" s="45"/>
      <c r="C10" s="23">
        <v>241219000028</v>
      </c>
      <c r="D10" s="106">
        <v>46010</v>
      </c>
      <c r="E10" s="24" t="s">
        <v>59</v>
      </c>
      <c r="F10" s="45" t="s">
        <v>60</v>
      </c>
      <c r="G10" s="45" t="s">
        <v>102</v>
      </c>
      <c r="H10" s="87">
        <v>22.11</v>
      </c>
      <c r="I10" s="87">
        <v>2603</v>
      </c>
      <c r="J10" s="88">
        <v>36919.28</v>
      </c>
      <c r="K10" s="89"/>
      <c r="L10" s="45"/>
      <c r="M10" s="44"/>
      <c r="N10" s="95"/>
      <c r="O10" s="45"/>
      <c r="P10" s="92">
        <f t="shared" si="5"/>
        <v>36919.28</v>
      </c>
      <c r="Q10" s="98"/>
      <c r="R10" s="98"/>
      <c r="S10" s="47">
        <f t="shared" si="6"/>
        <v>15859.8606617647</v>
      </c>
      <c r="T10" s="47">
        <f t="shared" si="7"/>
        <v>28.8990705882353</v>
      </c>
      <c r="U10" s="47">
        <f t="shared" si="8"/>
        <v>617.779411764706</v>
      </c>
      <c r="V10" s="47"/>
      <c r="W10" s="47"/>
      <c r="X10" s="47">
        <f t="shared" si="0"/>
        <v>16506.5391441176</v>
      </c>
      <c r="Y10" s="102">
        <f t="shared" si="9"/>
        <v>3913.79514705882</v>
      </c>
      <c r="Z10" s="102"/>
      <c r="AA10" s="102">
        <f t="shared" si="10"/>
        <v>18.7024588235294</v>
      </c>
      <c r="AB10" s="102">
        <f t="shared" si="1"/>
        <v>3932.49760588235</v>
      </c>
      <c r="AC10" s="89">
        <v>7.25</v>
      </c>
      <c r="AD10" s="47">
        <f t="shared" si="2"/>
        <v>28510.6076426471</v>
      </c>
      <c r="AE10" s="47">
        <f t="shared" si="3"/>
        <v>45017.1467867647</v>
      </c>
      <c r="AF10" s="47">
        <f t="shared" si="4"/>
        <v>-8097.8667867647</v>
      </c>
    </row>
    <row r="11" s="2" customFormat="1" spans="1:32">
      <c r="A11" s="86"/>
      <c r="B11" s="45"/>
      <c r="C11" s="23">
        <v>241219000033</v>
      </c>
      <c r="D11" s="106">
        <v>46010</v>
      </c>
      <c r="E11" s="24" t="s">
        <v>68</v>
      </c>
      <c r="F11" s="45" t="s">
        <v>69</v>
      </c>
      <c r="G11" s="45" t="s">
        <v>112</v>
      </c>
      <c r="H11" s="87">
        <v>15.7779</v>
      </c>
      <c r="I11" s="87">
        <v>9654</v>
      </c>
      <c r="J11" s="88">
        <v>37467.5</v>
      </c>
      <c r="K11" s="89"/>
      <c r="L11" s="45"/>
      <c r="M11" s="44"/>
      <c r="N11" s="90"/>
      <c r="O11" s="45"/>
      <c r="P11" s="92">
        <f t="shared" si="5"/>
        <v>37467.5</v>
      </c>
      <c r="Q11" s="100"/>
      <c r="R11" s="100"/>
      <c r="S11" s="47">
        <f t="shared" si="6"/>
        <v>11317.7429007353</v>
      </c>
      <c r="T11" s="47">
        <f t="shared" si="7"/>
        <v>20.6226434117647</v>
      </c>
      <c r="U11" s="47">
        <f t="shared" si="8"/>
        <v>440.853088235294</v>
      </c>
      <c r="V11" s="47"/>
      <c r="W11" s="47"/>
      <c r="X11" s="47">
        <f t="shared" si="0"/>
        <v>11779.2186323824</v>
      </c>
      <c r="Y11" s="102">
        <f t="shared" si="9"/>
        <v>2792.92032794118</v>
      </c>
      <c r="Z11" s="102"/>
      <c r="AA11" s="102">
        <f t="shared" si="10"/>
        <v>13.3462471764706</v>
      </c>
      <c r="AB11" s="102">
        <f t="shared" si="1"/>
        <v>2806.26657511765</v>
      </c>
      <c r="AC11" s="89">
        <v>7.25</v>
      </c>
      <c r="AD11" s="47">
        <f t="shared" si="2"/>
        <v>20345.4326696029</v>
      </c>
      <c r="AE11" s="47">
        <f t="shared" si="3"/>
        <v>32124.6513019853</v>
      </c>
      <c r="AF11" s="47">
        <f t="shared" si="4"/>
        <v>5342.84869801471</v>
      </c>
    </row>
    <row r="12" ht="15.75" spans="1:32">
      <c r="A12" s="26" t="s">
        <v>22</v>
      </c>
      <c r="B12" s="27"/>
      <c r="C12" s="27"/>
      <c r="D12" s="27"/>
      <c r="E12" s="27"/>
      <c r="F12" s="27"/>
      <c r="G12" s="27"/>
      <c r="H12" s="27"/>
      <c r="I12" s="48"/>
      <c r="J12" s="27">
        <f>SUM(J4:J4)</f>
        <v>0</v>
      </c>
      <c r="K12" s="49"/>
      <c r="L12" s="50"/>
      <c r="M12" s="49"/>
      <c r="N12" s="49">
        <f t="shared" ref="N12:Q12" si="11">SUM(N4:N4)</f>
        <v>0</v>
      </c>
      <c r="O12" s="27"/>
      <c r="P12" s="27">
        <f t="shared" si="11"/>
        <v>0</v>
      </c>
      <c r="Q12" s="27">
        <f t="shared" si="11"/>
        <v>0</v>
      </c>
      <c r="R12" s="27"/>
      <c r="S12" s="27"/>
      <c r="T12" s="27"/>
      <c r="U12" s="27"/>
      <c r="V12" s="27"/>
      <c r="W12" s="27"/>
      <c r="X12" s="71">
        <f>SUM(X4:X4)</f>
        <v>0</v>
      </c>
      <c r="Y12" s="50"/>
      <c r="Z12" s="50"/>
      <c r="AA12" s="50"/>
      <c r="AB12" s="50"/>
      <c r="AC12" s="49"/>
      <c r="AD12" s="27">
        <f>SUM(AD4:AD4)</f>
        <v>0</v>
      </c>
      <c r="AE12" s="27"/>
      <c r="AF12" s="85">
        <f>SUM(AF4:AF11)</f>
        <v>7182.27377617648</v>
      </c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</sheetData>
  <autoFilter xmlns:etc="http://www.wps.cn/officeDocument/2017/etCustomData" ref="A3:AF12" etc:filterBottomFollowUsedRange="0">
    <extLst/>
  </autoFilter>
  <mergeCells count="21">
    <mergeCell ref="A1:AF1"/>
    <mergeCell ref="J3:P3"/>
    <mergeCell ref="R3:V3"/>
    <mergeCell ref="Y3:AD3"/>
    <mergeCell ref="A3:A4"/>
    <mergeCell ref="A5:A11"/>
    <mergeCell ref="B3:B4"/>
    <mergeCell ref="B5:B11"/>
    <mergeCell ref="C3:C4"/>
    <mergeCell ref="D3:D4"/>
    <mergeCell ref="E3:E4"/>
    <mergeCell ref="F3:F4"/>
    <mergeCell ref="G3:G4"/>
    <mergeCell ref="H3:H4"/>
    <mergeCell ref="I3:I4"/>
    <mergeCell ref="Q3:Q4"/>
    <mergeCell ref="Q5:Q11"/>
    <mergeCell ref="R5:R11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2"/>
  <sheetViews>
    <sheetView zoomScale="110" zoomScaleNormal="110" workbookViewId="0">
      <pane xSplit="8" ySplit="1" topLeftCell="U16" activePane="bottomRight" state="frozen"/>
      <selection/>
      <selection pane="topRight"/>
      <selection pane="bottomLeft"/>
      <selection pane="bottomRight" activeCell="AA5" sqref="AA5:AA3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72.7107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16</v>
      </c>
      <c r="B5" s="45" t="s">
        <v>17</v>
      </c>
      <c r="C5" s="23">
        <v>241125000030</v>
      </c>
      <c r="D5" s="24">
        <v>46018</v>
      </c>
      <c r="E5" s="24" t="s">
        <v>62</v>
      </c>
      <c r="F5" s="45" t="s">
        <v>63</v>
      </c>
      <c r="G5" s="45" t="s">
        <v>121</v>
      </c>
      <c r="H5" s="87">
        <v>0.0122</v>
      </c>
      <c r="I5" s="87">
        <v>2</v>
      </c>
      <c r="J5" s="88">
        <v>202</v>
      </c>
      <c r="K5" s="89"/>
      <c r="L5" s="45"/>
      <c r="M5" s="44"/>
      <c r="N5" s="90"/>
      <c r="O5" s="91"/>
      <c r="P5" s="92">
        <f>SUBTOTAL(9,J5)</f>
        <v>202</v>
      </c>
      <c r="Q5" s="96">
        <f>SUM(P5:P35)</f>
        <v>174647.7500433</v>
      </c>
      <c r="R5" s="97" t="s">
        <v>122</v>
      </c>
      <c r="S5" s="47">
        <f>SUM(50615/68)*H5</f>
        <v>9.08092647058824</v>
      </c>
      <c r="T5" s="47"/>
      <c r="U5" s="47">
        <f>SUM(2100/68)*H5</f>
        <v>0.376764705882353</v>
      </c>
      <c r="V5" s="47"/>
      <c r="W5" s="47"/>
      <c r="X5" s="47">
        <f t="shared" ref="X5:X35" si="0">SUM(S5:W5)</f>
        <v>9.45769117647059</v>
      </c>
      <c r="Y5" s="102">
        <f>SUM(11518.15/68)*H5</f>
        <v>2.06649161764706</v>
      </c>
      <c r="Z5" s="102"/>
      <c r="AA5" s="102">
        <f>SUM(59.41/68)*H5</f>
        <v>0.0106588529411765</v>
      </c>
      <c r="AB5" s="102">
        <f t="shared" ref="AB5:AB35" si="1">SUM(Y5:AA5)</f>
        <v>2.07715047058824</v>
      </c>
      <c r="AC5" s="89">
        <v>7.26</v>
      </c>
      <c r="AD5" s="47">
        <f t="shared" ref="AD5:AD35" si="2">SUM(AB5*AC5)</f>
        <v>15.0801124164706</v>
      </c>
      <c r="AE5" s="47">
        <f t="shared" ref="AE5:AE35" si="3">SUM(X5+AD5)</f>
        <v>24.5378035929412</v>
      </c>
      <c r="AF5" s="47">
        <f t="shared" ref="AF5:AF35" si="4">SUM(P5-AE5)</f>
        <v>177.462196407059</v>
      </c>
    </row>
    <row r="6" s="2" customFormat="1" spans="1:32">
      <c r="A6" s="86"/>
      <c r="B6" s="45"/>
      <c r="C6" s="23">
        <v>241205000022</v>
      </c>
      <c r="D6" s="24">
        <v>46018</v>
      </c>
      <c r="E6" s="24" t="s">
        <v>68</v>
      </c>
      <c r="F6" s="45" t="s">
        <v>69</v>
      </c>
      <c r="G6" s="45" t="s">
        <v>76</v>
      </c>
      <c r="H6" s="87">
        <v>1.5787</v>
      </c>
      <c r="I6" s="87">
        <v>305</v>
      </c>
      <c r="J6" s="88">
        <v>3483.9</v>
      </c>
      <c r="K6" s="46"/>
      <c r="L6" s="45"/>
      <c r="M6" s="44"/>
      <c r="N6" s="90"/>
      <c r="O6" s="91"/>
      <c r="P6" s="92">
        <f>SUBTOTAL(9,J6)</f>
        <v>3483.9</v>
      </c>
      <c r="Q6" s="98"/>
      <c r="R6" s="98"/>
      <c r="S6" s="47">
        <f t="shared" ref="S6:S35" si="5">SUM(50615/68)*H6</f>
        <v>1175.08677205882</v>
      </c>
      <c r="T6" s="47"/>
      <c r="U6" s="47">
        <f t="shared" ref="U6:U35" si="6">SUM(2100/68)*H6</f>
        <v>48.7539705882353</v>
      </c>
      <c r="V6" s="47"/>
      <c r="W6" s="47"/>
      <c r="X6" s="47">
        <f t="shared" si="0"/>
        <v>1223.84074264706</v>
      </c>
      <c r="Y6" s="102">
        <f t="shared" ref="Y6:Y35" si="7">SUM(11518.15/68)*H6</f>
        <v>267.407403014706</v>
      </c>
      <c r="Z6" s="102"/>
      <c r="AA6" s="102">
        <f t="shared" ref="AA6:AA35" si="8">SUM(59.41/68)*H6</f>
        <v>1.37927304411765</v>
      </c>
      <c r="AB6" s="102">
        <f t="shared" si="1"/>
        <v>268.786676058824</v>
      </c>
      <c r="AC6" s="89">
        <v>7.26</v>
      </c>
      <c r="AD6" s="47">
        <f t="shared" si="2"/>
        <v>1951.39126818706</v>
      </c>
      <c r="AE6" s="47">
        <f t="shared" si="3"/>
        <v>3175.23201083412</v>
      </c>
      <c r="AF6" s="47">
        <f t="shared" si="4"/>
        <v>308.667989165882</v>
      </c>
    </row>
    <row r="7" s="2" customFormat="1" spans="1:32">
      <c r="A7" s="86"/>
      <c r="B7" s="45"/>
      <c r="C7" s="23">
        <v>241210000059</v>
      </c>
      <c r="D7" s="24">
        <v>46018</v>
      </c>
      <c r="E7" s="24" t="s">
        <v>68</v>
      </c>
      <c r="F7" s="45" t="s">
        <v>69</v>
      </c>
      <c r="G7" s="45" t="s">
        <v>76</v>
      </c>
      <c r="H7" s="87">
        <v>3.2498</v>
      </c>
      <c r="I7" s="87">
        <v>683</v>
      </c>
      <c r="J7" s="92"/>
      <c r="K7" s="103">
        <v>1855578</v>
      </c>
      <c r="L7" s="45"/>
      <c r="M7" s="44">
        <f t="shared" ref="M7:M11" si="9">SUM(K7/N7)</f>
        <v>1576.5318606627</v>
      </c>
      <c r="N7" s="95">
        <v>1177</v>
      </c>
      <c r="O7" s="91">
        <v>7.22</v>
      </c>
      <c r="P7" s="92">
        <f t="shared" ref="P7:P11" si="10">SUM(N7*O7)</f>
        <v>8497.94</v>
      </c>
      <c r="Q7" s="98"/>
      <c r="R7" s="98"/>
      <c r="S7" s="47">
        <f t="shared" si="5"/>
        <v>2418.95039705882</v>
      </c>
      <c r="T7" s="47"/>
      <c r="U7" s="47">
        <f t="shared" si="6"/>
        <v>100.361470588235</v>
      </c>
      <c r="V7" s="47"/>
      <c r="W7" s="47"/>
      <c r="X7" s="47">
        <f t="shared" si="0"/>
        <v>2519.31186764706</v>
      </c>
      <c r="Y7" s="102">
        <f t="shared" si="7"/>
        <v>550.465939264706</v>
      </c>
      <c r="Z7" s="101">
        <v>251.58</v>
      </c>
      <c r="AA7" s="102">
        <f t="shared" si="8"/>
        <v>2.83927379411765</v>
      </c>
      <c r="AB7" s="102">
        <f t="shared" si="1"/>
        <v>804.885213058824</v>
      </c>
      <c r="AC7" s="89">
        <v>7.26</v>
      </c>
      <c r="AD7" s="47">
        <f t="shared" si="2"/>
        <v>5843.46664680706</v>
      </c>
      <c r="AE7" s="47">
        <f t="shared" si="3"/>
        <v>8362.77851445412</v>
      </c>
      <c r="AF7" s="47">
        <f t="shared" si="4"/>
        <v>135.161485545885</v>
      </c>
    </row>
    <row r="8" s="2" customFormat="1" spans="1:32">
      <c r="A8" s="86"/>
      <c r="B8" s="45"/>
      <c r="C8" s="23">
        <v>241211000027</v>
      </c>
      <c r="D8" s="24">
        <v>45643</v>
      </c>
      <c r="E8" s="24" t="s">
        <v>65</v>
      </c>
      <c r="F8" s="45" t="s">
        <v>65</v>
      </c>
      <c r="G8" s="45" t="s">
        <v>101</v>
      </c>
      <c r="H8" s="87">
        <v>0.228</v>
      </c>
      <c r="I8" s="87">
        <v>45</v>
      </c>
      <c r="J8" s="88">
        <v>520</v>
      </c>
      <c r="K8" s="89"/>
      <c r="L8" s="45"/>
      <c r="M8" s="44"/>
      <c r="N8" s="90"/>
      <c r="O8" s="91"/>
      <c r="P8" s="92">
        <f t="shared" ref="P8:P15" si="11">SUBTOTAL(9,J8)</f>
        <v>520</v>
      </c>
      <c r="Q8" s="98"/>
      <c r="R8" s="98"/>
      <c r="S8" s="47">
        <f t="shared" si="5"/>
        <v>169.709117647059</v>
      </c>
      <c r="T8" s="47"/>
      <c r="U8" s="47">
        <f t="shared" si="6"/>
        <v>7.04117647058824</v>
      </c>
      <c r="V8" s="47"/>
      <c r="W8" s="47"/>
      <c r="X8" s="47">
        <f t="shared" si="0"/>
        <v>176.750294117647</v>
      </c>
      <c r="Y8" s="102">
        <f t="shared" si="7"/>
        <v>38.6196794117647</v>
      </c>
      <c r="Z8" s="102"/>
      <c r="AA8" s="102">
        <f t="shared" si="8"/>
        <v>0.199198235294118</v>
      </c>
      <c r="AB8" s="102">
        <f t="shared" si="1"/>
        <v>38.8188776470588</v>
      </c>
      <c r="AC8" s="89">
        <v>7.26</v>
      </c>
      <c r="AD8" s="47">
        <f t="shared" si="2"/>
        <v>281.825051717647</v>
      </c>
      <c r="AE8" s="47">
        <f t="shared" si="3"/>
        <v>458.575345835294</v>
      </c>
      <c r="AF8" s="47">
        <f t="shared" si="4"/>
        <v>61.4246541647059</v>
      </c>
    </row>
    <row r="9" s="2" customFormat="1" spans="1:32">
      <c r="A9" s="86"/>
      <c r="B9" s="45"/>
      <c r="C9" s="23">
        <v>241213000046</v>
      </c>
      <c r="D9" s="24">
        <v>46018</v>
      </c>
      <c r="E9" s="24" t="s">
        <v>65</v>
      </c>
      <c r="F9" s="45" t="s">
        <v>65</v>
      </c>
      <c r="G9" s="45" t="s">
        <v>66</v>
      </c>
      <c r="H9" s="87">
        <v>5.2541</v>
      </c>
      <c r="I9" s="87">
        <v>1423</v>
      </c>
      <c r="J9" s="88">
        <v>15725.5</v>
      </c>
      <c r="K9" s="89"/>
      <c r="L9" s="45"/>
      <c r="M9" s="44"/>
      <c r="N9" s="90"/>
      <c r="O9" s="91"/>
      <c r="P9" s="92">
        <f t="shared" si="11"/>
        <v>15725.5</v>
      </c>
      <c r="Q9" s="98"/>
      <c r="R9" s="98"/>
      <c r="S9" s="47">
        <f t="shared" si="5"/>
        <v>3910.82752205882</v>
      </c>
      <c r="T9" s="47"/>
      <c r="U9" s="47">
        <f t="shared" si="6"/>
        <v>162.258970588235</v>
      </c>
      <c r="V9" s="47"/>
      <c r="W9" s="47"/>
      <c r="X9" s="47">
        <f t="shared" si="0"/>
        <v>4073.08649264706</v>
      </c>
      <c r="Y9" s="102">
        <f t="shared" si="7"/>
        <v>889.963410514706</v>
      </c>
      <c r="Z9" s="102"/>
      <c r="AA9" s="102">
        <f t="shared" si="8"/>
        <v>4.59038354411765</v>
      </c>
      <c r="AB9" s="102">
        <f t="shared" si="1"/>
        <v>894.553794058824</v>
      </c>
      <c r="AC9" s="89">
        <v>7.26</v>
      </c>
      <c r="AD9" s="47">
        <f t="shared" si="2"/>
        <v>6494.46054486706</v>
      </c>
      <c r="AE9" s="47">
        <f t="shared" si="3"/>
        <v>10567.5470375141</v>
      </c>
      <c r="AF9" s="47">
        <f t="shared" si="4"/>
        <v>5157.95296248588</v>
      </c>
    </row>
    <row r="10" s="2" customFormat="1" spans="1:32">
      <c r="A10" s="86"/>
      <c r="B10" s="45"/>
      <c r="C10" s="23">
        <v>241216000032</v>
      </c>
      <c r="D10" s="24">
        <v>46018</v>
      </c>
      <c r="E10" s="24" t="s">
        <v>83</v>
      </c>
      <c r="F10" s="45" t="s">
        <v>84</v>
      </c>
      <c r="G10" s="45" t="s">
        <v>123</v>
      </c>
      <c r="H10" s="87">
        <v>1.8673</v>
      </c>
      <c r="I10" s="87">
        <v>857</v>
      </c>
      <c r="J10" s="92"/>
      <c r="K10" s="103">
        <v>984715.9</v>
      </c>
      <c r="L10" s="45"/>
      <c r="M10" s="44">
        <f t="shared" si="9"/>
        <v>1582</v>
      </c>
      <c r="N10" s="95">
        <v>622.45</v>
      </c>
      <c r="O10" s="91">
        <v>7.24</v>
      </c>
      <c r="P10" s="92">
        <f t="shared" si="10"/>
        <v>4506.538</v>
      </c>
      <c r="Q10" s="98"/>
      <c r="R10" s="98"/>
      <c r="S10" s="47">
        <f t="shared" si="5"/>
        <v>1389.90278676471</v>
      </c>
      <c r="T10" s="47"/>
      <c r="U10" s="47">
        <f t="shared" si="6"/>
        <v>57.6666176470588</v>
      </c>
      <c r="V10" s="47"/>
      <c r="W10" s="47"/>
      <c r="X10" s="47">
        <f t="shared" si="0"/>
        <v>1447.56940441176</v>
      </c>
      <c r="Y10" s="102">
        <f t="shared" si="7"/>
        <v>316.291786691176</v>
      </c>
      <c r="Z10" s="101">
        <v>8.14</v>
      </c>
      <c r="AA10" s="102">
        <f t="shared" si="8"/>
        <v>1.63141607352941</v>
      </c>
      <c r="AB10" s="102">
        <f t="shared" si="1"/>
        <v>326.063202764706</v>
      </c>
      <c r="AC10" s="89">
        <v>7.26</v>
      </c>
      <c r="AD10" s="47">
        <f t="shared" si="2"/>
        <v>2367.21885207176</v>
      </c>
      <c r="AE10" s="47">
        <f t="shared" si="3"/>
        <v>3814.78825648353</v>
      </c>
      <c r="AF10" s="47">
        <f t="shared" si="4"/>
        <v>691.749743516471</v>
      </c>
    </row>
    <row r="11" s="2" customFormat="1" spans="1:32">
      <c r="A11" s="86"/>
      <c r="B11" s="45"/>
      <c r="C11" s="23">
        <v>241217000015</v>
      </c>
      <c r="D11" s="24">
        <v>46018</v>
      </c>
      <c r="E11" s="24" t="s">
        <v>83</v>
      </c>
      <c r="F11" s="45" t="s">
        <v>84</v>
      </c>
      <c r="G11" s="45" t="s">
        <v>118</v>
      </c>
      <c r="H11" s="87">
        <v>2.0946</v>
      </c>
      <c r="I11" s="87">
        <v>144</v>
      </c>
      <c r="J11" s="92"/>
      <c r="K11" s="103">
        <v>1215438</v>
      </c>
      <c r="L11" s="45"/>
      <c r="M11" s="44">
        <f t="shared" si="9"/>
        <v>1581.98360015619</v>
      </c>
      <c r="N11" s="95">
        <v>768.3</v>
      </c>
      <c r="O11" s="91">
        <v>7.25</v>
      </c>
      <c r="P11" s="92">
        <f t="shared" si="10"/>
        <v>5570.175</v>
      </c>
      <c r="Q11" s="98"/>
      <c r="R11" s="98"/>
      <c r="S11" s="47">
        <f t="shared" si="5"/>
        <v>1559.09086764706</v>
      </c>
      <c r="T11" s="47"/>
      <c r="U11" s="47">
        <f t="shared" si="6"/>
        <v>64.6861764705882</v>
      </c>
      <c r="V11" s="47"/>
      <c r="W11" s="47"/>
      <c r="X11" s="47">
        <f t="shared" si="0"/>
        <v>1623.77704411765</v>
      </c>
      <c r="Y11" s="102">
        <f t="shared" si="7"/>
        <v>354.792896911765</v>
      </c>
      <c r="Z11" s="101">
        <v>103.35</v>
      </c>
      <c r="AA11" s="102">
        <f t="shared" si="8"/>
        <v>1.83000273529412</v>
      </c>
      <c r="AB11" s="102">
        <f t="shared" si="1"/>
        <v>459.972899647059</v>
      </c>
      <c r="AC11" s="89">
        <v>7.26</v>
      </c>
      <c r="AD11" s="47">
        <f t="shared" si="2"/>
        <v>3339.40325143765</v>
      </c>
      <c r="AE11" s="47">
        <f t="shared" si="3"/>
        <v>4963.18029555529</v>
      </c>
      <c r="AF11" s="47">
        <f t="shared" si="4"/>
        <v>606.994704444707</v>
      </c>
    </row>
    <row r="12" s="2" customFormat="1" spans="1:32">
      <c r="A12" s="86"/>
      <c r="B12" s="45"/>
      <c r="C12" s="23">
        <v>241218000004</v>
      </c>
      <c r="D12" s="24">
        <v>46018</v>
      </c>
      <c r="E12" s="24" t="s">
        <v>68</v>
      </c>
      <c r="F12" s="45" t="s">
        <v>69</v>
      </c>
      <c r="G12" s="45" t="s">
        <v>115</v>
      </c>
      <c r="H12" s="87">
        <v>2.7589</v>
      </c>
      <c r="I12" s="87">
        <v>1023</v>
      </c>
      <c r="J12" s="88">
        <v>5703</v>
      </c>
      <c r="K12" s="89"/>
      <c r="L12" s="45"/>
      <c r="M12" s="44"/>
      <c r="N12" s="90"/>
      <c r="O12" s="91"/>
      <c r="P12" s="92">
        <f t="shared" si="11"/>
        <v>5703</v>
      </c>
      <c r="Q12" s="98"/>
      <c r="R12" s="98"/>
      <c r="S12" s="47">
        <f t="shared" si="5"/>
        <v>2053.55475735294</v>
      </c>
      <c r="T12" s="47"/>
      <c r="U12" s="47">
        <f t="shared" si="6"/>
        <v>85.2013235294118</v>
      </c>
      <c r="V12" s="47"/>
      <c r="W12" s="47"/>
      <c r="X12" s="47">
        <f t="shared" si="0"/>
        <v>2138.75608088235</v>
      </c>
      <c r="Y12" s="102">
        <f t="shared" si="7"/>
        <v>467.315059338235</v>
      </c>
      <c r="Z12" s="102"/>
      <c r="AA12" s="102">
        <f t="shared" si="8"/>
        <v>2.41038601470588</v>
      </c>
      <c r="AB12" s="102">
        <f t="shared" si="1"/>
        <v>469.725445352941</v>
      </c>
      <c r="AC12" s="89">
        <v>7.26</v>
      </c>
      <c r="AD12" s="47">
        <f t="shared" si="2"/>
        <v>3410.20673326235</v>
      </c>
      <c r="AE12" s="47">
        <f t="shared" si="3"/>
        <v>5548.96281414471</v>
      </c>
      <c r="AF12" s="47">
        <f t="shared" si="4"/>
        <v>154.037185855294</v>
      </c>
    </row>
    <row r="13" s="2" customFormat="1" spans="1:32">
      <c r="A13" s="86"/>
      <c r="B13" s="45"/>
      <c r="C13" s="23">
        <v>241219000017</v>
      </c>
      <c r="D13" s="24">
        <v>46018</v>
      </c>
      <c r="E13" s="24" t="s">
        <v>83</v>
      </c>
      <c r="F13" s="45" t="s">
        <v>84</v>
      </c>
      <c r="G13" s="45" t="s">
        <v>86</v>
      </c>
      <c r="H13" s="87">
        <v>1.1975</v>
      </c>
      <c r="I13" s="87">
        <v>205</v>
      </c>
      <c r="J13" s="88">
        <v>2430</v>
      </c>
      <c r="K13" s="89"/>
      <c r="L13" s="45"/>
      <c r="M13" s="44"/>
      <c r="N13" s="90"/>
      <c r="O13" s="91"/>
      <c r="P13" s="92">
        <f t="shared" si="11"/>
        <v>2430</v>
      </c>
      <c r="Q13" s="98"/>
      <c r="R13" s="98"/>
      <c r="S13" s="47">
        <f t="shared" si="5"/>
        <v>891.345036764706</v>
      </c>
      <c r="T13" s="47"/>
      <c r="U13" s="47">
        <f t="shared" si="6"/>
        <v>36.9816176470588</v>
      </c>
      <c r="V13" s="47"/>
      <c r="W13" s="47"/>
      <c r="X13" s="47">
        <f t="shared" si="0"/>
        <v>928.326654411765</v>
      </c>
      <c r="Y13" s="102">
        <f t="shared" si="7"/>
        <v>202.838009191176</v>
      </c>
      <c r="Z13" s="102"/>
      <c r="AA13" s="102">
        <f t="shared" si="8"/>
        <v>1.04622757352941</v>
      </c>
      <c r="AB13" s="102">
        <f t="shared" si="1"/>
        <v>203.884236764706</v>
      </c>
      <c r="AC13" s="89">
        <v>7.26</v>
      </c>
      <c r="AD13" s="47">
        <f t="shared" si="2"/>
        <v>1480.19955891176</v>
      </c>
      <c r="AE13" s="47">
        <f t="shared" si="3"/>
        <v>2408.52621332353</v>
      </c>
      <c r="AF13" s="47">
        <f t="shared" si="4"/>
        <v>21.4737866764704</v>
      </c>
    </row>
    <row r="14" s="2" customFormat="1" spans="1:32">
      <c r="A14" s="86"/>
      <c r="B14" s="45"/>
      <c r="C14" s="23">
        <v>241219000030</v>
      </c>
      <c r="D14" s="24">
        <v>46018</v>
      </c>
      <c r="E14" s="24" t="s">
        <v>68</v>
      </c>
      <c r="F14" s="45" t="s">
        <v>69</v>
      </c>
      <c r="G14" s="45" t="s">
        <v>70</v>
      </c>
      <c r="H14" s="87">
        <v>0.5462</v>
      </c>
      <c r="I14" s="87">
        <v>242</v>
      </c>
      <c r="J14" s="88">
        <v>1156</v>
      </c>
      <c r="K14" s="89"/>
      <c r="L14" s="45"/>
      <c r="M14" s="44"/>
      <c r="N14" s="90"/>
      <c r="O14" s="91"/>
      <c r="P14" s="92">
        <f t="shared" si="11"/>
        <v>1156</v>
      </c>
      <c r="Q14" s="98"/>
      <c r="R14" s="98"/>
      <c r="S14" s="47">
        <f t="shared" si="5"/>
        <v>406.557544117647</v>
      </c>
      <c r="T14" s="47"/>
      <c r="U14" s="47">
        <f t="shared" si="6"/>
        <v>16.8679411764706</v>
      </c>
      <c r="V14" s="47"/>
      <c r="W14" s="47"/>
      <c r="X14" s="47">
        <f t="shared" si="0"/>
        <v>423.425485294118</v>
      </c>
      <c r="Y14" s="102">
        <f t="shared" si="7"/>
        <v>92.5178460294118</v>
      </c>
      <c r="Z14" s="102"/>
      <c r="AA14" s="102">
        <f t="shared" si="8"/>
        <v>0.477202088235294</v>
      </c>
      <c r="AB14" s="102">
        <f t="shared" si="1"/>
        <v>92.995048117647</v>
      </c>
      <c r="AC14" s="89">
        <v>7.26</v>
      </c>
      <c r="AD14" s="47">
        <f t="shared" si="2"/>
        <v>675.144049334118</v>
      </c>
      <c r="AE14" s="47">
        <f t="shared" si="3"/>
        <v>1098.56953462824</v>
      </c>
      <c r="AF14" s="47">
        <f t="shared" si="4"/>
        <v>57.4304653717647</v>
      </c>
    </row>
    <row r="15" s="2" customFormat="1" spans="1:32">
      <c r="A15" s="86"/>
      <c r="B15" s="45"/>
      <c r="C15" s="23">
        <v>241216000051</v>
      </c>
      <c r="D15" s="24">
        <v>46018</v>
      </c>
      <c r="E15" s="24" t="s">
        <v>68</v>
      </c>
      <c r="F15" s="45" t="s">
        <v>69</v>
      </c>
      <c r="G15" s="45" t="s">
        <v>70</v>
      </c>
      <c r="H15" s="87">
        <v>13.6398</v>
      </c>
      <c r="I15" s="87">
        <v>2540</v>
      </c>
      <c r="J15" s="88">
        <v>28688</v>
      </c>
      <c r="K15" s="46"/>
      <c r="L15" s="45"/>
      <c r="M15" s="44"/>
      <c r="N15" s="90"/>
      <c r="O15" s="91"/>
      <c r="P15" s="92">
        <f t="shared" si="11"/>
        <v>28688</v>
      </c>
      <c r="Q15" s="98"/>
      <c r="R15" s="98"/>
      <c r="S15" s="47">
        <f t="shared" si="5"/>
        <v>10152.6246617647</v>
      </c>
      <c r="T15" s="47"/>
      <c r="U15" s="47">
        <f t="shared" si="6"/>
        <v>421.229117647059</v>
      </c>
      <c r="V15" s="47"/>
      <c r="W15" s="47"/>
      <c r="X15" s="47">
        <f t="shared" si="0"/>
        <v>10573.8537794118</v>
      </c>
      <c r="Y15" s="102">
        <f t="shared" si="7"/>
        <v>2310.37150544118</v>
      </c>
      <c r="Z15" s="102"/>
      <c r="AA15" s="102">
        <f t="shared" si="8"/>
        <v>11.9167723235294</v>
      </c>
      <c r="AB15" s="102">
        <f t="shared" si="1"/>
        <v>2322.28827776471</v>
      </c>
      <c r="AC15" s="89">
        <v>7.26</v>
      </c>
      <c r="AD15" s="47">
        <f t="shared" si="2"/>
        <v>16859.8128965718</v>
      </c>
      <c r="AE15" s="47">
        <f t="shared" si="3"/>
        <v>27433.6666759835</v>
      </c>
      <c r="AF15" s="47">
        <f t="shared" si="4"/>
        <v>1254.33332401647</v>
      </c>
    </row>
    <row r="16" s="2" customFormat="1" spans="1:32">
      <c r="A16" s="86"/>
      <c r="B16" s="45"/>
      <c r="C16" s="23">
        <v>241220000030</v>
      </c>
      <c r="D16" s="24">
        <v>46018</v>
      </c>
      <c r="E16" s="24" t="s">
        <v>62</v>
      </c>
      <c r="F16" s="45" t="s">
        <v>63</v>
      </c>
      <c r="G16" s="45" t="s">
        <v>124</v>
      </c>
      <c r="H16" s="87">
        <v>0.8815</v>
      </c>
      <c r="I16" s="87">
        <v>304</v>
      </c>
      <c r="J16" s="92"/>
      <c r="K16" s="103">
        <v>414128.7</v>
      </c>
      <c r="L16" s="45"/>
      <c r="M16" s="44">
        <f>SUM(K16/N16)</f>
        <v>1566.00029608627</v>
      </c>
      <c r="N16" s="95">
        <v>264.44995</v>
      </c>
      <c r="O16" s="91">
        <v>7.27</v>
      </c>
      <c r="P16" s="92">
        <f>SUM(N16*O16)</f>
        <v>1922.5511365</v>
      </c>
      <c r="Q16" s="98"/>
      <c r="R16" s="98"/>
      <c r="S16" s="47">
        <f t="shared" si="5"/>
        <v>656.134154411765</v>
      </c>
      <c r="T16" s="47"/>
      <c r="U16" s="47">
        <f t="shared" si="6"/>
        <v>27.2227941176471</v>
      </c>
      <c r="V16" s="47"/>
      <c r="W16" s="47"/>
      <c r="X16" s="47">
        <f t="shared" si="0"/>
        <v>683.356948529412</v>
      </c>
      <c r="Y16" s="102">
        <f t="shared" si="7"/>
        <v>149.312488602941</v>
      </c>
      <c r="Z16" s="102"/>
      <c r="AA16" s="102">
        <f t="shared" si="8"/>
        <v>0.770145808823529</v>
      </c>
      <c r="AB16" s="102">
        <f t="shared" si="1"/>
        <v>150.082634411765</v>
      </c>
      <c r="AC16" s="89">
        <v>7.26</v>
      </c>
      <c r="AD16" s="47">
        <f t="shared" si="2"/>
        <v>1089.59992582941</v>
      </c>
      <c r="AE16" s="47">
        <f t="shared" si="3"/>
        <v>1772.95687435882</v>
      </c>
      <c r="AF16" s="47">
        <f t="shared" si="4"/>
        <v>149.594262141177</v>
      </c>
    </row>
    <row r="17" s="2" customFormat="1" spans="1:32">
      <c r="A17" s="86"/>
      <c r="B17" s="45"/>
      <c r="C17" s="23">
        <v>241221000013</v>
      </c>
      <c r="D17" s="24">
        <v>46018</v>
      </c>
      <c r="E17" s="24" t="s">
        <v>68</v>
      </c>
      <c r="F17" s="45" t="s">
        <v>69</v>
      </c>
      <c r="G17" s="45" t="s">
        <v>115</v>
      </c>
      <c r="H17" s="87">
        <v>2.0286</v>
      </c>
      <c r="I17" s="87">
        <v>791</v>
      </c>
      <c r="J17" s="88">
        <v>4194.5</v>
      </c>
      <c r="K17" s="89"/>
      <c r="L17" s="45"/>
      <c r="M17" s="44"/>
      <c r="N17" s="90"/>
      <c r="O17" s="91"/>
      <c r="P17" s="92">
        <f t="shared" ref="P17:P23" si="12">SUBTOTAL(9,J17)</f>
        <v>4194.5</v>
      </c>
      <c r="Q17" s="98"/>
      <c r="R17" s="98"/>
      <c r="S17" s="47">
        <f t="shared" si="5"/>
        <v>1509.96454411765</v>
      </c>
      <c r="T17" s="47"/>
      <c r="U17" s="47">
        <f t="shared" si="6"/>
        <v>62.6479411764706</v>
      </c>
      <c r="V17" s="47"/>
      <c r="W17" s="47"/>
      <c r="X17" s="47">
        <f t="shared" si="0"/>
        <v>1572.61248529412</v>
      </c>
      <c r="Y17" s="102">
        <f t="shared" si="7"/>
        <v>343.613516029412</v>
      </c>
      <c r="Z17" s="102"/>
      <c r="AA17" s="102">
        <f t="shared" si="8"/>
        <v>1.77234008823529</v>
      </c>
      <c r="AB17" s="102">
        <f t="shared" si="1"/>
        <v>345.385856117647</v>
      </c>
      <c r="AC17" s="89">
        <v>7.26</v>
      </c>
      <c r="AD17" s="47">
        <f t="shared" si="2"/>
        <v>2507.50131541412</v>
      </c>
      <c r="AE17" s="47">
        <f t="shared" si="3"/>
        <v>4080.11380070824</v>
      </c>
      <c r="AF17" s="47">
        <f t="shared" si="4"/>
        <v>114.386199291765</v>
      </c>
    </row>
    <row r="18" s="2" customFormat="1" spans="1:32">
      <c r="A18" s="86"/>
      <c r="B18" s="45"/>
      <c r="C18" s="23">
        <v>241222000003</v>
      </c>
      <c r="D18" s="24">
        <v>46018</v>
      </c>
      <c r="E18" s="24" t="s">
        <v>68</v>
      </c>
      <c r="F18" s="45" t="s">
        <v>69</v>
      </c>
      <c r="G18" s="45" t="s">
        <v>115</v>
      </c>
      <c r="H18" s="87">
        <v>11.2441</v>
      </c>
      <c r="I18" s="87">
        <v>3412</v>
      </c>
      <c r="J18" s="88">
        <v>24501</v>
      </c>
      <c r="K18" s="89"/>
      <c r="L18" s="45"/>
      <c r="M18" s="44"/>
      <c r="N18" s="90"/>
      <c r="O18" s="91"/>
      <c r="P18" s="92">
        <f t="shared" si="12"/>
        <v>24501</v>
      </c>
      <c r="Q18" s="98"/>
      <c r="R18" s="98"/>
      <c r="S18" s="47">
        <f t="shared" si="5"/>
        <v>8369.41355147059</v>
      </c>
      <c r="T18" s="47"/>
      <c r="U18" s="47">
        <f t="shared" si="6"/>
        <v>347.244264705882</v>
      </c>
      <c r="V18" s="47"/>
      <c r="W18" s="47"/>
      <c r="X18" s="47">
        <f t="shared" si="0"/>
        <v>8716.65781617647</v>
      </c>
      <c r="Y18" s="102">
        <f t="shared" si="7"/>
        <v>1904.57691786765</v>
      </c>
      <c r="Z18" s="102"/>
      <c r="AA18" s="102">
        <f t="shared" si="8"/>
        <v>9.82370560294118</v>
      </c>
      <c r="AB18" s="102">
        <f t="shared" si="1"/>
        <v>1914.40062347059</v>
      </c>
      <c r="AC18" s="89">
        <v>7.26</v>
      </c>
      <c r="AD18" s="47">
        <f t="shared" si="2"/>
        <v>13898.5485263965</v>
      </c>
      <c r="AE18" s="47">
        <f t="shared" si="3"/>
        <v>22615.2063425729</v>
      </c>
      <c r="AF18" s="47">
        <f t="shared" si="4"/>
        <v>1885.79365742706</v>
      </c>
    </row>
    <row r="19" s="2" customFormat="1" spans="1:32">
      <c r="A19" s="86"/>
      <c r="B19" s="45"/>
      <c r="C19" s="23">
        <v>241223000042</v>
      </c>
      <c r="D19" s="24">
        <v>46018</v>
      </c>
      <c r="E19" s="24" t="s">
        <v>125</v>
      </c>
      <c r="F19" s="45" t="s">
        <v>126</v>
      </c>
      <c r="G19" s="45" t="s">
        <v>127</v>
      </c>
      <c r="H19" s="87">
        <v>0.0662</v>
      </c>
      <c r="I19" s="87">
        <v>13</v>
      </c>
      <c r="J19" s="104">
        <v>155.7</v>
      </c>
      <c r="K19" s="89"/>
      <c r="L19" s="45"/>
      <c r="M19" s="44"/>
      <c r="N19" s="105"/>
      <c r="O19" s="91"/>
      <c r="P19" s="92">
        <f>SUM(J19)</f>
        <v>155.7</v>
      </c>
      <c r="Q19" s="98"/>
      <c r="R19" s="98"/>
      <c r="S19" s="47">
        <f t="shared" si="5"/>
        <v>49.2751911764706</v>
      </c>
      <c r="T19" s="47"/>
      <c r="U19" s="47">
        <f t="shared" si="6"/>
        <v>2.04441176470588</v>
      </c>
      <c r="V19" s="47"/>
      <c r="W19" s="47"/>
      <c r="X19" s="47">
        <f t="shared" si="0"/>
        <v>51.3196029411765</v>
      </c>
      <c r="Y19" s="102">
        <f t="shared" si="7"/>
        <v>11.2132577941176</v>
      </c>
      <c r="Z19" s="102"/>
      <c r="AA19" s="102">
        <f t="shared" si="8"/>
        <v>0.0578373823529412</v>
      </c>
      <c r="AB19" s="102">
        <f t="shared" si="1"/>
        <v>11.2710951764706</v>
      </c>
      <c r="AC19" s="89">
        <v>7.26</v>
      </c>
      <c r="AD19" s="47">
        <f t="shared" si="2"/>
        <v>81.8281509811764</v>
      </c>
      <c r="AE19" s="47">
        <f t="shared" si="3"/>
        <v>133.147753922353</v>
      </c>
      <c r="AF19" s="47">
        <f t="shared" si="4"/>
        <v>22.5522460776471</v>
      </c>
    </row>
    <row r="20" s="2" customFormat="1" spans="1:32">
      <c r="A20" s="86"/>
      <c r="B20" s="45"/>
      <c r="C20" s="23">
        <v>241223000044</v>
      </c>
      <c r="D20" s="24">
        <v>46018</v>
      </c>
      <c r="E20" s="24" t="s">
        <v>55</v>
      </c>
      <c r="F20" s="45" t="s">
        <v>56</v>
      </c>
      <c r="G20" s="45" t="s">
        <v>57</v>
      </c>
      <c r="H20" s="87">
        <v>0.7236</v>
      </c>
      <c r="I20" s="87">
        <v>173</v>
      </c>
      <c r="J20" s="92"/>
      <c r="K20" s="103">
        <v>336691</v>
      </c>
      <c r="L20" s="45"/>
      <c r="M20" s="44">
        <f t="shared" ref="M20:M27" si="13">SUM(K20/N20)</f>
        <v>1550.9990598861</v>
      </c>
      <c r="N20" s="95">
        <v>217.08008</v>
      </c>
      <c r="O20" s="91">
        <v>7.24</v>
      </c>
      <c r="P20" s="92">
        <f t="shared" ref="P20:P27" si="14">SUM(N20*O20)</f>
        <v>1571.6597792</v>
      </c>
      <c r="Q20" s="98"/>
      <c r="R20" s="98"/>
      <c r="S20" s="47">
        <f t="shared" si="5"/>
        <v>538.603147058824</v>
      </c>
      <c r="T20" s="47"/>
      <c r="U20" s="47">
        <f t="shared" si="6"/>
        <v>22.3464705882353</v>
      </c>
      <c r="V20" s="47"/>
      <c r="W20" s="47"/>
      <c r="X20" s="47">
        <f t="shared" si="0"/>
        <v>560.949617647059</v>
      </c>
      <c r="Y20" s="102">
        <f t="shared" si="7"/>
        <v>122.566666764706</v>
      </c>
      <c r="Z20" s="102"/>
      <c r="AA20" s="102">
        <f t="shared" si="8"/>
        <v>0.632192294117647</v>
      </c>
      <c r="AB20" s="102">
        <f t="shared" si="1"/>
        <v>123.198859058824</v>
      </c>
      <c r="AC20" s="89">
        <v>7.26</v>
      </c>
      <c r="AD20" s="47">
        <f t="shared" si="2"/>
        <v>894.423716767059</v>
      </c>
      <c r="AE20" s="47">
        <f t="shared" si="3"/>
        <v>1455.37333441412</v>
      </c>
      <c r="AF20" s="47">
        <f t="shared" si="4"/>
        <v>116.286444785882</v>
      </c>
    </row>
    <row r="21" s="2" customFormat="1" spans="1:32">
      <c r="A21" s="86"/>
      <c r="B21" s="45"/>
      <c r="C21" s="23">
        <v>241223000048</v>
      </c>
      <c r="D21" s="24">
        <v>46018</v>
      </c>
      <c r="E21" s="24" t="s">
        <v>65</v>
      </c>
      <c r="F21" s="45" t="s">
        <v>65</v>
      </c>
      <c r="G21" s="45" t="s">
        <v>66</v>
      </c>
      <c r="H21" s="87">
        <v>0.8576</v>
      </c>
      <c r="I21" s="87">
        <v>189</v>
      </c>
      <c r="J21" s="88">
        <v>3063</v>
      </c>
      <c r="K21" s="89"/>
      <c r="L21" s="45"/>
      <c r="M21" s="44"/>
      <c r="N21" s="90"/>
      <c r="O21" s="91"/>
      <c r="P21" s="92">
        <f t="shared" si="12"/>
        <v>3063</v>
      </c>
      <c r="Q21" s="98"/>
      <c r="R21" s="98"/>
      <c r="S21" s="47">
        <f t="shared" si="5"/>
        <v>638.344470588235</v>
      </c>
      <c r="T21" s="47"/>
      <c r="U21" s="47">
        <f t="shared" si="6"/>
        <v>26.4847058823529</v>
      </c>
      <c r="V21" s="47"/>
      <c r="W21" s="99">
        <v>53.42</v>
      </c>
      <c r="X21" s="47">
        <f t="shared" si="0"/>
        <v>718.249176470588</v>
      </c>
      <c r="Y21" s="102">
        <f t="shared" si="7"/>
        <v>145.264197647059</v>
      </c>
      <c r="Z21" s="102"/>
      <c r="AA21" s="102">
        <f t="shared" si="8"/>
        <v>0.749264941176471</v>
      </c>
      <c r="AB21" s="102">
        <f t="shared" si="1"/>
        <v>146.013462588235</v>
      </c>
      <c r="AC21" s="89">
        <v>7.26</v>
      </c>
      <c r="AD21" s="47">
        <f t="shared" si="2"/>
        <v>1060.05773839059</v>
      </c>
      <c r="AE21" s="47">
        <f t="shared" si="3"/>
        <v>1778.30691486118</v>
      </c>
      <c r="AF21" s="47">
        <f t="shared" si="4"/>
        <v>1284.69308513882</v>
      </c>
    </row>
    <row r="22" s="2" customFormat="1" spans="1:32">
      <c r="A22" s="86"/>
      <c r="B22" s="45"/>
      <c r="C22" s="23">
        <v>241223000069</v>
      </c>
      <c r="D22" s="24">
        <v>46018</v>
      </c>
      <c r="E22" s="24" t="s">
        <v>83</v>
      </c>
      <c r="F22" s="45" t="s">
        <v>84</v>
      </c>
      <c r="G22" s="45" t="s">
        <v>86</v>
      </c>
      <c r="H22" s="87">
        <v>5.4144</v>
      </c>
      <c r="I22" s="87">
        <v>1858</v>
      </c>
      <c r="J22" s="88">
        <v>10997.45</v>
      </c>
      <c r="K22" s="89"/>
      <c r="L22" s="45"/>
      <c r="M22" s="44"/>
      <c r="N22" s="90"/>
      <c r="O22" s="91"/>
      <c r="P22" s="92">
        <f t="shared" si="12"/>
        <v>10997.45</v>
      </c>
      <c r="Q22" s="98"/>
      <c r="R22" s="98"/>
      <c r="S22" s="47">
        <f t="shared" si="5"/>
        <v>4030.14494117647</v>
      </c>
      <c r="T22" s="47"/>
      <c r="U22" s="47">
        <f t="shared" si="6"/>
        <v>167.209411764706</v>
      </c>
      <c r="V22" s="47"/>
      <c r="W22" s="47"/>
      <c r="X22" s="47">
        <f t="shared" si="0"/>
        <v>4197.35435294118</v>
      </c>
      <c r="Y22" s="102">
        <f t="shared" si="7"/>
        <v>917.115755294118</v>
      </c>
      <c r="Z22" s="102"/>
      <c r="AA22" s="102">
        <f t="shared" si="8"/>
        <v>4.73043388235294</v>
      </c>
      <c r="AB22" s="102">
        <f t="shared" si="1"/>
        <v>921.84618917647</v>
      </c>
      <c r="AC22" s="89">
        <v>7.26</v>
      </c>
      <c r="AD22" s="47">
        <f t="shared" si="2"/>
        <v>6692.60333342118</v>
      </c>
      <c r="AE22" s="47">
        <f t="shared" si="3"/>
        <v>10889.9576863624</v>
      </c>
      <c r="AF22" s="47">
        <f t="shared" si="4"/>
        <v>107.492313637649</v>
      </c>
    </row>
    <row r="23" s="2" customFormat="1" spans="1:32">
      <c r="A23" s="86"/>
      <c r="B23" s="45"/>
      <c r="C23" s="23">
        <v>241224000009</v>
      </c>
      <c r="D23" s="24">
        <v>46018</v>
      </c>
      <c r="E23" s="24" t="s">
        <v>83</v>
      </c>
      <c r="F23" s="45" t="s">
        <v>84</v>
      </c>
      <c r="G23" s="45" t="s">
        <v>86</v>
      </c>
      <c r="H23" s="87">
        <v>3.9648</v>
      </c>
      <c r="I23" s="87">
        <v>516</v>
      </c>
      <c r="J23" s="88">
        <v>8070.22</v>
      </c>
      <c r="K23" s="89"/>
      <c r="L23" s="45"/>
      <c r="M23" s="44"/>
      <c r="N23" s="90"/>
      <c r="O23" s="91"/>
      <c r="P23" s="92">
        <f t="shared" si="12"/>
        <v>8070.22</v>
      </c>
      <c r="Q23" s="98"/>
      <c r="R23" s="98"/>
      <c r="S23" s="47">
        <f t="shared" si="5"/>
        <v>2951.15223529412</v>
      </c>
      <c r="T23" s="47"/>
      <c r="U23" s="47">
        <f t="shared" si="6"/>
        <v>122.442352941176</v>
      </c>
      <c r="V23" s="47"/>
      <c r="W23" s="47"/>
      <c r="X23" s="47">
        <f t="shared" si="0"/>
        <v>3073.59458823529</v>
      </c>
      <c r="Y23" s="102">
        <f t="shared" si="7"/>
        <v>671.575898823529</v>
      </c>
      <c r="Z23" s="102"/>
      <c r="AA23" s="102">
        <f t="shared" si="8"/>
        <v>3.46395247058823</v>
      </c>
      <c r="AB23" s="102">
        <f t="shared" si="1"/>
        <v>675.039851294118</v>
      </c>
      <c r="AC23" s="89">
        <v>7.26</v>
      </c>
      <c r="AD23" s="47">
        <f t="shared" si="2"/>
        <v>4900.78932039529</v>
      </c>
      <c r="AE23" s="47">
        <f t="shared" si="3"/>
        <v>7974.38390863059</v>
      </c>
      <c r="AF23" s="47">
        <f t="shared" si="4"/>
        <v>95.8360913694132</v>
      </c>
    </row>
    <row r="24" s="2" customFormat="1" spans="1:32">
      <c r="A24" s="86"/>
      <c r="B24" s="45"/>
      <c r="C24" s="23">
        <v>241224000024</v>
      </c>
      <c r="D24" s="24">
        <v>46018</v>
      </c>
      <c r="E24" s="24" t="s">
        <v>59</v>
      </c>
      <c r="F24" s="45" t="s">
        <v>60</v>
      </c>
      <c r="G24" s="45" t="s">
        <v>61</v>
      </c>
      <c r="H24" s="87">
        <v>1.4079</v>
      </c>
      <c r="I24" s="87">
        <v>246</v>
      </c>
      <c r="J24" s="92"/>
      <c r="K24" s="103">
        <v>605826.9</v>
      </c>
      <c r="L24" s="45"/>
      <c r="M24" s="44">
        <f t="shared" si="13"/>
        <v>1582</v>
      </c>
      <c r="N24" s="95">
        <v>382.95</v>
      </c>
      <c r="O24" s="45">
        <v>7.18</v>
      </c>
      <c r="P24" s="92">
        <f t="shared" si="14"/>
        <v>2749.581</v>
      </c>
      <c r="Q24" s="98"/>
      <c r="R24" s="98"/>
      <c r="S24" s="47">
        <f t="shared" si="5"/>
        <v>1047.95380147059</v>
      </c>
      <c r="T24" s="47"/>
      <c r="U24" s="47">
        <f t="shared" si="6"/>
        <v>43.4792647058824</v>
      </c>
      <c r="V24" s="47"/>
      <c r="W24" s="47"/>
      <c r="X24" s="47">
        <f t="shared" si="0"/>
        <v>1091.43306617647</v>
      </c>
      <c r="Y24" s="102">
        <f t="shared" si="7"/>
        <v>238.476520367647</v>
      </c>
      <c r="Z24" s="102"/>
      <c r="AA24" s="102">
        <f t="shared" si="8"/>
        <v>1.23004910294118</v>
      </c>
      <c r="AB24" s="102">
        <f t="shared" si="1"/>
        <v>239.706569470588</v>
      </c>
      <c r="AC24" s="89">
        <v>7.26</v>
      </c>
      <c r="AD24" s="47">
        <f t="shared" si="2"/>
        <v>1740.26969435647</v>
      </c>
      <c r="AE24" s="47">
        <f t="shared" si="3"/>
        <v>2831.70276053294</v>
      </c>
      <c r="AF24" s="47">
        <f t="shared" si="4"/>
        <v>-82.1217605329402</v>
      </c>
    </row>
    <row r="25" s="2" customFormat="1" spans="1:32">
      <c r="A25" s="86"/>
      <c r="B25" s="45"/>
      <c r="C25" s="23">
        <v>241224000025</v>
      </c>
      <c r="D25" s="24">
        <v>46018</v>
      </c>
      <c r="E25" s="24" t="s">
        <v>59</v>
      </c>
      <c r="F25" s="45" t="s">
        <v>60</v>
      </c>
      <c r="G25" s="45" t="s">
        <v>61</v>
      </c>
      <c r="H25" s="87">
        <v>2.2252</v>
      </c>
      <c r="I25" s="87">
        <v>847</v>
      </c>
      <c r="J25" s="92"/>
      <c r="K25" s="103">
        <v>957505.5</v>
      </c>
      <c r="L25" s="45"/>
      <c r="M25" s="44">
        <f t="shared" si="13"/>
        <v>1582</v>
      </c>
      <c r="N25" s="95">
        <v>605.25</v>
      </c>
      <c r="O25" s="45">
        <v>7.18</v>
      </c>
      <c r="P25" s="92">
        <f t="shared" si="14"/>
        <v>4345.695</v>
      </c>
      <c r="Q25" s="98"/>
      <c r="R25" s="98"/>
      <c r="S25" s="47">
        <f t="shared" si="5"/>
        <v>1656.30144117647</v>
      </c>
      <c r="T25" s="47"/>
      <c r="U25" s="47">
        <f t="shared" si="6"/>
        <v>68.7194117647059</v>
      </c>
      <c r="V25" s="47"/>
      <c r="W25" s="47"/>
      <c r="X25" s="47">
        <f t="shared" si="0"/>
        <v>1725.02085294118</v>
      </c>
      <c r="Y25" s="102">
        <f t="shared" si="7"/>
        <v>376.914520294118</v>
      </c>
      <c r="Z25" s="102"/>
      <c r="AA25" s="102">
        <f t="shared" si="8"/>
        <v>1.94410488235294</v>
      </c>
      <c r="AB25" s="102">
        <f t="shared" si="1"/>
        <v>378.858625176471</v>
      </c>
      <c r="AC25" s="89">
        <v>7.26</v>
      </c>
      <c r="AD25" s="47">
        <f t="shared" si="2"/>
        <v>2750.51361878118</v>
      </c>
      <c r="AE25" s="47">
        <f t="shared" si="3"/>
        <v>4475.53447172235</v>
      </c>
      <c r="AF25" s="47">
        <f t="shared" si="4"/>
        <v>-129.839471722353</v>
      </c>
    </row>
    <row r="26" s="2" customFormat="1" spans="1:32">
      <c r="A26" s="86"/>
      <c r="B26" s="45"/>
      <c r="C26" s="23">
        <v>241224000026</v>
      </c>
      <c r="D26" s="24">
        <v>46018</v>
      </c>
      <c r="E26" s="24" t="s">
        <v>59</v>
      </c>
      <c r="F26" s="45" t="s">
        <v>60</v>
      </c>
      <c r="G26" s="45" t="s">
        <v>61</v>
      </c>
      <c r="H26" s="87">
        <v>0.8547</v>
      </c>
      <c r="I26" s="87">
        <v>81</v>
      </c>
      <c r="J26" s="92"/>
      <c r="K26" s="103">
        <v>367783.36</v>
      </c>
      <c r="L26" s="45"/>
      <c r="M26" s="44">
        <f t="shared" si="13"/>
        <v>1582</v>
      </c>
      <c r="N26" s="95">
        <v>232.48</v>
      </c>
      <c r="O26" s="45">
        <v>7.18</v>
      </c>
      <c r="P26" s="92">
        <f t="shared" si="14"/>
        <v>1669.2064</v>
      </c>
      <c r="Q26" s="98"/>
      <c r="R26" s="98"/>
      <c r="S26" s="47">
        <f t="shared" si="5"/>
        <v>636.185889705882</v>
      </c>
      <c r="T26" s="47"/>
      <c r="U26" s="47">
        <f t="shared" si="6"/>
        <v>26.3951470588235</v>
      </c>
      <c r="V26" s="47"/>
      <c r="W26" s="47"/>
      <c r="X26" s="47">
        <f t="shared" si="0"/>
        <v>662.581036764706</v>
      </c>
      <c r="Y26" s="102">
        <f t="shared" si="7"/>
        <v>144.772982426471</v>
      </c>
      <c r="Z26" s="102"/>
      <c r="AA26" s="102">
        <f t="shared" si="8"/>
        <v>0.746731279411765</v>
      </c>
      <c r="AB26" s="102">
        <f t="shared" si="1"/>
        <v>145.519713705882</v>
      </c>
      <c r="AC26" s="89">
        <v>7.26</v>
      </c>
      <c r="AD26" s="47">
        <f t="shared" si="2"/>
        <v>1056.47312150471</v>
      </c>
      <c r="AE26" s="47">
        <f t="shared" si="3"/>
        <v>1719.05415826941</v>
      </c>
      <c r="AF26" s="47">
        <f t="shared" si="4"/>
        <v>-49.8477582694115</v>
      </c>
    </row>
    <row r="27" s="2" customFormat="1" spans="1:32">
      <c r="A27" s="86"/>
      <c r="B27" s="45"/>
      <c r="C27" s="23">
        <v>241224000028</v>
      </c>
      <c r="D27" s="24">
        <v>46018</v>
      </c>
      <c r="E27" s="24" t="s">
        <v>55</v>
      </c>
      <c r="F27" s="45" t="s">
        <v>56</v>
      </c>
      <c r="G27" s="45" t="s">
        <v>57</v>
      </c>
      <c r="H27" s="87">
        <v>0.4936</v>
      </c>
      <c r="I27" s="87">
        <v>87</v>
      </c>
      <c r="J27" s="92"/>
      <c r="K27" s="103">
        <v>229672</v>
      </c>
      <c r="L27" s="45"/>
      <c r="M27" s="44">
        <f t="shared" si="13"/>
        <v>1550.99956449214</v>
      </c>
      <c r="N27" s="95">
        <v>148.07999</v>
      </c>
      <c r="O27" s="91">
        <v>7.24</v>
      </c>
      <c r="P27" s="92">
        <f t="shared" si="14"/>
        <v>1072.0991276</v>
      </c>
      <c r="Q27" s="98"/>
      <c r="R27" s="98"/>
      <c r="S27" s="47">
        <f t="shared" si="5"/>
        <v>367.405352941176</v>
      </c>
      <c r="T27" s="47"/>
      <c r="U27" s="47">
        <f t="shared" si="6"/>
        <v>15.2435294117647</v>
      </c>
      <c r="V27" s="47"/>
      <c r="W27" s="47"/>
      <c r="X27" s="47">
        <f t="shared" si="0"/>
        <v>382.648882352941</v>
      </c>
      <c r="Y27" s="102">
        <f t="shared" si="7"/>
        <v>83.6082182352941</v>
      </c>
      <c r="Z27" s="102"/>
      <c r="AA27" s="102">
        <f t="shared" si="8"/>
        <v>0.431246705882353</v>
      </c>
      <c r="AB27" s="102">
        <f t="shared" si="1"/>
        <v>84.0394649411765</v>
      </c>
      <c r="AC27" s="89">
        <v>7.26</v>
      </c>
      <c r="AD27" s="47">
        <f t="shared" si="2"/>
        <v>610.126515472941</v>
      </c>
      <c r="AE27" s="47">
        <f t="shared" si="3"/>
        <v>992.775397825882</v>
      </c>
      <c r="AF27" s="47">
        <f t="shared" si="4"/>
        <v>79.3237297741176</v>
      </c>
    </row>
    <row r="28" s="2" customFormat="1" spans="1:32">
      <c r="A28" s="86"/>
      <c r="B28" s="45"/>
      <c r="C28" s="23">
        <v>241224000043</v>
      </c>
      <c r="D28" s="24">
        <v>46018</v>
      </c>
      <c r="E28" s="24" t="s">
        <v>65</v>
      </c>
      <c r="F28" s="45" t="s">
        <v>65</v>
      </c>
      <c r="G28" s="45" t="s">
        <v>66</v>
      </c>
      <c r="H28" s="87">
        <v>0.4278</v>
      </c>
      <c r="I28" s="87">
        <v>118</v>
      </c>
      <c r="J28" s="88">
        <v>1777</v>
      </c>
      <c r="K28" s="89"/>
      <c r="L28" s="45"/>
      <c r="M28" s="44"/>
      <c r="N28" s="90"/>
      <c r="O28" s="91"/>
      <c r="P28" s="92">
        <f t="shared" ref="P28:P32" si="15">SUBTOTAL(9,J28)</f>
        <v>1777</v>
      </c>
      <c r="Q28" s="98"/>
      <c r="R28" s="98"/>
      <c r="S28" s="47">
        <f t="shared" si="5"/>
        <v>318.427897058824</v>
      </c>
      <c r="T28" s="47"/>
      <c r="U28" s="47">
        <f t="shared" si="6"/>
        <v>13.2114705882353</v>
      </c>
      <c r="V28" s="47"/>
      <c r="W28" s="99">
        <v>57.82</v>
      </c>
      <c r="X28" s="47">
        <f t="shared" si="0"/>
        <v>389.459367647059</v>
      </c>
      <c r="Y28" s="102">
        <f t="shared" si="7"/>
        <v>72.4627142647059</v>
      </c>
      <c r="Z28" s="102"/>
      <c r="AA28" s="102">
        <f t="shared" si="8"/>
        <v>0.373758794117647</v>
      </c>
      <c r="AB28" s="102">
        <f t="shared" si="1"/>
        <v>72.8364730588235</v>
      </c>
      <c r="AC28" s="89">
        <v>7.26</v>
      </c>
      <c r="AD28" s="47">
        <f t="shared" si="2"/>
        <v>528.792794407059</v>
      </c>
      <c r="AE28" s="47">
        <f t="shared" si="3"/>
        <v>918.252162054118</v>
      </c>
      <c r="AF28" s="47">
        <f t="shared" si="4"/>
        <v>858.747837945882</v>
      </c>
    </row>
    <row r="29" s="2" customFormat="1" spans="1:32">
      <c r="A29" s="86"/>
      <c r="B29" s="45"/>
      <c r="C29" s="23">
        <v>241126000018</v>
      </c>
      <c r="D29" s="24">
        <v>46018</v>
      </c>
      <c r="E29" s="24" t="s">
        <v>81</v>
      </c>
      <c r="F29" s="45" t="s">
        <v>89</v>
      </c>
      <c r="G29" s="45" t="s">
        <v>128</v>
      </c>
      <c r="H29" s="87">
        <v>4.3979</v>
      </c>
      <c r="I29" s="87">
        <v>10079</v>
      </c>
      <c r="J29" s="88">
        <v>20016.76</v>
      </c>
      <c r="K29" s="89"/>
      <c r="L29" s="93"/>
      <c r="M29" s="44"/>
      <c r="N29" s="90"/>
      <c r="O29" s="91"/>
      <c r="P29" s="92">
        <f t="shared" si="15"/>
        <v>20016.76</v>
      </c>
      <c r="Q29" s="98"/>
      <c r="R29" s="98"/>
      <c r="S29" s="47">
        <f t="shared" si="5"/>
        <v>3273.525125</v>
      </c>
      <c r="T29" s="47"/>
      <c r="U29" s="47">
        <f t="shared" si="6"/>
        <v>135.8175</v>
      </c>
      <c r="V29" s="47"/>
      <c r="W29" s="99">
        <v>255</v>
      </c>
      <c r="X29" s="47">
        <f t="shared" si="0"/>
        <v>3664.342625</v>
      </c>
      <c r="Y29" s="102">
        <f t="shared" si="7"/>
        <v>744.93635125</v>
      </c>
      <c r="Z29" s="102"/>
      <c r="AA29" s="102">
        <f t="shared" si="8"/>
        <v>3.84234175</v>
      </c>
      <c r="AB29" s="102">
        <f t="shared" si="1"/>
        <v>748.778693</v>
      </c>
      <c r="AC29" s="89">
        <v>7.26</v>
      </c>
      <c r="AD29" s="47">
        <f t="shared" si="2"/>
        <v>5436.13331118</v>
      </c>
      <c r="AE29" s="47">
        <f t="shared" si="3"/>
        <v>9100.47593618</v>
      </c>
      <c r="AF29" s="47">
        <f t="shared" si="4"/>
        <v>10916.28406382</v>
      </c>
    </row>
    <row r="30" s="2" customFormat="1" spans="1:32">
      <c r="A30" s="86"/>
      <c r="B30" s="45"/>
      <c r="C30" s="23">
        <v>241226000023</v>
      </c>
      <c r="D30" s="24">
        <v>46018</v>
      </c>
      <c r="E30" s="24" t="s">
        <v>83</v>
      </c>
      <c r="F30" s="45" t="s">
        <v>84</v>
      </c>
      <c r="G30" s="45" t="s">
        <v>117</v>
      </c>
      <c r="H30" s="87">
        <v>0.8304</v>
      </c>
      <c r="I30" s="87">
        <v>88</v>
      </c>
      <c r="J30" s="92"/>
      <c r="K30" s="103">
        <v>488305</v>
      </c>
      <c r="L30" s="45"/>
      <c r="M30" s="44">
        <f t="shared" ref="M30:M35" si="16">SUM(K30/N30)</f>
        <v>1581.29857512953</v>
      </c>
      <c r="N30" s="95">
        <v>308.8</v>
      </c>
      <c r="O30" s="91">
        <v>7.27</v>
      </c>
      <c r="P30" s="92">
        <f t="shared" ref="P30:P35" si="17">SUM(N30*O30)</f>
        <v>2244.976</v>
      </c>
      <c r="Q30" s="98"/>
      <c r="R30" s="98"/>
      <c r="S30" s="47">
        <f t="shared" si="5"/>
        <v>618.098470588235</v>
      </c>
      <c r="T30" s="47"/>
      <c r="U30" s="47">
        <f t="shared" si="6"/>
        <v>25.6447058823529</v>
      </c>
      <c r="V30" s="47"/>
      <c r="W30" s="47"/>
      <c r="X30" s="47">
        <f t="shared" si="0"/>
        <v>643.743176470588</v>
      </c>
      <c r="Y30" s="102">
        <f t="shared" si="7"/>
        <v>140.656937647059</v>
      </c>
      <c r="Z30" s="101">
        <v>35.59</v>
      </c>
      <c r="AA30" s="102">
        <f t="shared" si="8"/>
        <v>0.725500941176471</v>
      </c>
      <c r="AB30" s="102">
        <f t="shared" si="1"/>
        <v>176.972438588235</v>
      </c>
      <c r="AC30" s="89">
        <v>7.26</v>
      </c>
      <c r="AD30" s="47">
        <f t="shared" si="2"/>
        <v>1284.81990415059</v>
      </c>
      <c r="AE30" s="47">
        <f t="shared" si="3"/>
        <v>1928.56308062118</v>
      </c>
      <c r="AF30" s="47">
        <f t="shared" si="4"/>
        <v>316.412919378824</v>
      </c>
    </row>
    <row r="31" s="2" customFormat="1" spans="1:32">
      <c r="A31" s="86"/>
      <c r="B31" s="45"/>
      <c r="C31" s="23">
        <v>241226000032</v>
      </c>
      <c r="D31" s="24">
        <v>46018</v>
      </c>
      <c r="E31" s="24" t="s">
        <v>59</v>
      </c>
      <c r="F31" s="45" t="s">
        <v>60</v>
      </c>
      <c r="G31" s="45" t="s">
        <v>61</v>
      </c>
      <c r="H31" s="87">
        <v>0.19</v>
      </c>
      <c r="I31" s="87">
        <v>26</v>
      </c>
      <c r="J31" s="92"/>
      <c r="K31" s="103">
        <v>81805.22</v>
      </c>
      <c r="L31" s="45"/>
      <c r="M31" s="44">
        <f t="shared" si="16"/>
        <v>1582</v>
      </c>
      <c r="N31" s="95">
        <v>51.71</v>
      </c>
      <c r="O31" s="45">
        <v>7.18</v>
      </c>
      <c r="P31" s="92">
        <f t="shared" si="17"/>
        <v>371.2778</v>
      </c>
      <c r="Q31" s="98"/>
      <c r="R31" s="98"/>
      <c r="S31" s="47">
        <f t="shared" si="5"/>
        <v>141.424264705882</v>
      </c>
      <c r="T31" s="47"/>
      <c r="U31" s="47">
        <f t="shared" si="6"/>
        <v>5.86764705882353</v>
      </c>
      <c r="V31" s="47"/>
      <c r="W31" s="47"/>
      <c r="X31" s="47">
        <f t="shared" si="0"/>
        <v>147.291911764706</v>
      </c>
      <c r="Y31" s="102">
        <f t="shared" si="7"/>
        <v>32.1830661764706</v>
      </c>
      <c r="Z31" s="102"/>
      <c r="AA31" s="102">
        <f t="shared" si="8"/>
        <v>0.165998529411765</v>
      </c>
      <c r="AB31" s="102">
        <f t="shared" si="1"/>
        <v>32.3490647058824</v>
      </c>
      <c r="AC31" s="89">
        <v>7.26</v>
      </c>
      <c r="AD31" s="47">
        <f t="shared" si="2"/>
        <v>234.854209764706</v>
      </c>
      <c r="AE31" s="47">
        <f t="shared" si="3"/>
        <v>382.146121529412</v>
      </c>
      <c r="AF31" s="47">
        <f t="shared" si="4"/>
        <v>-10.8683215294118</v>
      </c>
    </row>
    <row r="32" s="2" customFormat="1" spans="1:32">
      <c r="A32" s="86"/>
      <c r="B32" s="45"/>
      <c r="C32" s="23">
        <v>241023000034</v>
      </c>
      <c r="D32" s="24">
        <v>45617</v>
      </c>
      <c r="E32" s="24" t="s">
        <v>65</v>
      </c>
      <c r="F32" s="45" t="s">
        <v>65</v>
      </c>
      <c r="G32" s="45" t="s">
        <v>67</v>
      </c>
      <c r="H32" s="87">
        <v>0.0452</v>
      </c>
      <c r="I32" s="87">
        <v>13</v>
      </c>
      <c r="J32" s="88">
        <v>131.2</v>
      </c>
      <c r="K32" s="89"/>
      <c r="L32" s="45"/>
      <c r="M32" s="44"/>
      <c r="N32" s="90"/>
      <c r="O32" s="91"/>
      <c r="P32" s="92">
        <f t="shared" si="15"/>
        <v>131.2</v>
      </c>
      <c r="Q32" s="98"/>
      <c r="R32" s="98"/>
      <c r="S32" s="47">
        <f t="shared" si="5"/>
        <v>33.6440882352941</v>
      </c>
      <c r="T32" s="47"/>
      <c r="U32" s="47">
        <f t="shared" si="6"/>
        <v>1.39588235294118</v>
      </c>
      <c r="V32" s="47"/>
      <c r="W32" s="47"/>
      <c r="X32" s="47">
        <f t="shared" si="0"/>
        <v>35.0399705882353</v>
      </c>
      <c r="Y32" s="102">
        <f t="shared" si="7"/>
        <v>7.65618205882353</v>
      </c>
      <c r="Z32" s="102"/>
      <c r="AA32" s="102">
        <f t="shared" si="8"/>
        <v>0.0394901764705882</v>
      </c>
      <c r="AB32" s="102">
        <f t="shared" si="1"/>
        <v>7.69567223529412</v>
      </c>
      <c r="AC32" s="89">
        <v>7.26</v>
      </c>
      <c r="AD32" s="47">
        <f t="shared" si="2"/>
        <v>55.8705804282353</v>
      </c>
      <c r="AE32" s="47">
        <f t="shared" si="3"/>
        <v>90.9105510164706</v>
      </c>
      <c r="AF32" s="47">
        <f t="shared" si="4"/>
        <v>40.2894489835294</v>
      </c>
    </row>
    <row r="33" s="2" customFormat="1" spans="1:32">
      <c r="A33" s="86"/>
      <c r="B33" s="45"/>
      <c r="C33" s="23">
        <v>241226000033</v>
      </c>
      <c r="D33" s="24">
        <v>46018</v>
      </c>
      <c r="E33" s="24" t="s">
        <v>59</v>
      </c>
      <c r="F33" s="45" t="s">
        <v>60</v>
      </c>
      <c r="G33" s="45" t="s">
        <v>61</v>
      </c>
      <c r="H33" s="87">
        <v>1.481</v>
      </c>
      <c r="I33" s="87">
        <v>251</v>
      </c>
      <c r="J33" s="92"/>
      <c r="K33" s="103">
        <v>637277.06</v>
      </c>
      <c r="L33" s="45"/>
      <c r="M33" s="44">
        <f t="shared" si="16"/>
        <v>1582</v>
      </c>
      <c r="N33" s="95">
        <v>402.83</v>
      </c>
      <c r="O33" s="45">
        <v>7.18</v>
      </c>
      <c r="P33" s="92">
        <f t="shared" si="17"/>
        <v>2892.3194</v>
      </c>
      <c r="Q33" s="98"/>
      <c r="R33" s="98"/>
      <c r="S33" s="47">
        <f t="shared" si="5"/>
        <v>1102.36492647059</v>
      </c>
      <c r="T33" s="47"/>
      <c r="U33" s="47">
        <f t="shared" si="6"/>
        <v>45.7367647058824</v>
      </c>
      <c r="V33" s="47"/>
      <c r="W33" s="47"/>
      <c r="X33" s="47">
        <f t="shared" si="0"/>
        <v>1148.10169117647</v>
      </c>
      <c r="Y33" s="102">
        <f t="shared" si="7"/>
        <v>250.858531617647</v>
      </c>
      <c r="Z33" s="102"/>
      <c r="AA33" s="102">
        <f t="shared" si="8"/>
        <v>1.29391485294118</v>
      </c>
      <c r="AB33" s="102">
        <f t="shared" si="1"/>
        <v>252.152446470588</v>
      </c>
      <c r="AC33" s="89">
        <v>7.26</v>
      </c>
      <c r="AD33" s="47">
        <f t="shared" si="2"/>
        <v>1830.62676137647</v>
      </c>
      <c r="AE33" s="47">
        <f t="shared" si="3"/>
        <v>2978.72845255294</v>
      </c>
      <c r="AF33" s="47">
        <f t="shared" si="4"/>
        <v>-86.4090525529414</v>
      </c>
    </row>
    <row r="34" s="2" customFormat="1" spans="1:32">
      <c r="A34" s="86"/>
      <c r="B34" s="45"/>
      <c r="C34" s="23">
        <v>241225000006</v>
      </c>
      <c r="D34" s="24">
        <v>46020</v>
      </c>
      <c r="E34" s="24" t="s">
        <v>83</v>
      </c>
      <c r="F34" s="45" t="s">
        <v>84</v>
      </c>
      <c r="G34" s="45" t="s">
        <v>123</v>
      </c>
      <c r="H34" s="87">
        <v>2.399</v>
      </c>
      <c r="I34" s="87">
        <v>1988</v>
      </c>
      <c r="J34" s="92"/>
      <c r="K34" s="94">
        <v>1244263</v>
      </c>
      <c r="L34" s="45"/>
      <c r="M34" s="44">
        <f t="shared" si="16"/>
        <v>1573.02528445006</v>
      </c>
      <c r="N34" s="95">
        <v>791</v>
      </c>
      <c r="O34" s="91">
        <v>7.25</v>
      </c>
      <c r="P34" s="92">
        <f t="shared" si="17"/>
        <v>5734.75</v>
      </c>
      <c r="Q34" s="98"/>
      <c r="R34" s="98"/>
      <c r="S34" s="47">
        <f t="shared" si="5"/>
        <v>1785.66742647059</v>
      </c>
      <c r="T34" s="47"/>
      <c r="U34" s="47">
        <f t="shared" si="6"/>
        <v>74.0867647058824</v>
      </c>
      <c r="V34" s="47"/>
      <c r="W34" s="47"/>
      <c r="X34" s="47">
        <f t="shared" si="0"/>
        <v>1859.75419117647</v>
      </c>
      <c r="Y34" s="102">
        <f t="shared" si="7"/>
        <v>406.353556617647</v>
      </c>
      <c r="Z34" s="102"/>
      <c r="AA34" s="102">
        <f t="shared" si="8"/>
        <v>2.09594985294118</v>
      </c>
      <c r="AB34" s="102">
        <f t="shared" si="1"/>
        <v>408.449506470588</v>
      </c>
      <c r="AC34" s="89">
        <v>7.26</v>
      </c>
      <c r="AD34" s="47">
        <f t="shared" si="2"/>
        <v>2965.34341697647</v>
      </c>
      <c r="AE34" s="47">
        <f t="shared" si="3"/>
        <v>4825.09760815294</v>
      </c>
      <c r="AF34" s="47">
        <f t="shared" si="4"/>
        <v>909.652391847059</v>
      </c>
    </row>
    <row r="35" s="2" customFormat="1" spans="1:32">
      <c r="A35" s="86"/>
      <c r="B35" s="45"/>
      <c r="C35" s="23">
        <v>241226000034</v>
      </c>
      <c r="D35" s="24">
        <v>46018</v>
      </c>
      <c r="E35" s="24" t="s">
        <v>59</v>
      </c>
      <c r="F35" s="45" t="s">
        <v>60</v>
      </c>
      <c r="G35" s="45" t="s">
        <v>61</v>
      </c>
      <c r="H35" s="87">
        <v>0.3501</v>
      </c>
      <c r="I35" s="87">
        <v>96</v>
      </c>
      <c r="J35" s="92"/>
      <c r="K35" s="103">
        <v>150653.86</v>
      </c>
      <c r="L35" s="45"/>
      <c r="M35" s="44">
        <f t="shared" si="16"/>
        <v>1582</v>
      </c>
      <c r="N35" s="95">
        <v>95.23</v>
      </c>
      <c r="O35" s="45">
        <v>7.18</v>
      </c>
      <c r="P35" s="92">
        <f t="shared" si="17"/>
        <v>683.7514</v>
      </c>
      <c r="Q35" s="100"/>
      <c r="R35" s="100"/>
      <c r="S35" s="47">
        <f t="shared" si="5"/>
        <v>260.592816176471</v>
      </c>
      <c r="T35" s="47"/>
      <c r="U35" s="47">
        <f t="shared" si="6"/>
        <v>10.8119117647059</v>
      </c>
      <c r="V35" s="47"/>
      <c r="W35" s="47"/>
      <c r="X35" s="47">
        <f t="shared" si="0"/>
        <v>271.404727941176</v>
      </c>
      <c r="Y35" s="102">
        <f t="shared" si="7"/>
        <v>59.3015340441176</v>
      </c>
      <c r="Z35" s="102"/>
      <c r="AA35" s="102">
        <f t="shared" si="8"/>
        <v>0.305874132352941</v>
      </c>
      <c r="AB35" s="102">
        <f t="shared" si="1"/>
        <v>59.6074081764706</v>
      </c>
      <c r="AC35" s="89">
        <v>7.26</v>
      </c>
      <c r="AD35" s="47">
        <f t="shared" si="2"/>
        <v>432.749783361176</v>
      </c>
      <c r="AE35" s="47">
        <f t="shared" si="3"/>
        <v>704.154511302353</v>
      </c>
      <c r="AF35" s="47">
        <f t="shared" si="4"/>
        <v>-20.4031113023528</v>
      </c>
    </row>
    <row r="36" ht="15.75" spans="1:32">
      <c r="A36" s="26" t="s">
        <v>22</v>
      </c>
      <c r="B36" s="27"/>
      <c r="C36" s="27"/>
      <c r="D36" s="27"/>
      <c r="E36" s="27"/>
      <c r="F36" s="27"/>
      <c r="G36" s="27"/>
      <c r="H36" s="27"/>
      <c r="I36" s="48"/>
      <c r="J36" s="27">
        <f>SUM(J4:J4)</f>
        <v>0</v>
      </c>
      <c r="K36" s="49"/>
      <c r="L36" s="50"/>
      <c r="M36" s="49"/>
      <c r="N36" s="49">
        <f t="shared" ref="N36:Q36" si="18">SUM(N4:N4)</f>
        <v>0</v>
      </c>
      <c r="O36" s="27"/>
      <c r="P36" s="27">
        <f t="shared" si="18"/>
        <v>0</v>
      </c>
      <c r="Q36" s="27">
        <f t="shared" si="18"/>
        <v>0</v>
      </c>
      <c r="R36" s="27"/>
      <c r="S36" s="27"/>
      <c r="T36" s="27"/>
      <c r="U36" s="27"/>
      <c r="V36" s="27"/>
      <c r="W36" s="27"/>
      <c r="X36" s="71">
        <f>SUM(X4:X4)</f>
        <v>0</v>
      </c>
      <c r="Y36" s="50"/>
      <c r="Z36" s="50"/>
      <c r="AA36" s="50"/>
      <c r="AB36" s="50"/>
      <c r="AC36" s="49"/>
      <c r="AD36" s="27">
        <f>SUM(AD4:AD4)</f>
        <v>0</v>
      </c>
      <c r="AE36" s="27"/>
      <c r="AF36" s="85">
        <f>SUM(AF4:AF35)</f>
        <v>25144.54371336</v>
      </c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  <row r="45" customFormat="1" spans="4:32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  <c r="AF45" s="8"/>
    </row>
    <row r="46" customFormat="1" spans="4:32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  <c r="AF46" s="8"/>
    </row>
    <row r="47" customFormat="1" spans="4:32">
      <c r="D47" s="3"/>
      <c r="E47" s="3"/>
      <c r="K47" s="4"/>
      <c r="L47" s="5"/>
      <c r="M47" s="4"/>
      <c r="X47" s="7"/>
      <c r="Y47" s="5"/>
      <c r="Z47" s="5"/>
      <c r="AA47" s="5"/>
      <c r="AB47" s="5"/>
      <c r="AC47" s="4"/>
      <c r="AF47" s="8"/>
    </row>
    <row r="48" customFormat="1" spans="4:32">
      <c r="D48" s="3"/>
      <c r="E48" s="3"/>
      <c r="K48" s="4"/>
      <c r="L48" s="5"/>
      <c r="M48" s="4"/>
      <c r="X48" s="7"/>
      <c r="Y48" s="5"/>
      <c r="Z48" s="5"/>
      <c r="AA48" s="5"/>
      <c r="AB48" s="5"/>
      <c r="AC48" s="4"/>
      <c r="AF48" s="8"/>
    </row>
    <row r="49" customFormat="1" spans="4:32">
      <c r="D49" s="3"/>
      <c r="E49" s="3"/>
      <c r="K49" s="4"/>
      <c r="L49" s="5"/>
      <c r="M49" s="4"/>
      <c r="X49" s="7"/>
      <c r="Y49" s="5"/>
      <c r="Z49" s="5"/>
      <c r="AA49" s="5"/>
      <c r="AB49" s="5"/>
      <c r="AC49" s="4"/>
      <c r="AF49" s="8"/>
    </row>
    <row r="50" customFormat="1" spans="4:32">
      <c r="D50" s="3"/>
      <c r="E50" s="3"/>
      <c r="K50" s="4"/>
      <c r="L50" s="5"/>
      <c r="M50" s="4"/>
      <c r="X50" s="7"/>
      <c r="Y50" s="5"/>
      <c r="Z50" s="5"/>
      <c r="AA50" s="5"/>
      <c r="AB50" s="5"/>
      <c r="AC50" s="4"/>
      <c r="AF50" s="8"/>
    </row>
    <row r="51" customFormat="1" spans="4:32">
      <c r="D51" s="3"/>
      <c r="E51" s="3"/>
      <c r="K51" s="4"/>
      <c r="L51" s="5"/>
      <c r="M51" s="4"/>
      <c r="X51" s="7"/>
      <c r="Y51" s="5"/>
      <c r="Z51" s="5"/>
      <c r="AA51" s="5"/>
      <c r="AB51" s="5"/>
      <c r="AC51" s="4"/>
      <c r="AF51" s="8"/>
    </row>
    <row r="52" customFormat="1" spans="4:32">
      <c r="D52" s="3"/>
      <c r="E52" s="3"/>
      <c r="K52" s="4"/>
      <c r="L52" s="5"/>
      <c r="M52" s="4"/>
      <c r="X52" s="7"/>
      <c r="Y52" s="5"/>
      <c r="Z52" s="5"/>
      <c r="AA52" s="5"/>
      <c r="AB52" s="5"/>
      <c r="AC52" s="4"/>
      <c r="AF52" s="8"/>
    </row>
  </sheetData>
  <autoFilter xmlns:etc="http://www.wps.cn/officeDocument/2017/etCustomData" ref="A3:AF36" etc:filterBottomFollowUsedRange="0">
    <extLst/>
  </autoFilter>
  <mergeCells count="21">
    <mergeCell ref="A1:AF1"/>
    <mergeCell ref="J3:P3"/>
    <mergeCell ref="R3:V3"/>
    <mergeCell ref="Y3:AD3"/>
    <mergeCell ref="A3:A4"/>
    <mergeCell ref="A5:A35"/>
    <mergeCell ref="B3:B4"/>
    <mergeCell ref="B5:B35"/>
    <mergeCell ref="C3:C4"/>
    <mergeCell ref="D3:D4"/>
    <mergeCell ref="E3:E4"/>
    <mergeCell ref="F3:F4"/>
    <mergeCell ref="G3:G4"/>
    <mergeCell ref="H3:H4"/>
    <mergeCell ref="I3:I4"/>
    <mergeCell ref="Q3:Q4"/>
    <mergeCell ref="Q5:Q35"/>
    <mergeCell ref="R5:R3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AA5" sqref="AA5:AA1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73.7379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86" t="s">
        <v>18</v>
      </c>
      <c r="B5" s="45" t="s">
        <v>19</v>
      </c>
      <c r="C5" s="23">
        <v>241128000030</v>
      </c>
      <c r="D5" s="24">
        <v>46020</v>
      </c>
      <c r="E5" s="24" t="s">
        <v>65</v>
      </c>
      <c r="F5" s="45" t="s">
        <v>65</v>
      </c>
      <c r="G5" s="45" t="s">
        <v>101</v>
      </c>
      <c r="H5" s="87">
        <v>5.8708</v>
      </c>
      <c r="I5" s="87">
        <v>3354</v>
      </c>
      <c r="J5" s="88">
        <v>17261.3</v>
      </c>
      <c r="K5" s="89"/>
      <c r="L5" s="45"/>
      <c r="M5" s="44"/>
      <c r="N5" s="90"/>
      <c r="O5" s="91"/>
      <c r="P5" s="92">
        <f t="shared" ref="P5:P10" si="0">SUBTOTAL(9,J5)</f>
        <v>17261.3</v>
      </c>
      <c r="Q5" s="96">
        <f>SUM(P5:P17)</f>
        <v>158708.12</v>
      </c>
      <c r="R5" s="97" t="s">
        <v>129</v>
      </c>
      <c r="S5" s="47">
        <f>SUM(50190/68)*H5</f>
        <v>4333.16841176471</v>
      </c>
      <c r="T5" s="47"/>
      <c r="U5" s="47">
        <f>SUM(1800/68)*H5</f>
        <v>155.403529411765</v>
      </c>
      <c r="V5" s="47"/>
      <c r="W5" s="47"/>
      <c r="X5" s="47">
        <f t="shared" ref="X5:X18" si="1">SUM(S5:W5)</f>
        <v>4488.57194117647</v>
      </c>
      <c r="Y5" s="101">
        <f>SUM(11143.04/68)*H5</f>
        <v>962.037635764706</v>
      </c>
      <c r="Z5" s="101">
        <v>114.79</v>
      </c>
      <c r="AA5" s="101">
        <f>SUM(134.1/68)*H5</f>
        <v>11.5775629411765</v>
      </c>
      <c r="AB5" s="102">
        <f t="shared" ref="AB5:AB18" si="2">SUM(Y5:AA5)</f>
        <v>1088.40519870588</v>
      </c>
      <c r="AC5" s="89">
        <v>7.25</v>
      </c>
      <c r="AD5" s="47">
        <f t="shared" ref="AD5:AD18" si="3">SUM(AB5*AC5)</f>
        <v>7890.93769061765</v>
      </c>
      <c r="AE5" s="47">
        <f t="shared" ref="AE5:AE18" si="4">SUM(X5+AD5)</f>
        <v>12379.5096317941</v>
      </c>
      <c r="AF5" s="47">
        <f t="shared" ref="AF5:AF17" si="5">SUM(P5-AE5)</f>
        <v>4881.79036820588</v>
      </c>
    </row>
    <row r="6" s="2" customFormat="1" spans="1:32">
      <c r="A6" s="86" t="s">
        <v>18</v>
      </c>
      <c r="B6" s="45" t="s">
        <v>19</v>
      </c>
      <c r="C6" s="23">
        <v>241126000018</v>
      </c>
      <c r="D6" s="24">
        <v>46020</v>
      </c>
      <c r="E6" s="24" t="s">
        <v>81</v>
      </c>
      <c r="F6" s="45" t="s">
        <v>89</v>
      </c>
      <c r="G6" s="45" t="s">
        <v>128</v>
      </c>
      <c r="H6" s="87">
        <v>4.16</v>
      </c>
      <c r="I6" s="87">
        <v>10000</v>
      </c>
      <c r="J6" s="88">
        <v>18934.4</v>
      </c>
      <c r="K6" s="46"/>
      <c r="L6" s="93"/>
      <c r="M6" s="44"/>
      <c r="N6" s="90"/>
      <c r="O6" s="91"/>
      <c r="P6" s="92">
        <f t="shared" si="0"/>
        <v>18934.4</v>
      </c>
      <c r="Q6" s="98"/>
      <c r="R6" s="98"/>
      <c r="S6" s="47">
        <f t="shared" ref="S6:S17" si="6">SUM(50190/68)*H6</f>
        <v>3070.44705882353</v>
      </c>
      <c r="T6" s="47"/>
      <c r="U6" s="47">
        <f t="shared" ref="U6:U17" si="7">SUM(1800/68)*H6</f>
        <v>110.117647058824</v>
      </c>
      <c r="V6" s="47"/>
      <c r="W6" s="47"/>
      <c r="X6" s="47">
        <f t="shared" si="1"/>
        <v>3180.56470588235</v>
      </c>
      <c r="Y6" s="101">
        <f t="shared" ref="Y6:Y17" si="8">SUM(11143.04/68)*H6</f>
        <v>681.69185882353</v>
      </c>
      <c r="Z6" s="102"/>
      <c r="AA6" s="101">
        <f t="shared" ref="AA6:AA17" si="9">SUM(134.1/68)*H6</f>
        <v>8.20376470588235</v>
      </c>
      <c r="AB6" s="102">
        <f t="shared" si="2"/>
        <v>689.895623529412</v>
      </c>
      <c r="AC6" s="89">
        <v>7.25</v>
      </c>
      <c r="AD6" s="47">
        <f t="shared" si="3"/>
        <v>5001.74327058824</v>
      </c>
      <c r="AE6" s="47">
        <f t="shared" si="4"/>
        <v>8182.30797647059</v>
      </c>
      <c r="AF6" s="47">
        <f t="shared" si="5"/>
        <v>10752.0920235294</v>
      </c>
    </row>
    <row r="7" s="2" customFormat="1" spans="1:32">
      <c r="A7" s="86"/>
      <c r="B7" s="45"/>
      <c r="C7" s="23">
        <v>241209000079</v>
      </c>
      <c r="D7" s="24">
        <v>46020</v>
      </c>
      <c r="E7" s="24" t="s">
        <v>68</v>
      </c>
      <c r="F7" s="45" t="s">
        <v>69</v>
      </c>
      <c r="G7" s="45" t="s">
        <v>116</v>
      </c>
      <c r="H7" s="87">
        <v>3.7703</v>
      </c>
      <c r="I7" s="87">
        <v>879</v>
      </c>
      <c r="J7" s="88">
        <v>9709</v>
      </c>
      <c r="K7" s="89"/>
      <c r="L7" s="45"/>
      <c r="M7" s="44"/>
      <c r="N7" s="90"/>
      <c r="O7" s="91"/>
      <c r="P7" s="92">
        <f t="shared" si="0"/>
        <v>9709</v>
      </c>
      <c r="Q7" s="98"/>
      <c r="R7" s="98"/>
      <c r="S7" s="47">
        <f t="shared" si="6"/>
        <v>2782.81407352941</v>
      </c>
      <c r="T7" s="47"/>
      <c r="U7" s="47">
        <f t="shared" si="7"/>
        <v>99.8020588235294</v>
      </c>
      <c r="V7" s="47"/>
      <c r="W7" s="47"/>
      <c r="X7" s="47">
        <f t="shared" si="1"/>
        <v>2882.61613235294</v>
      </c>
      <c r="Y7" s="101">
        <f t="shared" si="8"/>
        <v>617.832407529412</v>
      </c>
      <c r="Z7" s="102"/>
      <c r="AA7" s="101">
        <f t="shared" si="9"/>
        <v>7.43525338235294</v>
      </c>
      <c r="AB7" s="102">
        <f t="shared" si="2"/>
        <v>625.267660911765</v>
      </c>
      <c r="AC7" s="89">
        <v>7.25</v>
      </c>
      <c r="AD7" s="47">
        <f t="shared" si="3"/>
        <v>4533.19054161029</v>
      </c>
      <c r="AE7" s="47">
        <f t="shared" si="4"/>
        <v>7415.80667396324</v>
      </c>
      <c r="AF7" s="47">
        <f t="shared" si="5"/>
        <v>2293.19332603676</v>
      </c>
    </row>
    <row r="8" s="2" customFormat="1" spans="1:32">
      <c r="A8" s="86"/>
      <c r="B8" s="45"/>
      <c r="C8" s="23">
        <v>241220000032</v>
      </c>
      <c r="D8" s="24">
        <v>46020</v>
      </c>
      <c r="E8" s="24" t="s">
        <v>83</v>
      </c>
      <c r="F8" s="45" t="s">
        <v>84</v>
      </c>
      <c r="G8" s="45" t="s">
        <v>86</v>
      </c>
      <c r="H8" s="87">
        <v>0.1307</v>
      </c>
      <c r="I8" s="87">
        <v>18</v>
      </c>
      <c r="J8" s="88">
        <v>264.26</v>
      </c>
      <c r="K8" s="89"/>
      <c r="L8" s="45"/>
      <c r="M8" s="44"/>
      <c r="N8" s="90"/>
      <c r="O8" s="91"/>
      <c r="P8" s="92">
        <f t="shared" si="0"/>
        <v>264.26</v>
      </c>
      <c r="Q8" s="98"/>
      <c r="R8" s="98"/>
      <c r="S8" s="47">
        <f t="shared" si="6"/>
        <v>96.4681323529412</v>
      </c>
      <c r="T8" s="47"/>
      <c r="U8" s="47">
        <f t="shared" si="7"/>
        <v>3.45970588235294</v>
      </c>
      <c r="V8" s="47"/>
      <c r="W8" s="47"/>
      <c r="X8" s="47">
        <f t="shared" si="1"/>
        <v>99.9278382352941</v>
      </c>
      <c r="Y8" s="101">
        <f t="shared" si="8"/>
        <v>21.4175783529412</v>
      </c>
      <c r="Z8" s="102"/>
      <c r="AA8" s="101">
        <f t="shared" si="9"/>
        <v>0.257748088235294</v>
      </c>
      <c r="AB8" s="102">
        <f t="shared" si="2"/>
        <v>21.6753264411765</v>
      </c>
      <c r="AC8" s="89">
        <v>7.25</v>
      </c>
      <c r="AD8" s="47">
        <f t="shared" si="3"/>
        <v>157.146116698529</v>
      </c>
      <c r="AE8" s="47">
        <f t="shared" si="4"/>
        <v>257.073954933824</v>
      </c>
      <c r="AF8" s="47">
        <f t="shared" si="5"/>
        <v>7.18604506617646</v>
      </c>
    </row>
    <row r="9" s="2" customFormat="1" spans="1:32">
      <c r="A9" s="86"/>
      <c r="B9" s="45"/>
      <c r="C9" s="23">
        <v>241220000033</v>
      </c>
      <c r="D9" s="24">
        <v>46020</v>
      </c>
      <c r="E9" s="24" t="s">
        <v>83</v>
      </c>
      <c r="F9" s="45" t="s">
        <v>84</v>
      </c>
      <c r="G9" s="45" t="s">
        <v>86</v>
      </c>
      <c r="H9" s="87">
        <v>4.4833</v>
      </c>
      <c r="I9" s="87">
        <v>535</v>
      </c>
      <c r="J9" s="88">
        <v>9724.04</v>
      </c>
      <c r="K9" s="89"/>
      <c r="L9" s="45"/>
      <c r="M9" s="44"/>
      <c r="N9" s="90"/>
      <c r="O9" s="91"/>
      <c r="P9" s="92">
        <f t="shared" si="0"/>
        <v>9724.04</v>
      </c>
      <c r="Q9" s="98"/>
      <c r="R9" s="98"/>
      <c r="S9" s="47">
        <f t="shared" si="6"/>
        <v>3309.07098529412</v>
      </c>
      <c r="T9" s="47"/>
      <c r="U9" s="47">
        <f t="shared" si="7"/>
        <v>118.675588235294</v>
      </c>
      <c r="V9" s="99">
        <v>600</v>
      </c>
      <c r="W9" s="47"/>
      <c r="X9" s="47">
        <f t="shared" si="1"/>
        <v>4027.74657352941</v>
      </c>
      <c r="Y9" s="101">
        <f t="shared" si="8"/>
        <v>734.670459294118</v>
      </c>
      <c r="Z9" s="102"/>
      <c r="AA9" s="101">
        <f t="shared" si="9"/>
        <v>8.84133132352941</v>
      </c>
      <c r="AB9" s="102">
        <f t="shared" si="2"/>
        <v>743.511790617647</v>
      </c>
      <c r="AC9" s="89">
        <v>7.25</v>
      </c>
      <c r="AD9" s="47">
        <f t="shared" si="3"/>
        <v>5390.46048197794</v>
      </c>
      <c r="AE9" s="47">
        <f t="shared" si="4"/>
        <v>9418.20705550735</v>
      </c>
      <c r="AF9" s="47">
        <f t="shared" si="5"/>
        <v>305.832944492648</v>
      </c>
    </row>
    <row r="10" s="2" customFormat="1" spans="1:32">
      <c r="A10" s="86"/>
      <c r="B10" s="45"/>
      <c r="C10" s="23">
        <v>241222000001</v>
      </c>
      <c r="D10" s="24">
        <v>46020</v>
      </c>
      <c r="E10" s="24" t="s">
        <v>65</v>
      </c>
      <c r="F10" s="45" t="s">
        <v>65</v>
      </c>
      <c r="G10" s="45" t="s">
        <v>106</v>
      </c>
      <c r="H10" s="87">
        <v>2.8117</v>
      </c>
      <c r="I10" s="87">
        <v>782</v>
      </c>
      <c r="J10" s="88">
        <v>7663</v>
      </c>
      <c r="K10" s="89"/>
      <c r="L10" s="45"/>
      <c r="M10" s="44"/>
      <c r="N10" s="90"/>
      <c r="O10" s="91"/>
      <c r="P10" s="92">
        <f t="shared" si="0"/>
        <v>7663</v>
      </c>
      <c r="Q10" s="98"/>
      <c r="R10" s="98"/>
      <c r="S10" s="47">
        <f t="shared" si="6"/>
        <v>2075.28269117647</v>
      </c>
      <c r="T10" s="47"/>
      <c r="U10" s="47">
        <f t="shared" si="7"/>
        <v>74.4273529411765</v>
      </c>
      <c r="V10" s="47"/>
      <c r="W10" s="47"/>
      <c r="X10" s="47">
        <f t="shared" si="1"/>
        <v>2149.71004411765</v>
      </c>
      <c r="Y10" s="101">
        <f t="shared" si="8"/>
        <v>460.748317176471</v>
      </c>
      <c r="Z10" s="102"/>
      <c r="AA10" s="101">
        <f t="shared" si="9"/>
        <v>5.54483779411765</v>
      </c>
      <c r="AB10" s="102">
        <f t="shared" si="2"/>
        <v>466.293154970588</v>
      </c>
      <c r="AC10" s="89">
        <v>7.25</v>
      </c>
      <c r="AD10" s="47">
        <f t="shared" si="3"/>
        <v>3380.62537353676</v>
      </c>
      <c r="AE10" s="47">
        <f t="shared" si="4"/>
        <v>5530.33541765441</v>
      </c>
      <c r="AF10" s="47">
        <f t="shared" si="5"/>
        <v>2132.66458234559</v>
      </c>
    </row>
    <row r="11" s="2" customFormat="1" spans="1:32">
      <c r="A11" s="86"/>
      <c r="B11" s="45"/>
      <c r="C11" s="23">
        <v>241225000006</v>
      </c>
      <c r="D11" s="24">
        <v>46020</v>
      </c>
      <c r="E11" s="24" t="s">
        <v>83</v>
      </c>
      <c r="F11" s="45" t="s">
        <v>84</v>
      </c>
      <c r="G11" s="45" t="s">
        <v>123</v>
      </c>
      <c r="H11" s="87">
        <v>1.7317</v>
      </c>
      <c r="I11" s="87">
        <v>1184</v>
      </c>
      <c r="J11" s="92"/>
      <c r="K11" s="94">
        <v>898163</v>
      </c>
      <c r="L11" s="45"/>
      <c r="M11" s="44">
        <f>SUM(K11/N11)</f>
        <v>1572.9649737303</v>
      </c>
      <c r="N11" s="95">
        <v>571</v>
      </c>
      <c r="O11" s="91">
        <v>7.25</v>
      </c>
      <c r="P11" s="92">
        <f>SUM(N11*O11)</f>
        <v>4139.75</v>
      </c>
      <c r="Q11" s="98"/>
      <c r="R11" s="98"/>
      <c r="S11" s="47">
        <f t="shared" si="6"/>
        <v>1278.14739705882</v>
      </c>
      <c r="T11" s="47"/>
      <c r="U11" s="47">
        <f t="shared" si="7"/>
        <v>45.8391176470588</v>
      </c>
      <c r="V11" s="47"/>
      <c r="W11" s="47"/>
      <c r="X11" s="47">
        <f t="shared" si="1"/>
        <v>1323.98651470588</v>
      </c>
      <c r="Y11" s="101">
        <f t="shared" si="8"/>
        <v>283.770623058824</v>
      </c>
      <c r="Z11" s="101">
        <v>52.28</v>
      </c>
      <c r="AA11" s="101">
        <f t="shared" si="9"/>
        <v>3.41501426470588</v>
      </c>
      <c r="AB11" s="102">
        <f t="shared" si="2"/>
        <v>339.465637323529</v>
      </c>
      <c r="AC11" s="89">
        <v>7.25</v>
      </c>
      <c r="AD11" s="47">
        <f t="shared" si="3"/>
        <v>2461.12587059559</v>
      </c>
      <c r="AE11" s="47">
        <f t="shared" si="4"/>
        <v>3785.11238530147</v>
      </c>
      <c r="AF11" s="47">
        <f t="shared" si="5"/>
        <v>354.637614698529</v>
      </c>
    </row>
    <row r="12" s="2" customFormat="1" spans="1:32">
      <c r="A12" s="86"/>
      <c r="B12" s="45"/>
      <c r="C12" s="23">
        <v>241227000020</v>
      </c>
      <c r="D12" s="24">
        <v>46020</v>
      </c>
      <c r="E12" s="24" t="s">
        <v>62</v>
      </c>
      <c r="F12" s="45" t="s">
        <v>63</v>
      </c>
      <c r="G12" s="45" t="s">
        <v>71</v>
      </c>
      <c r="H12" s="87">
        <v>13.5726</v>
      </c>
      <c r="I12" s="87">
        <v>6092</v>
      </c>
      <c r="J12" s="88">
        <v>27674.5</v>
      </c>
      <c r="K12" s="46"/>
      <c r="L12" s="45"/>
      <c r="M12" s="44"/>
      <c r="N12" s="90"/>
      <c r="O12" s="91"/>
      <c r="P12" s="92">
        <f t="shared" ref="P12:P17" si="10">SUBTOTAL(9,J12)</f>
        <v>27674.5</v>
      </c>
      <c r="Q12" s="98"/>
      <c r="R12" s="98"/>
      <c r="S12" s="47">
        <f t="shared" si="6"/>
        <v>10017.7763823529</v>
      </c>
      <c r="T12" s="47"/>
      <c r="U12" s="47">
        <f t="shared" si="7"/>
        <v>359.274705882353</v>
      </c>
      <c r="V12" s="47"/>
      <c r="W12" s="47"/>
      <c r="X12" s="47">
        <f t="shared" si="1"/>
        <v>10377.0510882353</v>
      </c>
      <c r="Y12" s="101">
        <f t="shared" si="8"/>
        <v>2224.11801035294</v>
      </c>
      <c r="Z12" s="102"/>
      <c r="AA12" s="101">
        <f t="shared" si="9"/>
        <v>26.7659655882353</v>
      </c>
      <c r="AB12" s="102">
        <f t="shared" si="2"/>
        <v>2250.88397594118</v>
      </c>
      <c r="AC12" s="89">
        <v>7.25</v>
      </c>
      <c r="AD12" s="47">
        <f t="shared" si="3"/>
        <v>16318.9088255735</v>
      </c>
      <c r="AE12" s="47">
        <f t="shared" si="4"/>
        <v>26695.9599138088</v>
      </c>
      <c r="AF12" s="47">
        <f t="shared" si="5"/>
        <v>978.540086191173</v>
      </c>
    </row>
    <row r="13" s="2" customFormat="1" spans="1:32">
      <c r="A13" s="86"/>
      <c r="B13" s="45"/>
      <c r="C13" s="23">
        <v>241227000049</v>
      </c>
      <c r="D13" s="24">
        <v>46020</v>
      </c>
      <c r="E13" s="24" t="s">
        <v>77</v>
      </c>
      <c r="F13" s="45" t="s">
        <v>78</v>
      </c>
      <c r="G13" s="45" t="s">
        <v>130</v>
      </c>
      <c r="H13" s="87">
        <v>2.8728</v>
      </c>
      <c r="I13" s="87">
        <v>1490</v>
      </c>
      <c r="J13" s="88">
        <v>5584.75</v>
      </c>
      <c r="K13" s="89"/>
      <c r="L13" s="45"/>
      <c r="M13" s="44"/>
      <c r="N13" s="90"/>
      <c r="O13" s="45"/>
      <c r="P13" s="92">
        <f t="shared" si="10"/>
        <v>5584.75</v>
      </c>
      <c r="Q13" s="98"/>
      <c r="R13" s="98"/>
      <c r="S13" s="47">
        <f t="shared" si="6"/>
        <v>2120.37988235294</v>
      </c>
      <c r="T13" s="47"/>
      <c r="U13" s="47">
        <f t="shared" si="7"/>
        <v>76.0447058823529</v>
      </c>
      <c r="V13" s="47"/>
      <c r="W13" s="47"/>
      <c r="X13" s="47">
        <f t="shared" si="1"/>
        <v>2196.42458823529</v>
      </c>
      <c r="Y13" s="101">
        <f t="shared" si="8"/>
        <v>470.760666352941</v>
      </c>
      <c r="Z13" s="102"/>
      <c r="AA13" s="101">
        <f t="shared" si="9"/>
        <v>5.66533058823529</v>
      </c>
      <c r="AB13" s="102">
        <f t="shared" si="2"/>
        <v>476.425996941176</v>
      </c>
      <c r="AC13" s="89">
        <v>7.25</v>
      </c>
      <c r="AD13" s="47">
        <f t="shared" si="3"/>
        <v>3454.08847782353</v>
      </c>
      <c r="AE13" s="47">
        <f t="shared" si="4"/>
        <v>5650.51306605882</v>
      </c>
      <c r="AF13" s="47">
        <f t="shared" si="5"/>
        <v>-65.7630660588229</v>
      </c>
    </row>
    <row r="14" s="2" customFormat="1" spans="1:32">
      <c r="A14" s="86"/>
      <c r="B14" s="45"/>
      <c r="C14" s="23">
        <v>241227000050</v>
      </c>
      <c r="D14" s="24">
        <v>46020</v>
      </c>
      <c r="E14" s="24" t="s">
        <v>77</v>
      </c>
      <c r="F14" s="45" t="s">
        <v>78</v>
      </c>
      <c r="G14" s="45" t="s">
        <v>88</v>
      </c>
      <c r="H14" s="87">
        <v>0.4118</v>
      </c>
      <c r="I14" s="87">
        <v>482</v>
      </c>
      <c r="J14" s="88">
        <v>1338.62</v>
      </c>
      <c r="K14" s="89"/>
      <c r="L14" s="45"/>
      <c r="M14" s="44"/>
      <c r="N14" s="90"/>
      <c r="O14" s="45"/>
      <c r="P14" s="92">
        <f t="shared" si="10"/>
        <v>1338.62</v>
      </c>
      <c r="Q14" s="98"/>
      <c r="R14" s="98"/>
      <c r="S14" s="47">
        <f t="shared" si="6"/>
        <v>303.944735294118</v>
      </c>
      <c r="T14" s="47"/>
      <c r="U14" s="47">
        <f t="shared" si="7"/>
        <v>10.9005882352941</v>
      </c>
      <c r="V14" s="47"/>
      <c r="W14" s="47"/>
      <c r="X14" s="47">
        <f t="shared" si="1"/>
        <v>314.845323529412</v>
      </c>
      <c r="Y14" s="101">
        <f t="shared" si="8"/>
        <v>67.4809392941176</v>
      </c>
      <c r="Z14" s="102"/>
      <c r="AA14" s="101">
        <f t="shared" si="9"/>
        <v>0.812093823529412</v>
      </c>
      <c r="AB14" s="102">
        <f t="shared" si="2"/>
        <v>68.2930331176471</v>
      </c>
      <c r="AC14" s="89">
        <v>7.25</v>
      </c>
      <c r="AD14" s="47">
        <f t="shared" si="3"/>
        <v>495.124490102941</v>
      </c>
      <c r="AE14" s="47">
        <f t="shared" si="4"/>
        <v>809.969813632353</v>
      </c>
      <c r="AF14" s="47">
        <f t="shared" si="5"/>
        <v>528.650186367647</v>
      </c>
    </row>
    <row r="15" s="2" customFormat="1" spans="1:32">
      <c r="A15" s="86"/>
      <c r="B15" s="45"/>
      <c r="C15" s="23">
        <v>241227000051</v>
      </c>
      <c r="D15" s="24">
        <v>46020</v>
      </c>
      <c r="E15" s="24" t="s">
        <v>77</v>
      </c>
      <c r="F15" s="45" t="s">
        <v>78</v>
      </c>
      <c r="G15" s="45" t="s">
        <v>93</v>
      </c>
      <c r="H15" s="87">
        <v>0.0622</v>
      </c>
      <c r="I15" s="87">
        <v>8</v>
      </c>
      <c r="J15" s="88">
        <v>120.89</v>
      </c>
      <c r="K15" s="89"/>
      <c r="L15" s="45"/>
      <c r="M15" s="44"/>
      <c r="N15" s="90"/>
      <c r="O15" s="45"/>
      <c r="P15" s="92">
        <f t="shared" si="10"/>
        <v>120.89</v>
      </c>
      <c r="Q15" s="98"/>
      <c r="R15" s="98"/>
      <c r="S15" s="47">
        <f t="shared" si="6"/>
        <v>45.9090882352941</v>
      </c>
      <c r="T15" s="47"/>
      <c r="U15" s="47">
        <f t="shared" si="7"/>
        <v>1.64647058823529</v>
      </c>
      <c r="V15" s="47"/>
      <c r="W15" s="47"/>
      <c r="X15" s="47">
        <f t="shared" si="1"/>
        <v>47.5555588235294</v>
      </c>
      <c r="Y15" s="101">
        <f t="shared" si="8"/>
        <v>10.1926042352941</v>
      </c>
      <c r="Z15" s="102"/>
      <c r="AA15" s="101">
        <f t="shared" si="9"/>
        <v>0.122662058823529</v>
      </c>
      <c r="AB15" s="102">
        <f t="shared" si="2"/>
        <v>10.3152662941176</v>
      </c>
      <c r="AC15" s="89">
        <v>7.25</v>
      </c>
      <c r="AD15" s="47">
        <f t="shared" si="3"/>
        <v>74.7856806323529</v>
      </c>
      <c r="AE15" s="47">
        <f t="shared" si="4"/>
        <v>122.341239455882</v>
      </c>
      <c r="AF15" s="47">
        <f t="shared" si="5"/>
        <v>-1.45123945588234</v>
      </c>
    </row>
    <row r="16" s="2" customFormat="1" spans="1:32">
      <c r="A16" s="86"/>
      <c r="B16" s="45"/>
      <c r="C16" s="23">
        <v>241229000001</v>
      </c>
      <c r="D16" s="24">
        <v>46020</v>
      </c>
      <c r="E16" s="24" t="s">
        <v>59</v>
      </c>
      <c r="F16" s="45" t="s">
        <v>60</v>
      </c>
      <c r="G16" s="45" t="s">
        <v>102</v>
      </c>
      <c r="H16" s="87">
        <v>32.35</v>
      </c>
      <c r="I16" s="87">
        <v>3811</v>
      </c>
      <c r="J16" s="88">
        <v>53783.17</v>
      </c>
      <c r="K16" s="89"/>
      <c r="L16" s="45"/>
      <c r="M16" s="44"/>
      <c r="N16" s="95"/>
      <c r="O16" s="91"/>
      <c r="P16" s="92">
        <f t="shared" si="10"/>
        <v>53783.17</v>
      </c>
      <c r="Q16" s="98"/>
      <c r="R16" s="98"/>
      <c r="S16" s="47">
        <f t="shared" si="6"/>
        <v>23877.1544117647</v>
      </c>
      <c r="T16" s="47"/>
      <c r="U16" s="47">
        <f t="shared" si="7"/>
        <v>856.323529411765</v>
      </c>
      <c r="V16" s="47"/>
      <c r="W16" s="47"/>
      <c r="X16" s="47">
        <f t="shared" si="1"/>
        <v>24733.4779411765</v>
      </c>
      <c r="Y16" s="101">
        <f t="shared" si="8"/>
        <v>5301.13741176471</v>
      </c>
      <c r="Z16" s="102"/>
      <c r="AA16" s="101">
        <f t="shared" si="9"/>
        <v>63.7961029411765</v>
      </c>
      <c r="AB16" s="102">
        <f t="shared" si="2"/>
        <v>5364.93351470588</v>
      </c>
      <c r="AC16" s="89">
        <v>7.25</v>
      </c>
      <c r="AD16" s="47">
        <f t="shared" si="3"/>
        <v>38895.7679816177</v>
      </c>
      <c r="AE16" s="47">
        <f t="shared" si="4"/>
        <v>63629.2459227941</v>
      </c>
      <c r="AF16" s="47">
        <f t="shared" si="5"/>
        <v>-9846.07592279413</v>
      </c>
    </row>
    <row r="17" s="2" customFormat="1" spans="1:32">
      <c r="A17" s="86"/>
      <c r="B17" s="45"/>
      <c r="C17" s="23">
        <v>241229000003</v>
      </c>
      <c r="D17" s="24">
        <v>46020</v>
      </c>
      <c r="E17" s="24" t="s">
        <v>59</v>
      </c>
      <c r="F17" s="45" t="s">
        <v>60</v>
      </c>
      <c r="G17" s="45" t="s">
        <v>102</v>
      </c>
      <c r="H17" s="87">
        <v>1.51</v>
      </c>
      <c r="I17" s="87">
        <v>270</v>
      </c>
      <c r="J17" s="88">
        <v>2510.44</v>
      </c>
      <c r="K17" s="89"/>
      <c r="L17" s="45"/>
      <c r="M17" s="44"/>
      <c r="N17" s="95"/>
      <c r="O17" s="91"/>
      <c r="P17" s="92">
        <f t="shared" si="10"/>
        <v>2510.44</v>
      </c>
      <c r="Q17" s="100"/>
      <c r="R17" s="100"/>
      <c r="S17" s="47">
        <f t="shared" si="6"/>
        <v>1114.51323529412</v>
      </c>
      <c r="T17" s="47"/>
      <c r="U17" s="47">
        <f t="shared" si="7"/>
        <v>39.9705882352941</v>
      </c>
      <c r="V17" s="47"/>
      <c r="W17" s="47"/>
      <c r="X17" s="47">
        <f t="shared" si="1"/>
        <v>1154.48382352941</v>
      </c>
      <c r="Y17" s="101">
        <f t="shared" si="8"/>
        <v>247.441035294118</v>
      </c>
      <c r="Z17" s="102"/>
      <c r="AA17" s="101">
        <f t="shared" si="9"/>
        <v>2.97780882352941</v>
      </c>
      <c r="AB17" s="102">
        <f t="shared" si="2"/>
        <v>250.418844117647</v>
      </c>
      <c r="AC17" s="89">
        <v>7.25</v>
      </c>
      <c r="AD17" s="47">
        <f t="shared" si="3"/>
        <v>1815.53661985294</v>
      </c>
      <c r="AE17" s="47">
        <f t="shared" si="4"/>
        <v>2970.02044338235</v>
      </c>
      <c r="AF17" s="47">
        <f t="shared" si="5"/>
        <v>-459.580443382353</v>
      </c>
    </row>
    <row r="18" ht="15.75" spans="1:32">
      <c r="A18" s="26" t="s">
        <v>22</v>
      </c>
      <c r="B18" s="27"/>
      <c r="C18" s="27"/>
      <c r="D18" s="27"/>
      <c r="E18" s="27"/>
      <c r="F18" s="27"/>
      <c r="G18" s="27"/>
      <c r="H18" s="27"/>
      <c r="I18" s="48"/>
      <c r="J18" s="27">
        <f>SUM(J4:J4)</f>
        <v>0</v>
      </c>
      <c r="K18" s="49"/>
      <c r="L18" s="50"/>
      <c r="M18" s="49"/>
      <c r="N18" s="49">
        <f t="shared" ref="N18:Q18" si="11">SUM(N4:N4)</f>
        <v>0</v>
      </c>
      <c r="O18" s="27"/>
      <c r="P18" s="27">
        <f t="shared" si="11"/>
        <v>0</v>
      </c>
      <c r="Q18" s="27">
        <f t="shared" si="11"/>
        <v>0</v>
      </c>
      <c r="R18" s="27"/>
      <c r="S18" s="27"/>
      <c r="T18" s="27"/>
      <c r="U18" s="27"/>
      <c r="V18" s="27"/>
      <c r="W18" s="27"/>
      <c r="X18" s="71">
        <f>SUM(X4:X4)</f>
        <v>0</v>
      </c>
      <c r="Y18" s="50"/>
      <c r="Z18" s="50"/>
      <c r="AA18" s="50"/>
      <c r="AB18" s="50"/>
      <c r="AC18" s="49"/>
      <c r="AD18" s="27">
        <f>SUM(AD4:AD4)</f>
        <v>0</v>
      </c>
      <c r="AE18" s="27"/>
      <c r="AF18" s="85">
        <f>SUM(AF4:AF17)</f>
        <v>11861.7165052426</v>
      </c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</sheetData>
  <autoFilter xmlns:etc="http://www.wps.cn/officeDocument/2017/etCustomData" ref="A3:AF18" etc:filterBottomFollowUsedRange="0">
    <extLst/>
  </autoFilter>
  <mergeCells count="21">
    <mergeCell ref="A1:AF1"/>
    <mergeCell ref="J3:P3"/>
    <mergeCell ref="R3:V3"/>
    <mergeCell ref="Y3:AD3"/>
    <mergeCell ref="A3:A4"/>
    <mergeCell ref="A5:A17"/>
    <mergeCell ref="B3:B4"/>
    <mergeCell ref="B5:B17"/>
    <mergeCell ref="C3:C4"/>
    <mergeCell ref="D3:D4"/>
    <mergeCell ref="E3:E4"/>
    <mergeCell ref="F3:F4"/>
    <mergeCell ref="G3:G4"/>
    <mergeCell ref="H3:H4"/>
    <mergeCell ref="I3:I4"/>
    <mergeCell ref="Q3:Q4"/>
    <mergeCell ref="Q5:Q17"/>
    <mergeCell ref="R5:R17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zoomScale="110" zoomScaleNormal="110" workbookViewId="0">
      <pane xSplit="8" ySplit="1" topLeftCell="Y2" activePane="bottomRight" state="frozen"/>
      <selection/>
      <selection pane="topRight"/>
      <selection pane="bottomLeft"/>
      <selection pane="bottomRight" activeCell="AA28" sqref="AA2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8"/>
      <c r="L1" s="29"/>
      <c r="M1" s="28"/>
      <c r="N1" s="9"/>
      <c r="O1" s="30"/>
      <c r="P1" s="9"/>
      <c r="Q1" s="9"/>
      <c r="R1" s="9"/>
      <c r="S1" s="9"/>
      <c r="T1" s="51"/>
      <c r="U1" s="51"/>
      <c r="V1" s="52"/>
      <c r="W1" s="51"/>
      <c r="X1" s="53"/>
      <c r="Y1" s="29"/>
      <c r="Z1" s="29"/>
      <c r="AA1" s="29"/>
      <c r="AB1" s="29"/>
      <c r="AC1" s="28"/>
      <c r="AD1" s="29"/>
      <c r="AE1" s="9"/>
      <c r="AF1" s="72"/>
    </row>
    <row r="2" customFormat="1" ht="31" customHeight="1" spans="1:32">
      <c r="A2" s="10" t="s">
        <v>132</v>
      </c>
      <c r="B2" s="10" t="s">
        <v>133</v>
      </c>
      <c r="C2" s="10">
        <v>18.78</v>
      </c>
      <c r="D2" s="9"/>
      <c r="E2" s="9"/>
      <c r="F2" s="9"/>
      <c r="G2" s="9"/>
      <c r="H2" s="9"/>
      <c r="I2" s="9"/>
      <c r="J2" s="9"/>
      <c r="K2" s="28"/>
      <c r="L2" s="29"/>
      <c r="M2" s="28"/>
      <c r="N2" s="9"/>
      <c r="O2" s="30"/>
      <c r="P2" s="9"/>
      <c r="Q2" s="9"/>
      <c r="R2" s="9"/>
      <c r="S2" s="9"/>
      <c r="T2" s="51"/>
      <c r="U2" s="51"/>
      <c r="V2" s="52"/>
      <c r="W2" s="51"/>
      <c r="X2" s="53"/>
      <c r="Y2" s="29"/>
      <c r="Z2" s="29"/>
      <c r="AA2" s="29"/>
      <c r="AB2" s="29"/>
      <c r="AC2" s="28"/>
      <c r="AD2" s="29"/>
      <c r="AE2" s="9"/>
      <c r="AF2" s="9"/>
    </row>
    <row r="3" s="1" customFormat="1" ht="23" customHeight="1" spans="1:32">
      <c r="A3" s="11" t="s">
        <v>1</v>
      </c>
      <c r="B3" s="12" t="s">
        <v>2</v>
      </c>
      <c r="C3" s="13" t="s">
        <v>23</v>
      </c>
      <c r="D3" s="14" t="s">
        <v>24</v>
      </c>
      <c r="E3" s="15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31" t="s">
        <v>30</v>
      </c>
      <c r="K3" s="32"/>
      <c r="L3" s="33"/>
      <c r="M3" s="32"/>
      <c r="N3" s="33"/>
      <c r="O3" s="34"/>
      <c r="P3" s="35"/>
      <c r="Q3" s="54" t="s">
        <v>31</v>
      </c>
      <c r="R3" s="55" t="s">
        <v>32</v>
      </c>
      <c r="S3" s="56"/>
      <c r="T3" s="57"/>
      <c r="U3" s="58"/>
      <c r="V3" s="59"/>
      <c r="W3" s="60" t="s">
        <v>33</v>
      </c>
      <c r="X3" s="61" t="s">
        <v>34</v>
      </c>
      <c r="Y3" s="73" t="s">
        <v>35</v>
      </c>
      <c r="Z3" s="73"/>
      <c r="AA3" s="73"/>
      <c r="AB3" s="73"/>
      <c r="AC3" s="74"/>
      <c r="AD3" s="73"/>
      <c r="AE3" s="75" t="s">
        <v>36</v>
      </c>
      <c r="AF3" s="76" t="s">
        <v>3</v>
      </c>
    </row>
    <row r="4" s="1" customFormat="1" ht="27" customHeight="1" spans="1:32">
      <c r="A4" s="17"/>
      <c r="B4" s="18"/>
      <c r="C4" s="13"/>
      <c r="D4" s="14"/>
      <c r="E4" s="19"/>
      <c r="F4" s="20"/>
      <c r="G4" s="20"/>
      <c r="H4" s="20"/>
      <c r="I4" s="36"/>
      <c r="J4" s="37" t="s">
        <v>37</v>
      </c>
      <c r="K4" s="38" t="s">
        <v>38</v>
      </c>
      <c r="L4" s="39" t="s">
        <v>39</v>
      </c>
      <c r="M4" s="38" t="s">
        <v>40</v>
      </c>
      <c r="N4" s="40" t="s">
        <v>41</v>
      </c>
      <c r="O4" s="41" t="s">
        <v>42</v>
      </c>
      <c r="P4" s="42" t="s">
        <v>43</v>
      </c>
      <c r="Q4" s="62"/>
      <c r="R4" s="63" t="s">
        <v>44</v>
      </c>
      <c r="S4" s="64" t="s">
        <v>45</v>
      </c>
      <c r="T4" s="65" t="s">
        <v>46</v>
      </c>
      <c r="U4" s="66" t="s">
        <v>47</v>
      </c>
      <c r="V4" s="65" t="s">
        <v>48</v>
      </c>
      <c r="W4" s="67"/>
      <c r="X4" s="68"/>
      <c r="Y4" s="77" t="s">
        <v>49</v>
      </c>
      <c r="Z4" s="77" t="s">
        <v>50</v>
      </c>
      <c r="AA4" s="77" t="s">
        <v>51</v>
      </c>
      <c r="AB4" s="78" t="s">
        <v>52</v>
      </c>
      <c r="AC4" s="79" t="s">
        <v>53</v>
      </c>
      <c r="AD4" s="80" t="s">
        <v>43</v>
      </c>
      <c r="AE4" s="81" t="s">
        <v>54</v>
      </c>
      <c r="AF4" s="82"/>
    </row>
    <row r="5" s="2" customFormat="1" spans="1:32">
      <c r="A5" s="21" t="s">
        <v>20</v>
      </c>
      <c r="B5" s="22" t="s">
        <v>21</v>
      </c>
      <c r="C5" s="23">
        <v>241124000003</v>
      </c>
      <c r="D5" s="24">
        <v>46018</v>
      </c>
      <c r="E5" s="24" t="s">
        <v>68</v>
      </c>
      <c r="F5" s="22" t="s">
        <v>69</v>
      </c>
      <c r="G5" s="22" t="s">
        <v>112</v>
      </c>
      <c r="H5" s="25">
        <v>18.78</v>
      </c>
      <c r="I5" s="25">
        <v>11408</v>
      </c>
      <c r="J5" s="43">
        <v>37467.5</v>
      </c>
      <c r="K5" s="25"/>
      <c r="L5" s="22"/>
      <c r="M5" s="44"/>
      <c r="N5" s="45"/>
      <c r="O5" s="46"/>
      <c r="P5" s="47">
        <f>SUM(J5)</f>
        <v>37467.5</v>
      </c>
      <c r="Q5" s="47">
        <f>SUM(P5)</f>
        <v>37467.5</v>
      </c>
      <c r="R5" s="69" t="s">
        <v>131</v>
      </c>
      <c r="S5" s="69">
        <v>32772</v>
      </c>
      <c r="T5" s="69"/>
      <c r="U5" s="69"/>
      <c r="V5" s="70">
        <f>SUM(351+277.5)</f>
        <v>628.5</v>
      </c>
      <c r="W5" s="69"/>
      <c r="X5" s="69">
        <f>SUM(S5:W5)</f>
        <v>33400.5</v>
      </c>
      <c r="Y5" s="83"/>
      <c r="Z5" s="83"/>
      <c r="AA5" s="83"/>
      <c r="AB5" s="83">
        <f>SUM(Y5:AA5)</f>
        <v>0</v>
      </c>
      <c r="AC5" s="84"/>
      <c r="AD5" s="69">
        <f>SUM(AB5*AC5)</f>
        <v>0</v>
      </c>
      <c r="AE5" s="69">
        <f>SUM(X5+AD5)</f>
        <v>33400.5</v>
      </c>
      <c r="AF5" s="69">
        <f>SUM(Q5-AE5)</f>
        <v>4067</v>
      </c>
    </row>
    <row r="6" ht="15.75" spans="1:32">
      <c r="A6" s="26" t="s">
        <v>22</v>
      </c>
      <c r="B6" s="27"/>
      <c r="C6" s="27"/>
      <c r="D6" s="27"/>
      <c r="E6" s="27"/>
      <c r="F6" s="27"/>
      <c r="G6" s="27"/>
      <c r="H6" s="27"/>
      <c r="I6" s="48"/>
      <c r="J6" s="27">
        <f>SUM(J4:J4)</f>
        <v>0</v>
      </c>
      <c r="K6" s="49"/>
      <c r="L6" s="50"/>
      <c r="M6" s="49"/>
      <c r="N6" s="49">
        <f t="shared" ref="N6:Q6" si="0">SUM(N4:N4)</f>
        <v>0</v>
      </c>
      <c r="O6" s="27"/>
      <c r="P6" s="27">
        <f t="shared" si="0"/>
        <v>0</v>
      </c>
      <c r="Q6" s="27">
        <f t="shared" si="0"/>
        <v>0</v>
      </c>
      <c r="R6" s="27"/>
      <c r="S6" s="27"/>
      <c r="T6" s="27"/>
      <c r="U6" s="27"/>
      <c r="V6" s="27"/>
      <c r="W6" s="27"/>
      <c r="X6" s="71">
        <f>SUM(X4:X4)</f>
        <v>0</v>
      </c>
      <c r="Y6" s="50"/>
      <c r="Z6" s="50"/>
      <c r="AA6" s="50"/>
      <c r="AB6" s="50"/>
      <c r="AC6" s="49"/>
      <c r="AD6" s="27">
        <f>SUM(AD4:AD4)</f>
        <v>0</v>
      </c>
      <c r="AE6" s="27"/>
      <c r="AF6" s="85">
        <f>SUM(AF4:AF5)</f>
        <v>4067</v>
      </c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</sheetData>
  <autoFilter xmlns:etc="http://www.wps.cn/officeDocument/2017/etCustomData" ref="A3:AF6" etc:filterBottomFollowUsedRange="0">
    <extLst/>
  </autoFilter>
  <mergeCells count="17">
    <mergeCell ref="A1:AF1"/>
    <mergeCell ref="J3:P3"/>
    <mergeCell ref="R3:V3"/>
    <mergeCell ref="Y3:AD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总表 </vt:lpstr>
      <vt:lpstr>总表  (2)</vt:lpstr>
      <vt:lpstr>JOB120360</vt:lpstr>
      <vt:lpstr>JOB120375</vt:lpstr>
      <vt:lpstr>JOB120376</vt:lpstr>
      <vt:lpstr>JOB120381</vt:lpstr>
      <vt:lpstr>JOB120387</vt:lpstr>
      <vt:lpstr>JOB120390</vt:lpstr>
      <vt:lpstr>JOB120399</vt:lpstr>
      <vt:lpstr>JOB120404</vt:lpstr>
      <vt:lpstr>JOB0202178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2025-07-29T03:43:05Z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