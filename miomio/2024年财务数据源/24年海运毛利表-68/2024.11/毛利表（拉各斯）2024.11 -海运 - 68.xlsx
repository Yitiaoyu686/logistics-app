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960" activeTab="1"/>
  </bookViews>
  <sheets>
    <sheet name="总表 " sheetId="3" r:id="rId1"/>
    <sheet name="总表  (2)" sheetId="4" r:id="rId2"/>
    <sheet name="JOB120361" sheetId="5" r:id="rId3"/>
    <sheet name="JOB120362" sheetId="6" r:id="rId4"/>
    <sheet name="JOB120363" sheetId="7" r:id="rId5"/>
    <sheet name="JOB120364" sheetId="8" r:id="rId6"/>
    <sheet name="JOB120365" sheetId="9" r:id="rId7"/>
    <sheet name="JOB120366" sheetId="10" r:id="rId8"/>
    <sheet name="JOB120367" sheetId="11" r:id="rId9"/>
    <sheet name="JOB120368" sheetId="12" r:id="rId10"/>
  </sheets>
  <definedNames>
    <definedName name="_xlnm._FilterDatabase" localSheetId="0" hidden="1">'总表 '!$A$2:$C$144</definedName>
    <definedName name="_xlnm._FilterDatabase" localSheetId="1" hidden="1">'总表  (2)'!$A$2:$AF$144</definedName>
    <definedName name="_xlnm._FilterDatabase" localSheetId="2" hidden="1">'JOB120361'!$A$3:$AF$22</definedName>
    <definedName name="_xlnm._FilterDatabase" localSheetId="3" hidden="1">'JOB120362'!$A$3:$AF$19</definedName>
    <definedName name="_xlnm._FilterDatabase" localSheetId="4" hidden="1">'JOB120363'!$A$3:$AF$27</definedName>
    <definedName name="_xlnm._FilterDatabase" localSheetId="5" hidden="1">'JOB120364'!$A$3:$AF$25</definedName>
    <definedName name="_xlnm._FilterDatabase" localSheetId="6" hidden="1">'JOB120365'!$A$3:$AF$22</definedName>
    <definedName name="_xlnm._FilterDatabase" localSheetId="7" hidden="1">'JOB120366'!$A$3:$AF$19</definedName>
    <definedName name="_xlnm._FilterDatabase" localSheetId="8" hidden="1">'JOB120367'!$A$3:$AF$20</definedName>
    <definedName name="_xlnm._FilterDatabase" localSheetId="9" hidden="1">'JOB120368'!$A$3:$AF$26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到付USD31l转预付224.75.
</t>
        </r>
      </text>
    </comment>
    <comment ref="N6" authorId="0">
      <text>
        <r>
          <rPr>
            <sz val="9"/>
            <rFont val="宋体"/>
            <charset val="134"/>
          </rPr>
          <t xml:space="preserve">预付30863.5转到付USD4286.59.
</t>
        </r>
      </text>
    </comment>
    <comment ref="J10" authorId="0">
      <text>
        <r>
          <rPr>
            <sz val="9"/>
            <rFont val="宋体"/>
            <charset val="134"/>
          </rPr>
          <t xml:space="preserve">到付USD363.33转预付2690.
</t>
        </r>
      </text>
    </comment>
    <comment ref="J12" authorId="0">
      <text>
        <r>
          <rPr>
            <sz val="9"/>
            <rFont val="宋体"/>
            <charset val="134"/>
          </rPr>
          <t xml:space="preserve">到付USD5205.48转预付38000.
</t>
        </r>
      </text>
    </comment>
    <comment ref="J14" authorId="0">
      <text>
        <r>
          <rPr>
            <sz val="9"/>
            <rFont val="宋体"/>
            <charset val="134"/>
          </rPr>
          <t xml:space="preserve">到付USD91.39转预付683.5.
</t>
        </r>
      </text>
    </comment>
    <comment ref="J16" authorId="0">
      <text>
        <r>
          <rPr>
            <sz val="9"/>
            <rFont val="宋体"/>
            <charset val="134"/>
          </rPr>
          <t xml:space="preserve">到付USD331.39转预付2506.
</t>
        </r>
      </text>
    </comment>
    <comment ref="J20" authorId="0">
      <text>
        <r>
          <rPr>
            <sz val="9"/>
            <rFont val="宋体"/>
            <charset val="134"/>
          </rPr>
          <t xml:space="preserve">到付USD5657.03转预付41296.32
</t>
        </r>
      </text>
    </comment>
    <comment ref="J22" authorId="0">
      <text>
        <r>
          <rPr>
            <b/>
            <sz val="9"/>
            <rFont val="宋体"/>
            <charset val="134"/>
          </rPr>
          <t>31/12收美金</t>
        </r>
        <r>
          <rPr>
            <sz val="9"/>
            <rFont val="宋体"/>
            <charset val="134"/>
          </rPr>
          <t xml:space="preserve">
</t>
        </r>
      </text>
    </comment>
    <comment ref="J23" authorId="0">
      <text>
        <r>
          <rPr>
            <sz val="9"/>
            <rFont val="宋体"/>
            <charset val="134"/>
          </rPr>
          <t xml:space="preserve">到付USD221.02转预付1624.5.
</t>
        </r>
      </text>
    </comment>
    <comment ref="J24" authorId="0">
      <text>
        <r>
          <rPr>
            <sz val="9"/>
            <rFont val="宋体"/>
            <charset val="134"/>
          </rPr>
          <t>到付USD129.74转预付941.05.</t>
        </r>
      </text>
    </comment>
    <comment ref="J26" authorId="0">
      <text>
        <r>
          <rPr>
            <sz val="9"/>
            <rFont val="宋体"/>
            <charset val="134"/>
          </rPr>
          <t xml:space="preserve">到付USD331.89转预付2422.8
</t>
        </r>
      </text>
    </comment>
    <comment ref="J27" authorId="0">
      <text>
        <r>
          <rPr>
            <sz val="9"/>
            <rFont val="宋体"/>
            <charset val="134"/>
          </rPr>
          <t xml:space="preserve">31/12国内收美金
</t>
        </r>
      </text>
    </comment>
    <comment ref="J28" authorId="0">
      <text>
        <r>
          <rPr>
            <sz val="9"/>
            <rFont val="宋体"/>
            <charset val="134"/>
          </rPr>
          <t xml:space="preserve">到付USD16774.66转预付123500.
</t>
        </r>
      </text>
    </comment>
    <comment ref="J30" authorId="0">
      <text>
        <r>
          <rPr>
            <sz val="9"/>
            <rFont val="宋体"/>
            <charset val="134"/>
          </rPr>
          <t xml:space="preserve">到付USD145.34转预付1060.98.
</t>
        </r>
      </text>
    </comment>
    <comment ref="J31" authorId="0">
      <text>
        <r>
          <rPr>
            <sz val="9"/>
            <rFont val="宋体"/>
            <charset val="134"/>
          </rPr>
          <t xml:space="preserve">到付USD103.74转预付757.
</t>
        </r>
      </text>
    </comment>
    <comment ref="N35" authorId="0">
      <text>
        <r>
          <rPr>
            <sz val="9"/>
            <rFont val="宋体"/>
            <charset val="134"/>
          </rPr>
          <t xml:space="preserve">预付580转到付USD79.77.
</t>
        </r>
      </text>
    </comment>
    <comment ref="J38" authorId="0">
      <text>
        <r>
          <rPr>
            <sz val="9"/>
            <rFont val="宋体"/>
            <charset val="134"/>
          </rPr>
          <t xml:space="preserve">到付USD16774.66转预付123500.
</t>
        </r>
      </text>
    </comment>
    <comment ref="J39" authorId="0">
      <text>
        <r>
          <rPr>
            <sz val="9"/>
            <rFont val="宋体"/>
            <charset val="134"/>
          </rPr>
          <t xml:space="preserve">到付USD6565.65转预付48779.
</t>
        </r>
      </text>
    </comment>
    <comment ref="J42" authorId="0">
      <text>
        <r>
          <rPr>
            <sz val="9"/>
            <rFont val="宋体"/>
            <charset val="134"/>
          </rPr>
          <t xml:space="preserve">到付USD600.78转预付4385.69
</t>
        </r>
      </text>
    </comment>
    <comment ref="N44" authorId="0">
      <text>
        <r>
          <rPr>
            <sz val="9"/>
            <rFont val="宋体"/>
            <charset val="134"/>
          </rPr>
          <t xml:space="preserve">预付899.62转到付USD123.74.
</t>
        </r>
      </text>
    </comment>
    <comment ref="J46" authorId="0">
      <text>
        <r>
          <rPr>
            <sz val="9"/>
            <rFont val="宋体"/>
            <charset val="134"/>
          </rPr>
          <t xml:space="preserve">到付USD114转预付853
</t>
        </r>
      </text>
    </comment>
    <comment ref="J48" authorId="0">
      <text>
        <r>
          <rPr>
            <sz val="9"/>
            <rFont val="宋体"/>
            <charset val="134"/>
          </rPr>
          <t xml:space="preserve">到付USD168.47转预付1213.
</t>
        </r>
      </text>
    </comment>
    <comment ref="J49" authorId="0">
      <text>
        <r>
          <rPr>
            <sz val="9"/>
            <rFont val="宋体"/>
            <charset val="134"/>
          </rPr>
          <t xml:space="preserve">到付USD6.94转预付228.
</t>
        </r>
      </text>
    </comment>
    <comment ref="J53" authorId="0">
      <text>
        <r>
          <rPr>
            <sz val="9"/>
            <rFont val="宋体"/>
            <charset val="134"/>
          </rPr>
          <t xml:space="preserve">到付USD692.08转预付5053.
</t>
        </r>
      </text>
    </comment>
    <comment ref="J56" authorId="0">
      <text>
        <r>
          <rPr>
            <sz val="9"/>
            <rFont val="宋体"/>
            <charset val="134"/>
          </rPr>
          <t xml:space="preserve">到付USD85.11转预付621.3
</t>
        </r>
      </text>
    </comment>
    <comment ref="J59" authorId="0">
      <text>
        <r>
          <rPr>
            <b/>
            <sz val="9"/>
            <rFont val="宋体"/>
            <charset val="134"/>
          </rPr>
          <t>31/12国内收美金</t>
        </r>
        <r>
          <rPr>
            <sz val="9"/>
            <rFont val="宋体"/>
            <charset val="134"/>
          </rPr>
          <t xml:space="preserve">
</t>
        </r>
      </text>
    </comment>
    <comment ref="J69" authorId="0">
      <text>
        <r>
          <rPr>
            <sz val="9"/>
            <rFont val="宋体"/>
            <charset val="134"/>
          </rPr>
          <t>到付USD1471.17转预付10739.54.</t>
        </r>
      </text>
    </comment>
    <comment ref="W72" authorId="0">
      <text>
        <r>
          <rPr>
            <b/>
            <sz val="9"/>
            <rFont val="宋体"/>
            <charset val="134"/>
          </rPr>
          <t>转仓费:</t>
        </r>
        <r>
          <rPr>
            <sz val="9"/>
            <rFont val="宋体"/>
            <charset val="134"/>
          </rPr>
          <t xml:space="preserve">
</t>
        </r>
      </text>
    </comment>
    <comment ref="J73" authorId="0">
      <text>
        <r>
          <rPr>
            <sz val="9"/>
            <rFont val="宋体"/>
            <charset val="134"/>
          </rPr>
          <t xml:space="preserve">到付USD5194.06转预付37916.64
</t>
        </r>
      </text>
    </comment>
    <comment ref="J77" authorId="0">
      <text>
        <r>
          <rPr>
            <b/>
            <sz val="9"/>
            <rFont val="宋体"/>
            <charset val="134"/>
          </rPr>
          <t>31/12国内收美金</t>
        </r>
        <r>
          <rPr>
            <sz val="9"/>
            <rFont val="宋体"/>
            <charset val="134"/>
          </rPr>
          <t xml:space="preserve">
</t>
        </r>
      </text>
    </comment>
    <comment ref="J80" authorId="0">
      <text>
        <r>
          <rPr>
            <sz val="9"/>
            <rFont val="宋体"/>
            <charset val="134"/>
          </rPr>
          <t xml:space="preserve">到付USD636.9转预付 4628.
</t>
        </r>
      </text>
    </comment>
    <comment ref="J81" authorId="0">
      <text>
        <r>
          <rPr>
            <sz val="9"/>
            <rFont val="宋体"/>
            <charset val="134"/>
          </rPr>
          <t>31/12国内收美金</t>
        </r>
      </text>
    </comment>
    <comment ref="J82" authorId="0">
      <text>
        <r>
          <rPr>
            <sz val="9"/>
            <rFont val="宋体"/>
            <charset val="134"/>
          </rPr>
          <t xml:space="preserve">到付转预付3280
</t>
        </r>
      </text>
    </comment>
    <comment ref="J84" authorId="0">
      <text>
        <r>
          <rPr>
            <sz val="9"/>
            <rFont val="宋体"/>
            <charset val="134"/>
          </rPr>
          <t xml:space="preserve">到付USD377.23转预付3448.
</t>
        </r>
      </text>
    </comment>
    <comment ref="J86" authorId="0">
      <text>
        <r>
          <rPr>
            <sz val="9"/>
            <rFont val="宋体"/>
            <charset val="134"/>
          </rPr>
          <t xml:space="preserve">到付USD100.86转预付748.5.
</t>
        </r>
      </text>
    </comment>
    <comment ref="J87" authorId="0">
      <text>
        <r>
          <rPr>
            <sz val="9"/>
            <rFont val="宋体"/>
            <charset val="134"/>
          </rPr>
          <t xml:space="preserve">到付USD932.28转预付6811.
</t>
        </r>
      </text>
    </comment>
    <comment ref="W89" authorId="0">
      <text>
        <r>
          <rPr>
            <sz val="9"/>
            <rFont val="宋体"/>
            <charset val="134"/>
          </rPr>
          <t xml:space="preserve">转仓费
</t>
        </r>
      </text>
    </comment>
    <comment ref="J91" authorId="0">
      <text>
        <r>
          <rPr>
            <sz val="9"/>
            <rFont val="宋体"/>
            <charset val="134"/>
          </rPr>
          <t>到付USD425.05转预付3096.47
.到付USD2514.54转预付18104.69合计21201.16</t>
        </r>
      </text>
    </comment>
    <comment ref="J92" authorId="0">
      <text>
        <r>
          <rPr>
            <sz val="9"/>
            <rFont val="宋体"/>
            <charset val="134"/>
          </rPr>
          <t xml:space="preserve">到付USD1574.22转预付11334.38
</t>
        </r>
      </text>
    </comment>
    <comment ref="J95" authorId="0">
      <text>
        <r>
          <rPr>
            <sz val="9"/>
            <rFont val="宋体"/>
            <charset val="134"/>
          </rPr>
          <t xml:space="preserve">31/12国内收美金
</t>
        </r>
      </text>
    </comment>
    <comment ref="J96" authorId="0">
      <text>
        <r>
          <rPr>
            <b/>
            <sz val="9"/>
            <rFont val="宋体"/>
            <charset val="134"/>
          </rPr>
          <t>31/12国内收美金</t>
        </r>
        <r>
          <rPr>
            <sz val="9"/>
            <rFont val="宋体"/>
            <charset val="134"/>
          </rPr>
          <t xml:space="preserve">
</t>
        </r>
      </text>
    </comment>
    <comment ref="J97" authorId="0">
      <text>
        <r>
          <rPr>
            <b/>
            <sz val="9"/>
            <rFont val="宋体"/>
            <charset val="134"/>
          </rPr>
          <t>30/12国内收美金</t>
        </r>
        <r>
          <rPr>
            <sz val="9"/>
            <rFont val="宋体"/>
            <charset val="134"/>
          </rPr>
          <t xml:space="preserve">
</t>
        </r>
      </text>
    </comment>
    <comment ref="J102" authorId="0">
      <text>
        <r>
          <rPr>
            <sz val="9"/>
            <rFont val="宋体"/>
            <charset val="134"/>
          </rPr>
          <t xml:space="preserve">到付USD86.94转预付639.5
</t>
        </r>
      </text>
    </comment>
    <comment ref="J108" authorId="0">
      <text>
        <r>
          <rPr>
            <sz val="9"/>
            <rFont val="宋体"/>
            <charset val="134"/>
          </rPr>
          <t>31/12国内收美金</t>
        </r>
      </text>
    </comment>
    <comment ref="J109" authorId="0">
      <text>
        <r>
          <rPr>
            <sz val="9"/>
            <rFont val="宋体"/>
            <charset val="134"/>
          </rPr>
          <t>到付USD1490.73l专预付136936.</t>
        </r>
      </text>
    </comment>
    <comment ref="J118" authorId="0">
      <text>
        <r>
          <rPr>
            <sz val="9"/>
            <rFont val="宋体"/>
            <charset val="134"/>
          </rPr>
          <t>到付USD1484.35转预付10687.32</t>
        </r>
      </text>
    </comment>
    <comment ref="J132" authorId="0">
      <text>
        <r>
          <rPr>
            <sz val="9"/>
            <rFont val="宋体"/>
            <charset val="134"/>
          </rPr>
          <t>到付USD4.44转预付220.</t>
        </r>
      </text>
    </comment>
    <comment ref="J134" authorId="0">
      <text>
        <r>
          <rPr>
            <sz val="9"/>
            <rFont val="宋体"/>
            <charset val="134"/>
          </rPr>
          <t>到付USD8590.4转预付62286.</t>
        </r>
      </text>
    </comment>
    <comment ref="J143" authorId="0">
      <text>
        <r>
          <rPr>
            <sz val="9"/>
            <rFont val="宋体"/>
            <charset val="134"/>
          </rPr>
          <t xml:space="preserve">到付USD849.23转预付6114.46
</t>
        </r>
      </text>
    </comment>
  </commentList>
</comments>
</file>

<file path=xl/comments2.xml><?xml version="1.0" encoding="utf-8"?>
<comments xmlns="http://schemas.openxmlformats.org/spreadsheetml/2006/main">
  <authors>
    <author>30993</author>
  </authors>
  <commentList>
    <comment ref="J6" authorId="0">
      <text>
        <r>
          <rPr>
            <sz val="9"/>
            <rFont val="宋体"/>
            <charset val="134"/>
          </rPr>
          <t xml:space="preserve">到付USD31l转预付224.75.
</t>
        </r>
      </text>
    </comment>
    <comment ref="N7" authorId="0">
      <text>
        <r>
          <rPr>
            <sz val="9"/>
            <rFont val="宋体"/>
            <charset val="134"/>
          </rPr>
          <t xml:space="preserve">预付30863.5转到付USD4286.59.
</t>
        </r>
      </text>
    </comment>
    <comment ref="J11" authorId="0">
      <text>
        <r>
          <rPr>
            <sz val="9"/>
            <rFont val="宋体"/>
            <charset val="134"/>
          </rPr>
          <t xml:space="preserve">到付USD363.33转预付2690.
</t>
        </r>
      </text>
    </comment>
    <comment ref="J13" authorId="0">
      <text>
        <r>
          <rPr>
            <sz val="9"/>
            <rFont val="宋体"/>
            <charset val="134"/>
          </rPr>
          <t xml:space="preserve">到付USD5205.48转预付38000.
</t>
        </r>
      </text>
    </comment>
    <comment ref="J15" authorId="0">
      <text>
        <r>
          <rPr>
            <sz val="9"/>
            <rFont val="宋体"/>
            <charset val="134"/>
          </rPr>
          <t xml:space="preserve">到付USD91.39转预付683.5.
</t>
        </r>
      </text>
    </comment>
    <comment ref="J17" authorId="0">
      <text>
        <r>
          <rPr>
            <sz val="9"/>
            <rFont val="宋体"/>
            <charset val="134"/>
          </rPr>
          <t xml:space="preserve">到付USD331.39转预付2506.
</t>
        </r>
      </text>
    </comment>
    <comment ref="J21" authorId="0">
      <text>
        <r>
          <rPr>
            <sz val="9"/>
            <rFont val="宋体"/>
            <charset val="134"/>
          </rPr>
          <t xml:space="preserve">到付USD5657.03转预付41296.32
</t>
        </r>
      </text>
    </comment>
  </commentList>
</comments>
</file>

<file path=xl/comments3.xml><?xml version="1.0" encoding="utf-8"?>
<comments xmlns="http://schemas.openxmlformats.org/spreadsheetml/2006/main">
  <authors>
    <author>30993</author>
  </authors>
  <commentList>
    <comment ref="J6" authorId="0">
      <text>
        <r>
          <rPr>
            <b/>
            <sz val="9"/>
            <rFont val="宋体"/>
            <charset val="134"/>
          </rPr>
          <t>31/12收美金</t>
        </r>
        <r>
          <rPr>
            <sz val="9"/>
            <rFont val="宋体"/>
            <charset val="134"/>
          </rPr>
          <t xml:space="preserve">
</t>
        </r>
      </text>
    </comment>
    <comment ref="J7" authorId="0">
      <text>
        <r>
          <rPr>
            <sz val="9"/>
            <rFont val="宋体"/>
            <charset val="134"/>
          </rPr>
          <t xml:space="preserve">到付USD221.02转预付1624.5.
</t>
        </r>
      </text>
    </comment>
    <comment ref="J8" authorId="0">
      <text>
        <r>
          <rPr>
            <sz val="9"/>
            <rFont val="宋体"/>
            <charset val="134"/>
          </rPr>
          <t>到付USD129.74转预付941.05.</t>
        </r>
      </text>
    </comment>
    <comment ref="J10" authorId="0">
      <text>
        <r>
          <rPr>
            <sz val="9"/>
            <rFont val="宋体"/>
            <charset val="134"/>
          </rPr>
          <t xml:space="preserve">到付USD331.89转预付2422.8
</t>
        </r>
      </text>
    </comment>
    <comment ref="J11" authorId="0">
      <text>
        <r>
          <rPr>
            <sz val="9"/>
            <rFont val="宋体"/>
            <charset val="134"/>
          </rPr>
          <t xml:space="preserve">31/12国内收美金
</t>
        </r>
      </text>
    </comment>
    <comment ref="J12" authorId="0">
      <text>
        <r>
          <rPr>
            <sz val="9"/>
            <rFont val="宋体"/>
            <charset val="134"/>
          </rPr>
          <t xml:space="preserve">到付USD16774.66转预付123500.
</t>
        </r>
      </text>
    </comment>
    <comment ref="J14" authorId="0">
      <text>
        <r>
          <rPr>
            <sz val="9"/>
            <rFont val="宋体"/>
            <charset val="134"/>
          </rPr>
          <t xml:space="preserve">到付USD145.34转预付1060.98.
</t>
        </r>
      </text>
    </comment>
    <comment ref="J15" authorId="0">
      <text>
        <r>
          <rPr>
            <sz val="9"/>
            <rFont val="宋体"/>
            <charset val="134"/>
          </rPr>
          <t xml:space="preserve">到付USD103.74转预付757.
</t>
        </r>
      </text>
    </comment>
  </commentList>
</comments>
</file>

<file path=xl/comments4.xml><?xml version="1.0" encoding="utf-8"?>
<comments xmlns="http://schemas.openxmlformats.org/spreadsheetml/2006/main">
  <authors>
    <author>30993</author>
  </authors>
  <commentList>
    <comment ref="C2" authorId="0">
      <text>
        <r>
          <rPr>
            <sz val="9"/>
            <rFont val="宋体"/>
            <charset val="134"/>
          </rPr>
          <t xml:space="preserve">拉各斯仓库用的手推车和工作服占用6.3743方不计入.（PSL表体积是86.3941)
</t>
        </r>
      </text>
    </comment>
    <comment ref="N5" authorId="0">
      <text>
        <r>
          <rPr>
            <sz val="9"/>
            <rFont val="宋体"/>
            <charset val="134"/>
          </rPr>
          <t xml:space="preserve">预付580转到付USD79.77.
</t>
        </r>
      </text>
    </comment>
    <comment ref="J8" authorId="0">
      <text>
        <r>
          <rPr>
            <sz val="9"/>
            <rFont val="宋体"/>
            <charset val="134"/>
          </rPr>
          <t xml:space="preserve">到付USD16774.66转预付123500.
</t>
        </r>
      </text>
    </comment>
    <comment ref="J9" authorId="0">
      <text>
        <r>
          <rPr>
            <sz val="9"/>
            <rFont val="宋体"/>
            <charset val="134"/>
          </rPr>
          <t xml:space="preserve">到付USD6565.65转预付48779.
</t>
        </r>
      </text>
    </comment>
    <comment ref="J12" authorId="0">
      <text>
        <r>
          <rPr>
            <sz val="9"/>
            <rFont val="宋体"/>
            <charset val="134"/>
          </rPr>
          <t xml:space="preserve">到付USD600.78转预付4385.69
</t>
        </r>
      </text>
    </comment>
    <comment ref="N14" authorId="0">
      <text>
        <r>
          <rPr>
            <sz val="9"/>
            <rFont val="宋体"/>
            <charset val="134"/>
          </rPr>
          <t xml:space="preserve">预付899.62转到付USD123.74.
</t>
        </r>
      </text>
    </comment>
    <comment ref="J16" authorId="0">
      <text>
        <r>
          <rPr>
            <sz val="9"/>
            <rFont val="宋体"/>
            <charset val="134"/>
          </rPr>
          <t xml:space="preserve">到付USD114转预付853
</t>
        </r>
      </text>
    </comment>
    <comment ref="J18" authorId="0">
      <text>
        <r>
          <rPr>
            <sz val="9"/>
            <rFont val="宋体"/>
            <charset val="134"/>
          </rPr>
          <t xml:space="preserve">到付USD168.47转预付1213.
</t>
        </r>
      </text>
    </comment>
    <comment ref="J19" authorId="0">
      <text>
        <r>
          <rPr>
            <sz val="9"/>
            <rFont val="宋体"/>
            <charset val="134"/>
          </rPr>
          <t xml:space="preserve">到付USD6.94转预付228.
</t>
        </r>
      </text>
    </comment>
    <comment ref="J23" authorId="0">
      <text>
        <r>
          <rPr>
            <sz val="9"/>
            <rFont val="宋体"/>
            <charset val="134"/>
          </rPr>
          <t xml:space="preserve">到付USD692.08转预付5053.
</t>
        </r>
      </text>
    </comment>
    <comment ref="J26" authorId="0">
      <text>
        <r>
          <rPr>
            <sz val="9"/>
            <rFont val="宋体"/>
            <charset val="134"/>
          </rPr>
          <t xml:space="preserve">到付USD85.11转预付621.3
</t>
        </r>
      </text>
    </comment>
  </commentList>
</comments>
</file>

<file path=xl/comments5.xml><?xml version="1.0" encoding="utf-8"?>
<comments xmlns="http://schemas.openxmlformats.org/spreadsheetml/2006/main">
  <authors>
    <author>30993</author>
  </authors>
  <commentList>
    <comment ref="J7" authorId="0">
      <text>
        <r>
          <rPr>
            <b/>
            <sz val="9"/>
            <rFont val="宋体"/>
            <charset val="134"/>
          </rPr>
          <t>31/12国内收美金</t>
        </r>
        <r>
          <rPr>
            <sz val="9"/>
            <rFont val="宋体"/>
            <charset val="134"/>
          </rPr>
          <t xml:space="preserve">
</t>
        </r>
      </text>
    </comment>
    <comment ref="J17" authorId="0">
      <text>
        <r>
          <rPr>
            <sz val="9"/>
            <rFont val="宋体"/>
            <charset val="134"/>
          </rPr>
          <t>到付USD1471.17转预付10739.54.</t>
        </r>
      </text>
    </comment>
    <comment ref="W20" authorId="0">
      <text>
        <r>
          <rPr>
            <b/>
            <sz val="9"/>
            <rFont val="宋体"/>
            <charset val="134"/>
          </rPr>
          <t>转仓费:</t>
        </r>
        <r>
          <rPr>
            <sz val="9"/>
            <rFont val="宋体"/>
            <charset val="134"/>
          </rPr>
          <t xml:space="preserve">
</t>
        </r>
      </text>
    </comment>
    <comment ref="J21" authorId="0">
      <text>
        <r>
          <rPr>
            <sz val="9"/>
            <rFont val="宋体"/>
            <charset val="134"/>
          </rPr>
          <t xml:space="preserve">到付USD5194.06转预付37916.64
</t>
        </r>
      </text>
    </comment>
  </commentList>
</comments>
</file>

<file path=xl/comments6.xml><?xml version="1.0" encoding="utf-8"?>
<comments xmlns="http://schemas.openxmlformats.org/spreadsheetml/2006/main">
  <authors>
    <author>30993</author>
  </authors>
  <commentList>
    <comment ref="J5" authorId="0">
      <text>
        <r>
          <rPr>
            <b/>
            <sz val="9"/>
            <rFont val="宋体"/>
            <charset val="134"/>
          </rPr>
          <t>31/12国内收美金</t>
        </r>
        <r>
          <rPr>
            <sz val="9"/>
            <rFont val="宋体"/>
            <charset val="134"/>
          </rPr>
          <t xml:space="preserve">
</t>
        </r>
      </text>
    </comment>
    <comment ref="J8" authorId="0">
      <text>
        <r>
          <rPr>
            <sz val="9"/>
            <rFont val="宋体"/>
            <charset val="134"/>
          </rPr>
          <t xml:space="preserve">到付USD636.9转预付 4628.
</t>
        </r>
      </text>
    </comment>
    <comment ref="J9" authorId="0">
      <text>
        <r>
          <rPr>
            <sz val="9"/>
            <rFont val="宋体"/>
            <charset val="134"/>
          </rPr>
          <t>31/12国内收美金</t>
        </r>
      </text>
    </comment>
    <comment ref="J10" authorId="0">
      <text>
        <r>
          <rPr>
            <sz val="9"/>
            <rFont val="宋体"/>
            <charset val="134"/>
          </rPr>
          <t xml:space="preserve">到付转预付3280
</t>
        </r>
      </text>
    </comment>
    <comment ref="J12" authorId="0">
      <text>
        <r>
          <rPr>
            <sz val="9"/>
            <rFont val="宋体"/>
            <charset val="134"/>
          </rPr>
          <t xml:space="preserve">到付USD377.23转预付3448.
</t>
        </r>
      </text>
    </comment>
    <comment ref="J14" authorId="0">
      <text>
        <r>
          <rPr>
            <sz val="9"/>
            <rFont val="宋体"/>
            <charset val="134"/>
          </rPr>
          <t xml:space="preserve">到付USD100.86转预付748.5.
</t>
        </r>
      </text>
    </comment>
    <comment ref="J15" authorId="0">
      <text>
        <r>
          <rPr>
            <sz val="9"/>
            <rFont val="宋体"/>
            <charset val="134"/>
          </rPr>
          <t xml:space="preserve">到付USD932.28转预付6811.
</t>
        </r>
      </text>
    </comment>
    <comment ref="W17" authorId="0">
      <text>
        <r>
          <rPr>
            <sz val="9"/>
            <rFont val="宋体"/>
            <charset val="134"/>
          </rPr>
          <t xml:space="preserve">转仓费
</t>
        </r>
      </text>
    </comment>
    <comment ref="J19" authorId="0">
      <text>
        <r>
          <rPr>
            <sz val="9"/>
            <rFont val="宋体"/>
            <charset val="134"/>
          </rPr>
          <t>到付USD425.05转预付3096.47
.到付USD2514.54转预付18104.69合计21201.16</t>
        </r>
      </text>
    </comment>
    <comment ref="J20" authorId="0">
      <text>
        <r>
          <rPr>
            <sz val="9"/>
            <rFont val="宋体"/>
            <charset val="134"/>
          </rPr>
          <t xml:space="preserve">到付USD1574.22转预付11334.38
</t>
        </r>
      </text>
    </comment>
  </commentList>
</comments>
</file>

<file path=xl/comments7.xml><?xml version="1.0" encoding="utf-8"?>
<comments xmlns="http://schemas.openxmlformats.org/spreadsheetml/2006/main">
  <authors>
    <author>30993</author>
  </authors>
  <commentList>
    <comment ref="J6" authorId="0">
      <text>
        <r>
          <rPr>
            <sz val="9"/>
            <rFont val="宋体"/>
            <charset val="134"/>
          </rPr>
          <t xml:space="preserve">31/12国内收美金
</t>
        </r>
      </text>
    </comment>
    <comment ref="J7" authorId="0">
      <text>
        <r>
          <rPr>
            <b/>
            <sz val="9"/>
            <rFont val="宋体"/>
            <charset val="134"/>
          </rPr>
          <t>31/12国内收美金</t>
        </r>
        <r>
          <rPr>
            <sz val="9"/>
            <rFont val="宋体"/>
            <charset val="134"/>
          </rPr>
          <t xml:space="preserve">
</t>
        </r>
      </text>
    </comment>
    <comment ref="J8" authorId="0">
      <text>
        <r>
          <rPr>
            <b/>
            <sz val="9"/>
            <rFont val="宋体"/>
            <charset val="134"/>
          </rPr>
          <t>30/12国内收美金</t>
        </r>
        <r>
          <rPr>
            <sz val="9"/>
            <rFont val="宋体"/>
            <charset val="134"/>
          </rPr>
          <t xml:space="preserve">
</t>
        </r>
      </text>
    </comment>
    <comment ref="J13" authorId="0">
      <text>
        <r>
          <rPr>
            <sz val="9"/>
            <rFont val="宋体"/>
            <charset val="134"/>
          </rPr>
          <t xml:space="preserve">到付USD86.94转预付639.5
</t>
        </r>
      </text>
    </comment>
  </commentList>
</comments>
</file>

<file path=xl/comments8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>31/12国内收美金</t>
        </r>
      </text>
    </comment>
    <comment ref="J6" authorId="0">
      <text>
        <r>
          <rPr>
            <sz val="9"/>
            <rFont val="宋体"/>
            <charset val="134"/>
          </rPr>
          <t>到付USD1490.73l专预付136936.</t>
        </r>
      </text>
    </comment>
    <comment ref="J15" authorId="0">
      <text>
        <r>
          <rPr>
            <sz val="9"/>
            <rFont val="宋体"/>
            <charset val="134"/>
          </rPr>
          <t>到付USD1484.35转预付10687.32</t>
        </r>
      </text>
    </comment>
  </commentList>
</comments>
</file>

<file path=xl/comments9.xml><?xml version="1.0" encoding="utf-8"?>
<comments xmlns="http://schemas.openxmlformats.org/spreadsheetml/2006/main">
  <authors>
    <author>30993</author>
  </authors>
  <commentList>
    <comment ref="J14" authorId="0">
      <text>
        <r>
          <rPr>
            <sz val="9"/>
            <rFont val="宋体"/>
            <charset val="134"/>
          </rPr>
          <t>到付USD4.44转预付220.</t>
        </r>
      </text>
    </comment>
    <comment ref="J16" authorId="0">
      <text>
        <r>
          <rPr>
            <sz val="9"/>
            <rFont val="宋体"/>
            <charset val="134"/>
          </rPr>
          <t>到付USD8590.4转预付62286.</t>
        </r>
      </text>
    </comment>
    <comment ref="J25" authorId="0">
      <text>
        <r>
          <rPr>
            <sz val="9"/>
            <rFont val="宋体"/>
            <charset val="134"/>
          </rPr>
          <t xml:space="preserve">到付USD849.23转预付6114.46
</t>
        </r>
      </text>
    </comment>
  </commentList>
</comments>
</file>

<file path=xl/sharedStrings.xml><?xml version="1.0" encoding="utf-8"?>
<sst xmlns="http://schemas.openxmlformats.org/spreadsheetml/2006/main" count="1267" uniqueCount="138">
  <si>
    <t>2024年11月份LOS毛利表（海运）</t>
  </si>
  <si>
    <t>JOB</t>
  </si>
  <si>
    <t>集装编号 </t>
  </si>
  <si>
    <t>利润</t>
  </si>
  <si>
    <t>JOB120361</t>
  </si>
  <si>
    <t>COLL004287</t>
  </si>
  <si>
    <t>JOB120362</t>
  </si>
  <si>
    <t>COLL004290</t>
  </si>
  <si>
    <t>JOB120363</t>
  </si>
  <si>
    <t>COLL004291</t>
  </si>
  <si>
    <t>JOB120364</t>
  </si>
  <si>
    <t>COLL004298</t>
  </si>
  <si>
    <t>JOB120365</t>
  </si>
  <si>
    <t>COLL004301</t>
  </si>
  <si>
    <t>JOB120366</t>
  </si>
  <si>
    <t>COLL004305</t>
  </si>
  <si>
    <t>JOB120367</t>
  </si>
  <si>
    <t>COLL004308</t>
  </si>
  <si>
    <t>JOB120368</t>
  </si>
  <si>
    <t>COLL004310</t>
  </si>
  <si>
    <t>合计</t>
  </si>
  <si>
    <t>运单编号 </t>
  </si>
  <si>
    <t>日期</t>
  </si>
  <si>
    <t>业务</t>
  </si>
  <si>
    <t>发货人 </t>
  </si>
  <si>
    <t>收货人 </t>
  </si>
  <si>
    <t>计费体积</t>
  </si>
  <si>
    <t>计费重量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</si>
  <si>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</si>
  <si>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</si>
  <si>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</si>
  <si>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</si>
  <si>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</si>
  <si>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</si>
  <si>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</si>
  <si>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</si>
  <si>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</si>
  <si>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</si>
  <si>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</si>
  <si>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</si>
  <si>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</si>
  <si>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</si>
  <si>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</si>
  <si>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运费+出口报关费</t>
  </si>
  <si>
    <t>提货费</t>
  </si>
  <si>
    <t>装卸费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</si>
  <si>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</si>
  <si>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</si>
  <si>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</si>
  <si>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</si>
  <si>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</si>
  <si>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</si>
  <si>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</si>
  <si>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吕沛霖</t>
  </si>
  <si>
    <t>喵喵速运-Layne</t>
  </si>
  <si>
    <t>Hu Hai Liang</t>
  </si>
  <si>
    <t>登凯=46189.5
陆总=1200  
拖车费=1670
杂费=89
过磅费=66</t>
  </si>
  <si>
    <t>黄颖</t>
  </si>
  <si>
    <t>ying</t>
  </si>
  <si>
    <t>Wole Rasak</t>
  </si>
  <si>
    <t>苏慧琪</t>
  </si>
  <si>
    <t>KAY</t>
  </si>
  <si>
    <t>BOYOU 吕</t>
  </si>
  <si>
    <t>LEO WEI</t>
  </si>
  <si>
    <t>朱小飞</t>
  </si>
  <si>
    <t>Isabel Zhu</t>
  </si>
  <si>
    <t>Maryam Tukur</t>
  </si>
  <si>
    <t>Bruce</t>
  </si>
  <si>
    <t>Barrister Hammed</t>
  </si>
  <si>
    <t>Candice Ding</t>
  </si>
  <si>
    <t>Sam.Pao</t>
  </si>
  <si>
    <t>Chizoba</t>
  </si>
  <si>
    <t>Halifa Success</t>
  </si>
  <si>
    <t>jiangnan</t>
  </si>
  <si>
    <t>Mu Shi Shi</t>
  </si>
  <si>
    <t>WEI PING</t>
  </si>
  <si>
    <t>YA</t>
  </si>
  <si>
    <t>陆总</t>
  </si>
  <si>
    <t>陆梓龙</t>
  </si>
  <si>
    <t>xinlong</t>
  </si>
  <si>
    <t>Nick Wang</t>
  </si>
  <si>
    <t>登凯=46189.5
陆总=800 
拖车费=1670
杂费=61
过磅费=68</t>
  </si>
  <si>
    <t>Sunday Adelena</t>
  </si>
  <si>
    <t>MA ZONG</t>
  </si>
  <si>
    <t>Nura</t>
  </si>
  <si>
    <t>jizong</t>
  </si>
  <si>
    <t>Bella</t>
  </si>
  <si>
    <t>Bella Chan</t>
  </si>
  <si>
    <t>zhong zi xin</t>
  </si>
  <si>
    <t>Joy</t>
  </si>
  <si>
    <t>MaiKaiNian</t>
  </si>
  <si>
    <t>Angel</t>
  </si>
  <si>
    <t>zhang long ting</t>
  </si>
  <si>
    <t>JunYue hotel</t>
  </si>
  <si>
    <t>罗珮文</t>
  </si>
  <si>
    <t>Shirley</t>
  </si>
  <si>
    <t>SKY JET</t>
  </si>
  <si>
    <t>Tom chen</t>
  </si>
  <si>
    <t>登凯=43330
陆总=8000  
拖车费=1670
杂费=93
过磅费=125</t>
  </si>
  <si>
    <t>ShanShan</t>
  </si>
  <si>
    <t>FENG</t>
  </si>
  <si>
    <t>luk</t>
  </si>
  <si>
    <t>Oba Adeoriyomi Oyebo</t>
  </si>
  <si>
    <t>R李金</t>
  </si>
  <si>
    <t>Komebility gift</t>
  </si>
  <si>
    <t>yuhuichao</t>
  </si>
  <si>
    <t>Mr.Shen</t>
  </si>
  <si>
    <t>Mr.zhang</t>
  </si>
  <si>
    <t>wuchengxing</t>
  </si>
  <si>
    <t>Mr. Jiang</t>
  </si>
  <si>
    <t>登凯=43330
赛捷=1660
拖车费=1670
杂费=73
过磅费=70</t>
  </si>
  <si>
    <t>MISS Huang</t>
  </si>
  <si>
    <t>Isa</t>
  </si>
  <si>
    <t>Abdulsheldu</t>
  </si>
  <si>
    <t>weng zixian</t>
  </si>
  <si>
    <t>Ope Olofinjana</t>
  </si>
  <si>
    <t>无人</t>
  </si>
  <si>
    <t>dejare James</t>
  </si>
  <si>
    <t>James</t>
  </si>
  <si>
    <t>Yusky</t>
  </si>
  <si>
    <t>FanXiangGuo</t>
  </si>
  <si>
    <t>登凯=43386.5
陆总=1800 
拖车费=1670
杂费=661
过磅费=71</t>
  </si>
  <si>
    <t>wangmuma</t>
  </si>
  <si>
    <t>xiaobai小白</t>
  </si>
  <si>
    <t>Mr Zhou</t>
  </si>
  <si>
    <t>Mr Olusola Abidemi</t>
  </si>
  <si>
    <t>Hao wangjun</t>
  </si>
  <si>
    <t>new hope 边鹏飞</t>
  </si>
  <si>
    <t>xiantian</t>
  </si>
  <si>
    <t>登凯=43386.5
赛捷=500  
拖车费=1670
杂费=61
过磅费=68</t>
  </si>
  <si>
    <t>Mr LiuQiSheng</t>
  </si>
  <si>
    <t>登凯=43386.5
赛捷=600  
拖车费=1670
杂费=75
过磅费=57</t>
  </si>
  <si>
    <t>shola</t>
  </si>
  <si>
    <t>ChenGaoHong</t>
  </si>
  <si>
    <t>登凯=43941.65
创泽=1300 
拖车费=1670
杂费=63
过磅费=59</t>
  </si>
  <si>
    <t>AiGeLi</t>
  </si>
  <si>
    <t>PSL表</t>
  </si>
  <si>
    <t>体积cbm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</si>
</sst>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US$&quot;#,##0.00;\-&quot;US$&quot;#,##0.00"/>
    <numFmt numFmtId="178" formatCode="&quot;JOB&quot;000000"/>
    <numFmt numFmtId="179" formatCode="000000"/>
    <numFmt numFmtId="180" formatCode="m&quot;月&quot;d&quot;日&quot;;@"/>
    <numFmt numFmtId="181" formatCode="0_ "/>
    <numFmt numFmtId="182" formatCode="0.0000_ "/>
    <numFmt numFmtId="183" formatCode="&quot;￥&quot;#,##0.00_);[Red]\(&quot;￥&quot;#,##0.00\)"/>
    <numFmt numFmtId="184" formatCode="_ * #,##0.00_ ;_ * \-#,##0.00_ ;_ * &quot;-&quot;_ ;_ @_ "/>
  </numFmts>
  <fonts count="46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1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b/>
      <sz val="18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b/>
      <sz val="9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color rgb="FFFF0000"/>
      <name val="Microsoft JhengHei"/>
      <charset val="134"/>
    </font>
    <font>
      <b/>
      <sz val="10"/>
      <color theme="1"/>
      <name val="Microsoft JhengHei"/>
      <charset val="134"/>
    </font>
    <font>
      <b/>
      <sz val="9"/>
      <name val="宋体"/>
      <charset val="134"/>
    </font>
    <font>
      <b/>
      <sz val="10"/>
      <color theme="1"/>
      <name val="宋体"/>
      <charset val="134"/>
    </font>
    <font>
      <sz val="12"/>
      <name val="Microsoft JhengHei"/>
      <charset val="134"/>
    </font>
    <font>
      <sz val="10"/>
      <name val="Microsoft JhengHei"/>
      <charset val="134"/>
    </font>
    <font>
      <sz val="10"/>
      <color rgb="FFFF0000"/>
      <name val="Microsoft JhengHei"/>
      <charset val="134"/>
    </font>
    <font>
      <sz val="11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Microsoft JhengHei"/>
      <charset val="134"/>
    </font>
    <font>
      <sz val="11"/>
      <color rgb="FFFF0000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8" borderId="13" applyNumberFormat="0" applyAlignment="0" applyProtection="0">
      <alignment vertical="center"/>
    </xf>
    <xf numFmtId="0" fontId="34" fillId="9" borderId="14" applyNumberFormat="0" applyAlignment="0" applyProtection="0">
      <alignment vertical="center"/>
    </xf>
    <xf numFmtId="0" fontId="35" fillId="9" borderId="13" applyNumberFormat="0" applyAlignment="0" applyProtection="0">
      <alignment vertical="center"/>
    </xf>
    <xf numFmtId="0" fontId="36" fillId="10" borderId="15" applyNumberFormat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Fill="1">
      <alignment vertical="center"/>
    </xf>
    <xf numFmtId="7" fontId="2" fillId="0" borderId="0" xfId="0" applyNumberFormat="1" applyFont="1">
      <alignment vertical="center"/>
    </xf>
    <xf numFmtId="7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8" fontId="5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79" fontId="6" fillId="2" borderId="1" xfId="1" applyNumberFormat="1" applyFont="1" applyFill="1" applyBorder="1" applyAlignment="1">
      <alignment horizontal="center" vertical="center"/>
    </xf>
    <xf numFmtId="180" fontId="7" fillId="2" borderId="1" xfId="1" applyNumberFormat="1" applyFont="1" applyFill="1" applyBorder="1" applyAlignment="1">
      <alignment horizontal="center" vertical="center"/>
    </xf>
    <xf numFmtId="180" fontId="7" fillId="2" borderId="2" xfId="1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78" fontId="5" fillId="0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180" fontId="7" fillId="2" borderId="3" xfId="1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181" fontId="2" fillId="0" borderId="1" xfId="0" applyNumberFormat="1" applyFont="1" applyFill="1" applyBorder="1" applyAlignment="1">
      <alignment vertical="center"/>
    </xf>
    <xf numFmtId="58" fontId="2" fillId="0" borderId="1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182" fontId="8" fillId="3" borderId="1" xfId="0" applyNumberFormat="1" applyFon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83" fontId="1" fillId="3" borderId="4" xfId="0" applyNumberFormat="1" applyFont="1" applyFill="1" applyBorder="1" applyAlignment="1">
      <alignment horizontal="center" vertical="center"/>
    </xf>
    <xf numFmtId="176" fontId="1" fillId="3" borderId="5" xfId="0" applyNumberFormat="1" applyFont="1" applyFill="1" applyBorder="1" applyAlignment="1">
      <alignment horizontal="center" vertical="center"/>
    </xf>
    <xf numFmtId="177" fontId="1" fillId="3" borderId="5" xfId="0" applyNumberFormat="1" applyFont="1" applyFill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center" vertical="center"/>
    </xf>
    <xf numFmtId="183" fontId="10" fillId="0" borderId="6" xfId="0" applyNumberFormat="1" applyFont="1" applyFill="1" applyBorder="1" applyAlignment="1">
      <alignment horizontal="right" vertical="center"/>
    </xf>
    <xf numFmtId="0" fontId="5" fillId="2" borderId="7" xfId="0" applyFont="1" applyFill="1" applyBorder="1" applyAlignment="1">
      <alignment vertical="center"/>
    </xf>
    <xf numFmtId="183" fontId="5" fillId="3" borderId="1" xfId="0" applyNumberFormat="1" applyFont="1" applyFill="1" applyBorder="1" applyAlignment="1">
      <alignment horizontal="right" vertical="center"/>
    </xf>
    <xf numFmtId="176" fontId="11" fillId="3" borderId="1" xfId="0" applyNumberFormat="1" applyFont="1" applyFill="1" applyBorder="1" applyAlignment="1">
      <alignment horizontal="center" vertical="center" wrapText="1"/>
    </xf>
    <xf numFmtId="177" fontId="11" fillId="3" borderId="1" xfId="0" applyNumberFormat="1" applyFont="1" applyFill="1" applyBorder="1" applyAlignment="1">
      <alignment horizontal="center" vertical="center" wrapText="1"/>
    </xf>
    <xf numFmtId="177" fontId="5" fillId="3" borderId="1" xfId="0" applyNumberFormat="1" applyFont="1" applyFill="1" applyBorder="1" applyAlignment="1">
      <alignment horizontal="center" vertical="center" wrapText="1"/>
    </xf>
    <xf numFmtId="0" fontId="12" fillId="3" borderId="1" xfId="0" applyNumberFormat="1" applyFont="1" applyFill="1" applyBorder="1" applyAlignment="1">
      <alignment horizontal="center" vertical="center"/>
    </xf>
    <xf numFmtId="183" fontId="13" fillId="0" borderId="1" xfId="0" applyNumberFormat="1" applyFont="1" applyFill="1" applyBorder="1" applyAlignment="1">
      <alignment horizontal="right" vertical="center"/>
    </xf>
    <xf numFmtId="183" fontId="14" fillId="2" borderId="1" xfId="0" applyNumberFormat="1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177" fontId="8" fillId="2" borderId="1" xfId="0" applyNumberFormat="1" applyFont="1" applyFill="1" applyBorder="1" applyAlignment="1">
      <alignment vertical="center"/>
    </xf>
    <xf numFmtId="176" fontId="14" fillId="3" borderId="1" xfId="0" applyNumberFormat="1" applyFont="1" applyFill="1" applyBorder="1" applyAlignment="1">
      <alignment horizontal="center" vertical="center"/>
    </xf>
    <xf numFmtId="177" fontId="8" fillId="3" borderId="1" xfId="0" applyNumberFormat="1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183" fontId="8" fillId="2" borderId="1" xfId="0" applyNumberFormat="1" applyFont="1" applyFill="1" applyBorder="1" applyAlignment="1">
      <alignment vertical="center"/>
    </xf>
    <xf numFmtId="176" fontId="14" fillId="0" borderId="1" xfId="0" applyNumberFormat="1" applyFont="1" applyFill="1" applyBorder="1" applyAlignment="1">
      <alignment vertical="center"/>
    </xf>
    <xf numFmtId="177" fontId="14" fillId="3" borderId="1" xfId="0" applyNumberFormat="1" applyFont="1" applyFill="1" applyBorder="1" applyAlignment="1">
      <alignment vertical="center"/>
    </xf>
    <xf numFmtId="181" fontId="8" fillId="3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76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7" fontId="15" fillId="0" borderId="0" xfId="0" applyNumberFormat="1" applyFont="1" applyFill="1" applyAlignment="1">
      <alignment horizontal="center" vertical="center"/>
    </xf>
    <xf numFmtId="183" fontId="1" fillId="4" borderId="2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83" fontId="5" fillId="5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83" fontId="5" fillId="0" borderId="5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183" fontId="12" fillId="0" borderId="8" xfId="0" applyNumberFormat="1" applyFont="1" applyFill="1" applyBorder="1" applyAlignment="1">
      <alignment horizontal="center" vertical="center" wrapText="1"/>
    </xf>
    <xf numFmtId="7" fontId="15" fillId="3" borderId="2" xfId="0" applyNumberFormat="1" applyFont="1" applyFill="1" applyBorder="1" applyAlignment="1">
      <alignment horizontal="center" vertical="center" wrapText="1"/>
    </xf>
    <xf numFmtId="183" fontId="1" fillId="4" borderId="3" xfId="0" applyNumberFormat="1" applyFont="1" applyFill="1" applyBorder="1" applyAlignment="1">
      <alignment horizontal="center" vertical="center"/>
    </xf>
    <xf numFmtId="184" fontId="16" fillId="5" borderId="1" xfId="4" applyNumberFormat="1" applyFont="1" applyFill="1" applyBorder="1" applyAlignment="1">
      <alignment horizontal="center" vertical="center"/>
    </xf>
    <xf numFmtId="183" fontId="13" fillId="5" borderId="1" xfId="4" applyNumberFormat="1" applyFont="1" applyFill="1" applyBorder="1" applyAlignment="1">
      <alignment horizontal="center" vertical="center"/>
    </xf>
    <xf numFmtId="184" fontId="13" fillId="0" borderId="1" xfId="4" applyNumberFormat="1" applyFont="1" applyFill="1" applyBorder="1" applyAlignment="1">
      <alignment horizontal="center" vertical="center"/>
    </xf>
    <xf numFmtId="183" fontId="13" fillId="0" borderId="1" xfId="4" applyNumberFormat="1" applyFont="1" applyFill="1" applyBorder="1" applyAlignment="1">
      <alignment horizontal="center" vertical="center"/>
    </xf>
    <xf numFmtId="183" fontId="12" fillId="0" borderId="9" xfId="0" applyNumberFormat="1" applyFont="1" applyFill="1" applyBorder="1" applyAlignment="1">
      <alignment horizontal="center" vertical="center" wrapText="1"/>
    </xf>
    <xf numFmtId="7" fontId="15" fillId="3" borderId="3" xfId="0" applyNumberFormat="1" applyFont="1" applyFill="1" applyBorder="1" applyAlignment="1">
      <alignment horizontal="center" vertical="center" wrapText="1"/>
    </xf>
    <xf numFmtId="183" fontId="2" fillId="0" borderId="2" xfId="0" applyNumberFormat="1" applyFont="1" applyFill="1" applyBorder="1" applyAlignment="1">
      <alignment horizontal="center" vertical="center"/>
    </xf>
    <xf numFmtId="183" fontId="2" fillId="0" borderId="2" xfId="0" applyNumberFormat="1" applyFont="1" applyFill="1" applyBorder="1" applyAlignment="1">
      <alignment horizontal="center" vertical="center" wrapText="1"/>
    </xf>
    <xf numFmtId="183" fontId="2" fillId="0" borderId="1" xfId="0" applyNumberFormat="1" applyFont="1" applyFill="1" applyBorder="1" applyAlignment="1">
      <alignment vertical="center"/>
    </xf>
    <xf numFmtId="183" fontId="2" fillId="0" borderId="3" xfId="0" applyNumberFormat="1" applyFont="1" applyFill="1" applyBorder="1" applyAlignment="1">
      <alignment horizontal="center" vertical="center"/>
    </xf>
    <xf numFmtId="183" fontId="2" fillId="3" borderId="1" xfId="0" applyNumberFormat="1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183" fontId="2" fillId="0" borderId="7" xfId="0" applyNumberFormat="1" applyFont="1" applyFill="1" applyBorder="1" applyAlignment="1">
      <alignment horizontal="center" vertical="center"/>
    </xf>
    <xf numFmtId="7" fontId="2" fillId="0" borderId="1" xfId="0" applyNumberFormat="1" applyFont="1" applyBorder="1" applyAlignment="1">
      <alignment vertical="center"/>
    </xf>
    <xf numFmtId="7" fontId="3" fillId="0" borderId="0" xfId="0" applyNumberFormat="1" applyFont="1" applyAlignment="1">
      <alignment horizontal="center" vertical="center"/>
    </xf>
    <xf numFmtId="177" fontId="12" fillId="3" borderId="1" xfId="0" applyNumberFormat="1" applyFont="1" applyFill="1" applyBorder="1" applyAlignment="1">
      <alignment horizontal="center" vertical="center"/>
    </xf>
    <xf numFmtId="176" fontId="12" fillId="3" borderId="1" xfId="0" applyNumberFormat="1" applyFont="1" applyFill="1" applyBorder="1" applyAlignment="1">
      <alignment horizontal="center" vertical="center"/>
    </xf>
    <xf numFmtId="183" fontId="12" fillId="4" borderId="2" xfId="0" applyNumberFormat="1" applyFont="1" applyFill="1" applyBorder="1" applyAlignment="1">
      <alignment horizontal="center" vertical="center"/>
    </xf>
    <xf numFmtId="7" fontId="1" fillId="6" borderId="2" xfId="0" applyNumberFormat="1" applyFont="1" applyFill="1" applyBorder="1" applyAlignment="1">
      <alignment horizontal="center" vertical="center"/>
    </xf>
    <xf numFmtId="177" fontId="17" fillId="3" borderId="1" xfId="0" applyNumberFormat="1" applyFont="1" applyFill="1" applyBorder="1" applyAlignment="1">
      <alignment vertical="center" wrapText="1"/>
    </xf>
    <xf numFmtId="177" fontId="12" fillId="3" borderId="1" xfId="0" applyNumberFormat="1" applyFont="1" applyFill="1" applyBorder="1" applyAlignment="1">
      <alignment horizontal="right" vertical="center"/>
    </xf>
    <xf numFmtId="176" fontId="15" fillId="3" borderId="1" xfId="0" applyNumberFormat="1" applyFont="1" applyFill="1" applyBorder="1" applyAlignment="1">
      <alignment horizontal="center" vertical="center"/>
    </xf>
    <xf numFmtId="183" fontId="12" fillId="3" borderId="1" xfId="0" applyNumberFormat="1" applyFont="1" applyFill="1" applyBorder="1" applyAlignment="1">
      <alignment horizontal="center" vertical="center"/>
    </xf>
    <xf numFmtId="183" fontId="12" fillId="4" borderId="1" xfId="0" applyNumberFormat="1" applyFont="1" applyFill="1" applyBorder="1" applyAlignment="1">
      <alignment horizontal="center" vertical="center"/>
    </xf>
    <xf numFmtId="7" fontId="1" fillId="6" borderId="7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vertical="center"/>
    </xf>
    <xf numFmtId="177" fontId="2" fillId="3" borderId="1" xfId="0" applyNumberFormat="1" applyFont="1" applyFill="1" applyBorder="1" applyAlignment="1">
      <alignment vertical="center"/>
    </xf>
    <xf numFmtId="7" fontId="18" fillId="3" borderId="1" xfId="0" applyNumberFormat="1" applyFont="1" applyFill="1" applyBorder="1">
      <alignment vertical="center"/>
    </xf>
    <xf numFmtId="183" fontId="14" fillId="3" borderId="1" xfId="0" applyNumberFormat="1" applyFont="1" applyFill="1" applyBorder="1" applyAlignment="1">
      <alignment vertical="center"/>
    </xf>
    <xf numFmtId="176" fontId="8" fillId="2" borderId="1" xfId="0" applyNumberFormat="1" applyFont="1" applyFill="1" applyBorder="1" applyAlignment="1">
      <alignment vertical="center"/>
    </xf>
    <xf numFmtId="177" fontId="14" fillId="2" borderId="1" xfId="0" applyNumberFormat="1" applyFont="1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19" fillId="2" borderId="1" xfId="0" applyNumberFormat="1" applyFont="1" applyFill="1" applyBorder="1" applyAlignment="1">
      <alignment vertical="center"/>
    </xf>
    <xf numFmtId="176" fontId="20" fillId="3" borderId="1" xfId="0" applyNumberFormat="1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vertical="center"/>
    </xf>
    <xf numFmtId="183" fontId="19" fillId="2" borderId="1" xfId="0" applyNumberFormat="1" applyFont="1" applyFill="1" applyBorder="1" applyAlignment="1">
      <alignment vertical="center"/>
    </xf>
    <xf numFmtId="183" fontId="8" fillId="3" borderId="1" xfId="0" applyNumberFormat="1" applyFont="1" applyFill="1" applyBorder="1" applyAlignment="1">
      <alignment vertical="center"/>
    </xf>
    <xf numFmtId="176" fontId="21" fillId="0" borderId="1" xfId="0" applyNumberFormat="1" applyFont="1" applyFill="1" applyBorder="1" applyAlignment="1">
      <alignment vertical="center"/>
    </xf>
    <xf numFmtId="183" fontId="14" fillId="0" borderId="1" xfId="0" applyNumberFormat="1" applyFont="1" applyFill="1" applyBorder="1" applyAlignment="1">
      <alignment vertical="center"/>
    </xf>
    <xf numFmtId="176" fontId="22" fillId="0" borderId="1" xfId="0" applyNumberFormat="1" applyFont="1" applyFill="1" applyBorder="1" applyAlignment="1">
      <alignment vertical="center"/>
    </xf>
    <xf numFmtId="0" fontId="23" fillId="0" borderId="0" xfId="0" applyFont="1" applyFill="1" applyBorder="1" applyAlignment="1">
      <alignment vertical="center"/>
    </xf>
    <xf numFmtId="176" fontId="24" fillId="0" borderId="1" xfId="0" applyNumberFormat="1" applyFont="1" applyFill="1" applyBorder="1" applyAlignment="1">
      <alignment vertical="center"/>
    </xf>
    <xf numFmtId="176" fontId="23" fillId="0" borderId="1" xfId="0" applyNumberFormat="1" applyFont="1" applyFill="1" applyBorder="1" applyAlignment="1">
      <alignment vertical="center"/>
    </xf>
    <xf numFmtId="177" fontId="14" fillId="0" borderId="1" xfId="0" applyNumberFormat="1" applyFont="1" applyFill="1" applyBorder="1" applyAlignment="1">
      <alignment vertical="center"/>
    </xf>
    <xf numFmtId="183" fontId="0" fillId="0" borderId="1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4"/>
  <sheetViews>
    <sheetView zoomScale="110" zoomScaleNormal="110" workbookViewId="0">
      <pane xSplit="2" ySplit="3" topLeftCell="C4" activePane="bottomRight" state="frozen"/>
      <selection/>
      <selection pane="topRight"/>
      <selection pane="bottomLeft"/>
      <selection pane="bottomRight" activeCell="G119" sqref="G119"/>
    </sheetView>
  </sheetViews>
  <sheetFormatPr defaultColWidth="9" defaultRowHeight="13.5" outlineLevelCol="2"/>
  <cols>
    <col min="1" max="1" width="9.875" customWidth="1"/>
    <col min="2" max="2" width="11.625" customWidth="1"/>
    <col min="3" max="3" width="14.875" style="8"/>
  </cols>
  <sheetData>
    <row r="1" ht="31" customHeight="1" spans="1:3">
      <c r="A1" s="9" t="s">
        <v>0</v>
      </c>
      <c r="B1" s="9"/>
      <c r="C1" s="83"/>
    </row>
    <row r="2" s="1" customFormat="1" ht="23" customHeight="1" spans="1:3">
      <c r="A2" s="11" t="s">
        <v>1</v>
      </c>
      <c r="B2" s="12" t="s">
        <v>2</v>
      </c>
      <c r="C2" s="87" t="s">
        <v>3</v>
      </c>
    </row>
    <row r="3" s="1" customFormat="1" ht="27" customHeight="1" spans="1:3">
      <c r="A3" s="17"/>
      <c r="B3" s="18"/>
      <c r="C3" s="93"/>
    </row>
    <row r="4" s="2" customFormat="1" ht="3" customHeight="1" spans="1:3">
      <c r="A4" s="21" t="s">
        <v>4</v>
      </c>
      <c r="B4" s="22" t="s">
        <v>5</v>
      </c>
      <c r="C4" s="75">
        <f>SUM('JOB120361'!AF22)</f>
        <v>18752.5293817253</v>
      </c>
    </row>
    <row r="5" s="2" customFormat="1" ht="3" customHeight="1" spans="1:3">
      <c r="A5" s="21"/>
      <c r="B5" s="22"/>
      <c r="C5" s="78"/>
    </row>
    <row r="6" s="2" customFormat="1" ht="3" customHeight="1" spans="1:3">
      <c r="A6" s="21"/>
      <c r="B6" s="22"/>
      <c r="C6" s="78"/>
    </row>
    <row r="7" s="2" customFormat="1" ht="3" customHeight="1" spans="1:3">
      <c r="A7" s="21"/>
      <c r="B7" s="22"/>
      <c r="C7" s="78"/>
    </row>
    <row r="8" s="2" customFormat="1" ht="3" customHeight="1" spans="1:3">
      <c r="A8" s="21"/>
      <c r="B8" s="22"/>
      <c r="C8" s="78"/>
    </row>
    <row r="9" s="2" customFormat="1" ht="3" customHeight="1" spans="1:3">
      <c r="A9" s="21"/>
      <c r="B9" s="22"/>
      <c r="C9" s="78"/>
    </row>
    <row r="10" s="2" customFormat="1" ht="3" customHeight="1" spans="1:3">
      <c r="A10" s="21"/>
      <c r="B10" s="22"/>
      <c r="C10" s="78"/>
    </row>
    <row r="11" s="2" customFormat="1" ht="3" customHeight="1" spans="1:3">
      <c r="A11" s="21"/>
      <c r="B11" s="22"/>
      <c r="C11" s="78"/>
    </row>
    <row r="12" s="2" customFormat="1" ht="3" customHeight="1" spans="1:3">
      <c r="A12" s="21"/>
      <c r="B12" s="22"/>
      <c r="C12" s="78"/>
    </row>
    <row r="13" s="2" customFormat="1" ht="3" customHeight="1" spans="1:3">
      <c r="A13" s="21"/>
      <c r="B13" s="22"/>
      <c r="C13" s="78"/>
    </row>
    <row r="14" s="2" customFormat="1" ht="3" customHeight="1" spans="1:3">
      <c r="A14" s="21"/>
      <c r="B14" s="22"/>
      <c r="C14" s="78"/>
    </row>
    <row r="15" s="2" customFormat="1" ht="3" customHeight="1" spans="1:3">
      <c r="A15" s="21"/>
      <c r="B15" s="22"/>
      <c r="C15" s="78"/>
    </row>
    <row r="16" s="2" customFormat="1" ht="3" customHeight="1" spans="1:3">
      <c r="A16" s="21"/>
      <c r="B16" s="22"/>
      <c r="C16" s="78"/>
    </row>
    <row r="17" s="2" customFormat="1" ht="3" customHeight="1" spans="1:3">
      <c r="A17" s="21"/>
      <c r="B17" s="22"/>
      <c r="C17" s="78"/>
    </row>
    <row r="18" s="2" customFormat="1" ht="3" customHeight="1" spans="1:3">
      <c r="A18" s="21"/>
      <c r="B18" s="22"/>
      <c r="C18" s="78"/>
    </row>
    <row r="19" s="2" customFormat="1" ht="3" customHeight="1" spans="1:3">
      <c r="A19" s="21"/>
      <c r="B19" s="22"/>
      <c r="C19" s="78"/>
    </row>
    <row r="20" s="2" customFormat="1" ht="3" customHeight="1" spans="1:3">
      <c r="A20" s="21"/>
      <c r="B20" s="22"/>
      <c r="C20" s="81"/>
    </row>
    <row r="21" s="2" customFormat="1" ht="3" customHeight="1" spans="1:3">
      <c r="A21" s="21" t="s">
        <v>6</v>
      </c>
      <c r="B21" s="22" t="s">
        <v>7</v>
      </c>
      <c r="C21" s="75">
        <f>SUM('JOB120362'!AF19)</f>
        <v>3646.68430285</v>
      </c>
    </row>
    <row r="22" s="2" customFormat="1" ht="3" customHeight="1" spans="1:3">
      <c r="A22" s="21"/>
      <c r="B22" s="22"/>
      <c r="C22" s="78"/>
    </row>
    <row r="23" s="2" customFormat="1" ht="3" customHeight="1" spans="1:3">
      <c r="A23" s="21"/>
      <c r="B23" s="22"/>
      <c r="C23" s="78"/>
    </row>
    <row r="24" s="2" customFormat="1" ht="3" customHeight="1" spans="1:3">
      <c r="A24" s="21"/>
      <c r="B24" s="22"/>
      <c r="C24" s="78"/>
    </row>
    <row r="25" s="2" customFormat="1" ht="3" customHeight="1" spans="1:3">
      <c r="A25" s="21"/>
      <c r="B25" s="22"/>
      <c r="C25" s="78"/>
    </row>
    <row r="26" s="2" customFormat="1" ht="3" customHeight="1" spans="1:3">
      <c r="A26" s="21"/>
      <c r="B26" s="22"/>
      <c r="C26" s="78"/>
    </row>
    <row r="27" s="2" customFormat="1" ht="3" customHeight="1" spans="1:3">
      <c r="A27" s="21"/>
      <c r="B27" s="22"/>
      <c r="C27" s="78"/>
    </row>
    <row r="28" s="2" customFormat="1" ht="3" customHeight="1" spans="1:3">
      <c r="A28" s="21"/>
      <c r="B28" s="22"/>
      <c r="C28" s="78"/>
    </row>
    <row r="29" s="2" customFormat="1" ht="3" customHeight="1" spans="1:3">
      <c r="A29" s="21"/>
      <c r="B29" s="22"/>
      <c r="C29" s="78"/>
    </row>
    <row r="30" s="2" customFormat="1" ht="3" customHeight="1" spans="1:3">
      <c r="A30" s="21"/>
      <c r="B30" s="22"/>
      <c r="C30" s="78"/>
    </row>
    <row r="31" s="2" customFormat="1" ht="3" customHeight="1" spans="1:3">
      <c r="A31" s="21"/>
      <c r="B31" s="22"/>
      <c r="C31" s="78"/>
    </row>
    <row r="32" s="2" customFormat="1" ht="3" customHeight="1" spans="1:3">
      <c r="A32" s="21"/>
      <c r="B32" s="22"/>
      <c r="C32" s="78"/>
    </row>
    <row r="33" s="2" customFormat="1" ht="3" customHeight="1" spans="1:3">
      <c r="A33" s="21"/>
      <c r="B33" s="22"/>
      <c r="C33" s="78"/>
    </row>
    <row r="34" s="2" customFormat="1" ht="3" customHeight="1" spans="1:3">
      <c r="A34" s="21"/>
      <c r="B34" s="22"/>
      <c r="C34" s="81"/>
    </row>
    <row r="35" s="109" customFormat="1" ht="3" customHeight="1" spans="1:3">
      <c r="A35" s="21" t="s">
        <v>8</v>
      </c>
      <c r="B35" s="22" t="s">
        <v>9</v>
      </c>
      <c r="C35" s="75">
        <f>SUM('JOB120363'!AF27)</f>
        <v>16693.8212103176</v>
      </c>
    </row>
    <row r="36" s="109" customFormat="1" ht="3" customHeight="1" spans="1:3">
      <c r="A36" s="21"/>
      <c r="B36" s="22"/>
      <c r="C36" s="78"/>
    </row>
    <row r="37" s="109" customFormat="1" ht="3" customHeight="1" spans="1:3">
      <c r="A37" s="21"/>
      <c r="B37" s="22"/>
      <c r="C37" s="78"/>
    </row>
    <row r="38" s="109" customFormat="1" ht="3" customHeight="1" spans="1:3">
      <c r="A38" s="21"/>
      <c r="B38" s="22"/>
      <c r="C38" s="78"/>
    </row>
    <row r="39" s="109" customFormat="1" ht="3" customHeight="1" spans="1:3">
      <c r="A39" s="21"/>
      <c r="B39" s="22"/>
      <c r="C39" s="78"/>
    </row>
    <row r="40" s="109" customFormat="1" ht="3" customHeight="1" spans="1:3">
      <c r="A40" s="21"/>
      <c r="B40" s="22"/>
      <c r="C40" s="78"/>
    </row>
    <row r="41" s="109" customFormat="1" ht="3" customHeight="1" spans="1:3">
      <c r="A41" s="21"/>
      <c r="B41" s="22"/>
      <c r="C41" s="78"/>
    </row>
    <row r="42" s="109" customFormat="1" ht="3" customHeight="1" spans="1:3">
      <c r="A42" s="21"/>
      <c r="B42" s="22"/>
      <c r="C42" s="78"/>
    </row>
    <row r="43" s="109" customFormat="1" ht="3" customHeight="1" spans="1:3">
      <c r="A43" s="21"/>
      <c r="B43" s="22"/>
      <c r="C43" s="78"/>
    </row>
    <row r="44" s="109" customFormat="1" ht="3" customHeight="1" spans="1:3">
      <c r="A44" s="21"/>
      <c r="B44" s="22"/>
      <c r="C44" s="78"/>
    </row>
    <row r="45" s="109" customFormat="1" ht="3" customHeight="1" spans="1:3">
      <c r="A45" s="21"/>
      <c r="B45" s="22"/>
      <c r="C45" s="78"/>
    </row>
    <row r="46" s="109" customFormat="1" ht="3" customHeight="1" spans="1:3">
      <c r="A46" s="21"/>
      <c r="B46" s="22"/>
      <c r="C46" s="78"/>
    </row>
    <row r="47" s="109" customFormat="1" ht="3" customHeight="1" spans="1:3">
      <c r="A47" s="21"/>
      <c r="B47" s="22"/>
      <c r="C47" s="78"/>
    </row>
    <row r="48" s="109" customFormat="1" ht="3" customHeight="1" spans="1:3">
      <c r="A48" s="21"/>
      <c r="B48" s="22"/>
      <c r="C48" s="78"/>
    </row>
    <row r="49" s="109" customFormat="1" ht="3" customHeight="1" spans="1:3">
      <c r="A49" s="21"/>
      <c r="B49" s="22"/>
      <c r="C49" s="78"/>
    </row>
    <row r="50" s="109" customFormat="1" ht="3" customHeight="1" spans="1:3">
      <c r="A50" s="21"/>
      <c r="B50" s="22"/>
      <c r="C50" s="78"/>
    </row>
    <row r="51" s="109" customFormat="1" ht="3" customHeight="1" spans="1:3">
      <c r="A51" s="21"/>
      <c r="B51" s="22"/>
      <c r="C51" s="78"/>
    </row>
    <row r="52" s="109" customFormat="1" ht="3" customHeight="1" spans="1:3">
      <c r="A52" s="21"/>
      <c r="B52" s="22"/>
      <c r="C52" s="78"/>
    </row>
    <row r="53" s="109" customFormat="1" ht="3" customHeight="1" spans="1:3">
      <c r="A53" s="21"/>
      <c r="B53" s="22"/>
      <c r="C53" s="78"/>
    </row>
    <row r="54" s="109" customFormat="1" ht="3" customHeight="1" spans="1:3">
      <c r="A54" s="21"/>
      <c r="B54" s="22"/>
      <c r="C54" s="78"/>
    </row>
    <row r="55" s="2" customFormat="1" ht="3" customHeight="1" spans="1:3">
      <c r="A55" s="21"/>
      <c r="B55" s="22"/>
      <c r="C55" s="78"/>
    </row>
    <row r="56" s="109" customFormat="1" ht="3" customHeight="1" spans="1:3">
      <c r="A56" s="21"/>
      <c r="B56" s="22"/>
      <c r="C56" s="81"/>
    </row>
    <row r="57" s="2" customFormat="1" ht="3" customHeight="1" spans="1:3">
      <c r="A57" s="21" t="s">
        <v>10</v>
      </c>
      <c r="B57" s="22" t="s">
        <v>11</v>
      </c>
      <c r="C57" s="75">
        <f>SUM('JOB120364'!AF25)</f>
        <v>1768.32554252352</v>
      </c>
    </row>
    <row r="58" s="2" customFormat="1" ht="3" customHeight="1" spans="1:3">
      <c r="A58" s="21"/>
      <c r="B58" s="22"/>
      <c r="C58" s="78"/>
    </row>
    <row r="59" s="2" customFormat="1" ht="3" customHeight="1" spans="1:3">
      <c r="A59" s="21"/>
      <c r="B59" s="22"/>
      <c r="C59" s="78"/>
    </row>
    <row r="60" s="2" customFormat="1" ht="3" customHeight="1" spans="1:3">
      <c r="A60" s="21"/>
      <c r="B60" s="22"/>
      <c r="C60" s="78"/>
    </row>
    <row r="61" s="2" customFormat="1" ht="3" customHeight="1" spans="1:3">
      <c r="A61" s="21"/>
      <c r="B61" s="22"/>
      <c r="C61" s="78"/>
    </row>
    <row r="62" s="2" customFormat="1" ht="3" customHeight="1" spans="1:3">
      <c r="A62" s="21"/>
      <c r="B62" s="22"/>
      <c r="C62" s="78"/>
    </row>
    <row r="63" s="2" customFormat="1" ht="3" customHeight="1" spans="1:3">
      <c r="A63" s="21"/>
      <c r="B63" s="22"/>
      <c r="C63" s="78"/>
    </row>
    <row r="64" s="2" customFormat="1" ht="3" customHeight="1" spans="1:3">
      <c r="A64" s="21"/>
      <c r="B64" s="22"/>
      <c r="C64" s="78"/>
    </row>
    <row r="65" s="2" customFormat="1" ht="3" customHeight="1" spans="1:3">
      <c r="A65" s="21"/>
      <c r="B65" s="22"/>
      <c r="C65" s="78"/>
    </row>
    <row r="66" s="2" customFormat="1" ht="3" customHeight="1" spans="1:3">
      <c r="A66" s="21"/>
      <c r="B66" s="22"/>
      <c r="C66" s="78"/>
    </row>
    <row r="67" s="2" customFormat="1" ht="3" customHeight="1" spans="1:3">
      <c r="A67" s="21"/>
      <c r="B67" s="22"/>
      <c r="C67" s="78"/>
    </row>
    <row r="68" s="2" customFormat="1" ht="3" customHeight="1" spans="1:3">
      <c r="A68" s="21"/>
      <c r="B68" s="22"/>
      <c r="C68" s="78"/>
    </row>
    <row r="69" s="2" customFormat="1" ht="3" customHeight="1" spans="1:3">
      <c r="A69" s="21"/>
      <c r="B69" s="22"/>
      <c r="C69" s="78"/>
    </row>
    <row r="70" s="2" customFormat="1" ht="3" customHeight="1" spans="1:3">
      <c r="A70" s="21"/>
      <c r="B70" s="22"/>
      <c r="C70" s="78"/>
    </row>
    <row r="71" s="2" customFormat="1" ht="3" customHeight="1" spans="1:3">
      <c r="A71" s="21"/>
      <c r="B71" s="22"/>
      <c r="C71" s="78"/>
    </row>
    <row r="72" s="2" customFormat="1" ht="3" customHeight="1" spans="1:3">
      <c r="A72" s="21"/>
      <c r="B72" s="22"/>
      <c r="C72" s="78"/>
    </row>
    <row r="73" s="2" customFormat="1" ht="3" customHeight="1" spans="1:3">
      <c r="A73" s="21"/>
      <c r="B73" s="22"/>
      <c r="C73" s="78"/>
    </row>
    <row r="74" s="2" customFormat="1" ht="3" customHeight="1" spans="1:3">
      <c r="A74" s="21"/>
      <c r="B74" s="22"/>
      <c r="C74" s="78"/>
    </row>
    <row r="75" s="2" customFormat="1" ht="3" customHeight="1" spans="1:3">
      <c r="A75" s="21"/>
      <c r="B75" s="22"/>
      <c r="C75" s="78"/>
    </row>
    <row r="76" s="2" customFormat="1" ht="3" customHeight="1" spans="1:3">
      <c r="A76" s="21"/>
      <c r="B76" s="22"/>
      <c r="C76" s="81"/>
    </row>
    <row r="77" s="2" customFormat="1" ht="3" customHeight="1" spans="1:3">
      <c r="A77" s="21" t="s">
        <v>12</v>
      </c>
      <c r="B77" s="22" t="s">
        <v>13</v>
      </c>
      <c r="C77" s="75">
        <f>SUM('JOB120365'!AF22)</f>
        <v>22745.7228167988</v>
      </c>
    </row>
    <row r="78" s="2" customFormat="1" ht="3" customHeight="1" spans="1:3">
      <c r="A78" s="21"/>
      <c r="B78" s="22"/>
      <c r="C78" s="78"/>
    </row>
    <row r="79" s="2" customFormat="1" ht="3" customHeight="1" spans="1:3">
      <c r="A79" s="21"/>
      <c r="B79" s="22"/>
      <c r="C79" s="78"/>
    </row>
    <row r="80" s="2" customFormat="1" ht="3" customHeight="1" spans="1:3">
      <c r="A80" s="21"/>
      <c r="B80" s="22"/>
      <c r="C80" s="78"/>
    </row>
    <row r="81" s="2" customFormat="1" ht="3" customHeight="1" spans="1:3">
      <c r="A81" s="21"/>
      <c r="B81" s="22"/>
      <c r="C81" s="78"/>
    </row>
    <row r="82" s="2" customFormat="1" ht="3" customHeight="1" spans="1:3">
      <c r="A82" s="21"/>
      <c r="B82" s="22"/>
      <c r="C82" s="78"/>
    </row>
    <row r="83" s="2" customFormat="1" ht="3" customHeight="1" spans="1:3">
      <c r="A83" s="21"/>
      <c r="B83" s="22"/>
      <c r="C83" s="78"/>
    </row>
    <row r="84" s="2" customFormat="1" ht="3" customHeight="1" spans="1:3">
      <c r="A84" s="21"/>
      <c r="B84" s="22"/>
      <c r="C84" s="78"/>
    </row>
    <row r="85" s="2" customFormat="1" ht="3" customHeight="1" spans="1:3">
      <c r="A85" s="21"/>
      <c r="B85" s="22"/>
      <c r="C85" s="78"/>
    </row>
    <row r="86" s="2" customFormat="1" ht="3" customHeight="1" spans="1:3">
      <c r="A86" s="21"/>
      <c r="B86" s="22"/>
      <c r="C86" s="78"/>
    </row>
    <row r="87" s="2" customFormat="1" ht="3" customHeight="1" spans="1:3">
      <c r="A87" s="21"/>
      <c r="B87" s="22"/>
      <c r="C87" s="78"/>
    </row>
    <row r="88" s="2" customFormat="1" ht="3" customHeight="1" spans="1:3">
      <c r="A88" s="21"/>
      <c r="B88" s="22"/>
      <c r="C88" s="78"/>
    </row>
    <row r="89" s="2" customFormat="1" ht="3" customHeight="1" spans="1:3">
      <c r="A89" s="21"/>
      <c r="B89" s="22"/>
      <c r="C89" s="78"/>
    </row>
    <row r="90" s="2" customFormat="1" ht="3" customHeight="1" spans="1:3">
      <c r="A90" s="21"/>
      <c r="B90" s="22"/>
      <c r="C90" s="78"/>
    </row>
    <row r="91" s="2" customFormat="1" ht="3" customHeight="1" spans="1:3">
      <c r="A91" s="21"/>
      <c r="B91" s="22"/>
      <c r="C91" s="78"/>
    </row>
    <row r="92" s="2" customFormat="1" ht="3" customHeight="1" spans="1:3">
      <c r="A92" s="21"/>
      <c r="B92" s="22"/>
      <c r="C92" s="78"/>
    </row>
    <row r="93" s="2" customFormat="1" ht="3" customHeight="1" spans="1:3">
      <c r="A93" s="21"/>
      <c r="B93" s="22"/>
      <c r="C93" s="81"/>
    </row>
    <row r="94" s="2" customFormat="1" ht="3" customHeight="1" spans="1:3">
      <c r="A94" s="21" t="s">
        <v>14</v>
      </c>
      <c r="B94" s="22" t="s">
        <v>15</v>
      </c>
      <c r="C94" s="75">
        <f>SUM('JOB120366'!AF19)</f>
        <v>6096.05639369707</v>
      </c>
    </row>
    <row r="95" s="2" customFormat="1" ht="3" customHeight="1" spans="1:3">
      <c r="A95" s="21"/>
      <c r="B95" s="22"/>
      <c r="C95" s="78"/>
    </row>
    <row r="96" s="2" customFormat="1" ht="3" customHeight="1" spans="1:3">
      <c r="A96" s="21"/>
      <c r="B96" s="22"/>
      <c r="C96" s="78"/>
    </row>
    <row r="97" s="2" customFormat="1" ht="3" customHeight="1" spans="1:3">
      <c r="A97" s="21"/>
      <c r="B97" s="22"/>
      <c r="C97" s="78"/>
    </row>
    <row r="98" s="2" customFormat="1" ht="3" customHeight="1" spans="1:3">
      <c r="A98" s="21"/>
      <c r="B98" s="22"/>
      <c r="C98" s="78"/>
    </row>
    <row r="99" s="2" customFormat="1" ht="3" customHeight="1" spans="1:3">
      <c r="A99" s="21"/>
      <c r="B99" s="22"/>
      <c r="C99" s="78"/>
    </row>
    <row r="100" s="2" customFormat="1" ht="3" customHeight="1" spans="1:3">
      <c r="A100" s="21"/>
      <c r="B100" s="22"/>
      <c r="C100" s="78"/>
    </row>
    <row r="101" s="2" customFormat="1" ht="3" customHeight="1" spans="1:3">
      <c r="A101" s="21"/>
      <c r="B101" s="22"/>
      <c r="C101" s="78"/>
    </row>
    <row r="102" s="2" customFormat="1" ht="3" customHeight="1" spans="1:3">
      <c r="A102" s="21"/>
      <c r="B102" s="22"/>
      <c r="C102" s="78"/>
    </row>
    <row r="103" s="2" customFormat="1" ht="3" customHeight="1" spans="1:3">
      <c r="A103" s="21"/>
      <c r="B103" s="22"/>
      <c r="C103" s="78"/>
    </row>
    <row r="104" s="2" customFormat="1" ht="3" customHeight="1" spans="1:3">
      <c r="A104" s="21"/>
      <c r="B104" s="22"/>
      <c r="C104" s="78"/>
    </row>
    <row r="105" s="2" customFormat="1" ht="3" customHeight="1" spans="1:3">
      <c r="A105" s="21"/>
      <c r="B105" s="22"/>
      <c r="C105" s="78"/>
    </row>
    <row r="106" s="2" customFormat="1" ht="3" customHeight="1" spans="1:3">
      <c r="A106" s="21"/>
      <c r="B106" s="22"/>
      <c r="C106" s="78"/>
    </row>
    <row r="107" s="2" customFormat="1" ht="3" customHeight="1" spans="1:3">
      <c r="A107" s="21"/>
      <c r="B107" s="22"/>
      <c r="C107" s="81"/>
    </row>
    <row r="108" s="2" customFormat="1" ht="3" customHeight="1" spans="1:3">
      <c r="A108" s="21" t="s">
        <v>16</v>
      </c>
      <c r="B108" s="22" t="s">
        <v>17</v>
      </c>
      <c r="C108" s="75">
        <f>SUM('JOB120367'!AF20)</f>
        <v>-13853.5599217058</v>
      </c>
    </row>
    <row r="109" s="2" customFormat="1" ht="3" customHeight="1" spans="1:3">
      <c r="A109" s="21"/>
      <c r="B109" s="22"/>
      <c r="C109" s="78"/>
    </row>
    <row r="110" s="2" customFormat="1" ht="3" customHeight="1" spans="1:3">
      <c r="A110" s="21"/>
      <c r="B110" s="22"/>
      <c r="C110" s="78"/>
    </row>
    <row r="111" s="2" customFormat="1" ht="3" customHeight="1" spans="1:3">
      <c r="A111" s="21"/>
      <c r="B111" s="22"/>
      <c r="C111" s="78"/>
    </row>
    <row r="112" s="2" customFormat="1" ht="3" customHeight="1" spans="1:3">
      <c r="A112" s="21"/>
      <c r="B112" s="22"/>
      <c r="C112" s="78"/>
    </row>
    <row r="113" s="2" customFormat="1" ht="3" customHeight="1" spans="1:3">
      <c r="A113" s="21"/>
      <c r="B113" s="22"/>
      <c r="C113" s="78"/>
    </row>
    <row r="114" s="2" customFormat="1" ht="3" customHeight="1" spans="1:3">
      <c r="A114" s="21"/>
      <c r="B114" s="22"/>
      <c r="C114" s="78"/>
    </row>
    <row r="115" s="2" customFormat="1" ht="3" customHeight="1" spans="1:3">
      <c r="A115" s="21"/>
      <c r="B115" s="22"/>
      <c r="C115" s="78"/>
    </row>
    <row r="116" s="2" customFormat="1" ht="3" customHeight="1" spans="1:3">
      <c r="A116" s="21"/>
      <c r="B116" s="22"/>
      <c r="C116" s="78"/>
    </row>
    <row r="117" s="2" customFormat="1" ht="3" customHeight="1" spans="1:3">
      <c r="A117" s="21"/>
      <c r="B117" s="22"/>
      <c r="C117" s="78"/>
    </row>
    <row r="118" s="2" customFormat="1" ht="3" customHeight="1" spans="1:3">
      <c r="A118" s="21"/>
      <c r="B118" s="22"/>
      <c r="C118" s="78"/>
    </row>
    <row r="119" s="2" customFormat="1" ht="3" customHeight="1" spans="1:3">
      <c r="A119" s="21"/>
      <c r="B119" s="22"/>
      <c r="C119" s="78"/>
    </row>
    <row r="120" s="2" customFormat="1" ht="3" customHeight="1" spans="1:3">
      <c r="A120" s="21"/>
      <c r="B120" s="22"/>
      <c r="C120" s="78"/>
    </row>
    <row r="121" s="2" customFormat="1" ht="3" customHeight="1" spans="1:3">
      <c r="A121" s="21"/>
      <c r="B121" s="22"/>
      <c r="C121" s="78"/>
    </row>
    <row r="122" s="2" customFormat="1" ht="3" customHeight="1" spans="1:3">
      <c r="A122" s="21"/>
      <c r="B122" s="22"/>
      <c r="C122" s="81"/>
    </row>
    <row r="123" s="2" customFormat="1" ht="3" customHeight="1" spans="1:3">
      <c r="A123" s="21" t="s">
        <v>18</v>
      </c>
      <c r="B123" s="22" t="s">
        <v>19</v>
      </c>
      <c r="C123" s="75">
        <f>SUM('JOB120368'!AF26)</f>
        <v>4132.97189456763</v>
      </c>
    </row>
    <row r="124" s="2" customFormat="1" ht="3" customHeight="1" spans="1:3">
      <c r="A124" s="21"/>
      <c r="B124" s="22"/>
      <c r="C124" s="78"/>
    </row>
    <row r="125" s="2" customFormat="1" ht="3" customHeight="1" spans="1:3">
      <c r="A125" s="21"/>
      <c r="B125" s="22"/>
      <c r="C125" s="78"/>
    </row>
    <row r="126" s="2" customFormat="1" ht="3" customHeight="1" spans="1:3">
      <c r="A126" s="21"/>
      <c r="B126" s="22"/>
      <c r="C126" s="78"/>
    </row>
    <row r="127" s="2" customFormat="1" ht="3" customHeight="1" spans="1:3">
      <c r="A127" s="21"/>
      <c r="B127" s="22"/>
      <c r="C127" s="78"/>
    </row>
    <row r="128" s="2" customFormat="1" ht="3" customHeight="1" spans="1:3">
      <c r="A128" s="21"/>
      <c r="B128" s="22"/>
      <c r="C128" s="78"/>
    </row>
    <row r="129" s="2" customFormat="1" ht="3" customHeight="1" spans="1:3">
      <c r="A129" s="21"/>
      <c r="B129" s="22"/>
      <c r="C129" s="78"/>
    </row>
    <row r="130" s="2" customFormat="1" ht="3" customHeight="1" spans="1:3">
      <c r="A130" s="21"/>
      <c r="B130" s="22"/>
      <c r="C130" s="78"/>
    </row>
    <row r="131" s="2" customFormat="1" ht="3" customHeight="1" spans="1:3">
      <c r="A131" s="21"/>
      <c r="B131" s="22"/>
      <c r="C131" s="78"/>
    </row>
    <row r="132" s="2" customFormat="1" ht="3" customHeight="1" spans="1:3">
      <c r="A132" s="21"/>
      <c r="B132" s="22"/>
      <c r="C132" s="78"/>
    </row>
    <row r="133" s="2" customFormat="1" ht="3" customHeight="1" spans="1:3">
      <c r="A133" s="21"/>
      <c r="B133" s="22"/>
      <c r="C133" s="78"/>
    </row>
    <row r="134" s="2" customFormat="1" ht="3" customHeight="1" spans="1:3">
      <c r="A134" s="21"/>
      <c r="B134" s="22"/>
      <c r="C134" s="78"/>
    </row>
    <row r="135" s="2" customFormat="1" ht="3" customHeight="1" spans="1:3">
      <c r="A135" s="21"/>
      <c r="B135" s="22"/>
      <c r="C135" s="78"/>
    </row>
    <row r="136" s="2" customFormat="1" ht="3" customHeight="1" spans="1:3">
      <c r="A136" s="21"/>
      <c r="B136" s="22"/>
      <c r="C136" s="78"/>
    </row>
    <row r="137" s="2" customFormat="1" ht="3" customHeight="1" spans="1:3">
      <c r="A137" s="21"/>
      <c r="B137" s="22"/>
      <c r="C137" s="78"/>
    </row>
    <row r="138" s="2" customFormat="1" ht="3" customHeight="1" spans="1:3">
      <c r="A138" s="21"/>
      <c r="B138" s="22"/>
      <c r="C138" s="78"/>
    </row>
    <row r="139" s="2" customFormat="1" ht="3" customHeight="1" spans="1:3">
      <c r="A139" s="21"/>
      <c r="B139" s="22"/>
      <c r="C139" s="78"/>
    </row>
    <row r="140" s="2" customFormat="1" ht="3" customHeight="1" spans="1:3">
      <c r="A140" s="21"/>
      <c r="B140" s="22"/>
      <c r="C140" s="78"/>
    </row>
    <row r="141" s="2" customFormat="1" ht="3" customHeight="1" spans="1:3">
      <c r="A141" s="21"/>
      <c r="B141" s="22"/>
      <c r="C141" s="78"/>
    </row>
    <row r="142" s="2" customFormat="1" ht="3" customHeight="1" spans="1:3">
      <c r="A142" s="21"/>
      <c r="B142" s="22"/>
      <c r="C142" s="78"/>
    </row>
    <row r="143" s="2" customFormat="1" ht="3" customHeight="1" spans="1:3">
      <c r="A143" s="21"/>
      <c r="B143" s="22"/>
      <c r="C143" s="81"/>
    </row>
    <row r="144" ht="15.75" spans="1:3">
      <c r="A144" s="27" t="s">
        <v>20</v>
      </c>
      <c r="B144" s="28"/>
      <c r="C144" s="96">
        <f>SUM(C3:C143)</f>
        <v>59982.5516207741</v>
      </c>
    </row>
  </sheetData>
  <autoFilter xmlns:etc="http://www.wps.cn/officeDocument/2017/etCustomData" ref="A2:C144" etc:filterBottomFollowUsedRange="0">
    <extLst/>
  </autoFilter>
  <mergeCells count="28">
    <mergeCell ref="A1:C1"/>
    <mergeCell ref="A2:A3"/>
    <mergeCell ref="A4:A20"/>
    <mergeCell ref="A21:A34"/>
    <mergeCell ref="A35:A56"/>
    <mergeCell ref="A57:A76"/>
    <mergeCell ref="A77:A93"/>
    <mergeCell ref="A94:A107"/>
    <mergeCell ref="A108:A122"/>
    <mergeCell ref="A123:A143"/>
    <mergeCell ref="B2:B3"/>
    <mergeCell ref="B4:B20"/>
    <mergeCell ref="B21:B34"/>
    <mergeCell ref="B35:B56"/>
    <mergeCell ref="B57:B76"/>
    <mergeCell ref="B77:B93"/>
    <mergeCell ref="B94:B107"/>
    <mergeCell ref="B108:B122"/>
    <mergeCell ref="B123:B143"/>
    <mergeCell ref="C2:C3"/>
    <mergeCell ref="C4:C20"/>
    <mergeCell ref="C21:C34"/>
    <mergeCell ref="C35:C56"/>
    <mergeCell ref="C57:C76"/>
    <mergeCell ref="C77:C93"/>
    <mergeCell ref="C94:C107"/>
    <mergeCell ref="C108:C122"/>
    <mergeCell ref="C123:C143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60"/>
  <sheetViews>
    <sheetView tabSelected="1" zoomScale="110" zoomScaleNormal="110" topLeftCell="F1" workbookViewId="0">
      <pane xSplit="12" ySplit="3" topLeftCell="AE135" activePane="bottomRight" state="frozen"/>
      <selection/>
      <selection pane="topRight"/>
      <selection pane="bottomLeft"/>
      <selection pane="bottomRight" activeCell="AE144" sqref="AE144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7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7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9"/>
      <c r="L1" s="30"/>
      <c r="M1" s="29"/>
      <c r="N1" s="9"/>
      <c r="O1" s="31"/>
      <c r="P1" s="9"/>
      <c r="Q1" s="9"/>
      <c r="R1" s="9"/>
      <c r="S1" s="9"/>
      <c r="T1" s="57"/>
      <c r="U1" s="57"/>
      <c r="V1" s="58"/>
      <c r="W1" s="57"/>
      <c r="X1" s="59"/>
      <c r="Y1" s="30"/>
      <c r="Z1" s="30"/>
      <c r="AA1" s="30"/>
      <c r="AB1" s="30"/>
      <c r="AC1" s="29"/>
      <c r="AD1" s="30"/>
      <c r="AE1" s="9"/>
      <c r="AF1" s="83"/>
    </row>
    <row r="2" s="1" customFormat="1" ht="23" customHeight="1" spans="1:32">
      <c r="A2" s="11" t="s">
        <v>1</v>
      </c>
      <c r="B2" s="12" t="s">
        <v>2</v>
      </c>
      <c r="C2" s="13" t="s">
        <v>21</v>
      </c>
      <c r="D2" s="14" t="s">
        <v>22</v>
      </c>
      <c r="E2" s="15" t="s">
        <v>23</v>
      </c>
      <c r="F2" s="16" t="s">
        <v>24</v>
      </c>
      <c r="G2" s="16" t="s">
        <v>25</v>
      </c>
      <c r="H2" s="16" t="s">
        <v>26</v>
      </c>
      <c r="I2" s="16" t="s">
        <v>27</v>
      </c>
      <c r="J2" s="32" t="s">
        <v>28</v>
      </c>
      <c r="K2" s="33"/>
      <c r="L2" s="34"/>
      <c r="M2" s="33"/>
      <c r="N2" s="34"/>
      <c r="O2" s="35"/>
      <c r="P2" s="36"/>
      <c r="Q2" s="60" t="s">
        <v>29</v>
      </c>
      <c r="R2" s="61" t="s">
        <v>30</v>
      </c>
      <c r="S2" s="62"/>
      <c r="T2" s="63"/>
      <c r="U2" s="64"/>
      <c r="V2" s="65"/>
      <c r="W2" s="66" t="s">
        <v>31</v>
      </c>
      <c r="X2" s="67" t="s">
        <v>32</v>
      </c>
      <c r="Y2" s="84" t="s">
        <v>33</v>
      </c>
      <c r="Z2" s="84"/>
      <c r="AA2" s="84"/>
      <c r="AB2" s="84"/>
      <c r="AC2" s="85"/>
      <c r="AD2" s="84"/>
      <c r="AE2" s="86" t="s">
        <v>34</v>
      </c>
      <c r="AF2" s="87" t="s">
        <v>3</v>
      </c>
    </row>
    <row r="3" s="1" customFormat="1" ht="27" customHeight="1" spans="1:32">
      <c r="A3" s="17"/>
      <c r="B3" s="18"/>
      <c r="C3" s="13"/>
      <c r="D3" s="14"/>
      <c r="E3" s="19"/>
      <c r="F3" s="20"/>
      <c r="G3" s="20"/>
      <c r="H3" s="20"/>
      <c r="I3" s="37"/>
      <c r="J3" s="38" t="s">
        <v>35</v>
      </c>
      <c r="K3" s="39" t="s">
        <v>36</v>
      </c>
      <c r="L3" s="40" t="s">
        <v>37</v>
      </c>
      <c r="M3" s="39" t="s">
        <v>38</v>
      </c>
      <c r="N3" s="41" t="s">
        <v>39</v>
      </c>
      <c r="O3" s="42" t="s">
        <v>40</v>
      </c>
      <c r="P3" s="43" t="s">
        <v>41</v>
      </c>
      <c r="Q3" s="68"/>
      <c r="R3" s="69" t="s">
        <v>42</v>
      </c>
      <c r="S3" s="70" t="s">
        <v>43</v>
      </c>
      <c r="T3" s="71" t="s">
        <v>44</v>
      </c>
      <c r="U3" s="72" t="s">
        <v>45</v>
      </c>
      <c r="V3" s="71" t="s">
        <v>46</v>
      </c>
      <c r="W3" s="73"/>
      <c r="X3" s="74"/>
      <c r="Y3" s="88" t="s">
        <v>47</v>
      </c>
      <c r="Z3" s="88" t="s">
        <v>48</v>
      </c>
      <c r="AA3" s="88" t="s">
        <v>49</v>
      </c>
      <c r="AB3" s="89" t="s">
        <v>50</v>
      </c>
      <c r="AC3" s="90" t="s">
        <v>51</v>
      </c>
      <c r="AD3" s="91" t="s">
        <v>41</v>
      </c>
      <c r="AE3" s="92" t="s">
        <v>52</v>
      </c>
      <c r="AF3" s="93"/>
    </row>
    <row r="4" s="2" customFormat="1" spans="1:32">
      <c r="A4" s="21" t="s">
        <v>4</v>
      </c>
      <c r="B4" s="22" t="s">
        <v>5</v>
      </c>
      <c r="C4" s="23">
        <v>240910000015</v>
      </c>
      <c r="D4" s="24">
        <v>45601</v>
      </c>
      <c r="E4" s="24" t="s">
        <v>53</v>
      </c>
      <c r="F4" s="22" t="s">
        <v>54</v>
      </c>
      <c r="G4" s="22" t="s">
        <v>55</v>
      </c>
      <c r="H4" s="25">
        <v>5.1959</v>
      </c>
      <c r="I4" s="25">
        <v>743</v>
      </c>
      <c r="J4" s="50"/>
      <c r="K4" s="51">
        <v>2382640</v>
      </c>
      <c r="L4" s="46"/>
      <c r="M4" s="47">
        <f t="shared" ref="M4:M9" si="0">SUM(K4/N4)</f>
        <v>1580</v>
      </c>
      <c r="N4" s="52">
        <v>1508</v>
      </c>
      <c r="O4" s="49">
        <v>7.29</v>
      </c>
      <c r="P4" s="50">
        <f t="shared" ref="P4:P9" si="1">SUM(N4*O4)</f>
        <v>10993.32</v>
      </c>
      <c r="Q4" s="75">
        <f>SUM(P4:P20)</f>
        <v>165324.2782</v>
      </c>
      <c r="R4" s="76" t="s">
        <v>56</v>
      </c>
      <c r="S4" s="77">
        <f>SUM(49214.5/68)*H4</f>
        <v>3760.49441985294</v>
      </c>
      <c r="T4" s="77">
        <f>SUM(113.64/68)*H4</f>
        <v>8.68326582352941</v>
      </c>
      <c r="U4" s="77">
        <f>SUM(2400/68)*H4</f>
        <v>183.384705882353</v>
      </c>
      <c r="V4" s="77"/>
      <c r="W4" s="77"/>
      <c r="X4" s="77">
        <f>SUM(S4:W4)</f>
        <v>3952.56239155882</v>
      </c>
      <c r="Y4" s="94">
        <f>SUM(10949.72/68)*H4</f>
        <v>836.671325705882</v>
      </c>
      <c r="Z4" s="94"/>
      <c r="AA4" s="94"/>
      <c r="AB4" s="94">
        <f>SUM(Y4:AA4)</f>
        <v>836.671325705882</v>
      </c>
      <c r="AC4" s="45">
        <v>7.33</v>
      </c>
      <c r="AD4" s="77">
        <f>SUM(AB4*AC4)</f>
        <v>6132.80081742412</v>
      </c>
      <c r="AE4" s="77">
        <f>SUM(X4+AD4)</f>
        <v>10085.3632089829</v>
      </c>
      <c r="AF4" s="77">
        <f>SUM(P4-AE4)</f>
        <v>907.956791017059</v>
      </c>
    </row>
    <row r="5" s="2" customFormat="1" spans="1:32">
      <c r="A5" s="21"/>
      <c r="B5" s="22"/>
      <c r="C5" s="23">
        <v>241023000029</v>
      </c>
      <c r="D5" s="24">
        <v>45601</v>
      </c>
      <c r="E5" s="24" t="s">
        <v>57</v>
      </c>
      <c r="F5" s="22" t="s">
        <v>58</v>
      </c>
      <c r="G5" s="22" t="s">
        <v>59</v>
      </c>
      <c r="H5" s="25">
        <v>0.0288</v>
      </c>
      <c r="I5" s="25">
        <v>5</v>
      </c>
      <c r="J5" s="44">
        <v>224.75</v>
      </c>
      <c r="K5" s="45"/>
      <c r="L5" s="46"/>
      <c r="M5" s="47"/>
      <c r="N5" s="48"/>
      <c r="O5" s="49"/>
      <c r="P5" s="50">
        <f>SUBTOTAL(9,J5)</f>
        <v>224.75</v>
      </c>
      <c r="Q5" s="78"/>
      <c r="R5" s="78"/>
      <c r="S5" s="77">
        <f t="shared" ref="S5:S20" si="2">SUM(49214.5/68)*H5</f>
        <v>20.8437882352941</v>
      </c>
      <c r="T5" s="77">
        <f t="shared" ref="T5:T20" si="3">SUM(113.64/68)*H5</f>
        <v>0.0481298823529412</v>
      </c>
      <c r="U5" s="77">
        <f t="shared" ref="U5:U20" si="4">SUM(2400/68)*H5</f>
        <v>1.01647058823529</v>
      </c>
      <c r="V5" s="77"/>
      <c r="W5" s="77"/>
      <c r="X5" s="77">
        <f t="shared" ref="X5:X20" si="5">SUM(S5:W5)</f>
        <v>21.9083887058824</v>
      </c>
      <c r="Y5" s="94">
        <f t="shared" ref="Y5:Y20" si="6">SUM(10949.72/68)*H5</f>
        <v>4.63752847058823</v>
      </c>
      <c r="Z5" s="94"/>
      <c r="AA5" s="94"/>
      <c r="AB5" s="94">
        <f t="shared" ref="AB5:AB20" si="7">SUM(Y5:AA5)</f>
        <v>4.63752847058823</v>
      </c>
      <c r="AC5" s="45">
        <v>7.33</v>
      </c>
      <c r="AD5" s="77">
        <f t="shared" ref="AD5:AD20" si="8">SUM(AB5*AC5)</f>
        <v>33.9930836894118</v>
      </c>
      <c r="AE5" s="77">
        <f t="shared" ref="AE5:AE20" si="9">SUM(X5+AD5)</f>
        <v>55.9014723952941</v>
      </c>
      <c r="AF5" s="77">
        <f t="shared" ref="AF5:AF20" si="10">SUM(P5-AE5)</f>
        <v>168.848527604706</v>
      </c>
    </row>
    <row r="6" s="2" customFormat="1" spans="1:32">
      <c r="A6" s="21"/>
      <c r="B6" s="22"/>
      <c r="C6" s="23">
        <v>241025000058</v>
      </c>
      <c r="D6" s="24">
        <v>45601</v>
      </c>
      <c r="E6" s="24" t="s">
        <v>60</v>
      </c>
      <c r="F6" s="22" t="s">
        <v>61</v>
      </c>
      <c r="G6" s="22" t="s">
        <v>62</v>
      </c>
      <c r="H6" s="25">
        <v>13.7</v>
      </c>
      <c r="I6" s="25">
        <v>2550</v>
      </c>
      <c r="J6" s="105"/>
      <c r="K6" s="51">
        <v>7067746.5</v>
      </c>
      <c r="L6" s="46"/>
      <c r="M6" s="47">
        <f t="shared" si="0"/>
        <v>1648.80394439403</v>
      </c>
      <c r="N6" s="99">
        <v>4286.59</v>
      </c>
      <c r="O6" s="49">
        <v>7.29</v>
      </c>
      <c r="P6" s="50">
        <f t="shared" si="1"/>
        <v>31249.2411</v>
      </c>
      <c r="Q6" s="78"/>
      <c r="R6" s="78"/>
      <c r="S6" s="77">
        <f t="shared" si="2"/>
        <v>9915.27426470588</v>
      </c>
      <c r="T6" s="77">
        <f t="shared" si="3"/>
        <v>22.8951176470588</v>
      </c>
      <c r="U6" s="77">
        <f t="shared" si="4"/>
        <v>483.529411764706</v>
      </c>
      <c r="V6" s="77"/>
      <c r="W6" s="77"/>
      <c r="X6" s="77">
        <f t="shared" si="5"/>
        <v>10421.6987941176</v>
      </c>
      <c r="Y6" s="94">
        <f t="shared" si="6"/>
        <v>2206.04652941176</v>
      </c>
      <c r="Z6" s="94">
        <v>90.97</v>
      </c>
      <c r="AA6" s="94"/>
      <c r="AB6" s="94">
        <f t="shared" si="7"/>
        <v>2297.01652941176</v>
      </c>
      <c r="AC6" s="45">
        <v>7.33</v>
      </c>
      <c r="AD6" s="77">
        <f t="shared" si="8"/>
        <v>16837.1311605882</v>
      </c>
      <c r="AE6" s="77">
        <f t="shared" si="9"/>
        <v>27258.8299547059</v>
      </c>
      <c r="AF6" s="77">
        <f t="shared" si="10"/>
        <v>3990.41114529412</v>
      </c>
    </row>
    <row r="7" s="2" customFormat="1" spans="1:32">
      <c r="A7" s="21"/>
      <c r="B7" s="22"/>
      <c r="C7" s="23">
        <v>241026000006</v>
      </c>
      <c r="D7" s="24">
        <v>45601</v>
      </c>
      <c r="E7" s="24" t="s">
        <v>53</v>
      </c>
      <c r="F7" s="22" t="s">
        <v>54</v>
      </c>
      <c r="G7" s="22" t="s">
        <v>63</v>
      </c>
      <c r="H7" s="25">
        <v>0.6549</v>
      </c>
      <c r="I7" s="25">
        <v>72</v>
      </c>
      <c r="J7" s="50"/>
      <c r="K7" s="51">
        <v>363730</v>
      </c>
      <c r="L7" s="46"/>
      <c r="M7" s="47">
        <f t="shared" si="0"/>
        <v>1683.00018508236</v>
      </c>
      <c r="N7" s="52">
        <v>216.12</v>
      </c>
      <c r="O7" s="49">
        <v>7.3</v>
      </c>
      <c r="P7" s="50">
        <f t="shared" si="1"/>
        <v>1577.676</v>
      </c>
      <c r="Q7" s="78"/>
      <c r="R7" s="78"/>
      <c r="S7" s="77">
        <f t="shared" si="2"/>
        <v>473.979059558824</v>
      </c>
      <c r="T7" s="77">
        <f t="shared" si="3"/>
        <v>1.09445347058824</v>
      </c>
      <c r="U7" s="77">
        <f t="shared" si="4"/>
        <v>23.1141176470588</v>
      </c>
      <c r="V7" s="77"/>
      <c r="W7" s="77"/>
      <c r="X7" s="77">
        <f t="shared" si="5"/>
        <v>498.187630676471</v>
      </c>
      <c r="Y7" s="94">
        <f t="shared" si="6"/>
        <v>105.455465117647</v>
      </c>
      <c r="Z7" s="94"/>
      <c r="AA7" s="94"/>
      <c r="AB7" s="94">
        <f t="shared" si="7"/>
        <v>105.455465117647</v>
      </c>
      <c r="AC7" s="45">
        <v>7.33</v>
      </c>
      <c r="AD7" s="77">
        <f t="shared" si="8"/>
        <v>772.988559312353</v>
      </c>
      <c r="AE7" s="77">
        <f t="shared" si="9"/>
        <v>1271.17618998882</v>
      </c>
      <c r="AF7" s="77">
        <f t="shared" si="10"/>
        <v>306.499810011176</v>
      </c>
    </row>
    <row r="8" s="2" customFormat="1" spans="1:32">
      <c r="A8" s="21"/>
      <c r="B8" s="22"/>
      <c r="C8" s="23">
        <v>241027000011</v>
      </c>
      <c r="D8" s="24">
        <v>45601</v>
      </c>
      <c r="E8" s="24" t="s">
        <v>64</v>
      </c>
      <c r="F8" s="22" t="s">
        <v>65</v>
      </c>
      <c r="G8" s="22" t="s">
        <v>66</v>
      </c>
      <c r="H8" s="25">
        <v>0.5618</v>
      </c>
      <c r="I8" s="25">
        <v>55</v>
      </c>
      <c r="J8" s="50"/>
      <c r="K8" s="51">
        <v>434000</v>
      </c>
      <c r="L8" s="46"/>
      <c r="M8" s="47">
        <f t="shared" si="0"/>
        <v>1671.80277349769</v>
      </c>
      <c r="N8" s="52">
        <v>259.6</v>
      </c>
      <c r="O8" s="49">
        <v>7.3</v>
      </c>
      <c r="P8" s="50">
        <f t="shared" si="1"/>
        <v>1895.08</v>
      </c>
      <c r="Q8" s="78"/>
      <c r="R8" s="78"/>
      <c r="S8" s="77">
        <f t="shared" si="2"/>
        <v>406.598619117647</v>
      </c>
      <c r="T8" s="77">
        <f t="shared" si="3"/>
        <v>0.938866941176471</v>
      </c>
      <c r="U8" s="77">
        <f t="shared" si="4"/>
        <v>19.8282352941176</v>
      </c>
      <c r="V8" s="79">
        <v>310</v>
      </c>
      <c r="W8" s="77">
        <v>59</v>
      </c>
      <c r="X8" s="77">
        <f t="shared" si="5"/>
        <v>796.365721352941</v>
      </c>
      <c r="Y8" s="94">
        <f t="shared" si="6"/>
        <v>90.4640102352941</v>
      </c>
      <c r="Z8" s="94"/>
      <c r="AA8" s="94"/>
      <c r="AB8" s="94">
        <f t="shared" si="7"/>
        <v>90.4640102352941</v>
      </c>
      <c r="AC8" s="45">
        <v>7.33</v>
      </c>
      <c r="AD8" s="77">
        <f t="shared" si="8"/>
        <v>663.101195024706</v>
      </c>
      <c r="AE8" s="77">
        <f t="shared" si="9"/>
        <v>1459.46691637765</v>
      </c>
      <c r="AF8" s="77">
        <f t="shared" si="10"/>
        <v>435.613083622353</v>
      </c>
    </row>
    <row r="9" s="2" customFormat="1" spans="1:32">
      <c r="A9" s="21"/>
      <c r="B9" s="22"/>
      <c r="C9" s="23">
        <v>241031000033</v>
      </c>
      <c r="D9" s="24">
        <v>45601</v>
      </c>
      <c r="E9" s="24" t="s">
        <v>57</v>
      </c>
      <c r="F9" s="22" t="s">
        <v>58</v>
      </c>
      <c r="G9" s="22" t="s">
        <v>67</v>
      </c>
      <c r="H9" s="25">
        <v>1.9968</v>
      </c>
      <c r="I9" s="25">
        <v>845</v>
      </c>
      <c r="J9" s="50"/>
      <c r="K9" s="51">
        <v>960734</v>
      </c>
      <c r="L9" s="46"/>
      <c r="M9" s="47">
        <f t="shared" si="0"/>
        <v>1653.01789401239</v>
      </c>
      <c r="N9" s="52">
        <v>581.2</v>
      </c>
      <c r="O9" s="49">
        <v>7.29</v>
      </c>
      <c r="P9" s="50">
        <f t="shared" si="1"/>
        <v>4236.948</v>
      </c>
      <c r="Q9" s="78"/>
      <c r="R9" s="78"/>
      <c r="S9" s="77">
        <f t="shared" si="2"/>
        <v>1445.16931764706</v>
      </c>
      <c r="T9" s="77">
        <f t="shared" si="3"/>
        <v>3.33700517647059</v>
      </c>
      <c r="U9" s="77">
        <f t="shared" si="4"/>
        <v>70.4752941176471</v>
      </c>
      <c r="V9" s="77"/>
      <c r="W9" s="77"/>
      <c r="X9" s="77">
        <f t="shared" si="5"/>
        <v>1518.98161694118</v>
      </c>
      <c r="Y9" s="94">
        <f t="shared" si="6"/>
        <v>321.535307294118</v>
      </c>
      <c r="Z9" s="94"/>
      <c r="AA9" s="94"/>
      <c r="AB9" s="94">
        <f t="shared" si="7"/>
        <v>321.535307294118</v>
      </c>
      <c r="AC9" s="45">
        <v>7.33</v>
      </c>
      <c r="AD9" s="77">
        <f t="shared" si="8"/>
        <v>2356.85380246588</v>
      </c>
      <c r="AE9" s="77">
        <f t="shared" si="9"/>
        <v>3875.83541940706</v>
      </c>
      <c r="AF9" s="77">
        <f t="shared" si="10"/>
        <v>361.112580592942</v>
      </c>
    </row>
    <row r="10" s="2" customFormat="1" spans="1:32">
      <c r="A10" s="21"/>
      <c r="B10" s="22"/>
      <c r="C10" s="23">
        <v>241028000022</v>
      </c>
      <c r="D10" s="24">
        <v>45601</v>
      </c>
      <c r="E10" s="24" t="s">
        <v>57</v>
      </c>
      <c r="F10" s="22" t="s">
        <v>58</v>
      </c>
      <c r="G10" s="22" t="s">
        <v>68</v>
      </c>
      <c r="H10" s="25">
        <v>1.211</v>
      </c>
      <c r="I10" s="25">
        <v>331</v>
      </c>
      <c r="J10" s="44">
        <v>2690</v>
      </c>
      <c r="K10" s="45"/>
      <c r="L10" s="46"/>
      <c r="M10" s="47"/>
      <c r="N10" s="48"/>
      <c r="O10" s="49"/>
      <c r="P10" s="50">
        <f t="shared" ref="P10:P16" si="11">SUBTOTAL(9,J10)</f>
        <v>2690</v>
      </c>
      <c r="Q10" s="78"/>
      <c r="R10" s="78"/>
      <c r="S10" s="77">
        <f t="shared" si="2"/>
        <v>876.452345588235</v>
      </c>
      <c r="T10" s="77">
        <f t="shared" si="3"/>
        <v>2.02379470588235</v>
      </c>
      <c r="U10" s="77">
        <f t="shared" si="4"/>
        <v>42.7411764705882</v>
      </c>
      <c r="V10" s="77"/>
      <c r="W10" s="77"/>
      <c r="X10" s="77">
        <f t="shared" si="5"/>
        <v>921.217316764706</v>
      </c>
      <c r="Y10" s="94">
        <f t="shared" si="6"/>
        <v>195.001631176471</v>
      </c>
      <c r="Z10" s="94"/>
      <c r="AA10" s="94"/>
      <c r="AB10" s="94">
        <f t="shared" si="7"/>
        <v>195.001631176471</v>
      </c>
      <c r="AC10" s="45">
        <v>7.33</v>
      </c>
      <c r="AD10" s="77">
        <f t="shared" si="8"/>
        <v>1429.36195652353</v>
      </c>
      <c r="AE10" s="77">
        <f t="shared" si="9"/>
        <v>2350.57927328824</v>
      </c>
      <c r="AF10" s="77">
        <f t="shared" si="10"/>
        <v>339.42072671176</v>
      </c>
    </row>
    <row r="11" s="2" customFormat="1" spans="1:32">
      <c r="A11" s="21"/>
      <c r="B11" s="22"/>
      <c r="C11" s="23">
        <v>241028000025</v>
      </c>
      <c r="D11" s="24">
        <v>45601</v>
      </c>
      <c r="E11" s="24" t="s">
        <v>53</v>
      </c>
      <c r="F11" s="22" t="s">
        <v>54</v>
      </c>
      <c r="G11" s="22" t="s">
        <v>69</v>
      </c>
      <c r="H11" s="25">
        <v>0.7015</v>
      </c>
      <c r="I11" s="25">
        <v>168</v>
      </c>
      <c r="J11" s="50"/>
      <c r="K11" s="51">
        <v>432424.8</v>
      </c>
      <c r="L11" s="46"/>
      <c r="M11" s="47">
        <f>SUM(K11/N11)</f>
        <v>1710</v>
      </c>
      <c r="N11" s="52">
        <v>252.88</v>
      </c>
      <c r="O11" s="49">
        <v>7.3</v>
      </c>
      <c r="P11" s="50">
        <f>SUM(N11*O11)</f>
        <v>1846.024</v>
      </c>
      <c r="Q11" s="78"/>
      <c r="R11" s="78"/>
      <c r="S11" s="77">
        <f t="shared" si="2"/>
        <v>507.705466911765</v>
      </c>
      <c r="T11" s="77">
        <f t="shared" si="3"/>
        <v>1.17233029411765</v>
      </c>
      <c r="U11" s="77">
        <f t="shared" si="4"/>
        <v>24.7588235294118</v>
      </c>
      <c r="V11" s="77"/>
      <c r="W11" s="77"/>
      <c r="X11" s="77">
        <f t="shared" si="5"/>
        <v>533.636620735294</v>
      </c>
      <c r="Y11" s="94">
        <f t="shared" si="6"/>
        <v>112.959243823529</v>
      </c>
      <c r="Z11" s="94">
        <v>42.43</v>
      </c>
      <c r="AA11" s="94"/>
      <c r="AB11" s="94">
        <f t="shared" si="7"/>
        <v>155.389243823529</v>
      </c>
      <c r="AC11" s="45">
        <v>7.33</v>
      </c>
      <c r="AD11" s="77">
        <f t="shared" si="8"/>
        <v>1139.00315722647</v>
      </c>
      <c r="AE11" s="77">
        <f t="shared" si="9"/>
        <v>1672.63977796176</v>
      </c>
      <c r="AF11" s="77">
        <f t="shared" si="10"/>
        <v>173.384222038235</v>
      </c>
    </row>
    <row r="12" s="2" customFormat="1" spans="1:32">
      <c r="A12" s="21"/>
      <c r="B12" s="22"/>
      <c r="C12" s="23">
        <v>241028000036</v>
      </c>
      <c r="D12" s="24">
        <v>45601</v>
      </c>
      <c r="E12" s="24" t="s">
        <v>70</v>
      </c>
      <c r="F12" s="22" t="s">
        <v>70</v>
      </c>
      <c r="G12" s="22" t="s">
        <v>71</v>
      </c>
      <c r="H12" s="25">
        <v>19.1974</v>
      </c>
      <c r="I12" s="25">
        <v>2413</v>
      </c>
      <c r="J12" s="44">
        <v>38000</v>
      </c>
      <c r="K12" s="45"/>
      <c r="L12" s="46"/>
      <c r="M12" s="47"/>
      <c r="N12" s="48"/>
      <c r="O12" s="49"/>
      <c r="P12" s="50">
        <f t="shared" si="11"/>
        <v>38000</v>
      </c>
      <c r="Q12" s="78"/>
      <c r="R12" s="78"/>
      <c r="S12" s="77">
        <f t="shared" si="2"/>
        <v>13893.9770926471</v>
      </c>
      <c r="T12" s="77">
        <f t="shared" si="3"/>
        <v>32.0822431764706</v>
      </c>
      <c r="U12" s="77">
        <f t="shared" si="4"/>
        <v>677.555294117647</v>
      </c>
      <c r="V12" s="77"/>
      <c r="W12" s="77"/>
      <c r="X12" s="77">
        <f t="shared" si="5"/>
        <v>14603.6146299412</v>
      </c>
      <c r="Y12" s="94">
        <f t="shared" si="6"/>
        <v>3091.26698129412</v>
      </c>
      <c r="Z12" s="94"/>
      <c r="AA12" s="94"/>
      <c r="AB12" s="94">
        <f t="shared" si="7"/>
        <v>3091.26698129412</v>
      </c>
      <c r="AC12" s="45">
        <v>7.33</v>
      </c>
      <c r="AD12" s="77">
        <f t="shared" si="8"/>
        <v>22658.9869728859</v>
      </c>
      <c r="AE12" s="77">
        <f t="shared" si="9"/>
        <v>37262.6016028271</v>
      </c>
      <c r="AF12" s="77">
        <f t="shared" si="10"/>
        <v>737.398397172903</v>
      </c>
    </row>
    <row r="13" s="2" customFormat="1" spans="1:32">
      <c r="A13" s="21"/>
      <c r="B13" s="22"/>
      <c r="C13" s="23">
        <v>241028000057</v>
      </c>
      <c r="D13" s="24">
        <v>45601</v>
      </c>
      <c r="E13" s="24" t="s">
        <v>64</v>
      </c>
      <c r="F13" s="22" t="s">
        <v>65</v>
      </c>
      <c r="G13" s="22" t="s">
        <v>72</v>
      </c>
      <c r="H13" s="25">
        <v>0.8721</v>
      </c>
      <c r="I13" s="25">
        <v>153</v>
      </c>
      <c r="J13" s="44">
        <v>1785.59</v>
      </c>
      <c r="K13" s="45"/>
      <c r="L13" s="46"/>
      <c r="M13" s="47"/>
      <c r="N13" s="48"/>
      <c r="O13" s="49"/>
      <c r="P13" s="50">
        <f t="shared" si="11"/>
        <v>1785.59</v>
      </c>
      <c r="Q13" s="78"/>
      <c r="R13" s="78"/>
      <c r="S13" s="77">
        <f t="shared" si="2"/>
        <v>631.1759625</v>
      </c>
      <c r="T13" s="77">
        <f t="shared" si="3"/>
        <v>1.457433</v>
      </c>
      <c r="U13" s="77">
        <f t="shared" si="4"/>
        <v>30.78</v>
      </c>
      <c r="V13" s="77"/>
      <c r="W13" s="77"/>
      <c r="X13" s="77">
        <f t="shared" si="5"/>
        <v>663.4133955</v>
      </c>
      <c r="Y13" s="94">
        <f t="shared" si="6"/>
        <v>140.430159</v>
      </c>
      <c r="Z13" s="94"/>
      <c r="AA13" s="94"/>
      <c r="AB13" s="94">
        <f t="shared" si="7"/>
        <v>140.430159</v>
      </c>
      <c r="AC13" s="45">
        <v>7.33</v>
      </c>
      <c r="AD13" s="77">
        <f t="shared" si="8"/>
        <v>1029.35306547</v>
      </c>
      <c r="AE13" s="77">
        <f t="shared" si="9"/>
        <v>1692.76646097</v>
      </c>
      <c r="AF13" s="77">
        <f t="shared" si="10"/>
        <v>92.8235390299999</v>
      </c>
    </row>
    <row r="14" s="2" customFormat="1" spans="1:32">
      <c r="A14" s="21"/>
      <c r="B14" s="22"/>
      <c r="C14" s="23">
        <v>241029000017</v>
      </c>
      <c r="D14" s="24">
        <v>45601</v>
      </c>
      <c r="E14" s="24" t="s">
        <v>57</v>
      </c>
      <c r="F14" s="22" t="s">
        <v>58</v>
      </c>
      <c r="G14" s="22" t="s">
        <v>73</v>
      </c>
      <c r="H14" s="25">
        <v>0.2948</v>
      </c>
      <c r="I14" s="25">
        <v>65</v>
      </c>
      <c r="J14" s="44">
        <v>683.5</v>
      </c>
      <c r="K14" s="45"/>
      <c r="L14" s="46"/>
      <c r="M14" s="47"/>
      <c r="N14" s="48"/>
      <c r="O14" s="49"/>
      <c r="P14" s="50">
        <f t="shared" si="11"/>
        <v>683.5</v>
      </c>
      <c r="Q14" s="78"/>
      <c r="R14" s="78"/>
      <c r="S14" s="77">
        <f t="shared" si="2"/>
        <v>213.359332352941</v>
      </c>
      <c r="T14" s="77">
        <f t="shared" si="3"/>
        <v>0.492662823529412</v>
      </c>
      <c r="U14" s="77">
        <f t="shared" si="4"/>
        <v>10.4047058823529</v>
      </c>
      <c r="V14" s="77"/>
      <c r="W14" s="77"/>
      <c r="X14" s="77">
        <f t="shared" si="5"/>
        <v>224.256701058824</v>
      </c>
      <c r="Y14" s="94">
        <f t="shared" si="6"/>
        <v>47.4702567058823</v>
      </c>
      <c r="Z14" s="94"/>
      <c r="AA14" s="94"/>
      <c r="AB14" s="94">
        <f t="shared" si="7"/>
        <v>47.4702567058823</v>
      </c>
      <c r="AC14" s="45">
        <v>7.33</v>
      </c>
      <c r="AD14" s="77">
        <f t="shared" si="8"/>
        <v>347.956981654118</v>
      </c>
      <c r="AE14" s="77">
        <f t="shared" si="9"/>
        <v>572.213682712941</v>
      </c>
      <c r="AF14" s="77">
        <f t="shared" si="10"/>
        <v>111.286317287059</v>
      </c>
    </row>
    <row r="15" s="2" customFormat="1" spans="1:32">
      <c r="A15" s="21"/>
      <c r="B15" s="22"/>
      <c r="C15" s="23">
        <v>241030000002</v>
      </c>
      <c r="D15" s="24">
        <v>45601</v>
      </c>
      <c r="E15" s="24" t="s">
        <v>53</v>
      </c>
      <c r="F15" s="22" t="s">
        <v>54</v>
      </c>
      <c r="G15" s="22" t="s">
        <v>74</v>
      </c>
      <c r="H15" s="25">
        <v>7.4945</v>
      </c>
      <c r="I15" s="25">
        <v>520</v>
      </c>
      <c r="J15" s="44">
        <v>18324.8</v>
      </c>
      <c r="K15" s="45"/>
      <c r="L15" s="46"/>
      <c r="M15" s="47"/>
      <c r="N15" s="48"/>
      <c r="O15" s="49"/>
      <c r="P15" s="50">
        <f t="shared" si="11"/>
        <v>18324.8</v>
      </c>
      <c r="Q15" s="78"/>
      <c r="R15" s="78"/>
      <c r="S15" s="77">
        <f t="shared" si="2"/>
        <v>5424.08926838235</v>
      </c>
      <c r="T15" s="77">
        <f t="shared" si="3"/>
        <v>12.5246320588235</v>
      </c>
      <c r="U15" s="77">
        <f t="shared" si="4"/>
        <v>264.511764705882</v>
      </c>
      <c r="V15" s="77"/>
      <c r="W15" s="77"/>
      <c r="X15" s="77">
        <f t="shared" si="5"/>
        <v>5701.12566514706</v>
      </c>
      <c r="Y15" s="94">
        <f t="shared" si="6"/>
        <v>1206.80406676471</v>
      </c>
      <c r="Z15" s="94">
        <v>47.85</v>
      </c>
      <c r="AA15" s="94"/>
      <c r="AB15" s="94">
        <f t="shared" si="7"/>
        <v>1254.65406676471</v>
      </c>
      <c r="AC15" s="45">
        <v>7.33</v>
      </c>
      <c r="AD15" s="77">
        <f t="shared" si="8"/>
        <v>9196.61430938529</v>
      </c>
      <c r="AE15" s="77">
        <f t="shared" si="9"/>
        <v>14897.7399745324</v>
      </c>
      <c r="AF15" s="77">
        <f t="shared" si="10"/>
        <v>3427.0600254676</v>
      </c>
    </row>
    <row r="16" s="2" customFormat="1" spans="1:32">
      <c r="A16" s="21"/>
      <c r="B16" s="22"/>
      <c r="C16" s="23">
        <v>241030000039</v>
      </c>
      <c r="D16" s="24">
        <v>45601</v>
      </c>
      <c r="E16" s="24" t="s">
        <v>57</v>
      </c>
      <c r="F16" s="22" t="s">
        <v>58</v>
      </c>
      <c r="G16" s="22" t="s">
        <v>73</v>
      </c>
      <c r="H16" s="25">
        <v>1.069</v>
      </c>
      <c r="I16" s="25">
        <v>138</v>
      </c>
      <c r="J16" s="44">
        <v>2506</v>
      </c>
      <c r="K16" s="45"/>
      <c r="L16" s="46"/>
      <c r="M16" s="47"/>
      <c r="N16" s="48"/>
      <c r="O16" s="49"/>
      <c r="P16" s="50">
        <f t="shared" si="11"/>
        <v>2506</v>
      </c>
      <c r="Q16" s="78"/>
      <c r="R16" s="78"/>
      <c r="S16" s="77">
        <f t="shared" si="2"/>
        <v>773.680889705882</v>
      </c>
      <c r="T16" s="77">
        <f t="shared" si="3"/>
        <v>1.78648764705882</v>
      </c>
      <c r="U16" s="77">
        <f t="shared" si="4"/>
        <v>37.7294117647059</v>
      </c>
      <c r="V16" s="77"/>
      <c r="W16" s="77"/>
      <c r="X16" s="77">
        <f t="shared" si="5"/>
        <v>813.196789117647</v>
      </c>
      <c r="Y16" s="94">
        <f t="shared" si="6"/>
        <v>172.136039411765</v>
      </c>
      <c r="Z16" s="94"/>
      <c r="AA16" s="94"/>
      <c r="AB16" s="94">
        <f t="shared" si="7"/>
        <v>172.136039411765</v>
      </c>
      <c r="AC16" s="45">
        <v>7.33</v>
      </c>
      <c r="AD16" s="77">
        <f t="shared" si="8"/>
        <v>1261.75716888824</v>
      </c>
      <c r="AE16" s="77">
        <f t="shared" si="9"/>
        <v>2074.95395800588</v>
      </c>
      <c r="AF16" s="77">
        <f t="shared" si="10"/>
        <v>431.04604199412</v>
      </c>
    </row>
    <row r="17" s="2" customFormat="1" spans="1:32">
      <c r="A17" s="21"/>
      <c r="B17" s="22"/>
      <c r="C17" s="23">
        <v>241030000041</v>
      </c>
      <c r="D17" s="24">
        <v>45601</v>
      </c>
      <c r="E17" s="24" t="s">
        <v>53</v>
      </c>
      <c r="F17" s="22" t="s">
        <v>54</v>
      </c>
      <c r="G17" s="22" t="s">
        <v>75</v>
      </c>
      <c r="H17" s="25">
        <v>1.5338</v>
      </c>
      <c r="I17" s="25">
        <v>336</v>
      </c>
      <c r="J17" s="50"/>
      <c r="K17" s="51">
        <v>755361</v>
      </c>
      <c r="L17" s="46"/>
      <c r="M17" s="47">
        <f>SUM(K17/N17)</f>
        <v>1700</v>
      </c>
      <c r="N17" s="52">
        <v>444.33</v>
      </c>
      <c r="O17" s="49">
        <v>7.27</v>
      </c>
      <c r="P17" s="50">
        <f>SUM(N17*O17)</f>
        <v>3230.2791</v>
      </c>
      <c r="Q17" s="78"/>
      <c r="R17" s="78"/>
      <c r="S17" s="77">
        <f t="shared" si="2"/>
        <v>1110.07647205882</v>
      </c>
      <c r="T17" s="77">
        <f t="shared" si="3"/>
        <v>2.56325047058824</v>
      </c>
      <c r="U17" s="77">
        <f t="shared" si="4"/>
        <v>54.1341176470588</v>
      </c>
      <c r="V17" s="77"/>
      <c r="W17" s="77"/>
      <c r="X17" s="77">
        <f t="shared" si="5"/>
        <v>1166.77384017647</v>
      </c>
      <c r="Y17" s="94">
        <f t="shared" si="6"/>
        <v>246.980596117647</v>
      </c>
      <c r="Z17" s="94">
        <v>29.9</v>
      </c>
      <c r="AA17" s="94"/>
      <c r="AB17" s="94">
        <f t="shared" si="7"/>
        <v>276.880596117647</v>
      </c>
      <c r="AC17" s="45">
        <v>7.33</v>
      </c>
      <c r="AD17" s="77">
        <f t="shared" si="8"/>
        <v>2029.53476954235</v>
      </c>
      <c r="AE17" s="77">
        <f t="shared" si="9"/>
        <v>3196.30860971882</v>
      </c>
      <c r="AF17" s="77">
        <f t="shared" si="10"/>
        <v>33.9704902811768</v>
      </c>
    </row>
    <row r="18" s="2" customFormat="1" spans="1:32">
      <c r="A18" s="21"/>
      <c r="B18" s="22"/>
      <c r="C18" s="23">
        <v>241101000029</v>
      </c>
      <c r="D18" s="24">
        <v>45601</v>
      </c>
      <c r="E18" s="24" t="s">
        <v>53</v>
      </c>
      <c r="F18" s="22" t="s">
        <v>54</v>
      </c>
      <c r="G18" s="22" t="s">
        <v>76</v>
      </c>
      <c r="H18" s="25">
        <v>0.8656</v>
      </c>
      <c r="I18" s="25">
        <v>346</v>
      </c>
      <c r="J18" s="107">
        <v>2978.64</v>
      </c>
      <c r="K18" s="45"/>
      <c r="L18" s="46"/>
      <c r="M18" s="47"/>
      <c r="N18" s="46"/>
      <c r="O18" s="49"/>
      <c r="P18" s="50">
        <f>SUM(J18)</f>
        <v>2978.64</v>
      </c>
      <c r="Q18" s="78"/>
      <c r="R18" s="78"/>
      <c r="S18" s="77">
        <f t="shared" si="2"/>
        <v>626.471635294118</v>
      </c>
      <c r="T18" s="77">
        <f t="shared" si="3"/>
        <v>1.44657035294118</v>
      </c>
      <c r="U18" s="77">
        <f t="shared" si="4"/>
        <v>30.5505882352941</v>
      </c>
      <c r="V18" s="77"/>
      <c r="W18" s="77"/>
      <c r="X18" s="77">
        <f t="shared" si="5"/>
        <v>658.468793882353</v>
      </c>
      <c r="Y18" s="94">
        <f t="shared" si="6"/>
        <v>139.383494588235</v>
      </c>
      <c r="Z18" s="94">
        <v>12.36</v>
      </c>
      <c r="AA18" s="94">
        <v>83.19</v>
      </c>
      <c r="AB18" s="94">
        <f t="shared" si="7"/>
        <v>234.933494588235</v>
      </c>
      <c r="AC18" s="45">
        <v>7.33</v>
      </c>
      <c r="AD18" s="77">
        <f t="shared" si="8"/>
        <v>1722.06251533176</v>
      </c>
      <c r="AE18" s="77">
        <f t="shared" si="9"/>
        <v>2380.53130921412</v>
      </c>
      <c r="AF18" s="77">
        <f t="shared" si="10"/>
        <v>598.108690785882</v>
      </c>
    </row>
    <row r="19" s="2" customFormat="1" spans="1:32">
      <c r="A19" s="21"/>
      <c r="B19" s="22"/>
      <c r="C19" s="23">
        <v>241101000033</v>
      </c>
      <c r="D19" s="24">
        <v>45601</v>
      </c>
      <c r="E19" s="24" t="s">
        <v>64</v>
      </c>
      <c r="F19" s="22" t="s">
        <v>65</v>
      </c>
      <c r="G19" s="22" t="s">
        <v>72</v>
      </c>
      <c r="H19" s="25">
        <v>0.8844</v>
      </c>
      <c r="I19" s="25">
        <v>155</v>
      </c>
      <c r="J19" s="44">
        <v>1806.11</v>
      </c>
      <c r="K19" s="45"/>
      <c r="L19" s="46"/>
      <c r="M19" s="47"/>
      <c r="N19" s="48"/>
      <c r="O19" s="49"/>
      <c r="P19" s="50">
        <f t="shared" ref="P19:P24" si="12">SUBTOTAL(9,J19)</f>
        <v>1806.11</v>
      </c>
      <c r="Q19" s="78"/>
      <c r="R19" s="78"/>
      <c r="S19" s="77">
        <f t="shared" si="2"/>
        <v>640.077997058823</v>
      </c>
      <c r="T19" s="77">
        <f t="shared" si="3"/>
        <v>1.47798847058824</v>
      </c>
      <c r="U19" s="77">
        <f t="shared" si="4"/>
        <v>31.2141176470588</v>
      </c>
      <c r="V19" s="77"/>
      <c r="W19" s="77"/>
      <c r="X19" s="77">
        <f t="shared" ref="X19:X34" si="13">SUM(S19:W19)</f>
        <v>672.770103176471</v>
      </c>
      <c r="Y19" s="94">
        <f t="shared" si="6"/>
        <v>142.410770117647</v>
      </c>
      <c r="Z19" s="94"/>
      <c r="AA19" s="94"/>
      <c r="AB19" s="94">
        <f t="shared" si="7"/>
        <v>142.410770117647</v>
      </c>
      <c r="AC19" s="45">
        <v>7.33</v>
      </c>
      <c r="AD19" s="77">
        <f t="shared" si="8"/>
        <v>1043.87094496235</v>
      </c>
      <c r="AE19" s="77">
        <f t="shared" ref="AE19:AE34" si="14">SUM(X19+AD19)</f>
        <v>1716.64104813882</v>
      </c>
      <c r="AF19" s="77">
        <f t="shared" ref="AF19:AF34" si="15">SUM(P19-AE19)</f>
        <v>89.4689518611799</v>
      </c>
    </row>
    <row r="20" s="2" customFormat="1" spans="1:32">
      <c r="A20" s="21"/>
      <c r="B20" s="22"/>
      <c r="C20" s="23">
        <v>241209000060</v>
      </c>
      <c r="D20" s="24">
        <v>45601</v>
      </c>
      <c r="E20" s="24" t="s">
        <v>77</v>
      </c>
      <c r="F20" s="22" t="s">
        <v>78</v>
      </c>
      <c r="G20" s="22" t="s">
        <v>79</v>
      </c>
      <c r="H20" s="25">
        <v>17.902</v>
      </c>
      <c r="I20" s="25">
        <v>17472</v>
      </c>
      <c r="J20" s="44">
        <v>41296.32</v>
      </c>
      <c r="K20" s="45"/>
      <c r="L20" s="46"/>
      <c r="M20" s="47"/>
      <c r="N20" s="48"/>
      <c r="O20" s="49"/>
      <c r="P20" s="50">
        <f t="shared" si="12"/>
        <v>41296.32</v>
      </c>
      <c r="Q20" s="81"/>
      <c r="R20" s="81"/>
      <c r="S20" s="77">
        <f t="shared" si="2"/>
        <v>12956.4408676471</v>
      </c>
      <c r="T20" s="77">
        <f t="shared" si="3"/>
        <v>29.9174011764706</v>
      </c>
      <c r="U20" s="77">
        <f t="shared" si="4"/>
        <v>631.835294117647</v>
      </c>
      <c r="V20" s="77"/>
      <c r="W20" s="77"/>
      <c r="X20" s="77">
        <f t="shared" si="13"/>
        <v>13618.1935629412</v>
      </c>
      <c r="Y20" s="94">
        <f t="shared" si="6"/>
        <v>2882.67481529412</v>
      </c>
      <c r="Z20" s="94"/>
      <c r="AA20" s="94"/>
      <c r="AB20" s="94">
        <f t="shared" ref="AB20:AB34" si="16">SUM(Y20:AA20)</f>
        <v>2882.67481529412</v>
      </c>
      <c r="AC20" s="45">
        <v>7.33</v>
      </c>
      <c r="AD20" s="77">
        <f t="shared" ref="AD20:AD34" si="17">SUM(AB20*AC20)</f>
        <v>21130.0063961059</v>
      </c>
      <c r="AE20" s="77">
        <f t="shared" si="14"/>
        <v>34748.1999590471</v>
      </c>
      <c r="AF20" s="77">
        <f t="shared" si="15"/>
        <v>6548.1200409529</v>
      </c>
    </row>
    <row r="21" s="2" customFormat="1" spans="1:32">
      <c r="A21" s="21" t="s">
        <v>6</v>
      </c>
      <c r="B21" s="22" t="s">
        <v>7</v>
      </c>
      <c r="C21" s="23">
        <v>241028000047</v>
      </c>
      <c r="D21" s="24">
        <v>45602</v>
      </c>
      <c r="E21" s="24" t="s">
        <v>70</v>
      </c>
      <c r="F21" s="22" t="s">
        <v>70</v>
      </c>
      <c r="G21" s="22" t="s">
        <v>80</v>
      </c>
      <c r="H21" s="25">
        <v>3.0981</v>
      </c>
      <c r="I21" s="25">
        <v>231</v>
      </c>
      <c r="J21" s="44">
        <v>8037.16</v>
      </c>
      <c r="K21" s="45"/>
      <c r="L21" s="46"/>
      <c r="M21" s="47"/>
      <c r="N21" s="48"/>
      <c r="O21" s="49"/>
      <c r="P21" s="50">
        <f t="shared" si="12"/>
        <v>8037.16</v>
      </c>
      <c r="Q21" s="75">
        <f>SUM(P21:P34)</f>
        <v>134933.061</v>
      </c>
      <c r="R21" s="76" t="s">
        <v>81</v>
      </c>
      <c r="S21" s="77">
        <f>SUM(48788.5/68)*H21</f>
        <v>2222.81840955882</v>
      </c>
      <c r="T21" s="77"/>
      <c r="U21" s="77">
        <f>SUM(1800/68)*H21</f>
        <v>82.0085294117647</v>
      </c>
      <c r="V21" s="77"/>
      <c r="W21" s="77"/>
      <c r="X21" s="77">
        <f t="shared" si="13"/>
        <v>2304.82693897059</v>
      </c>
      <c r="Y21" s="94">
        <f>SUM(10716.46/68)*H21</f>
        <v>488.2450695</v>
      </c>
      <c r="Z21" s="94"/>
      <c r="AA21" s="94">
        <f>SUM(50.64/68)*H21</f>
        <v>2.30717329411765</v>
      </c>
      <c r="AB21" s="94">
        <f t="shared" si="16"/>
        <v>490.552242794118</v>
      </c>
      <c r="AC21" s="45">
        <v>7.33</v>
      </c>
      <c r="AD21" s="77">
        <f t="shared" si="17"/>
        <v>3595.74793968088</v>
      </c>
      <c r="AE21" s="77">
        <f t="shared" si="14"/>
        <v>5900.57487865147</v>
      </c>
      <c r="AF21" s="77">
        <f t="shared" si="15"/>
        <v>2136.58512134853</v>
      </c>
    </row>
    <row r="22" s="2" customFormat="1" spans="1:32">
      <c r="A22" s="21"/>
      <c r="B22" s="22"/>
      <c r="C22" s="23">
        <v>241029000048</v>
      </c>
      <c r="D22" s="24">
        <v>45602</v>
      </c>
      <c r="E22" s="24" t="s">
        <v>57</v>
      </c>
      <c r="F22" s="22" t="s">
        <v>58</v>
      </c>
      <c r="G22" s="22" t="s">
        <v>82</v>
      </c>
      <c r="H22" s="25">
        <v>0.4438</v>
      </c>
      <c r="I22" s="25">
        <v>310</v>
      </c>
      <c r="J22" s="44">
        <v>964.05</v>
      </c>
      <c r="K22" s="45"/>
      <c r="L22" s="99"/>
      <c r="M22" s="47"/>
      <c r="N22" s="52"/>
      <c r="O22" s="49"/>
      <c r="P22" s="50">
        <f t="shared" si="12"/>
        <v>964.05</v>
      </c>
      <c r="Q22" s="78"/>
      <c r="R22" s="78"/>
      <c r="S22" s="77">
        <f t="shared" ref="S22:S34" si="18">SUM(48788.5/68)*H22</f>
        <v>318.416710294118</v>
      </c>
      <c r="T22" s="77"/>
      <c r="U22" s="77">
        <f t="shared" ref="U22:U34" si="19">SUM(1800/68)*H22</f>
        <v>11.7476470588235</v>
      </c>
      <c r="V22" s="77"/>
      <c r="W22" s="77"/>
      <c r="X22" s="77">
        <f t="shared" si="13"/>
        <v>330.164357352941</v>
      </c>
      <c r="Y22" s="94">
        <f t="shared" ref="Y22:Y34" si="20">SUM(10716.46/68)*H22</f>
        <v>69.940661</v>
      </c>
      <c r="Z22" s="94"/>
      <c r="AA22" s="94">
        <f t="shared" ref="AA22:AA34" si="21">SUM(50.64/68)*H22</f>
        <v>0.330500470588235</v>
      </c>
      <c r="AB22" s="94">
        <f t="shared" si="16"/>
        <v>70.2711614705882</v>
      </c>
      <c r="AC22" s="45">
        <v>7.33</v>
      </c>
      <c r="AD22" s="77">
        <f t="shared" si="17"/>
        <v>515.087613579412</v>
      </c>
      <c r="AE22" s="77">
        <f t="shared" si="14"/>
        <v>845.251970932353</v>
      </c>
      <c r="AF22" s="77">
        <f t="shared" si="15"/>
        <v>118.798029067647</v>
      </c>
    </row>
    <row r="23" s="2" customFormat="1" spans="1:32">
      <c r="A23" s="21"/>
      <c r="B23" s="22"/>
      <c r="C23" s="23">
        <v>241030000021</v>
      </c>
      <c r="D23" s="24">
        <v>45602</v>
      </c>
      <c r="E23" s="24" t="s">
        <v>53</v>
      </c>
      <c r="F23" s="22" t="s">
        <v>54</v>
      </c>
      <c r="G23" s="22" t="s">
        <v>83</v>
      </c>
      <c r="H23" s="25">
        <v>0.6626</v>
      </c>
      <c r="I23" s="25">
        <v>405</v>
      </c>
      <c r="J23" s="44">
        <v>1624.5</v>
      </c>
      <c r="K23" s="100"/>
      <c r="L23" s="46"/>
      <c r="M23" s="47"/>
      <c r="N23" s="48"/>
      <c r="O23" s="49"/>
      <c r="P23" s="50">
        <f t="shared" si="12"/>
        <v>1624.5</v>
      </c>
      <c r="Q23" s="78"/>
      <c r="R23" s="78"/>
      <c r="S23" s="77">
        <f t="shared" si="18"/>
        <v>475.400883823529</v>
      </c>
      <c r="T23" s="77"/>
      <c r="U23" s="77">
        <f t="shared" si="19"/>
        <v>17.5394117647059</v>
      </c>
      <c r="V23" s="77"/>
      <c r="W23" s="77"/>
      <c r="X23" s="77">
        <f t="shared" si="13"/>
        <v>492.940295588235</v>
      </c>
      <c r="Y23" s="94">
        <f t="shared" si="20"/>
        <v>104.422447</v>
      </c>
      <c r="Z23" s="95">
        <v>35.38</v>
      </c>
      <c r="AA23" s="94">
        <f t="shared" si="21"/>
        <v>0.493442117647059</v>
      </c>
      <c r="AB23" s="94">
        <f t="shared" si="16"/>
        <v>140.295889117647</v>
      </c>
      <c r="AC23" s="45">
        <v>7.33</v>
      </c>
      <c r="AD23" s="77">
        <f t="shared" si="17"/>
        <v>1028.36886723235</v>
      </c>
      <c r="AE23" s="77">
        <f t="shared" si="14"/>
        <v>1521.30916282059</v>
      </c>
      <c r="AF23" s="77">
        <f t="shared" si="15"/>
        <v>103.19083717941</v>
      </c>
    </row>
    <row r="24" s="2" customFormat="1" spans="1:32">
      <c r="A24" s="21"/>
      <c r="B24" s="22"/>
      <c r="C24" s="23">
        <v>241030000025</v>
      </c>
      <c r="D24" s="24">
        <v>45602</v>
      </c>
      <c r="E24" s="24" t="s">
        <v>57</v>
      </c>
      <c r="F24" s="22" t="s">
        <v>58</v>
      </c>
      <c r="G24" s="22" t="s">
        <v>84</v>
      </c>
      <c r="H24" s="25">
        <v>0.4092</v>
      </c>
      <c r="I24" s="25">
        <v>180</v>
      </c>
      <c r="J24" s="44">
        <v>876.05</v>
      </c>
      <c r="K24" s="100"/>
      <c r="L24" s="46"/>
      <c r="M24" s="47"/>
      <c r="N24" s="48"/>
      <c r="O24" s="49"/>
      <c r="P24" s="50">
        <f t="shared" si="12"/>
        <v>876.05</v>
      </c>
      <c r="Q24" s="78"/>
      <c r="R24" s="78"/>
      <c r="S24" s="77">
        <f t="shared" si="18"/>
        <v>293.591973529412</v>
      </c>
      <c r="T24" s="77"/>
      <c r="U24" s="77">
        <f t="shared" si="19"/>
        <v>10.8317647058824</v>
      </c>
      <c r="V24" s="77"/>
      <c r="W24" s="77"/>
      <c r="X24" s="77">
        <f t="shared" si="13"/>
        <v>304.423738235294</v>
      </c>
      <c r="Y24" s="94">
        <f t="shared" si="20"/>
        <v>64.487874</v>
      </c>
      <c r="Z24" s="94"/>
      <c r="AA24" s="94">
        <f t="shared" si="21"/>
        <v>0.304733647058824</v>
      </c>
      <c r="AB24" s="94">
        <f t="shared" si="16"/>
        <v>64.7926076470588</v>
      </c>
      <c r="AC24" s="45">
        <v>7.33</v>
      </c>
      <c r="AD24" s="77">
        <f t="shared" si="17"/>
        <v>474.929814052941</v>
      </c>
      <c r="AE24" s="77">
        <f t="shared" si="14"/>
        <v>779.353552288235</v>
      </c>
      <c r="AF24" s="77">
        <f t="shared" si="15"/>
        <v>96.6964477117649</v>
      </c>
    </row>
    <row r="25" s="2" customFormat="1" spans="1:32">
      <c r="A25" s="21"/>
      <c r="B25" s="22"/>
      <c r="C25" s="23">
        <v>241031000033</v>
      </c>
      <c r="D25" s="24">
        <v>45602</v>
      </c>
      <c r="E25" s="24" t="s">
        <v>57</v>
      </c>
      <c r="F25" s="22" t="s">
        <v>58</v>
      </c>
      <c r="G25" s="22" t="s">
        <v>67</v>
      </c>
      <c r="H25" s="25">
        <v>0.5837</v>
      </c>
      <c r="I25" s="25">
        <v>247</v>
      </c>
      <c r="J25" s="50"/>
      <c r="K25" s="51">
        <v>280840</v>
      </c>
      <c r="L25" s="46"/>
      <c r="M25" s="47">
        <f>SUM(K25/N25)</f>
        <v>1652.97233666863</v>
      </c>
      <c r="N25" s="52">
        <v>169.9</v>
      </c>
      <c r="O25" s="49">
        <v>7.29</v>
      </c>
      <c r="P25" s="50">
        <f>SUM(N25*O25)</f>
        <v>1238.571</v>
      </c>
      <c r="Q25" s="78"/>
      <c r="R25" s="78"/>
      <c r="S25" s="77">
        <f t="shared" si="18"/>
        <v>418.791874264706</v>
      </c>
      <c r="T25" s="77"/>
      <c r="U25" s="77">
        <f t="shared" si="19"/>
        <v>15.4508823529412</v>
      </c>
      <c r="V25" s="77"/>
      <c r="W25" s="77"/>
      <c r="X25" s="77">
        <f t="shared" si="13"/>
        <v>434.242756617647</v>
      </c>
      <c r="Y25" s="94">
        <f t="shared" si="20"/>
        <v>91.9882015</v>
      </c>
      <c r="Z25" s="94"/>
      <c r="AA25" s="94">
        <f t="shared" si="21"/>
        <v>0.434684823529412</v>
      </c>
      <c r="AB25" s="94">
        <f t="shared" si="16"/>
        <v>92.4228863235294</v>
      </c>
      <c r="AC25" s="45">
        <v>7.33</v>
      </c>
      <c r="AD25" s="77">
        <f t="shared" si="17"/>
        <v>677.459756751471</v>
      </c>
      <c r="AE25" s="77">
        <f t="shared" si="14"/>
        <v>1111.70251336912</v>
      </c>
      <c r="AF25" s="77">
        <f t="shared" si="15"/>
        <v>126.868486630882</v>
      </c>
    </row>
    <row r="26" s="2" customFormat="1" spans="1:32">
      <c r="A26" s="21"/>
      <c r="B26" s="22"/>
      <c r="C26" s="23">
        <v>241101000057</v>
      </c>
      <c r="D26" s="24">
        <v>45602</v>
      </c>
      <c r="E26" s="24" t="s">
        <v>77</v>
      </c>
      <c r="F26" s="22" t="s">
        <v>78</v>
      </c>
      <c r="G26" s="22" t="s">
        <v>85</v>
      </c>
      <c r="H26" s="25">
        <v>1.1063</v>
      </c>
      <c r="I26" s="25">
        <v>567</v>
      </c>
      <c r="J26" s="44">
        <v>2422.8</v>
      </c>
      <c r="K26" s="100"/>
      <c r="L26" s="46"/>
      <c r="M26" s="47"/>
      <c r="N26" s="48"/>
      <c r="O26" s="49"/>
      <c r="P26" s="50">
        <f t="shared" ref="P26:P28" si="22">SUBTOTAL(9,J26)</f>
        <v>2422.8</v>
      </c>
      <c r="Q26" s="78"/>
      <c r="R26" s="78"/>
      <c r="S26" s="77">
        <f t="shared" si="18"/>
        <v>793.745846323529</v>
      </c>
      <c r="T26" s="77"/>
      <c r="U26" s="77">
        <f t="shared" si="19"/>
        <v>29.2844117647059</v>
      </c>
      <c r="V26" s="77"/>
      <c r="W26" s="77"/>
      <c r="X26" s="77">
        <f t="shared" si="13"/>
        <v>823.030258088235</v>
      </c>
      <c r="Y26" s="94">
        <f t="shared" si="20"/>
        <v>174.3473485</v>
      </c>
      <c r="Z26" s="94"/>
      <c r="AA26" s="94">
        <f t="shared" si="21"/>
        <v>0.823868117647059</v>
      </c>
      <c r="AB26" s="94">
        <f t="shared" si="16"/>
        <v>175.171216617647</v>
      </c>
      <c r="AC26" s="45">
        <v>7.33</v>
      </c>
      <c r="AD26" s="77">
        <f t="shared" si="17"/>
        <v>1284.00501780735</v>
      </c>
      <c r="AE26" s="77">
        <f t="shared" si="14"/>
        <v>2107.03527589559</v>
      </c>
      <c r="AF26" s="77">
        <f t="shared" si="15"/>
        <v>315.76472410441</v>
      </c>
    </row>
    <row r="27" s="2" customFormat="1" spans="1:32">
      <c r="A27" s="21"/>
      <c r="B27" s="22"/>
      <c r="C27" s="23">
        <v>241104000038</v>
      </c>
      <c r="D27" s="24">
        <v>45602</v>
      </c>
      <c r="E27" s="24" t="s">
        <v>57</v>
      </c>
      <c r="F27" s="22" t="s">
        <v>58</v>
      </c>
      <c r="G27" s="22" t="s">
        <v>82</v>
      </c>
      <c r="H27" s="25">
        <v>0.0737</v>
      </c>
      <c r="I27" s="25">
        <v>26</v>
      </c>
      <c r="J27" s="44">
        <v>214.23</v>
      </c>
      <c r="K27" s="100"/>
      <c r="L27" s="99"/>
      <c r="M27" s="47"/>
      <c r="N27" s="52"/>
      <c r="O27" s="49"/>
      <c r="P27" s="50">
        <f t="shared" si="22"/>
        <v>214.23</v>
      </c>
      <c r="Q27" s="78"/>
      <c r="R27" s="78"/>
      <c r="S27" s="77">
        <f t="shared" si="18"/>
        <v>52.8781242647059</v>
      </c>
      <c r="T27" s="77"/>
      <c r="U27" s="77">
        <f t="shared" si="19"/>
        <v>1.95088235294118</v>
      </c>
      <c r="V27" s="77"/>
      <c r="W27" s="77"/>
      <c r="X27" s="77">
        <f t="shared" si="13"/>
        <v>54.8290066176471</v>
      </c>
      <c r="Y27" s="94">
        <f t="shared" si="20"/>
        <v>11.6147515</v>
      </c>
      <c r="Z27" s="94"/>
      <c r="AA27" s="94">
        <f t="shared" si="21"/>
        <v>0.0548848235294118</v>
      </c>
      <c r="AB27" s="94">
        <f t="shared" si="16"/>
        <v>11.6696363235294</v>
      </c>
      <c r="AC27" s="45">
        <v>7.33</v>
      </c>
      <c r="AD27" s="77">
        <f t="shared" si="17"/>
        <v>85.5384342514706</v>
      </c>
      <c r="AE27" s="77">
        <f t="shared" si="14"/>
        <v>140.367440869118</v>
      </c>
      <c r="AF27" s="77">
        <f t="shared" si="15"/>
        <v>73.862559130882</v>
      </c>
    </row>
    <row r="28" s="2" customFormat="1" spans="1:32">
      <c r="A28" s="21"/>
      <c r="B28" s="22"/>
      <c r="C28" s="23">
        <v>241022000035</v>
      </c>
      <c r="D28" s="24">
        <v>45602</v>
      </c>
      <c r="E28" s="24" t="s">
        <v>86</v>
      </c>
      <c r="F28" s="22" t="s">
        <v>87</v>
      </c>
      <c r="G28" s="22" t="s">
        <v>88</v>
      </c>
      <c r="H28" s="25">
        <v>27.424</v>
      </c>
      <c r="I28" s="25">
        <v>19896</v>
      </c>
      <c r="J28" s="44">
        <v>60720</v>
      </c>
      <c r="K28" s="100"/>
      <c r="L28" s="46"/>
      <c r="M28" s="47"/>
      <c r="N28" s="48"/>
      <c r="O28" s="49"/>
      <c r="P28" s="50">
        <f t="shared" si="22"/>
        <v>60720</v>
      </c>
      <c r="Q28" s="78"/>
      <c r="R28" s="78"/>
      <c r="S28" s="77">
        <f t="shared" si="18"/>
        <v>19676.1150588235</v>
      </c>
      <c r="T28" s="77"/>
      <c r="U28" s="77">
        <f t="shared" si="19"/>
        <v>725.929411764706</v>
      </c>
      <c r="V28" s="77"/>
      <c r="W28" s="77"/>
      <c r="X28" s="77">
        <f t="shared" si="13"/>
        <v>20402.0444705882</v>
      </c>
      <c r="Y28" s="94">
        <f t="shared" si="20"/>
        <v>4321.88528</v>
      </c>
      <c r="Z28" s="94"/>
      <c r="AA28" s="94">
        <f t="shared" si="21"/>
        <v>20.4228141176471</v>
      </c>
      <c r="AB28" s="94">
        <f t="shared" si="16"/>
        <v>4342.30809411765</v>
      </c>
      <c r="AC28" s="45">
        <v>7.33</v>
      </c>
      <c r="AD28" s="77">
        <f t="shared" si="17"/>
        <v>31829.1183298824</v>
      </c>
      <c r="AE28" s="77">
        <f t="shared" si="14"/>
        <v>52231.1628004706</v>
      </c>
      <c r="AF28" s="77">
        <f t="shared" si="15"/>
        <v>8488.8371995294</v>
      </c>
    </row>
    <row r="29" s="2" customFormat="1" spans="1:32">
      <c r="A29" s="21"/>
      <c r="B29" s="22"/>
      <c r="C29" s="23">
        <v>241105000034</v>
      </c>
      <c r="D29" s="24">
        <v>45602</v>
      </c>
      <c r="E29" s="24" t="s">
        <v>64</v>
      </c>
      <c r="F29" s="22" t="s">
        <v>65</v>
      </c>
      <c r="G29" s="22" t="s">
        <v>89</v>
      </c>
      <c r="H29" s="25">
        <v>0.7455</v>
      </c>
      <c r="I29" s="25">
        <v>854</v>
      </c>
      <c r="J29" s="50"/>
      <c r="K29" s="106">
        <v>641427.2</v>
      </c>
      <c r="L29" s="46"/>
      <c r="M29" s="47">
        <f>SUM(K29/N29)</f>
        <v>1643</v>
      </c>
      <c r="N29" s="52">
        <v>390.4</v>
      </c>
      <c r="O29" s="49">
        <v>7.3</v>
      </c>
      <c r="P29" s="50">
        <f>SUM(N29*O29)</f>
        <v>2849.92</v>
      </c>
      <c r="Q29" s="78"/>
      <c r="R29" s="78"/>
      <c r="S29" s="77">
        <f t="shared" si="18"/>
        <v>534.879805147059</v>
      </c>
      <c r="T29" s="77"/>
      <c r="U29" s="77">
        <f t="shared" si="19"/>
        <v>19.7338235294118</v>
      </c>
      <c r="V29" s="77"/>
      <c r="W29" s="77"/>
      <c r="X29" s="77">
        <f t="shared" si="13"/>
        <v>554.613628676471</v>
      </c>
      <c r="Y29" s="94">
        <f t="shared" si="20"/>
        <v>117.4870725</v>
      </c>
      <c r="Z29" s="95">
        <v>29.21</v>
      </c>
      <c r="AA29" s="94">
        <f t="shared" si="21"/>
        <v>0.555178235294118</v>
      </c>
      <c r="AB29" s="94">
        <f t="shared" si="16"/>
        <v>147.252250735294</v>
      </c>
      <c r="AC29" s="45">
        <v>7.33</v>
      </c>
      <c r="AD29" s="77">
        <f t="shared" si="17"/>
        <v>1079.35899788971</v>
      </c>
      <c r="AE29" s="77">
        <f t="shared" si="14"/>
        <v>1633.97262656618</v>
      </c>
      <c r="AF29" s="77">
        <f t="shared" si="15"/>
        <v>1215.94737343382</v>
      </c>
    </row>
    <row r="30" s="2" customFormat="1" spans="1:32">
      <c r="A30" s="21"/>
      <c r="B30" s="22"/>
      <c r="C30" s="23">
        <v>241106000001</v>
      </c>
      <c r="D30" s="24">
        <v>45602</v>
      </c>
      <c r="E30" s="24" t="s">
        <v>70</v>
      </c>
      <c r="F30" s="22" t="s">
        <v>70</v>
      </c>
      <c r="G30" s="22" t="s">
        <v>90</v>
      </c>
      <c r="H30" s="25">
        <v>0.4542</v>
      </c>
      <c r="I30" s="25">
        <v>69</v>
      </c>
      <c r="J30" s="44">
        <v>1060.98</v>
      </c>
      <c r="K30" s="100"/>
      <c r="L30" s="46"/>
      <c r="M30" s="47"/>
      <c r="N30" s="48"/>
      <c r="O30" s="49"/>
      <c r="P30" s="50">
        <f t="shared" ref="P30:P34" si="23">SUBTOTAL(9,J30)</f>
        <v>1060.98</v>
      </c>
      <c r="Q30" s="78"/>
      <c r="R30" s="78"/>
      <c r="S30" s="77">
        <f t="shared" si="18"/>
        <v>325.878480882353</v>
      </c>
      <c r="T30" s="77"/>
      <c r="U30" s="77">
        <f t="shared" si="19"/>
        <v>12.0229411764706</v>
      </c>
      <c r="V30" s="77"/>
      <c r="W30" s="77"/>
      <c r="X30" s="77">
        <f t="shared" si="13"/>
        <v>337.901422058824</v>
      </c>
      <c r="Y30" s="94">
        <f t="shared" si="20"/>
        <v>71.579649</v>
      </c>
      <c r="Z30" s="94"/>
      <c r="AA30" s="94">
        <f t="shared" si="21"/>
        <v>0.338245411764706</v>
      </c>
      <c r="AB30" s="94">
        <f t="shared" si="16"/>
        <v>71.9178944117647</v>
      </c>
      <c r="AC30" s="45">
        <v>7.33</v>
      </c>
      <c r="AD30" s="77">
        <f t="shared" si="17"/>
        <v>527.158166038235</v>
      </c>
      <c r="AE30" s="77">
        <f t="shared" si="14"/>
        <v>865.059588097059</v>
      </c>
      <c r="AF30" s="77">
        <f t="shared" si="15"/>
        <v>195.920411902941</v>
      </c>
    </row>
    <row r="31" s="2" customFormat="1" spans="1:32">
      <c r="A31" s="21"/>
      <c r="B31" s="22"/>
      <c r="C31" s="23">
        <v>241106000002</v>
      </c>
      <c r="D31" s="24">
        <v>45602</v>
      </c>
      <c r="E31" s="24" t="s">
        <v>70</v>
      </c>
      <c r="F31" s="22" t="s">
        <v>70</v>
      </c>
      <c r="G31" s="22" t="s">
        <v>91</v>
      </c>
      <c r="H31" s="25">
        <v>0.3458</v>
      </c>
      <c r="I31" s="25">
        <v>98</v>
      </c>
      <c r="J31" s="44">
        <v>757</v>
      </c>
      <c r="K31" s="100"/>
      <c r="L31" s="46"/>
      <c r="M31" s="47"/>
      <c r="N31" s="48"/>
      <c r="O31" s="49"/>
      <c r="P31" s="50">
        <f t="shared" si="23"/>
        <v>757</v>
      </c>
      <c r="Q31" s="78"/>
      <c r="R31" s="78"/>
      <c r="S31" s="77">
        <f t="shared" si="18"/>
        <v>248.103872058824</v>
      </c>
      <c r="T31" s="77"/>
      <c r="U31" s="77">
        <f t="shared" si="19"/>
        <v>9.1535294117647</v>
      </c>
      <c r="V31" s="77"/>
      <c r="W31" s="77"/>
      <c r="X31" s="77">
        <f t="shared" si="13"/>
        <v>257.257401470588</v>
      </c>
      <c r="Y31" s="94">
        <f t="shared" si="20"/>
        <v>54.496351</v>
      </c>
      <c r="Z31" s="94"/>
      <c r="AA31" s="94">
        <f t="shared" si="21"/>
        <v>0.257519294117647</v>
      </c>
      <c r="AB31" s="94">
        <f t="shared" si="16"/>
        <v>54.7538702941176</v>
      </c>
      <c r="AC31" s="45">
        <v>7.33</v>
      </c>
      <c r="AD31" s="77">
        <f t="shared" si="17"/>
        <v>401.345869255882</v>
      </c>
      <c r="AE31" s="77">
        <f t="shared" si="14"/>
        <v>658.603270726471</v>
      </c>
      <c r="AF31" s="77">
        <f t="shared" si="15"/>
        <v>98.396729273529</v>
      </c>
    </row>
    <row r="32" s="2" customFormat="1" spans="1:32">
      <c r="A32" s="21"/>
      <c r="B32" s="22"/>
      <c r="C32" s="23">
        <v>241106000018</v>
      </c>
      <c r="D32" s="24">
        <v>45602</v>
      </c>
      <c r="E32" s="24" t="s">
        <v>86</v>
      </c>
      <c r="F32" s="22" t="s">
        <v>87</v>
      </c>
      <c r="G32" s="22" t="s">
        <v>92</v>
      </c>
      <c r="H32" s="25">
        <v>0.0019</v>
      </c>
      <c r="I32" s="25">
        <v>1</v>
      </c>
      <c r="J32" s="50"/>
      <c r="K32" s="106">
        <v>51150</v>
      </c>
      <c r="L32" s="46"/>
      <c r="M32" s="47">
        <f t="shared" ref="M32:M37" si="24">SUM(K32/N32)</f>
        <v>1650</v>
      </c>
      <c r="N32" s="52">
        <v>31</v>
      </c>
      <c r="O32" s="49">
        <v>7.2</v>
      </c>
      <c r="P32" s="50">
        <f t="shared" ref="P32:P37" si="25">SUM(N32*O32)</f>
        <v>223.2</v>
      </c>
      <c r="Q32" s="78"/>
      <c r="R32" s="78"/>
      <c r="S32" s="77">
        <f t="shared" si="18"/>
        <v>1.36320808823529</v>
      </c>
      <c r="T32" s="77"/>
      <c r="U32" s="77">
        <f t="shared" si="19"/>
        <v>0.0502941176470588</v>
      </c>
      <c r="V32" s="77"/>
      <c r="W32" s="77"/>
      <c r="X32" s="77">
        <f t="shared" si="13"/>
        <v>1.41350220588235</v>
      </c>
      <c r="Y32" s="94">
        <f t="shared" si="20"/>
        <v>0.2994305</v>
      </c>
      <c r="Z32" s="94"/>
      <c r="AA32" s="94">
        <f t="shared" si="21"/>
        <v>0.00141494117647059</v>
      </c>
      <c r="AB32" s="94">
        <f t="shared" si="16"/>
        <v>0.300845441176471</v>
      </c>
      <c r="AC32" s="45">
        <v>7.33</v>
      </c>
      <c r="AD32" s="77">
        <f t="shared" si="17"/>
        <v>2.20519708382353</v>
      </c>
      <c r="AE32" s="77">
        <f t="shared" si="14"/>
        <v>3.61869928970588</v>
      </c>
      <c r="AF32" s="77">
        <f t="shared" si="15"/>
        <v>219.581300710294</v>
      </c>
    </row>
    <row r="33" s="2" customFormat="1" spans="1:32">
      <c r="A33" s="21"/>
      <c r="B33" s="22"/>
      <c r="C33" s="23">
        <v>241106000037</v>
      </c>
      <c r="D33" s="24">
        <v>45602</v>
      </c>
      <c r="E33" s="24" t="s">
        <v>70</v>
      </c>
      <c r="F33" s="22" t="s">
        <v>70</v>
      </c>
      <c r="G33" s="22" t="s">
        <v>93</v>
      </c>
      <c r="H33" s="25">
        <v>0.6996</v>
      </c>
      <c r="I33" s="25">
        <v>76</v>
      </c>
      <c r="J33" s="44">
        <v>1583.01</v>
      </c>
      <c r="K33" s="100"/>
      <c r="L33" s="46"/>
      <c r="M33" s="47"/>
      <c r="N33" s="48"/>
      <c r="O33" s="49"/>
      <c r="P33" s="50">
        <f t="shared" si="23"/>
        <v>1583.01</v>
      </c>
      <c r="Q33" s="78"/>
      <c r="R33" s="78"/>
      <c r="S33" s="77">
        <f t="shared" si="18"/>
        <v>501.947567647059</v>
      </c>
      <c r="T33" s="77"/>
      <c r="U33" s="77">
        <f t="shared" si="19"/>
        <v>18.5188235294118</v>
      </c>
      <c r="V33" s="77"/>
      <c r="W33" s="77"/>
      <c r="X33" s="77">
        <f t="shared" si="13"/>
        <v>520.466391176471</v>
      </c>
      <c r="Y33" s="94">
        <f t="shared" si="20"/>
        <v>110.253462</v>
      </c>
      <c r="Z33" s="94"/>
      <c r="AA33" s="94">
        <f t="shared" si="21"/>
        <v>0.520996235294118</v>
      </c>
      <c r="AB33" s="94">
        <f t="shared" si="16"/>
        <v>110.774458235294</v>
      </c>
      <c r="AC33" s="45">
        <v>7.33</v>
      </c>
      <c r="AD33" s="77">
        <f t="shared" si="17"/>
        <v>811.976778864706</v>
      </c>
      <c r="AE33" s="77">
        <f t="shared" ref="AE33:AE56" si="26">SUM(X33+AD33)</f>
        <v>1332.44317004118</v>
      </c>
      <c r="AF33" s="77">
        <f t="shared" si="15"/>
        <v>250.56682995882</v>
      </c>
    </row>
    <row r="34" s="2" customFormat="1" spans="1:32">
      <c r="A34" s="21"/>
      <c r="B34" s="22"/>
      <c r="C34" s="23">
        <v>241107000022</v>
      </c>
      <c r="D34" s="24">
        <v>45602</v>
      </c>
      <c r="E34" s="24" t="s">
        <v>94</v>
      </c>
      <c r="F34" s="22" t="s">
        <v>95</v>
      </c>
      <c r="G34" s="22" t="s">
        <v>96</v>
      </c>
      <c r="H34" s="25">
        <v>32.635</v>
      </c>
      <c r="I34" s="25">
        <v>4165</v>
      </c>
      <c r="J34" s="44">
        <v>52361.59</v>
      </c>
      <c r="K34" s="100"/>
      <c r="L34" s="46"/>
      <c r="M34" s="47"/>
      <c r="N34" s="52"/>
      <c r="O34" s="49"/>
      <c r="P34" s="50">
        <f t="shared" si="23"/>
        <v>52361.59</v>
      </c>
      <c r="Q34" s="81"/>
      <c r="R34" s="81"/>
      <c r="S34" s="77">
        <f t="shared" si="18"/>
        <v>23414.8926102941</v>
      </c>
      <c r="T34" s="77"/>
      <c r="U34" s="77">
        <f t="shared" si="19"/>
        <v>863.867647058823</v>
      </c>
      <c r="V34" s="77"/>
      <c r="W34" s="77"/>
      <c r="X34" s="77">
        <f t="shared" ref="X34:X56" si="27">SUM(S34:W34)</f>
        <v>24278.7602573529</v>
      </c>
      <c r="Y34" s="94">
        <f t="shared" si="20"/>
        <v>5143.112825</v>
      </c>
      <c r="Z34" s="95"/>
      <c r="AA34" s="94">
        <f t="shared" si="21"/>
        <v>24.3034764705882</v>
      </c>
      <c r="AB34" s="94">
        <f t="shared" ref="AB34:AB56" si="28">SUM(Y34:AA34)</f>
        <v>5167.41630147059</v>
      </c>
      <c r="AC34" s="45">
        <v>7.33</v>
      </c>
      <c r="AD34" s="77">
        <f t="shared" ref="AD34:AD56" si="29">SUM(AB34*AC34)</f>
        <v>37877.1614897794</v>
      </c>
      <c r="AE34" s="77">
        <f t="shared" si="26"/>
        <v>62155.9217471323</v>
      </c>
      <c r="AF34" s="77">
        <f t="shared" ref="AF34:AF56" si="30">SUM(P34-AE34)</f>
        <v>-9794.3317471323</v>
      </c>
    </row>
    <row r="35" s="109" customFormat="1" ht="15" spans="1:32">
      <c r="A35" s="21" t="s">
        <v>8</v>
      </c>
      <c r="B35" s="22" t="s">
        <v>9</v>
      </c>
      <c r="C35" s="23">
        <v>240930000009</v>
      </c>
      <c r="D35" s="24">
        <v>45608</v>
      </c>
      <c r="E35" s="24" t="s">
        <v>57</v>
      </c>
      <c r="F35" s="22" t="s">
        <v>58</v>
      </c>
      <c r="G35" s="22" t="s">
        <v>97</v>
      </c>
      <c r="H35" s="25">
        <v>0.0977</v>
      </c>
      <c r="I35" s="25">
        <v>28.5</v>
      </c>
      <c r="J35" s="105"/>
      <c r="K35" s="110">
        <v>132820</v>
      </c>
      <c r="L35" s="46"/>
      <c r="M35" s="47">
        <f t="shared" si="24"/>
        <v>1648.91371818746</v>
      </c>
      <c r="N35" s="99">
        <v>80.55</v>
      </c>
      <c r="O35" s="49">
        <v>7.3</v>
      </c>
      <c r="P35" s="50">
        <f t="shared" si="25"/>
        <v>588.015</v>
      </c>
      <c r="Q35" s="75">
        <f>SUM(P35:P56)</f>
        <v>188664.536854</v>
      </c>
      <c r="R35" s="76" t="s">
        <v>98</v>
      </c>
      <c r="S35" s="77">
        <f>SUM(53218/68)*H35</f>
        <v>76.4617441176471</v>
      </c>
      <c r="T35" s="77"/>
      <c r="U35" s="77">
        <f>SUM(1955/68)*H35</f>
        <v>2.808875</v>
      </c>
      <c r="V35" s="77"/>
      <c r="W35" s="77"/>
      <c r="X35" s="77">
        <f t="shared" si="27"/>
        <v>79.2706191176471</v>
      </c>
      <c r="Y35" s="94">
        <f>SUM(11360.84/68)*H35</f>
        <v>16.3228539411765</v>
      </c>
      <c r="Z35" s="95">
        <v>11.38</v>
      </c>
      <c r="AA35" s="94">
        <f>SUM(53.54/68)*H35</f>
        <v>0.0769243823529412</v>
      </c>
      <c r="AB35" s="94">
        <f t="shared" si="28"/>
        <v>27.7797783235294</v>
      </c>
      <c r="AC35" s="45">
        <v>7.3</v>
      </c>
      <c r="AD35" s="77">
        <f t="shared" si="29"/>
        <v>202.792381761765</v>
      </c>
      <c r="AE35" s="77">
        <f t="shared" si="26"/>
        <v>282.063000879412</v>
      </c>
      <c r="AF35" s="77">
        <f t="shared" si="30"/>
        <v>305.951999120588</v>
      </c>
    </row>
    <row r="36" s="109" customFormat="1" ht="15" spans="1:32">
      <c r="A36" s="21"/>
      <c r="B36" s="22"/>
      <c r="C36" s="23">
        <v>241015000034</v>
      </c>
      <c r="D36" s="24">
        <v>45608</v>
      </c>
      <c r="E36" s="24" t="s">
        <v>64</v>
      </c>
      <c r="F36" s="22" t="s">
        <v>65</v>
      </c>
      <c r="G36" s="22" t="s">
        <v>72</v>
      </c>
      <c r="H36" s="25">
        <v>4.77</v>
      </c>
      <c r="I36" s="25">
        <v>451</v>
      </c>
      <c r="J36" s="44">
        <v>9789.95</v>
      </c>
      <c r="K36" s="111"/>
      <c r="L36" s="46"/>
      <c r="M36" s="47"/>
      <c r="N36" s="48"/>
      <c r="O36" s="49"/>
      <c r="P36" s="50">
        <f t="shared" ref="P36:P40" si="31">SUBTOTAL(9,J36)</f>
        <v>9789.95</v>
      </c>
      <c r="Q36" s="78"/>
      <c r="R36" s="78"/>
      <c r="S36" s="77">
        <f t="shared" ref="S36:S56" si="32">SUM(53218/68)*H36</f>
        <v>3733.08617647059</v>
      </c>
      <c r="T36" s="77"/>
      <c r="U36" s="77">
        <f t="shared" ref="U36:U56" si="33">SUM(1955/68)*H36</f>
        <v>137.1375</v>
      </c>
      <c r="V36" s="77"/>
      <c r="W36" s="77"/>
      <c r="X36" s="77">
        <f t="shared" si="27"/>
        <v>3870.22367647059</v>
      </c>
      <c r="Y36" s="94">
        <f t="shared" ref="Y36:Y56" si="34">SUM(11360.84/68)*H36</f>
        <v>796.929511764706</v>
      </c>
      <c r="Z36" s="94"/>
      <c r="AA36" s="94">
        <f t="shared" ref="AA36:AA56" si="35">SUM(53.54/68)*H36</f>
        <v>3.75567352941176</v>
      </c>
      <c r="AB36" s="94">
        <f t="shared" si="28"/>
        <v>800.685185294118</v>
      </c>
      <c r="AC36" s="45">
        <v>7.3</v>
      </c>
      <c r="AD36" s="77">
        <f t="shared" si="29"/>
        <v>5845.00185264706</v>
      </c>
      <c r="AE36" s="77">
        <f t="shared" si="26"/>
        <v>9715.22552911764</v>
      </c>
      <c r="AF36" s="77">
        <f t="shared" si="30"/>
        <v>74.72447088236</v>
      </c>
    </row>
    <row r="37" s="109" customFormat="1" ht="15" spans="1:32">
      <c r="A37" s="21"/>
      <c r="B37" s="22"/>
      <c r="C37" s="23">
        <v>241021000005</v>
      </c>
      <c r="D37" s="24">
        <v>45608</v>
      </c>
      <c r="E37" s="24" t="s">
        <v>53</v>
      </c>
      <c r="F37" s="22" t="s">
        <v>54</v>
      </c>
      <c r="G37" s="22" t="s">
        <v>55</v>
      </c>
      <c r="H37" s="25">
        <v>1.1795</v>
      </c>
      <c r="I37" s="25">
        <v>335</v>
      </c>
      <c r="J37" s="50"/>
      <c r="K37" s="110">
        <v>583853</v>
      </c>
      <c r="L37" s="46"/>
      <c r="M37" s="47">
        <f t="shared" si="24"/>
        <v>1650.00150628806</v>
      </c>
      <c r="N37" s="112">
        <v>353.84998</v>
      </c>
      <c r="O37" s="49">
        <v>7.3</v>
      </c>
      <c r="P37" s="50">
        <f t="shared" si="25"/>
        <v>2583.104854</v>
      </c>
      <c r="Q37" s="78"/>
      <c r="R37" s="78"/>
      <c r="S37" s="77">
        <f t="shared" si="32"/>
        <v>923.097514705882</v>
      </c>
      <c r="T37" s="77"/>
      <c r="U37" s="77">
        <f t="shared" si="33"/>
        <v>33.910625</v>
      </c>
      <c r="V37" s="77"/>
      <c r="W37" s="77"/>
      <c r="X37" s="77">
        <f t="shared" si="27"/>
        <v>957.008139705882</v>
      </c>
      <c r="Y37" s="94">
        <f t="shared" si="34"/>
        <v>197.060452647059</v>
      </c>
      <c r="Z37" s="94"/>
      <c r="AA37" s="94">
        <f t="shared" si="35"/>
        <v>0.928682794117647</v>
      </c>
      <c r="AB37" s="94">
        <f t="shared" si="28"/>
        <v>197.989135441176</v>
      </c>
      <c r="AC37" s="45">
        <v>7.3</v>
      </c>
      <c r="AD37" s="77">
        <f t="shared" si="29"/>
        <v>1445.32068872059</v>
      </c>
      <c r="AE37" s="77">
        <f t="shared" si="26"/>
        <v>2402.32882842647</v>
      </c>
      <c r="AF37" s="77">
        <f t="shared" si="30"/>
        <v>180.77602557353</v>
      </c>
    </row>
    <row r="38" s="109" customFormat="1" ht="15" spans="1:32">
      <c r="A38" s="21"/>
      <c r="B38" s="22"/>
      <c r="C38" s="23">
        <v>241022000035</v>
      </c>
      <c r="D38" s="24">
        <v>45608</v>
      </c>
      <c r="E38" s="24" t="s">
        <v>86</v>
      </c>
      <c r="F38" s="22" t="s">
        <v>87</v>
      </c>
      <c r="G38" s="22" t="s">
        <v>88</v>
      </c>
      <c r="H38" s="25">
        <v>28.3553</v>
      </c>
      <c r="I38" s="25">
        <v>15100</v>
      </c>
      <c r="J38" s="44">
        <v>62780</v>
      </c>
      <c r="K38" s="111"/>
      <c r="L38" s="46"/>
      <c r="M38" s="47"/>
      <c r="N38" s="48"/>
      <c r="O38" s="49"/>
      <c r="P38" s="50">
        <f t="shared" si="31"/>
        <v>62780</v>
      </c>
      <c r="Q38" s="78"/>
      <c r="R38" s="78"/>
      <c r="S38" s="77">
        <f t="shared" si="32"/>
        <v>22191.3581676471</v>
      </c>
      <c r="T38" s="77"/>
      <c r="U38" s="77">
        <f t="shared" si="33"/>
        <v>815.214875</v>
      </c>
      <c r="V38" s="79">
        <v>300</v>
      </c>
      <c r="W38" s="77"/>
      <c r="X38" s="77">
        <f t="shared" si="27"/>
        <v>23306.5730426471</v>
      </c>
      <c r="Y38" s="94">
        <f t="shared" si="34"/>
        <v>4737.35333017647</v>
      </c>
      <c r="Z38" s="95">
        <f>SUM(413.88+371.27)</f>
        <v>785.15</v>
      </c>
      <c r="AA38" s="94">
        <f t="shared" si="35"/>
        <v>22.3256288529412</v>
      </c>
      <c r="AB38" s="94">
        <f t="shared" si="28"/>
        <v>5544.82895902941</v>
      </c>
      <c r="AC38" s="45">
        <v>7.3</v>
      </c>
      <c r="AD38" s="77">
        <f t="shared" si="29"/>
        <v>40477.2514009147</v>
      </c>
      <c r="AE38" s="77">
        <f t="shared" si="26"/>
        <v>63783.8244435618</v>
      </c>
      <c r="AF38" s="77">
        <f t="shared" si="30"/>
        <v>-1003.8244435618</v>
      </c>
    </row>
    <row r="39" s="109" customFormat="1" ht="15" spans="1:32">
      <c r="A39" s="21"/>
      <c r="B39" s="22"/>
      <c r="C39" s="23">
        <v>241024000054</v>
      </c>
      <c r="D39" s="24">
        <v>45608</v>
      </c>
      <c r="E39" s="24" t="s">
        <v>70</v>
      </c>
      <c r="F39" s="22" t="s">
        <v>70</v>
      </c>
      <c r="G39" s="22" t="s">
        <v>99</v>
      </c>
      <c r="H39" s="25">
        <v>16.835</v>
      </c>
      <c r="I39" s="25">
        <v>7500</v>
      </c>
      <c r="J39" s="44">
        <v>48779</v>
      </c>
      <c r="K39" s="111"/>
      <c r="L39" s="46"/>
      <c r="M39" s="47"/>
      <c r="N39" s="48"/>
      <c r="O39" s="49"/>
      <c r="P39" s="50">
        <f t="shared" si="31"/>
        <v>48779</v>
      </c>
      <c r="Q39" s="78"/>
      <c r="R39" s="78"/>
      <c r="S39" s="77">
        <f t="shared" si="32"/>
        <v>13175.3680882353</v>
      </c>
      <c r="T39" s="77"/>
      <c r="U39" s="77">
        <f t="shared" si="33"/>
        <v>484.00625</v>
      </c>
      <c r="V39" s="77"/>
      <c r="W39" s="77"/>
      <c r="X39" s="77">
        <f t="shared" si="27"/>
        <v>13659.3743382353</v>
      </c>
      <c r="Y39" s="94">
        <f t="shared" si="34"/>
        <v>2812.64325588235</v>
      </c>
      <c r="Z39" s="95">
        <v>97.38</v>
      </c>
      <c r="AA39" s="94">
        <f t="shared" si="35"/>
        <v>13.2550867647059</v>
      </c>
      <c r="AB39" s="94">
        <f t="shared" si="28"/>
        <v>2923.27834264706</v>
      </c>
      <c r="AC39" s="45">
        <v>7.3</v>
      </c>
      <c r="AD39" s="77">
        <f t="shared" si="29"/>
        <v>21339.9319013235</v>
      </c>
      <c r="AE39" s="77">
        <f t="shared" si="26"/>
        <v>34999.3062395588</v>
      </c>
      <c r="AF39" s="77">
        <f t="shared" si="30"/>
        <v>13779.6937604412</v>
      </c>
    </row>
    <row r="40" s="109" customFormat="1" ht="15" spans="1:32">
      <c r="A40" s="21"/>
      <c r="B40" s="22"/>
      <c r="C40" s="23">
        <v>241104000057</v>
      </c>
      <c r="D40" s="24">
        <v>45608</v>
      </c>
      <c r="E40" s="24" t="s">
        <v>64</v>
      </c>
      <c r="F40" s="22" t="s">
        <v>65</v>
      </c>
      <c r="G40" s="22" t="s">
        <v>72</v>
      </c>
      <c r="H40" s="25">
        <v>2.3978</v>
      </c>
      <c r="I40" s="25">
        <v>447</v>
      </c>
      <c r="J40" s="44">
        <v>4925.76</v>
      </c>
      <c r="K40" s="111"/>
      <c r="L40" s="46"/>
      <c r="M40" s="47"/>
      <c r="N40" s="48"/>
      <c r="O40" s="49"/>
      <c r="P40" s="50">
        <f t="shared" si="31"/>
        <v>4925.76</v>
      </c>
      <c r="Q40" s="78"/>
      <c r="R40" s="78"/>
      <c r="S40" s="77">
        <f t="shared" si="32"/>
        <v>1876.56059411765</v>
      </c>
      <c r="T40" s="77"/>
      <c r="U40" s="77">
        <f t="shared" si="33"/>
        <v>68.93675</v>
      </c>
      <c r="V40" s="77"/>
      <c r="W40" s="77"/>
      <c r="X40" s="77">
        <f t="shared" si="27"/>
        <v>1945.49734411765</v>
      </c>
      <c r="Y40" s="94">
        <f t="shared" si="34"/>
        <v>400.603266941176</v>
      </c>
      <c r="Z40" s="94"/>
      <c r="AA40" s="94">
        <f t="shared" si="35"/>
        <v>1.88791488235294</v>
      </c>
      <c r="AB40" s="94">
        <f t="shared" si="28"/>
        <v>402.491181823529</v>
      </c>
      <c r="AC40" s="45">
        <v>7.3</v>
      </c>
      <c r="AD40" s="77">
        <f t="shared" si="29"/>
        <v>2938.18562731176</v>
      </c>
      <c r="AE40" s="77">
        <f t="shared" si="26"/>
        <v>4883.68297142941</v>
      </c>
      <c r="AF40" s="77">
        <f t="shared" si="30"/>
        <v>42.0770285705903</v>
      </c>
    </row>
    <row r="41" s="109" customFormat="1" ht="15" spans="1:32">
      <c r="A41" s="21"/>
      <c r="B41" s="22"/>
      <c r="C41" s="23">
        <v>241104000071</v>
      </c>
      <c r="D41" s="24">
        <v>45608</v>
      </c>
      <c r="E41" s="24" t="s">
        <v>86</v>
      </c>
      <c r="F41" s="22" t="s">
        <v>87</v>
      </c>
      <c r="G41" s="22" t="s">
        <v>100</v>
      </c>
      <c r="H41" s="25">
        <v>0.2523</v>
      </c>
      <c r="I41" s="25">
        <v>27</v>
      </c>
      <c r="J41" s="50"/>
      <c r="K41" s="110">
        <v>116127</v>
      </c>
      <c r="L41" s="46"/>
      <c r="M41" s="47">
        <f t="shared" ref="M41:M45" si="36">SUM(K41/N41)</f>
        <v>1684.46475195822</v>
      </c>
      <c r="N41" s="52">
        <v>68.94</v>
      </c>
      <c r="O41" s="49">
        <v>7.3</v>
      </c>
      <c r="P41" s="50">
        <f t="shared" ref="P41:P45" si="37">SUM(N41*O41)</f>
        <v>503.262</v>
      </c>
      <c r="Q41" s="78"/>
      <c r="R41" s="78"/>
      <c r="S41" s="77">
        <f t="shared" si="32"/>
        <v>197.454432352941</v>
      </c>
      <c r="T41" s="77"/>
      <c r="U41" s="77">
        <f t="shared" si="33"/>
        <v>7.253625</v>
      </c>
      <c r="V41" s="77"/>
      <c r="W41" s="77"/>
      <c r="X41" s="77">
        <f t="shared" si="27"/>
        <v>204.708057352941</v>
      </c>
      <c r="Y41" s="94">
        <f t="shared" si="34"/>
        <v>42.1520578235294</v>
      </c>
      <c r="Z41" s="94"/>
      <c r="AA41" s="94">
        <f t="shared" si="35"/>
        <v>0.198649147058824</v>
      </c>
      <c r="AB41" s="94">
        <f t="shared" si="28"/>
        <v>42.3507069705882</v>
      </c>
      <c r="AC41" s="45">
        <v>7.3</v>
      </c>
      <c r="AD41" s="77">
        <f t="shared" si="29"/>
        <v>309.160160885294</v>
      </c>
      <c r="AE41" s="77">
        <f t="shared" si="26"/>
        <v>513.868218238235</v>
      </c>
      <c r="AF41" s="77">
        <f t="shared" si="30"/>
        <v>-10.6062182382353</v>
      </c>
    </row>
    <row r="42" s="109" customFormat="1" ht="15" spans="1:32">
      <c r="A42" s="21"/>
      <c r="B42" s="22"/>
      <c r="C42" s="23">
        <v>241105000024</v>
      </c>
      <c r="D42" s="24">
        <v>45608</v>
      </c>
      <c r="E42" s="24" t="s">
        <v>77</v>
      </c>
      <c r="F42" s="22" t="s">
        <v>78</v>
      </c>
      <c r="G42" s="22" t="s">
        <v>101</v>
      </c>
      <c r="H42" s="25">
        <v>2.0026</v>
      </c>
      <c r="I42" s="25">
        <v>262.5</v>
      </c>
      <c r="J42" s="44">
        <v>4385.69</v>
      </c>
      <c r="K42" s="111"/>
      <c r="L42" s="46"/>
      <c r="M42" s="47"/>
      <c r="N42" s="48"/>
      <c r="O42" s="49"/>
      <c r="P42" s="50">
        <f>SUBTOTAL(9,J42)</f>
        <v>4385.69</v>
      </c>
      <c r="Q42" s="78"/>
      <c r="R42" s="78"/>
      <c r="S42" s="77">
        <f t="shared" si="32"/>
        <v>1567.2701</v>
      </c>
      <c r="T42" s="77"/>
      <c r="U42" s="77">
        <f t="shared" si="33"/>
        <v>57.57475</v>
      </c>
      <c r="V42" s="77"/>
      <c r="W42" s="77"/>
      <c r="X42" s="77">
        <f t="shared" si="27"/>
        <v>1624.84485</v>
      </c>
      <c r="Y42" s="94">
        <f t="shared" si="34"/>
        <v>334.576738</v>
      </c>
      <c r="Z42" s="94"/>
      <c r="AA42" s="94">
        <f t="shared" si="35"/>
        <v>1.576753</v>
      </c>
      <c r="AB42" s="94">
        <f t="shared" si="28"/>
        <v>336.153491</v>
      </c>
      <c r="AC42" s="45">
        <v>7.3</v>
      </c>
      <c r="AD42" s="77">
        <f t="shared" si="29"/>
        <v>2453.9204843</v>
      </c>
      <c r="AE42" s="77">
        <f t="shared" si="26"/>
        <v>4078.7653343</v>
      </c>
      <c r="AF42" s="77">
        <f t="shared" si="30"/>
        <v>306.924665699999</v>
      </c>
    </row>
    <row r="43" s="109" customFormat="1" ht="15" spans="1:32">
      <c r="A43" s="21"/>
      <c r="B43" s="22"/>
      <c r="C43" s="23">
        <v>241105000025</v>
      </c>
      <c r="D43" s="24">
        <v>45608</v>
      </c>
      <c r="E43" s="24" t="s">
        <v>57</v>
      </c>
      <c r="F43" s="22" t="s">
        <v>58</v>
      </c>
      <c r="G43" s="22" t="s">
        <v>102</v>
      </c>
      <c r="H43" s="25">
        <v>3.7323</v>
      </c>
      <c r="I43" s="25">
        <v>536</v>
      </c>
      <c r="J43" s="50"/>
      <c r="K43" s="110">
        <v>1998941</v>
      </c>
      <c r="L43" s="46"/>
      <c r="M43" s="47">
        <f t="shared" si="36"/>
        <v>1712.44838516234</v>
      </c>
      <c r="N43" s="52">
        <v>1167.3</v>
      </c>
      <c r="O43" s="49">
        <v>7.3</v>
      </c>
      <c r="P43" s="50">
        <f t="shared" si="37"/>
        <v>8521.29</v>
      </c>
      <c r="Q43" s="78"/>
      <c r="R43" s="78"/>
      <c r="S43" s="77">
        <f t="shared" si="32"/>
        <v>2920.96384411765</v>
      </c>
      <c r="T43" s="77"/>
      <c r="U43" s="77">
        <f t="shared" si="33"/>
        <v>107.303625</v>
      </c>
      <c r="V43" s="77"/>
      <c r="W43" s="79">
        <v>350</v>
      </c>
      <c r="X43" s="77">
        <f t="shared" si="27"/>
        <v>3378.26746911765</v>
      </c>
      <c r="Y43" s="94">
        <f t="shared" si="34"/>
        <v>623.559751941176</v>
      </c>
      <c r="Z43" s="94"/>
      <c r="AA43" s="94">
        <f t="shared" si="35"/>
        <v>2.93863738235294</v>
      </c>
      <c r="AB43" s="94">
        <f t="shared" si="28"/>
        <v>626.498389323529</v>
      </c>
      <c r="AC43" s="45">
        <v>7.3</v>
      </c>
      <c r="AD43" s="77">
        <f t="shared" si="29"/>
        <v>4573.43824206176</v>
      </c>
      <c r="AE43" s="77">
        <f t="shared" si="26"/>
        <v>7951.70571117941</v>
      </c>
      <c r="AF43" s="77">
        <f t="shared" si="30"/>
        <v>569.58428882059</v>
      </c>
    </row>
    <row r="44" s="109" customFormat="1" ht="15" spans="1:32">
      <c r="A44" s="21"/>
      <c r="B44" s="22"/>
      <c r="C44" s="23">
        <v>241105000054</v>
      </c>
      <c r="D44" s="24">
        <v>45608</v>
      </c>
      <c r="E44" s="24" t="s">
        <v>60</v>
      </c>
      <c r="F44" s="22" t="s">
        <v>61</v>
      </c>
      <c r="G44" s="22" t="s">
        <v>103</v>
      </c>
      <c r="H44" s="25">
        <v>0.3709</v>
      </c>
      <c r="I44" s="25">
        <v>167</v>
      </c>
      <c r="J44" s="105"/>
      <c r="K44" s="110">
        <v>206012.98</v>
      </c>
      <c r="L44" s="46"/>
      <c r="M44" s="47">
        <f t="shared" si="36"/>
        <v>1664.88588976887</v>
      </c>
      <c r="N44" s="99">
        <v>123.74</v>
      </c>
      <c r="O44" s="49">
        <v>7.27</v>
      </c>
      <c r="P44" s="50">
        <f t="shared" si="37"/>
        <v>899.5898</v>
      </c>
      <c r="Q44" s="78"/>
      <c r="R44" s="78"/>
      <c r="S44" s="77">
        <f t="shared" si="32"/>
        <v>290.272885294118</v>
      </c>
      <c r="T44" s="77"/>
      <c r="U44" s="77">
        <f t="shared" si="33"/>
        <v>10.663375</v>
      </c>
      <c r="V44" s="77"/>
      <c r="W44" s="77"/>
      <c r="X44" s="77">
        <f t="shared" si="27"/>
        <v>300.936260294118</v>
      </c>
      <c r="Y44" s="94">
        <f t="shared" si="34"/>
        <v>61.9666993529412</v>
      </c>
      <c r="Z44" s="94"/>
      <c r="AA44" s="94">
        <f t="shared" si="35"/>
        <v>0.292029205882353</v>
      </c>
      <c r="AB44" s="94">
        <f t="shared" si="28"/>
        <v>62.2587285588235</v>
      </c>
      <c r="AC44" s="45">
        <v>7.3</v>
      </c>
      <c r="AD44" s="77">
        <f t="shared" si="29"/>
        <v>454.488718479412</v>
      </c>
      <c r="AE44" s="77">
        <f t="shared" si="26"/>
        <v>755.424978773529</v>
      </c>
      <c r="AF44" s="77">
        <f t="shared" si="30"/>
        <v>144.164821226471</v>
      </c>
    </row>
    <row r="45" s="109" customFormat="1" ht="15" spans="1:32">
      <c r="A45" s="21"/>
      <c r="B45" s="22"/>
      <c r="C45" s="23">
        <v>241106000015</v>
      </c>
      <c r="D45" s="24">
        <v>45608</v>
      </c>
      <c r="E45" s="24" t="s">
        <v>64</v>
      </c>
      <c r="F45" s="22" t="s">
        <v>65</v>
      </c>
      <c r="G45" s="22" t="s">
        <v>104</v>
      </c>
      <c r="H45" s="25">
        <v>0.2358</v>
      </c>
      <c r="I45" s="25">
        <v>43</v>
      </c>
      <c r="J45" s="50"/>
      <c r="K45" s="110">
        <v>132422.4</v>
      </c>
      <c r="L45" s="46"/>
      <c r="M45" s="47">
        <f t="shared" si="36"/>
        <v>1672</v>
      </c>
      <c r="N45" s="52">
        <v>79.2</v>
      </c>
      <c r="O45" s="49">
        <v>7.3</v>
      </c>
      <c r="P45" s="50">
        <f t="shared" si="37"/>
        <v>578.16</v>
      </c>
      <c r="Q45" s="78"/>
      <c r="R45" s="78"/>
      <c r="S45" s="77">
        <f t="shared" si="32"/>
        <v>184.541241176471</v>
      </c>
      <c r="T45" s="77"/>
      <c r="U45" s="77">
        <f t="shared" si="33"/>
        <v>6.77925</v>
      </c>
      <c r="V45" s="77"/>
      <c r="W45" s="77"/>
      <c r="X45" s="77">
        <f t="shared" si="27"/>
        <v>191.320491176471</v>
      </c>
      <c r="Y45" s="94">
        <f t="shared" si="34"/>
        <v>39.3953834117647</v>
      </c>
      <c r="Z45" s="94"/>
      <c r="AA45" s="94">
        <f t="shared" si="35"/>
        <v>0.185657823529412</v>
      </c>
      <c r="AB45" s="94">
        <f t="shared" si="28"/>
        <v>39.5810412352941</v>
      </c>
      <c r="AC45" s="45">
        <v>7.3</v>
      </c>
      <c r="AD45" s="77">
        <f t="shared" si="29"/>
        <v>288.941601017647</v>
      </c>
      <c r="AE45" s="77">
        <f t="shared" si="26"/>
        <v>480.262092194118</v>
      </c>
      <c r="AF45" s="77">
        <f t="shared" si="30"/>
        <v>97.8979078058824</v>
      </c>
    </row>
    <row r="46" s="109" customFormat="1" ht="15" spans="1:32">
      <c r="A46" s="21"/>
      <c r="B46" s="22"/>
      <c r="C46" s="23">
        <v>241106000020</v>
      </c>
      <c r="D46" s="24">
        <v>45608</v>
      </c>
      <c r="E46" s="24" t="s">
        <v>57</v>
      </c>
      <c r="F46" s="22" t="s">
        <v>58</v>
      </c>
      <c r="G46" s="22" t="s">
        <v>105</v>
      </c>
      <c r="H46" s="25">
        <v>0.3</v>
      </c>
      <c r="I46" s="25">
        <v>65</v>
      </c>
      <c r="J46" s="44">
        <v>908</v>
      </c>
      <c r="K46" s="111"/>
      <c r="L46" s="46"/>
      <c r="M46" s="47"/>
      <c r="N46" s="48"/>
      <c r="O46" s="49"/>
      <c r="P46" s="50">
        <f t="shared" ref="P46:P49" si="38">SUBTOTAL(9,J46)</f>
        <v>908</v>
      </c>
      <c r="Q46" s="78"/>
      <c r="R46" s="78"/>
      <c r="S46" s="77">
        <f t="shared" si="32"/>
        <v>234.785294117647</v>
      </c>
      <c r="T46" s="77"/>
      <c r="U46" s="77">
        <f t="shared" si="33"/>
        <v>8.625</v>
      </c>
      <c r="V46" s="77"/>
      <c r="W46" s="77"/>
      <c r="X46" s="77">
        <f t="shared" si="27"/>
        <v>243.410294117647</v>
      </c>
      <c r="Y46" s="94">
        <f t="shared" si="34"/>
        <v>50.1213529411765</v>
      </c>
      <c r="Z46" s="95">
        <v>34.85</v>
      </c>
      <c r="AA46" s="94">
        <f t="shared" si="35"/>
        <v>0.236205882352941</v>
      </c>
      <c r="AB46" s="94">
        <f t="shared" si="28"/>
        <v>85.2075588235294</v>
      </c>
      <c r="AC46" s="45">
        <v>7.3</v>
      </c>
      <c r="AD46" s="77">
        <f t="shared" si="29"/>
        <v>622.015179411765</v>
      </c>
      <c r="AE46" s="77">
        <f t="shared" si="26"/>
        <v>865.425473529412</v>
      </c>
      <c r="AF46" s="77">
        <f t="shared" si="30"/>
        <v>42.574526470588</v>
      </c>
    </row>
    <row r="47" s="109" customFormat="1" ht="15" spans="1:32">
      <c r="A47" s="21"/>
      <c r="B47" s="22"/>
      <c r="C47" s="23">
        <v>241106000026</v>
      </c>
      <c r="D47" s="24">
        <v>45608</v>
      </c>
      <c r="E47" s="24" t="s">
        <v>53</v>
      </c>
      <c r="F47" s="22" t="s">
        <v>54</v>
      </c>
      <c r="G47" s="22" t="s">
        <v>106</v>
      </c>
      <c r="H47" s="25">
        <v>0.1938</v>
      </c>
      <c r="I47" s="25">
        <v>63</v>
      </c>
      <c r="J47" s="50"/>
      <c r="K47" s="110">
        <v>188972</v>
      </c>
      <c r="L47" s="46"/>
      <c r="M47" s="47">
        <f t="shared" ref="M47:M52" si="39">SUM(K47/N47)</f>
        <v>1700</v>
      </c>
      <c r="N47" s="52">
        <v>111.16</v>
      </c>
      <c r="O47" s="49">
        <v>7.27</v>
      </c>
      <c r="P47" s="50">
        <f t="shared" ref="P47:P52" si="40">SUM(N47*O47)</f>
        <v>808.1332</v>
      </c>
      <c r="Q47" s="78"/>
      <c r="R47" s="78"/>
      <c r="S47" s="77">
        <f t="shared" si="32"/>
        <v>151.6713</v>
      </c>
      <c r="T47" s="77"/>
      <c r="U47" s="77">
        <f t="shared" si="33"/>
        <v>5.57175</v>
      </c>
      <c r="V47" s="77"/>
      <c r="W47" s="77"/>
      <c r="X47" s="77">
        <f t="shared" si="27"/>
        <v>157.24305</v>
      </c>
      <c r="Y47" s="94">
        <f t="shared" si="34"/>
        <v>32.378394</v>
      </c>
      <c r="Z47" s="95">
        <v>53.58</v>
      </c>
      <c r="AA47" s="94">
        <f t="shared" si="35"/>
        <v>0.152589</v>
      </c>
      <c r="AB47" s="94">
        <f t="shared" si="28"/>
        <v>86.110983</v>
      </c>
      <c r="AC47" s="45">
        <v>7.3</v>
      </c>
      <c r="AD47" s="77">
        <f t="shared" si="29"/>
        <v>628.6101759</v>
      </c>
      <c r="AE47" s="77">
        <f t="shared" si="26"/>
        <v>785.8532259</v>
      </c>
      <c r="AF47" s="77">
        <f t="shared" si="30"/>
        <v>22.2799740999999</v>
      </c>
    </row>
    <row r="48" s="109" customFormat="1" ht="15" spans="1:32">
      <c r="A48" s="21"/>
      <c r="B48" s="22"/>
      <c r="C48" s="23">
        <v>241106000034</v>
      </c>
      <c r="D48" s="24">
        <v>45608</v>
      </c>
      <c r="E48" s="24" t="s">
        <v>57</v>
      </c>
      <c r="F48" s="22" t="s">
        <v>58</v>
      </c>
      <c r="G48" s="22" t="s">
        <v>107</v>
      </c>
      <c r="H48" s="25">
        <v>0.3814</v>
      </c>
      <c r="I48" s="25">
        <v>55</v>
      </c>
      <c r="J48" s="44">
        <v>1213</v>
      </c>
      <c r="K48" s="111"/>
      <c r="L48" s="46"/>
      <c r="M48" s="47"/>
      <c r="N48" s="48"/>
      <c r="O48" s="49"/>
      <c r="P48" s="50">
        <f t="shared" si="38"/>
        <v>1213</v>
      </c>
      <c r="Q48" s="78"/>
      <c r="R48" s="78"/>
      <c r="S48" s="77">
        <f t="shared" si="32"/>
        <v>298.490370588235</v>
      </c>
      <c r="T48" s="77"/>
      <c r="U48" s="77">
        <f t="shared" si="33"/>
        <v>10.96525</v>
      </c>
      <c r="V48" s="77"/>
      <c r="W48" s="77"/>
      <c r="X48" s="77">
        <f t="shared" si="27"/>
        <v>309.455620588235</v>
      </c>
      <c r="Y48" s="94">
        <f t="shared" si="34"/>
        <v>63.7209467058824</v>
      </c>
      <c r="Z48" s="95">
        <v>44.32</v>
      </c>
      <c r="AA48" s="94">
        <f t="shared" si="35"/>
        <v>0.300296411764706</v>
      </c>
      <c r="AB48" s="94">
        <f t="shared" si="28"/>
        <v>108.341243117647</v>
      </c>
      <c r="AC48" s="45">
        <v>7.3</v>
      </c>
      <c r="AD48" s="77">
        <f t="shared" si="29"/>
        <v>790.891074758824</v>
      </c>
      <c r="AE48" s="77">
        <f t="shared" si="26"/>
        <v>1100.34669534706</v>
      </c>
      <c r="AF48" s="77">
        <f t="shared" si="30"/>
        <v>112.65330465294</v>
      </c>
    </row>
    <row r="49" s="109" customFormat="1" ht="15" spans="1:32">
      <c r="A49" s="21"/>
      <c r="B49" s="22"/>
      <c r="C49" s="23">
        <v>241106000049</v>
      </c>
      <c r="D49" s="24">
        <v>45608</v>
      </c>
      <c r="E49" s="24" t="s">
        <v>57</v>
      </c>
      <c r="F49" s="22" t="s">
        <v>58</v>
      </c>
      <c r="G49" s="22" t="s">
        <v>108</v>
      </c>
      <c r="H49" s="25">
        <v>0.0224</v>
      </c>
      <c r="I49" s="25">
        <v>5.5</v>
      </c>
      <c r="J49" s="44">
        <v>228</v>
      </c>
      <c r="K49" s="111"/>
      <c r="L49" s="46"/>
      <c r="M49" s="47"/>
      <c r="N49" s="48"/>
      <c r="O49" s="49"/>
      <c r="P49" s="50">
        <f t="shared" si="38"/>
        <v>228</v>
      </c>
      <c r="Q49" s="78"/>
      <c r="R49" s="78"/>
      <c r="S49" s="77">
        <f t="shared" si="32"/>
        <v>17.5306352941176</v>
      </c>
      <c r="T49" s="77"/>
      <c r="U49" s="77">
        <f t="shared" si="33"/>
        <v>0.644</v>
      </c>
      <c r="V49" s="77"/>
      <c r="W49" s="77"/>
      <c r="X49" s="77">
        <f t="shared" si="27"/>
        <v>18.1746352941176</v>
      </c>
      <c r="Y49" s="94">
        <f t="shared" si="34"/>
        <v>3.74239435294118</v>
      </c>
      <c r="Z49" s="94"/>
      <c r="AA49" s="94">
        <f t="shared" si="35"/>
        <v>0.0176367058823529</v>
      </c>
      <c r="AB49" s="94">
        <f t="shared" si="28"/>
        <v>3.76003105882353</v>
      </c>
      <c r="AC49" s="45">
        <v>7.3</v>
      </c>
      <c r="AD49" s="77">
        <f t="shared" si="29"/>
        <v>27.4482267294118</v>
      </c>
      <c r="AE49" s="77">
        <f t="shared" si="26"/>
        <v>45.6228620235294</v>
      </c>
      <c r="AF49" s="77">
        <f t="shared" si="30"/>
        <v>182.377137976471</v>
      </c>
    </row>
    <row r="50" s="109" customFormat="1" ht="15" spans="1:32">
      <c r="A50" s="21"/>
      <c r="B50" s="22"/>
      <c r="C50" s="23">
        <v>241107000010</v>
      </c>
      <c r="D50" s="24">
        <v>45608</v>
      </c>
      <c r="E50" s="24" t="s">
        <v>64</v>
      </c>
      <c r="F50" s="22" t="s">
        <v>65</v>
      </c>
      <c r="G50" s="22" t="s">
        <v>89</v>
      </c>
      <c r="H50" s="25">
        <v>0.616</v>
      </c>
      <c r="I50" s="25">
        <v>188</v>
      </c>
      <c r="J50" s="50"/>
      <c r="K50" s="110">
        <v>331724.8</v>
      </c>
      <c r="L50" s="46"/>
      <c r="M50" s="47">
        <f t="shared" si="39"/>
        <v>1672</v>
      </c>
      <c r="N50" s="52">
        <v>198.4</v>
      </c>
      <c r="O50" s="49">
        <v>7.3</v>
      </c>
      <c r="P50" s="50">
        <f t="shared" si="40"/>
        <v>1448.32</v>
      </c>
      <c r="Q50" s="78"/>
      <c r="R50" s="78"/>
      <c r="S50" s="77">
        <f t="shared" si="32"/>
        <v>482.092470588235</v>
      </c>
      <c r="T50" s="77"/>
      <c r="U50" s="77">
        <f t="shared" si="33"/>
        <v>17.71</v>
      </c>
      <c r="V50" s="77"/>
      <c r="W50" s="77"/>
      <c r="X50" s="77">
        <f t="shared" si="27"/>
        <v>499.802470588235</v>
      </c>
      <c r="Y50" s="94">
        <f t="shared" si="34"/>
        <v>102.915844705882</v>
      </c>
      <c r="Z50" s="95">
        <v>3.11</v>
      </c>
      <c r="AA50" s="94">
        <f t="shared" si="35"/>
        <v>0.485009411764706</v>
      </c>
      <c r="AB50" s="94">
        <f t="shared" si="28"/>
        <v>106.510854117647</v>
      </c>
      <c r="AC50" s="45">
        <v>7.3</v>
      </c>
      <c r="AD50" s="77">
        <f t="shared" si="29"/>
        <v>777.529235058823</v>
      </c>
      <c r="AE50" s="77">
        <f t="shared" si="26"/>
        <v>1277.33170564706</v>
      </c>
      <c r="AF50" s="77">
        <f t="shared" si="30"/>
        <v>170.988294352941</v>
      </c>
    </row>
    <row r="51" s="109" customFormat="1" ht="15" spans="1:32">
      <c r="A51" s="21"/>
      <c r="B51" s="22"/>
      <c r="C51" s="23">
        <v>241107000011</v>
      </c>
      <c r="D51" s="24">
        <v>45608</v>
      </c>
      <c r="E51" s="24" t="s">
        <v>64</v>
      </c>
      <c r="F51" s="22" t="s">
        <v>65</v>
      </c>
      <c r="G51" s="22" t="s">
        <v>89</v>
      </c>
      <c r="H51" s="25">
        <v>2.028</v>
      </c>
      <c r="I51" s="25">
        <v>358</v>
      </c>
      <c r="J51" s="50"/>
      <c r="K51" s="110">
        <v>1086131.2</v>
      </c>
      <c r="L51" s="46"/>
      <c r="M51" s="47">
        <f t="shared" si="39"/>
        <v>1672</v>
      </c>
      <c r="N51" s="52">
        <v>649.6</v>
      </c>
      <c r="O51" s="49">
        <v>7.3</v>
      </c>
      <c r="P51" s="50">
        <f t="shared" si="40"/>
        <v>4742.08</v>
      </c>
      <c r="Q51" s="78"/>
      <c r="R51" s="78"/>
      <c r="S51" s="77">
        <f t="shared" si="32"/>
        <v>1587.14858823529</v>
      </c>
      <c r="T51" s="77"/>
      <c r="U51" s="77">
        <f t="shared" si="33"/>
        <v>58.305</v>
      </c>
      <c r="V51" s="77"/>
      <c r="W51" s="77"/>
      <c r="X51" s="77">
        <f t="shared" si="27"/>
        <v>1645.45358823529</v>
      </c>
      <c r="Y51" s="94">
        <f t="shared" si="34"/>
        <v>338.820345882353</v>
      </c>
      <c r="Z51" s="95">
        <v>10.18</v>
      </c>
      <c r="AA51" s="94">
        <f t="shared" si="35"/>
        <v>1.59675176470588</v>
      </c>
      <c r="AB51" s="94">
        <f t="shared" si="28"/>
        <v>350.597097647059</v>
      </c>
      <c r="AC51" s="45">
        <v>7.3</v>
      </c>
      <c r="AD51" s="77">
        <f t="shared" si="29"/>
        <v>2559.35881282353</v>
      </c>
      <c r="AE51" s="77">
        <f t="shared" si="26"/>
        <v>4204.81240105882</v>
      </c>
      <c r="AF51" s="77">
        <f t="shared" si="30"/>
        <v>537.267598941176</v>
      </c>
    </row>
    <row r="52" s="109" customFormat="1" ht="15" spans="1:32">
      <c r="A52" s="21"/>
      <c r="B52" s="22"/>
      <c r="C52" s="23">
        <v>241107000012</v>
      </c>
      <c r="D52" s="24">
        <v>45608</v>
      </c>
      <c r="E52" s="24" t="s">
        <v>64</v>
      </c>
      <c r="F52" s="22" t="s">
        <v>65</v>
      </c>
      <c r="G52" s="22" t="s">
        <v>89</v>
      </c>
      <c r="H52" s="25">
        <v>7.8483</v>
      </c>
      <c r="I52" s="25">
        <v>1598</v>
      </c>
      <c r="J52" s="50"/>
      <c r="K52" s="110">
        <v>4200064</v>
      </c>
      <c r="L52" s="46"/>
      <c r="M52" s="47">
        <f t="shared" si="39"/>
        <v>1672</v>
      </c>
      <c r="N52" s="52">
        <v>2512</v>
      </c>
      <c r="O52" s="49">
        <v>7.3</v>
      </c>
      <c r="P52" s="50">
        <f t="shared" si="40"/>
        <v>18337.6</v>
      </c>
      <c r="Q52" s="78"/>
      <c r="R52" s="78"/>
      <c r="S52" s="77">
        <f t="shared" si="32"/>
        <v>6142.21807941176</v>
      </c>
      <c r="T52" s="77"/>
      <c r="U52" s="77">
        <f t="shared" si="33"/>
        <v>225.638625</v>
      </c>
      <c r="V52" s="77"/>
      <c r="W52" s="77"/>
      <c r="X52" s="77">
        <f t="shared" si="27"/>
        <v>6367.85670441176</v>
      </c>
      <c r="Y52" s="94">
        <f t="shared" si="34"/>
        <v>1311.22471429412</v>
      </c>
      <c r="Z52" s="95">
        <v>39.27</v>
      </c>
      <c r="AA52" s="94">
        <f t="shared" si="35"/>
        <v>6.17938208823529</v>
      </c>
      <c r="AB52" s="94">
        <f t="shared" si="28"/>
        <v>1356.67409638235</v>
      </c>
      <c r="AC52" s="45">
        <v>7.3</v>
      </c>
      <c r="AD52" s="77">
        <f t="shared" si="29"/>
        <v>9903.72090359118</v>
      </c>
      <c r="AE52" s="77">
        <f t="shared" si="26"/>
        <v>16271.5776080029</v>
      </c>
      <c r="AF52" s="77">
        <f t="shared" si="30"/>
        <v>2066.02239199706</v>
      </c>
    </row>
    <row r="53" s="109" customFormat="1" ht="15" spans="1:32">
      <c r="A53" s="21"/>
      <c r="B53" s="22"/>
      <c r="C53" s="23">
        <v>241108000001</v>
      </c>
      <c r="D53" s="24">
        <v>45608</v>
      </c>
      <c r="E53" s="24" t="s">
        <v>70</v>
      </c>
      <c r="F53" s="22" t="s">
        <v>70</v>
      </c>
      <c r="G53" s="22" t="s">
        <v>109</v>
      </c>
      <c r="H53" s="25">
        <v>1.6887</v>
      </c>
      <c r="I53" s="25">
        <v>558</v>
      </c>
      <c r="J53" s="44">
        <v>5053</v>
      </c>
      <c r="K53" s="111"/>
      <c r="L53" s="46"/>
      <c r="M53" s="47"/>
      <c r="N53" s="48"/>
      <c r="O53" s="49"/>
      <c r="P53" s="50">
        <f t="shared" ref="P53:P57" si="41">SUBTOTAL(9,J53)</f>
        <v>5053</v>
      </c>
      <c r="Q53" s="78"/>
      <c r="R53" s="78"/>
      <c r="S53" s="77">
        <f t="shared" si="32"/>
        <v>1321.60642058824</v>
      </c>
      <c r="T53" s="77"/>
      <c r="U53" s="77">
        <f t="shared" si="33"/>
        <v>48.550125</v>
      </c>
      <c r="V53" s="77"/>
      <c r="W53" s="77"/>
      <c r="X53" s="77">
        <f t="shared" si="27"/>
        <v>1370.15654558824</v>
      </c>
      <c r="Y53" s="94">
        <f t="shared" si="34"/>
        <v>282.133095705882</v>
      </c>
      <c r="Z53" s="94">
        <v>57.94</v>
      </c>
      <c r="AA53" s="94">
        <f t="shared" si="35"/>
        <v>1.32960291176471</v>
      </c>
      <c r="AB53" s="94">
        <f t="shared" si="28"/>
        <v>341.402698617647</v>
      </c>
      <c r="AC53" s="45">
        <v>7.3</v>
      </c>
      <c r="AD53" s="77">
        <f t="shared" si="29"/>
        <v>2492.23969990882</v>
      </c>
      <c r="AE53" s="77">
        <f t="shared" si="26"/>
        <v>3862.39624549706</v>
      </c>
      <c r="AF53" s="77">
        <f t="shared" si="30"/>
        <v>1190.60375450294</v>
      </c>
    </row>
    <row r="54" s="109" customFormat="1" ht="15" spans="1:32">
      <c r="A54" s="21"/>
      <c r="B54" s="22"/>
      <c r="C54" s="23">
        <v>241109000008</v>
      </c>
      <c r="D54" s="24">
        <v>45608</v>
      </c>
      <c r="E54" s="24" t="s">
        <v>64</v>
      </c>
      <c r="F54" s="22" t="s">
        <v>65</v>
      </c>
      <c r="G54" s="22" t="s">
        <v>104</v>
      </c>
      <c r="H54" s="25">
        <v>1.344</v>
      </c>
      <c r="I54" s="25">
        <v>254</v>
      </c>
      <c r="J54" s="50"/>
      <c r="K54" s="110">
        <v>696622.08</v>
      </c>
      <c r="L54" s="46"/>
      <c r="M54" s="47">
        <f>SUM(K54/N54)</f>
        <v>1672</v>
      </c>
      <c r="N54" s="52">
        <v>416.64</v>
      </c>
      <c r="O54" s="49">
        <v>7.3</v>
      </c>
      <c r="P54" s="50">
        <f>SUM(N54*O54)</f>
        <v>3041.472</v>
      </c>
      <c r="Q54" s="78"/>
      <c r="R54" s="78"/>
      <c r="S54" s="77">
        <f t="shared" si="32"/>
        <v>1051.83811764706</v>
      </c>
      <c r="T54" s="77"/>
      <c r="U54" s="77">
        <f t="shared" si="33"/>
        <v>38.64</v>
      </c>
      <c r="V54" s="77"/>
      <c r="W54" s="77"/>
      <c r="X54" s="77">
        <f t="shared" si="27"/>
        <v>1090.47811764706</v>
      </c>
      <c r="Y54" s="94">
        <f t="shared" si="34"/>
        <v>224.543661176471</v>
      </c>
      <c r="Z54" s="94"/>
      <c r="AA54" s="94">
        <f t="shared" si="35"/>
        <v>1.05820235294118</v>
      </c>
      <c r="AB54" s="94">
        <f t="shared" si="28"/>
        <v>225.601863529412</v>
      </c>
      <c r="AC54" s="45">
        <v>7.3</v>
      </c>
      <c r="AD54" s="77">
        <f t="shared" si="29"/>
        <v>1646.89360376471</v>
      </c>
      <c r="AE54" s="77">
        <f t="shared" si="26"/>
        <v>2737.37172141177</v>
      </c>
      <c r="AF54" s="77">
        <f t="shared" si="30"/>
        <v>304.100278588235</v>
      </c>
    </row>
    <row r="55" s="2" customFormat="1" spans="1:32">
      <c r="A55" s="21"/>
      <c r="B55" s="22"/>
      <c r="C55" s="23">
        <v>241210000044</v>
      </c>
      <c r="D55" s="24">
        <v>45609</v>
      </c>
      <c r="E55" s="24" t="s">
        <v>94</v>
      </c>
      <c r="F55" s="22" t="s">
        <v>95</v>
      </c>
      <c r="G55" s="22" t="s">
        <v>96</v>
      </c>
      <c r="H55" s="25">
        <v>5.104</v>
      </c>
      <c r="I55" s="25">
        <v>471</v>
      </c>
      <c r="J55" s="44">
        <v>7929.81</v>
      </c>
      <c r="K55" s="100"/>
      <c r="L55" s="46"/>
      <c r="M55" s="47"/>
      <c r="N55" s="52"/>
      <c r="O55" s="49"/>
      <c r="P55" s="50">
        <f t="shared" si="41"/>
        <v>7929.81</v>
      </c>
      <c r="Q55" s="78"/>
      <c r="R55" s="78"/>
      <c r="S55" s="77">
        <f t="shared" si="32"/>
        <v>3994.48047058824</v>
      </c>
      <c r="T55" s="77"/>
      <c r="U55" s="77">
        <f t="shared" si="33"/>
        <v>146.74</v>
      </c>
      <c r="V55" s="77"/>
      <c r="W55" s="77"/>
      <c r="X55" s="77">
        <f t="shared" si="27"/>
        <v>4141.22047058824</v>
      </c>
      <c r="Y55" s="94">
        <f t="shared" si="34"/>
        <v>852.731284705882</v>
      </c>
      <c r="Z55" s="94"/>
      <c r="AA55" s="94">
        <f t="shared" si="35"/>
        <v>4.01864941176471</v>
      </c>
      <c r="AB55" s="94">
        <f t="shared" si="28"/>
        <v>856.749934117647</v>
      </c>
      <c r="AC55" s="45">
        <v>7.3</v>
      </c>
      <c r="AD55" s="77">
        <f t="shared" ref="AD55:AD76" si="42">SUM(AB55*AC55)</f>
        <v>6254.27451905882</v>
      </c>
      <c r="AE55" s="77">
        <f t="shared" ref="AE55:AE76" si="43">SUM(X55+AD55)</f>
        <v>10395.4949896471</v>
      </c>
      <c r="AF55" s="77">
        <f t="shared" si="30"/>
        <v>-2465.6849896471</v>
      </c>
    </row>
    <row r="56" s="109" customFormat="1" ht="15" spans="1:32">
      <c r="A56" s="21"/>
      <c r="B56" s="22"/>
      <c r="C56" s="23">
        <v>241112000025</v>
      </c>
      <c r="D56" s="24">
        <v>45608</v>
      </c>
      <c r="E56" s="24" t="s">
        <v>77</v>
      </c>
      <c r="F56" s="22" t="s">
        <v>78</v>
      </c>
      <c r="G56" s="22" t="s">
        <v>79</v>
      </c>
      <c r="H56" s="25">
        <v>0.2838</v>
      </c>
      <c r="I56" s="25">
        <v>166</v>
      </c>
      <c r="J56" s="44">
        <v>621.3</v>
      </c>
      <c r="K56" s="111"/>
      <c r="L56" s="46"/>
      <c r="M56" s="47"/>
      <c r="N56" s="48"/>
      <c r="O56" s="49"/>
      <c r="P56" s="50">
        <f t="shared" si="41"/>
        <v>621.3</v>
      </c>
      <c r="Q56" s="81"/>
      <c r="R56" s="81"/>
      <c r="S56" s="77">
        <f t="shared" si="32"/>
        <v>222.106888235294</v>
      </c>
      <c r="T56" s="77"/>
      <c r="U56" s="77">
        <f t="shared" si="33"/>
        <v>8.15925</v>
      </c>
      <c r="V56" s="77"/>
      <c r="W56" s="77"/>
      <c r="X56" s="77">
        <f t="shared" ref="X56:X76" si="44">SUM(S56:W56)</f>
        <v>230.266138235294</v>
      </c>
      <c r="Y56" s="94">
        <f t="shared" si="34"/>
        <v>47.4147998823529</v>
      </c>
      <c r="Z56" s="94"/>
      <c r="AA56" s="94">
        <f t="shared" si="35"/>
        <v>0.223450764705882</v>
      </c>
      <c r="AB56" s="94">
        <f t="shared" si="28"/>
        <v>47.6382506470588</v>
      </c>
      <c r="AC56" s="45">
        <v>7.3</v>
      </c>
      <c r="AD56" s="77">
        <f t="shared" si="42"/>
        <v>347.759229723529</v>
      </c>
      <c r="AE56" s="77">
        <f t="shared" si="43"/>
        <v>578.025367958823</v>
      </c>
      <c r="AF56" s="77">
        <f t="shared" si="30"/>
        <v>43.2746320411769</v>
      </c>
    </row>
    <row r="57" s="2" customFormat="1" spans="1:32">
      <c r="A57" s="21" t="s">
        <v>10</v>
      </c>
      <c r="B57" s="22" t="s">
        <v>11</v>
      </c>
      <c r="C57" s="23">
        <v>241030000025</v>
      </c>
      <c r="D57" s="24">
        <v>45609</v>
      </c>
      <c r="E57" s="24" t="s">
        <v>57</v>
      </c>
      <c r="F57" s="22" t="s">
        <v>58</v>
      </c>
      <c r="G57" s="22" t="s">
        <v>84</v>
      </c>
      <c r="H57" s="25">
        <v>0.0306</v>
      </c>
      <c r="I57" s="25">
        <v>10</v>
      </c>
      <c r="J57" s="44">
        <v>65</v>
      </c>
      <c r="K57" s="100"/>
      <c r="L57" s="46"/>
      <c r="M57" s="47"/>
      <c r="N57" s="48"/>
      <c r="O57" s="49"/>
      <c r="P57" s="50">
        <f t="shared" si="41"/>
        <v>65</v>
      </c>
      <c r="Q57" s="75">
        <f>SUM(P57:P76)</f>
        <v>145491.102536</v>
      </c>
      <c r="R57" s="76" t="s">
        <v>110</v>
      </c>
      <c r="S57" s="77">
        <f>SUM(46803/68)*H57</f>
        <v>21.06135</v>
      </c>
      <c r="T57" s="77"/>
      <c r="U57" s="77">
        <f>SUM(1800/68)*H57</f>
        <v>0.81</v>
      </c>
      <c r="V57" s="77"/>
      <c r="W57" s="77"/>
      <c r="X57" s="77">
        <f t="shared" si="44"/>
        <v>21.87135</v>
      </c>
      <c r="Y57" s="94">
        <f>SUM(10793.87/68)*H57</f>
        <v>4.8572415</v>
      </c>
      <c r="Z57" s="94"/>
      <c r="AA57" s="94">
        <f>SUM(94.98/68)*H57</f>
        <v>0.042741</v>
      </c>
      <c r="AB57" s="94">
        <f t="shared" ref="AB57:AB76" si="45">SUM(Y57:AA57)</f>
        <v>4.8999825</v>
      </c>
      <c r="AC57" s="45">
        <v>7.33</v>
      </c>
      <c r="AD57" s="77">
        <f t="shared" si="42"/>
        <v>35.916871725</v>
      </c>
      <c r="AE57" s="77">
        <f t="shared" si="43"/>
        <v>57.788221725</v>
      </c>
      <c r="AF57" s="77">
        <f t="shared" ref="AF57:AF76" si="46">SUM(P57-AE57)</f>
        <v>7.211778275</v>
      </c>
    </row>
    <row r="58" s="2" customFormat="1" spans="1:32">
      <c r="A58" s="21"/>
      <c r="B58" s="22"/>
      <c r="C58" s="23">
        <v>241102000008</v>
      </c>
      <c r="D58" s="24">
        <v>45609</v>
      </c>
      <c r="E58" s="24" t="s">
        <v>57</v>
      </c>
      <c r="F58" s="22" t="s">
        <v>58</v>
      </c>
      <c r="G58" s="22" t="s">
        <v>67</v>
      </c>
      <c r="H58" s="25">
        <v>2.0582</v>
      </c>
      <c r="I58" s="25">
        <v>755</v>
      </c>
      <c r="J58" s="50"/>
      <c r="K58" s="108">
        <v>957151</v>
      </c>
      <c r="L58" s="46"/>
      <c r="M58" s="47">
        <f t="shared" ref="M58:M66" si="47">SUM(K58/N58)</f>
        <v>1603.59033641603</v>
      </c>
      <c r="N58" s="52">
        <v>596.88</v>
      </c>
      <c r="O58" s="49">
        <v>7.3</v>
      </c>
      <c r="P58" s="50">
        <f t="shared" ref="P58:P66" si="48">SUM(N58*O58)</f>
        <v>4357.224</v>
      </c>
      <c r="Q58" s="78"/>
      <c r="R58" s="78"/>
      <c r="S58" s="77">
        <f t="shared" ref="S58:S76" si="49">SUM(46803/68)*H58</f>
        <v>1416.61668529412</v>
      </c>
      <c r="T58" s="77"/>
      <c r="U58" s="77">
        <f t="shared" ref="U58:U76" si="50">SUM(1800/68)*H58</f>
        <v>54.4817647058823</v>
      </c>
      <c r="V58" s="77"/>
      <c r="W58" s="77"/>
      <c r="X58" s="77">
        <f t="shared" si="44"/>
        <v>1471.09845</v>
      </c>
      <c r="Y58" s="94">
        <f t="shared" ref="Y58:Y76" si="51">SUM(10793.87/68)*H58</f>
        <v>326.705047558824</v>
      </c>
      <c r="Z58" s="94"/>
      <c r="AA58" s="94">
        <f t="shared" ref="AA58:AA76" si="52">SUM(94.98/68)*H58</f>
        <v>2.87482111764706</v>
      </c>
      <c r="AB58" s="94">
        <f t="shared" si="45"/>
        <v>329.579868676471</v>
      </c>
      <c r="AC58" s="45">
        <v>7.33</v>
      </c>
      <c r="AD58" s="77">
        <f t="shared" si="42"/>
        <v>2415.82043739853</v>
      </c>
      <c r="AE58" s="77">
        <f t="shared" si="43"/>
        <v>3886.91888739853</v>
      </c>
      <c r="AF58" s="77">
        <f t="shared" si="46"/>
        <v>470.305112601471</v>
      </c>
    </row>
    <row r="59" s="2" customFormat="1" spans="1:32">
      <c r="A59" s="21"/>
      <c r="B59" s="22"/>
      <c r="C59" s="23">
        <v>241107000009</v>
      </c>
      <c r="D59" s="24">
        <v>45609</v>
      </c>
      <c r="E59" s="24" t="s">
        <v>57</v>
      </c>
      <c r="F59" s="22" t="s">
        <v>58</v>
      </c>
      <c r="G59" s="22" t="s">
        <v>111</v>
      </c>
      <c r="H59" s="25">
        <v>1.6128</v>
      </c>
      <c r="I59" s="25">
        <v>1251</v>
      </c>
      <c r="J59" s="44">
        <v>3794.79</v>
      </c>
      <c r="K59" s="45"/>
      <c r="L59" s="99"/>
      <c r="M59" s="47"/>
      <c r="N59" s="52"/>
      <c r="O59" s="49"/>
      <c r="P59" s="50">
        <f>SUBTOTAL(9,J59)</f>
        <v>3794.79</v>
      </c>
      <c r="Q59" s="78"/>
      <c r="R59" s="78"/>
      <c r="S59" s="77">
        <f t="shared" si="49"/>
        <v>1110.05703529412</v>
      </c>
      <c r="T59" s="77"/>
      <c r="U59" s="77">
        <f t="shared" si="50"/>
        <v>42.6917647058823</v>
      </c>
      <c r="V59" s="77"/>
      <c r="W59" s="77"/>
      <c r="X59" s="77">
        <f t="shared" si="44"/>
        <v>1152.7488</v>
      </c>
      <c r="Y59" s="94">
        <f t="shared" si="51"/>
        <v>256.005199058824</v>
      </c>
      <c r="Z59" s="94"/>
      <c r="AA59" s="94">
        <f t="shared" si="52"/>
        <v>2.25270211764706</v>
      </c>
      <c r="AB59" s="94">
        <f t="shared" si="45"/>
        <v>258.257901176471</v>
      </c>
      <c r="AC59" s="45">
        <v>7.33</v>
      </c>
      <c r="AD59" s="77">
        <f t="shared" si="42"/>
        <v>1893.03041562353</v>
      </c>
      <c r="AE59" s="77">
        <f t="shared" si="43"/>
        <v>3045.77921562353</v>
      </c>
      <c r="AF59" s="77">
        <f t="shared" si="46"/>
        <v>749.01078437647</v>
      </c>
    </row>
    <row r="60" s="2" customFormat="1" spans="1:32">
      <c r="A60" s="21"/>
      <c r="B60" s="22"/>
      <c r="C60" s="23">
        <v>241104000001</v>
      </c>
      <c r="D60" s="24">
        <v>45609</v>
      </c>
      <c r="E60" s="24" t="s">
        <v>53</v>
      </c>
      <c r="F60" s="22" t="s">
        <v>54</v>
      </c>
      <c r="G60" s="22" t="s">
        <v>112</v>
      </c>
      <c r="H60" s="25">
        <v>0.462</v>
      </c>
      <c r="I60" s="25">
        <v>90</v>
      </c>
      <c r="J60" s="50"/>
      <c r="K60" s="51">
        <v>368397.9</v>
      </c>
      <c r="L60" s="46"/>
      <c r="M60" s="47">
        <f t="shared" si="47"/>
        <v>1665</v>
      </c>
      <c r="N60" s="52">
        <v>221.26</v>
      </c>
      <c r="O60" s="49">
        <v>7.3</v>
      </c>
      <c r="P60" s="50">
        <f t="shared" si="48"/>
        <v>1615.198</v>
      </c>
      <c r="Q60" s="78"/>
      <c r="R60" s="78"/>
      <c r="S60" s="77">
        <f t="shared" si="49"/>
        <v>317.985088235294</v>
      </c>
      <c r="T60" s="77"/>
      <c r="U60" s="77">
        <f t="shared" si="50"/>
        <v>12.2294117647059</v>
      </c>
      <c r="V60" s="77"/>
      <c r="W60" s="77"/>
      <c r="X60" s="77">
        <f t="shared" si="44"/>
        <v>330.2145</v>
      </c>
      <c r="Y60" s="94">
        <f t="shared" si="51"/>
        <v>73.3348226470588</v>
      </c>
      <c r="Z60" s="95">
        <v>57.94</v>
      </c>
      <c r="AA60" s="94">
        <f t="shared" si="52"/>
        <v>0.645305294117647</v>
      </c>
      <c r="AB60" s="94">
        <f t="shared" si="45"/>
        <v>131.920127941176</v>
      </c>
      <c r="AC60" s="45">
        <v>7.33</v>
      </c>
      <c r="AD60" s="77">
        <f t="shared" si="42"/>
        <v>966.974537808824</v>
      </c>
      <c r="AE60" s="77">
        <f t="shared" si="43"/>
        <v>1297.18903780882</v>
      </c>
      <c r="AF60" s="77">
        <f t="shared" si="46"/>
        <v>318.008962191176</v>
      </c>
    </row>
    <row r="61" s="2" customFormat="1" spans="1:32">
      <c r="A61" s="21"/>
      <c r="B61" s="22"/>
      <c r="C61" s="23">
        <v>241105000045</v>
      </c>
      <c r="D61" s="24">
        <v>45609</v>
      </c>
      <c r="E61" s="24" t="s">
        <v>53</v>
      </c>
      <c r="F61" s="22" t="s">
        <v>54</v>
      </c>
      <c r="G61" s="22" t="s">
        <v>113</v>
      </c>
      <c r="H61" s="25">
        <v>0.8486</v>
      </c>
      <c r="I61" s="25">
        <v>297</v>
      </c>
      <c r="J61" s="105"/>
      <c r="K61" s="51">
        <v>432928.65</v>
      </c>
      <c r="L61" s="46"/>
      <c r="M61" s="47">
        <f t="shared" si="47"/>
        <v>1663.25502324331</v>
      </c>
      <c r="N61" s="99">
        <v>260.29</v>
      </c>
      <c r="O61" s="49">
        <v>7.3</v>
      </c>
      <c r="P61" s="50">
        <f t="shared" si="48"/>
        <v>1900.117</v>
      </c>
      <c r="Q61" s="78"/>
      <c r="R61" s="78"/>
      <c r="S61" s="77">
        <f t="shared" si="49"/>
        <v>584.073908823529</v>
      </c>
      <c r="T61" s="77"/>
      <c r="U61" s="77">
        <f t="shared" si="50"/>
        <v>22.4629411764706</v>
      </c>
      <c r="V61" s="77"/>
      <c r="W61" s="77"/>
      <c r="X61" s="77">
        <f t="shared" si="44"/>
        <v>606.53685</v>
      </c>
      <c r="Y61" s="94">
        <f t="shared" si="51"/>
        <v>134.701148264706</v>
      </c>
      <c r="Z61" s="95">
        <v>10.07</v>
      </c>
      <c r="AA61" s="94">
        <f t="shared" si="52"/>
        <v>1.18529452941176</v>
      </c>
      <c r="AB61" s="94">
        <f t="shared" si="45"/>
        <v>145.956442794118</v>
      </c>
      <c r="AC61" s="45">
        <v>7.33</v>
      </c>
      <c r="AD61" s="77">
        <f t="shared" si="42"/>
        <v>1069.86072568088</v>
      </c>
      <c r="AE61" s="77">
        <f t="shared" si="43"/>
        <v>1676.39757568088</v>
      </c>
      <c r="AF61" s="77">
        <f t="shared" si="46"/>
        <v>223.719424319117</v>
      </c>
    </row>
    <row r="62" s="2" customFormat="1" spans="1:32">
      <c r="A62" s="21"/>
      <c r="B62" s="22"/>
      <c r="C62" s="23">
        <v>241108000043</v>
      </c>
      <c r="D62" s="24">
        <v>45609</v>
      </c>
      <c r="E62" s="24" t="s">
        <v>86</v>
      </c>
      <c r="F62" s="22" t="s">
        <v>87</v>
      </c>
      <c r="G62" s="22" t="s">
        <v>114</v>
      </c>
      <c r="H62" s="25">
        <v>1.4833</v>
      </c>
      <c r="I62" s="25">
        <v>598</v>
      </c>
      <c r="J62" s="50"/>
      <c r="K62" s="51">
        <v>1160958</v>
      </c>
      <c r="L62" s="46"/>
      <c r="M62" s="47">
        <f t="shared" si="47"/>
        <v>1666.43891656021</v>
      </c>
      <c r="N62" s="52">
        <v>696.67</v>
      </c>
      <c r="O62" s="49">
        <v>7.3</v>
      </c>
      <c r="P62" s="50">
        <f t="shared" si="48"/>
        <v>5085.691</v>
      </c>
      <c r="Q62" s="78"/>
      <c r="R62" s="78"/>
      <c r="S62" s="77">
        <f t="shared" si="49"/>
        <v>1020.92485147059</v>
      </c>
      <c r="T62" s="77"/>
      <c r="U62" s="77">
        <f t="shared" si="50"/>
        <v>39.2638235294118</v>
      </c>
      <c r="V62" s="77"/>
      <c r="W62" s="77"/>
      <c r="X62" s="77">
        <f t="shared" si="44"/>
        <v>1060.188675</v>
      </c>
      <c r="Y62" s="94">
        <f t="shared" si="51"/>
        <v>235.449226044118</v>
      </c>
      <c r="Z62" s="95">
        <v>251.65</v>
      </c>
      <c r="AA62" s="94">
        <f t="shared" si="52"/>
        <v>2.07182108823529</v>
      </c>
      <c r="AB62" s="94">
        <f t="shared" si="45"/>
        <v>489.171047132353</v>
      </c>
      <c r="AC62" s="45">
        <v>7.33</v>
      </c>
      <c r="AD62" s="77">
        <f t="shared" si="42"/>
        <v>3585.62377548015</v>
      </c>
      <c r="AE62" s="77">
        <f t="shared" si="43"/>
        <v>4645.81245048015</v>
      </c>
      <c r="AF62" s="77">
        <f t="shared" si="46"/>
        <v>439.878549519852</v>
      </c>
    </row>
    <row r="63" s="2" customFormat="1" spans="1:32">
      <c r="A63" s="21"/>
      <c r="B63" s="22"/>
      <c r="C63" s="23">
        <v>241111000011</v>
      </c>
      <c r="D63" s="24">
        <v>45609</v>
      </c>
      <c r="E63" s="24" t="s">
        <v>64</v>
      </c>
      <c r="F63" s="22" t="s">
        <v>65</v>
      </c>
      <c r="G63" s="22" t="s">
        <v>115</v>
      </c>
      <c r="H63" s="25">
        <v>0.1421</v>
      </c>
      <c r="I63" s="25">
        <v>36</v>
      </c>
      <c r="J63" s="50"/>
      <c r="K63" s="51">
        <v>93936</v>
      </c>
      <c r="L63" s="46"/>
      <c r="M63" s="47">
        <f t="shared" si="47"/>
        <v>1651.18650026367</v>
      </c>
      <c r="N63" s="52">
        <v>56.89</v>
      </c>
      <c r="O63" s="49">
        <v>7.3</v>
      </c>
      <c r="P63" s="50">
        <f t="shared" si="48"/>
        <v>415.297</v>
      </c>
      <c r="Q63" s="78"/>
      <c r="R63" s="78"/>
      <c r="S63" s="77">
        <f t="shared" si="49"/>
        <v>97.8045044117647</v>
      </c>
      <c r="T63" s="77"/>
      <c r="U63" s="77">
        <f t="shared" si="50"/>
        <v>3.76147058823529</v>
      </c>
      <c r="V63" s="77"/>
      <c r="W63" s="77"/>
      <c r="X63" s="77">
        <f t="shared" si="44"/>
        <v>101.565975</v>
      </c>
      <c r="Y63" s="94">
        <f t="shared" si="51"/>
        <v>22.5560136323529</v>
      </c>
      <c r="Z63" s="95">
        <v>10</v>
      </c>
      <c r="AA63" s="94">
        <f t="shared" si="52"/>
        <v>0.198480264705882</v>
      </c>
      <c r="AB63" s="94">
        <f t="shared" si="45"/>
        <v>32.7544938970588</v>
      </c>
      <c r="AC63" s="45">
        <v>7.33</v>
      </c>
      <c r="AD63" s="77">
        <f t="shared" si="42"/>
        <v>240.090440265441</v>
      </c>
      <c r="AE63" s="77">
        <f t="shared" si="43"/>
        <v>341.656415265441</v>
      </c>
      <c r="AF63" s="77">
        <f t="shared" si="46"/>
        <v>73.6405847345588</v>
      </c>
    </row>
    <row r="64" s="2" customFormat="1" spans="1:32">
      <c r="A64" s="21"/>
      <c r="B64" s="22"/>
      <c r="C64" s="23">
        <v>241111000012</v>
      </c>
      <c r="D64" s="24">
        <v>45609</v>
      </c>
      <c r="E64" s="24" t="s">
        <v>64</v>
      </c>
      <c r="F64" s="22" t="s">
        <v>65</v>
      </c>
      <c r="G64" s="22" t="s">
        <v>115</v>
      </c>
      <c r="H64" s="25">
        <v>0.2386</v>
      </c>
      <c r="I64" s="25">
        <v>52</v>
      </c>
      <c r="J64" s="50"/>
      <c r="K64" s="51">
        <v>148176</v>
      </c>
      <c r="L64" s="46"/>
      <c r="M64" s="47">
        <f t="shared" si="47"/>
        <v>1651.17004680187</v>
      </c>
      <c r="N64" s="52">
        <v>89.74</v>
      </c>
      <c r="O64" s="49">
        <v>7.3</v>
      </c>
      <c r="P64" s="50">
        <f t="shared" si="48"/>
        <v>655.102</v>
      </c>
      <c r="Q64" s="78"/>
      <c r="R64" s="78"/>
      <c r="S64" s="77">
        <f t="shared" si="49"/>
        <v>164.223467647059</v>
      </c>
      <c r="T64" s="77"/>
      <c r="U64" s="77">
        <f t="shared" si="50"/>
        <v>6.31588235294118</v>
      </c>
      <c r="V64" s="77"/>
      <c r="W64" s="77"/>
      <c r="X64" s="77">
        <f t="shared" si="44"/>
        <v>170.53935</v>
      </c>
      <c r="Y64" s="94">
        <f t="shared" si="51"/>
        <v>37.8737850294118</v>
      </c>
      <c r="Z64" s="95">
        <v>11.3</v>
      </c>
      <c r="AA64" s="94">
        <f t="shared" si="52"/>
        <v>0.333268058823529</v>
      </c>
      <c r="AB64" s="94">
        <f t="shared" si="45"/>
        <v>49.5070530882353</v>
      </c>
      <c r="AC64" s="45">
        <v>7.33</v>
      </c>
      <c r="AD64" s="77">
        <f t="shared" si="42"/>
        <v>362.886699136765</v>
      </c>
      <c r="AE64" s="77">
        <f t="shared" si="43"/>
        <v>533.426049136765</v>
      </c>
      <c r="AF64" s="77">
        <f t="shared" si="46"/>
        <v>121.675950863235</v>
      </c>
    </row>
    <row r="65" s="2" customFormat="1" spans="1:32">
      <c r="A65" s="21"/>
      <c r="B65" s="22"/>
      <c r="C65" s="23">
        <v>241111000032</v>
      </c>
      <c r="D65" s="24">
        <v>45609</v>
      </c>
      <c r="E65" s="24" t="s">
        <v>86</v>
      </c>
      <c r="F65" s="22" t="s">
        <v>87</v>
      </c>
      <c r="G65" s="22" t="s">
        <v>100</v>
      </c>
      <c r="H65" s="25">
        <v>0.2174</v>
      </c>
      <c r="I65" s="25">
        <v>57</v>
      </c>
      <c r="J65" s="50"/>
      <c r="K65" s="51">
        <v>107613</v>
      </c>
      <c r="L65" s="46"/>
      <c r="M65" s="47">
        <f t="shared" si="47"/>
        <v>1650.00025298992</v>
      </c>
      <c r="N65" s="52">
        <v>65.21999</v>
      </c>
      <c r="O65" s="49">
        <v>7.2</v>
      </c>
      <c r="P65" s="50">
        <f t="shared" si="48"/>
        <v>469.583928</v>
      </c>
      <c r="Q65" s="78"/>
      <c r="R65" s="78"/>
      <c r="S65" s="77">
        <f t="shared" si="49"/>
        <v>149.631944117647</v>
      </c>
      <c r="T65" s="77"/>
      <c r="U65" s="77">
        <f t="shared" si="50"/>
        <v>5.75470588235294</v>
      </c>
      <c r="V65" s="77"/>
      <c r="W65" s="77"/>
      <c r="X65" s="77">
        <f t="shared" si="44"/>
        <v>155.38665</v>
      </c>
      <c r="Y65" s="94">
        <f t="shared" si="51"/>
        <v>34.5086373235294</v>
      </c>
      <c r="Z65" s="94"/>
      <c r="AA65" s="94">
        <f t="shared" si="52"/>
        <v>0.303656647058824</v>
      </c>
      <c r="AB65" s="94">
        <f t="shared" si="45"/>
        <v>34.8122939705882</v>
      </c>
      <c r="AC65" s="45">
        <v>7.33</v>
      </c>
      <c r="AD65" s="77">
        <f t="shared" si="42"/>
        <v>255.174114804412</v>
      </c>
      <c r="AE65" s="77">
        <f t="shared" si="43"/>
        <v>410.560764804412</v>
      </c>
      <c r="AF65" s="77">
        <f t="shared" si="46"/>
        <v>59.0231631955883</v>
      </c>
    </row>
    <row r="66" s="2" customFormat="1" spans="1:32">
      <c r="A66" s="21"/>
      <c r="B66" s="22"/>
      <c r="C66" s="23">
        <v>241111000039</v>
      </c>
      <c r="D66" s="24">
        <v>45609</v>
      </c>
      <c r="E66" s="24" t="s">
        <v>116</v>
      </c>
      <c r="F66" s="22" t="s">
        <v>117</v>
      </c>
      <c r="G66" s="22" t="s">
        <v>118</v>
      </c>
      <c r="H66" s="25">
        <v>1.8662</v>
      </c>
      <c r="I66" s="25">
        <v>626</v>
      </c>
      <c r="J66" s="50"/>
      <c r="K66" s="45"/>
      <c r="L66" s="99">
        <v>559.83</v>
      </c>
      <c r="M66" s="47">
        <f t="shared" si="47"/>
        <v>0</v>
      </c>
      <c r="N66" s="52">
        <v>559.82996</v>
      </c>
      <c r="O66" s="49">
        <v>7.3</v>
      </c>
      <c r="P66" s="50">
        <f t="shared" si="48"/>
        <v>4086.758708</v>
      </c>
      <c r="Q66" s="78"/>
      <c r="R66" s="78"/>
      <c r="S66" s="77">
        <f t="shared" si="49"/>
        <v>1284.46703823529</v>
      </c>
      <c r="T66" s="77"/>
      <c r="U66" s="77">
        <f t="shared" si="50"/>
        <v>49.3994117647059</v>
      </c>
      <c r="V66" s="77"/>
      <c r="W66" s="77"/>
      <c r="X66" s="77">
        <f t="shared" si="44"/>
        <v>1333.86645</v>
      </c>
      <c r="Y66" s="94">
        <f t="shared" si="51"/>
        <v>296.228238147059</v>
      </c>
      <c r="Z66" s="94"/>
      <c r="AA66" s="94">
        <f t="shared" si="52"/>
        <v>2.60664229411765</v>
      </c>
      <c r="AB66" s="94">
        <f t="shared" si="45"/>
        <v>298.834880441176</v>
      </c>
      <c r="AC66" s="45">
        <v>7.33</v>
      </c>
      <c r="AD66" s="77">
        <f t="shared" si="42"/>
        <v>2190.45967363382</v>
      </c>
      <c r="AE66" s="77">
        <f t="shared" si="43"/>
        <v>3524.32612363382</v>
      </c>
      <c r="AF66" s="77">
        <f t="shared" si="46"/>
        <v>562.432584366176</v>
      </c>
    </row>
    <row r="67" s="2" customFormat="1" spans="1:32">
      <c r="A67" s="21"/>
      <c r="B67" s="22"/>
      <c r="C67" s="23">
        <v>241111000055</v>
      </c>
      <c r="D67" s="24">
        <v>45609</v>
      </c>
      <c r="E67" s="24" t="s">
        <v>64</v>
      </c>
      <c r="F67" s="22" t="s">
        <v>65</v>
      </c>
      <c r="G67" s="22" t="s">
        <v>72</v>
      </c>
      <c r="H67" s="25">
        <v>2.9026</v>
      </c>
      <c r="I67" s="25">
        <v>435</v>
      </c>
      <c r="J67" s="44">
        <v>5972.48</v>
      </c>
      <c r="K67" s="45"/>
      <c r="L67" s="46"/>
      <c r="M67" s="47"/>
      <c r="N67" s="48"/>
      <c r="O67" s="49"/>
      <c r="P67" s="50">
        <f t="shared" ref="P67:P70" si="53">SUBTOTAL(9,J67)</f>
        <v>5972.48</v>
      </c>
      <c r="Q67" s="78"/>
      <c r="R67" s="78"/>
      <c r="S67" s="77">
        <f t="shared" si="49"/>
        <v>1997.79982058824</v>
      </c>
      <c r="T67" s="77"/>
      <c r="U67" s="77">
        <f t="shared" si="50"/>
        <v>76.8335294117647</v>
      </c>
      <c r="V67" s="77">
        <v>20</v>
      </c>
      <c r="W67" s="77"/>
      <c r="X67" s="77">
        <f t="shared" si="44"/>
        <v>2094.63335</v>
      </c>
      <c r="Y67" s="94">
        <f t="shared" si="51"/>
        <v>460.739515617647</v>
      </c>
      <c r="Z67" s="94"/>
      <c r="AA67" s="94">
        <f t="shared" si="52"/>
        <v>4.05424923529412</v>
      </c>
      <c r="AB67" s="94">
        <f t="shared" si="45"/>
        <v>464.793764852941</v>
      </c>
      <c r="AC67" s="45">
        <v>7.33</v>
      </c>
      <c r="AD67" s="77">
        <f t="shared" si="42"/>
        <v>3406.93829637206</v>
      </c>
      <c r="AE67" s="77">
        <f t="shared" si="43"/>
        <v>5501.57164637206</v>
      </c>
      <c r="AF67" s="77">
        <f t="shared" si="46"/>
        <v>470.90835362794</v>
      </c>
    </row>
    <row r="68" s="2" customFormat="1" spans="1:32">
      <c r="A68" s="21"/>
      <c r="B68" s="22"/>
      <c r="C68" s="23">
        <v>241111000056</v>
      </c>
      <c r="D68" s="24">
        <v>45609</v>
      </c>
      <c r="E68" s="24" t="s">
        <v>64</v>
      </c>
      <c r="F68" s="22" t="s">
        <v>65</v>
      </c>
      <c r="G68" s="22" t="s">
        <v>72</v>
      </c>
      <c r="H68" s="25">
        <v>2.4588</v>
      </c>
      <c r="I68" s="25">
        <v>346</v>
      </c>
      <c r="J68" s="44">
        <v>5048.9</v>
      </c>
      <c r="K68" s="45"/>
      <c r="L68" s="46"/>
      <c r="M68" s="47"/>
      <c r="N68" s="48"/>
      <c r="O68" s="49"/>
      <c r="P68" s="50">
        <f t="shared" si="53"/>
        <v>5048.9</v>
      </c>
      <c r="Q68" s="78"/>
      <c r="R68" s="78"/>
      <c r="S68" s="77">
        <f t="shared" si="49"/>
        <v>1692.34141764706</v>
      </c>
      <c r="T68" s="77"/>
      <c r="U68" s="77">
        <f t="shared" si="50"/>
        <v>65.0858823529412</v>
      </c>
      <c r="V68" s="77"/>
      <c r="W68" s="77"/>
      <c r="X68" s="77">
        <f t="shared" si="44"/>
        <v>1757.4273</v>
      </c>
      <c r="Y68" s="94">
        <f t="shared" si="51"/>
        <v>390.293640529412</v>
      </c>
      <c r="Z68" s="94"/>
      <c r="AA68" s="94">
        <f t="shared" si="52"/>
        <v>3.43436505882353</v>
      </c>
      <c r="AB68" s="94">
        <f t="shared" si="45"/>
        <v>393.728005588235</v>
      </c>
      <c r="AC68" s="45">
        <v>7.33</v>
      </c>
      <c r="AD68" s="77">
        <f t="shared" si="42"/>
        <v>2886.02628096176</v>
      </c>
      <c r="AE68" s="77">
        <f t="shared" si="43"/>
        <v>4643.45358096176</v>
      </c>
      <c r="AF68" s="77">
        <f t="shared" si="46"/>
        <v>405.44641903824</v>
      </c>
    </row>
    <row r="69" s="2" customFormat="1" spans="1:32">
      <c r="A69" s="21"/>
      <c r="B69" s="22"/>
      <c r="C69" s="23">
        <v>241112000043</v>
      </c>
      <c r="D69" s="24">
        <v>45609</v>
      </c>
      <c r="E69" s="24" t="s">
        <v>70</v>
      </c>
      <c r="F69" s="22" t="s">
        <v>70</v>
      </c>
      <c r="G69" s="22" t="s">
        <v>90</v>
      </c>
      <c r="H69" s="25">
        <v>4.9039</v>
      </c>
      <c r="I69" s="25">
        <v>546</v>
      </c>
      <c r="J69" s="44">
        <v>10739.54</v>
      </c>
      <c r="K69" s="45"/>
      <c r="L69" s="46"/>
      <c r="M69" s="47"/>
      <c r="N69" s="48"/>
      <c r="O69" s="49"/>
      <c r="P69" s="50">
        <f t="shared" si="53"/>
        <v>10739.54</v>
      </c>
      <c r="Q69" s="78"/>
      <c r="R69" s="78"/>
      <c r="S69" s="77">
        <f t="shared" si="49"/>
        <v>3375.25340735294</v>
      </c>
      <c r="T69" s="77"/>
      <c r="U69" s="77">
        <f t="shared" si="50"/>
        <v>129.809117647059</v>
      </c>
      <c r="V69" s="77"/>
      <c r="W69" s="77"/>
      <c r="X69" s="77">
        <f t="shared" si="44"/>
        <v>3505.062525</v>
      </c>
      <c r="Y69" s="94">
        <f t="shared" si="51"/>
        <v>778.412633720588</v>
      </c>
      <c r="Z69" s="94"/>
      <c r="AA69" s="94">
        <f t="shared" si="52"/>
        <v>6.84959444117647</v>
      </c>
      <c r="AB69" s="94">
        <f t="shared" si="45"/>
        <v>785.262228161765</v>
      </c>
      <c r="AC69" s="45">
        <v>7.33</v>
      </c>
      <c r="AD69" s="77">
        <f t="shared" si="42"/>
        <v>5755.97213242574</v>
      </c>
      <c r="AE69" s="77">
        <f t="shared" si="43"/>
        <v>9261.03465742574</v>
      </c>
      <c r="AF69" s="77">
        <f t="shared" si="46"/>
        <v>1478.50534257426</v>
      </c>
    </row>
    <row r="70" s="2" customFormat="1" spans="1:32">
      <c r="A70" s="21"/>
      <c r="B70" s="22"/>
      <c r="C70" s="23">
        <v>241112000044</v>
      </c>
      <c r="D70" s="24">
        <v>45609</v>
      </c>
      <c r="E70" s="24" t="s">
        <v>64</v>
      </c>
      <c r="F70" s="22" t="s">
        <v>65</v>
      </c>
      <c r="G70" s="22" t="s">
        <v>72</v>
      </c>
      <c r="H70" s="25">
        <v>0.936</v>
      </c>
      <c r="I70" s="25">
        <v>422</v>
      </c>
      <c r="J70" s="44">
        <v>2195.26</v>
      </c>
      <c r="K70" s="45"/>
      <c r="L70" s="46"/>
      <c r="M70" s="47"/>
      <c r="N70" s="48"/>
      <c r="O70" s="49"/>
      <c r="P70" s="50">
        <f t="shared" si="53"/>
        <v>2195.26</v>
      </c>
      <c r="Q70" s="78"/>
      <c r="R70" s="78"/>
      <c r="S70" s="77">
        <f t="shared" si="49"/>
        <v>644.229529411765</v>
      </c>
      <c r="T70" s="77"/>
      <c r="U70" s="77">
        <f t="shared" si="50"/>
        <v>24.7764705882353</v>
      </c>
      <c r="V70" s="77"/>
      <c r="W70" s="79">
        <v>266</v>
      </c>
      <c r="X70" s="77">
        <f t="shared" si="44"/>
        <v>935.006</v>
      </c>
      <c r="Y70" s="94">
        <f t="shared" si="51"/>
        <v>148.574445882353</v>
      </c>
      <c r="Z70" s="95">
        <v>17.33</v>
      </c>
      <c r="AA70" s="94">
        <f t="shared" si="52"/>
        <v>1.30737176470588</v>
      </c>
      <c r="AB70" s="94">
        <f t="shared" si="45"/>
        <v>167.211817647059</v>
      </c>
      <c r="AC70" s="45">
        <v>7.33</v>
      </c>
      <c r="AD70" s="77">
        <f t="shared" si="42"/>
        <v>1225.66262335294</v>
      </c>
      <c r="AE70" s="77">
        <f t="shared" si="43"/>
        <v>2160.66862335294</v>
      </c>
      <c r="AF70" s="77">
        <f t="shared" si="46"/>
        <v>34.5913766470603</v>
      </c>
    </row>
    <row r="71" s="2" customFormat="1" spans="1:32">
      <c r="A71" s="21"/>
      <c r="B71" s="22"/>
      <c r="C71" s="23">
        <v>241113000012</v>
      </c>
      <c r="D71" s="24">
        <v>45609</v>
      </c>
      <c r="E71" s="24" t="s">
        <v>94</v>
      </c>
      <c r="F71" s="22" t="s">
        <v>95</v>
      </c>
      <c r="G71" s="22" t="s">
        <v>119</v>
      </c>
      <c r="H71" s="25">
        <v>5.5016</v>
      </c>
      <c r="I71" s="25">
        <v>2874</v>
      </c>
      <c r="J71" s="50"/>
      <c r="K71" s="51">
        <v>2264723.28</v>
      </c>
      <c r="L71" s="46"/>
      <c r="M71" s="47">
        <f>SUM(K71/N71)</f>
        <v>1608</v>
      </c>
      <c r="N71" s="52">
        <v>1408.41</v>
      </c>
      <c r="O71" s="49">
        <v>7.3</v>
      </c>
      <c r="P71" s="50">
        <f>SUM(N71*O71)</f>
        <v>10281.393</v>
      </c>
      <c r="Q71" s="78"/>
      <c r="R71" s="78"/>
      <c r="S71" s="77">
        <f t="shared" si="49"/>
        <v>3786.63801176471</v>
      </c>
      <c r="T71" s="77"/>
      <c r="U71" s="77">
        <f t="shared" si="50"/>
        <v>145.630588235294</v>
      </c>
      <c r="V71" s="77"/>
      <c r="W71" s="77"/>
      <c r="X71" s="77">
        <f t="shared" si="44"/>
        <v>3932.2686</v>
      </c>
      <c r="Y71" s="94">
        <f t="shared" si="51"/>
        <v>873.287576352941</v>
      </c>
      <c r="Z71" s="94"/>
      <c r="AA71" s="94">
        <f t="shared" si="52"/>
        <v>7.68444070588235</v>
      </c>
      <c r="AB71" s="94">
        <f t="shared" si="45"/>
        <v>880.972017058824</v>
      </c>
      <c r="AC71" s="45">
        <v>7.33</v>
      </c>
      <c r="AD71" s="77">
        <f t="shared" si="42"/>
        <v>6457.52488504118</v>
      </c>
      <c r="AE71" s="77">
        <f t="shared" si="43"/>
        <v>10389.7934850412</v>
      </c>
      <c r="AF71" s="77">
        <f t="shared" si="46"/>
        <v>-108.400485041177</v>
      </c>
    </row>
    <row r="72" s="2" customFormat="1" spans="1:32">
      <c r="A72" s="21"/>
      <c r="B72" s="22"/>
      <c r="C72" s="23">
        <v>241113000017</v>
      </c>
      <c r="D72" s="24">
        <v>45609</v>
      </c>
      <c r="E72" s="24" t="s">
        <v>70</v>
      </c>
      <c r="F72" s="22" t="s">
        <v>70</v>
      </c>
      <c r="G72" s="22" t="s">
        <v>120</v>
      </c>
      <c r="H72" s="25">
        <v>1.4152</v>
      </c>
      <c r="I72" s="25">
        <v>656</v>
      </c>
      <c r="J72" s="50"/>
      <c r="K72" s="51">
        <v>851651</v>
      </c>
      <c r="L72" s="46"/>
      <c r="M72" s="47">
        <f>SUM(K72/N72)</f>
        <v>1671.50988204353</v>
      </c>
      <c r="N72" s="52">
        <v>509.51</v>
      </c>
      <c r="O72" s="49">
        <v>7.29</v>
      </c>
      <c r="P72" s="50">
        <f>SUM(N72*O72)</f>
        <v>3714.3279</v>
      </c>
      <c r="Q72" s="78"/>
      <c r="R72" s="78"/>
      <c r="S72" s="77">
        <f t="shared" si="49"/>
        <v>974.053023529412</v>
      </c>
      <c r="T72" s="77"/>
      <c r="U72" s="77">
        <f t="shared" si="50"/>
        <v>37.4611764705882</v>
      </c>
      <c r="V72" s="77"/>
      <c r="W72" s="79">
        <v>98.72</v>
      </c>
      <c r="X72" s="77">
        <f t="shared" si="44"/>
        <v>1110.2342</v>
      </c>
      <c r="Y72" s="94">
        <f t="shared" si="51"/>
        <v>224.639482705882</v>
      </c>
      <c r="Z72" s="94"/>
      <c r="AA72" s="94">
        <f t="shared" si="52"/>
        <v>1.97670141176471</v>
      </c>
      <c r="AB72" s="94">
        <f t="shared" si="45"/>
        <v>226.616184117647</v>
      </c>
      <c r="AC72" s="45">
        <v>7.33</v>
      </c>
      <c r="AD72" s="77">
        <f t="shared" si="42"/>
        <v>1661.09662958235</v>
      </c>
      <c r="AE72" s="77">
        <f t="shared" si="43"/>
        <v>2771.33082958235</v>
      </c>
      <c r="AF72" s="77">
        <f t="shared" si="46"/>
        <v>942.997070417647</v>
      </c>
    </row>
    <row r="73" s="2" customFormat="1" spans="1:32">
      <c r="A73" s="21"/>
      <c r="B73" s="22"/>
      <c r="C73" s="23">
        <v>241209000061</v>
      </c>
      <c r="D73" s="24">
        <v>45609</v>
      </c>
      <c r="E73" s="24" t="s">
        <v>77</v>
      </c>
      <c r="F73" s="22" t="s">
        <v>78</v>
      </c>
      <c r="G73" s="22" t="s">
        <v>79</v>
      </c>
      <c r="H73" s="25">
        <v>16.4369</v>
      </c>
      <c r="I73" s="25">
        <v>16042</v>
      </c>
      <c r="J73" s="44">
        <v>37916.64</v>
      </c>
      <c r="K73" s="45"/>
      <c r="L73" s="46"/>
      <c r="M73" s="47"/>
      <c r="N73" s="48"/>
      <c r="O73" s="49"/>
      <c r="P73" s="50">
        <f t="shared" ref="P73:P77" si="54">SUBTOTAL(9,J73)</f>
        <v>37916.64</v>
      </c>
      <c r="Q73" s="78"/>
      <c r="R73" s="78"/>
      <c r="S73" s="77">
        <f t="shared" si="49"/>
        <v>11313.1798632353</v>
      </c>
      <c r="T73" s="77"/>
      <c r="U73" s="77">
        <f t="shared" si="50"/>
        <v>435.094411764706</v>
      </c>
      <c r="V73" s="77"/>
      <c r="W73" s="77"/>
      <c r="X73" s="77">
        <f t="shared" si="44"/>
        <v>11748.274275</v>
      </c>
      <c r="Y73" s="94">
        <f t="shared" si="51"/>
        <v>2609.08473239706</v>
      </c>
      <c r="Z73" s="95">
        <v>162.02</v>
      </c>
      <c r="AA73" s="94">
        <f t="shared" si="52"/>
        <v>22.9584817941176</v>
      </c>
      <c r="AB73" s="94">
        <f t="shared" si="45"/>
        <v>2794.06321419118</v>
      </c>
      <c r="AC73" s="45">
        <v>7.33</v>
      </c>
      <c r="AD73" s="77">
        <f t="shared" si="42"/>
        <v>20480.4833600213</v>
      </c>
      <c r="AE73" s="77">
        <f t="shared" si="43"/>
        <v>32228.7576350213</v>
      </c>
      <c r="AF73" s="77">
        <f t="shared" si="46"/>
        <v>5687.8823649787</v>
      </c>
    </row>
    <row r="74" s="2" customFormat="1" spans="1:32">
      <c r="A74" s="21"/>
      <c r="B74" s="22"/>
      <c r="C74" s="23">
        <v>241210000044</v>
      </c>
      <c r="D74" s="24">
        <v>45609</v>
      </c>
      <c r="E74" s="24" t="s">
        <v>94</v>
      </c>
      <c r="F74" s="22" t="s">
        <v>95</v>
      </c>
      <c r="G74" s="22" t="s">
        <v>96</v>
      </c>
      <c r="H74" s="25">
        <v>5.896</v>
      </c>
      <c r="I74" s="25">
        <v>922</v>
      </c>
      <c r="J74" s="44">
        <v>9160.23</v>
      </c>
      <c r="K74" s="45"/>
      <c r="L74" s="46"/>
      <c r="M74" s="47"/>
      <c r="N74" s="52"/>
      <c r="O74" s="49"/>
      <c r="P74" s="50">
        <f t="shared" si="54"/>
        <v>9160.23</v>
      </c>
      <c r="Q74" s="78"/>
      <c r="R74" s="78"/>
      <c r="S74" s="77">
        <f t="shared" si="49"/>
        <v>4058.09541176471</v>
      </c>
      <c r="T74" s="77"/>
      <c r="U74" s="77">
        <f t="shared" si="50"/>
        <v>156.070588235294</v>
      </c>
      <c r="V74" s="77"/>
      <c r="W74" s="77"/>
      <c r="X74" s="77">
        <f t="shared" si="44"/>
        <v>4214.166</v>
      </c>
      <c r="Y74" s="94">
        <f t="shared" si="51"/>
        <v>935.892022352941</v>
      </c>
      <c r="Z74" s="94"/>
      <c r="AA74" s="94">
        <f t="shared" si="52"/>
        <v>8.23532470588235</v>
      </c>
      <c r="AB74" s="94">
        <f t="shared" si="45"/>
        <v>944.127347058824</v>
      </c>
      <c r="AC74" s="45">
        <v>7.33</v>
      </c>
      <c r="AD74" s="77">
        <f t="shared" si="42"/>
        <v>6920.45345394118</v>
      </c>
      <c r="AE74" s="77">
        <f t="shared" si="43"/>
        <v>11134.6194539412</v>
      </c>
      <c r="AF74" s="77">
        <f t="shared" si="46"/>
        <v>-1974.3894539412</v>
      </c>
    </row>
    <row r="75" s="2" customFormat="1" spans="1:32">
      <c r="A75" s="21"/>
      <c r="B75" s="22"/>
      <c r="C75" s="23">
        <v>241213000052</v>
      </c>
      <c r="D75" s="24">
        <v>45609</v>
      </c>
      <c r="E75" s="24" t="s">
        <v>94</v>
      </c>
      <c r="F75" s="22" t="s">
        <v>95</v>
      </c>
      <c r="G75" s="22" t="s">
        <v>96</v>
      </c>
      <c r="H75" s="25">
        <v>20.97</v>
      </c>
      <c r="I75" s="25">
        <v>2633</v>
      </c>
      <c r="J75" s="44">
        <v>32579.83</v>
      </c>
      <c r="K75" s="45"/>
      <c r="L75" s="46"/>
      <c r="M75" s="47"/>
      <c r="N75" s="52"/>
      <c r="O75" s="49"/>
      <c r="P75" s="50">
        <f t="shared" si="54"/>
        <v>32579.83</v>
      </c>
      <c r="Q75" s="78"/>
      <c r="R75" s="78"/>
      <c r="S75" s="77">
        <f t="shared" si="49"/>
        <v>14433.2192647059</v>
      </c>
      <c r="T75" s="77"/>
      <c r="U75" s="77">
        <f t="shared" si="50"/>
        <v>555.088235294118</v>
      </c>
      <c r="V75" s="77"/>
      <c r="W75" s="77"/>
      <c r="X75" s="77">
        <f t="shared" ref="X75:X93" si="55">SUM(S75:W75)</f>
        <v>14988.3075</v>
      </c>
      <c r="Y75" s="94">
        <f t="shared" si="51"/>
        <v>3328.63902794118</v>
      </c>
      <c r="Z75" s="95"/>
      <c r="AA75" s="94">
        <f t="shared" si="52"/>
        <v>29.2901558823529</v>
      </c>
      <c r="AB75" s="94">
        <f t="shared" si="45"/>
        <v>3357.92918382353</v>
      </c>
      <c r="AC75" s="45">
        <v>7.33</v>
      </c>
      <c r="AD75" s="77">
        <f t="shared" si="42"/>
        <v>24613.6209174265</v>
      </c>
      <c r="AE75" s="77">
        <f t="shared" si="43"/>
        <v>39601.9284174265</v>
      </c>
      <c r="AF75" s="77">
        <f t="shared" si="46"/>
        <v>-7022.0984174265</v>
      </c>
    </row>
    <row r="76" s="2" customFormat="1" spans="1:32">
      <c r="A76" s="21"/>
      <c r="B76" s="22"/>
      <c r="C76" s="23">
        <v>241213000054</v>
      </c>
      <c r="D76" s="24">
        <v>45609</v>
      </c>
      <c r="E76" s="24" t="s">
        <v>94</v>
      </c>
      <c r="F76" s="22" t="s">
        <v>95</v>
      </c>
      <c r="G76" s="22" t="s">
        <v>96</v>
      </c>
      <c r="H76" s="25">
        <v>3.5</v>
      </c>
      <c r="I76" s="25">
        <v>419</v>
      </c>
      <c r="J76" s="44">
        <v>5437.74</v>
      </c>
      <c r="K76" s="45"/>
      <c r="L76" s="46"/>
      <c r="M76" s="47"/>
      <c r="N76" s="52"/>
      <c r="O76" s="49"/>
      <c r="P76" s="50">
        <f t="shared" si="54"/>
        <v>5437.74</v>
      </c>
      <c r="Q76" s="81"/>
      <c r="R76" s="81"/>
      <c r="S76" s="77">
        <f t="shared" si="49"/>
        <v>2408.97794117647</v>
      </c>
      <c r="T76" s="77"/>
      <c r="U76" s="77">
        <f t="shared" si="50"/>
        <v>92.6470588235294</v>
      </c>
      <c r="V76" s="77"/>
      <c r="W76" s="77"/>
      <c r="X76" s="77">
        <f t="shared" si="55"/>
        <v>2501.625</v>
      </c>
      <c r="Y76" s="94">
        <f t="shared" si="51"/>
        <v>555.566838235294</v>
      </c>
      <c r="Z76" s="95"/>
      <c r="AA76" s="94">
        <f t="shared" si="52"/>
        <v>4.88867647058824</v>
      </c>
      <c r="AB76" s="94">
        <f t="shared" ref="AB76:AB93" si="56">SUM(Y76:AA76)</f>
        <v>560.455514705882</v>
      </c>
      <c r="AC76" s="45">
        <v>7.33</v>
      </c>
      <c r="AD76" s="77">
        <f t="shared" si="42"/>
        <v>4108.13892279412</v>
      </c>
      <c r="AE76" s="77">
        <f t="shared" si="43"/>
        <v>6609.76392279412</v>
      </c>
      <c r="AF76" s="77">
        <f t="shared" si="46"/>
        <v>-1172.02392279412</v>
      </c>
    </row>
    <row r="77" s="2" customFormat="1" spans="1:32">
      <c r="A77" s="21" t="s">
        <v>12</v>
      </c>
      <c r="B77" s="22" t="s">
        <v>13</v>
      </c>
      <c r="C77" s="23">
        <v>241030000050</v>
      </c>
      <c r="D77" s="24">
        <v>45615</v>
      </c>
      <c r="E77" s="24" t="s">
        <v>57</v>
      </c>
      <c r="F77" s="22" t="s">
        <v>58</v>
      </c>
      <c r="G77" s="22" t="s">
        <v>82</v>
      </c>
      <c r="H77" s="25">
        <v>20.9121</v>
      </c>
      <c r="I77" s="25">
        <v>2224</v>
      </c>
      <c r="J77" s="44">
        <v>44817.94</v>
      </c>
      <c r="K77" s="45"/>
      <c r="L77" s="99"/>
      <c r="M77" s="47"/>
      <c r="N77" s="52"/>
      <c r="O77" s="49"/>
      <c r="P77" s="50">
        <f t="shared" si="54"/>
        <v>44817.94</v>
      </c>
      <c r="Q77" s="75">
        <f>SUM(P77:P93)</f>
        <v>168658.32749454</v>
      </c>
      <c r="R77" s="76" t="s">
        <v>121</v>
      </c>
      <c r="S77" s="77">
        <f>SUM(47588.5/68)*H77</f>
        <v>14634.9333948529</v>
      </c>
      <c r="T77" s="77"/>
      <c r="U77" s="77">
        <f>SUM(2300/68)*H77</f>
        <v>707.321029411765</v>
      </c>
      <c r="V77" s="77"/>
      <c r="W77" s="77"/>
      <c r="X77" s="77">
        <f t="shared" si="55"/>
        <v>15342.2544242647</v>
      </c>
      <c r="Y77" s="94">
        <f>SUM(11085/68)*H77</f>
        <v>3408.97983088235</v>
      </c>
      <c r="Z77" s="94"/>
      <c r="AA77" s="94">
        <f>SUM(75.12/68)*H77</f>
        <v>23.1017198823529</v>
      </c>
      <c r="AB77" s="94">
        <f t="shared" si="56"/>
        <v>3432.08155076471</v>
      </c>
      <c r="AC77" s="45">
        <v>7.3</v>
      </c>
      <c r="AD77" s="77">
        <f t="shared" ref="AD77:AD93" si="57">SUM(AB77*AC77)</f>
        <v>25054.1953205823</v>
      </c>
      <c r="AE77" s="77">
        <f t="shared" ref="AE77:AE93" si="58">SUM(X77+AD77)</f>
        <v>40396.4497448471</v>
      </c>
      <c r="AF77" s="77">
        <f t="shared" ref="AF77:AF93" si="59">SUM(P77-AE77)</f>
        <v>4421.4902551529</v>
      </c>
    </row>
    <row r="78" s="2" customFormat="1" spans="1:32">
      <c r="A78" s="21"/>
      <c r="B78" s="22"/>
      <c r="C78" s="23">
        <v>241102000012</v>
      </c>
      <c r="D78" s="24">
        <v>45615</v>
      </c>
      <c r="E78" s="24" t="s">
        <v>57</v>
      </c>
      <c r="F78" s="22" t="s">
        <v>58</v>
      </c>
      <c r="G78" s="22" t="s">
        <v>67</v>
      </c>
      <c r="H78" s="25">
        <v>2.1458</v>
      </c>
      <c r="I78" s="25">
        <v>808</v>
      </c>
      <c r="J78" s="50"/>
      <c r="K78" s="106">
        <v>1041860</v>
      </c>
      <c r="L78" s="46"/>
      <c r="M78" s="47">
        <f>SUM(K78/N78)</f>
        <v>1674.26198634168</v>
      </c>
      <c r="N78" s="52">
        <v>622.28015</v>
      </c>
      <c r="O78" s="49">
        <v>7.27</v>
      </c>
      <c r="P78" s="50">
        <f>SUM(N78*O78)</f>
        <v>4523.9766905</v>
      </c>
      <c r="Q78" s="78"/>
      <c r="R78" s="78"/>
      <c r="S78" s="77">
        <f t="shared" ref="S78:S93" si="60">SUM(47588.5/68)*H78</f>
        <v>1501.69710735294</v>
      </c>
      <c r="T78" s="77"/>
      <c r="U78" s="77">
        <f t="shared" ref="U78:U93" si="61">SUM(2300/68)*H78</f>
        <v>72.5785294117647</v>
      </c>
      <c r="V78" s="77"/>
      <c r="W78" s="77"/>
      <c r="X78" s="77">
        <f t="shared" si="55"/>
        <v>1574.27563676471</v>
      </c>
      <c r="Y78" s="94">
        <f t="shared" ref="Y78:Y94" si="62">SUM(11085/68)*H78</f>
        <v>349.796955882353</v>
      </c>
      <c r="Z78" s="94"/>
      <c r="AA78" s="94">
        <f t="shared" ref="AA78:AA93" si="63">SUM(75.12/68)*H78</f>
        <v>2.37047788235294</v>
      </c>
      <c r="AB78" s="94">
        <f t="shared" si="56"/>
        <v>352.167433764706</v>
      </c>
      <c r="AC78" s="45">
        <v>7.3</v>
      </c>
      <c r="AD78" s="77">
        <f t="shared" si="57"/>
        <v>2570.82226648235</v>
      </c>
      <c r="AE78" s="77">
        <f t="shared" si="58"/>
        <v>4145.09790324706</v>
      </c>
      <c r="AF78" s="77">
        <f t="shared" si="59"/>
        <v>378.878787252941</v>
      </c>
    </row>
    <row r="79" s="2" customFormat="1" spans="1:32">
      <c r="A79" s="21"/>
      <c r="B79" s="22"/>
      <c r="C79" s="23">
        <v>241102000009</v>
      </c>
      <c r="D79" s="24">
        <v>45615</v>
      </c>
      <c r="E79" s="24" t="s">
        <v>57</v>
      </c>
      <c r="F79" s="22" t="s">
        <v>58</v>
      </c>
      <c r="G79" s="22" t="s">
        <v>67</v>
      </c>
      <c r="H79" s="25">
        <v>1.3109</v>
      </c>
      <c r="I79" s="25">
        <v>450</v>
      </c>
      <c r="J79" s="50"/>
      <c r="K79" s="51">
        <v>638809</v>
      </c>
      <c r="L79" s="46"/>
      <c r="M79" s="47">
        <f>SUM(K79/N79)</f>
        <v>1680.41299487045</v>
      </c>
      <c r="N79" s="52">
        <v>380.15</v>
      </c>
      <c r="O79" s="49">
        <v>7.27</v>
      </c>
      <c r="P79" s="50">
        <f>SUM(N79*O79)</f>
        <v>2763.6905</v>
      </c>
      <c r="Q79" s="78"/>
      <c r="R79" s="78"/>
      <c r="S79" s="77">
        <f t="shared" si="60"/>
        <v>917.408303676471</v>
      </c>
      <c r="T79" s="77"/>
      <c r="U79" s="77">
        <f t="shared" si="61"/>
        <v>44.3392647058823</v>
      </c>
      <c r="V79" s="77"/>
      <c r="W79" s="77"/>
      <c r="X79" s="77">
        <f t="shared" si="55"/>
        <v>961.747568382353</v>
      </c>
      <c r="Y79" s="94">
        <f t="shared" si="62"/>
        <v>213.695977941176</v>
      </c>
      <c r="Z79" s="94"/>
      <c r="AA79" s="94">
        <f t="shared" si="63"/>
        <v>1.44815894117647</v>
      </c>
      <c r="AB79" s="94">
        <f t="shared" si="56"/>
        <v>215.144136882353</v>
      </c>
      <c r="AC79" s="45">
        <v>7.3</v>
      </c>
      <c r="AD79" s="77">
        <f t="shared" si="57"/>
        <v>1570.55219924118</v>
      </c>
      <c r="AE79" s="77">
        <f t="shared" si="58"/>
        <v>2532.29976762353</v>
      </c>
      <c r="AF79" s="77">
        <f t="shared" si="59"/>
        <v>231.390732376471</v>
      </c>
    </row>
    <row r="80" s="2" customFormat="1" spans="1:32">
      <c r="A80" s="21"/>
      <c r="B80" s="22"/>
      <c r="C80" s="23">
        <v>241107000048</v>
      </c>
      <c r="D80" s="24">
        <v>45615</v>
      </c>
      <c r="E80" s="24" t="s">
        <v>57</v>
      </c>
      <c r="F80" s="22" t="s">
        <v>58</v>
      </c>
      <c r="G80" s="22" t="s">
        <v>84</v>
      </c>
      <c r="H80" s="25">
        <v>1.9284</v>
      </c>
      <c r="I80" s="25">
        <v>1039</v>
      </c>
      <c r="J80" s="44">
        <v>4628</v>
      </c>
      <c r="K80" s="100"/>
      <c r="L80" s="46"/>
      <c r="M80" s="47"/>
      <c r="N80" s="48"/>
      <c r="O80" s="49"/>
      <c r="P80" s="50">
        <f t="shared" ref="P80:P82" si="64">SUBTOTAL(9,J80)</f>
        <v>4628</v>
      </c>
      <c r="Q80" s="78"/>
      <c r="R80" s="78"/>
      <c r="S80" s="77">
        <f t="shared" si="60"/>
        <v>1349.55387352941</v>
      </c>
      <c r="T80" s="77"/>
      <c r="U80" s="77">
        <f t="shared" si="61"/>
        <v>65.2252941176471</v>
      </c>
      <c r="V80" s="77"/>
      <c r="W80" s="77"/>
      <c r="X80" s="77">
        <f t="shared" si="55"/>
        <v>1414.77916764706</v>
      </c>
      <c r="Y80" s="94">
        <f t="shared" si="62"/>
        <v>314.357558823529</v>
      </c>
      <c r="Z80" s="94"/>
      <c r="AA80" s="94">
        <f t="shared" si="63"/>
        <v>2.13031482352941</v>
      </c>
      <c r="AB80" s="94">
        <f t="shared" si="56"/>
        <v>316.487873647059</v>
      </c>
      <c r="AC80" s="45">
        <v>7.3</v>
      </c>
      <c r="AD80" s="77">
        <f t="shared" si="57"/>
        <v>2310.36147762353</v>
      </c>
      <c r="AE80" s="77">
        <f t="shared" si="58"/>
        <v>3725.14064527059</v>
      </c>
      <c r="AF80" s="77">
        <f t="shared" si="59"/>
        <v>902.85935472941</v>
      </c>
    </row>
    <row r="81" s="2" customFormat="1" spans="1:32">
      <c r="A81" s="21"/>
      <c r="B81" s="22"/>
      <c r="C81" s="23">
        <v>241107000009</v>
      </c>
      <c r="D81" s="24">
        <v>45615</v>
      </c>
      <c r="E81" s="24" t="s">
        <v>57</v>
      </c>
      <c r="F81" s="22" t="s">
        <v>58</v>
      </c>
      <c r="G81" s="22" t="s">
        <v>111</v>
      </c>
      <c r="H81" s="25">
        <v>18.3103</v>
      </c>
      <c r="I81" s="25">
        <v>10792</v>
      </c>
      <c r="J81" s="44">
        <v>43083.21</v>
      </c>
      <c r="K81" s="100"/>
      <c r="L81" s="99"/>
      <c r="M81" s="47"/>
      <c r="N81" s="52"/>
      <c r="O81" s="49"/>
      <c r="P81" s="50">
        <f t="shared" si="64"/>
        <v>43083.21</v>
      </c>
      <c r="Q81" s="78"/>
      <c r="R81" s="78"/>
      <c r="S81" s="77">
        <f t="shared" si="60"/>
        <v>12814.1134051471</v>
      </c>
      <c r="T81" s="77"/>
      <c r="U81" s="77">
        <f t="shared" si="61"/>
        <v>619.318970588235</v>
      </c>
      <c r="V81" s="77"/>
      <c r="W81" s="77"/>
      <c r="X81" s="77">
        <f t="shared" si="55"/>
        <v>13433.4323757353</v>
      </c>
      <c r="Y81" s="94">
        <f t="shared" si="62"/>
        <v>2984.84816911765</v>
      </c>
      <c r="Z81" s="94"/>
      <c r="AA81" s="94">
        <f t="shared" si="63"/>
        <v>20.2274961176471</v>
      </c>
      <c r="AB81" s="94">
        <f t="shared" si="56"/>
        <v>3005.07566523529</v>
      </c>
      <c r="AC81" s="45">
        <v>7.3</v>
      </c>
      <c r="AD81" s="77">
        <f t="shared" si="57"/>
        <v>21937.0523562176</v>
      </c>
      <c r="AE81" s="77">
        <f t="shared" si="58"/>
        <v>35370.4847319529</v>
      </c>
      <c r="AF81" s="77">
        <f t="shared" si="59"/>
        <v>7712.7252680471</v>
      </c>
    </row>
    <row r="82" s="2" customFormat="1" spans="1:32">
      <c r="A82" s="21"/>
      <c r="B82" s="22"/>
      <c r="C82" s="23">
        <v>241116000004</v>
      </c>
      <c r="D82" s="24">
        <v>45615</v>
      </c>
      <c r="E82" s="24" t="s">
        <v>57</v>
      </c>
      <c r="F82" s="22" t="s">
        <v>58</v>
      </c>
      <c r="G82" s="22" t="s">
        <v>122</v>
      </c>
      <c r="H82" s="25">
        <v>0.9249</v>
      </c>
      <c r="I82" s="25">
        <v>172</v>
      </c>
      <c r="J82" s="44">
        <v>3030</v>
      </c>
      <c r="K82" s="45"/>
      <c r="L82" s="46"/>
      <c r="M82" s="47"/>
      <c r="N82" s="48"/>
      <c r="O82" s="49"/>
      <c r="P82" s="50">
        <f t="shared" si="64"/>
        <v>3030</v>
      </c>
      <c r="Q82" s="78"/>
      <c r="R82" s="78"/>
      <c r="S82" s="77">
        <f t="shared" si="60"/>
        <v>647.273583088235</v>
      </c>
      <c r="T82" s="77"/>
      <c r="U82" s="77">
        <f t="shared" si="61"/>
        <v>31.2833823529412</v>
      </c>
      <c r="V82" s="77"/>
      <c r="W82" s="77"/>
      <c r="X82" s="77">
        <f t="shared" si="55"/>
        <v>678.556965441177</v>
      </c>
      <c r="Y82" s="94">
        <f t="shared" si="62"/>
        <v>150.772301470588</v>
      </c>
      <c r="Z82" s="94"/>
      <c r="AA82" s="94">
        <f t="shared" si="63"/>
        <v>1.02174247058824</v>
      </c>
      <c r="AB82" s="94">
        <f t="shared" si="56"/>
        <v>151.794043941176</v>
      </c>
      <c r="AC82" s="45">
        <v>7.3</v>
      </c>
      <c r="AD82" s="77">
        <f t="shared" si="57"/>
        <v>1108.09652077059</v>
      </c>
      <c r="AE82" s="77">
        <f t="shared" si="58"/>
        <v>1786.65348621176</v>
      </c>
      <c r="AF82" s="77">
        <f t="shared" si="59"/>
        <v>1243.34651378824</v>
      </c>
    </row>
    <row r="83" s="2" customFormat="1" spans="1:32">
      <c r="A83" s="21"/>
      <c r="B83" s="22"/>
      <c r="C83" s="23">
        <v>241111000061</v>
      </c>
      <c r="D83" s="24">
        <v>45615</v>
      </c>
      <c r="E83" s="24" t="s">
        <v>60</v>
      </c>
      <c r="F83" s="22" t="s">
        <v>61</v>
      </c>
      <c r="G83" s="22" t="s">
        <v>123</v>
      </c>
      <c r="H83" s="25">
        <v>0.45</v>
      </c>
      <c r="I83" s="25">
        <v>124</v>
      </c>
      <c r="J83" s="107">
        <v>1257.4</v>
      </c>
      <c r="K83" s="45"/>
      <c r="L83" s="46"/>
      <c r="M83" s="47"/>
      <c r="N83" s="46"/>
      <c r="O83" s="49"/>
      <c r="P83" s="50">
        <f>SUM(J83)</f>
        <v>1257.4</v>
      </c>
      <c r="Q83" s="78"/>
      <c r="R83" s="78"/>
      <c r="S83" s="77">
        <f t="shared" si="60"/>
        <v>314.923897058824</v>
      </c>
      <c r="T83" s="77"/>
      <c r="U83" s="77">
        <f t="shared" si="61"/>
        <v>15.2205882352941</v>
      </c>
      <c r="V83" s="77"/>
      <c r="W83" s="77"/>
      <c r="X83" s="77">
        <f t="shared" si="55"/>
        <v>330.144485294118</v>
      </c>
      <c r="Y83" s="94">
        <f t="shared" si="62"/>
        <v>73.3566176470588</v>
      </c>
      <c r="Z83" s="95">
        <v>20.81</v>
      </c>
      <c r="AA83" s="94">
        <f t="shared" si="63"/>
        <v>0.497117647058824</v>
      </c>
      <c r="AB83" s="94">
        <f t="shared" si="56"/>
        <v>94.6637352941177</v>
      </c>
      <c r="AC83" s="45">
        <v>7.3</v>
      </c>
      <c r="AD83" s="77">
        <f t="shared" si="57"/>
        <v>691.045267647059</v>
      </c>
      <c r="AE83" s="77">
        <f t="shared" si="58"/>
        <v>1021.18975294118</v>
      </c>
      <c r="AF83" s="77">
        <f t="shared" si="59"/>
        <v>236.210247058824</v>
      </c>
    </row>
    <row r="84" s="2" customFormat="1" spans="1:32">
      <c r="A84" s="21"/>
      <c r="B84" s="22"/>
      <c r="C84" s="23">
        <v>241112000045</v>
      </c>
      <c r="D84" s="24">
        <v>45615</v>
      </c>
      <c r="E84" s="24" t="s">
        <v>64</v>
      </c>
      <c r="F84" s="22" t="s">
        <v>65</v>
      </c>
      <c r="G84" s="22" t="s">
        <v>124</v>
      </c>
      <c r="H84" s="25">
        <v>0.8383</v>
      </c>
      <c r="I84" s="25">
        <v>181</v>
      </c>
      <c r="J84" s="44">
        <v>3448</v>
      </c>
      <c r="K84" s="45"/>
      <c r="L84" s="46"/>
      <c r="M84" s="47"/>
      <c r="N84" s="48"/>
      <c r="O84" s="49"/>
      <c r="P84" s="50">
        <f t="shared" ref="P84:P87" si="65">SUBTOTAL(9,J84)</f>
        <v>3448</v>
      </c>
      <c r="Q84" s="78"/>
      <c r="R84" s="78"/>
      <c r="S84" s="77">
        <f t="shared" si="60"/>
        <v>586.668228676471</v>
      </c>
      <c r="T84" s="77"/>
      <c r="U84" s="77">
        <f t="shared" si="61"/>
        <v>28.3542647058824</v>
      </c>
      <c r="V84" s="77"/>
      <c r="W84" s="77"/>
      <c r="X84" s="77">
        <f t="shared" si="55"/>
        <v>615.022493382353</v>
      </c>
      <c r="Y84" s="94">
        <f t="shared" si="62"/>
        <v>136.655227941176</v>
      </c>
      <c r="Z84" s="95">
        <v>95.12</v>
      </c>
      <c r="AA84" s="94">
        <f t="shared" si="63"/>
        <v>0.926074941176471</v>
      </c>
      <c r="AB84" s="94">
        <f t="shared" si="56"/>
        <v>232.701302882353</v>
      </c>
      <c r="AC84" s="45">
        <v>7.3</v>
      </c>
      <c r="AD84" s="77">
        <f t="shared" si="57"/>
        <v>1698.71951104118</v>
      </c>
      <c r="AE84" s="77">
        <f t="shared" si="58"/>
        <v>2313.74200442353</v>
      </c>
      <c r="AF84" s="77">
        <f t="shared" si="59"/>
        <v>1134.25799557647</v>
      </c>
    </row>
    <row r="85" s="2" customFormat="1" spans="1:32">
      <c r="A85" s="21"/>
      <c r="B85" s="22"/>
      <c r="C85" s="23">
        <v>241113000029</v>
      </c>
      <c r="D85" s="24">
        <v>45615</v>
      </c>
      <c r="E85" s="24" t="s">
        <v>64</v>
      </c>
      <c r="F85" s="22" t="s">
        <v>65</v>
      </c>
      <c r="G85" s="22" t="s">
        <v>125</v>
      </c>
      <c r="H85" s="25">
        <v>1.7575</v>
      </c>
      <c r="I85" s="25">
        <v>1244.5</v>
      </c>
      <c r="J85" s="50"/>
      <c r="K85" s="51">
        <v>1064044.8</v>
      </c>
      <c r="L85" s="46"/>
      <c r="M85" s="47">
        <f>SUM(K85/N85)</f>
        <v>1680.00037135287</v>
      </c>
      <c r="N85" s="52">
        <v>633.35986</v>
      </c>
      <c r="O85" s="49">
        <v>7.27</v>
      </c>
      <c r="P85" s="50">
        <f>SUM(N85*O85)</f>
        <v>4604.5261822</v>
      </c>
      <c r="Q85" s="78"/>
      <c r="R85" s="78"/>
      <c r="S85" s="77">
        <f t="shared" si="60"/>
        <v>1229.95277573529</v>
      </c>
      <c r="T85" s="79">
        <v>735</v>
      </c>
      <c r="U85" s="77">
        <f t="shared" si="61"/>
        <v>59.4448529411765</v>
      </c>
      <c r="V85" s="77"/>
      <c r="W85" s="77"/>
      <c r="X85" s="77">
        <f t="shared" si="55"/>
        <v>2024.39762867647</v>
      </c>
      <c r="Y85" s="94">
        <f t="shared" si="62"/>
        <v>286.498345588235</v>
      </c>
      <c r="Z85" s="94"/>
      <c r="AA85" s="94">
        <f t="shared" si="63"/>
        <v>1.94152058823529</v>
      </c>
      <c r="AB85" s="94">
        <f t="shared" si="56"/>
        <v>288.439866176471</v>
      </c>
      <c r="AC85" s="45">
        <v>7.3</v>
      </c>
      <c r="AD85" s="77">
        <f t="shared" si="57"/>
        <v>2105.61102308824</v>
      </c>
      <c r="AE85" s="77">
        <f t="shared" si="58"/>
        <v>4130.00865176471</v>
      </c>
      <c r="AF85" s="77">
        <f t="shared" si="59"/>
        <v>474.517530435294</v>
      </c>
    </row>
    <row r="86" s="2" customFormat="1" spans="1:32">
      <c r="A86" s="21"/>
      <c r="B86" s="22"/>
      <c r="C86" s="23">
        <v>241113000042</v>
      </c>
      <c r="D86" s="24">
        <v>45615</v>
      </c>
      <c r="E86" s="24" t="s">
        <v>57</v>
      </c>
      <c r="F86" s="22" t="s">
        <v>58</v>
      </c>
      <c r="G86" s="22" t="s">
        <v>84</v>
      </c>
      <c r="H86" s="25">
        <v>0.3419</v>
      </c>
      <c r="I86" s="25">
        <v>190</v>
      </c>
      <c r="J86" s="44">
        <v>748.5</v>
      </c>
      <c r="K86" s="45"/>
      <c r="L86" s="46"/>
      <c r="M86" s="47"/>
      <c r="N86" s="48"/>
      <c r="O86" s="49"/>
      <c r="P86" s="50">
        <f t="shared" si="65"/>
        <v>748.5</v>
      </c>
      <c r="Q86" s="78"/>
      <c r="R86" s="78"/>
      <c r="S86" s="77">
        <f t="shared" si="60"/>
        <v>239.272178676471</v>
      </c>
      <c r="T86" s="77"/>
      <c r="U86" s="77">
        <f t="shared" si="61"/>
        <v>11.5642647058824</v>
      </c>
      <c r="V86" s="77"/>
      <c r="W86" s="77"/>
      <c r="X86" s="77">
        <f t="shared" si="55"/>
        <v>250.836443382353</v>
      </c>
      <c r="Y86" s="94">
        <f t="shared" si="62"/>
        <v>55.7347279411765</v>
      </c>
      <c r="Z86" s="94"/>
      <c r="AA86" s="94">
        <f t="shared" si="63"/>
        <v>0.377698941176471</v>
      </c>
      <c r="AB86" s="94">
        <f t="shared" si="56"/>
        <v>56.1124268823529</v>
      </c>
      <c r="AC86" s="45">
        <v>7.3</v>
      </c>
      <c r="AD86" s="77">
        <f t="shared" si="57"/>
        <v>409.620716241176</v>
      </c>
      <c r="AE86" s="77">
        <f t="shared" si="58"/>
        <v>660.457159623529</v>
      </c>
      <c r="AF86" s="77">
        <f t="shared" si="59"/>
        <v>88.042840376471</v>
      </c>
    </row>
    <row r="87" s="2" customFormat="1" spans="1:32">
      <c r="A87" s="21"/>
      <c r="B87" s="22"/>
      <c r="C87" s="23">
        <v>241114000023</v>
      </c>
      <c r="D87" s="24">
        <v>45615</v>
      </c>
      <c r="E87" s="24" t="s">
        <v>57</v>
      </c>
      <c r="F87" s="22" t="s">
        <v>58</v>
      </c>
      <c r="G87" s="22" t="s">
        <v>126</v>
      </c>
      <c r="H87" s="25">
        <v>3.1076</v>
      </c>
      <c r="I87" s="25">
        <v>643</v>
      </c>
      <c r="J87" s="44">
        <v>6811</v>
      </c>
      <c r="K87" s="45"/>
      <c r="L87" s="46"/>
      <c r="M87" s="47"/>
      <c r="N87" s="48"/>
      <c r="O87" s="49"/>
      <c r="P87" s="50">
        <f t="shared" si="65"/>
        <v>6811</v>
      </c>
      <c r="Q87" s="78"/>
      <c r="R87" s="78"/>
      <c r="S87" s="77">
        <f t="shared" si="60"/>
        <v>2174.79445</v>
      </c>
      <c r="T87" s="77"/>
      <c r="U87" s="77">
        <f t="shared" si="61"/>
        <v>105.11</v>
      </c>
      <c r="V87" s="77"/>
      <c r="W87" s="77"/>
      <c r="X87" s="77">
        <f t="shared" si="55"/>
        <v>2279.90445</v>
      </c>
      <c r="Y87" s="94">
        <f t="shared" si="62"/>
        <v>506.5845</v>
      </c>
      <c r="Z87" s="94"/>
      <c r="AA87" s="94">
        <f t="shared" si="63"/>
        <v>3.432984</v>
      </c>
      <c r="AB87" s="94">
        <f t="shared" si="56"/>
        <v>510.017484</v>
      </c>
      <c r="AC87" s="45">
        <v>7.3</v>
      </c>
      <c r="AD87" s="77">
        <f t="shared" si="57"/>
        <v>3723.1276332</v>
      </c>
      <c r="AE87" s="77">
        <f t="shared" si="58"/>
        <v>6003.0320832</v>
      </c>
      <c r="AF87" s="77">
        <f t="shared" si="59"/>
        <v>807.9679168</v>
      </c>
    </row>
    <row r="88" s="2" customFormat="1" spans="1:32">
      <c r="A88" s="21"/>
      <c r="B88" s="22"/>
      <c r="C88" s="23">
        <v>241114000046</v>
      </c>
      <c r="D88" s="24">
        <v>45615</v>
      </c>
      <c r="E88" s="24" t="s">
        <v>86</v>
      </c>
      <c r="F88" s="22" t="s">
        <v>87</v>
      </c>
      <c r="G88" s="22" t="s">
        <v>127</v>
      </c>
      <c r="H88" s="25">
        <v>0.0703</v>
      </c>
      <c r="I88" s="25">
        <v>43</v>
      </c>
      <c r="J88" s="50"/>
      <c r="K88" s="51">
        <v>47100</v>
      </c>
      <c r="L88" s="46"/>
      <c r="M88" s="47">
        <f>SUM(K88/N88)</f>
        <v>2230.11331958618</v>
      </c>
      <c r="N88" s="52">
        <v>21.120003</v>
      </c>
      <c r="O88" s="49">
        <v>7.28</v>
      </c>
      <c r="P88" s="50">
        <f>SUM(N88*O88)</f>
        <v>153.75362184</v>
      </c>
      <c r="Q88" s="78"/>
      <c r="R88" s="78"/>
      <c r="S88" s="77">
        <f t="shared" si="60"/>
        <v>49.1981110294118</v>
      </c>
      <c r="T88" s="77"/>
      <c r="U88" s="77">
        <f t="shared" si="61"/>
        <v>2.37779411764706</v>
      </c>
      <c r="V88" s="77"/>
      <c r="W88" s="77"/>
      <c r="X88" s="77">
        <f t="shared" si="55"/>
        <v>51.5759051470588</v>
      </c>
      <c r="Y88" s="94">
        <f t="shared" si="62"/>
        <v>11.4599338235294</v>
      </c>
      <c r="Z88" s="94"/>
      <c r="AA88" s="94">
        <f t="shared" si="63"/>
        <v>0.0776608235294118</v>
      </c>
      <c r="AB88" s="94">
        <f t="shared" si="56"/>
        <v>11.5375946470588</v>
      </c>
      <c r="AC88" s="45">
        <v>7.3</v>
      </c>
      <c r="AD88" s="77">
        <f t="shared" si="57"/>
        <v>84.2244409235294</v>
      </c>
      <c r="AE88" s="77">
        <f t="shared" si="58"/>
        <v>135.800346070588</v>
      </c>
      <c r="AF88" s="77">
        <f t="shared" si="59"/>
        <v>17.9532757694118</v>
      </c>
    </row>
    <row r="89" s="2" customFormat="1" spans="1:32">
      <c r="A89" s="21"/>
      <c r="B89" s="22"/>
      <c r="C89" s="23">
        <v>241115000005</v>
      </c>
      <c r="D89" s="24">
        <v>45615</v>
      </c>
      <c r="E89" s="24" t="s">
        <v>64</v>
      </c>
      <c r="F89" s="22" t="s">
        <v>65</v>
      </c>
      <c r="G89" s="22" t="s">
        <v>72</v>
      </c>
      <c r="H89" s="25">
        <v>1.0641</v>
      </c>
      <c r="I89" s="25">
        <v>52</v>
      </c>
      <c r="J89" s="44">
        <v>2244.61</v>
      </c>
      <c r="K89" s="45"/>
      <c r="L89" s="46"/>
      <c r="M89" s="47"/>
      <c r="N89" s="48"/>
      <c r="O89" s="49"/>
      <c r="P89" s="50">
        <f t="shared" ref="P89:P92" si="66">SUBTOTAL(9,J89)</f>
        <v>2244.61</v>
      </c>
      <c r="Q89" s="78"/>
      <c r="R89" s="78"/>
      <c r="S89" s="77">
        <f t="shared" si="60"/>
        <v>744.690041911765</v>
      </c>
      <c r="T89" s="77"/>
      <c r="U89" s="77">
        <f t="shared" si="61"/>
        <v>35.9916176470588</v>
      </c>
      <c r="V89" s="77"/>
      <c r="W89" s="79">
        <v>72.29</v>
      </c>
      <c r="X89" s="77">
        <f t="shared" si="55"/>
        <v>852.971659558823</v>
      </c>
      <c r="Y89" s="94">
        <f t="shared" si="62"/>
        <v>173.463948529412</v>
      </c>
      <c r="Z89" s="94"/>
      <c r="AA89" s="94">
        <f t="shared" si="63"/>
        <v>1.17551752941176</v>
      </c>
      <c r="AB89" s="94">
        <f t="shared" si="56"/>
        <v>174.639466058824</v>
      </c>
      <c r="AC89" s="45">
        <v>7.3</v>
      </c>
      <c r="AD89" s="77">
        <f t="shared" si="57"/>
        <v>1274.86810222941</v>
      </c>
      <c r="AE89" s="77">
        <f t="shared" si="58"/>
        <v>2127.83976178824</v>
      </c>
      <c r="AF89" s="77">
        <f t="shared" si="59"/>
        <v>116.77023821176</v>
      </c>
    </row>
    <row r="90" s="2" customFormat="1" spans="1:32">
      <c r="A90" s="21"/>
      <c r="B90" s="22"/>
      <c r="C90" s="23">
        <v>241116000018</v>
      </c>
      <c r="D90" s="24">
        <v>45615</v>
      </c>
      <c r="E90" s="24" t="s">
        <v>70</v>
      </c>
      <c r="F90" s="22" t="s">
        <v>70</v>
      </c>
      <c r="G90" s="22" t="s">
        <v>90</v>
      </c>
      <c r="H90" s="25">
        <v>6.0469</v>
      </c>
      <c r="I90" s="25">
        <v>528</v>
      </c>
      <c r="J90" s="44">
        <v>13684.14</v>
      </c>
      <c r="K90" s="45"/>
      <c r="L90" s="46"/>
      <c r="M90" s="47"/>
      <c r="N90" s="48"/>
      <c r="O90" s="49"/>
      <c r="P90" s="50">
        <f t="shared" si="66"/>
        <v>13684.14</v>
      </c>
      <c r="Q90" s="78"/>
      <c r="R90" s="78"/>
      <c r="S90" s="77">
        <f t="shared" si="60"/>
        <v>4231.8073625</v>
      </c>
      <c r="T90" s="77"/>
      <c r="U90" s="77">
        <f t="shared" si="61"/>
        <v>204.5275</v>
      </c>
      <c r="V90" s="77"/>
      <c r="W90" s="77"/>
      <c r="X90" s="77">
        <f t="shared" si="55"/>
        <v>4436.3348625</v>
      </c>
      <c r="Y90" s="94">
        <f t="shared" si="62"/>
        <v>985.733625</v>
      </c>
      <c r="Z90" s="94"/>
      <c r="AA90" s="94">
        <f t="shared" si="63"/>
        <v>6.680046</v>
      </c>
      <c r="AB90" s="94">
        <f t="shared" si="56"/>
        <v>992.413671</v>
      </c>
      <c r="AC90" s="45">
        <v>7.3</v>
      </c>
      <c r="AD90" s="77">
        <f t="shared" si="57"/>
        <v>7244.6197983</v>
      </c>
      <c r="AE90" s="77">
        <f t="shared" si="58"/>
        <v>11680.9546608</v>
      </c>
      <c r="AF90" s="77">
        <f t="shared" si="59"/>
        <v>2003.1853392</v>
      </c>
    </row>
    <row r="91" s="2" customFormat="1" spans="1:32">
      <c r="A91" s="21"/>
      <c r="B91" s="22"/>
      <c r="C91" s="23">
        <v>241118000073</v>
      </c>
      <c r="D91" s="24">
        <v>45615</v>
      </c>
      <c r="E91" s="24" t="s">
        <v>77</v>
      </c>
      <c r="F91" s="22" t="s">
        <v>78</v>
      </c>
      <c r="G91" s="22" t="s">
        <v>128</v>
      </c>
      <c r="H91" s="25">
        <v>10.1365</v>
      </c>
      <c r="I91" s="25">
        <v>5464</v>
      </c>
      <c r="J91" s="44">
        <v>21201.16</v>
      </c>
      <c r="K91" s="45"/>
      <c r="L91" s="46"/>
      <c r="M91" s="47"/>
      <c r="N91" s="48"/>
      <c r="O91" s="49"/>
      <c r="P91" s="50">
        <f t="shared" si="66"/>
        <v>21201.16</v>
      </c>
      <c r="Q91" s="78"/>
      <c r="R91" s="78"/>
      <c r="S91" s="77">
        <f t="shared" si="60"/>
        <v>7093.83573897059</v>
      </c>
      <c r="T91" s="77"/>
      <c r="U91" s="77">
        <f t="shared" si="61"/>
        <v>342.852205882353</v>
      </c>
      <c r="V91" s="77"/>
      <c r="W91" s="77"/>
      <c r="X91" s="77">
        <f t="shared" si="55"/>
        <v>7436.68794485294</v>
      </c>
      <c r="Y91" s="94">
        <f t="shared" si="62"/>
        <v>1652.39856617647</v>
      </c>
      <c r="Z91" s="94"/>
      <c r="AA91" s="94">
        <f t="shared" si="63"/>
        <v>11.1978511764706</v>
      </c>
      <c r="AB91" s="94">
        <f t="shared" si="56"/>
        <v>1663.59641735294</v>
      </c>
      <c r="AC91" s="45">
        <v>7.3</v>
      </c>
      <c r="AD91" s="77">
        <f t="shared" si="57"/>
        <v>12144.2538466765</v>
      </c>
      <c r="AE91" s="77">
        <f t="shared" si="58"/>
        <v>19580.9417915294</v>
      </c>
      <c r="AF91" s="77">
        <f t="shared" si="59"/>
        <v>1620.2182084706</v>
      </c>
    </row>
    <row r="92" s="2" customFormat="1" spans="1:32">
      <c r="A92" s="21"/>
      <c r="B92" s="22"/>
      <c r="C92" s="23">
        <v>241209000062</v>
      </c>
      <c r="D92" s="24">
        <v>45615</v>
      </c>
      <c r="E92" s="24" t="s">
        <v>77</v>
      </c>
      <c r="F92" s="22" t="s">
        <v>78</v>
      </c>
      <c r="G92" s="22" t="s">
        <v>79</v>
      </c>
      <c r="H92" s="25">
        <v>4.9817</v>
      </c>
      <c r="I92" s="25">
        <v>4862</v>
      </c>
      <c r="J92" s="44">
        <v>11334.38</v>
      </c>
      <c r="K92" s="45"/>
      <c r="L92" s="46"/>
      <c r="M92" s="47"/>
      <c r="N92" s="48"/>
      <c r="O92" s="49"/>
      <c r="P92" s="50">
        <f t="shared" si="66"/>
        <v>11334.38</v>
      </c>
      <c r="Q92" s="78"/>
      <c r="R92" s="78"/>
      <c r="S92" s="77">
        <f t="shared" si="60"/>
        <v>3486.34750661765</v>
      </c>
      <c r="T92" s="77"/>
      <c r="U92" s="77">
        <f t="shared" si="61"/>
        <v>168.498676470588</v>
      </c>
      <c r="V92" s="77"/>
      <c r="W92" s="77"/>
      <c r="X92" s="77">
        <f t="shared" ref="X92:X107" si="67">SUM(S92:W92)</f>
        <v>3654.84618308824</v>
      </c>
      <c r="Y92" s="94">
        <f t="shared" si="62"/>
        <v>812.090360294118</v>
      </c>
      <c r="Z92" s="95">
        <v>77.38</v>
      </c>
      <c r="AA92" s="94">
        <f t="shared" si="63"/>
        <v>5.50331329411765</v>
      </c>
      <c r="AB92" s="94">
        <f t="shared" si="56"/>
        <v>894.973673588235</v>
      </c>
      <c r="AC92" s="45">
        <v>7.3</v>
      </c>
      <c r="AD92" s="77">
        <f t="shared" si="57"/>
        <v>6533.30781719412</v>
      </c>
      <c r="AE92" s="77">
        <f t="shared" ref="AE92:AE107" si="68">SUM(X92+AD92)</f>
        <v>10188.1540002824</v>
      </c>
      <c r="AF92" s="77">
        <f t="shared" si="59"/>
        <v>1146.2259997176</v>
      </c>
    </row>
    <row r="93" s="2" customFormat="1" spans="1:32">
      <c r="A93" s="21"/>
      <c r="B93" s="22"/>
      <c r="C93" s="23">
        <v>241218000023</v>
      </c>
      <c r="D93" s="24">
        <v>45615</v>
      </c>
      <c r="E93" s="24" t="s">
        <v>53</v>
      </c>
      <c r="F93" s="22" t="s">
        <v>54</v>
      </c>
      <c r="G93" s="22" t="s">
        <v>112</v>
      </c>
      <c r="H93" s="25">
        <v>0.0592</v>
      </c>
      <c r="I93" s="25">
        <v>10</v>
      </c>
      <c r="J93" s="50"/>
      <c r="K93" s="51">
        <v>70231</v>
      </c>
      <c r="L93" s="46"/>
      <c r="M93" s="47">
        <f t="shared" ref="M93:M101" si="69">SUM(K93/N93)</f>
        <v>1580</v>
      </c>
      <c r="N93" s="52">
        <v>44.45</v>
      </c>
      <c r="O93" s="49">
        <v>7.29</v>
      </c>
      <c r="P93" s="50">
        <f t="shared" ref="P93:P101" si="70">SUM(N93*O93)</f>
        <v>324.0405</v>
      </c>
      <c r="Q93" s="81"/>
      <c r="R93" s="81"/>
      <c r="S93" s="77">
        <f t="shared" si="60"/>
        <v>41.4299882352941</v>
      </c>
      <c r="T93" s="77"/>
      <c r="U93" s="77">
        <f t="shared" si="61"/>
        <v>2.00235294117647</v>
      </c>
      <c r="V93" s="77"/>
      <c r="W93" s="77"/>
      <c r="X93" s="77">
        <f t="shared" si="67"/>
        <v>43.4323411764706</v>
      </c>
      <c r="Y93" s="94">
        <f t="shared" si="62"/>
        <v>9.65047058823529</v>
      </c>
      <c r="Z93" s="94"/>
      <c r="AA93" s="94">
        <f t="shared" si="63"/>
        <v>0.0653985882352941</v>
      </c>
      <c r="AB93" s="94">
        <f t="shared" ref="AB93:AB107" si="71">SUM(Y93:AA93)</f>
        <v>9.71586917647059</v>
      </c>
      <c r="AC93" s="45">
        <v>7.3</v>
      </c>
      <c r="AD93" s="77">
        <f t="shared" ref="AD93:AD107" si="72">SUM(AB93*AC93)</f>
        <v>70.9258449882353</v>
      </c>
      <c r="AE93" s="77">
        <f t="shared" si="68"/>
        <v>114.358186164706</v>
      </c>
      <c r="AF93" s="77">
        <f t="shared" ref="AF93:AF107" si="73">SUM(P93-AE93)</f>
        <v>209.682313835294</v>
      </c>
    </row>
    <row r="94" s="2" customFormat="1" spans="1:32">
      <c r="A94" s="21" t="s">
        <v>14</v>
      </c>
      <c r="B94" s="22" t="s">
        <v>15</v>
      </c>
      <c r="C94" s="23">
        <v>241102000009</v>
      </c>
      <c r="D94" s="24">
        <v>45616</v>
      </c>
      <c r="E94" s="24" t="s">
        <v>57</v>
      </c>
      <c r="F94" s="22" t="s">
        <v>58</v>
      </c>
      <c r="G94" s="22" t="s">
        <v>67</v>
      </c>
      <c r="H94" s="25">
        <v>0.3399</v>
      </c>
      <c r="I94" s="25">
        <v>118</v>
      </c>
      <c r="J94" s="50"/>
      <c r="K94" s="51">
        <v>165636</v>
      </c>
      <c r="L94" s="46"/>
      <c r="M94" s="47">
        <f t="shared" si="69"/>
        <v>1680.21911138162</v>
      </c>
      <c r="N94" s="52">
        <v>98.58</v>
      </c>
      <c r="O94" s="49">
        <v>7.27</v>
      </c>
      <c r="P94" s="50">
        <f t="shared" si="70"/>
        <v>716.6766</v>
      </c>
      <c r="Q94" s="75">
        <f>SUM(P94:P107)</f>
        <v>147610.4969638</v>
      </c>
      <c r="R94" s="76" t="s">
        <v>129</v>
      </c>
      <c r="S94" s="77">
        <f>SUM(45685.5/68)*H94</f>
        <v>228.360315441176</v>
      </c>
      <c r="T94" s="77"/>
      <c r="U94" s="77">
        <f>SUM(2000/68)*H94</f>
        <v>9.99705882352941</v>
      </c>
      <c r="V94" s="77"/>
      <c r="W94" s="77"/>
      <c r="X94" s="77">
        <f t="shared" si="67"/>
        <v>238.357374264706</v>
      </c>
      <c r="Y94" s="94">
        <f t="shared" si="62"/>
        <v>55.4086985294118</v>
      </c>
      <c r="Z94" s="94"/>
      <c r="AA94" s="94">
        <f>SUM(77.38/68)*H94</f>
        <v>0.386786205882353</v>
      </c>
      <c r="AB94" s="94">
        <f t="shared" si="71"/>
        <v>55.7954847352941</v>
      </c>
      <c r="AC94" s="45">
        <v>7.3</v>
      </c>
      <c r="AD94" s="77">
        <f t="shared" si="72"/>
        <v>407.307038567647</v>
      </c>
      <c r="AE94" s="77">
        <f t="shared" si="68"/>
        <v>645.664412832353</v>
      </c>
      <c r="AF94" s="77">
        <f t="shared" si="73"/>
        <v>71.0121871676472</v>
      </c>
    </row>
    <row r="95" s="2" customFormat="1" spans="1:32">
      <c r="A95" s="21"/>
      <c r="B95" s="22"/>
      <c r="C95" s="23">
        <v>241107000009</v>
      </c>
      <c r="D95" s="24">
        <v>45616</v>
      </c>
      <c r="E95" s="24" t="s">
        <v>57</v>
      </c>
      <c r="F95" s="22" t="s">
        <v>58</v>
      </c>
      <c r="G95" s="22" t="s">
        <v>111</v>
      </c>
      <c r="H95" s="25">
        <v>6.8102</v>
      </c>
      <c r="I95" s="25">
        <v>4442</v>
      </c>
      <c r="J95" s="97">
        <v>16020.41</v>
      </c>
      <c r="K95" s="100"/>
      <c r="L95" s="99"/>
      <c r="M95" s="47"/>
      <c r="N95" s="52"/>
      <c r="O95" s="49"/>
      <c r="P95" s="50">
        <f t="shared" ref="P95:P97" si="74">SUBTOTAL(9,J95)</f>
        <v>16020.41</v>
      </c>
      <c r="Q95" s="78"/>
      <c r="R95" s="78"/>
      <c r="S95" s="77">
        <f t="shared" ref="S95:S107" si="75">SUM(45685.5/68)*H95</f>
        <v>4575.402825</v>
      </c>
      <c r="T95" s="77"/>
      <c r="U95" s="77">
        <f t="shared" ref="U95:U107" si="76">SUM(2000/68)*H95</f>
        <v>200.3</v>
      </c>
      <c r="V95" s="77"/>
      <c r="W95" s="77"/>
      <c r="X95" s="77">
        <f t="shared" si="67"/>
        <v>4775.702825</v>
      </c>
      <c r="Y95" s="94">
        <f t="shared" ref="Y95:Y107" si="77">SUM(11085/68)*H95</f>
        <v>1110.16275</v>
      </c>
      <c r="Z95" s="94"/>
      <c r="AA95" s="94">
        <f t="shared" ref="AA95:AA107" si="78">SUM(77.38/68)*H95</f>
        <v>7.749607</v>
      </c>
      <c r="AB95" s="94">
        <f t="shared" si="71"/>
        <v>1117.912357</v>
      </c>
      <c r="AC95" s="45">
        <v>7.3</v>
      </c>
      <c r="AD95" s="77">
        <f t="shared" si="72"/>
        <v>8160.7602061</v>
      </c>
      <c r="AE95" s="77">
        <f t="shared" si="68"/>
        <v>12936.4630311</v>
      </c>
      <c r="AF95" s="77">
        <f t="shared" si="73"/>
        <v>3083.9469689</v>
      </c>
    </row>
    <row r="96" s="2" customFormat="1" spans="1:32">
      <c r="A96" s="21"/>
      <c r="B96" s="22"/>
      <c r="C96" s="23">
        <v>241106000050</v>
      </c>
      <c r="D96" s="24">
        <v>45616</v>
      </c>
      <c r="E96" s="24" t="s">
        <v>57</v>
      </c>
      <c r="F96" s="22" t="s">
        <v>58</v>
      </c>
      <c r="G96" s="22" t="s">
        <v>82</v>
      </c>
      <c r="H96" s="25">
        <v>0.6913</v>
      </c>
      <c r="I96" s="25">
        <v>774</v>
      </c>
      <c r="J96" s="44">
        <v>3860.58</v>
      </c>
      <c r="K96" s="45"/>
      <c r="L96" s="99"/>
      <c r="M96" s="47"/>
      <c r="N96" s="52"/>
      <c r="O96" s="49"/>
      <c r="P96" s="50">
        <f t="shared" si="74"/>
        <v>3860.58</v>
      </c>
      <c r="Q96" s="78"/>
      <c r="R96" s="78"/>
      <c r="S96" s="77">
        <f t="shared" si="75"/>
        <v>464.446855147059</v>
      </c>
      <c r="T96" s="77"/>
      <c r="U96" s="77">
        <f t="shared" si="76"/>
        <v>20.3323529411765</v>
      </c>
      <c r="V96" s="79">
        <v>150</v>
      </c>
      <c r="W96" s="77"/>
      <c r="X96" s="77">
        <f t="shared" si="67"/>
        <v>634.779208088235</v>
      </c>
      <c r="Y96" s="94">
        <f t="shared" si="77"/>
        <v>112.692066176471</v>
      </c>
      <c r="Z96" s="94"/>
      <c r="AA96" s="94">
        <f t="shared" si="78"/>
        <v>0.786658735294118</v>
      </c>
      <c r="AB96" s="94">
        <f t="shared" si="71"/>
        <v>113.478724911765</v>
      </c>
      <c r="AC96" s="45">
        <v>7.3</v>
      </c>
      <c r="AD96" s="77">
        <f t="shared" si="72"/>
        <v>828.394691855882</v>
      </c>
      <c r="AE96" s="77">
        <f t="shared" si="68"/>
        <v>1463.17389994412</v>
      </c>
      <c r="AF96" s="77">
        <f t="shared" si="73"/>
        <v>2397.40610005588</v>
      </c>
    </row>
    <row r="97" s="2" customFormat="1" spans="1:32">
      <c r="A97" s="21"/>
      <c r="B97" s="22"/>
      <c r="C97" s="23">
        <v>241106000051</v>
      </c>
      <c r="D97" s="24">
        <v>45616</v>
      </c>
      <c r="E97" s="24" t="s">
        <v>57</v>
      </c>
      <c r="F97" s="22" t="s">
        <v>58</v>
      </c>
      <c r="G97" s="22" t="s">
        <v>82</v>
      </c>
      <c r="H97" s="25">
        <v>0.4698</v>
      </c>
      <c r="I97" s="25">
        <v>547</v>
      </c>
      <c r="J97" s="44">
        <v>1670.3</v>
      </c>
      <c r="K97" s="45"/>
      <c r="L97" s="99"/>
      <c r="M97" s="47"/>
      <c r="N97" s="52"/>
      <c r="O97" s="49"/>
      <c r="P97" s="50">
        <f t="shared" si="74"/>
        <v>1670.3</v>
      </c>
      <c r="Q97" s="78"/>
      <c r="R97" s="78"/>
      <c r="S97" s="77">
        <f t="shared" si="75"/>
        <v>315.633057352941</v>
      </c>
      <c r="T97" s="77"/>
      <c r="U97" s="77">
        <f t="shared" si="76"/>
        <v>13.8176470588235</v>
      </c>
      <c r="V97" s="77"/>
      <c r="W97" s="77"/>
      <c r="X97" s="77">
        <f t="shared" si="67"/>
        <v>329.450704411765</v>
      </c>
      <c r="Y97" s="94">
        <f t="shared" si="77"/>
        <v>76.5843088235294</v>
      </c>
      <c r="Z97" s="94"/>
      <c r="AA97" s="94">
        <f t="shared" si="78"/>
        <v>0.534604764705882</v>
      </c>
      <c r="AB97" s="94">
        <f t="shared" si="71"/>
        <v>77.1189135882353</v>
      </c>
      <c r="AC97" s="45">
        <v>7.3</v>
      </c>
      <c r="AD97" s="77">
        <f t="shared" si="72"/>
        <v>562.968069194118</v>
      </c>
      <c r="AE97" s="77">
        <f t="shared" si="68"/>
        <v>892.418773605882</v>
      </c>
      <c r="AF97" s="77">
        <f t="shared" si="73"/>
        <v>777.881226394118</v>
      </c>
    </row>
    <row r="98" s="2" customFormat="1" spans="1:32">
      <c r="A98" s="21"/>
      <c r="B98" s="22"/>
      <c r="C98" s="23">
        <v>241113000044</v>
      </c>
      <c r="D98" s="24">
        <v>45616</v>
      </c>
      <c r="E98" s="24" t="s">
        <v>94</v>
      </c>
      <c r="F98" s="22" t="s">
        <v>95</v>
      </c>
      <c r="G98" s="22" t="s">
        <v>119</v>
      </c>
      <c r="H98" s="25">
        <v>2.0156</v>
      </c>
      <c r="I98" s="25">
        <v>301</v>
      </c>
      <c r="J98" s="50"/>
      <c r="K98" s="51">
        <v>829711.92</v>
      </c>
      <c r="L98" s="46"/>
      <c r="M98" s="47">
        <f t="shared" si="69"/>
        <v>1608</v>
      </c>
      <c r="N98" s="52">
        <v>515.99</v>
      </c>
      <c r="O98" s="49">
        <v>7.3</v>
      </c>
      <c r="P98" s="50">
        <f t="shared" si="70"/>
        <v>3766.727</v>
      </c>
      <c r="Q98" s="78"/>
      <c r="R98" s="78"/>
      <c r="S98" s="77">
        <f t="shared" si="75"/>
        <v>1354.17196764706</v>
      </c>
      <c r="T98" s="77"/>
      <c r="U98" s="77">
        <f t="shared" si="76"/>
        <v>59.2823529411765</v>
      </c>
      <c r="V98" s="77"/>
      <c r="W98" s="77"/>
      <c r="X98" s="77">
        <f t="shared" si="67"/>
        <v>1413.45432058824</v>
      </c>
      <c r="Y98" s="94">
        <f t="shared" si="77"/>
        <v>328.572441176471</v>
      </c>
      <c r="Z98" s="94"/>
      <c r="AA98" s="94">
        <f t="shared" si="78"/>
        <v>2.29363423529412</v>
      </c>
      <c r="AB98" s="94">
        <f t="shared" si="71"/>
        <v>330.866075411765</v>
      </c>
      <c r="AC98" s="45">
        <v>7.3</v>
      </c>
      <c r="AD98" s="77">
        <f t="shared" si="72"/>
        <v>2415.32235050588</v>
      </c>
      <c r="AE98" s="77">
        <f t="shared" si="68"/>
        <v>3828.77667109412</v>
      </c>
      <c r="AF98" s="77">
        <f t="shared" si="73"/>
        <v>-62.0496710941179</v>
      </c>
    </row>
    <row r="99" s="2" customFormat="1" spans="1:32">
      <c r="A99" s="21"/>
      <c r="B99" s="22"/>
      <c r="C99" s="23">
        <v>241114000013</v>
      </c>
      <c r="D99" s="24">
        <v>45616</v>
      </c>
      <c r="E99" s="24" t="s">
        <v>94</v>
      </c>
      <c r="F99" s="22" t="s">
        <v>95</v>
      </c>
      <c r="G99" s="22" t="s">
        <v>119</v>
      </c>
      <c r="H99" s="25">
        <v>0.0902</v>
      </c>
      <c r="I99" s="25">
        <v>76</v>
      </c>
      <c r="J99" s="50"/>
      <c r="K99" s="51">
        <v>37176.96</v>
      </c>
      <c r="L99" s="46"/>
      <c r="M99" s="47">
        <f t="shared" si="69"/>
        <v>1608</v>
      </c>
      <c r="N99" s="52">
        <v>23.12</v>
      </c>
      <c r="O99" s="49">
        <v>7.3</v>
      </c>
      <c r="P99" s="50">
        <f t="shared" si="70"/>
        <v>168.776</v>
      </c>
      <c r="Q99" s="78"/>
      <c r="R99" s="78"/>
      <c r="S99" s="77">
        <f t="shared" si="75"/>
        <v>60.6004720588235</v>
      </c>
      <c r="T99" s="77"/>
      <c r="U99" s="77">
        <f t="shared" si="76"/>
        <v>2.65294117647059</v>
      </c>
      <c r="V99" s="77"/>
      <c r="W99" s="77"/>
      <c r="X99" s="77">
        <f t="shared" si="67"/>
        <v>63.2534132352941</v>
      </c>
      <c r="Y99" s="94">
        <f t="shared" si="77"/>
        <v>14.7039264705882</v>
      </c>
      <c r="Z99" s="94"/>
      <c r="AA99" s="94">
        <f t="shared" si="78"/>
        <v>0.102642294117647</v>
      </c>
      <c r="AB99" s="94">
        <f t="shared" si="71"/>
        <v>14.8065687647059</v>
      </c>
      <c r="AC99" s="45">
        <v>7.3</v>
      </c>
      <c r="AD99" s="77">
        <f t="shared" si="72"/>
        <v>108.087951982353</v>
      </c>
      <c r="AE99" s="77">
        <f t="shared" si="68"/>
        <v>171.341365217647</v>
      </c>
      <c r="AF99" s="77">
        <f t="shared" si="73"/>
        <v>-2.56536521764704</v>
      </c>
    </row>
    <row r="100" s="2" customFormat="1" spans="1:32">
      <c r="A100" s="21"/>
      <c r="B100" s="22"/>
      <c r="C100" s="23">
        <v>241114000027</v>
      </c>
      <c r="D100" s="24">
        <v>45616</v>
      </c>
      <c r="E100" s="24" t="s">
        <v>53</v>
      </c>
      <c r="F100" s="22" t="s">
        <v>54</v>
      </c>
      <c r="G100" s="22" t="s">
        <v>113</v>
      </c>
      <c r="H100" s="25">
        <v>7.3094</v>
      </c>
      <c r="I100" s="25">
        <v>4250</v>
      </c>
      <c r="J100" s="105"/>
      <c r="K100" s="51">
        <v>3823031.52</v>
      </c>
      <c r="L100" s="46"/>
      <c r="M100" s="47">
        <f t="shared" si="69"/>
        <v>1663.2</v>
      </c>
      <c r="N100" s="99">
        <v>2298.6</v>
      </c>
      <c r="O100" s="49">
        <v>7.3</v>
      </c>
      <c r="P100" s="50">
        <f t="shared" si="70"/>
        <v>16779.78</v>
      </c>
      <c r="Q100" s="78"/>
      <c r="R100" s="78"/>
      <c r="S100" s="77">
        <f t="shared" si="75"/>
        <v>4910.78814264706</v>
      </c>
      <c r="T100" s="77"/>
      <c r="U100" s="77">
        <f t="shared" si="76"/>
        <v>214.982352941176</v>
      </c>
      <c r="V100" s="77"/>
      <c r="W100" s="77"/>
      <c r="X100" s="77">
        <f t="shared" si="67"/>
        <v>5125.77049558824</v>
      </c>
      <c r="Y100" s="94">
        <f t="shared" si="77"/>
        <v>1191.53969117647</v>
      </c>
      <c r="Z100" s="95">
        <v>97.22</v>
      </c>
      <c r="AA100" s="94">
        <f t="shared" si="78"/>
        <v>8.31766723529412</v>
      </c>
      <c r="AB100" s="94">
        <f t="shared" si="71"/>
        <v>1297.07735841176</v>
      </c>
      <c r="AC100" s="45">
        <v>7.3</v>
      </c>
      <c r="AD100" s="77">
        <f t="shared" si="72"/>
        <v>9468.66471640588</v>
      </c>
      <c r="AE100" s="77">
        <f t="shared" si="68"/>
        <v>14594.4352119941</v>
      </c>
      <c r="AF100" s="77">
        <f t="shared" si="73"/>
        <v>2185.34478800588</v>
      </c>
    </row>
    <row r="101" s="2" customFormat="1" spans="1:32">
      <c r="A101" s="21"/>
      <c r="B101" s="22"/>
      <c r="C101" s="23">
        <v>241115000042</v>
      </c>
      <c r="D101" s="24">
        <v>45616</v>
      </c>
      <c r="E101" s="24" t="s">
        <v>57</v>
      </c>
      <c r="F101" s="22" t="s">
        <v>58</v>
      </c>
      <c r="G101" s="22" t="s">
        <v>111</v>
      </c>
      <c r="H101" s="25">
        <v>2.5805</v>
      </c>
      <c r="I101" s="25">
        <v>1066</v>
      </c>
      <c r="J101" s="50"/>
      <c r="K101" s="51">
        <v>1255187.75</v>
      </c>
      <c r="L101" s="46"/>
      <c r="M101" s="47">
        <f t="shared" si="69"/>
        <v>1706.71686664175</v>
      </c>
      <c r="N101" s="52">
        <v>735.43994</v>
      </c>
      <c r="O101" s="49">
        <v>7.27</v>
      </c>
      <c r="P101" s="50">
        <f t="shared" si="70"/>
        <v>5346.6483638</v>
      </c>
      <c r="Q101" s="78"/>
      <c r="R101" s="78"/>
      <c r="S101" s="77">
        <f t="shared" si="75"/>
        <v>1733.69754044118</v>
      </c>
      <c r="T101" s="77"/>
      <c r="U101" s="77">
        <f t="shared" si="76"/>
        <v>75.8970588235294</v>
      </c>
      <c r="V101" s="77"/>
      <c r="W101" s="77"/>
      <c r="X101" s="77">
        <f t="shared" si="67"/>
        <v>1809.59459926471</v>
      </c>
      <c r="Y101" s="94">
        <f t="shared" si="77"/>
        <v>420.659448529412</v>
      </c>
      <c r="Z101" s="94"/>
      <c r="AA101" s="94">
        <f t="shared" si="78"/>
        <v>2.93645720588235</v>
      </c>
      <c r="AB101" s="94">
        <f t="shared" si="71"/>
        <v>423.595905735294</v>
      </c>
      <c r="AC101" s="45">
        <v>7.3</v>
      </c>
      <c r="AD101" s="77">
        <f t="shared" si="72"/>
        <v>3092.25011186765</v>
      </c>
      <c r="AE101" s="77">
        <f t="shared" si="68"/>
        <v>4901.84471113235</v>
      </c>
      <c r="AF101" s="77">
        <f t="shared" si="73"/>
        <v>444.803652667648</v>
      </c>
    </row>
    <row r="102" s="2" customFormat="1" spans="1:32">
      <c r="A102" s="21"/>
      <c r="B102" s="22"/>
      <c r="C102" s="23">
        <v>241118000051</v>
      </c>
      <c r="D102" s="24">
        <v>45616</v>
      </c>
      <c r="E102" s="24" t="s">
        <v>57</v>
      </c>
      <c r="F102" s="22" t="s">
        <v>58</v>
      </c>
      <c r="G102" s="22" t="s">
        <v>108</v>
      </c>
      <c r="H102" s="25">
        <v>0.2898</v>
      </c>
      <c r="I102" s="25">
        <v>30</v>
      </c>
      <c r="J102" s="44">
        <v>639.5</v>
      </c>
      <c r="K102" s="45"/>
      <c r="L102" s="46"/>
      <c r="M102" s="47"/>
      <c r="N102" s="48"/>
      <c r="O102" s="49"/>
      <c r="P102" s="50">
        <f t="shared" ref="P102:P109" si="79">SUBTOTAL(9,J102)</f>
        <v>639.5</v>
      </c>
      <c r="Q102" s="78"/>
      <c r="R102" s="78"/>
      <c r="S102" s="77">
        <f t="shared" si="75"/>
        <v>194.700851470588</v>
      </c>
      <c r="T102" s="77"/>
      <c r="U102" s="77">
        <f t="shared" si="76"/>
        <v>8.52352941176471</v>
      </c>
      <c r="V102" s="77"/>
      <c r="W102" s="77"/>
      <c r="X102" s="77">
        <f t="shared" si="67"/>
        <v>203.224380882353</v>
      </c>
      <c r="Y102" s="94">
        <f t="shared" si="77"/>
        <v>47.2416617647059</v>
      </c>
      <c r="Z102" s="94"/>
      <c r="AA102" s="94">
        <f t="shared" si="78"/>
        <v>0.329775352941176</v>
      </c>
      <c r="AB102" s="94">
        <f t="shared" si="71"/>
        <v>47.5714371176471</v>
      </c>
      <c r="AC102" s="45">
        <v>7.3</v>
      </c>
      <c r="AD102" s="77">
        <f t="shared" si="72"/>
        <v>347.271490958824</v>
      </c>
      <c r="AE102" s="77">
        <f t="shared" si="68"/>
        <v>550.495871841176</v>
      </c>
      <c r="AF102" s="77">
        <f t="shared" si="73"/>
        <v>89.004128158824</v>
      </c>
    </row>
    <row r="103" s="2" customFormat="1" spans="1:32">
      <c r="A103" s="21"/>
      <c r="B103" s="22"/>
      <c r="C103" s="23">
        <v>241118000062</v>
      </c>
      <c r="D103" s="24">
        <v>45616</v>
      </c>
      <c r="E103" s="24" t="s">
        <v>94</v>
      </c>
      <c r="F103" s="22" t="s">
        <v>95</v>
      </c>
      <c r="G103" s="22" t="s">
        <v>119</v>
      </c>
      <c r="H103" s="25">
        <v>0.3791</v>
      </c>
      <c r="I103" s="25">
        <v>53</v>
      </c>
      <c r="J103" s="50"/>
      <c r="K103" s="51">
        <v>156056.4</v>
      </c>
      <c r="L103" s="46"/>
      <c r="M103" s="47">
        <f t="shared" ref="M103:M105" si="80">SUM(K103/N103)</f>
        <v>1608</v>
      </c>
      <c r="N103" s="52">
        <v>97.05</v>
      </c>
      <c r="O103" s="49">
        <v>7.3</v>
      </c>
      <c r="P103" s="50">
        <f t="shared" ref="P103:P105" si="81">SUM(N103*O103)</f>
        <v>708.465</v>
      </c>
      <c r="Q103" s="78"/>
      <c r="R103" s="78"/>
      <c r="S103" s="77">
        <f t="shared" si="75"/>
        <v>254.6966625</v>
      </c>
      <c r="T103" s="77"/>
      <c r="U103" s="77">
        <f t="shared" si="76"/>
        <v>11.15</v>
      </c>
      <c r="V103" s="77"/>
      <c r="W103" s="77"/>
      <c r="X103" s="77">
        <f t="shared" si="67"/>
        <v>265.8466625</v>
      </c>
      <c r="Y103" s="94">
        <f t="shared" si="77"/>
        <v>61.798875</v>
      </c>
      <c r="Z103" s="94"/>
      <c r="AA103" s="94">
        <f t="shared" si="78"/>
        <v>0.4313935</v>
      </c>
      <c r="AB103" s="94">
        <f t="shared" si="71"/>
        <v>62.2302685</v>
      </c>
      <c r="AC103" s="45">
        <v>7.3</v>
      </c>
      <c r="AD103" s="77">
        <f t="shared" si="72"/>
        <v>454.28096005</v>
      </c>
      <c r="AE103" s="77">
        <f t="shared" si="68"/>
        <v>720.12762255</v>
      </c>
      <c r="AF103" s="77">
        <f t="shared" si="73"/>
        <v>-11.6626225499998</v>
      </c>
    </row>
    <row r="104" s="2" customFormat="1" spans="1:32">
      <c r="A104" s="21"/>
      <c r="B104" s="22"/>
      <c r="C104" s="23">
        <v>241119000022</v>
      </c>
      <c r="D104" s="24">
        <v>45616</v>
      </c>
      <c r="E104" s="24" t="s">
        <v>94</v>
      </c>
      <c r="F104" s="22" t="s">
        <v>95</v>
      </c>
      <c r="G104" s="22" t="s">
        <v>119</v>
      </c>
      <c r="H104" s="25">
        <v>2.3578</v>
      </c>
      <c r="I104" s="25">
        <v>388</v>
      </c>
      <c r="J104" s="50"/>
      <c r="K104" s="51">
        <v>970588.8</v>
      </c>
      <c r="L104" s="46"/>
      <c r="M104" s="47">
        <f t="shared" si="80"/>
        <v>1608</v>
      </c>
      <c r="N104" s="52">
        <v>603.6</v>
      </c>
      <c r="O104" s="49">
        <v>7.3</v>
      </c>
      <c r="P104" s="50">
        <f t="shared" si="81"/>
        <v>4406.28</v>
      </c>
      <c r="Q104" s="78"/>
      <c r="R104" s="78"/>
      <c r="S104" s="77">
        <f t="shared" si="75"/>
        <v>1584.07752794118</v>
      </c>
      <c r="T104" s="77"/>
      <c r="U104" s="77">
        <f t="shared" si="76"/>
        <v>69.3470588235294</v>
      </c>
      <c r="V104" s="77"/>
      <c r="W104" s="77"/>
      <c r="X104" s="77">
        <f t="shared" si="67"/>
        <v>1653.42458676471</v>
      </c>
      <c r="Y104" s="94">
        <f t="shared" si="77"/>
        <v>384.356073529412</v>
      </c>
      <c r="Z104" s="94"/>
      <c r="AA104" s="94">
        <f t="shared" si="78"/>
        <v>2.68303770588235</v>
      </c>
      <c r="AB104" s="94">
        <f t="shared" si="71"/>
        <v>387.039111235294</v>
      </c>
      <c r="AC104" s="45">
        <v>7.3</v>
      </c>
      <c r="AD104" s="77">
        <f t="shared" si="72"/>
        <v>2825.38551201765</v>
      </c>
      <c r="AE104" s="77">
        <f t="shared" si="68"/>
        <v>4478.81009878235</v>
      </c>
      <c r="AF104" s="77">
        <f t="shared" si="73"/>
        <v>-72.530098782353</v>
      </c>
    </row>
    <row r="105" s="2" customFormat="1" spans="1:32">
      <c r="A105" s="21"/>
      <c r="B105" s="22"/>
      <c r="C105" s="23">
        <v>241113000043</v>
      </c>
      <c r="D105" s="24">
        <v>45616</v>
      </c>
      <c r="E105" s="24" t="s">
        <v>94</v>
      </c>
      <c r="F105" s="22" t="s">
        <v>95</v>
      </c>
      <c r="G105" s="22" t="s">
        <v>119</v>
      </c>
      <c r="H105" s="25">
        <v>7.2261</v>
      </c>
      <c r="I105" s="25">
        <v>7740</v>
      </c>
      <c r="J105" s="50"/>
      <c r="K105" s="51">
        <v>2974607.04</v>
      </c>
      <c r="L105" s="46"/>
      <c r="M105" s="47">
        <f t="shared" si="80"/>
        <v>1608</v>
      </c>
      <c r="N105" s="52">
        <v>1849.88</v>
      </c>
      <c r="O105" s="49">
        <v>7.3</v>
      </c>
      <c r="P105" s="50">
        <f t="shared" si="81"/>
        <v>13504.124</v>
      </c>
      <c r="Q105" s="78"/>
      <c r="R105" s="78"/>
      <c r="S105" s="77">
        <f t="shared" si="75"/>
        <v>4854.82340514706</v>
      </c>
      <c r="T105" s="77"/>
      <c r="U105" s="77">
        <f t="shared" si="76"/>
        <v>212.532352941176</v>
      </c>
      <c r="V105" s="77"/>
      <c r="W105" s="77"/>
      <c r="X105" s="77">
        <f t="shared" si="67"/>
        <v>5067.35575808824</v>
      </c>
      <c r="Y105" s="94">
        <f t="shared" si="77"/>
        <v>1177.96056617647</v>
      </c>
      <c r="Z105" s="94"/>
      <c r="AA105" s="94">
        <f t="shared" si="78"/>
        <v>8.22287673529412</v>
      </c>
      <c r="AB105" s="94">
        <f t="shared" si="71"/>
        <v>1186.18344291176</v>
      </c>
      <c r="AC105" s="45">
        <v>7.3</v>
      </c>
      <c r="AD105" s="77">
        <f t="shared" si="72"/>
        <v>8659.13913325588</v>
      </c>
      <c r="AE105" s="77">
        <f t="shared" si="68"/>
        <v>13726.4948913441</v>
      </c>
      <c r="AF105" s="77">
        <f t="shared" si="73"/>
        <v>-222.370891344117</v>
      </c>
    </row>
    <row r="106" s="2" customFormat="1" spans="1:32">
      <c r="A106" s="21"/>
      <c r="B106" s="22"/>
      <c r="C106" s="23">
        <v>241118000049</v>
      </c>
      <c r="D106" s="24">
        <v>45616</v>
      </c>
      <c r="E106" s="24" t="s">
        <v>70</v>
      </c>
      <c r="F106" s="22" t="s">
        <v>70</v>
      </c>
      <c r="G106" s="22" t="s">
        <v>130</v>
      </c>
      <c r="H106" s="25">
        <v>18.8558</v>
      </c>
      <c r="I106" s="25">
        <v>3372</v>
      </c>
      <c r="J106" s="44">
        <v>41577.26</v>
      </c>
      <c r="K106" s="100"/>
      <c r="L106" s="46"/>
      <c r="M106" s="47"/>
      <c r="N106" s="48"/>
      <c r="O106" s="49"/>
      <c r="P106" s="50">
        <f t="shared" si="79"/>
        <v>41577.26</v>
      </c>
      <c r="Q106" s="78"/>
      <c r="R106" s="78"/>
      <c r="S106" s="77">
        <f t="shared" si="75"/>
        <v>12668.1860426471</v>
      </c>
      <c r="T106" s="77"/>
      <c r="U106" s="77">
        <f t="shared" si="76"/>
        <v>554.582352941176</v>
      </c>
      <c r="V106" s="77"/>
      <c r="W106" s="77"/>
      <c r="X106" s="77">
        <f t="shared" si="67"/>
        <v>13222.7683955882</v>
      </c>
      <c r="Y106" s="94">
        <f t="shared" si="77"/>
        <v>3073.77269117647</v>
      </c>
      <c r="Z106" s="94"/>
      <c r="AA106" s="94">
        <f t="shared" si="78"/>
        <v>21.4567912352941</v>
      </c>
      <c r="AB106" s="94">
        <f t="shared" si="71"/>
        <v>3095.22948241176</v>
      </c>
      <c r="AC106" s="45">
        <v>7.3</v>
      </c>
      <c r="AD106" s="77">
        <f t="shared" si="72"/>
        <v>22595.1752216059</v>
      </c>
      <c r="AE106" s="77">
        <f t="shared" si="68"/>
        <v>35817.9436171941</v>
      </c>
      <c r="AF106" s="77">
        <f t="shared" si="73"/>
        <v>5759.3163828059</v>
      </c>
    </row>
    <row r="107" s="2" customFormat="1" spans="1:32">
      <c r="A107" s="21"/>
      <c r="B107" s="22"/>
      <c r="C107" s="23">
        <v>241120000022</v>
      </c>
      <c r="D107" s="24">
        <v>45616</v>
      </c>
      <c r="E107" s="24" t="s">
        <v>94</v>
      </c>
      <c r="F107" s="22" t="s">
        <v>95</v>
      </c>
      <c r="G107" s="22" t="s">
        <v>96</v>
      </c>
      <c r="H107" s="25">
        <v>24.63</v>
      </c>
      <c r="I107" s="25">
        <v>3402</v>
      </c>
      <c r="J107" s="44">
        <v>38444.97</v>
      </c>
      <c r="K107" s="45"/>
      <c r="L107" s="46"/>
      <c r="M107" s="47"/>
      <c r="N107" s="52"/>
      <c r="O107" s="49"/>
      <c r="P107" s="50">
        <f t="shared" si="79"/>
        <v>38444.97</v>
      </c>
      <c r="Q107" s="81"/>
      <c r="R107" s="81"/>
      <c r="S107" s="77">
        <f t="shared" si="75"/>
        <v>16547.5568382353</v>
      </c>
      <c r="T107" s="77"/>
      <c r="U107" s="77">
        <f t="shared" si="76"/>
        <v>724.411764705882</v>
      </c>
      <c r="V107" s="77"/>
      <c r="W107" s="77"/>
      <c r="X107" s="77">
        <f t="shared" ref="X107:X122" si="82">SUM(S107:W107)</f>
        <v>17271.9686029412</v>
      </c>
      <c r="Y107" s="94">
        <f t="shared" si="77"/>
        <v>4015.05220588235</v>
      </c>
      <c r="Z107" s="95"/>
      <c r="AA107" s="94">
        <f t="shared" si="78"/>
        <v>28.0274911764706</v>
      </c>
      <c r="AB107" s="94">
        <f t="shared" ref="AB107:AB122" si="83">SUM(Y107:AA107)</f>
        <v>4043.07969705882</v>
      </c>
      <c r="AC107" s="45">
        <v>7.3</v>
      </c>
      <c r="AD107" s="77">
        <f t="shared" si="72"/>
        <v>29514.4817885294</v>
      </c>
      <c r="AE107" s="77">
        <f t="shared" ref="AE107:AE122" si="84">SUM(X107+AD107)</f>
        <v>46786.4503914706</v>
      </c>
      <c r="AF107" s="77">
        <f t="shared" ref="AF107:AF122" si="85">SUM(P107-AE107)</f>
        <v>-8341.4803914706</v>
      </c>
    </row>
    <row r="108" s="2" customFormat="1" spans="1:32">
      <c r="A108" s="21" t="s">
        <v>16</v>
      </c>
      <c r="B108" s="22" t="s">
        <v>17</v>
      </c>
      <c r="C108" s="23">
        <v>241107000009</v>
      </c>
      <c r="D108" s="24">
        <v>45617</v>
      </c>
      <c r="E108" s="24" t="s">
        <v>57</v>
      </c>
      <c r="F108" s="22" t="s">
        <v>58</v>
      </c>
      <c r="G108" s="22" t="s">
        <v>111</v>
      </c>
      <c r="H108" s="25">
        <v>3.597</v>
      </c>
      <c r="I108" s="25">
        <v>2893</v>
      </c>
      <c r="J108" s="97">
        <v>8527.49</v>
      </c>
      <c r="K108" s="98"/>
      <c r="L108" s="99"/>
      <c r="M108" s="47"/>
      <c r="N108" s="52"/>
      <c r="O108" s="49"/>
      <c r="P108" s="50">
        <f t="shared" si="79"/>
        <v>8527.49</v>
      </c>
      <c r="Q108" s="75">
        <f>SUM(P108:P122)</f>
        <v>149572.519</v>
      </c>
      <c r="R108" s="76" t="s">
        <v>131</v>
      </c>
      <c r="S108" s="77">
        <f>SUM(45788.5/68)*H108</f>
        <v>2422.07697794118</v>
      </c>
      <c r="T108" s="77"/>
      <c r="U108" s="77">
        <f>SUM(1300/68)*H108</f>
        <v>68.7661764705882</v>
      </c>
      <c r="V108" s="77"/>
      <c r="W108" s="77"/>
      <c r="X108" s="77">
        <f t="shared" si="82"/>
        <v>2490.84315441176</v>
      </c>
      <c r="Y108" s="94">
        <f>SUM(11233/68)*H108</f>
        <v>594.192661764706</v>
      </c>
      <c r="Z108" s="94"/>
      <c r="AA108" s="94">
        <f>SUM(209.95/68)*H108</f>
        <v>11.1057375</v>
      </c>
      <c r="AB108" s="94">
        <f t="shared" si="83"/>
        <v>605.298399264706</v>
      </c>
      <c r="AC108" s="45">
        <v>7.3</v>
      </c>
      <c r="AD108" s="77">
        <f t="shared" ref="AD108:AD122" si="86">SUM(AB108*AC108)</f>
        <v>4418.67831463235</v>
      </c>
      <c r="AE108" s="77">
        <f t="shared" si="84"/>
        <v>6909.52146904412</v>
      </c>
      <c r="AF108" s="77">
        <f t="shared" si="85"/>
        <v>1617.96853095588</v>
      </c>
    </row>
    <row r="109" s="2" customFormat="1" spans="1:32">
      <c r="A109" s="21"/>
      <c r="B109" s="22"/>
      <c r="C109" s="23">
        <v>241108000020</v>
      </c>
      <c r="D109" s="24">
        <v>45617</v>
      </c>
      <c r="E109" s="24" t="s">
        <v>57</v>
      </c>
      <c r="F109" s="22" t="s">
        <v>58</v>
      </c>
      <c r="G109" s="22" t="s">
        <v>132</v>
      </c>
      <c r="H109" s="25">
        <v>4.4226</v>
      </c>
      <c r="I109" s="25">
        <v>1416</v>
      </c>
      <c r="J109" s="44">
        <v>13696</v>
      </c>
      <c r="K109" s="45"/>
      <c r="L109" s="46"/>
      <c r="M109" s="47"/>
      <c r="N109" s="48"/>
      <c r="O109" s="49"/>
      <c r="P109" s="50">
        <f t="shared" si="79"/>
        <v>13696</v>
      </c>
      <c r="Q109" s="78"/>
      <c r="R109" s="78"/>
      <c r="S109" s="77">
        <f t="shared" ref="S109:S122" si="87">SUM(45788.5/68)*H109</f>
        <v>2978.00323676471</v>
      </c>
      <c r="T109" s="77"/>
      <c r="U109" s="77">
        <f t="shared" ref="U109:U122" si="88">SUM(1300/68)*H109</f>
        <v>84.5497058823529</v>
      </c>
      <c r="V109" s="79">
        <v>800</v>
      </c>
      <c r="W109" s="79">
        <v>80</v>
      </c>
      <c r="X109" s="77">
        <f t="shared" si="82"/>
        <v>3942.55294264706</v>
      </c>
      <c r="Y109" s="94">
        <f t="shared" ref="Y109:Y122" si="89">SUM(11233/68)*H109</f>
        <v>730.574497058824</v>
      </c>
      <c r="Z109" s="95">
        <v>256.98</v>
      </c>
      <c r="AA109" s="94">
        <f t="shared" ref="AA109:AA122" si="90">SUM(209.95/68)*H109</f>
        <v>13.6547775</v>
      </c>
      <c r="AB109" s="94">
        <f t="shared" si="83"/>
        <v>1001.20927455882</v>
      </c>
      <c r="AC109" s="45">
        <v>7.3</v>
      </c>
      <c r="AD109" s="77">
        <f t="shared" si="86"/>
        <v>7308.82770427941</v>
      </c>
      <c r="AE109" s="77">
        <f t="shared" si="84"/>
        <v>11251.3806469265</v>
      </c>
      <c r="AF109" s="77">
        <f t="shared" si="85"/>
        <v>2444.6193530735</v>
      </c>
    </row>
    <row r="110" s="2" customFormat="1" spans="1:32">
      <c r="A110" s="21"/>
      <c r="B110" s="22"/>
      <c r="C110" s="23">
        <v>241113000043</v>
      </c>
      <c r="D110" s="24">
        <v>45617</v>
      </c>
      <c r="E110" s="24" t="s">
        <v>94</v>
      </c>
      <c r="F110" s="22" t="s">
        <v>95</v>
      </c>
      <c r="G110" s="22" t="s">
        <v>119</v>
      </c>
      <c r="H110" s="25">
        <v>4.8174</v>
      </c>
      <c r="I110" s="25">
        <v>5160</v>
      </c>
      <c r="J110" s="50"/>
      <c r="K110" s="51">
        <v>1944345.36</v>
      </c>
      <c r="L110" s="46"/>
      <c r="M110" s="47">
        <f t="shared" ref="M110:M112" si="91">SUM(K110/N110)</f>
        <v>1608</v>
      </c>
      <c r="N110" s="52">
        <v>1209.17</v>
      </c>
      <c r="O110" s="49">
        <v>7.3</v>
      </c>
      <c r="P110" s="50">
        <f t="shared" ref="P110:P112" si="92">SUM(N110*O110)</f>
        <v>8826.941</v>
      </c>
      <c r="Q110" s="78"/>
      <c r="R110" s="78"/>
      <c r="S110" s="77">
        <f t="shared" si="87"/>
        <v>3243.84588088235</v>
      </c>
      <c r="T110" s="77"/>
      <c r="U110" s="77">
        <f t="shared" si="88"/>
        <v>92.0973529411765</v>
      </c>
      <c r="V110" s="77"/>
      <c r="W110" s="77"/>
      <c r="X110" s="77">
        <f t="shared" si="82"/>
        <v>3335.94323382353</v>
      </c>
      <c r="Y110" s="94">
        <f t="shared" si="89"/>
        <v>795.791973529412</v>
      </c>
      <c r="Z110" s="94"/>
      <c r="AA110" s="94">
        <f t="shared" si="90"/>
        <v>14.8737225</v>
      </c>
      <c r="AB110" s="94">
        <f t="shared" si="83"/>
        <v>810.665696029412</v>
      </c>
      <c r="AC110" s="45">
        <v>7.3</v>
      </c>
      <c r="AD110" s="77">
        <f t="shared" si="86"/>
        <v>5917.85958101471</v>
      </c>
      <c r="AE110" s="77">
        <f t="shared" si="84"/>
        <v>9253.80281483823</v>
      </c>
      <c r="AF110" s="77">
        <f t="shared" si="85"/>
        <v>-426.861814838228</v>
      </c>
    </row>
    <row r="111" s="2" customFormat="1" spans="1:32">
      <c r="A111" s="21"/>
      <c r="B111" s="22"/>
      <c r="C111" s="23">
        <v>241113000045</v>
      </c>
      <c r="D111" s="24">
        <v>45617</v>
      </c>
      <c r="E111" s="24" t="s">
        <v>94</v>
      </c>
      <c r="F111" s="22" t="s">
        <v>95</v>
      </c>
      <c r="G111" s="22" t="s">
        <v>119</v>
      </c>
      <c r="H111" s="25">
        <v>0.164</v>
      </c>
      <c r="I111" s="25">
        <v>134</v>
      </c>
      <c r="J111" s="50"/>
      <c r="K111" s="51">
        <v>66217.44</v>
      </c>
      <c r="L111" s="46"/>
      <c r="M111" s="47">
        <f t="shared" si="91"/>
        <v>1608</v>
      </c>
      <c r="N111" s="52">
        <v>41.18</v>
      </c>
      <c r="O111" s="49">
        <v>7.3</v>
      </c>
      <c r="P111" s="50">
        <f t="shared" si="92"/>
        <v>300.614</v>
      </c>
      <c r="Q111" s="78"/>
      <c r="R111" s="78"/>
      <c r="S111" s="77">
        <f t="shared" si="87"/>
        <v>110.431088235294</v>
      </c>
      <c r="T111" s="77"/>
      <c r="U111" s="77">
        <f t="shared" si="88"/>
        <v>3.13529411764706</v>
      </c>
      <c r="V111" s="77"/>
      <c r="W111" s="77"/>
      <c r="X111" s="77">
        <f t="shared" si="82"/>
        <v>113.566382352941</v>
      </c>
      <c r="Y111" s="94">
        <f t="shared" si="89"/>
        <v>27.0913529411765</v>
      </c>
      <c r="Z111" s="94"/>
      <c r="AA111" s="94">
        <f t="shared" si="90"/>
        <v>0.50635</v>
      </c>
      <c r="AB111" s="94">
        <f t="shared" si="83"/>
        <v>27.5977029411765</v>
      </c>
      <c r="AC111" s="45">
        <v>7.3</v>
      </c>
      <c r="AD111" s="77">
        <f t="shared" si="86"/>
        <v>201.463231470588</v>
      </c>
      <c r="AE111" s="77">
        <f t="shared" si="84"/>
        <v>315.029613823529</v>
      </c>
      <c r="AF111" s="77">
        <f t="shared" si="85"/>
        <v>-14.415613823529</v>
      </c>
    </row>
    <row r="112" s="2" customFormat="1" spans="1:32">
      <c r="A112" s="21"/>
      <c r="B112" s="22"/>
      <c r="C112" s="23">
        <v>241114000012</v>
      </c>
      <c r="D112" s="24">
        <v>45617</v>
      </c>
      <c r="E112" s="24" t="s">
        <v>94</v>
      </c>
      <c r="F112" s="22" t="s">
        <v>95</v>
      </c>
      <c r="G112" s="22" t="s">
        <v>119</v>
      </c>
      <c r="H112" s="25">
        <v>4.9075</v>
      </c>
      <c r="I112" s="25">
        <v>496</v>
      </c>
      <c r="J112" s="50"/>
      <c r="K112" s="51">
        <v>1980702.24</v>
      </c>
      <c r="L112" s="46"/>
      <c r="M112" s="47">
        <f t="shared" si="91"/>
        <v>1608</v>
      </c>
      <c r="N112" s="52">
        <v>1231.78</v>
      </c>
      <c r="O112" s="49">
        <v>7.3</v>
      </c>
      <c r="P112" s="50">
        <f t="shared" si="92"/>
        <v>8991.994</v>
      </c>
      <c r="Q112" s="78"/>
      <c r="R112" s="78"/>
      <c r="S112" s="77">
        <f t="shared" si="87"/>
        <v>3304.51564338235</v>
      </c>
      <c r="T112" s="77"/>
      <c r="U112" s="77">
        <f t="shared" si="88"/>
        <v>93.8198529411765</v>
      </c>
      <c r="V112" s="77"/>
      <c r="W112" s="77"/>
      <c r="X112" s="77">
        <f t="shared" si="82"/>
        <v>3398.33549632353</v>
      </c>
      <c r="Y112" s="94">
        <f t="shared" si="89"/>
        <v>810.675698529412</v>
      </c>
      <c r="Z112" s="94"/>
      <c r="AA112" s="94">
        <f t="shared" si="90"/>
        <v>15.15190625</v>
      </c>
      <c r="AB112" s="94">
        <f t="shared" si="83"/>
        <v>825.827604779412</v>
      </c>
      <c r="AC112" s="45">
        <v>7.3</v>
      </c>
      <c r="AD112" s="77">
        <f t="shared" si="86"/>
        <v>6028.54151488971</v>
      </c>
      <c r="AE112" s="77">
        <f t="shared" si="84"/>
        <v>9426.87701121324</v>
      </c>
      <c r="AF112" s="77">
        <f t="shared" si="85"/>
        <v>-434.88301121324</v>
      </c>
    </row>
    <row r="113" s="2" customFormat="1" spans="1:32">
      <c r="A113" s="21"/>
      <c r="B113" s="22"/>
      <c r="C113" s="23">
        <v>241118000049</v>
      </c>
      <c r="D113" s="24">
        <v>45617</v>
      </c>
      <c r="E113" s="24" t="s">
        <v>70</v>
      </c>
      <c r="F113" s="22" t="s">
        <v>70</v>
      </c>
      <c r="G113" s="22" t="s">
        <v>130</v>
      </c>
      <c r="H113" s="25">
        <v>18.8558</v>
      </c>
      <c r="I113" s="25">
        <v>3470</v>
      </c>
      <c r="J113" s="44">
        <v>41577.26</v>
      </c>
      <c r="K113" s="100"/>
      <c r="L113" s="46"/>
      <c r="M113" s="47"/>
      <c r="N113" s="48"/>
      <c r="O113" s="49"/>
      <c r="P113" s="50">
        <f t="shared" ref="P113:P115" si="93">SUBTOTAL(9,J113)</f>
        <v>41577.26</v>
      </c>
      <c r="Q113" s="78"/>
      <c r="R113" s="78"/>
      <c r="S113" s="77">
        <f t="shared" si="87"/>
        <v>12696.7470338235</v>
      </c>
      <c r="T113" s="77"/>
      <c r="U113" s="77">
        <f t="shared" si="88"/>
        <v>360.478529411765</v>
      </c>
      <c r="V113" s="77"/>
      <c r="W113" s="77"/>
      <c r="X113" s="77">
        <f t="shared" si="82"/>
        <v>13057.2255632353</v>
      </c>
      <c r="Y113" s="94">
        <f t="shared" si="89"/>
        <v>3114.81178529412</v>
      </c>
      <c r="Z113" s="95">
        <v>1481.48</v>
      </c>
      <c r="AA113" s="94">
        <f t="shared" si="90"/>
        <v>58.2172825</v>
      </c>
      <c r="AB113" s="94">
        <f t="shared" si="83"/>
        <v>4654.50906779412</v>
      </c>
      <c r="AC113" s="45">
        <v>7.3</v>
      </c>
      <c r="AD113" s="77">
        <f t="shared" si="86"/>
        <v>33977.9161948971</v>
      </c>
      <c r="AE113" s="77">
        <f t="shared" si="84"/>
        <v>47035.1417581323</v>
      </c>
      <c r="AF113" s="77">
        <f t="shared" si="85"/>
        <v>-5457.88175813229</v>
      </c>
    </row>
    <row r="114" s="2" customFormat="1" spans="1:32">
      <c r="A114" s="21"/>
      <c r="B114" s="22"/>
      <c r="C114" s="23">
        <v>241023000034</v>
      </c>
      <c r="D114" s="24">
        <v>45617</v>
      </c>
      <c r="E114" s="24" t="s">
        <v>70</v>
      </c>
      <c r="F114" s="22" t="s">
        <v>70</v>
      </c>
      <c r="G114" s="22" t="s">
        <v>80</v>
      </c>
      <c r="H114" s="25">
        <v>0.535</v>
      </c>
      <c r="I114" s="25">
        <v>223</v>
      </c>
      <c r="J114" s="44">
        <v>1547</v>
      </c>
      <c r="K114" s="100"/>
      <c r="L114" s="46"/>
      <c r="M114" s="47"/>
      <c r="N114" s="48"/>
      <c r="O114" s="49"/>
      <c r="P114" s="50">
        <f t="shared" si="93"/>
        <v>1547</v>
      </c>
      <c r="Q114" s="78"/>
      <c r="R114" s="78"/>
      <c r="S114" s="77">
        <f t="shared" si="87"/>
        <v>360.247757352941</v>
      </c>
      <c r="T114" s="77"/>
      <c r="U114" s="77">
        <f t="shared" si="88"/>
        <v>10.2279411764706</v>
      </c>
      <c r="V114" s="77"/>
      <c r="W114" s="77"/>
      <c r="X114" s="77">
        <f t="shared" si="82"/>
        <v>370.475698529412</v>
      </c>
      <c r="Y114" s="94">
        <f t="shared" si="89"/>
        <v>88.3772794117647</v>
      </c>
      <c r="Z114" s="94"/>
      <c r="AA114" s="94">
        <f t="shared" si="90"/>
        <v>1.6518125</v>
      </c>
      <c r="AB114" s="94">
        <f t="shared" si="83"/>
        <v>90.0290919117647</v>
      </c>
      <c r="AC114" s="45">
        <v>7.3</v>
      </c>
      <c r="AD114" s="77">
        <f t="shared" si="86"/>
        <v>657.212370955882</v>
      </c>
      <c r="AE114" s="77">
        <f t="shared" si="84"/>
        <v>1027.68806948529</v>
      </c>
      <c r="AF114" s="77">
        <f t="shared" si="85"/>
        <v>519.31193051471</v>
      </c>
    </row>
    <row r="115" s="2" customFormat="1" spans="1:32">
      <c r="A115" s="21"/>
      <c r="B115" s="22"/>
      <c r="C115" s="23">
        <v>241115000013</v>
      </c>
      <c r="D115" s="24">
        <v>45617</v>
      </c>
      <c r="E115" s="24" t="s">
        <v>70</v>
      </c>
      <c r="F115" s="22" t="s">
        <v>70</v>
      </c>
      <c r="G115" s="22" t="s">
        <v>133</v>
      </c>
      <c r="H115" s="25">
        <v>0.0579</v>
      </c>
      <c r="I115" s="25">
        <v>37</v>
      </c>
      <c r="J115" s="44">
        <v>123</v>
      </c>
      <c r="K115" s="45"/>
      <c r="L115" s="46"/>
      <c r="M115" s="47"/>
      <c r="N115" s="48"/>
      <c r="O115" s="49"/>
      <c r="P115" s="50">
        <f t="shared" si="93"/>
        <v>123</v>
      </c>
      <c r="Q115" s="78"/>
      <c r="R115" s="78"/>
      <c r="S115" s="77">
        <f t="shared" si="87"/>
        <v>38.9875610294118</v>
      </c>
      <c r="T115" s="77"/>
      <c r="U115" s="77">
        <f t="shared" si="88"/>
        <v>1.10691176470588</v>
      </c>
      <c r="V115" s="77"/>
      <c r="W115" s="77"/>
      <c r="X115" s="77">
        <f t="shared" si="82"/>
        <v>40.0944727941176</v>
      </c>
      <c r="Y115" s="94">
        <f t="shared" si="89"/>
        <v>9.56456911764706</v>
      </c>
      <c r="Z115" s="94"/>
      <c r="AA115" s="94">
        <f t="shared" si="90"/>
        <v>0.17876625</v>
      </c>
      <c r="AB115" s="94">
        <f t="shared" si="83"/>
        <v>9.74333536764706</v>
      </c>
      <c r="AC115" s="45">
        <v>7.3</v>
      </c>
      <c r="AD115" s="77">
        <f t="shared" si="86"/>
        <v>71.1263481838235</v>
      </c>
      <c r="AE115" s="77">
        <f t="shared" si="84"/>
        <v>111.220820977941</v>
      </c>
      <c r="AF115" s="77">
        <f t="shared" si="85"/>
        <v>11.779179022059</v>
      </c>
    </row>
    <row r="116" s="2" customFormat="1" spans="1:32">
      <c r="A116" s="21"/>
      <c r="B116" s="22"/>
      <c r="C116" s="23">
        <v>241118000061</v>
      </c>
      <c r="D116" s="24">
        <v>45617</v>
      </c>
      <c r="E116" s="24" t="s">
        <v>94</v>
      </c>
      <c r="F116" s="22" t="s">
        <v>95</v>
      </c>
      <c r="G116" s="22" t="s">
        <v>119</v>
      </c>
      <c r="H116" s="25">
        <v>0.2475</v>
      </c>
      <c r="I116" s="25">
        <v>27</v>
      </c>
      <c r="J116" s="50"/>
      <c r="K116" s="51">
        <v>99937.2</v>
      </c>
      <c r="L116" s="46"/>
      <c r="M116" s="47">
        <f t="shared" ref="M116:M121" si="94">SUM(K116/N116)</f>
        <v>1608</v>
      </c>
      <c r="N116" s="52">
        <v>62.15</v>
      </c>
      <c r="O116" s="49">
        <v>7.3</v>
      </c>
      <c r="P116" s="50">
        <f t="shared" ref="P116:P121" si="95">SUM(N116*O116)</f>
        <v>453.695</v>
      </c>
      <c r="Q116" s="78"/>
      <c r="R116" s="78"/>
      <c r="S116" s="77">
        <f t="shared" si="87"/>
        <v>166.656672794118</v>
      </c>
      <c r="T116" s="77"/>
      <c r="U116" s="77">
        <f t="shared" si="88"/>
        <v>4.73161764705882</v>
      </c>
      <c r="V116" s="77"/>
      <c r="W116" s="77"/>
      <c r="X116" s="77">
        <f t="shared" si="82"/>
        <v>171.388290441176</v>
      </c>
      <c r="Y116" s="94">
        <f t="shared" si="89"/>
        <v>40.8848161764706</v>
      </c>
      <c r="Z116" s="94"/>
      <c r="AA116" s="94">
        <f t="shared" si="90"/>
        <v>0.76415625</v>
      </c>
      <c r="AB116" s="94">
        <f t="shared" si="83"/>
        <v>41.6489724264706</v>
      </c>
      <c r="AC116" s="45">
        <v>7.3</v>
      </c>
      <c r="AD116" s="77">
        <f t="shared" si="86"/>
        <v>304.037498713235</v>
      </c>
      <c r="AE116" s="77">
        <f t="shared" si="84"/>
        <v>475.425789154412</v>
      </c>
      <c r="AF116" s="77">
        <f t="shared" si="85"/>
        <v>-21.730789154412</v>
      </c>
    </row>
    <row r="117" s="2" customFormat="1" spans="1:32">
      <c r="A117" s="21"/>
      <c r="B117" s="22"/>
      <c r="C117" s="23">
        <v>241118000064</v>
      </c>
      <c r="D117" s="24">
        <v>45617</v>
      </c>
      <c r="E117" s="24" t="s">
        <v>94</v>
      </c>
      <c r="F117" s="22" t="s">
        <v>95</v>
      </c>
      <c r="G117" s="22" t="s">
        <v>119</v>
      </c>
      <c r="H117" s="25">
        <v>0.0647</v>
      </c>
      <c r="I117" s="25">
        <v>9</v>
      </c>
      <c r="J117" s="50"/>
      <c r="K117" s="51">
        <v>26097.84</v>
      </c>
      <c r="L117" s="46"/>
      <c r="M117" s="47">
        <f t="shared" si="94"/>
        <v>1608</v>
      </c>
      <c r="N117" s="52">
        <v>16.23</v>
      </c>
      <c r="O117" s="49">
        <v>7.3</v>
      </c>
      <c r="P117" s="50">
        <f t="shared" si="95"/>
        <v>118.479</v>
      </c>
      <c r="Q117" s="78"/>
      <c r="R117" s="78"/>
      <c r="S117" s="77">
        <f t="shared" si="87"/>
        <v>43.5664110294118</v>
      </c>
      <c r="T117" s="77"/>
      <c r="U117" s="77">
        <f t="shared" si="88"/>
        <v>1.23691176470588</v>
      </c>
      <c r="V117" s="77"/>
      <c r="W117" s="77"/>
      <c r="X117" s="77">
        <f t="shared" si="82"/>
        <v>44.8033227941176</v>
      </c>
      <c r="Y117" s="94">
        <f t="shared" si="89"/>
        <v>10.6878691176471</v>
      </c>
      <c r="Z117" s="94"/>
      <c r="AA117" s="94">
        <f t="shared" si="90"/>
        <v>0.19976125</v>
      </c>
      <c r="AB117" s="94">
        <f t="shared" si="83"/>
        <v>10.8876303676471</v>
      </c>
      <c r="AC117" s="45">
        <v>7.3</v>
      </c>
      <c r="AD117" s="77">
        <f t="shared" si="86"/>
        <v>79.4797016838235</v>
      </c>
      <c r="AE117" s="77">
        <f t="shared" si="84"/>
        <v>124.283024477941</v>
      </c>
      <c r="AF117" s="77">
        <f t="shared" si="85"/>
        <v>-5.804024477941</v>
      </c>
    </row>
    <row r="118" s="2" customFormat="1" spans="1:32">
      <c r="A118" s="21"/>
      <c r="B118" s="22"/>
      <c r="C118" s="23">
        <v>241118000074</v>
      </c>
      <c r="D118" s="24">
        <v>45617</v>
      </c>
      <c r="E118" s="24" t="s">
        <v>77</v>
      </c>
      <c r="F118" s="22" t="s">
        <v>78</v>
      </c>
      <c r="G118" s="22" t="s">
        <v>85</v>
      </c>
      <c r="H118" s="25">
        <v>4.524</v>
      </c>
      <c r="I118" s="25">
        <v>2048</v>
      </c>
      <c r="J118" s="44">
        <v>10687.32</v>
      </c>
      <c r="K118" s="45"/>
      <c r="L118" s="101"/>
      <c r="M118" s="102"/>
      <c r="N118" s="48"/>
      <c r="O118" s="103"/>
      <c r="P118" s="104">
        <f>SUBTOTAL(9,J118)</f>
        <v>10687.32</v>
      </c>
      <c r="Q118" s="78"/>
      <c r="R118" s="78"/>
      <c r="S118" s="77">
        <f t="shared" si="87"/>
        <v>3046.28197058824</v>
      </c>
      <c r="T118" s="77"/>
      <c r="U118" s="77">
        <f t="shared" si="88"/>
        <v>86.4882352941176</v>
      </c>
      <c r="V118" s="77"/>
      <c r="W118" s="77"/>
      <c r="X118" s="77">
        <f t="shared" si="82"/>
        <v>3132.77020588235</v>
      </c>
      <c r="Y118" s="94">
        <f t="shared" si="89"/>
        <v>747.324882352941</v>
      </c>
      <c r="Z118" s="95">
        <v>262.87</v>
      </c>
      <c r="AA118" s="94">
        <f t="shared" si="90"/>
        <v>13.96785</v>
      </c>
      <c r="AB118" s="94">
        <f t="shared" si="83"/>
        <v>1024.16273235294</v>
      </c>
      <c r="AC118" s="45">
        <v>7.3</v>
      </c>
      <c r="AD118" s="77">
        <f t="shared" si="86"/>
        <v>7476.38794617647</v>
      </c>
      <c r="AE118" s="77">
        <f t="shared" si="84"/>
        <v>10609.1581520588</v>
      </c>
      <c r="AF118" s="77">
        <f t="shared" si="85"/>
        <v>78.1618479411991</v>
      </c>
    </row>
    <row r="119" s="2" customFormat="1" spans="1:32">
      <c r="A119" s="21"/>
      <c r="B119" s="22"/>
      <c r="C119" s="23">
        <v>241119000018</v>
      </c>
      <c r="D119" s="24">
        <v>45617</v>
      </c>
      <c r="E119" s="24" t="s">
        <v>94</v>
      </c>
      <c r="F119" s="22" t="s">
        <v>95</v>
      </c>
      <c r="G119" s="22" t="s">
        <v>119</v>
      </c>
      <c r="H119" s="25">
        <v>0.3528</v>
      </c>
      <c r="I119" s="25">
        <v>60</v>
      </c>
      <c r="J119" s="50"/>
      <c r="K119" s="51">
        <v>142388.4</v>
      </c>
      <c r="L119" s="46"/>
      <c r="M119" s="47">
        <f t="shared" si="94"/>
        <v>1608</v>
      </c>
      <c r="N119" s="52">
        <v>88.55</v>
      </c>
      <c r="O119" s="49">
        <v>7.3</v>
      </c>
      <c r="P119" s="50">
        <f t="shared" si="95"/>
        <v>646.415</v>
      </c>
      <c r="Q119" s="78"/>
      <c r="R119" s="78"/>
      <c r="S119" s="77">
        <f t="shared" si="87"/>
        <v>237.561511764706</v>
      </c>
      <c r="T119" s="77"/>
      <c r="U119" s="77">
        <f t="shared" si="88"/>
        <v>6.74470588235294</v>
      </c>
      <c r="V119" s="77"/>
      <c r="W119" s="77"/>
      <c r="X119" s="77">
        <f t="shared" si="82"/>
        <v>244.306217647059</v>
      </c>
      <c r="Y119" s="94">
        <f t="shared" si="89"/>
        <v>58.2794470588235</v>
      </c>
      <c r="Z119" s="94"/>
      <c r="AA119" s="94">
        <f t="shared" si="90"/>
        <v>1.08927</v>
      </c>
      <c r="AB119" s="94">
        <f t="shared" si="83"/>
        <v>59.3687170588235</v>
      </c>
      <c r="AC119" s="45">
        <v>7.3</v>
      </c>
      <c r="AD119" s="77">
        <f t="shared" si="86"/>
        <v>433.391634529412</v>
      </c>
      <c r="AE119" s="77">
        <f t="shared" si="84"/>
        <v>677.697852176471</v>
      </c>
      <c r="AF119" s="77">
        <f t="shared" si="85"/>
        <v>-31.282852176471</v>
      </c>
    </row>
    <row r="120" s="2" customFormat="1" spans="1:32">
      <c r="A120" s="21"/>
      <c r="B120" s="22"/>
      <c r="C120" s="23">
        <v>241119000019</v>
      </c>
      <c r="D120" s="24">
        <v>45617</v>
      </c>
      <c r="E120" s="24" t="s">
        <v>94</v>
      </c>
      <c r="F120" s="22" t="s">
        <v>95</v>
      </c>
      <c r="G120" s="22" t="s">
        <v>119</v>
      </c>
      <c r="H120" s="25">
        <v>0.8465</v>
      </c>
      <c r="I120" s="25">
        <v>76</v>
      </c>
      <c r="J120" s="50"/>
      <c r="K120" s="51">
        <v>341667.84</v>
      </c>
      <c r="L120" s="46"/>
      <c r="M120" s="47">
        <f t="shared" si="94"/>
        <v>1608</v>
      </c>
      <c r="N120" s="52">
        <v>212.48</v>
      </c>
      <c r="O120" s="49">
        <v>7.3</v>
      </c>
      <c r="P120" s="50">
        <f t="shared" si="95"/>
        <v>1551.104</v>
      </c>
      <c r="Q120" s="78"/>
      <c r="R120" s="78"/>
      <c r="S120" s="77">
        <f t="shared" si="87"/>
        <v>569.999488970588</v>
      </c>
      <c r="T120" s="77"/>
      <c r="U120" s="77">
        <f t="shared" si="88"/>
        <v>16.1830882352941</v>
      </c>
      <c r="V120" s="77"/>
      <c r="W120" s="77"/>
      <c r="X120" s="77">
        <f t="shared" si="82"/>
        <v>586.182577205882</v>
      </c>
      <c r="Y120" s="94">
        <f t="shared" si="89"/>
        <v>139.834330882353</v>
      </c>
      <c r="Z120" s="94"/>
      <c r="AA120" s="94">
        <f t="shared" si="90"/>
        <v>2.61356875</v>
      </c>
      <c r="AB120" s="94">
        <f t="shared" si="83"/>
        <v>142.447899632353</v>
      </c>
      <c r="AC120" s="45">
        <v>7.3</v>
      </c>
      <c r="AD120" s="77">
        <f t="shared" si="86"/>
        <v>1039.86966731618</v>
      </c>
      <c r="AE120" s="77">
        <f t="shared" si="84"/>
        <v>1626.05224452206</v>
      </c>
      <c r="AF120" s="77">
        <f t="shared" si="85"/>
        <v>-74.9482445220601</v>
      </c>
    </row>
    <row r="121" s="2" customFormat="1" spans="1:32">
      <c r="A121" s="21"/>
      <c r="B121" s="22"/>
      <c r="C121" s="23">
        <v>241119000020</v>
      </c>
      <c r="D121" s="24">
        <v>45617</v>
      </c>
      <c r="E121" s="24" t="s">
        <v>94</v>
      </c>
      <c r="F121" s="22" t="s">
        <v>95</v>
      </c>
      <c r="G121" s="22" t="s">
        <v>119</v>
      </c>
      <c r="H121" s="25">
        <v>0.1709</v>
      </c>
      <c r="I121" s="25">
        <v>14</v>
      </c>
      <c r="J121" s="50"/>
      <c r="K121" s="51">
        <v>68967.12</v>
      </c>
      <c r="L121" s="46"/>
      <c r="M121" s="47">
        <f t="shared" si="94"/>
        <v>1608</v>
      </c>
      <c r="N121" s="52">
        <v>42.89</v>
      </c>
      <c r="O121" s="49">
        <v>7.3</v>
      </c>
      <c r="P121" s="50">
        <f t="shared" si="95"/>
        <v>313.097</v>
      </c>
      <c r="Q121" s="78"/>
      <c r="R121" s="78"/>
      <c r="S121" s="77">
        <f t="shared" si="87"/>
        <v>115.077274264706</v>
      </c>
      <c r="T121" s="77"/>
      <c r="U121" s="77">
        <f t="shared" si="88"/>
        <v>3.26720588235294</v>
      </c>
      <c r="V121" s="77"/>
      <c r="W121" s="77"/>
      <c r="X121" s="77">
        <f t="shared" si="82"/>
        <v>118.344480147059</v>
      </c>
      <c r="Y121" s="94">
        <f t="shared" si="89"/>
        <v>28.2311720588235</v>
      </c>
      <c r="Z121" s="94"/>
      <c r="AA121" s="94">
        <f t="shared" si="90"/>
        <v>0.52765375</v>
      </c>
      <c r="AB121" s="94">
        <f t="shared" ref="AB121:AB143" si="96">SUM(Y121:AA121)</f>
        <v>28.7588258088235</v>
      </c>
      <c r="AC121" s="45">
        <v>7.3</v>
      </c>
      <c r="AD121" s="77">
        <f t="shared" si="86"/>
        <v>209.939428404412</v>
      </c>
      <c r="AE121" s="77">
        <f t="shared" ref="AE121:AE143" si="97">SUM(X121+AD121)</f>
        <v>328.283908551471</v>
      </c>
      <c r="AF121" s="77">
        <f t="shared" ref="AF121:AF143" si="98">SUM(P121-AE121)</f>
        <v>-15.186908551471</v>
      </c>
    </row>
    <row r="122" s="2" customFormat="1" spans="1:32">
      <c r="A122" s="21"/>
      <c r="B122" s="22"/>
      <c r="C122" s="23">
        <v>241120000030</v>
      </c>
      <c r="D122" s="24">
        <v>45617</v>
      </c>
      <c r="E122" s="24" t="s">
        <v>94</v>
      </c>
      <c r="F122" s="22" t="s">
        <v>95</v>
      </c>
      <c r="G122" s="22" t="s">
        <v>96</v>
      </c>
      <c r="H122" s="25">
        <v>33.45</v>
      </c>
      <c r="I122" s="25">
        <v>4005</v>
      </c>
      <c r="J122" s="44">
        <v>52212.11</v>
      </c>
      <c r="K122" s="45"/>
      <c r="L122" s="46"/>
      <c r="M122" s="47"/>
      <c r="N122" s="52"/>
      <c r="O122" s="49"/>
      <c r="P122" s="50">
        <f>SUBTOTAL(9,J122)</f>
        <v>52212.11</v>
      </c>
      <c r="Q122" s="81"/>
      <c r="R122" s="81"/>
      <c r="S122" s="77">
        <f t="shared" si="87"/>
        <v>22523.9018382353</v>
      </c>
      <c r="T122" s="77"/>
      <c r="U122" s="77">
        <f t="shared" si="88"/>
        <v>639.485294117647</v>
      </c>
      <c r="V122" s="77"/>
      <c r="W122" s="77"/>
      <c r="X122" s="77">
        <f t="shared" ref="X122:X143" si="99">SUM(S122:W122)</f>
        <v>23163.3871323529</v>
      </c>
      <c r="Y122" s="94">
        <f t="shared" si="89"/>
        <v>5525.64485294118</v>
      </c>
      <c r="Z122" s="95"/>
      <c r="AA122" s="94">
        <f t="shared" si="90"/>
        <v>103.276875</v>
      </c>
      <c r="AB122" s="94">
        <f t="shared" si="96"/>
        <v>5628.92172794118</v>
      </c>
      <c r="AC122" s="45">
        <v>7.3</v>
      </c>
      <c r="AD122" s="77">
        <f t="shared" ref="AD122:AD143" si="100">SUM(AB122*AC122)</f>
        <v>41091.1286139706</v>
      </c>
      <c r="AE122" s="77">
        <f t="shared" si="97"/>
        <v>64254.5157463235</v>
      </c>
      <c r="AF122" s="77">
        <f t="shared" si="98"/>
        <v>-12042.4057463235</v>
      </c>
    </row>
    <row r="123" s="2" customFormat="1" spans="1:32">
      <c r="A123" s="21" t="s">
        <v>18</v>
      </c>
      <c r="B123" s="22" t="s">
        <v>19</v>
      </c>
      <c r="C123" s="23">
        <v>241116000004</v>
      </c>
      <c r="D123" s="24">
        <v>45623</v>
      </c>
      <c r="E123" s="24" t="s">
        <v>57</v>
      </c>
      <c r="F123" s="22" t="s">
        <v>58</v>
      </c>
      <c r="G123" s="22" t="s">
        <v>122</v>
      </c>
      <c r="H123" s="25">
        <v>0.076</v>
      </c>
      <c r="I123" s="25">
        <v>13</v>
      </c>
      <c r="J123" s="44">
        <v>250</v>
      </c>
      <c r="K123" s="45"/>
      <c r="L123" s="46"/>
      <c r="M123" s="47"/>
      <c r="N123" s="48"/>
      <c r="O123" s="49"/>
      <c r="P123" s="50">
        <f>SUBTOTAL(9,J123)</f>
        <v>250</v>
      </c>
      <c r="Q123" s="75">
        <f>SUM(P123:P143)</f>
        <v>157301.5148756</v>
      </c>
      <c r="R123" s="76" t="s">
        <v>134</v>
      </c>
      <c r="S123" s="77">
        <f>SUM(47033.65/68)*H123</f>
        <v>52.5670205882353</v>
      </c>
      <c r="T123" s="77"/>
      <c r="U123" s="77">
        <f>SUM(1900/68)*H123</f>
        <v>2.12352941176471</v>
      </c>
      <c r="V123" s="77"/>
      <c r="W123" s="77"/>
      <c r="X123" s="77">
        <f t="shared" si="99"/>
        <v>54.69055</v>
      </c>
      <c r="Y123" s="94">
        <f>SUM(11081/68)*H123</f>
        <v>12.3846470588235</v>
      </c>
      <c r="Z123" s="95">
        <v>59.52</v>
      </c>
      <c r="AA123" s="94">
        <f>SUM(53.57/68)*H123</f>
        <v>0.0598723529411765</v>
      </c>
      <c r="AB123" s="94">
        <f t="shared" si="96"/>
        <v>71.9645194117647</v>
      </c>
      <c r="AC123" s="45">
        <v>7.3</v>
      </c>
      <c r="AD123" s="77">
        <f t="shared" si="100"/>
        <v>525.340991705882</v>
      </c>
      <c r="AE123" s="77">
        <f t="shared" si="97"/>
        <v>580.031541705882</v>
      </c>
      <c r="AF123" s="77">
        <f t="shared" si="98"/>
        <v>-330.031541705882</v>
      </c>
    </row>
    <row r="124" s="2" customFormat="1" spans="1:32">
      <c r="A124" s="21"/>
      <c r="B124" s="22"/>
      <c r="C124" s="23">
        <v>241118000058</v>
      </c>
      <c r="D124" s="24">
        <v>45623</v>
      </c>
      <c r="E124" s="24" t="s">
        <v>94</v>
      </c>
      <c r="F124" s="22" t="s">
        <v>95</v>
      </c>
      <c r="G124" s="22" t="s">
        <v>119</v>
      </c>
      <c r="H124" s="25">
        <v>0.5167</v>
      </c>
      <c r="I124" s="25">
        <v>71</v>
      </c>
      <c r="J124" s="50"/>
      <c r="K124" s="51">
        <v>214362.48</v>
      </c>
      <c r="L124" s="46"/>
      <c r="M124" s="47">
        <f t="shared" ref="M124:M129" si="101">SUM(K124/N124)</f>
        <v>1608</v>
      </c>
      <c r="N124" s="52">
        <v>133.31</v>
      </c>
      <c r="O124" s="49">
        <v>7.3</v>
      </c>
      <c r="P124" s="50">
        <f t="shared" ref="P124:P129" si="102">SUM(N124*O124)</f>
        <v>973.163</v>
      </c>
      <c r="Q124" s="78"/>
      <c r="R124" s="78"/>
      <c r="S124" s="77">
        <f t="shared" ref="S124:S143" si="103">SUM(47033.65/68)*H124</f>
        <v>357.386572867647</v>
      </c>
      <c r="T124" s="77"/>
      <c r="U124" s="77">
        <f t="shared" ref="U124:U143" si="104">SUM(1900/68)*H124</f>
        <v>14.4372058823529</v>
      </c>
      <c r="V124" s="77"/>
      <c r="W124" s="77"/>
      <c r="X124" s="77">
        <f t="shared" si="99"/>
        <v>371.82377875</v>
      </c>
      <c r="Y124" s="94">
        <f t="shared" ref="Y124:Y143" si="105">SUM(11081/68)*H124</f>
        <v>84.1993044117647</v>
      </c>
      <c r="Z124" s="94"/>
      <c r="AA124" s="94">
        <f t="shared" ref="AA124:AA143" si="106">SUM(53.57/68)*H124</f>
        <v>0.407053220588235</v>
      </c>
      <c r="AB124" s="94">
        <f t="shared" si="96"/>
        <v>84.606357632353</v>
      </c>
      <c r="AC124" s="45">
        <v>7.3</v>
      </c>
      <c r="AD124" s="77">
        <f t="shared" si="100"/>
        <v>617.626410716177</v>
      </c>
      <c r="AE124" s="77">
        <f t="shared" si="97"/>
        <v>989.450189466177</v>
      </c>
      <c r="AF124" s="77">
        <f t="shared" si="98"/>
        <v>-16.2871894661766</v>
      </c>
    </row>
    <row r="125" s="2" customFormat="1" spans="1:32">
      <c r="A125" s="21"/>
      <c r="B125" s="22"/>
      <c r="C125" s="23">
        <v>241118000059</v>
      </c>
      <c r="D125" s="24">
        <v>45623</v>
      </c>
      <c r="E125" s="24" t="s">
        <v>94</v>
      </c>
      <c r="F125" s="22" t="s">
        <v>95</v>
      </c>
      <c r="G125" s="22" t="s">
        <v>119</v>
      </c>
      <c r="H125" s="25">
        <v>0.8256</v>
      </c>
      <c r="I125" s="25">
        <v>31</v>
      </c>
      <c r="J125" s="50"/>
      <c r="K125" s="51">
        <v>342504</v>
      </c>
      <c r="L125" s="46"/>
      <c r="M125" s="47">
        <f t="shared" si="101"/>
        <v>1608</v>
      </c>
      <c r="N125" s="52">
        <v>213</v>
      </c>
      <c r="O125" s="49">
        <v>7.3</v>
      </c>
      <c r="P125" s="50">
        <f t="shared" si="102"/>
        <v>1554.9</v>
      </c>
      <c r="Q125" s="78"/>
      <c r="R125" s="78"/>
      <c r="S125" s="77">
        <f t="shared" si="103"/>
        <v>571.043844705882</v>
      </c>
      <c r="T125" s="77"/>
      <c r="U125" s="77">
        <f t="shared" si="104"/>
        <v>23.0682352941176</v>
      </c>
      <c r="V125" s="77"/>
      <c r="W125" s="77"/>
      <c r="X125" s="77">
        <f t="shared" si="99"/>
        <v>594.11208</v>
      </c>
      <c r="Y125" s="94">
        <f t="shared" si="105"/>
        <v>134.536376470588</v>
      </c>
      <c r="Z125" s="94"/>
      <c r="AA125" s="94">
        <f t="shared" si="106"/>
        <v>0.650402823529412</v>
      </c>
      <c r="AB125" s="94">
        <f t="shared" si="96"/>
        <v>135.186779294118</v>
      </c>
      <c r="AC125" s="45">
        <v>7.3</v>
      </c>
      <c r="AD125" s="77">
        <f t="shared" si="100"/>
        <v>986.863488847059</v>
      </c>
      <c r="AE125" s="77">
        <f t="shared" si="97"/>
        <v>1580.97556884706</v>
      </c>
      <c r="AF125" s="77">
        <f t="shared" si="98"/>
        <v>-26.075568847059</v>
      </c>
    </row>
    <row r="126" s="2" customFormat="1" spans="1:32">
      <c r="A126" s="21"/>
      <c r="B126" s="22"/>
      <c r="C126" s="23">
        <v>241118000060</v>
      </c>
      <c r="D126" s="24">
        <v>45623</v>
      </c>
      <c r="E126" s="24" t="s">
        <v>94</v>
      </c>
      <c r="F126" s="22" t="s">
        <v>95</v>
      </c>
      <c r="G126" s="22" t="s">
        <v>119</v>
      </c>
      <c r="H126" s="25">
        <v>0.132</v>
      </c>
      <c r="I126" s="25">
        <v>50</v>
      </c>
      <c r="J126" s="50"/>
      <c r="K126" s="51">
        <v>54768.48</v>
      </c>
      <c r="L126" s="46"/>
      <c r="M126" s="47">
        <f t="shared" si="101"/>
        <v>1608</v>
      </c>
      <c r="N126" s="52">
        <v>34.06</v>
      </c>
      <c r="O126" s="49">
        <v>7.3</v>
      </c>
      <c r="P126" s="50">
        <f t="shared" si="102"/>
        <v>248.638</v>
      </c>
      <c r="Q126" s="78"/>
      <c r="R126" s="78"/>
      <c r="S126" s="77">
        <f t="shared" si="103"/>
        <v>91.3006147058824</v>
      </c>
      <c r="T126" s="77"/>
      <c r="U126" s="77">
        <f t="shared" si="104"/>
        <v>3.68823529411765</v>
      </c>
      <c r="V126" s="77"/>
      <c r="W126" s="77"/>
      <c r="X126" s="77">
        <f t="shared" si="99"/>
        <v>94.98885</v>
      </c>
      <c r="Y126" s="94">
        <f t="shared" si="105"/>
        <v>21.5101764705882</v>
      </c>
      <c r="Z126" s="94"/>
      <c r="AA126" s="94">
        <f t="shared" si="106"/>
        <v>0.103988823529412</v>
      </c>
      <c r="AB126" s="94">
        <f t="shared" si="96"/>
        <v>21.6141652941177</v>
      </c>
      <c r="AC126" s="45">
        <v>7.3</v>
      </c>
      <c r="AD126" s="77">
        <f t="shared" si="100"/>
        <v>157.783406647059</v>
      </c>
      <c r="AE126" s="77">
        <f t="shared" si="97"/>
        <v>252.772256647059</v>
      </c>
      <c r="AF126" s="77">
        <f t="shared" si="98"/>
        <v>-4.13425664705883</v>
      </c>
    </row>
    <row r="127" s="2" customFormat="1" spans="1:32">
      <c r="A127" s="21"/>
      <c r="B127" s="22"/>
      <c r="C127" s="23">
        <v>241118000065</v>
      </c>
      <c r="D127" s="24">
        <v>45623</v>
      </c>
      <c r="E127" s="24" t="s">
        <v>94</v>
      </c>
      <c r="F127" s="22" t="s">
        <v>95</v>
      </c>
      <c r="G127" s="22" t="s">
        <v>119</v>
      </c>
      <c r="H127" s="25">
        <v>1.2613</v>
      </c>
      <c r="I127" s="25">
        <v>266</v>
      </c>
      <c r="J127" s="50"/>
      <c r="K127" s="51">
        <v>523146.72</v>
      </c>
      <c r="L127" s="46"/>
      <c r="M127" s="47">
        <f t="shared" si="101"/>
        <v>1608</v>
      </c>
      <c r="N127" s="52">
        <v>325.34</v>
      </c>
      <c r="O127" s="49">
        <v>7.3</v>
      </c>
      <c r="P127" s="50">
        <f t="shared" si="102"/>
        <v>2374.982</v>
      </c>
      <c r="Q127" s="78"/>
      <c r="R127" s="78"/>
      <c r="S127" s="77">
        <f t="shared" si="103"/>
        <v>872.405040367647</v>
      </c>
      <c r="T127" s="77"/>
      <c r="U127" s="77">
        <f t="shared" si="104"/>
        <v>35.2422058823529</v>
      </c>
      <c r="V127" s="77"/>
      <c r="W127" s="77"/>
      <c r="X127" s="77">
        <f t="shared" si="99"/>
        <v>907.64724625</v>
      </c>
      <c r="Y127" s="94">
        <f t="shared" si="105"/>
        <v>205.536254411765</v>
      </c>
      <c r="Z127" s="94"/>
      <c r="AA127" s="94">
        <f t="shared" si="106"/>
        <v>0.993644720588235</v>
      </c>
      <c r="AB127" s="94">
        <f t="shared" si="96"/>
        <v>206.529899132353</v>
      </c>
      <c r="AC127" s="45">
        <v>7.3</v>
      </c>
      <c r="AD127" s="77">
        <f t="shared" si="100"/>
        <v>1507.66826366618</v>
      </c>
      <c r="AE127" s="77">
        <f t="shared" si="97"/>
        <v>2415.31550991618</v>
      </c>
      <c r="AF127" s="77">
        <f t="shared" si="98"/>
        <v>-40.3335099161768</v>
      </c>
    </row>
    <row r="128" s="2" customFormat="1" spans="1:32">
      <c r="A128" s="21"/>
      <c r="B128" s="22"/>
      <c r="C128" s="23">
        <v>241118000067</v>
      </c>
      <c r="D128" s="24">
        <v>45623</v>
      </c>
      <c r="E128" s="24" t="s">
        <v>94</v>
      </c>
      <c r="F128" s="22" t="s">
        <v>95</v>
      </c>
      <c r="G128" s="22" t="s">
        <v>119</v>
      </c>
      <c r="H128" s="25">
        <v>0.2938</v>
      </c>
      <c r="I128" s="25">
        <v>56</v>
      </c>
      <c r="J128" s="50"/>
      <c r="K128" s="51">
        <v>121886.4</v>
      </c>
      <c r="L128" s="46"/>
      <c r="M128" s="47">
        <f t="shared" si="101"/>
        <v>1608</v>
      </c>
      <c r="N128" s="52">
        <v>75.8</v>
      </c>
      <c r="O128" s="49">
        <v>7.3</v>
      </c>
      <c r="P128" s="50">
        <f t="shared" si="102"/>
        <v>553.34</v>
      </c>
      <c r="Q128" s="78"/>
      <c r="R128" s="78"/>
      <c r="S128" s="77">
        <f t="shared" si="103"/>
        <v>203.213034852941</v>
      </c>
      <c r="T128" s="77"/>
      <c r="U128" s="77">
        <f t="shared" si="104"/>
        <v>8.20911764705882</v>
      </c>
      <c r="V128" s="77"/>
      <c r="W128" s="77"/>
      <c r="X128" s="77">
        <f t="shared" si="99"/>
        <v>211.4221525</v>
      </c>
      <c r="Y128" s="94">
        <f t="shared" si="105"/>
        <v>47.8764382352941</v>
      </c>
      <c r="Z128" s="94"/>
      <c r="AA128" s="94">
        <f t="shared" si="106"/>
        <v>0.231453911764706</v>
      </c>
      <c r="AB128" s="94">
        <f t="shared" si="96"/>
        <v>48.1078921470588</v>
      </c>
      <c r="AC128" s="45">
        <v>7.3</v>
      </c>
      <c r="AD128" s="77">
        <f t="shared" si="100"/>
        <v>351.187612673529</v>
      </c>
      <c r="AE128" s="77">
        <f t="shared" si="97"/>
        <v>562.609765173529</v>
      </c>
      <c r="AF128" s="77">
        <f t="shared" si="98"/>
        <v>-9.26976517352944</v>
      </c>
    </row>
    <row r="129" s="2" customFormat="1" spans="1:32">
      <c r="A129" s="21"/>
      <c r="B129" s="22"/>
      <c r="C129" s="23">
        <v>241127000014</v>
      </c>
      <c r="D129" s="24">
        <v>45623</v>
      </c>
      <c r="E129" s="24" t="s">
        <v>94</v>
      </c>
      <c r="F129" s="22" t="s">
        <v>95</v>
      </c>
      <c r="G129" s="22" t="s">
        <v>119</v>
      </c>
      <c r="H129" s="25">
        <v>0.8732</v>
      </c>
      <c r="I129" s="25">
        <v>115</v>
      </c>
      <c r="J129" s="50"/>
      <c r="K129" s="51">
        <v>362266.32</v>
      </c>
      <c r="L129" s="46"/>
      <c r="M129" s="47">
        <f t="shared" si="101"/>
        <v>1608</v>
      </c>
      <c r="N129" s="52">
        <v>225.29</v>
      </c>
      <c r="O129" s="49">
        <v>7.3</v>
      </c>
      <c r="P129" s="50">
        <f t="shared" si="102"/>
        <v>1644.617</v>
      </c>
      <c r="Q129" s="78"/>
      <c r="R129" s="78"/>
      <c r="S129" s="77">
        <f t="shared" si="103"/>
        <v>603.967399705882</v>
      </c>
      <c r="T129" s="77"/>
      <c r="U129" s="77">
        <f t="shared" si="104"/>
        <v>24.3982352941176</v>
      </c>
      <c r="V129" s="77"/>
      <c r="W129" s="77"/>
      <c r="X129" s="77">
        <f t="shared" si="99"/>
        <v>628.365635</v>
      </c>
      <c r="Y129" s="94">
        <f t="shared" si="105"/>
        <v>142.293076470588</v>
      </c>
      <c r="Z129" s="94"/>
      <c r="AA129" s="94">
        <f t="shared" si="106"/>
        <v>0.687901823529412</v>
      </c>
      <c r="AB129" s="94">
        <f t="shared" si="96"/>
        <v>142.980978294118</v>
      </c>
      <c r="AC129" s="45">
        <v>7.3</v>
      </c>
      <c r="AD129" s="77">
        <f t="shared" si="100"/>
        <v>1043.76114154706</v>
      </c>
      <c r="AE129" s="77">
        <f t="shared" si="97"/>
        <v>1672.12677654706</v>
      </c>
      <c r="AF129" s="77">
        <f t="shared" si="98"/>
        <v>-27.5097765470589</v>
      </c>
    </row>
    <row r="130" s="2" customFormat="1" spans="1:32">
      <c r="A130" s="21"/>
      <c r="B130" s="22"/>
      <c r="C130" s="23">
        <v>241119000012</v>
      </c>
      <c r="D130" s="24">
        <v>45623</v>
      </c>
      <c r="E130" s="24" t="s">
        <v>64</v>
      </c>
      <c r="F130" s="22" t="s">
        <v>65</v>
      </c>
      <c r="G130" s="22" t="s">
        <v>72</v>
      </c>
      <c r="H130" s="25">
        <v>0.9901</v>
      </c>
      <c r="I130" s="25">
        <v>222</v>
      </c>
      <c r="J130" s="44">
        <v>2046.8</v>
      </c>
      <c r="K130" s="45"/>
      <c r="L130" s="46"/>
      <c r="M130" s="47"/>
      <c r="N130" s="48"/>
      <c r="O130" s="49"/>
      <c r="P130" s="50">
        <f t="shared" ref="P130:P134" si="107">SUBTOTAL(9,J130)</f>
        <v>2046.8</v>
      </c>
      <c r="Q130" s="78"/>
      <c r="R130" s="78"/>
      <c r="S130" s="77">
        <f t="shared" si="103"/>
        <v>684.823777426471</v>
      </c>
      <c r="T130" s="77"/>
      <c r="U130" s="77">
        <f t="shared" si="104"/>
        <v>27.6645588235294</v>
      </c>
      <c r="V130" s="77"/>
      <c r="W130" s="77"/>
      <c r="X130" s="77">
        <f t="shared" si="99"/>
        <v>712.48833625</v>
      </c>
      <c r="Y130" s="94">
        <f t="shared" si="105"/>
        <v>161.342619117647</v>
      </c>
      <c r="Z130" s="94"/>
      <c r="AA130" s="94">
        <f t="shared" si="106"/>
        <v>0.779994955882353</v>
      </c>
      <c r="AB130" s="94">
        <f t="shared" si="96"/>
        <v>162.122614073529</v>
      </c>
      <c r="AC130" s="45">
        <v>7.3</v>
      </c>
      <c r="AD130" s="77">
        <f t="shared" si="100"/>
        <v>1183.49508273676</v>
      </c>
      <c r="AE130" s="77">
        <f t="shared" si="97"/>
        <v>1895.98341898676</v>
      </c>
      <c r="AF130" s="77">
        <f t="shared" si="98"/>
        <v>150.81658101324</v>
      </c>
    </row>
    <row r="131" s="2" customFormat="1" spans="1:32">
      <c r="A131" s="21"/>
      <c r="B131" s="22"/>
      <c r="C131" s="23">
        <v>241119000021</v>
      </c>
      <c r="D131" s="24">
        <v>45623</v>
      </c>
      <c r="E131" s="24" t="s">
        <v>94</v>
      </c>
      <c r="F131" s="22" t="s">
        <v>95</v>
      </c>
      <c r="G131" s="22" t="s">
        <v>119</v>
      </c>
      <c r="H131" s="25">
        <v>1.3774</v>
      </c>
      <c r="I131" s="25">
        <v>231</v>
      </c>
      <c r="J131" s="50"/>
      <c r="K131" s="51">
        <v>571274.16</v>
      </c>
      <c r="L131" s="46"/>
      <c r="M131" s="47">
        <f>SUM(K131/N131)</f>
        <v>1608</v>
      </c>
      <c r="N131" s="52">
        <v>355.27</v>
      </c>
      <c r="O131" s="49">
        <v>7.3</v>
      </c>
      <c r="P131" s="50">
        <f>SUM(N131*O131)</f>
        <v>2593.471</v>
      </c>
      <c r="Q131" s="78"/>
      <c r="R131" s="78"/>
      <c r="S131" s="77">
        <f t="shared" si="103"/>
        <v>952.708081029412</v>
      </c>
      <c r="T131" s="77"/>
      <c r="U131" s="77">
        <f t="shared" si="104"/>
        <v>38.4861764705882</v>
      </c>
      <c r="V131" s="77"/>
      <c r="W131" s="77"/>
      <c r="X131" s="77">
        <f t="shared" si="99"/>
        <v>991.1942575</v>
      </c>
      <c r="Y131" s="94">
        <f t="shared" si="105"/>
        <v>224.455432352941</v>
      </c>
      <c r="Z131" s="94"/>
      <c r="AA131" s="94">
        <f t="shared" si="106"/>
        <v>1.08510761764706</v>
      </c>
      <c r="AB131" s="94">
        <f t="shared" si="96"/>
        <v>225.540539970588</v>
      </c>
      <c r="AC131" s="45">
        <v>7.3</v>
      </c>
      <c r="AD131" s="77">
        <f t="shared" si="100"/>
        <v>1646.44594178529</v>
      </c>
      <c r="AE131" s="77">
        <f t="shared" si="97"/>
        <v>2637.64019928529</v>
      </c>
      <c r="AF131" s="77">
        <f t="shared" si="98"/>
        <v>-44.1691992852943</v>
      </c>
    </row>
    <row r="132" s="2" customFormat="1" spans="1:32">
      <c r="A132" s="21"/>
      <c r="B132" s="22"/>
      <c r="C132" s="23">
        <v>241119000027</v>
      </c>
      <c r="D132" s="24">
        <v>45623</v>
      </c>
      <c r="E132" s="24" t="s">
        <v>57</v>
      </c>
      <c r="F132" s="22" t="s">
        <v>58</v>
      </c>
      <c r="G132" s="22" t="s">
        <v>108</v>
      </c>
      <c r="H132" s="25">
        <v>0.0148</v>
      </c>
      <c r="I132" s="25">
        <v>6</v>
      </c>
      <c r="J132" s="44">
        <v>220</v>
      </c>
      <c r="K132" s="45"/>
      <c r="L132" s="46"/>
      <c r="M132" s="47"/>
      <c r="N132" s="48"/>
      <c r="O132" s="49"/>
      <c r="P132" s="50">
        <f t="shared" si="107"/>
        <v>220</v>
      </c>
      <c r="Q132" s="78"/>
      <c r="R132" s="78"/>
      <c r="S132" s="77">
        <f t="shared" si="103"/>
        <v>10.2367355882353</v>
      </c>
      <c r="T132" s="77"/>
      <c r="U132" s="77">
        <f t="shared" si="104"/>
        <v>0.413529411764706</v>
      </c>
      <c r="V132" s="77"/>
      <c r="W132" s="77"/>
      <c r="X132" s="77">
        <f t="shared" si="99"/>
        <v>10.650265</v>
      </c>
      <c r="Y132" s="94">
        <f t="shared" si="105"/>
        <v>2.41174705882353</v>
      </c>
      <c r="Z132" s="94"/>
      <c r="AA132" s="94">
        <f t="shared" si="106"/>
        <v>0.0116593529411765</v>
      </c>
      <c r="AB132" s="94">
        <f t="shared" si="96"/>
        <v>2.42340641176471</v>
      </c>
      <c r="AC132" s="45">
        <v>7.3</v>
      </c>
      <c r="AD132" s="77">
        <f t="shared" si="100"/>
        <v>17.6908668058824</v>
      </c>
      <c r="AE132" s="77">
        <f t="shared" si="97"/>
        <v>28.3411318058824</v>
      </c>
      <c r="AF132" s="77">
        <f t="shared" si="98"/>
        <v>191.658868194118</v>
      </c>
    </row>
    <row r="133" s="2" customFormat="1" spans="1:32">
      <c r="A133" s="21"/>
      <c r="B133" s="22"/>
      <c r="C133" s="23">
        <v>241120000029</v>
      </c>
      <c r="D133" s="24">
        <v>45623</v>
      </c>
      <c r="E133" s="24" t="s">
        <v>70</v>
      </c>
      <c r="F133" s="22" t="s">
        <v>70</v>
      </c>
      <c r="G133" s="22" t="s">
        <v>80</v>
      </c>
      <c r="H133" s="25">
        <v>1.1485</v>
      </c>
      <c r="I133" s="25">
        <v>243</v>
      </c>
      <c r="J133" s="44">
        <v>4092.46</v>
      </c>
      <c r="K133" s="45"/>
      <c r="L133" s="46"/>
      <c r="M133" s="47"/>
      <c r="N133" s="48"/>
      <c r="O133" s="49"/>
      <c r="P133" s="50">
        <f t="shared" si="107"/>
        <v>4092.46</v>
      </c>
      <c r="Q133" s="78"/>
      <c r="R133" s="78"/>
      <c r="S133" s="77">
        <f t="shared" si="103"/>
        <v>794.384515073529</v>
      </c>
      <c r="T133" s="77"/>
      <c r="U133" s="77">
        <f t="shared" si="104"/>
        <v>32.0904411764706</v>
      </c>
      <c r="V133" s="79">
        <v>230</v>
      </c>
      <c r="W133" s="79">
        <v>408</v>
      </c>
      <c r="X133" s="77">
        <f t="shared" si="99"/>
        <v>1464.47495625</v>
      </c>
      <c r="Y133" s="94">
        <f t="shared" si="105"/>
        <v>187.154830882353</v>
      </c>
      <c r="Z133" s="95">
        <v>67.46</v>
      </c>
      <c r="AA133" s="94">
        <f t="shared" si="106"/>
        <v>0.904781544117647</v>
      </c>
      <c r="AB133" s="94">
        <f t="shared" si="96"/>
        <v>255.519612426471</v>
      </c>
      <c r="AC133" s="45">
        <v>7.3</v>
      </c>
      <c r="AD133" s="77">
        <f t="shared" si="100"/>
        <v>1865.29317071324</v>
      </c>
      <c r="AE133" s="77">
        <f t="shared" si="97"/>
        <v>3329.76812696324</v>
      </c>
      <c r="AF133" s="77">
        <f t="shared" si="98"/>
        <v>762.69187303676</v>
      </c>
    </row>
    <row r="134" s="2" customFormat="1" spans="1:32">
      <c r="A134" s="21"/>
      <c r="B134" s="22"/>
      <c r="C134" s="23">
        <v>241121000012</v>
      </c>
      <c r="D134" s="24">
        <v>45623</v>
      </c>
      <c r="E134" s="24" t="s">
        <v>70</v>
      </c>
      <c r="F134" s="22" t="s">
        <v>70</v>
      </c>
      <c r="G134" s="22" t="s">
        <v>135</v>
      </c>
      <c r="H134" s="25">
        <v>21.5631</v>
      </c>
      <c r="I134" s="25">
        <v>10414</v>
      </c>
      <c r="J134" s="44">
        <v>62286</v>
      </c>
      <c r="K134" s="45"/>
      <c r="L134" s="46"/>
      <c r="M134" s="47"/>
      <c r="N134" s="48"/>
      <c r="O134" s="49"/>
      <c r="P134" s="50">
        <f t="shared" si="107"/>
        <v>62286</v>
      </c>
      <c r="Q134" s="78"/>
      <c r="R134" s="78"/>
      <c r="S134" s="77">
        <f t="shared" si="103"/>
        <v>14914.5779163971</v>
      </c>
      <c r="T134" s="77"/>
      <c r="U134" s="77">
        <f t="shared" si="104"/>
        <v>602.498382352941</v>
      </c>
      <c r="V134" s="79">
        <v>800</v>
      </c>
      <c r="W134" s="80"/>
      <c r="X134" s="77">
        <f t="shared" si="99"/>
        <v>16317.07629875</v>
      </c>
      <c r="Y134" s="94">
        <f t="shared" si="105"/>
        <v>3513.83398676471</v>
      </c>
      <c r="Z134" s="95">
        <v>902.53</v>
      </c>
      <c r="AA134" s="94">
        <f t="shared" si="106"/>
        <v>16.9872833382353</v>
      </c>
      <c r="AB134" s="94">
        <f t="shared" si="96"/>
        <v>4433.35127010294</v>
      </c>
      <c r="AC134" s="45">
        <v>7.3</v>
      </c>
      <c r="AD134" s="77">
        <f t="shared" si="100"/>
        <v>32363.4642717515</v>
      </c>
      <c r="AE134" s="77">
        <f t="shared" si="97"/>
        <v>48680.5405705015</v>
      </c>
      <c r="AF134" s="77">
        <f t="shared" si="98"/>
        <v>13605.4594294985</v>
      </c>
    </row>
    <row r="135" s="2" customFormat="1" spans="1:32">
      <c r="A135" s="21"/>
      <c r="B135" s="22"/>
      <c r="C135" s="23">
        <v>241121000016</v>
      </c>
      <c r="D135" s="24">
        <v>45623</v>
      </c>
      <c r="E135" s="24" t="s">
        <v>53</v>
      </c>
      <c r="F135" s="22" t="s">
        <v>54</v>
      </c>
      <c r="G135" s="22" t="s">
        <v>55</v>
      </c>
      <c r="H135" s="25">
        <v>2.2928</v>
      </c>
      <c r="I135" s="25">
        <v>1066</v>
      </c>
      <c r="J135" s="50"/>
      <c r="K135" s="51">
        <v>1070400</v>
      </c>
      <c r="L135" s="46"/>
      <c r="M135" s="47">
        <f t="shared" ref="M135:M139" si="108">SUM(K135/N135)</f>
        <v>1600</v>
      </c>
      <c r="N135" s="52">
        <v>669</v>
      </c>
      <c r="O135" s="49">
        <v>7.27</v>
      </c>
      <c r="P135" s="50">
        <f t="shared" ref="P135:P139" si="109">SUM(N135*O135)</f>
        <v>4863.63</v>
      </c>
      <c r="Q135" s="78"/>
      <c r="R135" s="78"/>
      <c r="S135" s="77">
        <f t="shared" si="103"/>
        <v>1585.86401058824</v>
      </c>
      <c r="T135" s="77"/>
      <c r="U135" s="77">
        <f t="shared" si="104"/>
        <v>64.0635294117647</v>
      </c>
      <c r="V135" s="77"/>
      <c r="W135" s="80"/>
      <c r="X135" s="77">
        <f t="shared" si="99"/>
        <v>1649.92754</v>
      </c>
      <c r="Y135" s="94">
        <f t="shared" si="105"/>
        <v>373.625247058824</v>
      </c>
      <c r="Z135" s="94"/>
      <c r="AA135" s="94">
        <f t="shared" si="106"/>
        <v>1.80625435294118</v>
      </c>
      <c r="AB135" s="94">
        <f t="shared" si="96"/>
        <v>375.431501411765</v>
      </c>
      <c r="AC135" s="45">
        <v>7.3</v>
      </c>
      <c r="AD135" s="77">
        <f t="shared" si="100"/>
        <v>2740.64996030588</v>
      </c>
      <c r="AE135" s="77">
        <f t="shared" si="97"/>
        <v>4390.57750030588</v>
      </c>
      <c r="AF135" s="77">
        <f t="shared" si="98"/>
        <v>473.052499694118</v>
      </c>
    </row>
    <row r="136" s="2" customFormat="1" spans="1:32">
      <c r="A136" s="21"/>
      <c r="B136" s="22"/>
      <c r="C136" s="23">
        <v>241124000008</v>
      </c>
      <c r="D136" s="24">
        <v>45623</v>
      </c>
      <c r="E136" s="24" t="s">
        <v>64</v>
      </c>
      <c r="F136" s="22" t="s">
        <v>65</v>
      </c>
      <c r="G136" s="22" t="s">
        <v>72</v>
      </c>
      <c r="H136" s="26">
        <v>3.0541</v>
      </c>
      <c r="I136" s="53">
        <v>317</v>
      </c>
      <c r="J136" s="44">
        <v>6242.74</v>
      </c>
      <c r="K136" s="45"/>
      <c r="L136" s="46"/>
      <c r="M136" s="47"/>
      <c r="N136" s="48"/>
      <c r="O136" s="49"/>
      <c r="P136" s="50">
        <f t="shared" ref="P136:P140" si="110">SUBTOTAL(9,J136)</f>
        <v>6242.74</v>
      </c>
      <c r="Q136" s="78"/>
      <c r="R136" s="78"/>
      <c r="S136" s="77">
        <f t="shared" si="103"/>
        <v>2112.43338919118</v>
      </c>
      <c r="T136" s="77"/>
      <c r="U136" s="77">
        <f t="shared" si="104"/>
        <v>85.3351470588235</v>
      </c>
      <c r="V136" s="77"/>
      <c r="W136" s="80"/>
      <c r="X136" s="77">
        <f t="shared" si="99"/>
        <v>2197.76853625</v>
      </c>
      <c r="Y136" s="94">
        <f t="shared" si="105"/>
        <v>497.683560294118</v>
      </c>
      <c r="Z136" s="94"/>
      <c r="AA136" s="94">
        <f t="shared" si="106"/>
        <v>2.40600201470588</v>
      </c>
      <c r="AB136" s="94">
        <f t="shared" si="96"/>
        <v>500.089562308824</v>
      </c>
      <c r="AC136" s="45">
        <v>7.3</v>
      </c>
      <c r="AD136" s="77">
        <f t="shared" si="100"/>
        <v>3650.65380485441</v>
      </c>
      <c r="AE136" s="77">
        <f t="shared" si="97"/>
        <v>5848.42234110441</v>
      </c>
      <c r="AF136" s="77">
        <f t="shared" si="98"/>
        <v>394.317658895589</v>
      </c>
    </row>
    <row r="137" s="2" customFormat="1" spans="1:32">
      <c r="A137" s="21"/>
      <c r="B137" s="22"/>
      <c r="C137" s="23">
        <v>241125000029</v>
      </c>
      <c r="D137" s="24">
        <v>45623</v>
      </c>
      <c r="E137" s="24" t="s">
        <v>86</v>
      </c>
      <c r="F137" s="22" t="s">
        <v>87</v>
      </c>
      <c r="G137" s="22" t="s">
        <v>100</v>
      </c>
      <c r="H137" s="25">
        <v>0.2641</v>
      </c>
      <c r="I137" s="25">
        <v>318</v>
      </c>
      <c r="J137" s="50"/>
      <c r="K137" s="51">
        <v>228967.2</v>
      </c>
      <c r="L137" s="46"/>
      <c r="M137" s="47">
        <f t="shared" si="108"/>
        <v>1680.00024653316</v>
      </c>
      <c r="N137" s="52">
        <v>136.28998</v>
      </c>
      <c r="O137" s="49">
        <v>7.3</v>
      </c>
      <c r="P137" s="50">
        <f t="shared" si="109"/>
        <v>994.916854</v>
      </c>
      <c r="Q137" s="78"/>
      <c r="R137" s="78"/>
      <c r="S137" s="77">
        <f t="shared" si="103"/>
        <v>182.670396544118</v>
      </c>
      <c r="T137" s="77"/>
      <c r="U137" s="77">
        <f t="shared" si="104"/>
        <v>7.37926470588235</v>
      </c>
      <c r="V137" s="77"/>
      <c r="W137" s="80"/>
      <c r="X137" s="77">
        <f t="shared" si="99"/>
        <v>190.04966125</v>
      </c>
      <c r="Y137" s="94">
        <f t="shared" si="105"/>
        <v>43.0366485294118</v>
      </c>
      <c r="Z137" s="94"/>
      <c r="AA137" s="94">
        <f t="shared" si="106"/>
        <v>0.208056426470588</v>
      </c>
      <c r="AB137" s="94">
        <f t="shared" si="96"/>
        <v>43.2447049558824</v>
      </c>
      <c r="AC137" s="45">
        <v>7.3</v>
      </c>
      <c r="AD137" s="77">
        <f t="shared" si="100"/>
        <v>315.686346177941</v>
      </c>
      <c r="AE137" s="77">
        <f t="shared" si="97"/>
        <v>505.736007427941</v>
      </c>
      <c r="AF137" s="77">
        <f t="shared" si="98"/>
        <v>489.180846572059</v>
      </c>
    </row>
    <row r="138" s="2" customFormat="1" spans="1:32">
      <c r="A138" s="21"/>
      <c r="B138" s="22"/>
      <c r="C138" s="23">
        <v>241125000035</v>
      </c>
      <c r="D138" s="24">
        <v>45623</v>
      </c>
      <c r="E138" s="24" t="s">
        <v>64</v>
      </c>
      <c r="F138" s="22" t="s">
        <v>65</v>
      </c>
      <c r="G138" s="22" t="s">
        <v>72</v>
      </c>
      <c r="H138" s="25">
        <v>1.1856</v>
      </c>
      <c r="I138" s="25">
        <v>142</v>
      </c>
      <c r="J138" s="44">
        <v>2595.69</v>
      </c>
      <c r="K138" s="45"/>
      <c r="L138" s="46"/>
      <c r="M138" s="47"/>
      <c r="N138" s="48"/>
      <c r="O138" s="49"/>
      <c r="P138" s="50">
        <f t="shared" si="110"/>
        <v>2595.69</v>
      </c>
      <c r="Q138" s="78"/>
      <c r="R138" s="78"/>
      <c r="S138" s="77">
        <f t="shared" si="103"/>
        <v>820.045521176471</v>
      </c>
      <c r="T138" s="77"/>
      <c r="U138" s="77">
        <f t="shared" si="104"/>
        <v>33.1270588235294</v>
      </c>
      <c r="V138" s="77"/>
      <c r="W138" s="79">
        <v>157.53</v>
      </c>
      <c r="X138" s="77">
        <f t="shared" si="99"/>
        <v>1010.70258</v>
      </c>
      <c r="Y138" s="94">
        <f t="shared" si="105"/>
        <v>193.200494117647</v>
      </c>
      <c r="Z138" s="94"/>
      <c r="AA138" s="94">
        <f t="shared" si="106"/>
        <v>0.934008705882353</v>
      </c>
      <c r="AB138" s="94">
        <f t="shared" si="96"/>
        <v>194.134502823529</v>
      </c>
      <c r="AC138" s="45">
        <v>7.3</v>
      </c>
      <c r="AD138" s="77">
        <f t="shared" si="100"/>
        <v>1417.18187061176</v>
      </c>
      <c r="AE138" s="77">
        <f t="shared" si="97"/>
        <v>2427.88445061176</v>
      </c>
      <c r="AF138" s="77">
        <f t="shared" si="98"/>
        <v>167.80554938824</v>
      </c>
    </row>
    <row r="139" s="2" customFormat="1" spans="1:32">
      <c r="A139" s="21"/>
      <c r="B139" s="22"/>
      <c r="C139" s="23">
        <v>241125000066</v>
      </c>
      <c r="D139" s="24">
        <v>45623</v>
      </c>
      <c r="E139" s="24" t="s">
        <v>116</v>
      </c>
      <c r="F139" s="22" t="s">
        <v>117</v>
      </c>
      <c r="G139" s="22" t="s">
        <v>118</v>
      </c>
      <c r="H139" s="25">
        <v>0.151</v>
      </c>
      <c r="I139" s="25">
        <v>45</v>
      </c>
      <c r="J139" s="50"/>
      <c r="K139" s="51">
        <v>76000</v>
      </c>
      <c r="L139" s="46"/>
      <c r="M139" s="47">
        <f t="shared" si="108"/>
        <v>1677.70408315426</v>
      </c>
      <c r="N139" s="52">
        <v>45.300003</v>
      </c>
      <c r="O139" s="49">
        <v>7.2</v>
      </c>
      <c r="P139" s="50">
        <f t="shared" si="109"/>
        <v>326.1600216</v>
      </c>
      <c r="Q139" s="78"/>
      <c r="R139" s="78"/>
      <c r="S139" s="77">
        <f t="shared" si="103"/>
        <v>104.442369852941</v>
      </c>
      <c r="T139" s="77"/>
      <c r="U139" s="77">
        <f t="shared" si="104"/>
        <v>4.21911764705882</v>
      </c>
      <c r="V139" s="77"/>
      <c r="W139" s="77"/>
      <c r="X139" s="77">
        <f t="shared" si="99"/>
        <v>108.6614875</v>
      </c>
      <c r="Y139" s="94">
        <f t="shared" si="105"/>
        <v>24.6063382352941</v>
      </c>
      <c r="Z139" s="94"/>
      <c r="AA139" s="94">
        <f t="shared" si="106"/>
        <v>0.118956911764706</v>
      </c>
      <c r="AB139" s="94">
        <f t="shared" si="96"/>
        <v>24.7252951470588</v>
      </c>
      <c r="AC139" s="45">
        <v>7.3</v>
      </c>
      <c r="AD139" s="77">
        <f t="shared" si="100"/>
        <v>180.494654573529</v>
      </c>
      <c r="AE139" s="77">
        <f t="shared" si="97"/>
        <v>289.156142073529</v>
      </c>
      <c r="AF139" s="77">
        <f t="shared" si="98"/>
        <v>37.0038795264706</v>
      </c>
    </row>
    <row r="140" s="2" customFormat="1" spans="1:32">
      <c r="A140" s="21"/>
      <c r="B140" s="22"/>
      <c r="C140" s="23">
        <v>241126000027</v>
      </c>
      <c r="D140" s="24">
        <v>45623</v>
      </c>
      <c r="E140" s="24" t="s">
        <v>64</v>
      </c>
      <c r="F140" s="22" t="s">
        <v>65</v>
      </c>
      <c r="G140" s="22" t="s">
        <v>72</v>
      </c>
      <c r="H140" s="25">
        <v>0.4539</v>
      </c>
      <c r="I140" s="25">
        <v>85</v>
      </c>
      <c r="J140" s="44">
        <v>921.06</v>
      </c>
      <c r="K140" s="45"/>
      <c r="L140" s="46"/>
      <c r="M140" s="47"/>
      <c r="N140" s="48"/>
      <c r="O140" s="49"/>
      <c r="P140" s="50">
        <f t="shared" si="110"/>
        <v>921.06</v>
      </c>
      <c r="Q140" s="78"/>
      <c r="R140" s="78"/>
      <c r="S140" s="77">
        <f t="shared" si="103"/>
        <v>313.94961375</v>
      </c>
      <c r="T140" s="77"/>
      <c r="U140" s="77">
        <f t="shared" si="104"/>
        <v>12.6825</v>
      </c>
      <c r="V140" s="77"/>
      <c r="W140" s="77"/>
      <c r="X140" s="77">
        <f t="shared" si="99"/>
        <v>326.63211375</v>
      </c>
      <c r="Y140" s="94">
        <f t="shared" si="105"/>
        <v>73.965675</v>
      </c>
      <c r="Z140" s="94"/>
      <c r="AA140" s="94">
        <f t="shared" si="106"/>
        <v>0.35757975</v>
      </c>
      <c r="AB140" s="94">
        <f t="shared" si="96"/>
        <v>74.32325475</v>
      </c>
      <c r="AC140" s="45">
        <v>7.3</v>
      </c>
      <c r="AD140" s="77">
        <f t="shared" si="100"/>
        <v>542.559759675</v>
      </c>
      <c r="AE140" s="77">
        <f t="shared" si="97"/>
        <v>869.191873425</v>
      </c>
      <c r="AF140" s="77">
        <f t="shared" si="98"/>
        <v>51.8681265749999</v>
      </c>
    </row>
    <row r="141" s="2" customFormat="1" spans="1:32">
      <c r="A141" s="21"/>
      <c r="B141" s="22"/>
      <c r="C141" s="23">
        <v>241127000011</v>
      </c>
      <c r="D141" s="24">
        <v>45623</v>
      </c>
      <c r="E141" s="24" t="s">
        <v>94</v>
      </c>
      <c r="F141" s="22" t="s">
        <v>95</v>
      </c>
      <c r="G141" s="22" t="s">
        <v>119</v>
      </c>
      <c r="H141" s="25">
        <v>2.5492</v>
      </c>
      <c r="I141" s="25">
        <v>684</v>
      </c>
      <c r="J141" s="50"/>
      <c r="K141" s="51">
        <v>1057565.52</v>
      </c>
      <c r="L141" s="46"/>
      <c r="M141" s="47">
        <f>SUM(K141/N141)</f>
        <v>1608</v>
      </c>
      <c r="N141" s="52">
        <v>657.69</v>
      </c>
      <c r="O141" s="49">
        <v>7.3</v>
      </c>
      <c r="P141" s="50">
        <f>SUM(N141*O141)</f>
        <v>4801.137</v>
      </c>
      <c r="Q141" s="78"/>
      <c r="R141" s="78"/>
      <c r="S141" s="77">
        <f t="shared" si="103"/>
        <v>1763.20853794118</v>
      </c>
      <c r="T141" s="77"/>
      <c r="U141" s="77">
        <f t="shared" si="104"/>
        <v>71.2276470588235</v>
      </c>
      <c r="V141" s="77"/>
      <c r="W141" s="77"/>
      <c r="X141" s="77">
        <f t="shared" si="99"/>
        <v>1834.436185</v>
      </c>
      <c r="Y141" s="94">
        <f t="shared" si="105"/>
        <v>415.407135294118</v>
      </c>
      <c r="Z141" s="94"/>
      <c r="AA141" s="94">
        <f t="shared" si="106"/>
        <v>2.00824476470588</v>
      </c>
      <c r="AB141" s="94">
        <f t="shared" si="96"/>
        <v>417.415380058824</v>
      </c>
      <c r="AC141" s="45">
        <v>7.3</v>
      </c>
      <c r="AD141" s="77">
        <f t="shared" si="100"/>
        <v>3047.13227442941</v>
      </c>
      <c r="AE141" s="77">
        <f t="shared" si="97"/>
        <v>4881.56845942941</v>
      </c>
      <c r="AF141" s="77">
        <f t="shared" si="98"/>
        <v>-80.4314594294119</v>
      </c>
    </row>
    <row r="142" s="2" customFormat="1" spans="1:32">
      <c r="A142" s="21"/>
      <c r="B142" s="22"/>
      <c r="C142" s="23">
        <v>241127000015</v>
      </c>
      <c r="D142" s="24">
        <v>45623</v>
      </c>
      <c r="E142" s="24" t="s">
        <v>94</v>
      </c>
      <c r="F142" s="22" t="s">
        <v>95</v>
      </c>
      <c r="G142" s="22" t="s">
        <v>96</v>
      </c>
      <c r="H142" s="25">
        <v>33.06</v>
      </c>
      <c r="I142" s="25">
        <v>5293</v>
      </c>
      <c r="J142" s="44">
        <v>51603.35</v>
      </c>
      <c r="K142" s="45"/>
      <c r="L142" s="46"/>
      <c r="M142" s="47"/>
      <c r="N142" s="52"/>
      <c r="O142" s="49"/>
      <c r="P142" s="50">
        <f>SUBTOTAL(9,J142)</f>
        <v>51603.35</v>
      </c>
      <c r="Q142" s="78"/>
      <c r="R142" s="78"/>
      <c r="S142" s="77">
        <f t="shared" si="103"/>
        <v>22866.6539558824</v>
      </c>
      <c r="T142" s="77"/>
      <c r="U142" s="77">
        <f t="shared" si="104"/>
        <v>923.735294117647</v>
      </c>
      <c r="V142" s="77"/>
      <c r="W142" s="77"/>
      <c r="X142" s="77">
        <f t="shared" si="99"/>
        <v>23790.38925</v>
      </c>
      <c r="Y142" s="94">
        <f t="shared" si="105"/>
        <v>5387.32147058824</v>
      </c>
      <c r="Z142" s="94"/>
      <c r="AA142" s="94">
        <f t="shared" si="106"/>
        <v>26.0444735294118</v>
      </c>
      <c r="AB142" s="94">
        <f t="shared" si="96"/>
        <v>5413.36594411765</v>
      </c>
      <c r="AC142" s="45">
        <v>7.3</v>
      </c>
      <c r="AD142" s="77">
        <f t="shared" si="100"/>
        <v>39517.5713920588</v>
      </c>
      <c r="AE142" s="77">
        <f t="shared" si="97"/>
        <v>63307.9606420588</v>
      </c>
      <c r="AF142" s="77">
        <f t="shared" si="98"/>
        <v>-11704.6106420588</v>
      </c>
    </row>
    <row r="143" s="2" customFormat="1" spans="1:32">
      <c r="A143" s="21"/>
      <c r="B143" s="22"/>
      <c r="C143" s="23">
        <v>241127000027</v>
      </c>
      <c r="D143" s="24">
        <v>45623</v>
      </c>
      <c r="E143" s="24" t="s">
        <v>77</v>
      </c>
      <c r="F143" s="22" t="s">
        <v>78</v>
      </c>
      <c r="G143" s="22" t="s">
        <v>128</v>
      </c>
      <c r="H143" s="25">
        <v>3.145</v>
      </c>
      <c r="I143" s="25">
        <v>1753</v>
      </c>
      <c r="J143" s="44">
        <v>6114.46</v>
      </c>
      <c r="K143" s="45"/>
      <c r="L143" s="46"/>
      <c r="M143" s="47"/>
      <c r="N143" s="48"/>
      <c r="O143" s="49"/>
      <c r="P143" s="50">
        <f>SUBTOTAL(9,J143)</f>
        <v>6114.46</v>
      </c>
      <c r="Q143" s="81"/>
      <c r="R143" s="81"/>
      <c r="S143" s="77">
        <f t="shared" si="103"/>
        <v>2175.3063125</v>
      </c>
      <c r="T143" s="77"/>
      <c r="U143" s="77">
        <f t="shared" si="104"/>
        <v>87.875</v>
      </c>
      <c r="V143" s="77"/>
      <c r="W143" s="77"/>
      <c r="X143" s="77">
        <f t="shared" si="99"/>
        <v>2263.1813125</v>
      </c>
      <c r="Y143" s="94">
        <f t="shared" si="105"/>
        <v>512.49625</v>
      </c>
      <c r="Z143" s="94"/>
      <c r="AA143" s="94">
        <f t="shared" si="106"/>
        <v>2.4776125</v>
      </c>
      <c r="AB143" s="94">
        <f t="shared" si="96"/>
        <v>514.9738625</v>
      </c>
      <c r="AC143" s="45">
        <v>7.3</v>
      </c>
      <c r="AD143" s="77">
        <f t="shared" si="100"/>
        <v>3759.30919625</v>
      </c>
      <c r="AE143" s="77">
        <f t="shared" si="97"/>
        <v>6022.49050875</v>
      </c>
      <c r="AF143" s="77">
        <f t="shared" si="98"/>
        <v>91.9694912499999</v>
      </c>
    </row>
    <row r="144" ht="15.75" spans="1:32">
      <c r="A144" s="27" t="s">
        <v>20</v>
      </c>
      <c r="B144" s="28"/>
      <c r="C144" s="28"/>
      <c r="D144" s="28"/>
      <c r="E144" s="28"/>
      <c r="F144" s="28"/>
      <c r="G144" s="28"/>
      <c r="H144" s="28"/>
      <c r="I144" s="54"/>
      <c r="J144" s="28">
        <f>SUM(J3:J3)</f>
        <v>0</v>
      </c>
      <c r="K144" s="55"/>
      <c r="L144" s="56"/>
      <c r="M144" s="55"/>
      <c r="N144" s="55"/>
      <c r="O144" s="28"/>
      <c r="P144" s="28"/>
      <c r="Q144" s="113">
        <f>SUM(Q4:Q143)</f>
        <v>1257555.83692394</v>
      </c>
      <c r="R144" s="28"/>
      <c r="S144" s="28"/>
      <c r="T144" s="28"/>
      <c r="U144" s="28"/>
      <c r="V144" s="28"/>
      <c r="W144" s="28"/>
      <c r="X144" s="82">
        <f>SUM(X3:X3)</f>
        <v>0</v>
      </c>
      <c r="Y144" s="56"/>
      <c r="Z144" s="56"/>
      <c r="AA144" s="56"/>
      <c r="AB144" s="56"/>
      <c r="AC144" s="55"/>
      <c r="AD144" s="28"/>
      <c r="AE144" s="113">
        <f>SUM(AE4:AE143)</f>
        <v>1197573.28530317</v>
      </c>
      <c r="AF144" s="96">
        <f>SUM(AF3:AF143)</f>
        <v>59982.551620774</v>
      </c>
    </row>
    <row r="145" customFormat="1" spans="4:32">
      <c r="D145" s="3"/>
      <c r="E145" s="3"/>
      <c r="K145" s="4"/>
      <c r="L145" s="5"/>
      <c r="M145" s="4"/>
      <c r="X145" s="7"/>
      <c r="Y145" s="5"/>
      <c r="Z145" s="5"/>
      <c r="AA145" s="5"/>
      <c r="AB145" s="5"/>
      <c r="AC145" s="4"/>
      <c r="AF145" s="8"/>
    </row>
    <row r="146" customFormat="1" spans="4:32">
      <c r="D146" s="3"/>
      <c r="E146" s="3"/>
      <c r="K146" s="4"/>
      <c r="L146" s="5"/>
      <c r="M146" s="4"/>
      <c r="X146" s="7"/>
      <c r="Y146" s="5"/>
      <c r="Z146" s="5"/>
      <c r="AA146" s="5"/>
      <c r="AB146" s="5"/>
      <c r="AC146" s="4"/>
      <c r="AF146" s="8"/>
    </row>
    <row r="147" customFormat="1" spans="4:32">
      <c r="D147" s="3"/>
      <c r="E147" s="3"/>
      <c r="K147" s="4"/>
      <c r="L147" s="5"/>
      <c r="M147" s="4"/>
      <c r="X147" s="7"/>
      <c r="Y147" s="5"/>
      <c r="Z147" s="5"/>
      <c r="AA147" s="5"/>
      <c r="AB147" s="5"/>
      <c r="AC147" s="4"/>
      <c r="AF147" s="8"/>
    </row>
    <row r="148" customFormat="1" spans="4:32">
      <c r="D148" s="3"/>
      <c r="E148" s="3"/>
      <c r="K148" s="4"/>
      <c r="L148" s="5"/>
      <c r="M148" s="4"/>
      <c r="X148" s="7"/>
      <c r="Y148" s="5"/>
      <c r="Z148" s="5"/>
      <c r="AA148" s="5"/>
      <c r="AB148" s="5"/>
      <c r="AC148" s="4"/>
      <c r="AF148" s="8"/>
    </row>
    <row r="149" customFormat="1" spans="4:32">
      <c r="D149" s="3"/>
      <c r="E149" s="3"/>
      <c r="K149" s="4"/>
      <c r="L149" s="5"/>
      <c r="M149" s="4"/>
      <c r="X149" s="7"/>
      <c r="Y149" s="5"/>
      <c r="Z149" s="5"/>
      <c r="AA149" s="5"/>
      <c r="AB149" s="5"/>
      <c r="AC149" s="4"/>
      <c r="AF149" s="8"/>
    </row>
    <row r="150" customFormat="1" spans="4:32">
      <c r="D150" s="3"/>
      <c r="E150" s="3"/>
      <c r="K150" s="4"/>
      <c r="L150" s="5"/>
      <c r="M150" s="4"/>
      <c r="X150" s="7"/>
      <c r="Y150" s="5"/>
      <c r="Z150" s="5"/>
      <c r="AA150" s="5"/>
      <c r="AB150" s="5"/>
      <c r="AC150" s="4"/>
      <c r="AF150" s="8"/>
    </row>
    <row r="151" customFormat="1" spans="4:32">
      <c r="D151" s="3"/>
      <c r="E151" s="3"/>
      <c r="K151" s="4"/>
      <c r="L151" s="5"/>
      <c r="M151" s="4"/>
      <c r="X151" s="7"/>
      <c r="Y151" s="5"/>
      <c r="Z151" s="5"/>
      <c r="AA151" s="5"/>
      <c r="AB151" s="5"/>
      <c r="AC151" s="4"/>
      <c r="AF151" s="8"/>
    </row>
    <row r="152" customFormat="1" spans="4:32">
      <c r="D152" s="3"/>
      <c r="E152" s="3"/>
      <c r="K152" s="4"/>
      <c r="L152" s="5"/>
      <c r="M152" s="4"/>
      <c r="X152" s="7"/>
      <c r="Y152" s="5"/>
      <c r="Z152" s="5"/>
      <c r="AA152" s="5"/>
      <c r="AB152" s="5"/>
      <c r="AC152" s="4"/>
      <c r="AF152" s="8"/>
    </row>
    <row r="153" customFormat="1" spans="4:32">
      <c r="D153" s="3"/>
      <c r="E153" s="3"/>
      <c r="K153" s="4"/>
      <c r="L153" s="5"/>
      <c r="M153" s="4"/>
      <c r="X153" s="7"/>
      <c r="Y153" s="5"/>
      <c r="Z153" s="5"/>
      <c r="AA153" s="5"/>
      <c r="AB153" s="5"/>
      <c r="AC153" s="4"/>
      <c r="AF153" s="8"/>
    </row>
    <row r="154" customFormat="1" spans="4:32">
      <c r="D154" s="3"/>
      <c r="E154" s="3"/>
      <c r="K154" s="4"/>
      <c r="L154" s="5"/>
      <c r="M154" s="4"/>
      <c r="X154" s="7"/>
      <c r="Y154" s="5"/>
      <c r="Z154" s="5"/>
      <c r="AA154" s="5"/>
      <c r="AB154" s="5"/>
      <c r="AC154" s="4"/>
      <c r="AF154" s="8"/>
    </row>
    <row r="155" customFormat="1" spans="4:32">
      <c r="D155" s="3"/>
      <c r="E155" s="3"/>
      <c r="K155" s="4"/>
      <c r="L155" s="5"/>
      <c r="M155" s="4"/>
      <c r="X155" s="7"/>
      <c r="Y155" s="5"/>
      <c r="Z155" s="5"/>
      <c r="AA155" s="5"/>
      <c r="AB155" s="5"/>
      <c r="AC155" s="4"/>
      <c r="AF155" s="8"/>
    </row>
    <row r="156" customFormat="1" spans="4:32">
      <c r="D156" s="3"/>
      <c r="E156" s="3"/>
      <c r="K156" s="4"/>
      <c r="L156" s="5"/>
      <c r="M156" s="4"/>
      <c r="X156" s="7"/>
      <c r="Y156" s="5"/>
      <c r="Z156" s="5"/>
      <c r="AA156" s="5"/>
      <c r="AB156" s="5"/>
      <c r="AC156" s="4"/>
      <c r="AF156" s="8"/>
    </row>
    <row r="157" customFormat="1" spans="4:32">
      <c r="D157" s="3"/>
      <c r="E157" s="3"/>
      <c r="K157" s="4"/>
      <c r="L157" s="5"/>
      <c r="M157" s="4"/>
      <c r="X157" s="7"/>
      <c r="Y157" s="5"/>
      <c r="Z157" s="5"/>
      <c r="AA157" s="5"/>
      <c r="AB157" s="5"/>
      <c r="AC157" s="4"/>
      <c r="AF157" s="8"/>
    </row>
    <row r="158" customFormat="1" spans="4:32">
      <c r="D158" s="3"/>
      <c r="E158" s="3"/>
      <c r="K158" s="4"/>
      <c r="L158" s="5"/>
      <c r="M158" s="4"/>
      <c r="X158" s="7"/>
      <c r="Y158" s="5"/>
      <c r="Z158" s="5"/>
      <c r="AA158" s="5"/>
      <c r="AB158" s="5"/>
      <c r="AC158" s="4"/>
      <c r="AF158" s="8"/>
    </row>
    <row r="159" customFormat="1" spans="4:32">
      <c r="D159" s="3"/>
      <c r="E159" s="3"/>
      <c r="K159" s="4"/>
      <c r="L159" s="5"/>
      <c r="M159" s="4"/>
      <c r="X159" s="7"/>
      <c r="Y159" s="5"/>
      <c r="Z159" s="5"/>
      <c r="AA159" s="5"/>
      <c r="AB159" s="5"/>
      <c r="AC159" s="4"/>
      <c r="AF159" s="8"/>
    </row>
    <row r="160" customFormat="1" spans="4:32">
      <c r="D160" s="3"/>
      <c r="E160" s="3"/>
      <c r="K160" s="4"/>
      <c r="L160" s="5"/>
      <c r="M160" s="4"/>
      <c r="X160" s="7"/>
      <c r="Y160" s="5"/>
      <c r="Z160" s="5"/>
      <c r="AA160" s="5"/>
      <c r="AB160" s="5"/>
      <c r="AC160" s="4"/>
      <c r="AF160" s="8"/>
    </row>
  </sheetData>
  <autoFilter xmlns:etc="http://www.wps.cn/officeDocument/2017/etCustomData" ref="A2:AF144" etc:filterBottomFollowUsedRange="0">
    <extLst/>
  </autoFilter>
  <mergeCells count="49">
    <mergeCell ref="A1:AF1"/>
    <mergeCell ref="J2:P2"/>
    <mergeCell ref="R2:V2"/>
    <mergeCell ref="Y2:AD2"/>
    <mergeCell ref="A2:A3"/>
    <mergeCell ref="A4:A20"/>
    <mergeCell ref="A21:A34"/>
    <mergeCell ref="A35:A56"/>
    <mergeCell ref="A57:A76"/>
    <mergeCell ref="A77:A93"/>
    <mergeCell ref="A94:A107"/>
    <mergeCell ref="A108:A122"/>
    <mergeCell ref="A123:A143"/>
    <mergeCell ref="B2:B3"/>
    <mergeCell ref="B4:B20"/>
    <mergeCell ref="B21:B34"/>
    <mergeCell ref="B35:B56"/>
    <mergeCell ref="B57:B76"/>
    <mergeCell ref="B77:B93"/>
    <mergeCell ref="B94:B107"/>
    <mergeCell ref="B108:B122"/>
    <mergeCell ref="B123:B143"/>
    <mergeCell ref="C2:C3"/>
    <mergeCell ref="D2:D3"/>
    <mergeCell ref="E2:E3"/>
    <mergeCell ref="F2:F3"/>
    <mergeCell ref="G2:G3"/>
    <mergeCell ref="H2:H3"/>
    <mergeCell ref="I2:I3"/>
    <mergeCell ref="Q2:Q3"/>
    <mergeCell ref="Q4:Q20"/>
    <mergeCell ref="Q21:Q34"/>
    <mergeCell ref="Q35:Q56"/>
    <mergeCell ref="Q57:Q76"/>
    <mergeCell ref="Q77:Q93"/>
    <mergeCell ref="Q94:Q107"/>
    <mergeCell ref="Q108:Q122"/>
    <mergeCell ref="Q123:Q143"/>
    <mergeCell ref="R4:R20"/>
    <mergeCell ref="R21:R34"/>
    <mergeCell ref="R35:R56"/>
    <mergeCell ref="R57:R76"/>
    <mergeCell ref="R77:R93"/>
    <mergeCell ref="R94:R107"/>
    <mergeCell ref="R108:R122"/>
    <mergeCell ref="R123:R143"/>
    <mergeCell ref="W2:W3"/>
    <mergeCell ref="X2:X3"/>
    <mergeCell ref="AF2:AF3"/>
  </mergeCells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8"/>
  <sheetViews>
    <sheetView zoomScale="110" zoomScaleNormal="110" workbookViewId="0">
      <pane xSplit="2" ySplit="4" topLeftCell="C5" activePane="bottomRight" state="frozen"/>
      <selection/>
      <selection pane="topRight"/>
      <selection pane="bottomLeft"/>
      <selection pane="bottomRight" activeCell="AB5" sqref="AB5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9"/>
      <c r="L1" s="30"/>
      <c r="M1" s="29"/>
      <c r="N1" s="9"/>
      <c r="O1" s="31"/>
      <c r="P1" s="9"/>
      <c r="Q1" s="9"/>
      <c r="R1" s="9"/>
      <c r="S1" s="9"/>
      <c r="T1" s="57"/>
      <c r="U1" s="57"/>
      <c r="V1" s="58"/>
      <c r="W1" s="57"/>
      <c r="X1" s="59"/>
      <c r="Y1" s="30"/>
      <c r="Z1" s="30"/>
      <c r="AA1" s="30"/>
      <c r="AB1" s="30"/>
      <c r="AC1" s="29"/>
      <c r="AD1" s="30"/>
      <c r="AE1" s="9"/>
      <c r="AF1" s="83"/>
    </row>
    <row r="2" customFormat="1" ht="31" customHeight="1" spans="1:32">
      <c r="A2" s="10" t="s">
        <v>136</v>
      </c>
      <c r="B2" s="10" t="s">
        <v>137</v>
      </c>
      <c r="C2" s="10">
        <v>74.1647</v>
      </c>
      <c r="D2" s="9"/>
      <c r="E2" s="9"/>
      <c r="F2" s="9"/>
      <c r="G2" s="9"/>
      <c r="H2" s="9"/>
      <c r="I2" s="9"/>
      <c r="J2" s="9"/>
      <c r="K2" s="29"/>
      <c r="L2" s="30"/>
      <c r="M2" s="29"/>
      <c r="N2" s="9"/>
      <c r="O2" s="31"/>
      <c r="P2" s="9"/>
      <c r="Q2" s="9"/>
      <c r="R2" s="9"/>
      <c r="S2" s="9"/>
      <c r="T2" s="57"/>
      <c r="U2" s="57"/>
      <c r="V2" s="58"/>
      <c r="W2" s="57"/>
      <c r="X2" s="59"/>
      <c r="Y2" s="30"/>
      <c r="Z2" s="30"/>
      <c r="AA2" s="30"/>
      <c r="AB2" s="30"/>
      <c r="AC2" s="29"/>
      <c r="AD2" s="30"/>
      <c r="AE2" s="9"/>
      <c r="AF2" s="9"/>
    </row>
    <row r="3" s="1" customFormat="1" ht="23" customHeight="1" spans="1:32">
      <c r="A3" s="11" t="s">
        <v>1</v>
      </c>
      <c r="B3" s="12" t="s">
        <v>2</v>
      </c>
      <c r="C3" s="13" t="s">
        <v>21</v>
      </c>
      <c r="D3" s="14" t="s">
        <v>22</v>
      </c>
      <c r="E3" s="15" t="s">
        <v>23</v>
      </c>
      <c r="F3" s="16" t="s">
        <v>24</v>
      </c>
      <c r="G3" s="16" t="s">
        <v>25</v>
      </c>
      <c r="H3" s="16" t="s">
        <v>26</v>
      </c>
      <c r="I3" s="16" t="s">
        <v>27</v>
      </c>
      <c r="J3" s="32" t="s">
        <v>28</v>
      </c>
      <c r="K3" s="33"/>
      <c r="L3" s="34"/>
      <c r="M3" s="33"/>
      <c r="N3" s="34"/>
      <c r="O3" s="35"/>
      <c r="P3" s="36"/>
      <c r="Q3" s="60" t="s">
        <v>29</v>
      </c>
      <c r="R3" s="61" t="s">
        <v>30</v>
      </c>
      <c r="S3" s="62"/>
      <c r="T3" s="63"/>
      <c r="U3" s="64"/>
      <c r="V3" s="65"/>
      <c r="W3" s="66" t="s">
        <v>31</v>
      </c>
      <c r="X3" s="67" t="s">
        <v>32</v>
      </c>
      <c r="Y3" s="84" t="s">
        <v>33</v>
      </c>
      <c r="Z3" s="84"/>
      <c r="AA3" s="84"/>
      <c r="AB3" s="84"/>
      <c r="AC3" s="85"/>
      <c r="AD3" s="84"/>
      <c r="AE3" s="86" t="s">
        <v>34</v>
      </c>
      <c r="AF3" s="87" t="s">
        <v>3</v>
      </c>
    </row>
    <row r="4" s="1" customFormat="1" ht="27" customHeight="1" spans="1:32">
      <c r="A4" s="17"/>
      <c r="B4" s="18"/>
      <c r="C4" s="13"/>
      <c r="D4" s="14"/>
      <c r="E4" s="19"/>
      <c r="F4" s="20"/>
      <c r="G4" s="20"/>
      <c r="H4" s="20"/>
      <c r="I4" s="37"/>
      <c r="J4" s="38" t="s">
        <v>35</v>
      </c>
      <c r="K4" s="39" t="s">
        <v>36</v>
      </c>
      <c r="L4" s="40" t="s">
        <v>37</v>
      </c>
      <c r="M4" s="39" t="s">
        <v>38</v>
      </c>
      <c r="N4" s="41" t="s">
        <v>39</v>
      </c>
      <c r="O4" s="42" t="s">
        <v>40</v>
      </c>
      <c r="P4" s="43" t="s">
        <v>41</v>
      </c>
      <c r="Q4" s="68"/>
      <c r="R4" s="69" t="s">
        <v>42</v>
      </c>
      <c r="S4" s="70" t="s">
        <v>43</v>
      </c>
      <c r="T4" s="71" t="s">
        <v>44</v>
      </c>
      <c r="U4" s="72" t="s">
        <v>45</v>
      </c>
      <c r="V4" s="71" t="s">
        <v>46</v>
      </c>
      <c r="W4" s="73"/>
      <c r="X4" s="74"/>
      <c r="Y4" s="88" t="s">
        <v>47</v>
      </c>
      <c r="Z4" s="88" t="s">
        <v>48</v>
      </c>
      <c r="AA4" s="88" t="s">
        <v>49</v>
      </c>
      <c r="AB4" s="89" t="s">
        <v>50</v>
      </c>
      <c r="AC4" s="90" t="s">
        <v>51</v>
      </c>
      <c r="AD4" s="91" t="s">
        <v>41</v>
      </c>
      <c r="AE4" s="92" t="s">
        <v>52</v>
      </c>
      <c r="AF4" s="93"/>
    </row>
    <row r="5" s="2" customFormat="1" spans="1:32">
      <c r="A5" s="21" t="s">
        <v>4</v>
      </c>
      <c r="B5" s="22" t="s">
        <v>5</v>
      </c>
      <c r="C5" s="23">
        <v>240910000015</v>
      </c>
      <c r="D5" s="24">
        <v>45601</v>
      </c>
      <c r="E5" s="24" t="s">
        <v>53</v>
      </c>
      <c r="F5" s="22" t="s">
        <v>54</v>
      </c>
      <c r="G5" s="22" t="s">
        <v>55</v>
      </c>
      <c r="H5" s="25">
        <v>5.1959</v>
      </c>
      <c r="I5" s="25">
        <v>743</v>
      </c>
      <c r="J5" s="50"/>
      <c r="K5" s="51">
        <v>2382640</v>
      </c>
      <c r="L5" s="46"/>
      <c r="M5" s="47">
        <f t="shared" ref="M5:M10" si="0">SUM(K5/N5)</f>
        <v>1580</v>
      </c>
      <c r="N5" s="52">
        <v>1508</v>
      </c>
      <c r="O5" s="49">
        <v>7.29</v>
      </c>
      <c r="P5" s="50">
        <f t="shared" ref="P5:P10" si="1">SUM(N5*O5)</f>
        <v>10993.32</v>
      </c>
      <c r="Q5" s="75">
        <f>SUM(P5:P21)</f>
        <v>165324.2782</v>
      </c>
      <c r="R5" s="76" t="s">
        <v>56</v>
      </c>
      <c r="S5" s="77">
        <f>SUM(49214.5/68)*H5</f>
        <v>3760.49441985294</v>
      </c>
      <c r="T5" s="77">
        <f>SUM(113.64/68)*H5</f>
        <v>8.68326582352941</v>
      </c>
      <c r="U5" s="77">
        <f>SUM(2400/68)*H5</f>
        <v>183.384705882353</v>
      </c>
      <c r="V5" s="77"/>
      <c r="W5" s="77"/>
      <c r="X5" s="77">
        <f t="shared" ref="X5:X68" si="2">SUM(S5:W5)</f>
        <v>3952.56239155882</v>
      </c>
      <c r="Y5" s="94">
        <f>SUM(10949.72/68)*H5</f>
        <v>836.671325705882</v>
      </c>
      <c r="Z5" s="94"/>
      <c r="AA5" s="94"/>
      <c r="AB5" s="94">
        <f t="shared" ref="AB5:AB68" si="3">SUM(Y5:AA5)</f>
        <v>836.671325705882</v>
      </c>
      <c r="AC5" s="45">
        <v>7.33</v>
      </c>
      <c r="AD5" s="77">
        <f t="shared" ref="AD5:AD68" si="4">SUM(AB5*AC5)</f>
        <v>6132.80081742412</v>
      </c>
      <c r="AE5" s="77">
        <f t="shared" ref="AE5:AE68" si="5">SUM(X5+AD5)</f>
        <v>10085.3632089829</v>
      </c>
      <c r="AF5" s="77">
        <f t="shared" ref="AF5:AF68" si="6">SUM(P5-AE5)</f>
        <v>907.956791017059</v>
      </c>
    </row>
    <row r="6" s="2" customFormat="1" spans="1:32">
      <c r="A6" s="21"/>
      <c r="B6" s="22"/>
      <c r="C6" s="23">
        <v>241023000029</v>
      </c>
      <c r="D6" s="24">
        <v>45601</v>
      </c>
      <c r="E6" s="24" t="s">
        <v>57</v>
      </c>
      <c r="F6" s="22" t="s">
        <v>58</v>
      </c>
      <c r="G6" s="22" t="s">
        <v>59</v>
      </c>
      <c r="H6" s="25">
        <v>0.0288</v>
      </c>
      <c r="I6" s="25">
        <v>5</v>
      </c>
      <c r="J6" s="44">
        <v>224.75</v>
      </c>
      <c r="K6" s="45"/>
      <c r="L6" s="46"/>
      <c r="M6" s="47"/>
      <c r="N6" s="48"/>
      <c r="O6" s="49"/>
      <c r="P6" s="50">
        <f>SUBTOTAL(9,J6)</f>
        <v>224.75</v>
      </c>
      <c r="Q6" s="78"/>
      <c r="R6" s="78"/>
      <c r="S6" s="77">
        <f t="shared" ref="S6:S21" si="7">SUM(49214.5/68)*H6</f>
        <v>20.8437882352941</v>
      </c>
      <c r="T6" s="77">
        <f t="shared" ref="T6:T21" si="8">SUM(113.64/68)*H6</f>
        <v>0.0481298823529412</v>
      </c>
      <c r="U6" s="77">
        <f t="shared" ref="U6:U21" si="9">SUM(2400/68)*H6</f>
        <v>1.01647058823529</v>
      </c>
      <c r="V6" s="77"/>
      <c r="W6" s="77"/>
      <c r="X6" s="77">
        <f t="shared" si="2"/>
        <v>21.9083887058824</v>
      </c>
      <c r="Y6" s="94">
        <f t="shared" ref="Y6:Y21" si="10">SUM(10949.72/68)*H6</f>
        <v>4.63752847058823</v>
      </c>
      <c r="Z6" s="94"/>
      <c r="AA6" s="94"/>
      <c r="AB6" s="94">
        <f t="shared" si="3"/>
        <v>4.63752847058823</v>
      </c>
      <c r="AC6" s="45">
        <v>7.33</v>
      </c>
      <c r="AD6" s="77">
        <f t="shared" si="4"/>
        <v>33.9930836894118</v>
      </c>
      <c r="AE6" s="77">
        <f t="shared" si="5"/>
        <v>55.9014723952941</v>
      </c>
      <c r="AF6" s="77">
        <f t="shared" si="6"/>
        <v>168.848527604706</v>
      </c>
    </row>
    <row r="7" s="2" customFormat="1" spans="1:32">
      <c r="A7" s="21"/>
      <c r="B7" s="22"/>
      <c r="C7" s="23">
        <v>241025000058</v>
      </c>
      <c r="D7" s="24">
        <v>45601</v>
      </c>
      <c r="E7" s="24" t="s">
        <v>60</v>
      </c>
      <c r="F7" s="22" t="s">
        <v>61</v>
      </c>
      <c r="G7" s="22" t="s">
        <v>62</v>
      </c>
      <c r="H7" s="25">
        <v>13.7</v>
      </c>
      <c r="I7" s="25">
        <v>2550</v>
      </c>
      <c r="J7" s="105"/>
      <c r="K7" s="51">
        <v>7067746.5</v>
      </c>
      <c r="L7" s="46"/>
      <c r="M7" s="47">
        <f t="shared" si="0"/>
        <v>1648.80394439403</v>
      </c>
      <c r="N7" s="99">
        <v>4286.59</v>
      </c>
      <c r="O7" s="49">
        <v>7.29</v>
      </c>
      <c r="P7" s="50">
        <f t="shared" si="1"/>
        <v>31249.2411</v>
      </c>
      <c r="Q7" s="78"/>
      <c r="R7" s="78"/>
      <c r="S7" s="77">
        <f t="shared" si="7"/>
        <v>9915.27426470588</v>
      </c>
      <c r="T7" s="77">
        <f t="shared" si="8"/>
        <v>22.8951176470588</v>
      </c>
      <c r="U7" s="77">
        <f t="shared" si="9"/>
        <v>483.529411764706</v>
      </c>
      <c r="V7" s="77"/>
      <c r="W7" s="77"/>
      <c r="X7" s="77">
        <f t="shared" si="2"/>
        <v>10421.6987941176</v>
      </c>
      <c r="Y7" s="94">
        <f t="shared" si="10"/>
        <v>2206.04652941176</v>
      </c>
      <c r="Z7" s="94">
        <v>90.97</v>
      </c>
      <c r="AA7" s="94"/>
      <c r="AB7" s="94">
        <f t="shared" si="3"/>
        <v>2297.01652941176</v>
      </c>
      <c r="AC7" s="45">
        <v>7.33</v>
      </c>
      <c r="AD7" s="77">
        <f t="shared" si="4"/>
        <v>16837.1311605882</v>
      </c>
      <c r="AE7" s="77">
        <f t="shared" si="5"/>
        <v>27258.8299547059</v>
      </c>
      <c r="AF7" s="77">
        <f t="shared" si="6"/>
        <v>3990.41114529412</v>
      </c>
    </row>
    <row r="8" s="2" customFormat="1" spans="1:32">
      <c r="A8" s="21"/>
      <c r="B8" s="22"/>
      <c r="C8" s="23">
        <v>241026000006</v>
      </c>
      <c r="D8" s="24">
        <v>45601</v>
      </c>
      <c r="E8" s="24" t="s">
        <v>53</v>
      </c>
      <c r="F8" s="22" t="s">
        <v>54</v>
      </c>
      <c r="G8" s="22" t="s">
        <v>63</v>
      </c>
      <c r="H8" s="25">
        <v>0.6549</v>
      </c>
      <c r="I8" s="25">
        <v>72</v>
      </c>
      <c r="J8" s="50"/>
      <c r="K8" s="51">
        <v>363730</v>
      </c>
      <c r="L8" s="46"/>
      <c r="M8" s="47">
        <f t="shared" si="0"/>
        <v>1683.00018508236</v>
      </c>
      <c r="N8" s="52">
        <v>216.12</v>
      </c>
      <c r="O8" s="49">
        <v>7.3</v>
      </c>
      <c r="P8" s="50">
        <f t="shared" si="1"/>
        <v>1577.676</v>
      </c>
      <c r="Q8" s="78"/>
      <c r="R8" s="78"/>
      <c r="S8" s="77">
        <f t="shared" si="7"/>
        <v>473.979059558824</v>
      </c>
      <c r="T8" s="77">
        <f t="shared" si="8"/>
        <v>1.09445347058824</v>
      </c>
      <c r="U8" s="77">
        <f t="shared" si="9"/>
        <v>23.1141176470588</v>
      </c>
      <c r="V8" s="77"/>
      <c r="W8" s="77"/>
      <c r="X8" s="77">
        <f t="shared" si="2"/>
        <v>498.187630676471</v>
      </c>
      <c r="Y8" s="94">
        <f t="shared" si="10"/>
        <v>105.455465117647</v>
      </c>
      <c r="Z8" s="94"/>
      <c r="AA8" s="94"/>
      <c r="AB8" s="94">
        <f t="shared" si="3"/>
        <v>105.455465117647</v>
      </c>
      <c r="AC8" s="45">
        <v>7.33</v>
      </c>
      <c r="AD8" s="77">
        <f t="shared" si="4"/>
        <v>772.988559312353</v>
      </c>
      <c r="AE8" s="77">
        <f t="shared" si="5"/>
        <v>1271.17618998882</v>
      </c>
      <c r="AF8" s="77">
        <f t="shared" si="6"/>
        <v>306.499810011176</v>
      </c>
    </row>
    <row r="9" s="2" customFormat="1" spans="1:32">
      <c r="A9" s="21"/>
      <c r="B9" s="22"/>
      <c r="C9" s="23">
        <v>241027000011</v>
      </c>
      <c r="D9" s="24">
        <v>45601</v>
      </c>
      <c r="E9" s="24" t="s">
        <v>64</v>
      </c>
      <c r="F9" s="22" t="s">
        <v>65</v>
      </c>
      <c r="G9" s="22" t="s">
        <v>66</v>
      </c>
      <c r="H9" s="25">
        <v>0.5618</v>
      </c>
      <c r="I9" s="25">
        <v>55</v>
      </c>
      <c r="J9" s="50"/>
      <c r="K9" s="51">
        <v>434000</v>
      </c>
      <c r="L9" s="46"/>
      <c r="M9" s="47">
        <f t="shared" si="0"/>
        <v>1671.80277349769</v>
      </c>
      <c r="N9" s="52">
        <v>259.6</v>
      </c>
      <c r="O9" s="49">
        <v>7.3</v>
      </c>
      <c r="P9" s="50">
        <f t="shared" si="1"/>
        <v>1895.08</v>
      </c>
      <c r="Q9" s="78"/>
      <c r="R9" s="78"/>
      <c r="S9" s="77">
        <f t="shared" si="7"/>
        <v>406.598619117647</v>
      </c>
      <c r="T9" s="77">
        <f t="shared" si="8"/>
        <v>0.938866941176471</v>
      </c>
      <c r="U9" s="77">
        <f t="shared" si="9"/>
        <v>19.8282352941176</v>
      </c>
      <c r="V9" s="79">
        <v>310</v>
      </c>
      <c r="W9" s="77">
        <v>59</v>
      </c>
      <c r="X9" s="77">
        <f t="shared" si="2"/>
        <v>796.365721352941</v>
      </c>
      <c r="Y9" s="94">
        <f t="shared" si="10"/>
        <v>90.4640102352941</v>
      </c>
      <c r="Z9" s="94"/>
      <c r="AA9" s="94"/>
      <c r="AB9" s="94">
        <f t="shared" si="3"/>
        <v>90.4640102352941</v>
      </c>
      <c r="AC9" s="45">
        <v>7.33</v>
      </c>
      <c r="AD9" s="77">
        <f t="shared" si="4"/>
        <v>663.101195024706</v>
      </c>
      <c r="AE9" s="77">
        <f t="shared" si="5"/>
        <v>1459.46691637765</v>
      </c>
      <c r="AF9" s="77">
        <f t="shared" si="6"/>
        <v>435.613083622353</v>
      </c>
    </row>
    <row r="10" s="2" customFormat="1" spans="1:32">
      <c r="A10" s="21"/>
      <c r="B10" s="22"/>
      <c r="C10" s="23">
        <v>241031000033</v>
      </c>
      <c r="D10" s="24">
        <v>45601</v>
      </c>
      <c r="E10" s="24" t="s">
        <v>57</v>
      </c>
      <c r="F10" s="22" t="s">
        <v>58</v>
      </c>
      <c r="G10" s="22" t="s">
        <v>67</v>
      </c>
      <c r="H10" s="25">
        <v>1.9968</v>
      </c>
      <c r="I10" s="25">
        <v>845</v>
      </c>
      <c r="J10" s="50"/>
      <c r="K10" s="51">
        <v>960734</v>
      </c>
      <c r="L10" s="46"/>
      <c r="M10" s="47">
        <f t="shared" si="0"/>
        <v>1653.01789401239</v>
      </c>
      <c r="N10" s="52">
        <v>581.2</v>
      </c>
      <c r="O10" s="49">
        <v>7.29</v>
      </c>
      <c r="P10" s="50">
        <f t="shared" si="1"/>
        <v>4236.948</v>
      </c>
      <c r="Q10" s="78"/>
      <c r="R10" s="78"/>
      <c r="S10" s="77">
        <f t="shared" si="7"/>
        <v>1445.16931764706</v>
      </c>
      <c r="T10" s="77">
        <f t="shared" si="8"/>
        <v>3.33700517647059</v>
      </c>
      <c r="U10" s="77">
        <f t="shared" si="9"/>
        <v>70.4752941176471</v>
      </c>
      <c r="V10" s="77"/>
      <c r="W10" s="77"/>
      <c r="X10" s="77">
        <f t="shared" si="2"/>
        <v>1518.98161694118</v>
      </c>
      <c r="Y10" s="94">
        <f t="shared" si="10"/>
        <v>321.535307294118</v>
      </c>
      <c r="Z10" s="94"/>
      <c r="AA10" s="94"/>
      <c r="AB10" s="94">
        <f t="shared" si="3"/>
        <v>321.535307294118</v>
      </c>
      <c r="AC10" s="45">
        <v>7.33</v>
      </c>
      <c r="AD10" s="77">
        <f t="shared" si="4"/>
        <v>2356.85380246588</v>
      </c>
      <c r="AE10" s="77">
        <f t="shared" si="5"/>
        <v>3875.83541940706</v>
      </c>
      <c r="AF10" s="77">
        <f t="shared" si="6"/>
        <v>361.112580592942</v>
      </c>
    </row>
    <row r="11" s="2" customFormat="1" spans="1:32">
      <c r="A11" s="21"/>
      <c r="B11" s="22"/>
      <c r="C11" s="23">
        <v>241028000022</v>
      </c>
      <c r="D11" s="24">
        <v>45601</v>
      </c>
      <c r="E11" s="24" t="s">
        <v>57</v>
      </c>
      <c r="F11" s="22" t="s">
        <v>58</v>
      </c>
      <c r="G11" s="22" t="s">
        <v>68</v>
      </c>
      <c r="H11" s="25">
        <v>1.211</v>
      </c>
      <c r="I11" s="25">
        <v>331</v>
      </c>
      <c r="J11" s="44">
        <v>2690</v>
      </c>
      <c r="K11" s="45"/>
      <c r="L11" s="46"/>
      <c r="M11" s="47"/>
      <c r="N11" s="48"/>
      <c r="O11" s="49"/>
      <c r="P11" s="50">
        <f t="shared" ref="P11:P17" si="11">SUBTOTAL(9,J11)</f>
        <v>2690</v>
      </c>
      <c r="Q11" s="78"/>
      <c r="R11" s="78"/>
      <c r="S11" s="77">
        <f t="shared" si="7"/>
        <v>876.452345588235</v>
      </c>
      <c r="T11" s="77">
        <f t="shared" si="8"/>
        <v>2.02379470588235</v>
      </c>
      <c r="U11" s="77">
        <f t="shared" si="9"/>
        <v>42.7411764705882</v>
      </c>
      <c r="V11" s="77"/>
      <c r="W11" s="77"/>
      <c r="X11" s="77">
        <f t="shared" si="2"/>
        <v>921.217316764706</v>
      </c>
      <c r="Y11" s="94">
        <f t="shared" si="10"/>
        <v>195.001631176471</v>
      </c>
      <c r="Z11" s="94"/>
      <c r="AA11" s="94"/>
      <c r="AB11" s="94">
        <f t="shared" si="3"/>
        <v>195.001631176471</v>
      </c>
      <c r="AC11" s="45">
        <v>7.33</v>
      </c>
      <c r="AD11" s="77">
        <f t="shared" si="4"/>
        <v>1429.36195652353</v>
      </c>
      <c r="AE11" s="77">
        <f t="shared" si="5"/>
        <v>2350.57927328824</v>
      </c>
      <c r="AF11" s="77">
        <f t="shared" si="6"/>
        <v>339.420726711765</v>
      </c>
    </row>
    <row r="12" s="2" customFormat="1" spans="1:32">
      <c r="A12" s="21"/>
      <c r="B12" s="22"/>
      <c r="C12" s="23">
        <v>241028000025</v>
      </c>
      <c r="D12" s="24">
        <v>45601</v>
      </c>
      <c r="E12" s="24" t="s">
        <v>53</v>
      </c>
      <c r="F12" s="22" t="s">
        <v>54</v>
      </c>
      <c r="G12" s="22" t="s">
        <v>69</v>
      </c>
      <c r="H12" s="25">
        <v>0.7015</v>
      </c>
      <c r="I12" s="25">
        <v>168</v>
      </c>
      <c r="J12" s="50"/>
      <c r="K12" s="51">
        <v>432424.8</v>
      </c>
      <c r="L12" s="46"/>
      <c r="M12" s="47">
        <f>SUM(K12/N12)</f>
        <v>1710</v>
      </c>
      <c r="N12" s="52">
        <v>252.88</v>
      </c>
      <c r="O12" s="49">
        <v>7.3</v>
      </c>
      <c r="P12" s="50">
        <f>SUM(N12*O12)</f>
        <v>1846.024</v>
      </c>
      <c r="Q12" s="78"/>
      <c r="R12" s="78"/>
      <c r="S12" s="77">
        <f t="shared" si="7"/>
        <v>507.705466911765</v>
      </c>
      <c r="T12" s="77">
        <f t="shared" si="8"/>
        <v>1.17233029411765</v>
      </c>
      <c r="U12" s="77">
        <f t="shared" si="9"/>
        <v>24.7588235294118</v>
      </c>
      <c r="V12" s="77"/>
      <c r="W12" s="77"/>
      <c r="X12" s="77">
        <f t="shared" si="2"/>
        <v>533.636620735294</v>
      </c>
      <c r="Y12" s="94">
        <f t="shared" si="10"/>
        <v>112.959243823529</v>
      </c>
      <c r="Z12" s="94">
        <v>42.43</v>
      </c>
      <c r="AA12" s="94"/>
      <c r="AB12" s="94">
        <f t="shared" si="3"/>
        <v>155.389243823529</v>
      </c>
      <c r="AC12" s="45">
        <v>7.33</v>
      </c>
      <c r="AD12" s="77">
        <f t="shared" si="4"/>
        <v>1139.00315722647</v>
      </c>
      <c r="AE12" s="77">
        <f t="shared" si="5"/>
        <v>1672.63977796176</v>
      </c>
      <c r="AF12" s="77">
        <f t="shared" si="6"/>
        <v>173.384222038235</v>
      </c>
    </row>
    <row r="13" s="2" customFormat="1" spans="1:32">
      <c r="A13" s="21"/>
      <c r="B13" s="22"/>
      <c r="C13" s="23">
        <v>241028000036</v>
      </c>
      <c r="D13" s="24">
        <v>45601</v>
      </c>
      <c r="E13" s="24" t="s">
        <v>70</v>
      </c>
      <c r="F13" s="22" t="s">
        <v>70</v>
      </c>
      <c r="G13" s="22" t="s">
        <v>71</v>
      </c>
      <c r="H13" s="25">
        <v>19.1974</v>
      </c>
      <c r="I13" s="25">
        <v>2413</v>
      </c>
      <c r="J13" s="44">
        <v>38000</v>
      </c>
      <c r="K13" s="45"/>
      <c r="L13" s="46"/>
      <c r="M13" s="47"/>
      <c r="N13" s="48"/>
      <c r="O13" s="49"/>
      <c r="P13" s="50">
        <f t="shared" si="11"/>
        <v>38000</v>
      </c>
      <c r="Q13" s="78"/>
      <c r="R13" s="78"/>
      <c r="S13" s="77">
        <f t="shared" si="7"/>
        <v>13893.9770926471</v>
      </c>
      <c r="T13" s="77">
        <f t="shared" si="8"/>
        <v>32.0822431764706</v>
      </c>
      <c r="U13" s="77">
        <f t="shared" si="9"/>
        <v>677.555294117647</v>
      </c>
      <c r="V13" s="77"/>
      <c r="W13" s="77"/>
      <c r="X13" s="77">
        <f t="shared" si="2"/>
        <v>14603.6146299412</v>
      </c>
      <c r="Y13" s="94">
        <f t="shared" si="10"/>
        <v>3091.26698129412</v>
      </c>
      <c r="Z13" s="94"/>
      <c r="AA13" s="94"/>
      <c r="AB13" s="94">
        <f t="shared" si="3"/>
        <v>3091.26698129412</v>
      </c>
      <c r="AC13" s="45">
        <v>7.33</v>
      </c>
      <c r="AD13" s="77">
        <f t="shared" si="4"/>
        <v>22658.9869728859</v>
      </c>
      <c r="AE13" s="77">
        <f t="shared" si="5"/>
        <v>37262.6016028271</v>
      </c>
      <c r="AF13" s="77">
        <f t="shared" si="6"/>
        <v>737.398397172947</v>
      </c>
    </row>
    <row r="14" s="2" customFormat="1" spans="1:32">
      <c r="A14" s="21"/>
      <c r="B14" s="22"/>
      <c r="C14" s="23">
        <v>241028000057</v>
      </c>
      <c r="D14" s="24">
        <v>45601</v>
      </c>
      <c r="E14" s="24" t="s">
        <v>64</v>
      </c>
      <c r="F14" s="22" t="s">
        <v>65</v>
      </c>
      <c r="G14" s="22" t="s">
        <v>72</v>
      </c>
      <c r="H14" s="25">
        <v>0.8721</v>
      </c>
      <c r="I14" s="25">
        <v>153</v>
      </c>
      <c r="J14" s="44">
        <v>1785.59</v>
      </c>
      <c r="K14" s="45"/>
      <c r="L14" s="46"/>
      <c r="M14" s="47"/>
      <c r="N14" s="48"/>
      <c r="O14" s="49"/>
      <c r="P14" s="50">
        <f t="shared" si="11"/>
        <v>1785.59</v>
      </c>
      <c r="Q14" s="78"/>
      <c r="R14" s="78"/>
      <c r="S14" s="77">
        <f t="shared" si="7"/>
        <v>631.1759625</v>
      </c>
      <c r="T14" s="77">
        <f t="shared" si="8"/>
        <v>1.457433</v>
      </c>
      <c r="U14" s="77">
        <f t="shared" si="9"/>
        <v>30.78</v>
      </c>
      <c r="V14" s="77"/>
      <c r="W14" s="77"/>
      <c r="X14" s="77">
        <f t="shared" si="2"/>
        <v>663.4133955</v>
      </c>
      <c r="Y14" s="94">
        <f t="shared" si="10"/>
        <v>140.430159</v>
      </c>
      <c r="Z14" s="94"/>
      <c r="AA14" s="94"/>
      <c r="AB14" s="94">
        <f t="shared" si="3"/>
        <v>140.430159</v>
      </c>
      <c r="AC14" s="45">
        <v>7.33</v>
      </c>
      <c r="AD14" s="77">
        <f t="shared" si="4"/>
        <v>1029.35306547</v>
      </c>
      <c r="AE14" s="77">
        <f t="shared" si="5"/>
        <v>1692.76646097</v>
      </c>
      <c r="AF14" s="77">
        <f t="shared" si="6"/>
        <v>92.8235390300001</v>
      </c>
    </row>
    <row r="15" s="2" customFormat="1" spans="1:32">
      <c r="A15" s="21"/>
      <c r="B15" s="22"/>
      <c r="C15" s="23">
        <v>241029000017</v>
      </c>
      <c r="D15" s="24">
        <v>45601</v>
      </c>
      <c r="E15" s="24" t="s">
        <v>57</v>
      </c>
      <c r="F15" s="22" t="s">
        <v>58</v>
      </c>
      <c r="G15" s="22" t="s">
        <v>73</v>
      </c>
      <c r="H15" s="25">
        <v>0.2948</v>
      </c>
      <c r="I15" s="25">
        <v>65</v>
      </c>
      <c r="J15" s="44">
        <v>683.5</v>
      </c>
      <c r="K15" s="45"/>
      <c r="L15" s="46"/>
      <c r="M15" s="47"/>
      <c r="N15" s="48"/>
      <c r="O15" s="49"/>
      <c r="P15" s="50">
        <f t="shared" si="11"/>
        <v>683.5</v>
      </c>
      <c r="Q15" s="78"/>
      <c r="R15" s="78"/>
      <c r="S15" s="77">
        <f t="shared" si="7"/>
        <v>213.359332352941</v>
      </c>
      <c r="T15" s="77">
        <f t="shared" si="8"/>
        <v>0.492662823529412</v>
      </c>
      <c r="U15" s="77">
        <f t="shared" si="9"/>
        <v>10.4047058823529</v>
      </c>
      <c r="V15" s="77"/>
      <c r="W15" s="77"/>
      <c r="X15" s="77">
        <f t="shared" si="2"/>
        <v>224.256701058824</v>
      </c>
      <c r="Y15" s="94">
        <f t="shared" si="10"/>
        <v>47.4702567058823</v>
      </c>
      <c r="Z15" s="94"/>
      <c r="AA15" s="94"/>
      <c r="AB15" s="94">
        <f t="shared" si="3"/>
        <v>47.4702567058823</v>
      </c>
      <c r="AC15" s="45">
        <v>7.33</v>
      </c>
      <c r="AD15" s="77">
        <f t="shared" si="4"/>
        <v>347.956981654118</v>
      </c>
      <c r="AE15" s="77">
        <f t="shared" si="5"/>
        <v>572.213682712941</v>
      </c>
      <c r="AF15" s="77">
        <f t="shared" si="6"/>
        <v>111.286317287059</v>
      </c>
    </row>
    <row r="16" s="2" customFormat="1" spans="1:32">
      <c r="A16" s="21"/>
      <c r="B16" s="22"/>
      <c r="C16" s="23">
        <v>241030000002</v>
      </c>
      <c r="D16" s="24">
        <v>45601</v>
      </c>
      <c r="E16" s="24" t="s">
        <v>53</v>
      </c>
      <c r="F16" s="22" t="s">
        <v>54</v>
      </c>
      <c r="G16" s="22" t="s">
        <v>74</v>
      </c>
      <c r="H16" s="25">
        <v>7.4945</v>
      </c>
      <c r="I16" s="25">
        <v>520</v>
      </c>
      <c r="J16" s="44">
        <v>18324.8</v>
      </c>
      <c r="K16" s="45"/>
      <c r="L16" s="46"/>
      <c r="M16" s="47"/>
      <c r="N16" s="48"/>
      <c r="O16" s="49"/>
      <c r="P16" s="50">
        <f t="shared" si="11"/>
        <v>18324.8</v>
      </c>
      <c r="Q16" s="78"/>
      <c r="R16" s="78"/>
      <c r="S16" s="77">
        <f t="shared" si="7"/>
        <v>5424.08926838235</v>
      </c>
      <c r="T16" s="77">
        <f t="shared" si="8"/>
        <v>12.5246320588235</v>
      </c>
      <c r="U16" s="77">
        <f t="shared" si="9"/>
        <v>264.511764705882</v>
      </c>
      <c r="V16" s="77"/>
      <c r="W16" s="77"/>
      <c r="X16" s="77">
        <f t="shared" si="2"/>
        <v>5701.12566514706</v>
      </c>
      <c r="Y16" s="94">
        <f t="shared" si="10"/>
        <v>1206.80406676471</v>
      </c>
      <c r="Z16" s="94">
        <v>47.85</v>
      </c>
      <c r="AA16" s="94"/>
      <c r="AB16" s="94">
        <f t="shared" si="3"/>
        <v>1254.65406676471</v>
      </c>
      <c r="AC16" s="45">
        <v>7.33</v>
      </c>
      <c r="AD16" s="77">
        <f t="shared" si="4"/>
        <v>9196.61430938529</v>
      </c>
      <c r="AE16" s="77">
        <f t="shared" si="5"/>
        <v>14897.7399745324</v>
      </c>
      <c r="AF16" s="77">
        <f t="shared" si="6"/>
        <v>3427.06002546765</v>
      </c>
    </row>
    <row r="17" s="2" customFormat="1" spans="1:32">
      <c r="A17" s="21"/>
      <c r="B17" s="22"/>
      <c r="C17" s="23">
        <v>241030000039</v>
      </c>
      <c r="D17" s="24">
        <v>45601</v>
      </c>
      <c r="E17" s="24" t="s">
        <v>57</v>
      </c>
      <c r="F17" s="22" t="s">
        <v>58</v>
      </c>
      <c r="G17" s="22" t="s">
        <v>73</v>
      </c>
      <c r="H17" s="25">
        <v>1.069</v>
      </c>
      <c r="I17" s="25">
        <v>138</v>
      </c>
      <c r="J17" s="44">
        <v>2506</v>
      </c>
      <c r="K17" s="45"/>
      <c r="L17" s="46"/>
      <c r="M17" s="47"/>
      <c r="N17" s="48"/>
      <c r="O17" s="49"/>
      <c r="P17" s="50">
        <f t="shared" si="11"/>
        <v>2506</v>
      </c>
      <c r="Q17" s="78"/>
      <c r="R17" s="78"/>
      <c r="S17" s="77">
        <f t="shared" si="7"/>
        <v>773.680889705882</v>
      </c>
      <c r="T17" s="77">
        <f t="shared" si="8"/>
        <v>1.78648764705882</v>
      </c>
      <c r="U17" s="77">
        <f t="shared" si="9"/>
        <v>37.7294117647059</v>
      </c>
      <c r="V17" s="77"/>
      <c r="W17" s="77"/>
      <c r="X17" s="77">
        <f t="shared" si="2"/>
        <v>813.196789117647</v>
      </c>
      <c r="Y17" s="94">
        <f t="shared" si="10"/>
        <v>172.136039411765</v>
      </c>
      <c r="Z17" s="94"/>
      <c r="AA17" s="94"/>
      <c r="AB17" s="94">
        <f t="shared" si="3"/>
        <v>172.136039411765</v>
      </c>
      <c r="AC17" s="45">
        <v>7.33</v>
      </c>
      <c r="AD17" s="77">
        <f t="shared" si="4"/>
        <v>1261.75716888824</v>
      </c>
      <c r="AE17" s="77">
        <f t="shared" si="5"/>
        <v>2074.95395800588</v>
      </c>
      <c r="AF17" s="77">
        <f t="shared" si="6"/>
        <v>431.046041994118</v>
      </c>
    </row>
    <row r="18" s="2" customFormat="1" spans="1:32">
      <c r="A18" s="21"/>
      <c r="B18" s="22"/>
      <c r="C18" s="23">
        <v>241030000041</v>
      </c>
      <c r="D18" s="24">
        <v>45601</v>
      </c>
      <c r="E18" s="24" t="s">
        <v>53</v>
      </c>
      <c r="F18" s="22" t="s">
        <v>54</v>
      </c>
      <c r="G18" s="22" t="s">
        <v>75</v>
      </c>
      <c r="H18" s="25">
        <v>1.5338</v>
      </c>
      <c r="I18" s="25">
        <v>336</v>
      </c>
      <c r="J18" s="50"/>
      <c r="K18" s="51">
        <v>755361</v>
      </c>
      <c r="L18" s="46"/>
      <c r="M18" s="47">
        <f>SUM(K18/N18)</f>
        <v>1700</v>
      </c>
      <c r="N18" s="52">
        <v>444.33</v>
      </c>
      <c r="O18" s="49">
        <v>7.27</v>
      </c>
      <c r="P18" s="50">
        <f>SUM(N18*O18)</f>
        <v>3230.2791</v>
      </c>
      <c r="Q18" s="78"/>
      <c r="R18" s="78"/>
      <c r="S18" s="77">
        <f t="shared" si="7"/>
        <v>1110.07647205882</v>
      </c>
      <c r="T18" s="77">
        <f t="shared" si="8"/>
        <v>2.56325047058824</v>
      </c>
      <c r="U18" s="77">
        <f t="shared" si="9"/>
        <v>54.1341176470588</v>
      </c>
      <c r="V18" s="77"/>
      <c r="W18" s="77"/>
      <c r="X18" s="77">
        <f t="shared" si="2"/>
        <v>1166.77384017647</v>
      </c>
      <c r="Y18" s="94">
        <f t="shared" si="10"/>
        <v>246.980596117647</v>
      </c>
      <c r="Z18" s="94">
        <v>29.9</v>
      </c>
      <c r="AA18" s="94"/>
      <c r="AB18" s="94">
        <f t="shared" si="3"/>
        <v>276.880596117647</v>
      </c>
      <c r="AC18" s="45">
        <v>7.33</v>
      </c>
      <c r="AD18" s="77">
        <f t="shared" si="4"/>
        <v>2029.53476954235</v>
      </c>
      <c r="AE18" s="77">
        <f t="shared" si="5"/>
        <v>3196.30860971882</v>
      </c>
      <c r="AF18" s="77">
        <f t="shared" si="6"/>
        <v>33.9704902811768</v>
      </c>
    </row>
    <row r="19" s="2" customFormat="1" spans="1:32">
      <c r="A19" s="21"/>
      <c r="B19" s="22"/>
      <c r="C19" s="23">
        <v>241101000029</v>
      </c>
      <c r="D19" s="24">
        <v>45601</v>
      </c>
      <c r="E19" s="24" t="s">
        <v>53</v>
      </c>
      <c r="F19" s="22" t="s">
        <v>54</v>
      </c>
      <c r="G19" s="22" t="s">
        <v>76</v>
      </c>
      <c r="H19" s="25">
        <v>0.8656</v>
      </c>
      <c r="I19" s="25">
        <v>346</v>
      </c>
      <c r="J19" s="107">
        <v>2978.64</v>
      </c>
      <c r="K19" s="45"/>
      <c r="L19" s="46"/>
      <c r="M19" s="47"/>
      <c r="N19" s="46"/>
      <c r="O19" s="49"/>
      <c r="P19" s="50">
        <f>SUM(J19)</f>
        <v>2978.64</v>
      </c>
      <c r="Q19" s="78"/>
      <c r="R19" s="78"/>
      <c r="S19" s="77">
        <f t="shared" si="7"/>
        <v>626.471635294118</v>
      </c>
      <c r="T19" s="77">
        <f t="shared" si="8"/>
        <v>1.44657035294118</v>
      </c>
      <c r="U19" s="77">
        <f t="shared" si="9"/>
        <v>30.5505882352941</v>
      </c>
      <c r="V19" s="77"/>
      <c r="W19" s="77"/>
      <c r="X19" s="77">
        <f t="shared" si="2"/>
        <v>658.468793882353</v>
      </c>
      <c r="Y19" s="94">
        <f t="shared" si="10"/>
        <v>139.383494588235</v>
      </c>
      <c r="Z19" s="94">
        <v>12.36</v>
      </c>
      <c r="AA19" s="94">
        <v>83.19</v>
      </c>
      <c r="AB19" s="94">
        <f t="shared" si="3"/>
        <v>234.933494588235</v>
      </c>
      <c r="AC19" s="45">
        <v>7.33</v>
      </c>
      <c r="AD19" s="77">
        <f t="shared" si="4"/>
        <v>1722.06251533176</v>
      </c>
      <c r="AE19" s="77">
        <f t="shared" si="5"/>
        <v>2380.53130921412</v>
      </c>
      <c r="AF19" s="77">
        <f t="shared" si="6"/>
        <v>598.108690785882</v>
      </c>
    </row>
    <row r="20" s="2" customFormat="1" spans="1:32">
      <c r="A20" s="21"/>
      <c r="B20" s="22"/>
      <c r="C20" s="23">
        <v>241101000033</v>
      </c>
      <c r="D20" s="24">
        <v>45601</v>
      </c>
      <c r="E20" s="24" t="s">
        <v>64</v>
      </c>
      <c r="F20" s="22" t="s">
        <v>65</v>
      </c>
      <c r="G20" s="22" t="s">
        <v>72</v>
      </c>
      <c r="H20" s="25">
        <v>0.8844</v>
      </c>
      <c r="I20" s="25">
        <v>155</v>
      </c>
      <c r="J20" s="44">
        <v>1806.11</v>
      </c>
      <c r="K20" s="45"/>
      <c r="L20" s="46"/>
      <c r="M20" s="47"/>
      <c r="N20" s="48"/>
      <c r="O20" s="49"/>
      <c r="P20" s="50">
        <f>SUBTOTAL(9,J20)</f>
        <v>1806.11</v>
      </c>
      <c r="Q20" s="78"/>
      <c r="R20" s="78"/>
      <c r="S20" s="77">
        <f t="shared" si="7"/>
        <v>640.077997058823</v>
      </c>
      <c r="T20" s="77">
        <f t="shared" si="8"/>
        <v>1.47798847058824</v>
      </c>
      <c r="U20" s="77">
        <f t="shared" si="9"/>
        <v>31.2141176470588</v>
      </c>
      <c r="V20" s="77"/>
      <c r="W20" s="77"/>
      <c r="X20" s="77">
        <f t="shared" si="2"/>
        <v>672.770103176471</v>
      </c>
      <c r="Y20" s="94">
        <f t="shared" si="10"/>
        <v>142.410770117647</v>
      </c>
      <c r="Z20" s="94"/>
      <c r="AA20" s="94"/>
      <c r="AB20" s="94">
        <f t="shared" si="3"/>
        <v>142.410770117647</v>
      </c>
      <c r="AC20" s="45">
        <v>7.33</v>
      </c>
      <c r="AD20" s="77">
        <f t="shared" si="4"/>
        <v>1043.87094496235</v>
      </c>
      <c r="AE20" s="77">
        <f t="shared" si="5"/>
        <v>1716.64104813882</v>
      </c>
      <c r="AF20" s="77">
        <f t="shared" si="6"/>
        <v>89.4689518611765</v>
      </c>
    </row>
    <row r="21" s="2" customFormat="1" spans="1:32">
      <c r="A21" s="21"/>
      <c r="B21" s="22"/>
      <c r="C21" s="23">
        <v>241209000060</v>
      </c>
      <c r="D21" s="24">
        <v>45601</v>
      </c>
      <c r="E21" s="24" t="s">
        <v>77</v>
      </c>
      <c r="F21" s="22" t="s">
        <v>78</v>
      </c>
      <c r="G21" s="22" t="s">
        <v>79</v>
      </c>
      <c r="H21" s="25">
        <v>17.902</v>
      </c>
      <c r="I21" s="25">
        <v>17472</v>
      </c>
      <c r="J21" s="44">
        <v>41296.32</v>
      </c>
      <c r="K21" s="45"/>
      <c r="L21" s="46"/>
      <c r="M21" s="47"/>
      <c r="N21" s="48"/>
      <c r="O21" s="49"/>
      <c r="P21" s="50">
        <f>SUBTOTAL(9,J21)</f>
        <v>41296.32</v>
      </c>
      <c r="Q21" s="81"/>
      <c r="R21" s="81"/>
      <c r="S21" s="77">
        <f t="shared" si="7"/>
        <v>12956.4408676471</v>
      </c>
      <c r="T21" s="77">
        <f t="shared" si="8"/>
        <v>29.9174011764706</v>
      </c>
      <c r="U21" s="77">
        <f t="shared" si="9"/>
        <v>631.835294117647</v>
      </c>
      <c r="V21" s="77"/>
      <c r="W21" s="77"/>
      <c r="X21" s="77">
        <f t="shared" si="2"/>
        <v>13618.1935629412</v>
      </c>
      <c r="Y21" s="94">
        <f t="shared" si="10"/>
        <v>2882.67481529412</v>
      </c>
      <c r="Z21" s="94"/>
      <c r="AA21" s="94"/>
      <c r="AB21" s="94">
        <f t="shared" si="3"/>
        <v>2882.67481529412</v>
      </c>
      <c r="AC21" s="45">
        <v>7.33</v>
      </c>
      <c r="AD21" s="77">
        <f t="shared" si="4"/>
        <v>21130.0063961059</v>
      </c>
      <c r="AE21" s="77">
        <f t="shared" si="5"/>
        <v>34748.1999590471</v>
      </c>
      <c r="AF21" s="77">
        <f t="shared" si="6"/>
        <v>6548.12004095294</v>
      </c>
    </row>
    <row r="22" ht="15.75" spans="1:32">
      <c r="A22" s="27" t="s">
        <v>20</v>
      </c>
      <c r="B22" s="28"/>
      <c r="C22" s="28"/>
      <c r="D22" s="28"/>
      <c r="E22" s="28"/>
      <c r="F22" s="28"/>
      <c r="G22" s="28"/>
      <c r="H22" s="28"/>
      <c r="I22" s="54"/>
      <c r="J22" s="28">
        <f>SUM(J4:J4)</f>
        <v>0</v>
      </c>
      <c r="K22" s="55"/>
      <c r="L22" s="56"/>
      <c r="M22" s="55"/>
      <c r="N22" s="55">
        <f t="shared" ref="N22:Q22" si="12">SUM(N4:N4)</f>
        <v>0</v>
      </c>
      <c r="O22" s="28"/>
      <c r="P22" s="28">
        <f t="shared" si="12"/>
        <v>0</v>
      </c>
      <c r="Q22" s="28">
        <f t="shared" si="12"/>
        <v>0</v>
      </c>
      <c r="R22" s="28"/>
      <c r="S22" s="28"/>
      <c r="T22" s="28"/>
      <c r="U22" s="28"/>
      <c r="V22" s="28"/>
      <c r="W22" s="28"/>
      <c r="X22" s="82">
        <f>SUM(X4:X4)</f>
        <v>0</v>
      </c>
      <c r="Y22" s="56"/>
      <c r="Z22" s="56"/>
      <c r="AA22" s="56"/>
      <c r="AB22" s="56"/>
      <c r="AC22" s="55"/>
      <c r="AD22" s="28">
        <f>SUM(AD4:AD4)</f>
        <v>0</v>
      </c>
      <c r="AE22" s="28"/>
      <c r="AF22" s="96">
        <f>SUM(AF4:AF21)</f>
        <v>18752.5293817253</v>
      </c>
    </row>
    <row r="23" customFormat="1" spans="4:32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  <c r="AF23" s="8"/>
    </row>
    <row r="24" customFormat="1" spans="4:32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  <c r="AF24" s="8"/>
    </row>
    <row r="25" customFormat="1" spans="4:32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  <c r="AF25" s="8"/>
    </row>
    <row r="26" customFormat="1" spans="4:32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  <c r="AF26" s="8"/>
    </row>
    <row r="27" customFormat="1" spans="4:32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  <c r="AF27" s="8"/>
    </row>
    <row r="28" customFormat="1" spans="4:32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  <c r="AF28" s="8"/>
    </row>
    <row r="29" customFormat="1" spans="4:32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  <c r="AF29" s="8"/>
    </row>
    <row r="30" customFormat="1" spans="4:32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  <c r="AF30" s="8"/>
    </row>
    <row r="31" customFormat="1" spans="4:32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  <c r="AF31" s="8"/>
    </row>
    <row r="32" customFormat="1" spans="4:32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  <c r="AF32" s="8"/>
    </row>
    <row r="33" customFormat="1" spans="4:32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  <c r="AF33" s="8"/>
    </row>
    <row r="34" customFormat="1" spans="4:32">
      <c r="D34" s="3"/>
      <c r="E34" s="3"/>
      <c r="K34" s="4"/>
      <c r="L34" s="5"/>
      <c r="M34" s="4"/>
      <c r="X34" s="7"/>
      <c r="Y34" s="5"/>
      <c r="Z34" s="5"/>
      <c r="AA34" s="5"/>
      <c r="AB34" s="5"/>
      <c r="AC34" s="4"/>
      <c r="AF34" s="8"/>
    </row>
    <row r="35" customFormat="1" spans="4:32">
      <c r="D35" s="3"/>
      <c r="E35" s="3"/>
      <c r="K35" s="4"/>
      <c r="L35" s="5"/>
      <c r="M35" s="4"/>
      <c r="X35" s="7"/>
      <c r="Y35" s="5"/>
      <c r="Z35" s="5"/>
      <c r="AA35" s="5"/>
      <c r="AB35" s="5"/>
      <c r="AC35" s="4"/>
      <c r="AF35" s="8"/>
    </row>
    <row r="36" customFormat="1" spans="4:32">
      <c r="D36" s="3"/>
      <c r="E36" s="3"/>
      <c r="K36" s="4"/>
      <c r="L36" s="5"/>
      <c r="M36" s="4"/>
      <c r="X36" s="7"/>
      <c r="Y36" s="5"/>
      <c r="Z36" s="5"/>
      <c r="AA36" s="5"/>
      <c r="AB36" s="5"/>
      <c r="AC36" s="4"/>
      <c r="AF36" s="8"/>
    </row>
    <row r="37" customFormat="1" spans="4:32">
      <c r="D37" s="3"/>
      <c r="E37" s="3"/>
      <c r="K37" s="4"/>
      <c r="L37" s="5"/>
      <c r="M37" s="4"/>
      <c r="X37" s="7"/>
      <c r="Y37" s="5"/>
      <c r="Z37" s="5"/>
      <c r="AA37" s="5"/>
      <c r="AB37" s="5"/>
      <c r="AC37" s="4"/>
      <c r="AF37" s="8"/>
    </row>
    <row r="38" customFormat="1" spans="4:32">
      <c r="D38" s="3"/>
      <c r="E38" s="3"/>
      <c r="K38" s="4"/>
      <c r="L38" s="5"/>
      <c r="M38" s="4"/>
      <c r="X38" s="7"/>
      <c r="Y38" s="5"/>
      <c r="Z38" s="5"/>
      <c r="AA38" s="5"/>
      <c r="AB38" s="5"/>
      <c r="AC38" s="4"/>
      <c r="AF38" s="8"/>
    </row>
  </sheetData>
  <autoFilter xmlns:etc="http://www.wps.cn/officeDocument/2017/etCustomData" ref="A3:AF22" etc:filterBottomFollowUsedRange="0">
    <extLst/>
  </autoFilter>
  <mergeCells count="21">
    <mergeCell ref="A1:AF1"/>
    <mergeCell ref="J3:P3"/>
    <mergeCell ref="R3:V3"/>
    <mergeCell ref="Y3:AD3"/>
    <mergeCell ref="A3:A4"/>
    <mergeCell ref="A5:A21"/>
    <mergeCell ref="B3:B4"/>
    <mergeCell ref="B5:B21"/>
    <mergeCell ref="C3:C4"/>
    <mergeCell ref="D3:D4"/>
    <mergeCell ref="E3:E4"/>
    <mergeCell ref="F3:F4"/>
    <mergeCell ref="G3:G4"/>
    <mergeCell ref="H3:H4"/>
    <mergeCell ref="I3:I4"/>
    <mergeCell ref="Q3:Q4"/>
    <mergeCell ref="Q5:Q21"/>
    <mergeCell ref="R5:R21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5"/>
  <sheetViews>
    <sheetView zoomScale="110" zoomScaleNormal="110" workbookViewId="0">
      <pane xSplit="2" ySplit="4" topLeftCell="C5" activePane="bottomRight" state="frozen"/>
      <selection/>
      <selection pane="topRight"/>
      <selection pane="bottomLeft"/>
      <selection pane="bottomRight" activeCell="AA5" sqref="AA5:AA18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9"/>
      <c r="L1" s="30"/>
      <c r="M1" s="29"/>
      <c r="N1" s="9"/>
      <c r="O1" s="31"/>
      <c r="P1" s="9"/>
      <c r="Q1" s="9"/>
      <c r="R1" s="9"/>
      <c r="S1" s="9"/>
      <c r="T1" s="57"/>
      <c r="U1" s="57"/>
      <c r="V1" s="58"/>
      <c r="W1" s="57"/>
      <c r="X1" s="59"/>
      <c r="Y1" s="30"/>
      <c r="Z1" s="30"/>
      <c r="AA1" s="30"/>
      <c r="AB1" s="30"/>
      <c r="AC1" s="29"/>
      <c r="AD1" s="30"/>
      <c r="AE1" s="9"/>
      <c r="AF1" s="83"/>
    </row>
    <row r="2" customFormat="1" ht="31" customHeight="1" spans="1:32">
      <c r="A2" s="10" t="s">
        <v>136</v>
      </c>
      <c r="B2" s="10" t="s">
        <v>137</v>
      </c>
      <c r="C2" s="10">
        <v>68.6834</v>
      </c>
      <c r="D2" s="9"/>
      <c r="E2" s="9"/>
      <c r="F2" s="9"/>
      <c r="G2" s="9"/>
      <c r="H2" s="9"/>
      <c r="I2" s="9"/>
      <c r="J2" s="9"/>
      <c r="K2" s="29"/>
      <c r="L2" s="30"/>
      <c r="M2" s="29"/>
      <c r="N2" s="9"/>
      <c r="O2" s="31"/>
      <c r="P2" s="9"/>
      <c r="Q2" s="9"/>
      <c r="R2" s="9"/>
      <c r="S2" s="9"/>
      <c r="T2" s="57"/>
      <c r="U2" s="57"/>
      <c r="V2" s="58"/>
      <c r="W2" s="57"/>
      <c r="X2" s="59"/>
      <c r="Y2" s="30"/>
      <c r="Z2" s="30"/>
      <c r="AA2" s="30"/>
      <c r="AB2" s="30"/>
      <c r="AC2" s="29"/>
      <c r="AD2" s="30"/>
      <c r="AE2" s="9"/>
      <c r="AF2" s="9"/>
    </row>
    <row r="3" s="1" customFormat="1" ht="23" customHeight="1" spans="1:32">
      <c r="A3" s="11" t="s">
        <v>1</v>
      </c>
      <c r="B3" s="12" t="s">
        <v>2</v>
      </c>
      <c r="C3" s="13" t="s">
        <v>21</v>
      </c>
      <c r="D3" s="14" t="s">
        <v>22</v>
      </c>
      <c r="E3" s="15" t="s">
        <v>23</v>
      </c>
      <c r="F3" s="16" t="s">
        <v>24</v>
      </c>
      <c r="G3" s="16" t="s">
        <v>25</v>
      </c>
      <c r="H3" s="16" t="s">
        <v>26</v>
      </c>
      <c r="I3" s="16" t="s">
        <v>27</v>
      </c>
      <c r="J3" s="32" t="s">
        <v>28</v>
      </c>
      <c r="K3" s="33"/>
      <c r="L3" s="34"/>
      <c r="M3" s="33"/>
      <c r="N3" s="34"/>
      <c r="O3" s="35"/>
      <c r="P3" s="36"/>
      <c r="Q3" s="60" t="s">
        <v>29</v>
      </c>
      <c r="R3" s="61" t="s">
        <v>30</v>
      </c>
      <c r="S3" s="62"/>
      <c r="T3" s="63"/>
      <c r="U3" s="64"/>
      <c r="V3" s="65"/>
      <c r="W3" s="66" t="s">
        <v>31</v>
      </c>
      <c r="X3" s="67" t="s">
        <v>32</v>
      </c>
      <c r="Y3" s="84" t="s">
        <v>33</v>
      </c>
      <c r="Z3" s="84"/>
      <c r="AA3" s="84"/>
      <c r="AB3" s="84"/>
      <c r="AC3" s="85"/>
      <c r="AD3" s="84"/>
      <c r="AE3" s="86" t="s">
        <v>34</v>
      </c>
      <c r="AF3" s="87" t="s">
        <v>3</v>
      </c>
    </row>
    <row r="4" s="1" customFormat="1" ht="27" customHeight="1" spans="1:32">
      <c r="A4" s="17"/>
      <c r="B4" s="18"/>
      <c r="C4" s="13"/>
      <c r="D4" s="14"/>
      <c r="E4" s="19"/>
      <c r="F4" s="20"/>
      <c r="G4" s="20"/>
      <c r="H4" s="20"/>
      <c r="I4" s="37"/>
      <c r="J4" s="38" t="s">
        <v>35</v>
      </c>
      <c r="K4" s="39" t="s">
        <v>36</v>
      </c>
      <c r="L4" s="40" t="s">
        <v>37</v>
      </c>
      <c r="M4" s="39" t="s">
        <v>38</v>
      </c>
      <c r="N4" s="41" t="s">
        <v>39</v>
      </c>
      <c r="O4" s="42" t="s">
        <v>40</v>
      </c>
      <c r="P4" s="43" t="s">
        <v>41</v>
      </c>
      <c r="Q4" s="68"/>
      <c r="R4" s="69" t="s">
        <v>42</v>
      </c>
      <c r="S4" s="70" t="s">
        <v>43</v>
      </c>
      <c r="T4" s="71" t="s">
        <v>44</v>
      </c>
      <c r="U4" s="72" t="s">
        <v>45</v>
      </c>
      <c r="V4" s="71" t="s">
        <v>46</v>
      </c>
      <c r="W4" s="73"/>
      <c r="X4" s="74"/>
      <c r="Y4" s="88" t="s">
        <v>47</v>
      </c>
      <c r="Z4" s="88" t="s">
        <v>48</v>
      </c>
      <c r="AA4" s="88" t="s">
        <v>49</v>
      </c>
      <c r="AB4" s="89" t="s">
        <v>50</v>
      </c>
      <c r="AC4" s="90" t="s">
        <v>51</v>
      </c>
      <c r="AD4" s="91" t="s">
        <v>41</v>
      </c>
      <c r="AE4" s="92" t="s">
        <v>52</v>
      </c>
      <c r="AF4" s="93"/>
    </row>
    <row r="5" s="2" customFormat="1" spans="1:32">
      <c r="A5" s="21" t="s">
        <v>6</v>
      </c>
      <c r="B5" s="22" t="s">
        <v>7</v>
      </c>
      <c r="C5" s="23">
        <v>241028000047</v>
      </c>
      <c r="D5" s="24">
        <v>45602</v>
      </c>
      <c r="E5" s="24" t="s">
        <v>70</v>
      </c>
      <c r="F5" s="22" t="s">
        <v>70</v>
      </c>
      <c r="G5" s="22" t="s">
        <v>80</v>
      </c>
      <c r="H5" s="25">
        <v>3.0981</v>
      </c>
      <c r="I5" s="25">
        <v>231</v>
      </c>
      <c r="J5" s="44">
        <v>8037.16</v>
      </c>
      <c r="K5" s="45"/>
      <c r="L5" s="46"/>
      <c r="M5" s="47"/>
      <c r="N5" s="48"/>
      <c r="O5" s="49"/>
      <c r="P5" s="50">
        <f>SUBTOTAL(9,J5)</f>
        <v>8037.16</v>
      </c>
      <c r="Q5" s="75">
        <f>SUM(P5:P18)</f>
        <v>134933.061</v>
      </c>
      <c r="R5" s="76" t="s">
        <v>81</v>
      </c>
      <c r="S5" s="77">
        <f>SUM(48788.5/68)*H5</f>
        <v>2222.81840955882</v>
      </c>
      <c r="T5" s="77"/>
      <c r="U5" s="77">
        <f>SUM(1800/68)*H5</f>
        <v>82.0085294117647</v>
      </c>
      <c r="V5" s="77"/>
      <c r="W5" s="77"/>
      <c r="X5" s="77">
        <f t="shared" ref="X5:X51" si="0">SUM(S5:W5)</f>
        <v>2304.82693897059</v>
      </c>
      <c r="Y5" s="94">
        <f>SUM(10716.46/68)*H5</f>
        <v>488.2450695</v>
      </c>
      <c r="Z5" s="94"/>
      <c r="AA5" s="94">
        <f>SUM(50.64/68)*H5</f>
        <v>2.30717329411765</v>
      </c>
      <c r="AB5" s="94">
        <f t="shared" ref="AB5:AB51" si="1">SUM(Y5:AA5)</f>
        <v>490.552242794118</v>
      </c>
      <c r="AC5" s="45">
        <v>7.33</v>
      </c>
      <c r="AD5" s="77">
        <f t="shared" ref="AD5:AD51" si="2">SUM(AB5*AC5)</f>
        <v>3595.74793968088</v>
      </c>
      <c r="AE5" s="77">
        <f t="shared" ref="AE5:AE51" si="3">SUM(X5+AD5)</f>
        <v>5900.57487865147</v>
      </c>
      <c r="AF5" s="77">
        <f t="shared" ref="AF5:AF51" si="4">SUM(P5-AE5)</f>
        <v>2136.58512134853</v>
      </c>
    </row>
    <row r="6" s="2" customFormat="1" spans="1:32">
      <c r="A6" s="21"/>
      <c r="B6" s="22"/>
      <c r="C6" s="23">
        <v>241029000048</v>
      </c>
      <c r="D6" s="24">
        <v>45602</v>
      </c>
      <c r="E6" s="24" t="s">
        <v>57</v>
      </c>
      <c r="F6" s="22" t="s">
        <v>58</v>
      </c>
      <c r="G6" s="22" t="s">
        <v>82</v>
      </c>
      <c r="H6" s="25">
        <v>0.4438</v>
      </c>
      <c r="I6" s="25">
        <v>310</v>
      </c>
      <c r="J6" s="44">
        <v>964.05</v>
      </c>
      <c r="K6" s="45"/>
      <c r="L6" s="99"/>
      <c r="M6" s="47"/>
      <c r="N6" s="52"/>
      <c r="O6" s="49"/>
      <c r="P6" s="50">
        <f>SUBTOTAL(9,J6)</f>
        <v>964.05</v>
      </c>
      <c r="Q6" s="78"/>
      <c r="R6" s="78"/>
      <c r="S6" s="77">
        <f t="shared" ref="S6:S18" si="5">SUM(48788.5/68)*H6</f>
        <v>318.416710294118</v>
      </c>
      <c r="T6" s="77"/>
      <c r="U6" s="77">
        <f t="shared" ref="U6:U18" si="6">SUM(1800/68)*H6</f>
        <v>11.7476470588235</v>
      </c>
      <c r="V6" s="77"/>
      <c r="W6" s="77"/>
      <c r="X6" s="77">
        <f t="shared" si="0"/>
        <v>330.164357352941</v>
      </c>
      <c r="Y6" s="94">
        <f t="shared" ref="Y6:Y18" si="7">SUM(10716.46/68)*H6</f>
        <v>69.940661</v>
      </c>
      <c r="Z6" s="94"/>
      <c r="AA6" s="94">
        <f t="shared" ref="AA6:AA18" si="8">SUM(50.64/68)*H6</f>
        <v>0.330500470588235</v>
      </c>
      <c r="AB6" s="94">
        <f t="shared" si="1"/>
        <v>70.2711614705882</v>
      </c>
      <c r="AC6" s="45">
        <v>7.33</v>
      </c>
      <c r="AD6" s="77">
        <f t="shared" si="2"/>
        <v>515.087613579412</v>
      </c>
      <c r="AE6" s="77">
        <f t="shared" si="3"/>
        <v>845.251970932353</v>
      </c>
      <c r="AF6" s="77">
        <f t="shared" si="4"/>
        <v>118.798029067647</v>
      </c>
    </row>
    <row r="7" s="2" customFormat="1" spans="1:32">
      <c r="A7" s="21"/>
      <c r="B7" s="22"/>
      <c r="C7" s="23">
        <v>241030000021</v>
      </c>
      <c r="D7" s="24">
        <v>45602</v>
      </c>
      <c r="E7" s="24" t="s">
        <v>53</v>
      </c>
      <c r="F7" s="22" t="s">
        <v>54</v>
      </c>
      <c r="G7" s="22" t="s">
        <v>83</v>
      </c>
      <c r="H7" s="25">
        <v>0.6626</v>
      </c>
      <c r="I7" s="25">
        <v>405</v>
      </c>
      <c r="J7" s="44">
        <v>1624.5</v>
      </c>
      <c r="K7" s="100"/>
      <c r="L7" s="46"/>
      <c r="M7" s="47"/>
      <c r="N7" s="48"/>
      <c r="O7" s="49"/>
      <c r="P7" s="50">
        <f>SUBTOTAL(9,J7)</f>
        <v>1624.5</v>
      </c>
      <c r="Q7" s="78"/>
      <c r="R7" s="78"/>
      <c r="S7" s="77">
        <f t="shared" si="5"/>
        <v>475.400883823529</v>
      </c>
      <c r="T7" s="77"/>
      <c r="U7" s="77">
        <f t="shared" si="6"/>
        <v>17.5394117647059</v>
      </c>
      <c r="V7" s="77"/>
      <c r="W7" s="77"/>
      <c r="X7" s="77">
        <f t="shared" si="0"/>
        <v>492.940295588235</v>
      </c>
      <c r="Y7" s="94">
        <f t="shared" si="7"/>
        <v>104.422447</v>
      </c>
      <c r="Z7" s="95">
        <v>35.38</v>
      </c>
      <c r="AA7" s="94">
        <f t="shared" si="8"/>
        <v>0.493442117647059</v>
      </c>
      <c r="AB7" s="94">
        <f t="shared" si="1"/>
        <v>140.295889117647</v>
      </c>
      <c r="AC7" s="45">
        <v>7.33</v>
      </c>
      <c r="AD7" s="77">
        <f t="shared" si="2"/>
        <v>1028.36886723235</v>
      </c>
      <c r="AE7" s="77">
        <f t="shared" si="3"/>
        <v>1521.30916282059</v>
      </c>
      <c r="AF7" s="77">
        <f t="shared" si="4"/>
        <v>103.190837179412</v>
      </c>
    </row>
    <row r="8" s="2" customFormat="1" spans="1:32">
      <c r="A8" s="21"/>
      <c r="B8" s="22"/>
      <c r="C8" s="23">
        <v>241030000025</v>
      </c>
      <c r="D8" s="24">
        <v>45602</v>
      </c>
      <c r="E8" s="24" t="s">
        <v>57</v>
      </c>
      <c r="F8" s="22" t="s">
        <v>58</v>
      </c>
      <c r="G8" s="22" t="s">
        <v>84</v>
      </c>
      <c r="H8" s="25">
        <v>0.4092</v>
      </c>
      <c r="I8" s="25">
        <v>180</v>
      </c>
      <c r="J8" s="44">
        <v>876.05</v>
      </c>
      <c r="K8" s="100"/>
      <c r="L8" s="46"/>
      <c r="M8" s="47"/>
      <c r="N8" s="48"/>
      <c r="O8" s="49"/>
      <c r="P8" s="50">
        <f>SUBTOTAL(9,J8)</f>
        <v>876.05</v>
      </c>
      <c r="Q8" s="78"/>
      <c r="R8" s="78"/>
      <c r="S8" s="77">
        <f t="shared" si="5"/>
        <v>293.591973529412</v>
      </c>
      <c r="T8" s="77"/>
      <c r="U8" s="77">
        <f t="shared" si="6"/>
        <v>10.8317647058824</v>
      </c>
      <c r="V8" s="77"/>
      <c r="W8" s="77"/>
      <c r="X8" s="77">
        <f t="shared" si="0"/>
        <v>304.423738235294</v>
      </c>
      <c r="Y8" s="94">
        <f t="shared" si="7"/>
        <v>64.487874</v>
      </c>
      <c r="Z8" s="94"/>
      <c r="AA8" s="94">
        <f t="shared" si="8"/>
        <v>0.304733647058824</v>
      </c>
      <c r="AB8" s="94">
        <f t="shared" si="1"/>
        <v>64.7926076470588</v>
      </c>
      <c r="AC8" s="45">
        <v>7.33</v>
      </c>
      <c r="AD8" s="77">
        <f t="shared" si="2"/>
        <v>474.929814052941</v>
      </c>
      <c r="AE8" s="77">
        <f t="shared" si="3"/>
        <v>779.353552288235</v>
      </c>
      <c r="AF8" s="77">
        <f t="shared" si="4"/>
        <v>96.6964477117646</v>
      </c>
    </row>
    <row r="9" s="2" customFormat="1" spans="1:32">
      <c r="A9" s="21"/>
      <c r="B9" s="22"/>
      <c r="C9" s="23">
        <v>241031000033</v>
      </c>
      <c r="D9" s="24">
        <v>45602</v>
      </c>
      <c r="E9" s="24" t="s">
        <v>57</v>
      </c>
      <c r="F9" s="22" t="s">
        <v>58</v>
      </c>
      <c r="G9" s="22" t="s">
        <v>67</v>
      </c>
      <c r="H9" s="25">
        <v>0.5837</v>
      </c>
      <c r="I9" s="25">
        <v>247</v>
      </c>
      <c r="J9" s="50"/>
      <c r="K9" s="51">
        <v>280840</v>
      </c>
      <c r="L9" s="46"/>
      <c r="M9" s="47">
        <f>SUM(K9/N9)</f>
        <v>1652.97233666863</v>
      </c>
      <c r="N9" s="52">
        <v>169.9</v>
      </c>
      <c r="O9" s="49">
        <v>7.29</v>
      </c>
      <c r="P9" s="50">
        <f>SUM(N9*O9)</f>
        <v>1238.571</v>
      </c>
      <c r="Q9" s="78"/>
      <c r="R9" s="78"/>
      <c r="S9" s="77">
        <f t="shared" si="5"/>
        <v>418.791874264706</v>
      </c>
      <c r="T9" s="77"/>
      <c r="U9" s="77">
        <f t="shared" si="6"/>
        <v>15.4508823529412</v>
      </c>
      <c r="V9" s="77"/>
      <c r="W9" s="77"/>
      <c r="X9" s="77">
        <f t="shared" si="0"/>
        <v>434.242756617647</v>
      </c>
      <c r="Y9" s="94">
        <f t="shared" si="7"/>
        <v>91.9882015</v>
      </c>
      <c r="Z9" s="94"/>
      <c r="AA9" s="94">
        <f t="shared" si="8"/>
        <v>0.434684823529412</v>
      </c>
      <c r="AB9" s="94">
        <f t="shared" si="1"/>
        <v>92.4228863235294</v>
      </c>
      <c r="AC9" s="45">
        <v>7.33</v>
      </c>
      <c r="AD9" s="77">
        <f t="shared" si="2"/>
        <v>677.459756751471</v>
      </c>
      <c r="AE9" s="77">
        <f t="shared" si="3"/>
        <v>1111.70251336912</v>
      </c>
      <c r="AF9" s="77">
        <f t="shared" si="4"/>
        <v>126.868486630882</v>
      </c>
    </row>
    <row r="10" s="2" customFormat="1" spans="1:32">
      <c r="A10" s="21"/>
      <c r="B10" s="22"/>
      <c r="C10" s="23">
        <v>241101000057</v>
      </c>
      <c r="D10" s="24">
        <v>45602</v>
      </c>
      <c r="E10" s="24" t="s">
        <v>77</v>
      </c>
      <c r="F10" s="22" t="s">
        <v>78</v>
      </c>
      <c r="G10" s="22" t="s">
        <v>85</v>
      </c>
      <c r="H10" s="25">
        <v>1.1063</v>
      </c>
      <c r="I10" s="25">
        <v>567</v>
      </c>
      <c r="J10" s="44">
        <v>2422.8</v>
      </c>
      <c r="K10" s="100"/>
      <c r="L10" s="46"/>
      <c r="M10" s="47"/>
      <c r="N10" s="48"/>
      <c r="O10" s="49"/>
      <c r="P10" s="50">
        <f t="shared" ref="P10:P12" si="9">SUBTOTAL(9,J10)</f>
        <v>2422.8</v>
      </c>
      <c r="Q10" s="78"/>
      <c r="R10" s="78"/>
      <c r="S10" s="77">
        <f t="shared" si="5"/>
        <v>793.745846323529</v>
      </c>
      <c r="T10" s="77"/>
      <c r="U10" s="77">
        <f t="shared" si="6"/>
        <v>29.2844117647059</v>
      </c>
      <c r="V10" s="77"/>
      <c r="W10" s="77"/>
      <c r="X10" s="77">
        <f t="shared" si="0"/>
        <v>823.030258088235</v>
      </c>
      <c r="Y10" s="94">
        <f t="shared" si="7"/>
        <v>174.3473485</v>
      </c>
      <c r="Z10" s="94"/>
      <c r="AA10" s="94">
        <f t="shared" si="8"/>
        <v>0.823868117647059</v>
      </c>
      <c r="AB10" s="94">
        <f t="shared" si="1"/>
        <v>175.171216617647</v>
      </c>
      <c r="AC10" s="45">
        <v>7.33</v>
      </c>
      <c r="AD10" s="77">
        <f t="shared" si="2"/>
        <v>1284.00501780735</v>
      </c>
      <c r="AE10" s="77">
        <f t="shared" si="3"/>
        <v>2107.03527589559</v>
      </c>
      <c r="AF10" s="77">
        <f t="shared" si="4"/>
        <v>315.764724104411</v>
      </c>
    </row>
    <row r="11" s="2" customFormat="1" spans="1:32">
      <c r="A11" s="21"/>
      <c r="B11" s="22"/>
      <c r="C11" s="23">
        <v>241104000038</v>
      </c>
      <c r="D11" s="24">
        <v>45602</v>
      </c>
      <c r="E11" s="24" t="s">
        <v>57</v>
      </c>
      <c r="F11" s="22" t="s">
        <v>58</v>
      </c>
      <c r="G11" s="22" t="s">
        <v>82</v>
      </c>
      <c r="H11" s="25">
        <v>0.0737</v>
      </c>
      <c r="I11" s="25">
        <v>26</v>
      </c>
      <c r="J11" s="44">
        <v>214.23</v>
      </c>
      <c r="K11" s="100"/>
      <c r="L11" s="99"/>
      <c r="M11" s="47"/>
      <c r="N11" s="52"/>
      <c r="O11" s="49"/>
      <c r="P11" s="50">
        <f t="shared" si="9"/>
        <v>214.23</v>
      </c>
      <c r="Q11" s="78"/>
      <c r="R11" s="78"/>
      <c r="S11" s="77">
        <f t="shared" si="5"/>
        <v>52.8781242647059</v>
      </c>
      <c r="T11" s="77"/>
      <c r="U11" s="77">
        <f t="shared" si="6"/>
        <v>1.95088235294118</v>
      </c>
      <c r="V11" s="77"/>
      <c r="W11" s="77"/>
      <c r="X11" s="77">
        <f t="shared" si="0"/>
        <v>54.8290066176471</v>
      </c>
      <c r="Y11" s="94">
        <f t="shared" si="7"/>
        <v>11.6147515</v>
      </c>
      <c r="Z11" s="94"/>
      <c r="AA11" s="94">
        <f t="shared" si="8"/>
        <v>0.0548848235294118</v>
      </c>
      <c r="AB11" s="94">
        <f t="shared" si="1"/>
        <v>11.6696363235294</v>
      </c>
      <c r="AC11" s="45">
        <v>7.33</v>
      </c>
      <c r="AD11" s="77">
        <f t="shared" si="2"/>
        <v>85.5384342514706</v>
      </c>
      <c r="AE11" s="77">
        <f t="shared" si="3"/>
        <v>140.367440869118</v>
      </c>
      <c r="AF11" s="77">
        <f t="shared" si="4"/>
        <v>73.8625591308823</v>
      </c>
    </row>
    <row r="12" s="2" customFormat="1" spans="1:32">
      <c r="A12" s="21"/>
      <c r="B12" s="22"/>
      <c r="C12" s="23">
        <v>241022000035</v>
      </c>
      <c r="D12" s="24">
        <v>45602</v>
      </c>
      <c r="E12" s="24" t="s">
        <v>86</v>
      </c>
      <c r="F12" s="22" t="s">
        <v>87</v>
      </c>
      <c r="G12" s="22" t="s">
        <v>88</v>
      </c>
      <c r="H12" s="25">
        <v>27.424</v>
      </c>
      <c r="I12" s="25">
        <v>19896</v>
      </c>
      <c r="J12" s="44">
        <v>60720</v>
      </c>
      <c r="K12" s="100"/>
      <c r="L12" s="46"/>
      <c r="M12" s="47"/>
      <c r="N12" s="48"/>
      <c r="O12" s="49"/>
      <c r="P12" s="50">
        <f t="shared" si="9"/>
        <v>60720</v>
      </c>
      <c r="Q12" s="78"/>
      <c r="R12" s="78"/>
      <c r="S12" s="77">
        <f t="shared" si="5"/>
        <v>19676.1150588235</v>
      </c>
      <c r="T12" s="77"/>
      <c r="U12" s="77">
        <f t="shared" si="6"/>
        <v>725.929411764706</v>
      </c>
      <c r="V12" s="77"/>
      <c r="W12" s="77"/>
      <c r="X12" s="77">
        <f t="shared" si="0"/>
        <v>20402.0444705882</v>
      </c>
      <c r="Y12" s="94">
        <f t="shared" si="7"/>
        <v>4321.88528</v>
      </c>
      <c r="Z12" s="94"/>
      <c r="AA12" s="94">
        <f t="shared" si="8"/>
        <v>20.4228141176471</v>
      </c>
      <c r="AB12" s="94">
        <f t="shared" si="1"/>
        <v>4342.30809411765</v>
      </c>
      <c r="AC12" s="45">
        <v>7.33</v>
      </c>
      <c r="AD12" s="77">
        <f t="shared" si="2"/>
        <v>31829.1183298824</v>
      </c>
      <c r="AE12" s="77">
        <f t="shared" si="3"/>
        <v>52231.1628004706</v>
      </c>
      <c r="AF12" s="77">
        <f t="shared" si="4"/>
        <v>8488.83719952941</v>
      </c>
    </row>
    <row r="13" s="2" customFormat="1" spans="1:32">
      <c r="A13" s="21"/>
      <c r="B13" s="22"/>
      <c r="C13" s="23">
        <v>241105000034</v>
      </c>
      <c r="D13" s="24">
        <v>45602</v>
      </c>
      <c r="E13" s="24" t="s">
        <v>64</v>
      </c>
      <c r="F13" s="22" t="s">
        <v>65</v>
      </c>
      <c r="G13" s="22" t="s">
        <v>89</v>
      </c>
      <c r="H13" s="25">
        <v>0.7455</v>
      </c>
      <c r="I13" s="25">
        <v>854</v>
      </c>
      <c r="J13" s="50"/>
      <c r="K13" s="106">
        <v>641427.2</v>
      </c>
      <c r="L13" s="46"/>
      <c r="M13" s="47">
        <f>SUM(K13/N13)</f>
        <v>1643</v>
      </c>
      <c r="N13" s="52">
        <v>390.4</v>
      </c>
      <c r="O13" s="49">
        <v>7.3</v>
      </c>
      <c r="P13" s="50">
        <f>SUM(N13*O13)</f>
        <v>2849.92</v>
      </c>
      <c r="Q13" s="78"/>
      <c r="R13" s="78"/>
      <c r="S13" s="77">
        <f t="shared" si="5"/>
        <v>534.879805147059</v>
      </c>
      <c r="T13" s="77"/>
      <c r="U13" s="77">
        <f t="shared" si="6"/>
        <v>19.7338235294118</v>
      </c>
      <c r="V13" s="77"/>
      <c r="W13" s="77"/>
      <c r="X13" s="77">
        <f t="shared" si="0"/>
        <v>554.613628676471</v>
      </c>
      <c r="Y13" s="94">
        <f t="shared" si="7"/>
        <v>117.4870725</v>
      </c>
      <c r="Z13" s="95">
        <v>29.21</v>
      </c>
      <c r="AA13" s="94">
        <f t="shared" si="8"/>
        <v>0.555178235294118</v>
      </c>
      <c r="AB13" s="94">
        <f t="shared" si="1"/>
        <v>147.252250735294</v>
      </c>
      <c r="AC13" s="45">
        <v>7.33</v>
      </c>
      <c r="AD13" s="77">
        <f t="shared" si="2"/>
        <v>1079.35899788971</v>
      </c>
      <c r="AE13" s="77">
        <f t="shared" si="3"/>
        <v>1633.97262656618</v>
      </c>
      <c r="AF13" s="77">
        <f t="shared" si="4"/>
        <v>1215.94737343382</v>
      </c>
    </row>
    <row r="14" s="2" customFormat="1" spans="1:32">
      <c r="A14" s="21"/>
      <c r="B14" s="22"/>
      <c r="C14" s="23">
        <v>241106000001</v>
      </c>
      <c r="D14" s="24">
        <v>45602</v>
      </c>
      <c r="E14" s="24" t="s">
        <v>70</v>
      </c>
      <c r="F14" s="22" t="s">
        <v>70</v>
      </c>
      <c r="G14" s="22" t="s">
        <v>90</v>
      </c>
      <c r="H14" s="25">
        <v>0.4542</v>
      </c>
      <c r="I14" s="25">
        <v>69</v>
      </c>
      <c r="J14" s="44">
        <v>1060.98</v>
      </c>
      <c r="K14" s="100"/>
      <c r="L14" s="46"/>
      <c r="M14" s="47"/>
      <c r="N14" s="48"/>
      <c r="O14" s="49"/>
      <c r="P14" s="50">
        <f t="shared" ref="P14:P18" si="10">SUBTOTAL(9,J14)</f>
        <v>1060.98</v>
      </c>
      <c r="Q14" s="78"/>
      <c r="R14" s="78"/>
      <c r="S14" s="77">
        <f t="shared" si="5"/>
        <v>325.878480882353</v>
      </c>
      <c r="T14" s="77"/>
      <c r="U14" s="77">
        <f t="shared" si="6"/>
        <v>12.0229411764706</v>
      </c>
      <c r="V14" s="77"/>
      <c r="W14" s="77"/>
      <c r="X14" s="77">
        <f t="shared" si="0"/>
        <v>337.901422058824</v>
      </c>
      <c r="Y14" s="94">
        <f t="shared" si="7"/>
        <v>71.579649</v>
      </c>
      <c r="Z14" s="94"/>
      <c r="AA14" s="94">
        <f t="shared" si="8"/>
        <v>0.338245411764706</v>
      </c>
      <c r="AB14" s="94">
        <f t="shared" si="1"/>
        <v>71.9178944117647</v>
      </c>
      <c r="AC14" s="45">
        <v>7.33</v>
      </c>
      <c r="AD14" s="77">
        <f t="shared" si="2"/>
        <v>527.158166038235</v>
      </c>
      <c r="AE14" s="77">
        <f t="shared" si="3"/>
        <v>865.059588097059</v>
      </c>
      <c r="AF14" s="77">
        <f t="shared" si="4"/>
        <v>195.920411902941</v>
      </c>
    </row>
    <row r="15" s="2" customFormat="1" spans="1:32">
      <c r="A15" s="21"/>
      <c r="B15" s="22"/>
      <c r="C15" s="23">
        <v>241106000002</v>
      </c>
      <c r="D15" s="24">
        <v>45602</v>
      </c>
      <c r="E15" s="24" t="s">
        <v>70</v>
      </c>
      <c r="F15" s="22" t="s">
        <v>70</v>
      </c>
      <c r="G15" s="22" t="s">
        <v>91</v>
      </c>
      <c r="H15" s="25">
        <v>0.3458</v>
      </c>
      <c r="I15" s="25">
        <v>98</v>
      </c>
      <c r="J15" s="44">
        <v>757</v>
      </c>
      <c r="K15" s="100"/>
      <c r="L15" s="46"/>
      <c r="M15" s="47"/>
      <c r="N15" s="48"/>
      <c r="O15" s="49"/>
      <c r="P15" s="50">
        <f t="shared" si="10"/>
        <v>757</v>
      </c>
      <c r="Q15" s="78"/>
      <c r="R15" s="78"/>
      <c r="S15" s="77">
        <f t="shared" si="5"/>
        <v>248.103872058824</v>
      </c>
      <c r="T15" s="77"/>
      <c r="U15" s="77">
        <f t="shared" si="6"/>
        <v>9.1535294117647</v>
      </c>
      <c r="V15" s="77"/>
      <c r="W15" s="77"/>
      <c r="X15" s="77">
        <f t="shared" si="0"/>
        <v>257.257401470588</v>
      </c>
      <c r="Y15" s="94">
        <f t="shared" si="7"/>
        <v>54.496351</v>
      </c>
      <c r="Z15" s="94"/>
      <c r="AA15" s="94">
        <f t="shared" si="8"/>
        <v>0.257519294117647</v>
      </c>
      <c r="AB15" s="94">
        <f t="shared" si="1"/>
        <v>54.7538702941176</v>
      </c>
      <c r="AC15" s="45">
        <v>7.33</v>
      </c>
      <c r="AD15" s="77">
        <f t="shared" si="2"/>
        <v>401.345869255882</v>
      </c>
      <c r="AE15" s="77">
        <f t="shared" si="3"/>
        <v>658.603270726471</v>
      </c>
      <c r="AF15" s="77">
        <f t="shared" si="4"/>
        <v>98.3967292735294</v>
      </c>
    </row>
    <row r="16" s="2" customFormat="1" spans="1:32">
      <c r="A16" s="21"/>
      <c r="B16" s="22"/>
      <c r="C16" s="23">
        <v>241106000018</v>
      </c>
      <c r="D16" s="24">
        <v>45602</v>
      </c>
      <c r="E16" s="24" t="s">
        <v>86</v>
      </c>
      <c r="F16" s="22" t="s">
        <v>87</v>
      </c>
      <c r="G16" s="22" t="s">
        <v>92</v>
      </c>
      <c r="H16" s="25">
        <v>0.0019</v>
      </c>
      <c r="I16" s="25">
        <v>1</v>
      </c>
      <c r="J16" s="50"/>
      <c r="K16" s="106">
        <v>51150</v>
      </c>
      <c r="L16" s="46"/>
      <c r="M16" s="47">
        <f>SUM(K16/N16)</f>
        <v>1650</v>
      </c>
      <c r="N16" s="52">
        <v>31</v>
      </c>
      <c r="O16" s="49">
        <v>7.2</v>
      </c>
      <c r="P16" s="50">
        <f>SUM(N16*O16)</f>
        <v>223.2</v>
      </c>
      <c r="Q16" s="78"/>
      <c r="R16" s="78"/>
      <c r="S16" s="77">
        <f t="shared" si="5"/>
        <v>1.36320808823529</v>
      </c>
      <c r="T16" s="77"/>
      <c r="U16" s="77">
        <f t="shared" si="6"/>
        <v>0.0502941176470588</v>
      </c>
      <c r="V16" s="77"/>
      <c r="W16" s="77"/>
      <c r="X16" s="77">
        <f t="shared" si="0"/>
        <v>1.41350220588235</v>
      </c>
      <c r="Y16" s="94">
        <f t="shared" si="7"/>
        <v>0.2994305</v>
      </c>
      <c r="Z16" s="94"/>
      <c r="AA16" s="94">
        <f t="shared" si="8"/>
        <v>0.00141494117647059</v>
      </c>
      <c r="AB16" s="94">
        <f t="shared" si="1"/>
        <v>0.300845441176471</v>
      </c>
      <c r="AC16" s="45">
        <v>7.33</v>
      </c>
      <c r="AD16" s="77">
        <f t="shared" si="2"/>
        <v>2.20519708382353</v>
      </c>
      <c r="AE16" s="77">
        <f t="shared" si="3"/>
        <v>3.61869928970588</v>
      </c>
      <c r="AF16" s="77">
        <f t="shared" si="4"/>
        <v>219.581300710294</v>
      </c>
    </row>
    <row r="17" s="2" customFormat="1" spans="1:32">
      <c r="A17" s="21"/>
      <c r="B17" s="22"/>
      <c r="C17" s="23">
        <v>241106000037</v>
      </c>
      <c r="D17" s="24">
        <v>45602</v>
      </c>
      <c r="E17" s="24" t="s">
        <v>70</v>
      </c>
      <c r="F17" s="22" t="s">
        <v>70</v>
      </c>
      <c r="G17" s="22" t="s">
        <v>93</v>
      </c>
      <c r="H17" s="25">
        <v>0.6996</v>
      </c>
      <c r="I17" s="25">
        <v>76</v>
      </c>
      <c r="J17" s="44">
        <v>1583.01</v>
      </c>
      <c r="K17" s="100"/>
      <c r="L17" s="46"/>
      <c r="M17" s="47"/>
      <c r="N17" s="48"/>
      <c r="O17" s="49"/>
      <c r="P17" s="50">
        <f t="shared" si="10"/>
        <v>1583.01</v>
      </c>
      <c r="Q17" s="78"/>
      <c r="R17" s="78"/>
      <c r="S17" s="77">
        <f t="shared" si="5"/>
        <v>501.947567647059</v>
      </c>
      <c r="T17" s="77"/>
      <c r="U17" s="77">
        <f t="shared" si="6"/>
        <v>18.5188235294118</v>
      </c>
      <c r="V17" s="77"/>
      <c r="W17" s="77"/>
      <c r="X17" s="77">
        <f t="shared" si="0"/>
        <v>520.466391176471</v>
      </c>
      <c r="Y17" s="94">
        <f t="shared" si="7"/>
        <v>110.253462</v>
      </c>
      <c r="Z17" s="94"/>
      <c r="AA17" s="94">
        <f t="shared" si="8"/>
        <v>0.520996235294118</v>
      </c>
      <c r="AB17" s="94">
        <f t="shared" si="1"/>
        <v>110.774458235294</v>
      </c>
      <c r="AC17" s="45">
        <v>7.33</v>
      </c>
      <c r="AD17" s="77">
        <f t="shared" si="2"/>
        <v>811.976778864706</v>
      </c>
      <c r="AE17" s="77">
        <f t="shared" si="3"/>
        <v>1332.44317004118</v>
      </c>
      <c r="AF17" s="77">
        <f t="shared" si="4"/>
        <v>250.566829958824</v>
      </c>
    </row>
    <row r="18" s="2" customFormat="1" spans="1:32">
      <c r="A18" s="21"/>
      <c r="B18" s="22"/>
      <c r="C18" s="23">
        <v>241107000022</v>
      </c>
      <c r="D18" s="24">
        <v>45602</v>
      </c>
      <c r="E18" s="24" t="s">
        <v>94</v>
      </c>
      <c r="F18" s="22" t="s">
        <v>95</v>
      </c>
      <c r="G18" s="22" t="s">
        <v>96</v>
      </c>
      <c r="H18" s="25">
        <v>32.635</v>
      </c>
      <c r="I18" s="25">
        <v>4165</v>
      </c>
      <c r="J18" s="44">
        <v>52361.59</v>
      </c>
      <c r="K18" s="100"/>
      <c r="L18" s="46"/>
      <c r="M18" s="47"/>
      <c r="N18" s="52"/>
      <c r="O18" s="49"/>
      <c r="P18" s="50">
        <f t="shared" si="10"/>
        <v>52361.59</v>
      </c>
      <c r="Q18" s="81"/>
      <c r="R18" s="81"/>
      <c r="S18" s="77">
        <f t="shared" si="5"/>
        <v>23414.8926102941</v>
      </c>
      <c r="T18" s="77"/>
      <c r="U18" s="77">
        <f t="shared" si="6"/>
        <v>863.867647058823</v>
      </c>
      <c r="V18" s="77"/>
      <c r="W18" s="77"/>
      <c r="X18" s="77">
        <f t="shared" si="0"/>
        <v>24278.7602573529</v>
      </c>
      <c r="Y18" s="94">
        <f t="shared" si="7"/>
        <v>5143.112825</v>
      </c>
      <c r="Z18" s="95"/>
      <c r="AA18" s="94">
        <f t="shared" si="8"/>
        <v>24.3034764705882</v>
      </c>
      <c r="AB18" s="94">
        <f t="shared" si="1"/>
        <v>5167.41630147059</v>
      </c>
      <c r="AC18" s="45">
        <v>7.33</v>
      </c>
      <c r="AD18" s="77">
        <f t="shared" si="2"/>
        <v>37877.1614897794</v>
      </c>
      <c r="AE18" s="77">
        <f t="shared" si="3"/>
        <v>62155.9217471323</v>
      </c>
      <c r="AF18" s="77">
        <f t="shared" si="4"/>
        <v>-9794.33174713235</v>
      </c>
    </row>
    <row r="19" ht="15.75" spans="1:32">
      <c r="A19" s="27" t="s">
        <v>20</v>
      </c>
      <c r="B19" s="28"/>
      <c r="C19" s="28"/>
      <c r="D19" s="28"/>
      <c r="E19" s="28"/>
      <c r="F19" s="28"/>
      <c r="G19" s="28"/>
      <c r="H19" s="28"/>
      <c r="I19" s="54"/>
      <c r="J19" s="28">
        <f>SUM(J4:J4)</f>
        <v>0</v>
      </c>
      <c r="K19" s="55"/>
      <c r="L19" s="56"/>
      <c r="M19" s="55"/>
      <c r="N19" s="55">
        <f t="shared" ref="N19:Q19" si="11">SUM(N4:N4)</f>
        <v>0</v>
      </c>
      <c r="O19" s="28"/>
      <c r="P19" s="28">
        <f t="shared" si="11"/>
        <v>0</v>
      </c>
      <c r="Q19" s="28">
        <f t="shared" si="11"/>
        <v>0</v>
      </c>
      <c r="R19" s="28"/>
      <c r="S19" s="28"/>
      <c r="T19" s="28"/>
      <c r="U19" s="28"/>
      <c r="V19" s="28"/>
      <c r="W19" s="28"/>
      <c r="X19" s="82">
        <f>SUM(X4:X4)</f>
        <v>0</v>
      </c>
      <c r="Y19" s="56"/>
      <c r="Z19" s="56"/>
      <c r="AA19" s="56"/>
      <c r="AB19" s="56"/>
      <c r="AC19" s="55"/>
      <c r="AD19" s="28">
        <f>SUM(AD4:AD4)</f>
        <v>0</v>
      </c>
      <c r="AE19" s="28"/>
      <c r="AF19" s="96">
        <f>SUM(AF4:AF18)</f>
        <v>3646.68430285</v>
      </c>
    </row>
    <row r="20" customFormat="1" spans="4:32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  <c r="AF20" s="8"/>
    </row>
    <row r="21" customFormat="1" spans="4:32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  <c r="AF21" s="8"/>
    </row>
    <row r="22" customFormat="1" spans="4:32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  <c r="AF22" s="8"/>
    </row>
    <row r="23" customFormat="1" spans="4:32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  <c r="AF23" s="8"/>
    </row>
    <row r="24" customFormat="1" spans="4:32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  <c r="AF24" s="8"/>
    </row>
    <row r="25" customFormat="1" spans="4:32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  <c r="AF25" s="8"/>
    </row>
    <row r="26" customFormat="1" spans="4:32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  <c r="AF26" s="8"/>
    </row>
    <row r="27" customFormat="1" spans="4:32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  <c r="AF27" s="8"/>
    </row>
    <row r="28" customFormat="1" spans="4:32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  <c r="AF28" s="8"/>
    </row>
    <row r="29" customFormat="1" spans="4:32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  <c r="AF29" s="8"/>
    </row>
    <row r="30" customFormat="1" spans="4:32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  <c r="AF30" s="8"/>
    </row>
    <row r="31" customFormat="1" spans="4:32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  <c r="AF31" s="8"/>
    </row>
    <row r="32" customFormat="1" spans="4:32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  <c r="AF32" s="8"/>
    </row>
    <row r="33" customFormat="1" spans="4:32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  <c r="AF33" s="8"/>
    </row>
    <row r="34" customFormat="1" spans="4:32">
      <c r="D34" s="3"/>
      <c r="E34" s="3"/>
      <c r="K34" s="4"/>
      <c r="L34" s="5"/>
      <c r="M34" s="4"/>
      <c r="X34" s="7"/>
      <c r="Y34" s="5"/>
      <c r="Z34" s="5"/>
      <c r="AA34" s="5"/>
      <c r="AB34" s="5"/>
      <c r="AC34" s="4"/>
      <c r="AF34" s="8"/>
    </row>
    <row r="35" customFormat="1" spans="4:32">
      <c r="D35" s="3"/>
      <c r="E35" s="3"/>
      <c r="K35" s="4"/>
      <c r="L35" s="5"/>
      <c r="M35" s="4"/>
      <c r="X35" s="7"/>
      <c r="Y35" s="5"/>
      <c r="Z35" s="5"/>
      <c r="AA35" s="5"/>
      <c r="AB35" s="5"/>
      <c r="AC35" s="4"/>
      <c r="AF35" s="8"/>
    </row>
  </sheetData>
  <autoFilter xmlns:etc="http://www.wps.cn/officeDocument/2017/etCustomData" ref="A3:AF19" etc:filterBottomFollowUsedRange="0">
    <extLst/>
  </autoFilter>
  <mergeCells count="21">
    <mergeCell ref="A1:AF1"/>
    <mergeCell ref="J3:P3"/>
    <mergeCell ref="R3:V3"/>
    <mergeCell ref="Y3:AD3"/>
    <mergeCell ref="A3:A4"/>
    <mergeCell ref="A5:A18"/>
    <mergeCell ref="B3:B4"/>
    <mergeCell ref="B5:B18"/>
    <mergeCell ref="C3:C4"/>
    <mergeCell ref="D3:D4"/>
    <mergeCell ref="E3:E4"/>
    <mergeCell ref="F3:F4"/>
    <mergeCell ref="G3:G4"/>
    <mergeCell ref="H3:H4"/>
    <mergeCell ref="I3:I4"/>
    <mergeCell ref="Q3:Q4"/>
    <mergeCell ref="Q5:Q18"/>
    <mergeCell ref="R5:R18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3"/>
  <sheetViews>
    <sheetView zoomScale="110" zoomScaleNormal="110" workbookViewId="0">
      <pane xSplit="2" ySplit="4" topLeftCell="S5" activePane="bottomRight" state="frozen"/>
      <selection/>
      <selection pane="topRight"/>
      <selection pane="bottomLeft"/>
      <selection pane="bottomRight" activeCell="AA5" sqref="AA5:AA26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9"/>
      <c r="L1" s="30"/>
      <c r="M1" s="29"/>
      <c r="N1" s="9"/>
      <c r="O1" s="31"/>
      <c r="P1" s="9"/>
      <c r="Q1" s="9"/>
      <c r="R1" s="9"/>
      <c r="S1" s="9"/>
      <c r="T1" s="57"/>
      <c r="U1" s="57"/>
      <c r="V1" s="58"/>
      <c r="W1" s="57"/>
      <c r="X1" s="59"/>
      <c r="Y1" s="30"/>
      <c r="Z1" s="30"/>
      <c r="AA1" s="30"/>
      <c r="AB1" s="30"/>
      <c r="AC1" s="29"/>
      <c r="AD1" s="30"/>
      <c r="AE1" s="9"/>
      <c r="AF1" s="83"/>
    </row>
    <row r="2" customFormat="1" ht="31" customHeight="1" spans="1:32">
      <c r="A2" s="10" t="s">
        <v>136</v>
      </c>
      <c r="B2" s="10" t="s">
        <v>137</v>
      </c>
      <c r="C2" s="10">
        <v>80.0396</v>
      </c>
      <c r="D2" s="9"/>
      <c r="E2" s="9"/>
      <c r="F2" s="9"/>
      <c r="G2" s="9"/>
      <c r="H2" s="9"/>
      <c r="I2" s="9"/>
      <c r="J2" s="9"/>
      <c r="K2" s="29"/>
      <c r="L2" s="30"/>
      <c r="M2" s="29"/>
      <c r="N2" s="9"/>
      <c r="O2" s="31"/>
      <c r="P2" s="9"/>
      <c r="Q2" s="9"/>
      <c r="R2" s="9"/>
      <c r="S2" s="9"/>
      <c r="T2" s="57"/>
      <c r="U2" s="57"/>
      <c r="V2" s="58"/>
      <c r="W2" s="57"/>
      <c r="X2" s="59"/>
      <c r="Y2" s="30"/>
      <c r="Z2" s="30"/>
      <c r="AA2" s="30"/>
      <c r="AB2" s="30"/>
      <c r="AC2" s="29"/>
      <c r="AD2" s="30"/>
      <c r="AE2" s="9"/>
      <c r="AF2" s="9"/>
    </row>
    <row r="3" s="1" customFormat="1" ht="23" customHeight="1" spans="1:32">
      <c r="A3" s="11" t="s">
        <v>1</v>
      </c>
      <c r="B3" s="12" t="s">
        <v>2</v>
      </c>
      <c r="C3" s="13" t="s">
        <v>21</v>
      </c>
      <c r="D3" s="14" t="s">
        <v>22</v>
      </c>
      <c r="E3" s="15" t="s">
        <v>23</v>
      </c>
      <c r="F3" s="16" t="s">
        <v>24</v>
      </c>
      <c r="G3" s="16" t="s">
        <v>25</v>
      </c>
      <c r="H3" s="16" t="s">
        <v>26</v>
      </c>
      <c r="I3" s="16" t="s">
        <v>27</v>
      </c>
      <c r="J3" s="32" t="s">
        <v>28</v>
      </c>
      <c r="K3" s="33"/>
      <c r="L3" s="34"/>
      <c r="M3" s="33"/>
      <c r="N3" s="34"/>
      <c r="O3" s="35"/>
      <c r="P3" s="36"/>
      <c r="Q3" s="60" t="s">
        <v>29</v>
      </c>
      <c r="R3" s="61" t="s">
        <v>30</v>
      </c>
      <c r="S3" s="62"/>
      <c r="T3" s="63"/>
      <c r="U3" s="64"/>
      <c r="V3" s="65"/>
      <c r="W3" s="66" t="s">
        <v>31</v>
      </c>
      <c r="X3" s="67" t="s">
        <v>32</v>
      </c>
      <c r="Y3" s="84" t="s">
        <v>33</v>
      </c>
      <c r="Z3" s="84"/>
      <c r="AA3" s="84"/>
      <c r="AB3" s="84"/>
      <c r="AC3" s="85"/>
      <c r="AD3" s="84"/>
      <c r="AE3" s="86" t="s">
        <v>34</v>
      </c>
      <c r="AF3" s="87" t="s">
        <v>3</v>
      </c>
    </row>
    <row r="4" s="1" customFormat="1" ht="27" customHeight="1" spans="1:32">
      <c r="A4" s="17"/>
      <c r="B4" s="18"/>
      <c r="C4" s="13"/>
      <c r="D4" s="14"/>
      <c r="E4" s="19"/>
      <c r="F4" s="20"/>
      <c r="G4" s="20"/>
      <c r="H4" s="20"/>
      <c r="I4" s="37"/>
      <c r="J4" s="38" t="s">
        <v>35</v>
      </c>
      <c r="K4" s="39" t="s">
        <v>36</v>
      </c>
      <c r="L4" s="40" t="s">
        <v>37</v>
      </c>
      <c r="M4" s="39" t="s">
        <v>38</v>
      </c>
      <c r="N4" s="41" t="s">
        <v>39</v>
      </c>
      <c r="O4" s="42" t="s">
        <v>40</v>
      </c>
      <c r="P4" s="43" t="s">
        <v>41</v>
      </c>
      <c r="Q4" s="68"/>
      <c r="R4" s="69" t="s">
        <v>42</v>
      </c>
      <c r="S4" s="70" t="s">
        <v>43</v>
      </c>
      <c r="T4" s="71" t="s">
        <v>44</v>
      </c>
      <c r="U4" s="72" t="s">
        <v>45</v>
      </c>
      <c r="V4" s="71" t="s">
        <v>46</v>
      </c>
      <c r="W4" s="73"/>
      <c r="X4" s="74"/>
      <c r="Y4" s="88" t="s">
        <v>47</v>
      </c>
      <c r="Z4" s="88" t="s">
        <v>48</v>
      </c>
      <c r="AA4" s="88" t="s">
        <v>49</v>
      </c>
      <c r="AB4" s="89" t="s">
        <v>50</v>
      </c>
      <c r="AC4" s="90" t="s">
        <v>51</v>
      </c>
      <c r="AD4" s="91" t="s">
        <v>41</v>
      </c>
      <c r="AE4" s="92" t="s">
        <v>52</v>
      </c>
      <c r="AF4" s="93"/>
    </row>
    <row r="5" s="109" customFormat="1" ht="15" spans="1:32">
      <c r="A5" s="21" t="s">
        <v>8</v>
      </c>
      <c r="B5" s="22" t="s">
        <v>9</v>
      </c>
      <c r="C5" s="23">
        <v>240930000009</v>
      </c>
      <c r="D5" s="24">
        <v>45608</v>
      </c>
      <c r="E5" s="24" t="s">
        <v>57</v>
      </c>
      <c r="F5" s="22" t="s">
        <v>58</v>
      </c>
      <c r="G5" s="22" t="s">
        <v>97</v>
      </c>
      <c r="H5" s="25">
        <v>0.0977</v>
      </c>
      <c r="I5" s="25">
        <v>28.5</v>
      </c>
      <c r="J5" s="105"/>
      <c r="K5" s="110">
        <v>132820</v>
      </c>
      <c r="L5" s="46"/>
      <c r="M5" s="47">
        <f>SUM(K5/N5)</f>
        <v>1648.91371818746</v>
      </c>
      <c r="N5" s="99">
        <v>80.55</v>
      </c>
      <c r="O5" s="49">
        <v>7.3</v>
      </c>
      <c r="P5" s="50">
        <f>SUM(N5*O5)</f>
        <v>588.015</v>
      </c>
      <c r="Q5" s="75">
        <f>SUM(P5:P26)</f>
        <v>188664.536854</v>
      </c>
      <c r="R5" s="76" t="s">
        <v>98</v>
      </c>
      <c r="S5" s="77">
        <f>SUM(53218/68)*H5</f>
        <v>76.4617441176471</v>
      </c>
      <c r="T5" s="77"/>
      <c r="U5" s="77">
        <f>SUM(1955/68)*H5</f>
        <v>2.808875</v>
      </c>
      <c r="V5" s="77"/>
      <c r="W5" s="77"/>
      <c r="X5" s="77">
        <f t="shared" ref="X5:X37" si="0">SUM(S5:W5)</f>
        <v>79.2706191176471</v>
      </c>
      <c r="Y5" s="94">
        <f>SUM(11360.84/68)*H5</f>
        <v>16.3228539411765</v>
      </c>
      <c r="Z5" s="95">
        <v>11.38</v>
      </c>
      <c r="AA5" s="94">
        <f>SUM(53.54/68)*H5</f>
        <v>0.0769243823529412</v>
      </c>
      <c r="AB5" s="94">
        <f t="shared" ref="AB5:AB37" si="1">SUM(Y5:AA5)</f>
        <v>27.7797783235294</v>
      </c>
      <c r="AC5" s="45">
        <v>7.3</v>
      </c>
      <c r="AD5" s="77">
        <f t="shared" ref="AD5:AD37" si="2">SUM(AB5*AC5)</f>
        <v>202.792381761765</v>
      </c>
      <c r="AE5" s="77">
        <f t="shared" ref="AE5:AE37" si="3">SUM(X5+AD5)</f>
        <v>282.063000879412</v>
      </c>
      <c r="AF5" s="77">
        <f t="shared" ref="AF5:AF37" si="4">SUM(P5-AE5)</f>
        <v>305.951999120588</v>
      </c>
    </row>
    <row r="6" s="109" customFormat="1" ht="15" spans="1:32">
      <c r="A6" s="21"/>
      <c r="B6" s="22"/>
      <c r="C6" s="23">
        <v>241015000034</v>
      </c>
      <c r="D6" s="24">
        <v>45608</v>
      </c>
      <c r="E6" s="24" t="s">
        <v>64</v>
      </c>
      <c r="F6" s="22" t="s">
        <v>65</v>
      </c>
      <c r="G6" s="22" t="s">
        <v>72</v>
      </c>
      <c r="H6" s="25">
        <v>4.77</v>
      </c>
      <c r="I6" s="25">
        <v>451</v>
      </c>
      <c r="J6" s="44">
        <v>9789.95</v>
      </c>
      <c r="K6" s="111"/>
      <c r="L6" s="46"/>
      <c r="M6" s="47"/>
      <c r="N6" s="48"/>
      <c r="O6" s="49"/>
      <c r="P6" s="50">
        <f t="shared" ref="P6:P10" si="5">SUBTOTAL(9,J6)</f>
        <v>9789.95</v>
      </c>
      <c r="Q6" s="78"/>
      <c r="R6" s="78"/>
      <c r="S6" s="77">
        <f t="shared" ref="S6:S26" si="6">SUM(53218/68)*H6</f>
        <v>3733.08617647059</v>
      </c>
      <c r="T6" s="77"/>
      <c r="U6" s="77">
        <f t="shared" ref="U6:U26" si="7">SUM(1955/68)*H6</f>
        <v>137.1375</v>
      </c>
      <c r="V6" s="77"/>
      <c r="W6" s="77"/>
      <c r="X6" s="77">
        <f t="shared" si="0"/>
        <v>3870.22367647059</v>
      </c>
      <c r="Y6" s="94">
        <f t="shared" ref="Y6:Y26" si="8">SUM(11360.84/68)*H6</f>
        <v>796.929511764706</v>
      </c>
      <c r="Z6" s="94"/>
      <c r="AA6" s="94">
        <f t="shared" ref="AA6:AA26" si="9">SUM(53.54/68)*H6</f>
        <v>3.75567352941176</v>
      </c>
      <c r="AB6" s="94">
        <f t="shared" si="1"/>
        <v>800.685185294118</v>
      </c>
      <c r="AC6" s="45">
        <v>7.3</v>
      </c>
      <c r="AD6" s="77">
        <f t="shared" si="2"/>
        <v>5845.00185264706</v>
      </c>
      <c r="AE6" s="77">
        <f t="shared" si="3"/>
        <v>9715.22552911764</v>
      </c>
      <c r="AF6" s="77">
        <f t="shared" si="4"/>
        <v>74.7244708823564</v>
      </c>
    </row>
    <row r="7" s="109" customFormat="1" ht="15" spans="1:32">
      <c r="A7" s="21"/>
      <c r="B7" s="22"/>
      <c r="C7" s="23">
        <v>241021000005</v>
      </c>
      <c r="D7" s="24">
        <v>45608</v>
      </c>
      <c r="E7" s="24" t="s">
        <v>53</v>
      </c>
      <c r="F7" s="22" t="s">
        <v>54</v>
      </c>
      <c r="G7" s="22" t="s">
        <v>55</v>
      </c>
      <c r="H7" s="25">
        <v>1.1795</v>
      </c>
      <c r="I7" s="25">
        <v>335</v>
      </c>
      <c r="J7" s="50"/>
      <c r="K7" s="110">
        <v>583853</v>
      </c>
      <c r="L7" s="46"/>
      <c r="M7" s="47">
        <f>SUM(K7/N7)</f>
        <v>1650.00150628806</v>
      </c>
      <c r="N7" s="112">
        <v>353.84998</v>
      </c>
      <c r="O7" s="49">
        <v>7.3</v>
      </c>
      <c r="P7" s="50">
        <f>SUM(N7*O7)</f>
        <v>2583.104854</v>
      </c>
      <c r="Q7" s="78"/>
      <c r="R7" s="78"/>
      <c r="S7" s="77">
        <f t="shared" si="6"/>
        <v>923.097514705882</v>
      </c>
      <c r="T7" s="77"/>
      <c r="U7" s="77">
        <f t="shared" si="7"/>
        <v>33.910625</v>
      </c>
      <c r="V7" s="77"/>
      <c r="W7" s="77"/>
      <c r="X7" s="77">
        <f t="shared" si="0"/>
        <v>957.008139705882</v>
      </c>
      <c r="Y7" s="94">
        <f t="shared" si="8"/>
        <v>197.060452647059</v>
      </c>
      <c r="Z7" s="94"/>
      <c r="AA7" s="94">
        <f t="shared" si="9"/>
        <v>0.928682794117647</v>
      </c>
      <c r="AB7" s="94">
        <f t="shared" si="1"/>
        <v>197.989135441176</v>
      </c>
      <c r="AC7" s="45">
        <v>7.3</v>
      </c>
      <c r="AD7" s="77">
        <f t="shared" si="2"/>
        <v>1445.32068872059</v>
      </c>
      <c r="AE7" s="77">
        <f t="shared" si="3"/>
        <v>2402.32882842647</v>
      </c>
      <c r="AF7" s="77">
        <f t="shared" si="4"/>
        <v>180.77602557353</v>
      </c>
    </row>
    <row r="8" s="109" customFormat="1" ht="15" spans="1:32">
      <c r="A8" s="21"/>
      <c r="B8" s="22"/>
      <c r="C8" s="23">
        <v>241022000035</v>
      </c>
      <c r="D8" s="24">
        <v>45608</v>
      </c>
      <c r="E8" s="24" t="s">
        <v>86</v>
      </c>
      <c r="F8" s="22" t="s">
        <v>87</v>
      </c>
      <c r="G8" s="22" t="s">
        <v>88</v>
      </c>
      <c r="H8" s="25">
        <v>28.3553</v>
      </c>
      <c r="I8" s="25">
        <v>15100</v>
      </c>
      <c r="J8" s="44">
        <v>62780</v>
      </c>
      <c r="K8" s="111"/>
      <c r="L8" s="46"/>
      <c r="M8" s="47"/>
      <c r="N8" s="48"/>
      <c r="O8" s="49"/>
      <c r="P8" s="50">
        <f t="shared" si="5"/>
        <v>62780</v>
      </c>
      <c r="Q8" s="78"/>
      <c r="R8" s="78"/>
      <c r="S8" s="77">
        <f t="shared" si="6"/>
        <v>22191.3581676471</v>
      </c>
      <c r="T8" s="77"/>
      <c r="U8" s="77">
        <f t="shared" si="7"/>
        <v>815.214875</v>
      </c>
      <c r="V8" s="79">
        <v>300</v>
      </c>
      <c r="W8" s="77"/>
      <c r="X8" s="77">
        <f t="shared" si="0"/>
        <v>23306.5730426471</v>
      </c>
      <c r="Y8" s="94">
        <f t="shared" si="8"/>
        <v>4737.35333017647</v>
      </c>
      <c r="Z8" s="95">
        <f>SUM(413.88+371.27)</f>
        <v>785.15</v>
      </c>
      <c r="AA8" s="94">
        <f t="shared" si="9"/>
        <v>22.3256288529412</v>
      </c>
      <c r="AB8" s="94">
        <f t="shared" si="1"/>
        <v>5544.82895902941</v>
      </c>
      <c r="AC8" s="45">
        <v>7.3</v>
      </c>
      <c r="AD8" s="77">
        <f t="shared" si="2"/>
        <v>40477.2514009147</v>
      </c>
      <c r="AE8" s="77">
        <f t="shared" si="3"/>
        <v>63783.8244435618</v>
      </c>
      <c r="AF8" s="77">
        <f t="shared" si="4"/>
        <v>-1003.82444356176</v>
      </c>
    </row>
    <row r="9" s="109" customFormat="1" ht="15" spans="1:32">
      <c r="A9" s="21"/>
      <c r="B9" s="22"/>
      <c r="C9" s="23">
        <v>241024000054</v>
      </c>
      <c r="D9" s="24">
        <v>45608</v>
      </c>
      <c r="E9" s="24" t="s">
        <v>70</v>
      </c>
      <c r="F9" s="22" t="s">
        <v>70</v>
      </c>
      <c r="G9" s="22" t="s">
        <v>99</v>
      </c>
      <c r="H9" s="25">
        <v>16.835</v>
      </c>
      <c r="I9" s="25">
        <v>7500</v>
      </c>
      <c r="J9" s="44">
        <v>48779</v>
      </c>
      <c r="K9" s="111"/>
      <c r="L9" s="46"/>
      <c r="M9" s="47"/>
      <c r="N9" s="48"/>
      <c r="O9" s="49"/>
      <c r="P9" s="50">
        <f t="shared" si="5"/>
        <v>48779</v>
      </c>
      <c r="Q9" s="78"/>
      <c r="R9" s="78"/>
      <c r="S9" s="77">
        <f t="shared" si="6"/>
        <v>13175.3680882353</v>
      </c>
      <c r="T9" s="77"/>
      <c r="U9" s="77">
        <f t="shared" si="7"/>
        <v>484.00625</v>
      </c>
      <c r="V9" s="77"/>
      <c r="W9" s="77"/>
      <c r="X9" s="77">
        <f t="shared" si="0"/>
        <v>13659.3743382353</v>
      </c>
      <c r="Y9" s="94">
        <f t="shared" si="8"/>
        <v>2812.64325588235</v>
      </c>
      <c r="Z9" s="95">
        <v>97.38</v>
      </c>
      <c r="AA9" s="94">
        <f t="shared" si="9"/>
        <v>13.2550867647059</v>
      </c>
      <c r="AB9" s="94">
        <f t="shared" si="1"/>
        <v>2923.27834264706</v>
      </c>
      <c r="AC9" s="45">
        <v>7.3</v>
      </c>
      <c r="AD9" s="77">
        <f t="shared" si="2"/>
        <v>21339.9319013235</v>
      </c>
      <c r="AE9" s="77">
        <f t="shared" si="3"/>
        <v>34999.3062395588</v>
      </c>
      <c r="AF9" s="77">
        <f t="shared" si="4"/>
        <v>13779.6937604412</v>
      </c>
    </row>
    <row r="10" s="109" customFormat="1" ht="15" spans="1:32">
      <c r="A10" s="21"/>
      <c r="B10" s="22"/>
      <c r="C10" s="23">
        <v>241104000057</v>
      </c>
      <c r="D10" s="24">
        <v>45608</v>
      </c>
      <c r="E10" s="24" t="s">
        <v>64</v>
      </c>
      <c r="F10" s="22" t="s">
        <v>65</v>
      </c>
      <c r="G10" s="22" t="s">
        <v>72</v>
      </c>
      <c r="H10" s="25">
        <v>2.3978</v>
      </c>
      <c r="I10" s="25">
        <v>447</v>
      </c>
      <c r="J10" s="44">
        <v>4925.76</v>
      </c>
      <c r="K10" s="111"/>
      <c r="L10" s="46"/>
      <c r="M10" s="47"/>
      <c r="N10" s="48"/>
      <c r="O10" s="49"/>
      <c r="P10" s="50">
        <f t="shared" si="5"/>
        <v>4925.76</v>
      </c>
      <c r="Q10" s="78"/>
      <c r="R10" s="78"/>
      <c r="S10" s="77">
        <f t="shared" si="6"/>
        <v>1876.56059411765</v>
      </c>
      <c r="T10" s="77"/>
      <c r="U10" s="77">
        <f t="shared" si="7"/>
        <v>68.93675</v>
      </c>
      <c r="V10" s="77"/>
      <c r="W10" s="77"/>
      <c r="X10" s="77">
        <f t="shared" si="0"/>
        <v>1945.49734411765</v>
      </c>
      <c r="Y10" s="94">
        <f t="shared" si="8"/>
        <v>400.603266941176</v>
      </c>
      <c r="Z10" s="94"/>
      <c r="AA10" s="94">
        <f t="shared" si="9"/>
        <v>1.88791488235294</v>
      </c>
      <c r="AB10" s="94">
        <f t="shared" si="1"/>
        <v>402.491181823529</v>
      </c>
      <c r="AC10" s="45">
        <v>7.3</v>
      </c>
      <c r="AD10" s="77">
        <f t="shared" si="2"/>
        <v>2938.18562731176</v>
      </c>
      <c r="AE10" s="77">
        <f t="shared" si="3"/>
        <v>4883.68297142941</v>
      </c>
      <c r="AF10" s="77">
        <f t="shared" si="4"/>
        <v>42.0770285705885</v>
      </c>
    </row>
    <row r="11" s="109" customFormat="1" ht="15" spans="1:32">
      <c r="A11" s="21"/>
      <c r="B11" s="22"/>
      <c r="C11" s="23">
        <v>241104000071</v>
      </c>
      <c r="D11" s="24">
        <v>45608</v>
      </c>
      <c r="E11" s="24" t="s">
        <v>86</v>
      </c>
      <c r="F11" s="22" t="s">
        <v>87</v>
      </c>
      <c r="G11" s="22" t="s">
        <v>100</v>
      </c>
      <c r="H11" s="25">
        <v>0.2523</v>
      </c>
      <c r="I11" s="25">
        <v>27</v>
      </c>
      <c r="J11" s="50"/>
      <c r="K11" s="110">
        <v>116127</v>
      </c>
      <c r="L11" s="46"/>
      <c r="M11" s="47">
        <f t="shared" ref="M11:M15" si="10">SUM(K11/N11)</f>
        <v>1684.46475195822</v>
      </c>
      <c r="N11" s="52">
        <v>68.94</v>
      </c>
      <c r="O11" s="49">
        <v>7.3</v>
      </c>
      <c r="P11" s="50">
        <f t="shared" ref="P11:P15" si="11">SUM(N11*O11)</f>
        <v>503.262</v>
      </c>
      <c r="Q11" s="78"/>
      <c r="R11" s="78"/>
      <c r="S11" s="77">
        <f t="shared" si="6"/>
        <v>197.454432352941</v>
      </c>
      <c r="T11" s="77"/>
      <c r="U11" s="77">
        <f t="shared" si="7"/>
        <v>7.253625</v>
      </c>
      <c r="V11" s="77"/>
      <c r="W11" s="77"/>
      <c r="X11" s="77">
        <f t="shared" si="0"/>
        <v>204.708057352941</v>
      </c>
      <c r="Y11" s="94">
        <f t="shared" si="8"/>
        <v>42.1520578235294</v>
      </c>
      <c r="Z11" s="94"/>
      <c r="AA11" s="94">
        <f t="shared" si="9"/>
        <v>0.198649147058824</v>
      </c>
      <c r="AB11" s="94">
        <f t="shared" si="1"/>
        <v>42.3507069705882</v>
      </c>
      <c r="AC11" s="45">
        <v>7.3</v>
      </c>
      <c r="AD11" s="77">
        <f t="shared" si="2"/>
        <v>309.160160885294</v>
      </c>
      <c r="AE11" s="77">
        <f t="shared" si="3"/>
        <v>513.868218238235</v>
      </c>
      <c r="AF11" s="77">
        <f t="shared" si="4"/>
        <v>-10.6062182382353</v>
      </c>
    </row>
    <row r="12" s="109" customFormat="1" ht="15" spans="1:32">
      <c r="A12" s="21"/>
      <c r="B12" s="22"/>
      <c r="C12" s="23">
        <v>241105000024</v>
      </c>
      <c r="D12" s="24">
        <v>45608</v>
      </c>
      <c r="E12" s="24" t="s">
        <v>77</v>
      </c>
      <c r="F12" s="22" t="s">
        <v>78</v>
      </c>
      <c r="G12" s="22" t="s">
        <v>101</v>
      </c>
      <c r="H12" s="25">
        <v>2.0026</v>
      </c>
      <c r="I12" s="25">
        <v>262.5</v>
      </c>
      <c r="J12" s="44">
        <v>4385.69</v>
      </c>
      <c r="K12" s="111"/>
      <c r="L12" s="46"/>
      <c r="M12" s="47"/>
      <c r="N12" s="48"/>
      <c r="O12" s="49"/>
      <c r="P12" s="50">
        <f>SUBTOTAL(9,J12)</f>
        <v>4385.69</v>
      </c>
      <c r="Q12" s="78"/>
      <c r="R12" s="78"/>
      <c r="S12" s="77">
        <f t="shared" si="6"/>
        <v>1567.2701</v>
      </c>
      <c r="T12" s="77"/>
      <c r="U12" s="77">
        <f t="shared" si="7"/>
        <v>57.57475</v>
      </c>
      <c r="V12" s="77"/>
      <c r="W12" s="77"/>
      <c r="X12" s="77">
        <f t="shared" si="0"/>
        <v>1624.84485</v>
      </c>
      <c r="Y12" s="94">
        <f t="shared" si="8"/>
        <v>334.576738</v>
      </c>
      <c r="Z12" s="94"/>
      <c r="AA12" s="94">
        <f t="shared" si="9"/>
        <v>1.576753</v>
      </c>
      <c r="AB12" s="94">
        <f t="shared" si="1"/>
        <v>336.153491</v>
      </c>
      <c r="AC12" s="45">
        <v>7.3</v>
      </c>
      <c r="AD12" s="77">
        <f t="shared" si="2"/>
        <v>2453.9204843</v>
      </c>
      <c r="AE12" s="77">
        <f t="shared" si="3"/>
        <v>4078.7653343</v>
      </c>
      <c r="AF12" s="77">
        <f t="shared" si="4"/>
        <v>306.924665699999</v>
      </c>
    </row>
    <row r="13" s="109" customFormat="1" ht="15" spans="1:32">
      <c r="A13" s="21"/>
      <c r="B13" s="22"/>
      <c r="C13" s="23">
        <v>241105000025</v>
      </c>
      <c r="D13" s="24">
        <v>45608</v>
      </c>
      <c r="E13" s="24" t="s">
        <v>57</v>
      </c>
      <c r="F13" s="22" t="s">
        <v>58</v>
      </c>
      <c r="G13" s="22" t="s">
        <v>102</v>
      </c>
      <c r="H13" s="25">
        <v>3.7323</v>
      </c>
      <c r="I13" s="25">
        <v>536</v>
      </c>
      <c r="J13" s="50"/>
      <c r="K13" s="110">
        <v>1998941</v>
      </c>
      <c r="L13" s="46"/>
      <c r="M13" s="47">
        <f t="shared" si="10"/>
        <v>1712.44838516234</v>
      </c>
      <c r="N13" s="52">
        <v>1167.3</v>
      </c>
      <c r="O13" s="49">
        <v>7.3</v>
      </c>
      <c r="P13" s="50">
        <f t="shared" si="11"/>
        <v>8521.29</v>
      </c>
      <c r="Q13" s="78"/>
      <c r="R13" s="78"/>
      <c r="S13" s="77">
        <f t="shared" si="6"/>
        <v>2920.96384411765</v>
      </c>
      <c r="T13" s="77"/>
      <c r="U13" s="77">
        <f t="shared" si="7"/>
        <v>107.303625</v>
      </c>
      <c r="V13" s="77"/>
      <c r="W13" s="79">
        <v>350</v>
      </c>
      <c r="X13" s="77">
        <f t="shared" si="0"/>
        <v>3378.26746911765</v>
      </c>
      <c r="Y13" s="94">
        <f t="shared" si="8"/>
        <v>623.559751941176</v>
      </c>
      <c r="Z13" s="94"/>
      <c r="AA13" s="94">
        <f t="shared" si="9"/>
        <v>2.93863738235294</v>
      </c>
      <c r="AB13" s="94">
        <f t="shared" si="1"/>
        <v>626.498389323529</v>
      </c>
      <c r="AC13" s="45">
        <v>7.3</v>
      </c>
      <c r="AD13" s="77">
        <f t="shared" si="2"/>
        <v>4573.43824206176</v>
      </c>
      <c r="AE13" s="77">
        <f t="shared" si="3"/>
        <v>7951.70571117941</v>
      </c>
      <c r="AF13" s="77">
        <f t="shared" si="4"/>
        <v>569.58428882059</v>
      </c>
    </row>
    <row r="14" s="109" customFormat="1" ht="15" spans="1:32">
      <c r="A14" s="21"/>
      <c r="B14" s="22"/>
      <c r="C14" s="23">
        <v>241105000054</v>
      </c>
      <c r="D14" s="24">
        <v>45608</v>
      </c>
      <c r="E14" s="24" t="s">
        <v>60</v>
      </c>
      <c r="F14" s="22" t="s">
        <v>61</v>
      </c>
      <c r="G14" s="22" t="s">
        <v>103</v>
      </c>
      <c r="H14" s="25">
        <v>0.3709</v>
      </c>
      <c r="I14" s="25">
        <v>167</v>
      </c>
      <c r="J14" s="105"/>
      <c r="K14" s="110">
        <v>206012.98</v>
      </c>
      <c r="L14" s="46"/>
      <c r="M14" s="47">
        <f t="shared" si="10"/>
        <v>1664.88588976887</v>
      </c>
      <c r="N14" s="99">
        <v>123.74</v>
      </c>
      <c r="O14" s="49">
        <v>7.27</v>
      </c>
      <c r="P14" s="50">
        <f t="shared" si="11"/>
        <v>899.5898</v>
      </c>
      <c r="Q14" s="78"/>
      <c r="R14" s="78"/>
      <c r="S14" s="77">
        <f t="shared" si="6"/>
        <v>290.272885294118</v>
      </c>
      <c r="T14" s="77"/>
      <c r="U14" s="77">
        <f t="shared" si="7"/>
        <v>10.663375</v>
      </c>
      <c r="V14" s="77"/>
      <c r="W14" s="77"/>
      <c r="X14" s="77">
        <f t="shared" si="0"/>
        <v>300.936260294118</v>
      </c>
      <c r="Y14" s="94">
        <f t="shared" si="8"/>
        <v>61.9666993529412</v>
      </c>
      <c r="Z14" s="94"/>
      <c r="AA14" s="94">
        <f t="shared" si="9"/>
        <v>0.292029205882353</v>
      </c>
      <c r="AB14" s="94">
        <f t="shared" si="1"/>
        <v>62.2587285588235</v>
      </c>
      <c r="AC14" s="45">
        <v>7.3</v>
      </c>
      <c r="AD14" s="77">
        <f t="shared" si="2"/>
        <v>454.488718479412</v>
      </c>
      <c r="AE14" s="77">
        <f t="shared" si="3"/>
        <v>755.424978773529</v>
      </c>
      <c r="AF14" s="77">
        <f t="shared" si="4"/>
        <v>144.164821226471</v>
      </c>
    </row>
    <row r="15" s="109" customFormat="1" ht="15" spans="1:32">
      <c r="A15" s="21"/>
      <c r="B15" s="22"/>
      <c r="C15" s="23">
        <v>241106000015</v>
      </c>
      <c r="D15" s="24">
        <v>45608</v>
      </c>
      <c r="E15" s="24" t="s">
        <v>64</v>
      </c>
      <c r="F15" s="22" t="s">
        <v>65</v>
      </c>
      <c r="G15" s="22" t="s">
        <v>104</v>
      </c>
      <c r="H15" s="25">
        <v>0.2358</v>
      </c>
      <c r="I15" s="25">
        <v>43</v>
      </c>
      <c r="J15" s="50"/>
      <c r="K15" s="110">
        <v>132422.4</v>
      </c>
      <c r="L15" s="46"/>
      <c r="M15" s="47">
        <f t="shared" si="10"/>
        <v>1672</v>
      </c>
      <c r="N15" s="52">
        <v>79.2</v>
      </c>
      <c r="O15" s="49">
        <v>7.3</v>
      </c>
      <c r="P15" s="50">
        <f t="shared" si="11"/>
        <v>578.16</v>
      </c>
      <c r="Q15" s="78"/>
      <c r="R15" s="78"/>
      <c r="S15" s="77">
        <f t="shared" si="6"/>
        <v>184.541241176471</v>
      </c>
      <c r="T15" s="77"/>
      <c r="U15" s="77">
        <f t="shared" si="7"/>
        <v>6.77925</v>
      </c>
      <c r="V15" s="77"/>
      <c r="W15" s="77"/>
      <c r="X15" s="77">
        <f t="shared" si="0"/>
        <v>191.320491176471</v>
      </c>
      <c r="Y15" s="94">
        <f t="shared" si="8"/>
        <v>39.3953834117647</v>
      </c>
      <c r="Z15" s="94"/>
      <c r="AA15" s="94">
        <f t="shared" si="9"/>
        <v>0.185657823529412</v>
      </c>
      <c r="AB15" s="94">
        <f t="shared" si="1"/>
        <v>39.5810412352941</v>
      </c>
      <c r="AC15" s="45">
        <v>7.3</v>
      </c>
      <c r="AD15" s="77">
        <f t="shared" si="2"/>
        <v>288.941601017647</v>
      </c>
      <c r="AE15" s="77">
        <f t="shared" si="3"/>
        <v>480.262092194118</v>
      </c>
      <c r="AF15" s="77">
        <f t="shared" si="4"/>
        <v>97.8979078058824</v>
      </c>
    </row>
    <row r="16" s="109" customFormat="1" ht="15" spans="1:32">
      <c r="A16" s="21"/>
      <c r="B16" s="22"/>
      <c r="C16" s="23">
        <v>241106000020</v>
      </c>
      <c r="D16" s="24">
        <v>45608</v>
      </c>
      <c r="E16" s="24" t="s">
        <v>57</v>
      </c>
      <c r="F16" s="22" t="s">
        <v>58</v>
      </c>
      <c r="G16" s="22" t="s">
        <v>105</v>
      </c>
      <c r="H16" s="25">
        <v>0.3</v>
      </c>
      <c r="I16" s="25">
        <v>65</v>
      </c>
      <c r="J16" s="44">
        <v>908</v>
      </c>
      <c r="K16" s="111"/>
      <c r="L16" s="46"/>
      <c r="M16" s="47"/>
      <c r="N16" s="48"/>
      <c r="O16" s="49"/>
      <c r="P16" s="50">
        <f t="shared" ref="P16:P19" si="12">SUBTOTAL(9,J16)</f>
        <v>908</v>
      </c>
      <c r="Q16" s="78"/>
      <c r="R16" s="78"/>
      <c r="S16" s="77">
        <f t="shared" si="6"/>
        <v>234.785294117647</v>
      </c>
      <c r="T16" s="77"/>
      <c r="U16" s="77">
        <f t="shared" si="7"/>
        <v>8.625</v>
      </c>
      <c r="V16" s="77"/>
      <c r="W16" s="77"/>
      <c r="X16" s="77">
        <f t="shared" si="0"/>
        <v>243.410294117647</v>
      </c>
      <c r="Y16" s="94">
        <f t="shared" si="8"/>
        <v>50.1213529411765</v>
      </c>
      <c r="Z16" s="95">
        <v>34.85</v>
      </c>
      <c r="AA16" s="94">
        <f t="shared" si="9"/>
        <v>0.236205882352941</v>
      </c>
      <c r="AB16" s="94">
        <f t="shared" si="1"/>
        <v>85.2075588235294</v>
      </c>
      <c r="AC16" s="45">
        <v>7.3</v>
      </c>
      <c r="AD16" s="77">
        <f t="shared" si="2"/>
        <v>622.015179411765</v>
      </c>
      <c r="AE16" s="77">
        <f t="shared" si="3"/>
        <v>865.425473529412</v>
      </c>
      <c r="AF16" s="77">
        <f t="shared" si="4"/>
        <v>42.5745264705882</v>
      </c>
    </row>
    <row r="17" s="109" customFormat="1" ht="15" spans="1:32">
      <c r="A17" s="21"/>
      <c r="B17" s="22"/>
      <c r="C17" s="23">
        <v>241106000026</v>
      </c>
      <c r="D17" s="24">
        <v>45608</v>
      </c>
      <c r="E17" s="24" t="s">
        <v>53</v>
      </c>
      <c r="F17" s="22" t="s">
        <v>54</v>
      </c>
      <c r="G17" s="22" t="s">
        <v>106</v>
      </c>
      <c r="H17" s="25">
        <v>0.1938</v>
      </c>
      <c r="I17" s="25">
        <v>63</v>
      </c>
      <c r="J17" s="50"/>
      <c r="K17" s="110">
        <v>188972</v>
      </c>
      <c r="L17" s="46"/>
      <c r="M17" s="47">
        <f t="shared" ref="M17:M22" si="13">SUM(K17/N17)</f>
        <v>1700</v>
      </c>
      <c r="N17" s="52">
        <v>111.16</v>
      </c>
      <c r="O17" s="49">
        <v>7.27</v>
      </c>
      <c r="P17" s="50">
        <f t="shared" ref="P17:P22" si="14">SUM(N17*O17)</f>
        <v>808.1332</v>
      </c>
      <c r="Q17" s="78"/>
      <c r="R17" s="78"/>
      <c r="S17" s="77">
        <f t="shared" si="6"/>
        <v>151.6713</v>
      </c>
      <c r="T17" s="77"/>
      <c r="U17" s="77">
        <f t="shared" si="7"/>
        <v>5.57175</v>
      </c>
      <c r="V17" s="77"/>
      <c r="W17" s="77"/>
      <c r="X17" s="77">
        <f t="shared" si="0"/>
        <v>157.24305</v>
      </c>
      <c r="Y17" s="94">
        <f t="shared" si="8"/>
        <v>32.378394</v>
      </c>
      <c r="Z17" s="95">
        <v>53.58</v>
      </c>
      <c r="AA17" s="94">
        <f t="shared" si="9"/>
        <v>0.152589</v>
      </c>
      <c r="AB17" s="94">
        <f t="shared" si="1"/>
        <v>86.110983</v>
      </c>
      <c r="AC17" s="45">
        <v>7.3</v>
      </c>
      <c r="AD17" s="77">
        <f t="shared" si="2"/>
        <v>628.6101759</v>
      </c>
      <c r="AE17" s="77">
        <f t="shared" si="3"/>
        <v>785.8532259</v>
      </c>
      <c r="AF17" s="77">
        <f t="shared" si="4"/>
        <v>22.2799740999999</v>
      </c>
    </row>
    <row r="18" s="109" customFormat="1" ht="15" spans="1:32">
      <c r="A18" s="21"/>
      <c r="B18" s="22"/>
      <c r="C18" s="23">
        <v>241106000034</v>
      </c>
      <c r="D18" s="24">
        <v>45608</v>
      </c>
      <c r="E18" s="24" t="s">
        <v>57</v>
      </c>
      <c r="F18" s="22" t="s">
        <v>58</v>
      </c>
      <c r="G18" s="22" t="s">
        <v>107</v>
      </c>
      <c r="H18" s="25">
        <v>0.3814</v>
      </c>
      <c r="I18" s="25">
        <v>55</v>
      </c>
      <c r="J18" s="44">
        <v>1213</v>
      </c>
      <c r="K18" s="111"/>
      <c r="L18" s="46"/>
      <c r="M18" s="47"/>
      <c r="N18" s="48"/>
      <c r="O18" s="49"/>
      <c r="P18" s="50">
        <f t="shared" si="12"/>
        <v>1213</v>
      </c>
      <c r="Q18" s="78"/>
      <c r="R18" s="78"/>
      <c r="S18" s="77">
        <f t="shared" si="6"/>
        <v>298.490370588235</v>
      </c>
      <c r="T18" s="77"/>
      <c r="U18" s="77">
        <f t="shared" si="7"/>
        <v>10.96525</v>
      </c>
      <c r="V18" s="77"/>
      <c r="W18" s="77"/>
      <c r="X18" s="77">
        <f t="shared" si="0"/>
        <v>309.455620588235</v>
      </c>
      <c r="Y18" s="94">
        <f t="shared" si="8"/>
        <v>63.7209467058824</v>
      </c>
      <c r="Z18" s="95">
        <v>44.32</v>
      </c>
      <c r="AA18" s="94">
        <f t="shared" si="9"/>
        <v>0.300296411764706</v>
      </c>
      <c r="AB18" s="94">
        <f t="shared" si="1"/>
        <v>108.341243117647</v>
      </c>
      <c r="AC18" s="45">
        <v>7.3</v>
      </c>
      <c r="AD18" s="77">
        <f t="shared" si="2"/>
        <v>790.891074758824</v>
      </c>
      <c r="AE18" s="77">
        <f t="shared" si="3"/>
        <v>1100.34669534706</v>
      </c>
      <c r="AF18" s="77">
        <f t="shared" si="4"/>
        <v>112.653304652941</v>
      </c>
    </row>
    <row r="19" s="109" customFormat="1" ht="15" spans="1:32">
      <c r="A19" s="21"/>
      <c r="B19" s="22"/>
      <c r="C19" s="23">
        <v>241106000049</v>
      </c>
      <c r="D19" s="24">
        <v>45608</v>
      </c>
      <c r="E19" s="24" t="s">
        <v>57</v>
      </c>
      <c r="F19" s="22" t="s">
        <v>58</v>
      </c>
      <c r="G19" s="22" t="s">
        <v>108</v>
      </c>
      <c r="H19" s="25">
        <v>0.0224</v>
      </c>
      <c r="I19" s="25">
        <v>5.5</v>
      </c>
      <c r="J19" s="44">
        <v>228</v>
      </c>
      <c r="K19" s="111"/>
      <c r="L19" s="46"/>
      <c r="M19" s="47"/>
      <c r="N19" s="48"/>
      <c r="O19" s="49"/>
      <c r="P19" s="50">
        <f t="shared" si="12"/>
        <v>228</v>
      </c>
      <c r="Q19" s="78"/>
      <c r="R19" s="78"/>
      <c r="S19" s="77">
        <f t="shared" si="6"/>
        <v>17.5306352941176</v>
      </c>
      <c r="T19" s="77"/>
      <c r="U19" s="77">
        <f t="shared" si="7"/>
        <v>0.644</v>
      </c>
      <c r="V19" s="77"/>
      <c r="W19" s="77"/>
      <c r="X19" s="77">
        <f t="shared" si="0"/>
        <v>18.1746352941176</v>
      </c>
      <c r="Y19" s="94">
        <f t="shared" si="8"/>
        <v>3.74239435294118</v>
      </c>
      <c r="Z19" s="94"/>
      <c r="AA19" s="94">
        <f t="shared" si="9"/>
        <v>0.0176367058823529</v>
      </c>
      <c r="AB19" s="94">
        <f t="shared" si="1"/>
        <v>3.76003105882353</v>
      </c>
      <c r="AC19" s="45">
        <v>7.3</v>
      </c>
      <c r="AD19" s="77">
        <f t="shared" si="2"/>
        <v>27.4482267294118</v>
      </c>
      <c r="AE19" s="77">
        <f t="shared" si="3"/>
        <v>45.6228620235294</v>
      </c>
      <c r="AF19" s="77">
        <f t="shared" si="4"/>
        <v>182.377137976471</v>
      </c>
    </row>
    <row r="20" s="109" customFormat="1" ht="15" spans="1:32">
      <c r="A20" s="21"/>
      <c r="B20" s="22"/>
      <c r="C20" s="23">
        <v>241107000010</v>
      </c>
      <c r="D20" s="24">
        <v>45608</v>
      </c>
      <c r="E20" s="24" t="s">
        <v>64</v>
      </c>
      <c r="F20" s="22" t="s">
        <v>65</v>
      </c>
      <c r="G20" s="22" t="s">
        <v>89</v>
      </c>
      <c r="H20" s="25">
        <v>0.616</v>
      </c>
      <c r="I20" s="25">
        <v>188</v>
      </c>
      <c r="J20" s="50"/>
      <c r="K20" s="110">
        <v>331724.8</v>
      </c>
      <c r="L20" s="46"/>
      <c r="M20" s="47">
        <f t="shared" si="13"/>
        <v>1672</v>
      </c>
      <c r="N20" s="52">
        <v>198.4</v>
      </c>
      <c r="O20" s="49">
        <v>7.3</v>
      </c>
      <c r="P20" s="50">
        <f t="shared" si="14"/>
        <v>1448.32</v>
      </c>
      <c r="Q20" s="78"/>
      <c r="R20" s="78"/>
      <c r="S20" s="77">
        <f t="shared" si="6"/>
        <v>482.092470588235</v>
      </c>
      <c r="T20" s="77"/>
      <c r="U20" s="77">
        <f t="shared" si="7"/>
        <v>17.71</v>
      </c>
      <c r="V20" s="77"/>
      <c r="W20" s="77"/>
      <c r="X20" s="77">
        <f t="shared" si="0"/>
        <v>499.802470588235</v>
      </c>
      <c r="Y20" s="94">
        <f t="shared" si="8"/>
        <v>102.915844705882</v>
      </c>
      <c r="Z20" s="95">
        <v>3.11</v>
      </c>
      <c r="AA20" s="94">
        <f t="shared" si="9"/>
        <v>0.485009411764706</v>
      </c>
      <c r="AB20" s="94">
        <f t="shared" si="1"/>
        <v>106.510854117647</v>
      </c>
      <c r="AC20" s="45">
        <v>7.3</v>
      </c>
      <c r="AD20" s="77">
        <f t="shared" si="2"/>
        <v>777.529235058823</v>
      </c>
      <c r="AE20" s="77">
        <f t="shared" si="3"/>
        <v>1277.33170564706</v>
      </c>
      <c r="AF20" s="77">
        <f t="shared" si="4"/>
        <v>170.988294352941</v>
      </c>
    </row>
    <row r="21" s="109" customFormat="1" ht="15" spans="1:32">
      <c r="A21" s="21"/>
      <c r="B21" s="22"/>
      <c r="C21" s="23">
        <v>241107000011</v>
      </c>
      <c r="D21" s="24">
        <v>45608</v>
      </c>
      <c r="E21" s="24" t="s">
        <v>64</v>
      </c>
      <c r="F21" s="22" t="s">
        <v>65</v>
      </c>
      <c r="G21" s="22" t="s">
        <v>89</v>
      </c>
      <c r="H21" s="25">
        <v>2.028</v>
      </c>
      <c r="I21" s="25">
        <v>358</v>
      </c>
      <c r="J21" s="50"/>
      <c r="K21" s="110">
        <v>1086131.2</v>
      </c>
      <c r="L21" s="46"/>
      <c r="M21" s="47">
        <f t="shared" si="13"/>
        <v>1672</v>
      </c>
      <c r="N21" s="52">
        <v>649.6</v>
      </c>
      <c r="O21" s="49">
        <v>7.3</v>
      </c>
      <c r="P21" s="50">
        <f t="shared" si="14"/>
        <v>4742.08</v>
      </c>
      <c r="Q21" s="78"/>
      <c r="R21" s="78"/>
      <c r="S21" s="77">
        <f t="shared" si="6"/>
        <v>1587.14858823529</v>
      </c>
      <c r="T21" s="77"/>
      <c r="U21" s="77">
        <f t="shared" si="7"/>
        <v>58.305</v>
      </c>
      <c r="V21" s="77"/>
      <c r="W21" s="77"/>
      <c r="X21" s="77">
        <f t="shared" si="0"/>
        <v>1645.45358823529</v>
      </c>
      <c r="Y21" s="94">
        <f t="shared" si="8"/>
        <v>338.820345882353</v>
      </c>
      <c r="Z21" s="95">
        <v>10.18</v>
      </c>
      <c r="AA21" s="94">
        <f t="shared" si="9"/>
        <v>1.59675176470588</v>
      </c>
      <c r="AB21" s="94">
        <f t="shared" si="1"/>
        <v>350.597097647059</v>
      </c>
      <c r="AC21" s="45">
        <v>7.3</v>
      </c>
      <c r="AD21" s="77">
        <f t="shared" si="2"/>
        <v>2559.35881282353</v>
      </c>
      <c r="AE21" s="77">
        <f t="shared" si="3"/>
        <v>4204.81240105882</v>
      </c>
      <c r="AF21" s="77">
        <f t="shared" si="4"/>
        <v>537.267598941176</v>
      </c>
    </row>
    <row r="22" s="109" customFormat="1" ht="15" spans="1:32">
      <c r="A22" s="21"/>
      <c r="B22" s="22"/>
      <c r="C22" s="23">
        <v>241107000012</v>
      </c>
      <c r="D22" s="24">
        <v>45608</v>
      </c>
      <c r="E22" s="24" t="s">
        <v>64</v>
      </c>
      <c r="F22" s="22" t="s">
        <v>65</v>
      </c>
      <c r="G22" s="22" t="s">
        <v>89</v>
      </c>
      <c r="H22" s="25">
        <v>7.8483</v>
      </c>
      <c r="I22" s="25">
        <v>1598</v>
      </c>
      <c r="J22" s="50"/>
      <c r="K22" s="110">
        <v>4200064</v>
      </c>
      <c r="L22" s="46"/>
      <c r="M22" s="47">
        <f t="shared" si="13"/>
        <v>1672</v>
      </c>
      <c r="N22" s="52">
        <v>2512</v>
      </c>
      <c r="O22" s="49">
        <v>7.3</v>
      </c>
      <c r="P22" s="50">
        <f t="shared" si="14"/>
        <v>18337.6</v>
      </c>
      <c r="Q22" s="78"/>
      <c r="R22" s="78"/>
      <c r="S22" s="77">
        <f t="shared" si="6"/>
        <v>6142.21807941176</v>
      </c>
      <c r="T22" s="77"/>
      <c r="U22" s="77">
        <f t="shared" si="7"/>
        <v>225.638625</v>
      </c>
      <c r="V22" s="77"/>
      <c r="W22" s="77"/>
      <c r="X22" s="77">
        <f t="shared" si="0"/>
        <v>6367.85670441176</v>
      </c>
      <c r="Y22" s="94">
        <f t="shared" si="8"/>
        <v>1311.22471429412</v>
      </c>
      <c r="Z22" s="95">
        <v>39.27</v>
      </c>
      <c r="AA22" s="94">
        <f t="shared" si="9"/>
        <v>6.17938208823529</v>
      </c>
      <c r="AB22" s="94">
        <f t="shared" si="1"/>
        <v>1356.67409638235</v>
      </c>
      <c r="AC22" s="45">
        <v>7.3</v>
      </c>
      <c r="AD22" s="77">
        <f t="shared" si="2"/>
        <v>9903.72090359118</v>
      </c>
      <c r="AE22" s="77">
        <f t="shared" si="3"/>
        <v>16271.5776080029</v>
      </c>
      <c r="AF22" s="77">
        <f t="shared" si="4"/>
        <v>2066.02239199706</v>
      </c>
    </row>
    <row r="23" s="109" customFormat="1" ht="15" spans="1:32">
      <c r="A23" s="21"/>
      <c r="B23" s="22"/>
      <c r="C23" s="23">
        <v>241108000001</v>
      </c>
      <c r="D23" s="24">
        <v>45608</v>
      </c>
      <c r="E23" s="24" t="s">
        <v>70</v>
      </c>
      <c r="F23" s="22" t="s">
        <v>70</v>
      </c>
      <c r="G23" s="22" t="s">
        <v>109</v>
      </c>
      <c r="H23" s="25">
        <v>1.6887</v>
      </c>
      <c r="I23" s="25">
        <v>558</v>
      </c>
      <c r="J23" s="44">
        <v>5053</v>
      </c>
      <c r="K23" s="111"/>
      <c r="L23" s="46"/>
      <c r="M23" s="47"/>
      <c r="N23" s="48"/>
      <c r="O23" s="49"/>
      <c r="P23" s="50">
        <f>SUBTOTAL(9,J23)</f>
        <v>5053</v>
      </c>
      <c r="Q23" s="78"/>
      <c r="R23" s="78"/>
      <c r="S23" s="77">
        <f t="shared" si="6"/>
        <v>1321.60642058824</v>
      </c>
      <c r="T23" s="77"/>
      <c r="U23" s="77">
        <f t="shared" si="7"/>
        <v>48.550125</v>
      </c>
      <c r="V23" s="77"/>
      <c r="W23" s="77"/>
      <c r="X23" s="77">
        <f t="shared" si="0"/>
        <v>1370.15654558824</v>
      </c>
      <c r="Y23" s="94">
        <f t="shared" si="8"/>
        <v>282.133095705882</v>
      </c>
      <c r="Z23" s="94">
        <v>57.94</v>
      </c>
      <c r="AA23" s="94">
        <f t="shared" si="9"/>
        <v>1.32960291176471</v>
      </c>
      <c r="AB23" s="94">
        <f t="shared" si="1"/>
        <v>341.402698617647</v>
      </c>
      <c r="AC23" s="45">
        <v>7.3</v>
      </c>
      <c r="AD23" s="77">
        <f t="shared" si="2"/>
        <v>2492.23969990882</v>
      </c>
      <c r="AE23" s="77">
        <f t="shared" si="3"/>
        <v>3862.39624549706</v>
      </c>
      <c r="AF23" s="77">
        <f t="shared" si="4"/>
        <v>1190.60375450294</v>
      </c>
    </row>
    <row r="24" s="109" customFormat="1" ht="15" spans="1:32">
      <c r="A24" s="21"/>
      <c r="B24" s="22"/>
      <c r="C24" s="23">
        <v>241109000008</v>
      </c>
      <c r="D24" s="24">
        <v>45608</v>
      </c>
      <c r="E24" s="24" t="s">
        <v>64</v>
      </c>
      <c r="F24" s="22" t="s">
        <v>65</v>
      </c>
      <c r="G24" s="22" t="s">
        <v>104</v>
      </c>
      <c r="H24" s="25">
        <v>1.344</v>
      </c>
      <c r="I24" s="25">
        <v>254</v>
      </c>
      <c r="J24" s="50"/>
      <c r="K24" s="110">
        <v>696622.08</v>
      </c>
      <c r="L24" s="46"/>
      <c r="M24" s="47">
        <f>SUM(K24/N24)</f>
        <v>1672</v>
      </c>
      <c r="N24" s="52">
        <v>416.64</v>
      </c>
      <c r="O24" s="49">
        <v>7.3</v>
      </c>
      <c r="P24" s="50">
        <f>SUM(N24*O24)</f>
        <v>3041.472</v>
      </c>
      <c r="Q24" s="78"/>
      <c r="R24" s="78"/>
      <c r="S24" s="77">
        <f t="shared" si="6"/>
        <v>1051.83811764706</v>
      </c>
      <c r="T24" s="77"/>
      <c r="U24" s="77">
        <f t="shared" si="7"/>
        <v>38.64</v>
      </c>
      <c r="V24" s="77"/>
      <c r="W24" s="77"/>
      <c r="X24" s="77">
        <f t="shared" si="0"/>
        <v>1090.47811764706</v>
      </c>
      <c r="Y24" s="94">
        <f t="shared" si="8"/>
        <v>224.543661176471</v>
      </c>
      <c r="Z24" s="94"/>
      <c r="AA24" s="94">
        <f t="shared" si="9"/>
        <v>1.05820235294118</v>
      </c>
      <c r="AB24" s="94">
        <f t="shared" si="1"/>
        <v>225.601863529412</v>
      </c>
      <c r="AC24" s="45">
        <v>7.3</v>
      </c>
      <c r="AD24" s="77">
        <f t="shared" si="2"/>
        <v>1646.89360376471</v>
      </c>
      <c r="AE24" s="77">
        <f t="shared" si="3"/>
        <v>2737.37172141177</v>
      </c>
      <c r="AF24" s="77">
        <f t="shared" si="4"/>
        <v>304.100278588235</v>
      </c>
    </row>
    <row r="25" s="2" customFormat="1" spans="1:32">
      <c r="A25" s="21"/>
      <c r="B25" s="22"/>
      <c r="C25" s="23">
        <v>241210000044</v>
      </c>
      <c r="D25" s="24">
        <v>45609</v>
      </c>
      <c r="E25" s="24" t="s">
        <v>94</v>
      </c>
      <c r="F25" s="22" t="s">
        <v>95</v>
      </c>
      <c r="G25" s="22" t="s">
        <v>96</v>
      </c>
      <c r="H25" s="25">
        <v>5.104</v>
      </c>
      <c r="I25" s="25">
        <v>471</v>
      </c>
      <c r="J25" s="44">
        <v>7929.81</v>
      </c>
      <c r="K25" s="100"/>
      <c r="L25" s="46"/>
      <c r="M25" s="47"/>
      <c r="N25" s="52"/>
      <c r="O25" s="49"/>
      <c r="P25" s="50">
        <f>SUBTOTAL(9,J25)</f>
        <v>7929.81</v>
      </c>
      <c r="Q25" s="78"/>
      <c r="R25" s="78"/>
      <c r="S25" s="77">
        <f t="shared" si="6"/>
        <v>3994.48047058824</v>
      </c>
      <c r="T25" s="77"/>
      <c r="U25" s="77">
        <f t="shared" si="7"/>
        <v>146.74</v>
      </c>
      <c r="V25" s="77"/>
      <c r="W25" s="77"/>
      <c r="X25" s="77">
        <f t="shared" si="0"/>
        <v>4141.22047058824</v>
      </c>
      <c r="Y25" s="94">
        <f t="shared" si="8"/>
        <v>852.731284705882</v>
      </c>
      <c r="Z25" s="94"/>
      <c r="AA25" s="94">
        <f t="shared" si="9"/>
        <v>4.01864941176471</v>
      </c>
      <c r="AB25" s="94">
        <f t="shared" si="1"/>
        <v>856.749934117647</v>
      </c>
      <c r="AC25" s="45">
        <v>7.3</v>
      </c>
      <c r="AD25" s="77">
        <f t="shared" si="2"/>
        <v>6254.27451905882</v>
      </c>
      <c r="AE25" s="77">
        <f t="shared" si="3"/>
        <v>10395.4949896471</v>
      </c>
      <c r="AF25" s="77">
        <f t="shared" si="4"/>
        <v>-2465.68498964706</v>
      </c>
    </row>
    <row r="26" s="109" customFormat="1" ht="15" spans="1:32">
      <c r="A26" s="21"/>
      <c r="B26" s="22"/>
      <c r="C26" s="23">
        <v>241112000025</v>
      </c>
      <c r="D26" s="24">
        <v>45608</v>
      </c>
      <c r="E26" s="24" t="s">
        <v>77</v>
      </c>
      <c r="F26" s="22" t="s">
        <v>78</v>
      </c>
      <c r="G26" s="22" t="s">
        <v>79</v>
      </c>
      <c r="H26" s="25">
        <v>0.2838</v>
      </c>
      <c r="I26" s="25">
        <v>166</v>
      </c>
      <c r="J26" s="44">
        <v>621.3</v>
      </c>
      <c r="K26" s="111"/>
      <c r="L26" s="46"/>
      <c r="M26" s="47"/>
      <c r="N26" s="48"/>
      <c r="O26" s="49"/>
      <c r="P26" s="50">
        <f>SUBTOTAL(9,J26)</f>
        <v>621.3</v>
      </c>
      <c r="Q26" s="81"/>
      <c r="R26" s="81"/>
      <c r="S26" s="77">
        <f t="shared" si="6"/>
        <v>222.106888235294</v>
      </c>
      <c r="T26" s="77"/>
      <c r="U26" s="77">
        <f t="shared" si="7"/>
        <v>8.15925</v>
      </c>
      <c r="V26" s="77"/>
      <c r="W26" s="77"/>
      <c r="X26" s="77">
        <f t="shared" si="0"/>
        <v>230.266138235294</v>
      </c>
      <c r="Y26" s="94">
        <f t="shared" si="8"/>
        <v>47.4147998823529</v>
      </c>
      <c r="Z26" s="94"/>
      <c r="AA26" s="94">
        <f t="shared" si="9"/>
        <v>0.223450764705882</v>
      </c>
      <c r="AB26" s="94">
        <f t="shared" si="1"/>
        <v>47.6382506470588</v>
      </c>
      <c r="AC26" s="45">
        <v>7.3</v>
      </c>
      <c r="AD26" s="77">
        <f t="shared" si="2"/>
        <v>347.759229723529</v>
      </c>
      <c r="AE26" s="77">
        <f t="shared" si="3"/>
        <v>578.025367958823</v>
      </c>
      <c r="AF26" s="77">
        <f t="shared" si="4"/>
        <v>43.2746320411765</v>
      </c>
    </row>
    <row r="27" ht="15.75" spans="1:32">
      <c r="A27" s="27" t="s">
        <v>20</v>
      </c>
      <c r="B27" s="28"/>
      <c r="C27" s="28"/>
      <c r="D27" s="28"/>
      <c r="E27" s="28"/>
      <c r="F27" s="28"/>
      <c r="G27" s="28"/>
      <c r="H27" s="28"/>
      <c r="I27" s="54"/>
      <c r="J27" s="28">
        <f>SUM(J4:J4)</f>
        <v>0</v>
      </c>
      <c r="K27" s="55"/>
      <c r="L27" s="56"/>
      <c r="M27" s="55"/>
      <c r="N27" s="55">
        <f t="shared" ref="N27:Q27" si="15">SUM(N4:N4)</f>
        <v>0</v>
      </c>
      <c r="O27" s="28"/>
      <c r="P27" s="28">
        <f t="shared" si="15"/>
        <v>0</v>
      </c>
      <c r="Q27" s="28">
        <f t="shared" si="15"/>
        <v>0</v>
      </c>
      <c r="R27" s="28"/>
      <c r="S27" s="28"/>
      <c r="T27" s="28"/>
      <c r="U27" s="28"/>
      <c r="V27" s="28"/>
      <c r="W27" s="28"/>
      <c r="X27" s="82">
        <f>SUM(X4:X4)</f>
        <v>0</v>
      </c>
      <c r="Y27" s="56"/>
      <c r="Z27" s="56"/>
      <c r="AA27" s="56"/>
      <c r="AB27" s="56"/>
      <c r="AC27" s="55"/>
      <c r="AD27" s="28">
        <f>SUM(AD4:AD4)</f>
        <v>0</v>
      </c>
      <c r="AE27" s="28"/>
      <c r="AF27" s="96">
        <f>SUM(AF4:AF26)</f>
        <v>16693.8212103176</v>
      </c>
    </row>
    <row r="28" customFormat="1" spans="4:32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  <c r="AF28" s="8"/>
    </row>
    <row r="29" customFormat="1" spans="4:32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  <c r="AF29" s="8"/>
    </row>
    <row r="30" customFormat="1" spans="4:32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  <c r="AF30" s="8"/>
    </row>
    <row r="31" customFormat="1" spans="4:32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  <c r="AF31" s="8"/>
    </row>
    <row r="32" customFormat="1" spans="4:32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  <c r="AF32" s="8"/>
    </row>
    <row r="33" customFormat="1" spans="4:32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  <c r="AF33" s="8"/>
    </row>
    <row r="34" customFormat="1" spans="4:32">
      <c r="D34" s="3"/>
      <c r="E34" s="3"/>
      <c r="K34" s="4"/>
      <c r="L34" s="5"/>
      <c r="M34" s="4"/>
      <c r="X34" s="7"/>
      <c r="Y34" s="5"/>
      <c r="Z34" s="5"/>
      <c r="AA34" s="5"/>
      <c r="AB34" s="5"/>
      <c r="AC34" s="4"/>
      <c r="AF34" s="8"/>
    </row>
    <row r="35" customFormat="1" spans="4:32">
      <c r="D35" s="3"/>
      <c r="E35" s="3"/>
      <c r="K35" s="4"/>
      <c r="L35" s="5"/>
      <c r="M35" s="4"/>
      <c r="X35" s="7"/>
      <c r="Y35" s="5"/>
      <c r="Z35" s="5"/>
      <c r="AA35" s="5"/>
      <c r="AB35" s="5"/>
      <c r="AC35" s="4"/>
      <c r="AF35" s="8"/>
    </row>
    <row r="36" customFormat="1" spans="4:32">
      <c r="D36" s="3"/>
      <c r="E36" s="3"/>
      <c r="K36" s="4"/>
      <c r="L36" s="5"/>
      <c r="M36" s="4"/>
      <c r="X36" s="7"/>
      <c r="Y36" s="5"/>
      <c r="Z36" s="5"/>
      <c r="AA36" s="5"/>
      <c r="AB36" s="5"/>
      <c r="AC36" s="4"/>
      <c r="AF36" s="8"/>
    </row>
    <row r="37" customFormat="1" spans="4:32">
      <c r="D37" s="3"/>
      <c r="E37" s="3"/>
      <c r="K37" s="4"/>
      <c r="L37" s="5"/>
      <c r="M37" s="4"/>
      <c r="X37" s="7"/>
      <c r="Y37" s="5"/>
      <c r="Z37" s="5"/>
      <c r="AA37" s="5"/>
      <c r="AB37" s="5"/>
      <c r="AC37" s="4"/>
      <c r="AF37" s="8"/>
    </row>
    <row r="38" customFormat="1" spans="4:32">
      <c r="D38" s="3"/>
      <c r="E38" s="3"/>
      <c r="K38" s="4"/>
      <c r="L38" s="5"/>
      <c r="M38" s="4"/>
      <c r="X38" s="7"/>
      <c r="Y38" s="5"/>
      <c r="Z38" s="5"/>
      <c r="AA38" s="5"/>
      <c r="AB38" s="5"/>
      <c r="AC38" s="4"/>
      <c r="AF38" s="8"/>
    </row>
    <row r="39" customFormat="1" spans="4:32">
      <c r="D39" s="3"/>
      <c r="E39" s="3"/>
      <c r="K39" s="4"/>
      <c r="L39" s="5"/>
      <c r="M39" s="4"/>
      <c r="X39" s="7"/>
      <c r="Y39" s="5"/>
      <c r="Z39" s="5"/>
      <c r="AA39" s="5"/>
      <c r="AB39" s="5"/>
      <c r="AC39" s="4"/>
      <c r="AF39" s="8"/>
    </row>
    <row r="40" customFormat="1" spans="4:32">
      <c r="D40" s="3"/>
      <c r="E40" s="3"/>
      <c r="K40" s="4"/>
      <c r="L40" s="5"/>
      <c r="M40" s="4"/>
      <c r="X40" s="7"/>
      <c r="Y40" s="5"/>
      <c r="Z40" s="5"/>
      <c r="AA40" s="5"/>
      <c r="AB40" s="5"/>
      <c r="AC40" s="4"/>
      <c r="AF40" s="8"/>
    </row>
    <row r="41" customFormat="1" spans="4:32">
      <c r="D41" s="3"/>
      <c r="E41" s="3"/>
      <c r="K41" s="4"/>
      <c r="L41" s="5"/>
      <c r="M41" s="4"/>
      <c r="X41" s="7"/>
      <c r="Y41" s="5"/>
      <c r="Z41" s="5"/>
      <c r="AA41" s="5"/>
      <c r="AB41" s="5"/>
      <c r="AC41" s="4"/>
      <c r="AF41" s="8"/>
    </row>
    <row r="42" customFormat="1" spans="4:32">
      <c r="D42" s="3"/>
      <c r="E42" s="3"/>
      <c r="K42" s="4"/>
      <c r="L42" s="5"/>
      <c r="M42" s="4"/>
      <c r="X42" s="7"/>
      <c r="Y42" s="5"/>
      <c r="Z42" s="5"/>
      <c r="AA42" s="5"/>
      <c r="AB42" s="5"/>
      <c r="AC42" s="4"/>
      <c r="AF42" s="8"/>
    </row>
    <row r="43" customFormat="1" spans="4:32">
      <c r="D43" s="3"/>
      <c r="E43" s="3"/>
      <c r="K43" s="4"/>
      <c r="L43" s="5"/>
      <c r="M43" s="4"/>
      <c r="X43" s="7"/>
      <c r="Y43" s="5"/>
      <c r="Z43" s="5"/>
      <c r="AA43" s="5"/>
      <c r="AB43" s="5"/>
      <c r="AC43" s="4"/>
      <c r="AF43" s="8"/>
    </row>
  </sheetData>
  <autoFilter xmlns:etc="http://www.wps.cn/officeDocument/2017/etCustomData" ref="A3:AF27" etc:filterBottomFollowUsedRange="0">
    <extLst/>
  </autoFilter>
  <mergeCells count="21">
    <mergeCell ref="A1:AF1"/>
    <mergeCell ref="J3:P3"/>
    <mergeCell ref="R3:V3"/>
    <mergeCell ref="Y3:AD3"/>
    <mergeCell ref="A3:A4"/>
    <mergeCell ref="A5:A26"/>
    <mergeCell ref="B3:B4"/>
    <mergeCell ref="B5:B26"/>
    <mergeCell ref="C3:C4"/>
    <mergeCell ref="D3:D4"/>
    <mergeCell ref="E3:E4"/>
    <mergeCell ref="F3:F4"/>
    <mergeCell ref="G3:G4"/>
    <mergeCell ref="H3:H4"/>
    <mergeCell ref="I3:I4"/>
    <mergeCell ref="Q3:Q4"/>
    <mergeCell ref="Q5:Q26"/>
    <mergeCell ref="R5:R26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1"/>
  <sheetViews>
    <sheetView zoomScale="110" zoomScaleNormal="110" workbookViewId="0">
      <pane xSplit="2" ySplit="4" topLeftCell="S5" activePane="bottomRight" state="frozen"/>
      <selection/>
      <selection pane="topRight"/>
      <selection pane="bottomLeft"/>
      <selection pane="bottomRight" activeCell="AA5" sqref="AA5:AA24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9"/>
      <c r="L1" s="30"/>
      <c r="M1" s="29"/>
      <c r="N1" s="9"/>
      <c r="O1" s="31"/>
      <c r="P1" s="9"/>
      <c r="Q1" s="9"/>
      <c r="R1" s="9"/>
      <c r="S1" s="9"/>
      <c r="T1" s="57"/>
      <c r="U1" s="57"/>
      <c r="V1" s="58"/>
      <c r="W1" s="57"/>
      <c r="X1" s="59"/>
      <c r="Y1" s="30"/>
      <c r="Z1" s="30"/>
      <c r="AA1" s="30"/>
      <c r="AB1" s="30"/>
      <c r="AC1" s="29"/>
      <c r="AD1" s="30"/>
      <c r="AE1" s="9"/>
      <c r="AF1" s="83"/>
    </row>
    <row r="2" customFormat="1" ht="31" customHeight="1" spans="1:32">
      <c r="A2" s="10" t="s">
        <v>136</v>
      </c>
      <c r="B2" s="10" t="s">
        <v>137</v>
      </c>
      <c r="C2" s="10">
        <v>73.881</v>
      </c>
      <c r="D2" s="9"/>
      <c r="E2" s="9"/>
      <c r="F2" s="9"/>
      <c r="G2" s="9"/>
      <c r="H2" s="9"/>
      <c r="I2" s="9"/>
      <c r="J2" s="9"/>
      <c r="K2" s="29"/>
      <c r="L2" s="30"/>
      <c r="M2" s="29"/>
      <c r="N2" s="9"/>
      <c r="O2" s="31"/>
      <c r="P2" s="9"/>
      <c r="Q2" s="9"/>
      <c r="R2" s="9"/>
      <c r="S2" s="9"/>
      <c r="T2" s="57"/>
      <c r="U2" s="57"/>
      <c r="V2" s="58"/>
      <c r="W2" s="57"/>
      <c r="X2" s="59"/>
      <c r="Y2" s="30"/>
      <c r="Z2" s="30"/>
      <c r="AA2" s="30"/>
      <c r="AB2" s="30"/>
      <c r="AC2" s="29"/>
      <c r="AD2" s="30"/>
      <c r="AE2" s="9"/>
      <c r="AF2" s="9"/>
    </row>
    <row r="3" s="1" customFormat="1" ht="23" customHeight="1" spans="1:32">
      <c r="A3" s="11" t="s">
        <v>1</v>
      </c>
      <c r="B3" s="12" t="s">
        <v>2</v>
      </c>
      <c r="C3" s="13" t="s">
        <v>21</v>
      </c>
      <c r="D3" s="14" t="s">
        <v>22</v>
      </c>
      <c r="E3" s="15" t="s">
        <v>23</v>
      </c>
      <c r="F3" s="16" t="s">
        <v>24</v>
      </c>
      <c r="G3" s="16" t="s">
        <v>25</v>
      </c>
      <c r="H3" s="16" t="s">
        <v>26</v>
      </c>
      <c r="I3" s="16" t="s">
        <v>27</v>
      </c>
      <c r="J3" s="32" t="s">
        <v>28</v>
      </c>
      <c r="K3" s="33"/>
      <c r="L3" s="34"/>
      <c r="M3" s="33"/>
      <c r="N3" s="34"/>
      <c r="O3" s="35"/>
      <c r="P3" s="36"/>
      <c r="Q3" s="60" t="s">
        <v>29</v>
      </c>
      <c r="R3" s="61" t="s">
        <v>30</v>
      </c>
      <c r="S3" s="62"/>
      <c r="T3" s="63"/>
      <c r="U3" s="64"/>
      <c r="V3" s="65"/>
      <c r="W3" s="66" t="s">
        <v>31</v>
      </c>
      <c r="X3" s="67" t="s">
        <v>32</v>
      </c>
      <c r="Y3" s="84" t="s">
        <v>33</v>
      </c>
      <c r="Z3" s="84"/>
      <c r="AA3" s="84"/>
      <c r="AB3" s="84"/>
      <c r="AC3" s="85"/>
      <c r="AD3" s="84"/>
      <c r="AE3" s="86" t="s">
        <v>34</v>
      </c>
      <c r="AF3" s="87" t="s">
        <v>3</v>
      </c>
    </row>
    <row r="4" s="1" customFormat="1" ht="27" customHeight="1" spans="1:32">
      <c r="A4" s="17"/>
      <c r="B4" s="18"/>
      <c r="C4" s="13"/>
      <c r="D4" s="14"/>
      <c r="E4" s="19"/>
      <c r="F4" s="20"/>
      <c r="G4" s="20"/>
      <c r="H4" s="20"/>
      <c r="I4" s="37"/>
      <c r="J4" s="38" t="s">
        <v>35</v>
      </c>
      <c r="K4" s="39" t="s">
        <v>36</v>
      </c>
      <c r="L4" s="40" t="s">
        <v>37</v>
      </c>
      <c r="M4" s="39" t="s">
        <v>38</v>
      </c>
      <c r="N4" s="41" t="s">
        <v>39</v>
      </c>
      <c r="O4" s="42" t="s">
        <v>40</v>
      </c>
      <c r="P4" s="43" t="s">
        <v>41</v>
      </c>
      <c r="Q4" s="68"/>
      <c r="R4" s="69" t="s">
        <v>42</v>
      </c>
      <c r="S4" s="70" t="s">
        <v>43</v>
      </c>
      <c r="T4" s="71" t="s">
        <v>44</v>
      </c>
      <c r="U4" s="72" t="s">
        <v>45</v>
      </c>
      <c r="V4" s="71" t="s">
        <v>46</v>
      </c>
      <c r="W4" s="73"/>
      <c r="X4" s="74"/>
      <c r="Y4" s="88" t="s">
        <v>47</v>
      </c>
      <c r="Z4" s="88" t="s">
        <v>48</v>
      </c>
      <c r="AA4" s="88" t="s">
        <v>49</v>
      </c>
      <c r="AB4" s="89" t="s">
        <v>50</v>
      </c>
      <c r="AC4" s="90" t="s">
        <v>51</v>
      </c>
      <c r="AD4" s="91" t="s">
        <v>41</v>
      </c>
      <c r="AE4" s="92" t="s">
        <v>52</v>
      </c>
      <c r="AF4" s="93"/>
    </row>
    <row r="5" s="2" customFormat="1" spans="1:32">
      <c r="A5" s="21" t="s">
        <v>10</v>
      </c>
      <c r="B5" s="22" t="s">
        <v>11</v>
      </c>
      <c r="C5" s="23">
        <v>241030000025</v>
      </c>
      <c r="D5" s="24">
        <v>45609</v>
      </c>
      <c r="E5" s="24" t="s">
        <v>57</v>
      </c>
      <c r="F5" s="22" t="s">
        <v>58</v>
      </c>
      <c r="G5" s="22" t="s">
        <v>84</v>
      </c>
      <c r="H5" s="25">
        <v>0.0306</v>
      </c>
      <c r="I5" s="25">
        <v>10</v>
      </c>
      <c r="J5" s="44">
        <v>65</v>
      </c>
      <c r="K5" s="100"/>
      <c r="L5" s="46"/>
      <c r="M5" s="47"/>
      <c r="N5" s="48"/>
      <c r="O5" s="49"/>
      <c r="P5" s="50">
        <f>SUBTOTAL(9,J5)</f>
        <v>65</v>
      </c>
      <c r="Q5" s="75">
        <f>SUM(P5:P24)</f>
        <v>145491.102536</v>
      </c>
      <c r="R5" s="76" t="s">
        <v>110</v>
      </c>
      <c r="S5" s="77">
        <f>SUM(46803/68)*H5</f>
        <v>21.06135</v>
      </c>
      <c r="T5" s="77"/>
      <c r="U5" s="77">
        <f>SUM(1800/68)*H5</f>
        <v>0.81</v>
      </c>
      <c r="V5" s="77"/>
      <c r="W5" s="77"/>
      <c r="X5" s="77">
        <f t="shared" ref="X5:X15" si="0">SUM(S5:W5)</f>
        <v>21.87135</v>
      </c>
      <c r="Y5" s="94">
        <f>SUM(10793.87/68)*H5</f>
        <v>4.8572415</v>
      </c>
      <c r="Z5" s="94"/>
      <c r="AA5" s="94">
        <f>SUM(94.98/68)*H5</f>
        <v>0.042741</v>
      </c>
      <c r="AB5" s="94">
        <f t="shared" ref="AB5:AB15" si="1">SUM(Y5:AA5)</f>
        <v>4.8999825</v>
      </c>
      <c r="AC5" s="45">
        <v>7.33</v>
      </c>
      <c r="AD5" s="77">
        <f t="shared" ref="AD5:AD15" si="2">SUM(AB5*AC5)</f>
        <v>35.916871725</v>
      </c>
      <c r="AE5" s="77">
        <f t="shared" ref="AE5:AE15" si="3">SUM(X5+AD5)</f>
        <v>57.788221725</v>
      </c>
      <c r="AF5" s="77">
        <f t="shared" ref="AF5:AF15" si="4">SUM(P5-AE5)</f>
        <v>7.211778275</v>
      </c>
    </row>
    <row r="6" s="2" customFormat="1" spans="1:32">
      <c r="A6" s="21"/>
      <c r="B6" s="22"/>
      <c r="C6" s="23">
        <v>241102000008</v>
      </c>
      <c r="D6" s="24">
        <v>45609</v>
      </c>
      <c r="E6" s="24" t="s">
        <v>57</v>
      </c>
      <c r="F6" s="22" t="s">
        <v>58</v>
      </c>
      <c r="G6" s="22" t="s">
        <v>67</v>
      </c>
      <c r="H6" s="25">
        <v>2.0582</v>
      </c>
      <c r="I6" s="25">
        <v>755</v>
      </c>
      <c r="J6" s="50"/>
      <c r="K6" s="108">
        <v>957151</v>
      </c>
      <c r="L6" s="46"/>
      <c r="M6" s="47">
        <f t="shared" ref="M6:M14" si="5">SUM(K6/N6)</f>
        <v>1603.59033641603</v>
      </c>
      <c r="N6" s="52">
        <v>596.88</v>
      </c>
      <c r="O6" s="49">
        <v>7.3</v>
      </c>
      <c r="P6" s="50">
        <f t="shared" ref="P6:P14" si="6">SUM(N6*O6)</f>
        <v>4357.224</v>
      </c>
      <c r="Q6" s="78"/>
      <c r="R6" s="78"/>
      <c r="S6" s="77">
        <f t="shared" ref="S6:S24" si="7">SUM(46803/68)*H6</f>
        <v>1416.61668529412</v>
      </c>
      <c r="T6" s="77"/>
      <c r="U6" s="77">
        <f t="shared" ref="U6:U24" si="8">SUM(1800/68)*H6</f>
        <v>54.4817647058823</v>
      </c>
      <c r="V6" s="77"/>
      <c r="W6" s="77"/>
      <c r="X6" s="77">
        <f t="shared" si="0"/>
        <v>1471.09845</v>
      </c>
      <c r="Y6" s="94">
        <f t="shared" ref="Y6:Y24" si="9">SUM(10793.87/68)*H6</f>
        <v>326.705047558824</v>
      </c>
      <c r="Z6" s="94"/>
      <c r="AA6" s="94">
        <f t="shared" ref="AA6:AA24" si="10">SUM(94.98/68)*H6</f>
        <v>2.87482111764706</v>
      </c>
      <c r="AB6" s="94">
        <f t="shared" si="1"/>
        <v>329.579868676471</v>
      </c>
      <c r="AC6" s="45">
        <v>7.33</v>
      </c>
      <c r="AD6" s="77">
        <f t="shared" si="2"/>
        <v>2415.82043739853</v>
      </c>
      <c r="AE6" s="77">
        <f t="shared" si="3"/>
        <v>3886.91888739853</v>
      </c>
      <c r="AF6" s="77">
        <f t="shared" si="4"/>
        <v>470.305112601471</v>
      </c>
    </row>
    <row r="7" s="2" customFormat="1" spans="1:32">
      <c r="A7" s="21"/>
      <c r="B7" s="22"/>
      <c r="C7" s="23">
        <v>241107000009</v>
      </c>
      <c r="D7" s="24">
        <v>45609</v>
      </c>
      <c r="E7" s="24" t="s">
        <v>57</v>
      </c>
      <c r="F7" s="22" t="s">
        <v>58</v>
      </c>
      <c r="G7" s="22" t="s">
        <v>111</v>
      </c>
      <c r="H7" s="25">
        <v>1.6128</v>
      </c>
      <c r="I7" s="25">
        <v>1251</v>
      </c>
      <c r="J7" s="44">
        <v>3794.79</v>
      </c>
      <c r="K7" s="45"/>
      <c r="L7" s="99"/>
      <c r="M7" s="47"/>
      <c r="N7" s="52"/>
      <c r="O7" s="49"/>
      <c r="P7" s="50">
        <f>SUBTOTAL(9,J7)</f>
        <v>3794.79</v>
      </c>
      <c r="Q7" s="78"/>
      <c r="R7" s="78"/>
      <c r="S7" s="77">
        <f t="shared" si="7"/>
        <v>1110.05703529412</v>
      </c>
      <c r="T7" s="77"/>
      <c r="U7" s="77">
        <f t="shared" si="8"/>
        <v>42.6917647058823</v>
      </c>
      <c r="V7" s="77"/>
      <c r="W7" s="77"/>
      <c r="X7" s="77">
        <f t="shared" si="0"/>
        <v>1152.7488</v>
      </c>
      <c r="Y7" s="94">
        <f t="shared" si="9"/>
        <v>256.005199058824</v>
      </c>
      <c r="Z7" s="94"/>
      <c r="AA7" s="94">
        <f t="shared" si="10"/>
        <v>2.25270211764706</v>
      </c>
      <c r="AB7" s="94">
        <f t="shared" si="1"/>
        <v>258.257901176471</v>
      </c>
      <c r="AC7" s="45">
        <v>7.33</v>
      </c>
      <c r="AD7" s="77">
        <f t="shared" si="2"/>
        <v>1893.03041562353</v>
      </c>
      <c r="AE7" s="77">
        <f t="shared" si="3"/>
        <v>3045.77921562353</v>
      </c>
      <c r="AF7" s="77">
        <f t="shared" si="4"/>
        <v>749.01078437647</v>
      </c>
    </row>
    <row r="8" s="2" customFormat="1" spans="1:32">
      <c r="A8" s="21"/>
      <c r="B8" s="22"/>
      <c r="C8" s="23">
        <v>241104000001</v>
      </c>
      <c r="D8" s="24">
        <v>45609</v>
      </c>
      <c r="E8" s="24" t="s">
        <v>53</v>
      </c>
      <c r="F8" s="22" t="s">
        <v>54</v>
      </c>
      <c r="G8" s="22" t="s">
        <v>112</v>
      </c>
      <c r="H8" s="25">
        <v>0.462</v>
      </c>
      <c r="I8" s="25">
        <v>90</v>
      </c>
      <c r="J8" s="50"/>
      <c r="K8" s="51">
        <v>368397.9</v>
      </c>
      <c r="L8" s="46"/>
      <c r="M8" s="47">
        <f t="shared" si="5"/>
        <v>1665</v>
      </c>
      <c r="N8" s="52">
        <v>221.26</v>
      </c>
      <c r="O8" s="49">
        <v>7.3</v>
      </c>
      <c r="P8" s="50">
        <f t="shared" si="6"/>
        <v>1615.198</v>
      </c>
      <c r="Q8" s="78"/>
      <c r="R8" s="78"/>
      <c r="S8" s="77">
        <f t="shared" si="7"/>
        <v>317.985088235294</v>
      </c>
      <c r="T8" s="77"/>
      <c r="U8" s="77">
        <f t="shared" si="8"/>
        <v>12.2294117647059</v>
      </c>
      <c r="V8" s="77"/>
      <c r="W8" s="77"/>
      <c r="X8" s="77">
        <f t="shared" si="0"/>
        <v>330.2145</v>
      </c>
      <c r="Y8" s="94">
        <f t="shared" si="9"/>
        <v>73.3348226470588</v>
      </c>
      <c r="Z8" s="95">
        <v>57.94</v>
      </c>
      <c r="AA8" s="94">
        <f t="shared" si="10"/>
        <v>0.645305294117647</v>
      </c>
      <c r="AB8" s="94">
        <f t="shared" si="1"/>
        <v>131.920127941176</v>
      </c>
      <c r="AC8" s="45">
        <v>7.33</v>
      </c>
      <c r="AD8" s="77">
        <f t="shared" si="2"/>
        <v>966.974537808824</v>
      </c>
      <c r="AE8" s="77">
        <f t="shared" si="3"/>
        <v>1297.18903780882</v>
      </c>
      <c r="AF8" s="77">
        <f t="shared" si="4"/>
        <v>318.008962191176</v>
      </c>
    </row>
    <row r="9" s="2" customFormat="1" spans="1:32">
      <c r="A9" s="21"/>
      <c r="B9" s="22"/>
      <c r="C9" s="23">
        <v>241105000045</v>
      </c>
      <c r="D9" s="24">
        <v>45609</v>
      </c>
      <c r="E9" s="24" t="s">
        <v>53</v>
      </c>
      <c r="F9" s="22" t="s">
        <v>54</v>
      </c>
      <c r="G9" s="22" t="s">
        <v>113</v>
      </c>
      <c r="H9" s="25">
        <v>0.8486</v>
      </c>
      <c r="I9" s="25">
        <v>297</v>
      </c>
      <c r="J9" s="105"/>
      <c r="K9" s="51">
        <v>432928.65</v>
      </c>
      <c r="L9" s="46"/>
      <c r="M9" s="47">
        <f t="shared" si="5"/>
        <v>1663.25502324331</v>
      </c>
      <c r="N9" s="99">
        <v>260.29</v>
      </c>
      <c r="O9" s="49">
        <v>7.3</v>
      </c>
      <c r="P9" s="50">
        <f t="shared" si="6"/>
        <v>1900.117</v>
      </c>
      <c r="Q9" s="78"/>
      <c r="R9" s="78"/>
      <c r="S9" s="77">
        <f t="shared" si="7"/>
        <v>584.073908823529</v>
      </c>
      <c r="T9" s="77"/>
      <c r="U9" s="77">
        <f t="shared" si="8"/>
        <v>22.4629411764706</v>
      </c>
      <c r="V9" s="77"/>
      <c r="W9" s="77"/>
      <c r="X9" s="77">
        <f t="shared" si="0"/>
        <v>606.53685</v>
      </c>
      <c r="Y9" s="94">
        <f t="shared" si="9"/>
        <v>134.701148264706</v>
      </c>
      <c r="Z9" s="95">
        <v>10.07</v>
      </c>
      <c r="AA9" s="94">
        <f t="shared" si="10"/>
        <v>1.18529452941176</v>
      </c>
      <c r="AB9" s="94">
        <f t="shared" si="1"/>
        <v>145.956442794118</v>
      </c>
      <c r="AC9" s="45">
        <v>7.33</v>
      </c>
      <c r="AD9" s="77">
        <f t="shared" si="2"/>
        <v>1069.86072568088</v>
      </c>
      <c r="AE9" s="77">
        <f t="shared" si="3"/>
        <v>1676.39757568088</v>
      </c>
      <c r="AF9" s="77">
        <f t="shared" si="4"/>
        <v>223.719424319117</v>
      </c>
    </row>
    <row r="10" s="2" customFormat="1" spans="1:32">
      <c r="A10" s="21"/>
      <c r="B10" s="22"/>
      <c r="C10" s="23">
        <v>241108000043</v>
      </c>
      <c r="D10" s="24">
        <v>45609</v>
      </c>
      <c r="E10" s="24" t="s">
        <v>86</v>
      </c>
      <c r="F10" s="22" t="s">
        <v>87</v>
      </c>
      <c r="G10" s="22" t="s">
        <v>114</v>
      </c>
      <c r="H10" s="25">
        <v>1.4833</v>
      </c>
      <c r="I10" s="25">
        <v>598</v>
      </c>
      <c r="J10" s="50"/>
      <c r="K10" s="51">
        <v>1160958</v>
      </c>
      <c r="L10" s="46"/>
      <c r="M10" s="47">
        <f t="shared" si="5"/>
        <v>1666.43891656021</v>
      </c>
      <c r="N10" s="52">
        <v>696.67</v>
      </c>
      <c r="O10" s="49">
        <v>7.3</v>
      </c>
      <c r="P10" s="50">
        <f t="shared" si="6"/>
        <v>5085.691</v>
      </c>
      <c r="Q10" s="78"/>
      <c r="R10" s="78"/>
      <c r="S10" s="77">
        <f t="shared" si="7"/>
        <v>1020.92485147059</v>
      </c>
      <c r="T10" s="77"/>
      <c r="U10" s="77">
        <f t="shared" si="8"/>
        <v>39.2638235294118</v>
      </c>
      <c r="V10" s="77"/>
      <c r="W10" s="77"/>
      <c r="X10" s="77">
        <f t="shared" si="0"/>
        <v>1060.188675</v>
      </c>
      <c r="Y10" s="94">
        <f t="shared" si="9"/>
        <v>235.449226044118</v>
      </c>
      <c r="Z10" s="95">
        <v>251.65</v>
      </c>
      <c r="AA10" s="94">
        <f t="shared" si="10"/>
        <v>2.07182108823529</v>
      </c>
      <c r="AB10" s="94">
        <f t="shared" si="1"/>
        <v>489.171047132353</v>
      </c>
      <c r="AC10" s="45">
        <v>7.33</v>
      </c>
      <c r="AD10" s="77">
        <f t="shared" si="2"/>
        <v>3585.62377548015</v>
      </c>
      <c r="AE10" s="77">
        <f t="shared" si="3"/>
        <v>4645.81245048015</v>
      </c>
      <c r="AF10" s="77">
        <f t="shared" si="4"/>
        <v>439.878549519852</v>
      </c>
    </row>
    <row r="11" s="2" customFormat="1" spans="1:32">
      <c r="A11" s="21"/>
      <c r="B11" s="22"/>
      <c r="C11" s="23">
        <v>241111000011</v>
      </c>
      <c r="D11" s="24">
        <v>45609</v>
      </c>
      <c r="E11" s="24" t="s">
        <v>64</v>
      </c>
      <c r="F11" s="22" t="s">
        <v>65</v>
      </c>
      <c r="G11" s="22" t="s">
        <v>115</v>
      </c>
      <c r="H11" s="25">
        <v>0.1421</v>
      </c>
      <c r="I11" s="25">
        <v>36</v>
      </c>
      <c r="J11" s="50"/>
      <c r="K11" s="51">
        <v>93936</v>
      </c>
      <c r="L11" s="46"/>
      <c r="M11" s="47">
        <f t="shared" si="5"/>
        <v>1651.18650026367</v>
      </c>
      <c r="N11" s="52">
        <v>56.89</v>
      </c>
      <c r="O11" s="49">
        <v>7.3</v>
      </c>
      <c r="P11" s="50">
        <f t="shared" si="6"/>
        <v>415.297</v>
      </c>
      <c r="Q11" s="78"/>
      <c r="R11" s="78"/>
      <c r="S11" s="77">
        <f t="shared" si="7"/>
        <v>97.8045044117647</v>
      </c>
      <c r="T11" s="77"/>
      <c r="U11" s="77">
        <f t="shared" si="8"/>
        <v>3.76147058823529</v>
      </c>
      <c r="V11" s="77"/>
      <c r="W11" s="77"/>
      <c r="X11" s="77">
        <f t="shared" si="0"/>
        <v>101.565975</v>
      </c>
      <c r="Y11" s="94">
        <f t="shared" si="9"/>
        <v>22.5560136323529</v>
      </c>
      <c r="Z11" s="95">
        <v>10</v>
      </c>
      <c r="AA11" s="94">
        <f t="shared" si="10"/>
        <v>0.198480264705882</v>
      </c>
      <c r="AB11" s="94">
        <f t="shared" si="1"/>
        <v>32.7544938970588</v>
      </c>
      <c r="AC11" s="45">
        <v>7.33</v>
      </c>
      <c r="AD11" s="77">
        <f t="shared" si="2"/>
        <v>240.090440265441</v>
      </c>
      <c r="AE11" s="77">
        <f t="shared" si="3"/>
        <v>341.656415265441</v>
      </c>
      <c r="AF11" s="77">
        <f t="shared" si="4"/>
        <v>73.6405847345588</v>
      </c>
    </row>
    <row r="12" s="2" customFormat="1" spans="1:32">
      <c r="A12" s="21"/>
      <c r="B12" s="22"/>
      <c r="C12" s="23">
        <v>241111000012</v>
      </c>
      <c r="D12" s="24">
        <v>45609</v>
      </c>
      <c r="E12" s="24" t="s">
        <v>64</v>
      </c>
      <c r="F12" s="22" t="s">
        <v>65</v>
      </c>
      <c r="G12" s="22" t="s">
        <v>115</v>
      </c>
      <c r="H12" s="25">
        <v>0.2386</v>
      </c>
      <c r="I12" s="25">
        <v>52</v>
      </c>
      <c r="J12" s="50"/>
      <c r="K12" s="51">
        <v>148176</v>
      </c>
      <c r="L12" s="46"/>
      <c r="M12" s="47">
        <f t="shared" si="5"/>
        <v>1651.17004680187</v>
      </c>
      <c r="N12" s="52">
        <v>89.74</v>
      </c>
      <c r="O12" s="49">
        <v>7.3</v>
      </c>
      <c r="P12" s="50">
        <f t="shared" si="6"/>
        <v>655.102</v>
      </c>
      <c r="Q12" s="78"/>
      <c r="R12" s="78"/>
      <c r="S12" s="77">
        <f t="shared" si="7"/>
        <v>164.223467647059</v>
      </c>
      <c r="T12" s="77"/>
      <c r="U12" s="77">
        <f t="shared" si="8"/>
        <v>6.31588235294118</v>
      </c>
      <c r="V12" s="77"/>
      <c r="W12" s="77"/>
      <c r="X12" s="77">
        <f t="shared" si="0"/>
        <v>170.53935</v>
      </c>
      <c r="Y12" s="94">
        <f t="shared" si="9"/>
        <v>37.8737850294118</v>
      </c>
      <c r="Z12" s="95">
        <v>11.3</v>
      </c>
      <c r="AA12" s="94">
        <f t="shared" si="10"/>
        <v>0.333268058823529</v>
      </c>
      <c r="AB12" s="94">
        <f t="shared" si="1"/>
        <v>49.5070530882353</v>
      </c>
      <c r="AC12" s="45">
        <v>7.33</v>
      </c>
      <c r="AD12" s="77">
        <f t="shared" si="2"/>
        <v>362.886699136765</v>
      </c>
      <c r="AE12" s="77">
        <f t="shared" si="3"/>
        <v>533.426049136765</v>
      </c>
      <c r="AF12" s="77">
        <f t="shared" si="4"/>
        <v>121.675950863235</v>
      </c>
    </row>
    <row r="13" s="2" customFormat="1" spans="1:32">
      <c r="A13" s="21"/>
      <c r="B13" s="22"/>
      <c r="C13" s="23">
        <v>241111000032</v>
      </c>
      <c r="D13" s="24">
        <v>45609</v>
      </c>
      <c r="E13" s="24" t="s">
        <v>86</v>
      </c>
      <c r="F13" s="22" t="s">
        <v>87</v>
      </c>
      <c r="G13" s="22" t="s">
        <v>100</v>
      </c>
      <c r="H13" s="25">
        <v>0.2174</v>
      </c>
      <c r="I13" s="25">
        <v>57</v>
      </c>
      <c r="J13" s="50"/>
      <c r="K13" s="51">
        <v>107613</v>
      </c>
      <c r="L13" s="46"/>
      <c r="M13" s="47">
        <f t="shared" si="5"/>
        <v>1650.00025298992</v>
      </c>
      <c r="N13" s="52">
        <v>65.21999</v>
      </c>
      <c r="O13" s="49">
        <v>7.2</v>
      </c>
      <c r="P13" s="50">
        <f t="shared" si="6"/>
        <v>469.583928</v>
      </c>
      <c r="Q13" s="78"/>
      <c r="R13" s="78"/>
      <c r="S13" s="77">
        <f t="shared" si="7"/>
        <v>149.631944117647</v>
      </c>
      <c r="T13" s="77"/>
      <c r="U13" s="77">
        <f t="shared" si="8"/>
        <v>5.75470588235294</v>
      </c>
      <c r="V13" s="77"/>
      <c r="W13" s="77"/>
      <c r="X13" s="77">
        <f t="shared" si="0"/>
        <v>155.38665</v>
      </c>
      <c r="Y13" s="94">
        <f t="shared" si="9"/>
        <v>34.5086373235294</v>
      </c>
      <c r="Z13" s="94"/>
      <c r="AA13" s="94">
        <f t="shared" si="10"/>
        <v>0.303656647058824</v>
      </c>
      <c r="AB13" s="94">
        <f t="shared" si="1"/>
        <v>34.8122939705882</v>
      </c>
      <c r="AC13" s="45">
        <v>7.33</v>
      </c>
      <c r="AD13" s="77">
        <f t="shared" si="2"/>
        <v>255.174114804412</v>
      </c>
      <c r="AE13" s="77">
        <f t="shared" si="3"/>
        <v>410.560764804412</v>
      </c>
      <c r="AF13" s="77">
        <f t="shared" si="4"/>
        <v>59.0231631955883</v>
      </c>
    </row>
    <row r="14" s="2" customFormat="1" spans="1:32">
      <c r="A14" s="21"/>
      <c r="B14" s="22"/>
      <c r="C14" s="23">
        <v>241111000039</v>
      </c>
      <c r="D14" s="24">
        <v>45609</v>
      </c>
      <c r="E14" s="24" t="s">
        <v>116</v>
      </c>
      <c r="F14" s="22" t="s">
        <v>117</v>
      </c>
      <c r="G14" s="22" t="s">
        <v>118</v>
      </c>
      <c r="H14" s="25">
        <v>1.8662</v>
      </c>
      <c r="I14" s="25">
        <v>626</v>
      </c>
      <c r="J14" s="50"/>
      <c r="K14" s="45"/>
      <c r="L14" s="99">
        <v>559.83</v>
      </c>
      <c r="M14" s="47">
        <f t="shared" si="5"/>
        <v>0</v>
      </c>
      <c r="N14" s="52">
        <v>559.82996</v>
      </c>
      <c r="O14" s="49">
        <v>7.3</v>
      </c>
      <c r="P14" s="50">
        <f t="shared" si="6"/>
        <v>4086.758708</v>
      </c>
      <c r="Q14" s="78"/>
      <c r="R14" s="78"/>
      <c r="S14" s="77">
        <f t="shared" si="7"/>
        <v>1284.46703823529</v>
      </c>
      <c r="T14" s="77"/>
      <c r="U14" s="77">
        <f t="shared" si="8"/>
        <v>49.3994117647059</v>
      </c>
      <c r="V14" s="77"/>
      <c r="W14" s="77"/>
      <c r="X14" s="77">
        <f t="shared" si="0"/>
        <v>1333.86645</v>
      </c>
      <c r="Y14" s="94">
        <f t="shared" si="9"/>
        <v>296.228238147059</v>
      </c>
      <c r="Z14" s="94"/>
      <c r="AA14" s="94">
        <f t="shared" si="10"/>
        <v>2.60664229411765</v>
      </c>
      <c r="AB14" s="94">
        <f t="shared" si="1"/>
        <v>298.834880441176</v>
      </c>
      <c r="AC14" s="45">
        <v>7.33</v>
      </c>
      <c r="AD14" s="77">
        <f t="shared" si="2"/>
        <v>2190.45967363382</v>
      </c>
      <c r="AE14" s="77">
        <f t="shared" si="3"/>
        <v>3524.32612363382</v>
      </c>
      <c r="AF14" s="77">
        <f t="shared" si="4"/>
        <v>562.432584366176</v>
      </c>
    </row>
    <row r="15" s="2" customFormat="1" spans="1:32">
      <c r="A15" s="21"/>
      <c r="B15" s="22"/>
      <c r="C15" s="23">
        <v>241111000055</v>
      </c>
      <c r="D15" s="24">
        <v>45609</v>
      </c>
      <c r="E15" s="24" t="s">
        <v>64</v>
      </c>
      <c r="F15" s="22" t="s">
        <v>65</v>
      </c>
      <c r="G15" s="22" t="s">
        <v>72</v>
      </c>
      <c r="H15" s="25">
        <v>2.9026</v>
      </c>
      <c r="I15" s="25">
        <v>435</v>
      </c>
      <c r="J15" s="44">
        <v>5972.48</v>
      </c>
      <c r="K15" s="45"/>
      <c r="L15" s="46"/>
      <c r="M15" s="47"/>
      <c r="N15" s="48"/>
      <c r="O15" s="49"/>
      <c r="P15" s="50">
        <f t="shared" ref="P15:P18" si="11">SUBTOTAL(9,J15)</f>
        <v>5972.48</v>
      </c>
      <c r="Q15" s="78"/>
      <c r="R15" s="78"/>
      <c r="S15" s="77">
        <f t="shared" si="7"/>
        <v>1997.79982058824</v>
      </c>
      <c r="T15" s="77"/>
      <c r="U15" s="77">
        <f t="shared" si="8"/>
        <v>76.8335294117647</v>
      </c>
      <c r="V15" s="77">
        <v>20</v>
      </c>
      <c r="W15" s="77"/>
      <c r="X15" s="77">
        <f t="shared" si="0"/>
        <v>2094.63335</v>
      </c>
      <c r="Y15" s="94">
        <f t="shared" si="9"/>
        <v>460.739515617647</v>
      </c>
      <c r="Z15" s="94"/>
      <c r="AA15" s="94">
        <f t="shared" si="10"/>
        <v>4.05424923529412</v>
      </c>
      <c r="AB15" s="94">
        <f t="shared" si="1"/>
        <v>464.793764852941</v>
      </c>
      <c r="AC15" s="45">
        <v>7.33</v>
      </c>
      <c r="AD15" s="77">
        <f t="shared" si="2"/>
        <v>3406.93829637206</v>
      </c>
      <c r="AE15" s="77">
        <f t="shared" si="3"/>
        <v>5501.57164637206</v>
      </c>
      <c r="AF15" s="77">
        <f t="shared" si="4"/>
        <v>470.90835362794</v>
      </c>
    </row>
    <row r="16" s="2" customFormat="1" spans="1:32">
      <c r="A16" s="21"/>
      <c r="B16" s="22"/>
      <c r="C16" s="23">
        <v>241111000056</v>
      </c>
      <c r="D16" s="24">
        <v>45609</v>
      </c>
      <c r="E16" s="24" t="s">
        <v>64</v>
      </c>
      <c r="F16" s="22" t="s">
        <v>65</v>
      </c>
      <c r="G16" s="22" t="s">
        <v>72</v>
      </c>
      <c r="H16" s="25">
        <v>2.4588</v>
      </c>
      <c r="I16" s="25">
        <v>346</v>
      </c>
      <c r="J16" s="44">
        <v>5048.9</v>
      </c>
      <c r="K16" s="45"/>
      <c r="L16" s="46"/>
      <c r="M16" s="47"/>
      <c r="N16" s="48"/>
      <c r="O16" s="49"/>
      <c r="P16" s="50">
        <f t="shared" si="11"/>
        <v>5048.9</v>
      </c>
      <c r="Q16" s="78"/>
      <c r="R16" s="78"/>
      <c r="S16" s="77">
        <f t="shared" si="7"/>
        <v>1692.34141764706</v>
      </c>
      <c r="T16" s="77"/>
      <c r="U16" s="77">
        <f t="shared" si="8"/>
        <v>65.0858823529412</v>
      </c>
      <c r="V16" s="77"/>
      <c r="W16" s="77"/>
      <c r="X16" s="77">
        <f t="shared" ref="X16:X79" si="12">SUM(S16:W16)</f>
        <v>1757.4273</v>
      </c>
      <c r="Y16" s="94">
        <f t="shared" si="9"/>
        <v>390.293640529412</v>
      </c>
      <c r="Z16" s="94"/>
      <c r="AA16" s="94">
        <f t="shared" si="10"/>
        <v>3.43436505882353</v>
      </c>
      <c r="AB16" s="94">
        <f t="shared" ref="AB16:AB79" si="13">SUM(Y16:AA16)</f>
        <v>393.728005588235</v>
      </c>
      <c r="AC16" s="45">
        <v>7.33</v>
      </c>
      <c r="AD16" s="77">
        <f t="shared" ref="AD16:AD79" si="14">SUM(AB16*AC16)</f>
        <v>2886.02628096176</v>
      </c>
      <c r="AE16" s="77">
        <f t="shared" ref="AE16:AE79" si="15">SUM(X16+AD16)</f>
        <v>4643.45358096176</v>
      </c>
      <c r="AF16" s="77">
        <f t="shared" ref="AF16:AF79" si="16">SUM(P16-AE16)</f>
        <v>405.446419038235</v>
      </c>
    </row>
    <row r="17" s="2" customFormat="1" spans="1:32">
      <c r="A17" s="21"/>
      <c r="B17" s="22"/>
      <c r="C17" s="23">
        <v>241112000043</v>
      </c>
      <c r="D17" s="24">
        <v>45609</v>
      </c>
      <c r="E17" s="24" t="s">
        <v>70</v>
      </c>
      <c r="F17" s="22" t="s">
        <v>70</v>
      </c>
      <c r="G17" s="22" t="s">
        <v>90</v>
      </c>
      <c r="H17" s="25">
        <v>4.9039</v>
      </c>
      <c r="I17" s="25">
        <v>546</v>
      </c>
      <c r="J17" s="44">
        <v>10739.54</v>
      </c>
      <c r="K17" s="45"/>
      <c r="L17" s="46"/>
      <c r="M17" s="47"/>
      <c r="N17" s="48"/>
      <c r="O17" s="49"/>
      <c r="P17" s="50">
        <f t="shared" si="11"/>
        <v>10739.54</v>
      </c>
      <c r="Q17" s="78"/>
      <c r="R17" s="78"/>
      <c r="S17" s="77">
        <f t="shared" si="7"/>
        <v>3375.25340735294</v>
      </c>
      <c r="T17" s="77"/>
      <c r="U17" s="77">
        <f t="shared" si="8"/>
        <v>129.809117647059</v>
      </c>
      <c r="V17" s="77"/>
      <c r="W17" s="77"/>
      <c r="X17" s="77">
        <f t="shared" si="12"/>
        <v>3505.062525</v>
      </c>
      <c r="Y17" s="94">
        <f t="shared" si="9"/>
        <v>778.412633720588</v>
      </c>
      <c r="Z17" s="94"/>
      <c r="AA17" s="94">
        <f t="shared" si="10"/>
        <v>6.84959444117647</v>
      </c>
      <c r="AB17" s="94">
        <f t="shared" si="13"/>
        <v>785.262228161765</v>
      </c>
      <c r="AC17" s="45">
        <v>7.33</v>
      </c>
      <c r="AD17" s="77">
        <f t="shared" si="14"/>
        <v>5755.97213242574</v>
      </c>
      <c r="AE17" s="77">
        <f t="shared" si="15"/>
        <v>9261.03465742574</v>
      </c>
      <c r="AF17" s="77">
        <f t="shared" si="16"/>
        <v>1478.50534257426</v>
      </c>
    </row>
    <row r="18" s="2" customFormat="1" spans="1:32">
      <c r="A18" s="21"/>
      <c r="B18" s="22"/>
      <c r="C18" s="23">
        <v>241112000044</v>
      </c>
      <c r="D18" s="24">
        <v>45609</v>
      </c>
      <c r="E18" s="24" t="s">
        <v>64</v>
      </c>
      <c r="F18" s="22" t="s">
        <v>65</v>
      </c>
      <c r="G18" s="22" t="s">
        <v>72</v>
      </c>
      <c r="H18" s="25">
        <v>0.936</v>
      </c>
      <c r="I18" s="25">
        <v>422</v>
      </c>
      <c r="J18" s="44">
        <v>2195.26</v>
      </c>
      <c r="K18" s="45"/>
      <c r="L18" s="46"/>
      <c r="M18" s="47"/>
      <c r="N18" s="48"/>
      <c r="O18" s="49"/>
      <c r="P18" s="50">
        <f t="shared" si="11"/>
        <v>2195.26</v>
      </c>
      <c r="Q18" s="78"/>
      <c r="R18" s="78"/>
      <c r="S18" s="77">
        <f t="shared" si="7"/>
        <v>644.229529411765</v>
      </c>
      <c r="T18" s="77"/>
      <c r="U18" s="77">
        <f t="shared" si="8"/>
        <v>24.7764705882353</v>
      </c>
      <c r="V18" s="77"/>
      <c r="W18" s="79">
        <v>266</v>
      </c>
      <c r="X18" s="77">
        <f t="shared" si="12"/>
        <v>935.006</v>
      </c>
      <c r="Y18" s="94">
        <f t="shared" si="9"/>
        <v>148.574445882353</v>
      </c>
      <c r="Z18" s="95">
        <v>17.33</v>
      </c>
      <c r="AA18" s="94">
        <f t="shared" si="10"/>
        <v>1.30737176470588</v>
      </c>
      <c r="AB18" s="94">
        <f t="shared" si="13"/>
        <v>167.211817647059</v>
      </c>
      <c r="AC18" s="45">
        <v>7.33</v>
      </c>
      <c r="AD18" s="77">
        <f t="shared" si="14"/>
        <v>1225.66262335294</v>
      </c>
      <c r="AE18" s="77">
        <f t="shared" si="15"/>
        <v>2160.66862335294</v>
      </c>
      <c r="AF18" s="77">
        <f t="shared" si="16"/>
        <v>34.591376647059</v>
      </c>
    </row>
    <row r="19" s="2" customFormat="1" spans="1:32">
      <c r="A19" s="21"/>
      <c r="B19" s="22"/>
      <c r="C19" s="23">
        <v>241113000012</v>
      </c>
      <c r="D19" s="24">
        <v>45609</v>
      </c>
      <c r="E19" s="24" t="s">
        <v>94</v>
      </c>
      <c r="F19" s="22" t="s">
        <v>95</v>
      </c>
      <c r="G19" s="22" t="s">
        <v>119</v>
      </c>
      <c r="H19" s="25">
        <v>5.5016</v>
      </c>
      <c r="I19" s="25">
        <v>2874</v>
      </c>
      <c r="J19" s="50"/>
      <c r="K19" s="51">
        <v>2264723.28</v>
      </c>
      <c r="L19" s="46"/>
      <c r="M19" s="47">
        <f>SUM(K19/N19)</f>
        <v>1608</v>
      </c>
      <c r="N19" s="52">
        <v>1408.41</v>
      </c>
      <c r="O19" s="49">
        <v>7.3</v>
      </c>
      <c r="P19" s="50">
        <f>SUM(N19*O19)</f>
        <v>10281.393</v>
      </c>
      <c r="Q19" s="78"/>
      <c r="R19" s="78"/>
      <c r="S19" s="77">
        <f t="shared" si="7"/>
        <v>3786.63801176471</v>
      </c>
      <c r="T19" s="77"/>
      <c r="U19" s="77">
        <f t="shared" si="8"/>
        <v>145.630588235294</v>
      </c>
      <c r="V19" s="77"/>
      <c r="W19" s="77"/>
      <c r="X19" s="77">
        <f t="shared" si="12"/>
        <v>3932.2686</v>
      </c>
      <c r="Y19" s="94">
        <f t="shared" si="9"/>
        <v>873.287576352941</v>
      </c>
      <c r="Z19" s="94"/>
      <c r="AA19" s="94">
        <f t="shared" si="10"/>
        <v>7.68444070588235</v>
      </c>
      <c r="AB19" s="94">
        <f t="shared" si="13"/>
        <v>880.972017058824</v>
      </c>
      <c r="AC19" s="45">
        <v>7.33</v>
      </c>
      <c r="AD19" s="77">
        <f t="shared" si="14"/>
        <v>6457.52488504118</v>
      </c>
      <c r="AE19" s="77">
        <f t="shared" si="15"/>
        <v>10389.7934850412</v>
      </c>
      <c r="AF19" s="77">
        <f t="shared" si="16"/>
        <v>-108.400485041177</v>
      </c>
    </row>
    <row r="20" s="2" customFormat="1" spans="1:32">
      <c r="A20" s="21"/>
      <c r="B20" s="22"/>
      <c r="C20" s="23">
        <v>241113000017</v>
      </c>
      <c r="D20" s="24">
        <v>45609</v>
      </c>
      <c r="E20" s="24" t="s">
        <v>70</v>
      </c>
      <c r="F20" s="22" t="s">
        <v>70</v>
      </c>
      <c r="G20" s="22" t="s">
        <v>120</v>
      </c>
      <c r="H20" s="25">
        <v>1.4152</v>
      </c>
      <c r="I20" s="25">
        <v>656</v>
      </c>
      <c r="J20" s="50"/>
      <c r="K20" s="51">
        <v>851651</v>
      </c>
      <c r="L20" s="46"/>
      <c r="M20" s="47">
        <f>SUM(K20/N20)</f>
        <v>1671.50988204353</v>
      </c>
      <c r="N20" s="52">
        <v>509.51</v>
      </c>
      <c r="O20" s="49">
        <v>7.29</v>
      </c>
      <c r="P20" s="50">
        <f>SUM(N20*O20)</f>
        <v>3714.3279</v>
      </c>
      <c r="Q20" s="78"/>
      <c r="R20" s="78"/>
      <c r="S20" s="77">
        <f t="shared" si="7"/>
        <v>974.053023529412</v>
      </c>
      <c r="T20" s="77"/>
      <c r="U20" s="77">
        <f t="shared" si="8"/>
        <v>37.4611764705882</v>
      </c>
      <c r="V20" s="77"/>
      <c r="W20" s="79">
        <v>98.72</v>
      </c>
      <c r="X20" s="77">
        <f t="shared" si="12"/>
        <v>1110.2342</v>
      </c>
      <c r="Y20" s="94">
        <f t="shared" si="9"/>
        <v>224.639482705882</v>
      </c>
      <c r="Z20" s="94"/>
      <c r="AA20" s="94">
        <f t="shared" si="10"/>
        <v>1.97670141176471</v>
      </c>
      <c r="AB20" s="94">
        <f t="shared" si="13"/>
        <v>226.616184117647</v>
      </c>
      <c r="AC20" s="45">
        <v>7.33</v>
      </c>
      <c r="AD20" s="77">
        <f t="shared" si="14"/>
        <v>1661.09662958235</v>
      </c>
      <c r="AE20" s="77">
        <f t="shared" si="15"/>
        <v>2771.33082958235</v>
      </c>
      <c r="AF20" s="77">
        <f t="shared" si="16"/>
        <v>942.997070417647</v>
      </c>
    </row>
    <row r="21" s="2" customFormat="1" spans="1:32">
      <c r="A21" s="21"/>
      <c r="B21" s="22"/>
      <c r="C21" s="23">
        <v>241209000061</v>
      </c>
      <c r="D21" s="24">
        <v>45609</v>
      </c>
      <c r="E21" s="24" t="s">
        <v>77</v>
      </c>
      <c r="F21" s="22" t="s">
        <v>78</v>
      </c>
      <c r="G21" s="22" t="s">
        <v>79</v>
      </c>
      <c r="H21" s="25">
        <v>16.4369</v>
      </c>
      <c r="I21" s="25">
        <v>16042</v>
      </c>
      <c r="J21" s="44">
        <v>37916.64</v>
      </c>
      <c r="K21" s="45"/>
      <c r="L21" s="46"/>
      <c r="M21" s="47"/>
      <c r="N21" s="48"/>
      <c r="O21" s="49"/>
      <c r="P21" s="50">
        <f>SUBTOTAL(9,J21)</f>
        <v>37916.64</v>
      </c>
      <c r="Q21" s="78"/>
      <c r="R21" s="78"/>
      <c r="S21" s="77">
        <f t="shared" si="7"/>
        <v>11313.1798632353</v>
      </c>
      <c r="T21" s="77"/>
      <c r="U21" s="77">
        <f t="shared" si="8"/>
        <v>435.094411764706</v>
      </c>
      <c r="V21" s="77"/>
      <c r="W21" s="77"/>
      <c r="X21" s="77">
        <f t="shared" si="12"/>
        <v>11748.274275</v>
      </c>
      <c r="Y21" s="94">
        <f t="shared" si="9"/>
        <v>2609.08473239706</v>
      </c>
      <c r="Z21" s="95">
        <v>162.02</v>
      </c>
      <c r="AA21" s="94">
        <f t="shared" si="10"/>
        <v>22.9584817941176</v>
      </c>
      <c r="AB21" s="94">
        <f t="shared" si="13"/>
        <v>2794.06321419118</v>
      </c>
      <c r="AC21" s="45">
        <v>7.33</v>
      </c>
      <c r="AD21" s="77">
        <f t="shared" si="14"/>
        <v>20480.4833600213</v>
      </c>
      <c r="AE21" s="77">
        <f t="shared" si="15"/>
        <v>32228.7576350213</v>
      </c>
      <c r="AF21" s="77">
        <f t="shared" si="16"/>
        <v>5687.88236497867</v>
      </c>
    </row>
    <row r="22" s="2" customFormat="1" spans="1:32">
      <c r="A22" s="21"/>
      <c r="B22" s="22"/>
      <c r="C22" s="23">
        <v>241210000044</v>
      </c>
      <c r="D22" s="24">
        <v>45609</v>
      </c>
      <c r="E22" s="24" t="s">
        <v>94</v>
      </c>
      <c r="F22" s="22" t="s">
        <v>95</v>
      </c>
      <c r="G22" s="22" t="s">
        <v>96</v>
      </c>
      <c r="H22" s="25">
        <v>5.896</v>
      </c>
      <c r="I22" s="25">
        <v>922</v>
      </c>
      <c r="J22" s="44">
        <v>9160.23</v>
      </c>
      <c r="K22" s="45"/>
      <c r="L22" s="46"/>
      <c r="M22" s="47"/>
      <c r="N22" s="52"/>
      <c r="O22" s="49"/>
      <c r="P22" s="50">
        <f>SUBTOTAL(9,J22)</f>
        <v>9160.23</v>
      </c>
      <c r="Q22" s="78"/>
      <c r="R22" s="78"/>
      <c r="S22" s="77">
        <f t="shared" si="7"/>
        <v>4058.09541176471</v>
      </c>
      <c r="T22" s="77"/>
      <c r="U22" s="77">
        <f t="shared" si="8"/>
        <v>156.070588235294</v>
      </c>
      <c r="V22" s="77"/>
      <c r="W22" s="77"/>
      <c r="X22" s="77">
        <f t="shared" si="12"/>
        <v>4214.166</v>
      </c>
      <c r="Y22" s="94">
        <f t="shared" si="9"/>
        <v>935.892022352941</v>
      </c>
      <c r="Z22" s="94"/>
      <c r="AA22" s="94">
        <f t="shared" si="10"/>
        <v>8.23532470588235</v>
      </c>
      <c r="AB22" s="94">
        <f t="shared" si="13"/>
        <v>944.127347058824</v>
      </c>
      <c r="AC22" s="45">
        <v>7.33</v>
      </c>
      <c r="AD22" s="77">
        <f t="shared" si="14"/>
        <v>6920.45345394118</v>
      </c>
      <c r="AE22" s="77">
        <f t="shared" si="15"/>
        <v>11134.6194539412</v>
      </c>
      <c r="AF22" s="77">
        <f t="shared" si="16"/>
        <v>-1974.38945394118</v>
      </c>
    </row>
    <row r="23" s="2" customFormat="1" spans="1:32">
      <c r="A23" s="21"/>
      <c r="B23" s="22"/>
      <c r="C23" s="23">
        <v>241213000052</v>
      </c>
      <c r="D23" s="24">
        <v>45609</v>
      </c>
      <c r="E23" s="24" t="s">
        <v>94</v>
      </c>
      <c r="F23" s="22" t="s">
        <v>95</v>
      </c>
      <c r="G23" s="22" t="s">
        <v>96</v>
      </c>
      <c r="H23" s="25">
        <v>20.97</v>
      </c>
      <c r="I23" s="25">
        <v>2633</v>
      </c>
      <c r="J23" s="44">
        <v>32579.83</v>
      </c>
      <c r="K23" s="45"/>
      <c r="L23" s="46"/>
      <c r="M23" s="47"/>
      <c r="N23" s="52"/>
      <c r="O23" s="49"/>
      <c r="P23" s="50">
        <f>SUBTOTAL(9,J23)</f>
        <v>32579.83</v>
      </c>
      <c r="Q23" s="78"/>
      <c r="R23" s="78"/>
      <c r="S23" s="77">
        <f t="shared" si="7"/>
        <v>14433.2192647059</v>
      </c>
      <c r="T23" s="77"/>
      <c r="U23" s="77">
        <f t="shared" si="8"/>
        <v>555.088235294118</v>
      </c>
      <c r="V23" s="77"/>
      <c r="W23" s="77"/>
      <c r="X23" s="77">
        <f t="shared" si="12"/>
        <v>14988.3075</v>
      </c>
      <c r="Y23" s="94">
        <f t="shared" si="9"/>
        <v>3328.63902794118</v>
      </c>
      <c r="Z23" s="95"/>
      <c r="AA23" s="94">
        <f t="shared" si="10"/>
        <v>29.2901558823529</v>
      </c>
      <c r="AB23" s="94">
        <f t="shared" si="13"/>
        <v>3357.92918382353</v>
      </c>
      <c r="AC23" s="45">
        <v>7.33</v>
      </c>
      <c r="AD23" s="77">
        <f t="shared" si="14"/>
        <v>24613.6209174265</v>
      </c>
      <c r="AE23" s="77">
        <f t="shared" si="15"/>
        <v>39601.9284174265</v>
      </c>
      <c r="AF23" s="77">
        <f t="shared" si="16"/>
        <v>-7022.09841742647</v>
      </c>
    </row>
    <row r="24" s="2" customFormat="1" spans="1:32">
      <c r="A24" s="21"/>
      <c r="B24" s="22"/>
      <c r="C24" s="23">
        <v>241213000054</v>
      </c>
      <c r="D24" s="24">
        <v>45609</v>
      </c>
      <c r="E24" s="24" t="s">
        <v>94</v>
      </c>
      <c r="F24" s="22" t="s">
        <v>95</v>
      </c>
      <c r="G24" s="22" t="s">
        <v>96</v>
      </c>
      <c r="H24" s="25">
        <v>3.5</v>
      </c>
      <c r="I24" s="25">
        <v>419</v>
      </c>
      <c r="J24" s="44">
        <v>5437.74</v>
      </c>
      <c r="K24" s="45"/>
      <c r="L24" s="46"/>
      <c r="M24" s="47"/>
      <c r="N24" s="52"/>
      <c r="O24" s="49"/>
      <c r="P24" s="50">
        <f>SUBTOTAL(9,J24)</f>
        <v>5437.74</v>
      </c>
      <c r="Q24" s="81"/>
      <c r="R24" s="81"/>
      <c r="S24" s="77">
        <f t="shared" si="7"/>
        <v>2408.97794117647</v>
      </c>
      <c r="T24" s="77"/>
      <c r="U24" s="77">
        <f t="shared" si="8"/>
        <v>92.6470588235294</v>
      </c>
      <c r="V24" s="77"/>
      <c r="W24" s="77"/>
      <c r="X24" s="77">
        <f t="shared" si="12"/>
        <v>2501.625</v>
      </c>
      <c r="Y24" s="94">
        <f t="shared" si="9"/>
        <v>555.566838235294</v>
      </c>
      <c r="Z24" s="95"/>
      <c r="AA24" s="94">
        <f t="shared" si="10"/>
        <v>4.88867647058824</v>
      </c>
      <c r="AB24" s="94">
        <f t="shared" si="13"/>
        <v>560.455514705882</v>
      </c>
      <c r="AC24" s="45">
        <v>7.33</v>
      </c>
      <c r="AD24" s="77">
        <f t="shared" si="14"/>
        <v>4108.13892279412</v>
      </c>
      <c r="AE24" s="77">
        <f t="shared" si="15"/>
        <v>6609.76392279412</v>
      </c>
      <c r="AF24" s="77">
        <f t="shared" si="16"/>
        <v>-1172.02392279412</v>
      </c>
    </row>
    <row r="25" ht="15.75" spans="1:32">
      <c r="A25" s="27" t="s">
        <v>20</v>
      </c>
      <c r="B25" s="28"/>
      <c r="C25" s="28"/>
      <c r="D25" s="28"/>
      <c r="E25" s="28"/>
      <c r="F25" s="28"/>
      <c r="G25" s="28"/>
      <c r="H25" s="28"/>
      <c r="I25" s="54"/>
      <c r="J25" s="28">
        <f>SUM(J4:J4)</f>
        <v>0</v>
      </c>
      <c r="K25" s="55"/>
      <c r="L25" s="56"/>
      <c r="M25" s="55"/>
      <c r="N25" s="55">
        <f t="shared" ref="N25:Q25" si="17">SUM(N4:N4)</f>
        <v>0</v>
      </c>
      <c r="O25" s="28"/>
      <c r="P25" s="28">
        <f t="shared" si="17"/>
        <v>0</v>
      </c>
      <c r="Q25" s="28">
        <f t="shared" si="17"/>
        <v>0</v>
      </c>
      <c r="R25" s="28"/>
      <c r="S25" s="28"/>
      <c r="T25" s="28"/>
      <c r="U25" s="28"/>
      <c r="V25" s="28"/>
      <c r="W25" s="28"/>
      <c r="X25" s="82">
        <f>SUM(X4:X4)</f>
        <v>0</v>
      </c>
      <c r="Y25" s="56"/>
      <c r="Z25" s="56"/>
      <c r="AA25" s="56"/>
      <c r="AB25" s="56"/>
      <c r="AC25" s="55"/>
      <c r="AD25" s="28">
        <f>SUM(AD4:AD4)</f>
        <v>0</v>
      </c>
      <c r="AE25" s="28"/>
      <c r="AF25" s="96">
        <f>SUM(AF4:AF24)</f>
        <v>1768.32554252352</v>
      </c>
    </row>
    <row r="26" customFormat="1" spans="4:32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  <c r="AF26" s="8"/>
    </row>
    <row r="27" customFormat="1" spans="4:32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  <c r="AF27" s="8"/>
    </row>
    <row r="28" customFormat="1" spans="4:32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  <c r="AF28" s="8"/>
    </row>
    <row r="29" customFormat="1" spans="4:32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  <c r="AF29" s="8"/>
    </row>
    <row r="30" customFormat="1" spans="4:32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  <c r="AF30" s="8"/>
    </row>
    <row r="31" customFormat="1" spans="4:32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  <c r="AF31" s="8"/>
    </row>
    <row r="32" customFormat="1" spans="4:32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  <c r="AF32" s="8"/>
    </row>
    <row r="33" customFormat="1" spans="4:32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  <c r="AF33" s="8"/>
    </row>
    <row r="34" customFormat="1" spans="4:32">
      <c r="D34" s="3"/>
      <c r="E34" s="3"/>
      <c r="K34" s="4"/>
      <c r="L34" s="5"/>
      <c r="M34" s="4"/>
      <c r="X34" s="7"/>
      <c r="Y34" s="5"/>
      <c r="Z34" s="5"/>
      <c r="AA34" s="5"/>
      <c r="AB34" s="5"/>
      <c r="AC34" s="4"/>
      <c r="AF34" s="8"/>
    </row>
    <row r="35" customFormat="1" spans="4:32">
      <c r="D35" s="3"/>
      <c r="E35" s="3"/>
      <c r="K35" s="4"/>
      <c r="L35" s="5"/>
      <c r="M35" s="4"/>
      <c r="X35" s="7"/>
      <c r="Y35" s="5"/>
      <c r="Z35" s="5"/>
      <c r="AA35" s="5"/>
      <c r="AB35" s="5"/>
      <c r="AC35" s="4"/>
      <c r="AF35" s="8"/>
    </row>
    <row r="36" customFormat="1" spans="4:32">
      <c r="D36" s="3"/>
      <c r="E36" s="3"/>
      <c r="K36" s="4"/>
      <c r="L36" s="5"/>
      <c r="M36" s="4"/>
      <c r="X36" s="7"/>
      <c r="Y36" s="5"/>
      <c r="Z36" s="5"/>
      <c r="AA36" s="5"/>
      <c r="AB36" s="5"/>
      <c r="AC36" s="4"/>
      <c r="AF36" s="8"/>
    </row>
    <row r="37" customFormat="1" spans="4:32">
      <c r="D37" s="3"/>
      <c r="E37" s="3"/>
      <c r="K37" s="4"/>
      <c r="L37" s="5"/>
      <c r="M37" s="4"/>
      <c r="X37" s="7"/>
      <c r="Y37" s="5"/>
      <c r="Z37" s="5"/>
      <c r="AA37" s="5"/>
      <c r="AB37" s="5"/>
      <c r="AC37" s="4"/>
      <c r="AF37" s="8"/>
    </row>
    <row r="38" customFormat="1" spans="4:32">
      <c r="D38" s="3"/>
      <c r="E38" s="3"/>
      <c r="K38" s="4"/>
      <c r="L38" s="5"/>
      <c r="M38" s="4"/>
      <c r="X38" s="7"/>
      <c r="Y38" s="5"/>
      <c r="Z38" s="5"/>
      <c r="AA38" s="5"/>
      <c r="AB38" s="5"/>
      <c r="AC38" s="4"/>
      <c r="AF38" s="8"/>
    </row>
    <row r="39" customFormat="1" spans="4:32">
      <c r="D39" s="3"/>
      <c r="E39" s="3"/>
      <c r="K39" s="4"/>
      <c r="L39" s="5"/>
      <c r="M39" s="4"/>
      <c r="X39" s="7"/>
      <c r="Y39" s="5"/>
      <c r="Z39" s="5"/>
      <c r="AA39" s="5"/>
      <c r="AB39" s="5"/>
      <c r="AC39" s="4"/>
      <c r="AF39" s="8"/>
    </row>
    <row r="40" customFormat="1" spans="4:32">
      <c r="D40" s="3"/>
      <c r="E40" s="3"/>
      <c r="K40" s="4"/>
      <c r="L40" s="5"/>
      <c r="M40" s="4"/>
      <c r="X40" s="7"/>
      <c r="Y40" s="5"/>
      <c r="Z40" s="5"/>
      <c r="AA40" s="5"/>
      <c r="AB40" s="5"/>
      <c r="AC40" s="4"/>
      <c r="AF40" s="8"/>
    </row>
    <row r="41" customFormat="1" spans="4:32">
      <c r="D41" s="3"/>
      <c r="E41" s="3"/>
      <c r="K41" s="4"/>
      <c r="L41" s="5"/>
      <c r="M41" s="4"/>
      <c r="X41" s="7"/>
      <c r="Y41" s="5"/>
      <c r="Z41" s="5"/>
      <c r="AA41" s="5"/>
      <c r="AB41" s="5"/>
      <c r="AC41" s="4"/>
      <c r="AF41" s="8"/>
    </row>
  </sheetData>
  <autoFilter xmlns:etc="http://www.wps.cn/officeDocument/2017/etCustomData" ref="A3:AF25" etc:filterBottomFollowUsedRange="0">
    <extLst/>
  </autoFilter>
  <mergeCells count="21">
    <mergeCell ref="A1:AF1"/>
    <mergeCell ref="J3:P3"/>
    <mergeCell ref="R3:V3"/>
    <mergeCell ref="Y3:AD3"/>
    <mergeCell ref="A3:A4"/>
    <mergeCell ref="A5:A24"/>
    <mergeCell ref="B3:B4"/>
    <mergeCell ref="B5:B24"/>
    <mergeCell ref="C3:C4"/>
    <mergeCell ref="D3:D4"/>
    <mergeCell ref="E3:E4"/>
    <mergeCell ref="F3:F4"/>
    <mergeCell ref="G3:G4"/>
    <mergeCell ref="H3:H4"/>
    <mergeCell ref="I3:I4"/>
    <mergeCell ref="Q3:Q4"/>
    <mergeCell ref="Q5:Q24"/>
    <mergeCell ref="R5:R24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8"/>
  <sheetViews>
    <sheetView zoomScale="110" zoomScaleNormal="110" workbookViewId="0">
      <pane xSplit="2" ySplit="4" topLeftCell="S5" activePane="bottomRight" state="frozen"/>
      <selection/>
      <selection pane="topRight"/>
      <selection pane="bottomLeft"/>
      <selection pane="bottomRight" activeCell="AA5" sqref="AA5:AA21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9"/>
      <c r="L1" s="30"/>
      <c r="M1" s="29"/>
      <c r="N1" s="9"/>
      <c r="O1" s="31"/>
      <c r="P1" s="9"/>
      <c r="Q1" s="9"/>
      <c r="R1" s="9"/>
      <c r="S1" s="9"/>
      <c r="T1" s="57"/>
      <c r="U1" s="57"/>
      <c r="V1" s="58"/>
      <c r="W1" s="57"/>
      <c r="X1" s="59"/>
      <c r="Y1" s="30"/>
      <c r="Z1" s="30"/>
      <c r="AA1" s="30"/>
      <c r="AB1" s="30"/>
      <c r="AC1" s="29"/>
      <c r="AD1" s="30"/>
      <c r="AE1" s="9"/>
      <c r="AF1" s="83"/>
    </row>
    <row r="2" customFormat="1" ht="31" customHeight="1" spans="1:32">
      <c r="A2" s="10" t="s">
        <v>136</v>
      </c>
      <c r="B2" s="10" t="s">
        <v>137</v>
      </c>
      <c r="C2" s="10">
        <v>74.3865</v>
      </c>
      <c r="D2" s="9"/>
      <c r="E2" s="9"/>
      <c r="F2" s="9"/>
      <c r="G2" s="9"/>
      <c r="H2" s="9"/>
      <c r="I2" s="9"/>
      <c r="J2" s="9"/>
      <c r="K2" s="29"/>
      <c r="L2" s="30"/>
      <c r="M2" s="29"/>
      <c r="N2" s="9"/>
      <c r="O2" s="31"/>
      <c r="P2" s="9"/>
      <c r="Q2" s="9"/>
      <c r="R2" s="9"/>
      <c r="S2" s="9"/>
      <c r="T2" s="57"/>
      <c r="U2" s="57"/>
      <c r="V2" s="58"/>
      <c r="W2" s="57"/>
      <c r="X2" s="59"/>
      <c r="Y2" s="30"/>
      <c r="Z2" s="30"/>
      <c r="AA2" s="30"/>
      <c r="AB2" s="30"/>
      <c r="AC2" s="29"/>
      <c r="AD2" s="30"/>
      <c r="AE2" s="9"/>
      <c r="AF2" s="9"/>
    </row>
    <row r="3" s="1" customFormat="1" ht="23" customHeight="1" spans="1:32">
      <c r="A3" s="11" t="s">
        <v>1</v>
      </c>
      <c r="B3" s="12" t="s">
        <v>2</v>
      </c>
      <c r="C3" s="13" t="s">
        <v>21</v>
      </c>
      <c r="D3" s="14" t="s">
        <v>22</v>
      </c>
      <c r="E3" s="15" t="s">
        <v>23</v>
      </c>
      <c r="F3" s="16" t="s">
        <v>24</v>
      </c>
      <c r="G3" s="16" t="s">
        <v>25</v>
      </c>
      <c r="H3" s="16" t="s">
        <v>26</v>
      </c>
      <c r="I3" s="16" t="s">
        <v>27</v>
      </c>
      <c r="J3" s="32" t="s">
        <v>28</v>
      </c>
      <c r="K3" s="33"/>
      <c r="L3" s="34"/>
      <c r="M3" s="33"/>
      <c r="N3" s="34"/>
      <c r="O3" s="35"/>
      <c r="P3" s="36"/>
      <c r="Q3" s="60" t="s">
        <v>29</v>
      </c>
      <c r="R3" s="61" t="s">
        <v>30</v>
      </c>
      <c r="S3" s="62"/>
      <c r="T3" s="63"/>
      <c r="U3" s="64"/>
      <c r="V3" s="65"/>
      <c r="W3" s="66" t="s">
        <v>31</v>
      </c>
      <c r="X3" s="67" t="s">
        <v>32</v>
      </c>
      <c r="Y3" s="84" t="s">
        <v>33</v>
      </c>
      <c r="Z3" s="84"/>
      <c r="AA3" s="84"/>
      <c r="AB3" s="84"/>
      <c r="AC3" s="85"/>
      <c r="AD3" s="84"/>
      <c r="AE3" s="86" t="s">
        <v>34</v>
      </c>
      <c r="AF3" s="87" t="s">
        <v>3</v>
      </c>
    </row>
    <row r="4" s="1" customFormat="1" ht="27" customHeight="1" spans="1:32">
      <c r="A4" s="17"/>
      <c r="B4" s="18"/>
      <c r="C4" s="13"/>
      <c r="D4" s="14"/>
      <c r="E4" s="19"/>
      <c r="F4" s="20"/>
      <c r="G4" s="20"/>
      <c r="H4" s="20"/>
      <c r="I4" s="37"/>
      <c r="J4" s="38" t="s">
        <v>35</v>
      </c>
      <c r="K4" s="39" t="s">
        <v>36</v>
      </c>
      <c r="L4" s="40" t="s">
        <v>37</v>
      </c>
      <c r="M4" s="39" t="s">
        <v>38</v>
      </c>
      <c r="N4" s="41" t="s">
        <v>39</v>
      </c>
      <c r="O4" s="42" t="s">
        <v>40</v>
      </c>
      <c r="P4" s="43" t="s">
        <v>41</v>
      </c>
      <c r="Q4" s="68"/>
      <c r="R4" s="69" t="s">
        <v>42</v>
      </c>
      <c r="S4" s="70" t="s">
        <v>43</v>
      </c>
      <c r="T4" s="71" t="s">
        <v>44</v>
      </c>
      <c r="U4" s="72" t="s">
        <v>45</v>
      </c>
      <c r="V4" s="71" t="s">
        <v>46</v>
      </c>
      <c r="W4" s="73"/>
      <c r="X4" s="74"/>
      <c r="Y4" s="88" t="s">
        <v>47</v>
      </c>
      <c r="Z4" s="88" t="s">
        <v>48</v>
      </c>
      <c r="AA4" s="88" t="s">
        <v>49</v>
      </c>
      <c r="AB4" s="89" t="s">
        <v>50</v>
      </c>
      <c r="AC4" s="90" t="s">
        <v>51</v>
      </c>
      <c r="AD4" s="91" t="s">
        <v>41</v>
      </c>
      <c r="AE4" s="92" t="s">
        <v>52</v>
      </c>
      <c r="AF4" s="93"/>
    </row>
    <row r="5" s="2" customFormat="1" spans="1:32">
      <c r="A5" s="21" t="s">
        <v>12</v>
      </c>
      <c r="B5" s="22" t="s">
        <v>13</v>
      </c>
      <c r="C5" s="23">
        <v>241030000050</v>
      </c>
      <c r="D5" s="24">
        <v>45615</v>
      </c>
      <c r="E5" s="24" t="s">
        <v>57</v>
      </c>
      <c r="F5" s="22" t="s">
        <v>58</v>
      </c>
      <c r="G5" s="22" t="s">
        <v>82</v>
      </c>
      <c r="H5" s="25">
        <v>20.9121</v>
      </c>
      <c r="I5" s="25">
        <v>2224</v>
      </c>
      <c r="J5" s="44">
        <v>44817.94</v>
      </c>
      <c r="K5" s="45"/>
      <c r="L5" s="99"/>
      <c r="M5" s="47"/>
      <c r="N5" s="52"/>
      <c r="O5" s="49"/>
      <c r="P5" s="50">
        <f>SUBTOTAL(9,J5)</f>
        <v>44817.94</v>
      </c>
      <c r="Q5" s="75">
        <f>SUM(P5:P21)</f>
        <v>168658.32749454</v>
      </c>
      <c r="R5" s="76" t="s">
        <v>121</v>
      </c>
      <c r="S5" s="77">
        <f>SUM(47588.5/68)*H5</f>
        <v>14634.9333948529</v>
      </c>
      <c r="T5" s="77"/>
      <c r="U5" s="77">
        <f>SUM(2300/68)*H5</f>
        <v>707.321029411765</v>
      </c>
      <c r="V5" s="77"/>
      <c r="W5" s="77"/>
      <c r="X5" s="77">
        <f t="shared" ref="X5:X59" si="0">SUM(S5:W5)</f>
        <v>15342.2544242647</v>
      </c>
      <c r="Y5" s="94">
        <f>SUM(11085/68)*H5</f>
        <v>3408.97983088235</v>
      </c>
      <c r="Z5" s="94"/>
      <c r="AA5" s="94">
        <f>SUM(75.12/68)*H5</f>
        <v>23.1017198823529</v>
      </c>
      <c r="AB5" s="94">
        <f t="shared" ref="AB5:AB59" si="1">SUM(Y5:AA5)</f>
        <v>3432.08155076471</v>
      </c>
      <c r="AC5" s="45">
        <v>7.3</v>
      </c>
      <c r="AD5" s="77">
        <f t="shared" ref="AD5:AD59" si="2">SUM(AB5*AC5)</f>
        <v>25054.1953205823</v>
      </c>
      <c r="AE5" s="77">
        <f t="shared" ref="AE5:AE59" si="3">SUM(X5+AD5)</f>
        <v>40396.4497448471</v>
      </c>
      <c r="AF5" s="77">
        <f t="shared" ref="AF5:AF59" si="4">SUM(P5-AE5)</f>
        <v>4421.49025515294</v>
      </c>
    </row>
    <row r="6" s="2" customFormat="1" spans="1:32">
      <c r="A6" s="21"/>
      <c r="B6" s="22"/>
      <c r="C6" s="23">
        <v>241102000012</v>
      </c>
      <c r="D6" s="24">
        <v>45615</v>
      </c>
      <c r="E6" s="24" t="s">
        <v>57</v>
      </c>
      <c r="F6" s="22" t="s">
        <v>58</v>
      </c>
      <c r="G6" s="22" t="s">
        <v>67</v>
      </c>
      <c r="H6" s="25">
        <v>2.1458</v>
      </c>
      <c r="I6" s="25">
        <v>808</v>
      </c>
      <c r="J6" s="50"/>
      <c r="K6" s="106">
        <v>1041860</v>
      </c>
      <c r="L6" s="46"/>
      <c r="M6" s="47">
        <f>SUM(K6/N6)</f>
        <v>1674.26198634168</v>
      </c>
      <c r="N6" s="52">
        <v>622.28015</v>
      </c>
      <c r="O6" s="49">
        <v>7.27</v>
      </c>
      <c r="P6" s="50">
        <f>SUM(N6*O6)</f>
        <v>4523.9766905</v>
      </c>
      <c r="Q6" s="78"/>
      <c r="R6" s="78"/>
      <c r="S6" s="77">
        <f t="shared" ref="S6:S21" si="5">SUM(47588.5/68)*H6</f>
        <v>1501.69710735294</v>
      </c>
      <c r="T6" s="77"/>
      <c r="U6" s="77">
        <f t="shared" ref="U6:U21" si="6">SUM(2300/68)*H6</f>
        <v>72.5785294117647</v>
      </c>
      <c r="V6" s="77"/>
      <c r="W6" s="77"/>
      <c r="X6" s="77">
        <f t="shared" si="0"/>
        <v>1574.27563676471</v>
      </c>
      <c r="Y6" s="94">
        <f t="shared" ref="Y6:Y21" si="7">SUM(11085/68)*H6</f>
        <v>349.796955882353</v>
      </c>
      <c r="Z6" s="94"/>
      <c r="AA6" s="94">
        <f t="shared" ref="AA6:AA21" si="8">SUM(75.12/68)*H6</f>
        <v>2.37047788235294</v>
      </c>
      <c r="AB6" s="94">
        <f t="shared" si="1"/>
        <v>352.167433764706</v>
      </c>
      <c r="AC6" s="45">
        <v>7.3</v>
      </c>
      <c r="AD6" s="77">
        <f t="shared" si="2"/>
        <v>2570.82226648235</v>
      </c>
      <c r="AE6" s="77">
        <f t="shared" si="3"/>
        <v>4145.09790324706</v>
      </c>
      <c r="AF6" s="77">
        <f t="shared" si="4"/>
        <v>378.878787252941</v>
      </c>
    </row>
    <row r="7" s="2" customFormat="1" spans="1:32">
      <c r="A7" s="21"/>
      <c r="B7" s="22"/>
      <c r="C7" s="23">
        <v>241102000009</v>
      </c>
      <c r="D7" s="24">
        <v>45615</v>
      </c>
      <c r="E7" s="24" t="s">
        <v>57</v>
      </c>
      <c r="F7" s="22" t="s">
        <v>58</v>
      </c>
      <c r="G7" s="22" t="s">
        <v>67</v>
      </c>
      <c r="H7" s="25">
        <v>1.3109</v>
      </c>
      <c r="I7" s="25">
        <v>450</v>
      </c>
      <c r="J7" s="50"/>
      <c r="K7" s="51">
        <v>638809</v>
      </c>
      <c r="L7" s="46"/>
      <c r="M7" s="47">
        <f>SUM(K7/N7)</f>
        <v>1680.41299487045</v>
      </c>
      <c r="N7" s="52">
        <v>380.15</v>
      </c>
      <c r="O7" s="49">
        <v>7.27</v>
      </c>
      <c r="P7" s="50">
        <f>SUM(N7*O7)</f>
        <v>2763.6905</v>
      </c>
      <c r="Q7" s="78"/>
      <c r="R7" s="78"/>
      <c r="S7" s="77">
        <f t="shared" si="5"/>
        <v>917.408303676471</v>
      </c>
      <c r="T7" s="77"/>
      <c r="U7" s="77">
        <f t="shared" si="6"/>
        <v>44.3392647058823</v>
      </c>
      <c r="V7" s="77"/>
      <c r="W7" s="77"/>
      <c r="X7" s="77">
        <f t="shared" si="0"/>
        <v>961.747568382353</v>
      </c>
      <c r="Y7" s="94">
        <f t="shared" si="7"/>
        <v>213.695977941176</v>
      </c>
      <c r="Z7" s="94"/>
      <c r="AA7" s="94">
        <f t="shared" si="8"/>
        <v>1.44815894117647</v>
      </c>
      <c r="AB7" s="94">
        <f t="shared" si="1"/>
        <v>215.144136882353</v>
      </c>
      <c r="AC7" s="45">
        <v>7.3</v>
      </c>
      <c r="AD7" s="77">
        <f t="shared" si="2"/>
        <v>1570.55219924118</v>
      </c>
      <c r="AE7" s="77">
        <f t="shared" si="3"/>
        <v>2532.29976762353</v>
      </c>
      <c r="AF7" s="77">
        <f t="shared" si="4"/>
        <v>231.390732376471</v>
      </c>
    </row>
    <row r="8" s="2" customFormat="1" spans="1:32">
      <c r="A8" s="21"/>
      <c r="B8" s="22"/>
      <c r="C8" s="23">
        <v>241107000048</v>
      </c>
      <c r="D8" s="24">
        <v>45615</v>
      </c>
      <c r="E8" s="24" t="s">
        <v>57</v>
      </c>
      <c r="F8" s="22" t="s">
        <v>58</v>
      </c>
      <c r="G8" s="22" t="s">
        <v>84</v>
      </c>
      <c r="H8" s="25">
        <v>1.9284</v>
      </c>
      <c r="I8" s="25">
        <v>1039</v>
      </c>
      <c r="J8" s="44">
        <v>4628</v>
      </c>
      <c r="K8" s="100"/>
      <c r="L8" s="46"/>
      <c r="M8" s="47"/>
      <c r="N8" s="48"/>
      <c r="O8" s="49"/>
      <c r="P8" s="50">
        <f t="shared" ref="P8:P10" si="9">SUBTOTAL(9,J8)</f>
        <v>4628</v>
      </c>
      <c r="Q8" s="78"/>
      <c r="R8" s="78"/>
      <c r="S8" s="77">
        <f t="shared" si="5"/>
        <v>1349.55387352941</v>
      </c>
      <c r="T8" s="77"/>
      <c r="U8" s="77">
        <f t="shared" si="6"/>
        <v>65.2252941176471</v>
      </c>
      <c r="V8" s="77"/>
      <c r="W8" s="77"/>
      <c r="X8" s="77">
        <f t="shared" si="0"/>
        <v>1414.77916764706</v>
      </c>
      <c r="Y8" s="94">
        <f t="shared" si="7"/>
        <v>314.357558823529</v>
      </c>
      <c r="Z8" s="94"/>
      <c r="AA8" s="94">
        <f t="shared" si="8"/>
        <v>2.13031482352941</v>
      </c>
      <c r="AB8" s="94">
        <f t="shared" si="1"/>
        <v>316.487873647059</v>
      </c>
      <c r="AC8" s="45">
        <v>7.3</v>
      </c>
      <c r="AD8" s="77">
        <f t="shared" si="2"/>
        <v>2310.36147762353</v>
      </c>
      <c r="AE8" s="77">
        <f t="shared" si="3"/>
        <v>3725.14064527059</v>
      </c>
      <c r="AF8" s="77">
        <f t="shared" si="4"/>
        <v>902.859354729412</v>
      </c>
    </row>
    <row r="9" s="2" customFormat="1" spans="1:32">
      <c r="A9" s="21"/>
      <c r="B9" s="22"/>
      <c r="C9" s="23">
        <v>241107000009</v>
      </c>
      <c r="D9" s="24">
        <v>45615</v>
      </c>
      <c r="E9" s="24" t="s">
        <v>57</v>
      </c>
      <c r="F9" s="22" t="s">
        <v>58</v>
      </c>
      <c r="G9" s="22" t="s">
        <v>111</v>
      </c>
      <c r="H9" s="25">
        <v>18.3103</v>
      </c>
      <c r="I9" s="25">
        <v>10792</v>
      </c>
      <c r="J9" s="44">
        <v>43083.21</v>
      </c>
      <c r="K9" s="100"/>
      <c r="L9" s="99"/>
      <c r="M9" s="47"/>
      <c r="N9" s="52"/>
      <c r="O9" s="49"/>
      <c r="P9" s="50">
        <f t="shared" si="9"/>
        <v>43083.21</v>
      </c>
      <c r="Q9" s="78"/>
      <c r="R9" s="78"/>
      <c r="S9" s="77">
        <f t="shared" si="5"/>
        <v>12814.1134051471</v>
      </c>
      <c r="T9" s="77"/>
      <c r="U9" s="77">
        <f t="shared" si="6"/>
        <v>619.318970588235</v>
      </c>
      <c r="V9" s="77"/>
      <c r="W9" s="77"/>
      <c r="X9" s="77">
        <f t="shared" si="0"/>
        <v>13433.4323757353</v>
      </c>
      <c r="Y9" s="94">
        <f t="shared" si="7"/>
        <v>2984.84816911765</v>
      </c>
      <c r="Z9" s="94"/>
      <c r="AA9" s="94">
        <f t="shared" si="8"/>
        <v>20.2274961176471</v>
      </c>
      <c r="AB9" s="94">
        <f t="shared" si="1"/>
        <v>3005.07566523529</v>
      </c>
      <c r="AC9" s="45">
        <v>7.3</v>
      </c>
      <c r="AD9" s="77">
        <f t="shared" si="2"/>
        <v>21937.0523562176</v>
      </c>
      <c r="AE9" s="77">
        <f t="shared" si="3"/>
        <v>35370.4847319529</v>
      </c>
      <c r="AF9" s="77">
        <f t="shared" si="4"/>
        <v>7712.72526804706</v>
      </c>
    </row>
    <row r="10" s="2" customFormat="1" spans="1:32">
      <c r="A10" s="21"/>
      <c r="B10" s="22"/>
      <c r="C10" s="23">
        <v>241116000004</v>
      </c>
      <c r="D10" s="24">
        <v>45615</v>
      </c>
      <c r="E10" s="24" t="s">
        <v>57</v>
      </c>
      <c r="F10" s="22" t="s">
        <v>58</v>
      </c>
      <c r="G10" s="22" t="s">
        <v>122</v>
      </c>
      <c r="H10" s="25">
        <v>0.9249</v>
      </c>
      <c r="I10" s="25">
        <v>172</v>
      </c>
      <c r="J10" s="44">
        <v>3030</v>
      </c>
      <c r="K10" s="45"/>
      <c r="L10" s="46"/>
      <c r="M10" s="47"/>
      <c r="N10" s="48"/>
      <c r="O10" s="49"/>
      <c r="P10" s="50">
        <f t="shared" si="9"/>
        <v>3030</v>
      </c>
      <c r="Q10" s="78"/>
      <c r="R10" s="78"/>
      <c r="S10" s="77">
        <f t="shared" si="5"/>
        <v>647.273583088235</v>
      </c>
      <c r="T10" s="77"/>
      <c r="U10" s="77">
        <f t="shared" si="6"/>
        <v>31.2833823529412</v>
      </c>
      <c r="V10" s="77"/>
      <c r="W10" s="77"/>
      <c r="X10" s="77">
        <f t="shared" si="0"/>
        <v>678.556965441177</v>
      </c>
      <c r="Y10" s="94">
        <f t="shared" si="7"/>
        <v>150.772301470588</v>
      </c>
      <c r="Z10" s="94"/>
      <c r="AA10" s="94">
        <f t="shared" si="8"/>
        <v>1.02174247058824</v>
      </c>
      <c r="AB10" s="94">
        <f t="shared" si="1"/>
        <v>151.794043941176</v>
      </c>
      <c r="AC10" s="45">
        <v>7.3</v>
      </c>
      <c r="AD10" s="77">
        <f t="shared" si="2"/>
        <v>1108.09652077059</v>
      </c>
      <c r="AE10" s="77">
        <f t="shared" si="3"/>
        <v>1786.65348621176</v>
      </c>
      <c r="AF10" s="77">
        <f t="shared" si="4"/>
        <v>1243.34651378824</v>
      </c>
    </row>
    <row r="11" s="2" customFormat="1" spans="1:32">
      <c r="A11" s="21"/>
      <c r="B11" s="22"/>
      <c r="C11" s="23">
        <v>241111000061</v>
      </c>
      <c r="D11" s="24">
        <v>45615</v>
      </c>
      <c r="E11" s="24" t="s">
        <v>60</v>
      </c>
      <c r="F11" s="22" t="s">
        <v>61</v>
      </c>
      <c r="G11" s="22" t="s">
        <v>123</v>
      </c>
      <c r="H11" s="25">
        <v>0.45</v>
      </c>
      <c r="I11" s="25">
        <v>124</v>
      </c>
      <c r="J11" s="107">
        <v>1257.4</v>
      </c>
      <c r="K11" s="45"/>
      <c r="L11" s="46"/>
      <c r="M11" s="47"/>
      <c r="N11" s="46"/>
      <c r="O11" s="49"/>
      <c r="P11" s="50">
        <f>SUM(J11)</f>
        <v>1257.4</v>
      </c>
      <c r="Q11" s="78"/>
      <c r="R11" s="78"/>
      <c r="S11" s="77">
        <f t="shared" si="5"/>
        <v>314.923897058824</v>
      </c>
      <c r="T11" s="77"/>
      <c r="U11" s="77">
        <f t="shared" si="6"/>
        <v>15.2205882352941</v>
      </c>
      <c r="V11" s="77"/>
      <c r="W11" s="77"/>
      <c r="X11" s="77">
        <f t="shared" si="0"/>
        <v>330.144485294118</v>
      </c>
      <c r="Y11" s="94">
        <f t="shared" si="7"/>
        <v>73.3566176470588</v>
      </c>
      <c r="Z11" s="95">
        <v>20.81</v>
      </c>
      <c r="AA11" s="94">
        <f t="shared" si="8"/>
        <v>0.497117647058824</v>
      </c>
      <c r="AB11" s="94">
        <f t="shared" si="1"/>
        <v>94.6637352941177</v>
      </c>
      <c r="AC11" s="45">
        <v>7.3</v>
      </c>
      <c r="AD11" s="77">
        <f t="shared" si="2"/>
        <v>691.045267647059</v>
      </c>
      <c r="AE11" s="77">
        <f t="shared" si="3"/>
        <v>1021.18975294118</v>
      </c>
      <c r="AF11" s="77">
        <f t="shared" si="4"/>
        <v>236.210247058824</v>
      </c>
    </row>
    <row r="12" s="2" customFormat="1" spans="1:32">
      <c r="A12" s="21"/>
      <c r="B12" s="22"/>
      <c r="C12" s="23">
        <v>241112000045</v>
      </c>
      <c r="D12" s="24">
        <v>45615</v>
      </c>
      <c r="E12" s="24" t="s">
        <v>64</v>
      </c>
      <c r="F12" s="22" t="s">
        <v>65</v>
      </c>
      <c r="G12" s="22" t="s">
        <v>124</v>
      </c>
      <c r="H12" s="25">
        <v>0.8383</v>
      </c>
      <c r="I12" s="25">
        <v>181</v>
      </c>
      <c r="J12" s="44">
        <v>3448</v>
      </c>
      <c r="K12" s="45"/>
      <c r="L12" s="46"/>
      <c r="M12" s="47"/>
      <c r="N12" s="48"/>
      <c r="O12" s="49"/>
      <c r="P12" s="50">
        <f t="shared" ref="P12:P15" si="10">SUBTOTAL(9,J12)</f>
        <v>3448</v>
      </c>
      <c r="Q12" s="78"/>
      <c r="R12" s="78"/>
      <c r="S12" s="77">
        <f t="shared" si="5"/>
        <v>586.668228676471</v>
      </c>
      <c r="T12" s="77"/>
      <c r="U12" s="77">
        <f t="shared" si="6"/>
        <v>28.3542647058824</v>
      </c>
      <c r="V12" s="77"/>
      <c r="W12" s="77"/>
      <c r="X12" s="77">
        <f t="shared" si="0"/>
        <v>615.022493382353</v>
      </c>
      <c r="Y12" s="94">
        <f t="shared" si="7"/>
        <v>136.655227941176</v>
      </c>
      <c r="Z12" s="95">
        <v>95.12</v>
      </c>
      <c r="AA12" s="94">
        <f t="shared" si="8"/>
        <v>0.926074941176471</v>
      </c>
      <c r="AB12" s="94">
        <f t="shared" si="1"/>
        <v>232.701302882353</v>
      </c>
      <c r="AC12" s="45">
        <v>7.3</v>
      </c>
      <c r="AD12" s="77">
        <f t="shared" si="2"/>
        <v>1698.71951104118</v>
      </c>
      <c r="AE12" s="77">
        <f t="shared" si="3"/>
        <v>2313.74200442353</v>
      </c>
      <c r="AF12" s="77">
        <f t="shared" si="4"/>
        <v>1134.25799557647</v>
      </c>
    </row>
    <row r="13" s="2" customFormat="1" spans="1:32">
      <c r="A13" s="21"/>
      <c r="B13" s="22"/>
      <c r="C13" s="23">
        <v>241113000029</v>
      </c>
      <c r="D13" s="24">
        <v>45615</v>
      </c>
      <c r="E13" s="24" t="s">
        <v>64</v>
      </c>
      <c r="F13" s="22" t="s">
        <v>65</v>
      </c>
      <c r="G13" s="22" t="s">
        <v>125</v>
      </c>
      <c r="H13" s="25">
        <v>1.7575</v>
      </c>
      <c r="I13" s="25">
        <v>1244.5</v>
      </c>
      <c r="J13" s="50"/>
      <c r="K13" s="51">
        <v>1064044.8</v>
      </c>
      <c r="L13" s="46"/>
      <c r="M13" s="47">
        <f>SUM(K13/N13)</f>
        <v>1680.00037135287</v>
      </c>
      <c r="N13" s="52">
        <v>633.35986</v>
      </c>
      <c r="O13" s="49">
        <v>7.27</v>
      </c>
      <c r="P13" s="50">
        <f>SUM(N13*O13)</f>
        <v>4604.5261822</v>
      </c>
      <c r="Q13" s="78"/>
      <c r="R13" s="78"/>
      <c r="S13" s="77">
        <f t="shared" si="5"/>
        <v>1229.95277573529</v>
      </c>
      <c r="T13" s="79">
        <v>735</v>
      </c>
      <c r="U13" s="77">
        <f t="shared" si="6"/>
        <v>59.4448529411765</v>
      </c>
      <c r="V13" s="77"/>
      <c r="W13" s="77"/>
      <c r="X13" s="77">
        <f t="shared" si="0"/>
        <v>2024.39762867647</v>
      </c>
      <c r="Y13" s="94">
        <f t="shared" si="7"/>
        <v>286.498345588235</v>
      </c>
      <c r="Z13" s="94"/>
      <c r="AA13" s="94">
        <f t="shared" si="8"/>
        <v>1.94152058823529</v>
      </c>
      <c r="AB13" s="94">
        <f t="shared" si="1"/>
        <v>288.439866176471</v>
      </c>
      <c r="AC13" s="45">
        <v>7.3</v>
      </c>
      <c r="AD13" s="77">
        <f t="shared" si="2"/>
        <v>2105.61102308824</v>
      </c>
      <c r="AE13" s="77">
        <f t="shared" si="3"/>
        <v>4130.00865176471</v>
      </c>
      <c r="AF13" s="77">
        <f t="shared" si="4"/>
        <v>474.517530435294</v>
      </c>
    </row>
    <row r="14" s="2" customFormat="1" spans="1:32">
      <c r="A14" s="21"/>
      <c r="B14" s="22"/>
      <c r="C14" s="23">
        <v>241113000042</v>
      </c>
      <c r="D14" s="24">
        <v>45615</v>
      </c>
      <c r="E14" s="24" t="s">
        <v>57</v>
      </c>
      <c r="F14" s="22" t="s">
        <v>58</v>
      </c>
      <c r="G14" s="22" t="s">
        <v>84</v>
      </c>
      <c r="H14" s="25">
        <v>0.3419</v>
      </c>
      <c r="I14" s="25">
        <v>190</v>
      </c>
      <c r="J14" s="44">
        <v>748.5</v>
      </c>
      <c r="K14" s="45"/>
      <c r="L14" s="46"/>
      <c r="M14" s="47"/>
      <c r="N14" s="48"/>
      <c r="O14" s="49"/>
      <c r="P14" s="50">
        <f t="shared" si="10"/>
        <v>748.5</v>
      </c>
      <c r="Q14" s="78"/>
      <c r="R14" s="78"/>
      <c r="S14" s="77">
        <f t="shared" si="5"/>
        <v>239.272178676471</v>
      </c>
      <c r="T14" s="77"/>
      <c r="U14" s="77">
        <f t="shared" si="6"/>
        <v>11.5642647058824</v>
      </c>
      <c r="V14" s="77"/>
      <c r="W14" s="77"/>
      <c r="X14" s="77">
        <f t="shared" si="0"/>
        <v>250.836443382353</v>
      </c>
      <c r="Y14" s="94">
        <f t="shared" si="7"/>
        <v>55.7347279411765</v>
      </c>
      <c r="Z14" s="94"/>
      <c r="AA14" s="94">
        <f t="shared" si="8"/>
        <v>0.377698941176471</v>
      </c>
      <c r="AB14" s="94">
        <f t="shared" si="1"/>
        <v>56.1124268823529</v>
      </c>
      <c r="AC14" s="45">
        <v>7.3</v>
      </c>
      <c r="AD14" s="77">
        <f t="shared" si="2"/>
        <v>409.620716241176</v>
      </c>
      <c r="AE14" s="77">
        <f t="shared" si="3"/>
        <v>660.457159623529</v>
      </c>
      <c r="AF14" s="77">
        <f t="shared" si="4"/>
        <v>88.0428403764706</v>
      </c>
    </row>
    <row r="15" s="2" customFormat="1" spans="1:32">
      <c r="A15" s="21"/>
      <c r="B15" s="22"/>
      <c r="C15" s="23">
        <v>241114000023</v>
      </c>
      <c r="D15" s="24">
        <v>45615</v>
      </c>
      <c r="E15" s="24" t="s">
        <v>57</v>
      </c>
      <c r="F15" s="22" t="s">
        <v>58</v>
      </c>
      <c r="G15" s="22" t="s">
        <v>126</v>
      </c>
      <c r="H15" s="25">
        <v>3.1076</v>
      </c>
      <c r="I15" s="25">
        <v>643</v>
      </c>
      <c r="J15" s="44">
        <v>6811</v>
      </c>
      <c r="K15" s="45"/>
      <c r="L15" s="46"/>
      <c r="M15" s="47"/>
      <c r="N15" s="48"/>
      <c r="O15" s="49"/>
      <c r="P15" s="50">
        <f t="shared" si="10"/>
        <v>6811</v>
      </c>
      <c r="Q15" s="78"/>
      <c r="R15" s="78"/>
      <c r="S15" s="77">
        <f t="shared" si="5"/>
        <v>2174.79445</v>
      </c>
      <c r="T15" s="77"/>
      <c r="U15" s="77">
        <f t="shared" si="6"/>
        <v>105.11</v>
      </c>
      <c r="V15" s="77"/>
      <c r="W15" s="77"/>
      <c r="X15" s="77">
        <f t="shared" si="0"/>
        <v>2279.90445</v>
      </c>
      <c r="Y15" s="94">
        <f t="shared" si="7"/>
        <v>506.5845</v>
      </c>
      <c r="Z15" s="94"/>
      <c r="AA15" s="94">
        <f t="shared" si="8"/>
        <v>3.432984</v>
      </c>
      <c r="AB15" s="94">
        <f t="shared" si="1"/>
        <v>510.017484</v>
      </c>
      <c r="AC15" s="45">
        <v>7.3</v>
      </c>
      <c r="AD15" s="77">
        <f t="shared" si="2"/>
        <v>3723.1276332</v>
      </c>
      <c r="AE15" s="77">
        <f t="shared" si="3"/>
        <v>6003.0320832</v>
      </c>
      <c r="AF15" s="77">
        <f t="shared" si="4"/>
        <v>807.9679168</v>
      </c>
    </row>
    <row r="16" s="2" customFormat="1" spans="1:32">
      <c r="A16" s="21"/>
      <c r="B16" s="22"/>
      <c r="C16" s="23">
        <v>241114000046</v>
      </c>
      <c r="D16" s="24">
        <v>45615</v>
      </c>
      <c r="E16" s="24" t="s">
        <v>86</v>
      </c>
      <c r="F16" s="22" t="s">
        <v>87</v>
      </c>
      <c r="G16" s="22" t="s">
        <v>127</v>
      </c>
      <c r="H16" s="25">
        <v>0.0703</v>
      </c>
      <c r="I16" s="25">
        <v>43</v>
      </c>
      <c r="J16" s="50"/>
      <c r="K16" s="51">
        <v>47100</v>
      </c>
      <c r="L16" s="46"/>
      <c r="M16" s="47">
        <f>SUM(K16/N16)</f>
        <v>2230.11331958618</v>
      </c>
      <c r="N16" s="52">
        <v>21.120003</v>
      </c>
      <c r="O16" s="49">
        <v>7.28</v>
      </c>
      <c r="P16" s="50">
        <f>SUM(N16*O16)</f>
        <v>153.75362184</v>
      </c>
      <c r="Q16" s="78"/>
      <c r="R16" s="78"/>
      <c r="S16" s="77">
        <f t="shared" si="5"/>
        <v>49.1981110294118</v>
      </c>
      <c r="T16" s="77"/>
      <c r="U16" s="77">
        <f t="shared" si="6"/>
        <v>2.37779411764706</v>
      </c>
      <c r="V16" s="77"/>
      <c r="W16" s="77"/>
      <c r="X16" s="77">
        <f t="shared" si="0"/>
        <v>51.5759051470588</v>
      </c>
      <c r="Y16" s="94">
        <f t="shared" si="7"/>
        <v>11.4599338235294</v>
      </c>
      <c r="Z16" s="94"/>
      <c r="AA16" s="94">
        <f t="shared" si="8"/>
        <v>0.0776608235294118</v>
      </c>
      <c r="AB16" s="94">
        <f t="shared" si="1"/>
        <v>11.5375946470588</v>
      </c>
      <c r="AC16" s="45">
        <v>7.3</v>
      </c>
      <c r="AD16" s="77">
        <f t="shared" si="2"/>
        <v>84.2244409235294</v>
      </c>
      <c r="AE16" s="77">
        <f t="shared" si="3"/>
        <v>135.800346070588</v>
      </c>
      <c r="AF16" s="77">
        <f t="shared" si="4"/>
        <v>17.9532757694118</v>
      </c>
    </row>
    <row r="17" s="2" customFormat="1" spans="1:32">
      <c r="A17" s="21"/>
      <c r="B17" s="22"/>
      <c r="C17" s="23">
        <v>241115000005</v>
      </c>
      <c r="D17" s="24">
        <v>45615</v>
      </c>
      <c r="E17" s="24" t="s">
        <v>64</v>
      </c>
      <c r="F17" s="22" t="s">
        <v>65</v>
      </c>
      <c r="G17" s="22" t="s">
        <v>72</v>
      </c>
      <c r="H17" s="25">
        <v>1.0641</v>
      </c>
      <c r="I17" s="25">
        <v>52</v>
      </c>
      <c r="J17" s="44">
        <v>2244.61</v>
      </c>
      <c r="K17" s="45"/>
      <c r="L17" s="46"/>
      <c r="M17" s="47"/>
      <c r="N17" s="48"/>
      <c r="O17" s="49"/>
      <c r="P17" s="50">
        <f t="shared" ref="P17:P20" si="11">SUBTOTAL(9,J17)</f>
        <v>2244.61</v>
      </c>
      <c r="Q17" s="78"/>
      <c r="R17" s="78"/>
      <c r="S17" s="77">
        <f t="shared" si="5"/>
        <v>744.690041911765</v>
      </c>
      <c r="T17" s="77"/>
      <c r="U17" s="77">
        <f t="shared" si="6"/>
        <v>35.9916176470588</v>
      </c>
      <c r="V17" s="77"/>
      <c r="W17" s="79">
        <v>72.29</v>
      </c>
      <c r="X17" s="77">
        <f t="shared" si="0"/>
        <v>852.971659558823</v>
      </c>
      <c r="Y17" s="94">
        <f t="shared" si="7"/>
        <v>173.463948529412</v>
      </c>
      <c r="Z17" s="94"/>
      <c r="AA17" s="94">
        <f t="shared" si="8"/>
        <v>1.17551752941176</v>
      </c>
      <c r="AB17" s="94">
        <f t="shared" si="1"/>
        <v>174.639466058824</v>
      </c>
      <c r="AC17" s="45">
        <v>7.3</v>
      </c>
      <c r="AD17" s="77">
        <f t="shared" si="2"/>
        <v>1274.86810222941</v>
      </c>
      <c r="AE17" s="77">
        <f t="shared" si="3"/>
        <v>2127.83976178824</v>
      </c>
      <c r="AF17" s="77">
        <f t="shared" si="4"/>
        <v>116.770238211765</v>
      </c>
    </row>
    <row r="18" s="2" customFormat="1" spans="1:32">
      <c r="A18" s="21"/>
      <c r="B18" s="22"/>
      <c r="C18" s="23">
        <v>241116000018</v>
      </c>
      <c r="D18" s="24">
        <v>45615</v>
      </c>
      <c r="E18" s="24" t="s">
        <v>70</v>
      </c>
      <c r="F18" s="22" t="s">
        <v>70</v>
      </c>
      <c r="G18" s="22" t="s">
        <v>90</v>
      </c>
      <c r="H18" s="25">
        <v>6.0469</v>
      </c>
      <c r="I18" s="25">
        <v>528</v>
      </c>
      <c r="J18" s="44">
        <v>13684.14</v>
      </c>
      <c r="K18" s="45"/>
      <c r="L18" s="46"/>
      <c r="M18" s="47"/>
      <c r="N18" s="48"/>
      <c r="O18" s="49"/>
      <c r="P18" s="50">
        <f t="shared" si="11"/>
        <v>13684.14</v>
      </c>
      <c r="Q18" s="78"/>
      <c r="R18" s="78"/>
      <c r="S18" s="77">
        <f t="shared" si="5"/>
        <v>4231.8073625</v>
      </c>
      <c r="T18" s="77"/>
      <c r="U18" s="77">
        <f t="shared" si="6"/>
        <v>204.5275</v>
      </c>
      <c r="V18" s="77"/>
      <c r="W18" s="77"/>
      <c r="X18" s="77">
        <f t="shared" si="0"/>
        <v>4436.3348625</v>
      </c>
      <c r="Y18" s="94">
        <f t="shared" si="7"/>
        <v>985.733625</v>
      </c>
      <c r="Z18" s="94"/>
      <c r="AA18" s="94">
        <f t="shared" si="8"/>
        <v>6.680046</v>
      </c>
      <c r="AB18" s="94">
        <f t="shared" si="1"/>
        <v>992.413671</v>
      </c>
      <c r="AC18" s="45">
        <v>7.3</v>
      </c>
      <c r="AD18" s="77">
        <f t="shared" si="2"/>
        <v>7244.6197983</v>
      </c>
      <c r="AE18" s="77">
        <f t="shared" si="3"/>
        <v>11680.9546608</v>
      </c>
      <c r="AF18" s="77">
        <f t="shared" si="4"/>
        <v>2003.1853392</v>
      </c>
    </row>
    <row r="19" s="2" customFormat="1" spans="1:32">
      <c r="A19" s="21"/>
      <c r="B19" s="22"/>
      <c r="C19" s="23">
        <v>241118000073</v>
      </c>
      <c r="D19" s="24">
        <v>45615</v>
      </c>
      <c r="E19" s="24" t="s">
        <v>77</v>
      </c>
      <c r="F19" s="22" t="s">
        <v>78</v>
      </c>
      <c r="G19" s="22" t="s">
        <v>128</v>
      </c>
      <c r="H19" s="25">
        <v>10.1365</v>
      </c>
      <c r="I19" s="25">
        <v>5464</v>
      </c>
      <c r="J19" s="44">
        <v>21201.16</v>
      </c>
      <c r="K19" s="45"/>
      <c r="L19" s="46"/>
      <c r="M19" s="47"/>
      <c r="N19" s="48"/>
      <c r="O19" s="49"/>
      <c r="P19" s="50">
        <f t="shared" si="11"/>
        <v>21201.16</v>
      </c>
      <c r="Q19" s="78"/>
      <c r="R19" s="78"/>
      <c r="S19" s="77">
        <f t="shared" si="5"/>
        <v>7093.83573897059</v>
      </c>
      <c r="T19" s="77"/>
      <c r="U19" s="77">
        <f t="shared" si="6"/>
        <v>342.852205882353</v>
      </c>
      <c r="V19" s="77"/>
      <c r="W19" s="77"/>
      <c r="X19" s="77">
        <f t="shared" si="0"/>
        <v>7436.68794485294</v>
      </c>
      <c r="Y19" s="94">
        <f t="shared" si="7"/>
        <v>1652.39856617647</v>
      </c>
      <c r="Z19" s="94"/>
      <c r="AA19" s="94">
        <f t="shared" si="8"/>
        <v>11.1978511764706</v>
      </c>
      <c r="AB19" s="94">
        <f t="shared" si="1"/>
        <v>1663.59641735294</v>
      </c>
      <c r="AC19" s="45">
        <v>7.3</v>
      </c>
      <c r="AD19" s="77">
        <f t="shared" si="2"/>
        <v>12144.2538466765</v>
      </c>
      <c r="AE19" s="77">
        <f t="shared" si="3"/>
        <v>19580.9417915294</v>
      </c>
      <c r="AF19" s="77">
        <f t="shared" si="4"/>
        <v>1620.21820847059</v>
      </c>
    </row>
    <row r="20" s="2" customFormat="1" spans="1:32">
      <c r="A20" s="21"/>
      <c r="B20" s="22"/>
      <c r="C20" s="23">
        <v>241209000062</v>
      </c>
      <c r="D20" s="24">
        <v>45615</v>
      </c>
      <c r="E20" s="24" t="s">
        <v>77</v>
      </c>
      <c r="F20" s="22" t="s">
        <v>78</v>
      </c>
      <c r="G20" s="22" t="s">
        <v>79</v>
      </c>
      <c r="H20" s="25">
        <v>4.9817</v>
      </c>
      <c r="I20" s="25">
        <v>4862</v>
      </c>
      <c r="J20" s="44">
        <v>11334.38</v>
      </c>
      <c r="K20" s="45"/>
      <c r="L20" s="46"/>
      <c r="M20" s="47"/>
      <c r="N20" s="48"/>
      <c r="O20" s="49"/>
      <c r="P20" s="50">
        <f t="shared" si="11"/>
        <v>11334.38</v>
      </c>
      <c r="Q20" s="78"/>
      <c r="R20" s="78"/>
      <c r="S20" s="77">
        <f t="shared" si="5"/>
        <v>3486.34750661765</v>
      </c>
      <c r="T20" s="77"/>
      <c r="U20" s="77">
        <f t="shared" si="6"/>
        <v>168.498676470588</v>
      </c>
      <c r="V20" s="77"/>
      <c r="W20" s="77"/>
      <c r="X20" s="77">
        <f t="shared" si="0"/>
        <v>3654.84618308824</v>
      </c>
      <c r="Y20" s="94">
        <f t="shared" si="7"/>
        <v>812.090360294118</v>
      </c>
      <c r="Z20" s="95">
        <v>77.38</v>
      </c>
      <c r="AA20" s="94">
        <f t="shared" si="8"/>
        <v>5.50331329411765</v>
      </c>
      <c r="AB20" s="94">
        <f t="shared" si="1"/>
        <v>894.973673588235</v>
      </c>
      <c r="AC20" s="45">
        <v>7.3</v>
      </c>
      <c r="AD20" s="77">
        <f t="shared" si="2"/>
        <v>6533.30781719412</v>
      </c>
      <c r="AE20" s="77">
        <f t="shared" si="3"/>
        <v>10188.1540002824</v>
      </c>
      <c r="AF20" s="77">
        <f t="shared" si="4"/>
        <v>1146.22599971765</v>
      </c>
    </row>
    <row r="21" s="2" customFormat="1" spans="1:32">
      <c r="A21" s="21"/>
      <c r="B21" s="22"/>
      <c r="C21" s="23">
        <v>241218000023</v>
      </c>
      <c r="D21" s="24">
        <v>45615</v>
      </c>
      <c r="E21" s="24" t="s">
        <v>53</v>
      </c>
      <c r="F21" s="22" t="s">
        <v>54</v>
      </c>
      <c r="G21" s="22" t="s">
        <v>112</v>
      </c>
      <c r="H21" s="25">
        <v>0.0592</v>
      </c>
      <c r="I21" s="25">
        <v>10</v>
      </c>
      <c r="J21" s="50"/>
      <c r="K21" s="51">
        <v>70231</v>
      </c>
      <c r="L21" s="46"/>
      <c r="M21" s="47">
        <f>SUM(K21/N21)</f>
        <v>1580</v>
      </c>
      <c r="N21" s="52">
        <v>44.45</v>
      </c>
      <c r="O21" s="49">
        <v>7.29</v>
      </c>
      <c r="P21" s="50">
        <f>SUM(N21*O21)</f>
        <v>324.0405</v>
      </c>
      <c r="Q21" s="81"/>
      <c r="R21" s="81"/>
      <c r="S21" s="77">
        <f t="shared" si="5"/>
        <v>41.4299882352941</v>
      </c>
      <c r="T21" s="77"/>
      <c r="U21" s="77">
        <f t="shared" si="6"/>
        <v>2.00235294117647</v>
      </c>
      <c r="V21" s="77"/>
      <c r="W21" s="77"/>
      <c r="X21" s="77">
        <f t="shared" si="0"/>
        <v>43.4323411764706</v>
      </c>
      <c r="Y21" s="94">
        <f t="shared" si="7"/>
        <v>9.65047058823529</v>
      </c>
      <c r="Z21" s="94"/>
      <c r="AA21" s="94">
        <f t="shared" si="8"/>
        <v>0.0653985882352941</v>
      </c>
      <c r="AB21" s="94">
        <f t="shared" si="1"/>
        <v>9.71586917647059</v>
      </c>
      <c r="AC21" s="45">
        <v>7.3</v>
      </c>
      <c r="AD21" s="77">
        <f t="shared" si="2"/>
        <v>70.9258449882353</v>
      </c>
      <c r="AE21" s="77">
        <f t="shared" si="3"/>
        <v>114.358186164706</v>
      </c>
      <c r="AF21" s="77">
        <f t="shared" si="4"/>
        <v>209.682313835294</v>
      </c>
    </row>
    <row r="22" ht="15.75" spans="1:32">
      <c r="A22" s="27" t="s">
        <v>20</v>
      </c>
      <c r="B22" s="28"/>
      <c r="C22" s="28"/>
      <c r="D22" s="28"/>
      <c r="E22" s="28"/>
      <c r="F22" s="28"/>
      <c r="G22" s="28"/>
      <c r="H22" s="28"/>
      <c r="I22" s="54"/>
      <c r="J22" s="28">
        <f>SUM(J4:J4)</f>
        <v>0</v>
      </c>
      <c r="K22" s="55"/>
      <c r="L22" s="56"/>
      <c r="M22" s="55"/>
      <c r="N22" s="55">
        <f t="shared" ref="N22:Q22" si="12">SUM(N4:N4)</f>
        <v>0</v>
      </c>
      <c r="O22" s="28"/>
      <c r="P22" s="28">
        <f t="shared" si="12"/>
        <v>0</v>
      </c>
      <c r="Q22" s="28">
        <f t="shared" si="12"/>
        <v>0</v>
      </c>
      <c r="R22" s="28"/>
      <c r="S22" s="28"/>
      <c r="T22" s="28"/>
      <c r="U22" s="28"/>
      <c r="V22" s="28"/>
      <c r="W22" s="28"/>
      <c r="X22" s="82">
        <f>SUM(X4:X4)</f>
        <v>0</v>
      </c>
      <c r="Y22" s="56"/>
      <c r="Z22" s="56"/>
      <c r="AA22" s="56"/>
      <c r="AB22" s="56"/>
      <c r="AC22" s="55"/>
      <c r="AD22" s="28">
        <f>SUM(AD4:AD4)</f>
        <v>0</v>
      </c>
      <c r="AE22" s="28"/>
      <c r="AF22" s="96">
        <f>SUM(AF4:AF21)</f>
        <v>22745.7228167988</v>
      </c>
    </row>
    <row r="23" customFormat="1" spans="4:32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  <c r="AF23" s="8"/>
    </row>
    <row r="24" customFormat="1" spans="4:32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  <c r="AF24" s="8"/>
    </row>
    <row r="25" customFormat="1" spans="4:32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  <c r="AF25" s="8"/>
    </row>
    <row r="26" customFormat="1" spans="4:32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  <c r="AF26" s="8"/>
    </row>
    <row r="27" customFormat="1" spans="4:32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  <c r="AF27" s="8"/>
    </row>
    <row r="28" customFormat="1" spans="4:32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  <c r="AF28" s="8"/>
    </row>
    <row r="29" customFormat="1" spans="4:32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  <c r="AF29" s="8"/>
    </row>
    <row r="30" customFormat="1" spans="4:32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  <c r="AF30" s="8"/>
    </row>
    <row r="31" customFormat="1" spans="4:32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  <c r="AF31" s="8"/>
    </row>
    <row r="32" customFormat="1" spans="4:32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  <c r="AF32" s="8"/>
    </row>
    <row r="33" customFormat="1" spans="4:32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  <c r="AF33" s="8"/>
    </row>
    <row r="34" customFormat="1" spans="4:32">
      <c r="D34" s="3"/>
      <c r="E34" s="3"/>
      <c r="K34" s="4"/>
      <c r="L34" s="5"/>
      <c r="M34" s="4"/>
      <c r="X34" s="7"/>
      <c r="Y34" s="5"/>
      <c r="Z34" s="5"/>
      <c r="AA34" s="5"/>
      <c r="AB34" s="5"/>
      <c r="AC34" s="4"/>
      <c r="AF34" s="8"/>
    </row>
    <row r="35" customFormat="1" spans="4:32">
      <c r="D35" s="3"/>
      <c r="E35" s="3"/>
      <c r="K35" s="4"/>
      <c r="L35" s="5"/>
      <c r="M35" s="4"/>
      <c r="X35" s="7"/>
      <c r="Y35" s="5"/>
      <c r="Z35" s="5"/>
      <c r="AA35" s="5"/>
      <c r="AB35" s="5"/>
      <c r="AC35" s="4"/>
      <c r="AF35" s="8"/>
    </row>
    <row r="36" customFormat="1" spans="4:32">
      <c r="D36" s="3"/>
      <c r="E36" s="3"/>
      <c r="K36" s="4"/>
      <c r="L36" s="5"/>
      <c r="M36" s="4"/>
      <c r="X36" s="7"/>
      <c r="Y36" s="5"/>
      <c r="Z36" s="5"/>
      <c r="AA36" s="5"/>
      <c r="AB36" s="5"/>
      <c r="AC36" s="4"/>
      <c r="AF36" s="8"/>
    </row>
    <row r="37" customFormat="1" spans="4:32">
      <c r="D37" s="3"/>
      <c r="E37" s="3"/>
      <c r="K37" s="4"/>
      <c r="L37" s="5"/>
      <c r="M37" s="4"/>
      <c r="X37" s="7"/>
      <c r="Y37" s="5"/>
      <c r="Z37" s="5"/>
      <c r="AA37" s="5"/>
      <c r="AB37" s="5"/>
      <c r="AC37" s="4"/>
      <c r="AF37" s="8"/>
    </row>
    <row r="38" customFormat="1" spans="4:32">
      <c r="D38" s="3"/>
      <c r="E38" s="3"/>
      <c r="K38" s="4"/>
      <c r="L38" s="5"/>
      <c r="M38" s="4"/>
      <c r="X38" s="7"/>
      <c r="Y38" s="5"/>
      <c r="Z38" s="5"/>
      <c r="AA38" s="5"/>
      <c r="AB38" s="5"/>
      <c r="AC38" s="4"/>
      <c r="AF38" s="8"/>
    </row>
  </sheetData>
  <autoFilter xmlns:etc="http://www.wps.cn/officeDocument/2017/etCustomData" ref="A3:AF22" etc:filterBottomFollowUsedRange="0">
    <extLst/>
  </autoFilter>
  <mergeCells count="21">
    <mergeCell ref="A1:AF1"/>
    <mergeCell ref="J3:P3"/>
    <mergeCell ref="R3:V3"/>
    <mergeCell ref="Y3:AD3"/>
    <mergeCell ref="A3:A4"/>
    <mergeCell ref="A5:A21"/>
    <mergeCell ref="B3:B4"/>
    <mergeCell ref="B5:B21"/>
    <mergeCell ref="C3:C4"/>
    <mergeCell ref="D3:D4"/>
    <mergeCell ref="E3:E4"/>
    <mergeCell ref="F3:F4"/>
    <mergeCell ref="G3:G4"/>
    <mergeCell ref="H3:H4"/>
    <mergeCell ref="I3:I4"/>
    <mergeCell ref="Q3:Q4"/>
    <mergeCell ref="Q5:Q21"/>
    <mergeCell ref="R5:R21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5"/>
  <sheetViews>
    <sheetView zoomScale="110" zoomScaleNormal="110" workbookViewId="0">
      <pane xSplit="2" ySplit="4" topLeftCell="S5" activePane="bottomRight" state="frozen"/>
      <selection/>
      <selection pane="topRight"/>
      <selection pane="bottomLeft"/>
      <selection pane="bottomRight" activeCell="AA5" sqref="AA5:AA18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9"/>
      <c r="L1" s="30"/>
      <c r="M1" s="29"/>
      <c r="N1" s="9"/>
      <c r="O1" s="31"/>
      <c r="P1" s="9"/>
      <c r="Q1" s="9"/>
      <c r="R1" s="9"/>
      <c r="S1" s="9"/>
      <c r="T1" s="57"/>
      <c r="U1" s="57"/>
      <c r="V1" s="58"/>
      <c r="W1" s="57"/>
      <c r="X1" s="59"/>
      <c r="Y1" s="30"/>
      <c r="Z1" s="30"/>
      <c r="AA1" s="30"/>
      <c r="AB1" s="30"/>
      <c r="AC1" s="29"/>
      <c r="AD1" s="30"/>
      <c r="AE1" s="9"/>
      <c r="AF1" s="83"/>
    </row>
    <row r="2" customFormat="1" ht="31" customHeight="1" spans="1:32">
      <c r="A2" s="10" t="s">
        <v>136</v>
      </c>
      <c r="B2" s="10" t="s">
        <v>137</v>
      </c>
      <c r="C2" s="10">
        <v>74.0456</v>
      </c>
      <c r="D2" s="9"/>
      <c r="E2" s="9"/>
      <c r="F2" s="9"/>
      <c r="G2" s="9"/>
      <c r="H2" s="9"/>
      <c r="I2" s="9"/>
      <c r="J2" s="9"/>
      <c r="K2" s="29"/>
      <c r="L2" s="30"/>
      <c r="M2" s="29"/>
      <c r="N2" s="9"/>
      <c r="O2" s="31"/>
      <c r="P2" s="9"/>
      <c r="Q2" s="9"/>
      <c r="R2" s="9"/>
      <c r="S2" s="9"/>
      <c r="T2" s="57"/>
      <c r="U2" s="57"/>
      <c r="V2" s="58"/>
      <c r="W2" s="57"/>
      <c r="X2" s="59"/>
      <c r="Y2" s="30"/>
      <c r="Z2" s="30"/>
      <c r="AA2" s="30"/>
      <c r="AB2" s="30"/>
      <c r="AC2" s="29"/>
      <c r="AD2" s="30"/>
      <c r="AE2" s="9"/>
      <c r="AF2" s="9"/>
    </row>
    <row r="3" s="1" customFormat="1" ht="23" customHeight="1" spans="1:32">
      <c r="A3" s="11" t="s">
        <v>1</v>
      </c>
      <c r="B3" s="12" t="s">
        <v>2</v>
      </c>
      <c r="C3" s="13" t="s">
        <v>21</v>
      </c>
      <c r="D3" s="14" t="s">
        <v>22</v>
      </c>
      <c r="E3" s="15" t="s">
        <v>23</v>
      </c>
      <c r="F3" s="16" t="s">
        <v>24</v>
      </c>
      <c r="G3" s="16" t="s">
        <v>25</v>
      </c>
      <c r="H3" s="16" t="s">
        <v>26</v>
      </c>
      <c r="I3" s="16" t="s">
        <v>27</v>
      </c>
      <c r="J3" s="32" t="s">
        <v>28</v>
      </c>
      <c r="K3" s="33"/>
      <c r="L3" s="34"/>
      <c r="M3" s="33"/>
      <c r="N3" s="34"/>
      <c r="O3" s="35"/>
      <c r="P3" s="36"/>
      <c r="Q3" s="60" t="s">
        <v>29</v>
      </c>
      <c r="R3" s="61" t="s">
        <v>30</v>
      </c>
      <c r="S3" s="62"/>
      <c r="T3" s="63"/>
      <c r="U3" s="64"/>
      <c r="V3" s="65"/>
      <c r="W3" s="66" t="s">
        <v>31</v>
      </c>
      <c r="X3" s="67" t="s">
        <v>32</v>
      </c>
      <c r="Y3" s="84" t="s">
        <v>33</v>
      </c>
      <c r="Z3" s="84"/>
      <c r="AA3" s="84"/>
      <c r="AB3" s="84"/>
      <c r="AC3" s="85"/>
      <c r="AD3" s="84"/>
      <c r="AE3" s="86" t="s">
        <v>34</v>
      </c>
      <c r="AF3" s="87" t="s">
        <v>3</v>
      </c>
    </row>
    <row r="4" s="1" customFormat="1" ht="27" customHeight="1" spans="1:32">
      <c r="A4" s="17"/>
      <c r="B4" s="18"/>
      <c r="C4" s="13"/>
      <c r="D4" s="14"/>
      <c r="E4" s="19"/>
      <c r="F4" s="20"/>
      <c r="G4" s="20"/>
      <c r="H4" s="20"/>
      <c r="I4" s="37"/>
      <c r="J4" s="38" t="s">
        <v>35</v>
      </c>
      <c r="K4" s="39" t="s">
        <v>36</v>
      </c>
      <c r="L4" s="40" t="s">
        <v>37</v>
      </c>
      <c r="M4" s="39" t="s">
        <v>38</v>
      </c>
      <c r="N4" s="41" t="s">
        <v>39</v>
      </c>
      <c r="O4" s="42" t="s">
        <v>40</v>
      </c>
      <c r="P4" s="43" t="s">
        <v>41</v>
      </c>
      <c r="Q4" s="68"/>
      <c r="R4" s="69" t="s">
        <v>42</v>
      </c>
      <c r="S4" s="70" t="s">
        <v>43</v>
      </c>
      <c r="T4" s="71" t="s">
        <v>44</v>
      </c>
      <c r="U4" s="72" t="s">
        <v>45</v>
      </c>
      <c r="V4" s="71" t="s">
        <v>46</v>
      </c>
      <c r="W4" s="73"/>
      <c r="X4" s="74"/>
      <c r="Y4" s="88" t="s">
        <v>47</v>
      </c>
      <c r="Z4" s="88" t="s">
        <v>48</v>
      </c>
      <c r="AA4" s="88" t="s">
        <v>49</v>
      </c>
      <c r="AB4" s="89" t="s">
        <v>50</v>
      </c>
      <c r="AC4" s="90" t="s">
        <v>51</v>
      </c>
      <c r="AD4" s="91" t="s">
        <v>41</v>
      </c>
      <c r="AE4" s="92" t="s">
        <v>52</v>
      </c>
      <c r="AF4" s="93"/>
    </row>
    <row r="5" s="2" customFormat="1" spans="1:32">
      <c r="A5" s="21" t="s">
        <v>14</v>
      </c>
      <c r="B5" s="22" t="s">
        <v>15</v>
      </c>
      <c r="C5" s="23">
        <v>241102000009</v>
      </c>
      <c r="D5" s="24">
        <v>45616</v>
      </c>
      <c r="E5" s="24" t="s">
        <v>57</v>
      </c>
      <c r="F5" s="22" t="s">
        <v>58</v>
      </c>
      <c r="G5" s="22" t="s">
        <v>67</v>
      </c>
      <c r="H5" s="25">
        <v>0.3399</v>
      </c>
      <c r="I5" s="25">
        <v>118</v>
      </c>
      <c r="J5" s="50"/>
      <c r="K5" s="51">
        <v>165636</v>
      </c>
      <c r="L5" s="46"/>
      <c r="M5" s="47">
        <f t="shared" ref="M5:M12" si="0">SUM(K5/N5)</f>
        <v>1680.21911138162</v>
      </c>
      <c r="N5" s="52">
        <v>98.58</v>
      </c>
      <c r="O5" s="49">
        <v>7.27</v>
      </c>
      <c r="P5" s="50">
        <f t="shared" ref="P5:P12" si="1">SUM(N5*O5)</f>
        <v>716.6766</v>
      </c>
      <c r="Q5" s="75">
        <f>SUM(P5:P18)</f>
        <v>147610.4969638</v>
      </c>
      <c r="R5" s="76" t="s">
        <v>129</v>
      </c>
      <c r="S5" s="77">
        <f>SUM(45685.5/68)*H5</f>
        <v>228.360315441176</v>
      </c>
      <c r="T5" s="77"/>
      <c r="U5" s="77">
        <f>SUM(2000/68)*H5</f>
        <v>9.99705882352941</v>
      </c>
      <c r="V5" s="77"/>
      <c r="W5" s="77"/>
      <c r="X5" s="77">
        <f t="shared" ref="X5:X42" si="2">SUM(S5:W5)</f>
        <v>238.357374264706</v>
      </c>
      <c r="Y5" s="94">
        <f>SUM(11085/68)*H5</f>
        <v>55.4086985294118</v>
      </c>
      <c r="Z5" s="94"/>
      <c r="AA5" s="94">
        <f>SUM(77.38/68)*H5</f>
        <v>0.386786205882353</v>
      </c>
      <c r="AB5" s="94">
        <f t="shared" ref="AB5:AB42" si="3">SUM(Y5:AA5)</f>
        <v>55.7954847352941</v>
      </c>
      <c r="AC5" s="45">
        <v>7.3</v>
      </c>
      <c r="AD5" s="77">
        <f t="shared" ref="AD5:AD42" si="4">SUM(AB5*AC5)</f>
        <v>407.307038567647</v>
      </c>
      <c r="AE5" s="77">
        <f t="shared" ref="AE5:AE42" si="5">SUM(X5+AD5)</f>
        <v>645.664412832353</v>
      </c>
      <c r="AF5" s="77">
        <f t="shared" ref="AF5:AF42" si="6">SUM(P5-AE5)</f>
        <v>71.0121871676472</v>
      </c>
    </row>
    <row r="6" s="2" customFormat="1" spans="1:32">
      <c r="A6" s="21"/>
      <c r="B6" s="22"/>
      <c r="C6" s="23">
        <v>241107000009</v>
      </c>
      <c r="D6" s="24">
        <v>45616</v>
      </c>
      <c r="E6" s="24" t="s">
        <v>57</v>
      </c>
      <c r="F6" s="22" t="s">
        <v>58</v>
      </c>
      <c r="G6" s="22" t="s">
        <v>111</v>
      </c>
      <c r="H6" s="25">
        <v>6.8102</v>
      </c>
      <c r="I6" s="25">
        <v>4442</v>
      </c>
      <c r="J6" s="97">
        <v>16020.41</v>
      </c>
      <c r="K6" s="100"/>
      <c r="L6" s="99"/>
      <c r="M6" s="47"/>
      <c r="N6" s="52"/>
      <c r="O6" s="49"/>
      <c r="P6" s="50">
        <f t="shared" ref="P6:P8" si="7">SUBTOTAL(9,J6)</f>
        <v>16020.41</v>
      </c>
      <c r="Q6" s="78"/>
      <c r="R6" s="78"/>
      <c r="S6" s="77">
        <f t="shared" ref="S6:S18" si="8">SUM(45685.5/68)*H6</f>
        <v>4575.402825</v>
      </c>
      <c r="T6" s="77"/>
      <c r="U6" s="77">
        <f t="shared" ref="U6:U18" si="9">SUM(2000/68)*H6</f>
        <v>200.3</v>
      </c>
      <c r="V6" s="77"/>
      <c r="W6" s="77"/>
      <c r="X6" s="77">
        <f t="shared" si="2"/>
        <v>4775.702825</v>
      </c>
      <c r="Y6" s="94">
        <f t="shared" ref="Y6:Y18" si="10">SUM(11085/68)*H6</f>
        <v>1110.16275</v>
      </c>
      <c r="Z6" s="94"/>
      <c r="AA6" s="94">
        <f t="shared" ref="AA6:AA18" si="11">SUM(77.38/68)*H6</f>
        <v>7.749607</v>
      </c>
      <c r="AB6" s="94">
        <f t="shared" si="3"/>
        <v>1117.912357</v>
      </c>
      <c r="AC6" s="45">
        <v>7.3</v>
      </c>
      <c r="AD6" s="77">
        <f t="shared" si="4"/>
        <v>8160.7602061</v>
      </c>
      <c r="AE6" s="77">
        <f t="shared" si="5"/>
        <v>12936.4630311</v>
      </c>
      <c r="AF6" s="77">
        <f t="shared" si="6"/>
        <v>3083.9469689</v>
      </c>
    </row>
    <row r="7" s="2" customFormat="1" spans="1:32">
      <c r="A7" s="21"/>
      <c r="B7" s="22"/>
      <c r="C7" s="23">
        <v>241106000050</v>
      </c>
      <c r="D7" s="24">
        <v>45616</v>
      </c>
      <c r="E7" s="24" t="s">
        <v>57</v>
      </c>
      <c r="F7" s="22" t="s">
        <v>58</v>
      </c>
      <c r="G7" s="22" t="s">
        <v>82</v>
      </c>
      <c r="H7" s="25">
        <v>0.6913</v>
      </c>
      <c r="I7" s="25">
        <v>774</v>
      </c>
      <c r="J7" s="44">
        <v>3860.58</v>
      </c>
      <c r="K7" s="45"/>
      <c r="L7" s="99"/>
      <c r="M7" s="47"/>
      <c r="N7" s="52"/>
      <c r="O7" s="49"/>
      <c r="P7" s="50">
        <f t="shared" si="7"/>
        <v>3860.58</v>
      </c>
      <c r="Q7" s="78"/>
      <c r="R7" s="78"/>
      <c r="S7" s="77">
        <f t="shared" si="8"/>
        <v>464.446855147059</v>
      </c>
      <c r="T7" s="77"/>
      <c r="U7" s="77">
        <f t="shared" si="9"/>
        <v>20.3323529411765</v>
      </c>
      <c r="V7" s="79">
        <v>150</v>
      </c>
      <c r="W7" s="77"/>
      <c r="X7" s="77">
        <f t="shared" si="2"/>
        <v>634.779208088235</v>
      </c>
      <c r="Y7" s="94">
        <f t="shared" si="10"/>
        <v>112.692066176471</v>
      </c>
      <c r="Z7" s="94"/>
      <c r="AA7" s="94">
        <f t="shared" si="11"/>
        <v>0.786658735294118</v>
      </c>
      <c r="AB7" s="94">
        <f t="shared" si="3"/>
        <v>113.478724911765</v>
      </c>
      <c r="AC7" s="45">
        <v>7.3</v>
      </c>
      <c r="AD7" s="77">
        <f t="shared" si="4"/>
        <v>828.394691855882</v>
      </c>
      <c r="AE7" s="77">
        <f t="shared" si="5"/>
        <v>1463.17389994412</v>
      </c>
      <c r="AF7" s="77">
        <f t="shared" si="6"/>
        <v>2397.40610005588</v>
      </c>
    </row>
    <row r="8" s="2" customFormat="1" spans="1:32">
      <c r="A8" s="21"/>
      <c r="B8" s="22"/>
      <c r="C8" s="23">
        <v>241106000051</v>
      </c>
      <c r="D8" s="24">
        <v>45616</v>
      </c>
      <c r="E8" s="24" t="s">
        <v>57</v>
      </c>
      <c r="F8" s="22" t="s">
        <v>58</v>
      </c>
      <c r="G8" s="22" t="s">
        <v>82</v>
      </c>
      <c r="H8" s="25">
        <v>0.4698</v>
      </c>
      <c r="I8" s="25">
        <v>547</v>
      </c>
      <c r="J8" s="44">
        <v>1670.3</v>
      </c>
      <c r="K8" s="45"/>
      <c r="L8" s="99"/>
      <c r="M8" s="47"/>
      <c r="N8" s="52"/>
      <c r="O8" s="49"/>
      <c r="P8" s="50">
        <f t="shared" si="7"/>
        <v>1670.3</v>
      </c>
      <c r="Q8" s="78"/>
      <c r="R8" s="78"/>
      <c r="S8" s="77">
        <f t="shared" si="8"/>
        <v>315.633057352941</v>
      </c>
      <c r="T8" s="77"/>
      <c r="U8" s="77">
        <f t="shared" si="9"/>
        <v>13.8176470588235</v>
      </c>
      <c r="V8" s="77"/>
      <c r="W8" s="77"/>
      <c r="X8" s="77">
        <f t="shared" si="2"/>
        <v>329.450704411765</v>
      </c>
      <c r="Y8" s="94">
        <f t="shared" si="10"/>
        <v>76.5843088235294</v>
      </c>
      <c r="Z8" s="94"/>
      <c r="AA8" s="94">
        <f t="shared" si="11"/>
        <v>0.534604764705882</v>
      </c>
      <c r="AB8" s="94">
        <f t="shared" si="3"/>
        <v>77.1189135882353</v>
      </c>
      <c r="AC8" s="45">
        <v>7.3</v>
      </c>
      <c r="AD8" s="77">
        <f t="shared" si="4"/>
        <v>562.968069194118</v>
      </c>
      <c r="AE8" s="77">
        <f t="shared" si="5"/>
        <v>892.418773605882</v>
      </c>
      <c r="AF8" s="77">
        <f t="shared" si="6"/>
        <v>777.881226394118</v>
      </c>
    </row>
    <row r="9" s="2" customFormat="1" spans="1:32">
      <c r="A9" s="21"/>
      <c r="B9" s="22"/>
      <c r="C9" s="23">
        <v>241113000044</v>
      </c>
      <c r="D9" s="24">
        <v>45616</v>
      </c>
      <c r="E9" s="24" t="s">
        <v>94</v>
      </c>
      <c r="F9" s="22" t="s">
        <v>95</v>
      </c>
      <c r="G9" s="22" t="s">
        <v>119</v>
      </c>
      <c r="H9" s="25">
        <v>2.0156</v>
      </c>
      <c r="I9" s="25">
        <v>301</v>
      </c>
      <c r="J9" s="50"/>
      <c r="K9" s="51">
        <v>829711.92</v>
      </c>
      <c r="L9" s="46"/>
      <c r="M9" s="47">
        <f t="shared" si="0"/>
        <v>1608</v>
      </c>
      <c r="N9" s="52">
        <v>515.99</v>
      </c>
      <c r="O9" s="49">
        <v>7.3</v>
      </c>
      <c r="P9" s="50">
        <f t="shared" si="1"/>
        <v>3766.727</v>
      </c>
      <c r="Q9" s="78"/>
      <c r="R9" s="78"/>
      <c r="S9" s="77">
        <f t="shared" si="8"/>
        <v>1354.17196764706</v>
      </c>
      <c r="T9" s="77"/>
      <c r="U9" s="77">
        <f t="shared" si="9"/>
        <v>59.2823529411765</v>
      </c>
      <c r="V9" s="77"/>
      <c r="W9" s="77"/>
      <c r="X9" s="77">
        <f t="shared" si="2"/>
        <v>1413.45432058824</v>
      </c>
      <c r="Y9" s="94">
        <f t="shared" si="10"/>
        <v>328.572441176471</v>
      </c>
      <c r="Z9" s="94"/>
      <c r="AA9" s="94">
        <f t="shared" si="11"/>
        <v>2.29363423529412</v>
      </c>
      <c r="AB9" s="94">
        <f t="shared" si="3"/>
        <v>330.866075411765</v>
      </c>
      <c r="AC9" s="45">
        <v>7.3</v>
      </c>
      <c r="AD9" s="77">
        <f t="shared" si="4"/>
        <v>2415.32235050588</v>
      </c>
      <c r="AE9" s="77">
        <f t="shared" si="5"/>
        <v>3828.77667109412</v>
      </c>
      <c r="AF9" s="77">
        <f t="shared" si="6"/>
        <v>-62.0496710941179</v>
      </c>
    </row>
    <row r="10" s="2" customFormat="1" spans="1:32">
      <c r="A10" s="21"/>
      <c r="B10" s="22"/>
      <c r="C10" s="23">
        <v>241114000013</v>
      </c>
      <c r="D10" s="24">
        <v>45616</v>
      </c>
      <c r="E10" s="24" t="s">
        <v>94</v>
      </c>
      <c r="F10" s="22" t="s">
        <v>95</v>
      </c>
      <c r="G10" s="22" t="s">
        <v>119</v>
      </c>
      <c r="H10" s="25">
        <v>0.0902</v>
      </c>
      <c r="I10" s="25">
        <v>76</v>
      </c>
      <c r="J10" s="50"/>
      <c r="K10" s="51">
        <v>37176.96</v>
      </c>
      <c r="L10" s="46"/>
      <c r="M10" s="47">
        <f t="shared" si="0"/>
        <v>1608</v>
      </c>
      <c r="N10" s="52">
        <v>23.12</v>
      </c>
      <c r="O10" s="49">
        <v>7.3</v>
      </c>
      <c r="P10" s="50">
        <f t="shared" si="1"/>
        <v>168.776</v>
      </c>
      <c r="Q10" s="78"/>
      <c r="R10" s="78"/>
      <c r="S10" s="77">
        <f t="shared" si="8"/>
        <v>60.6004720588235</v>
      </c>
      <c r="T10" s="77"/>
      <c r="U10" s="77">
        <f t="shared" si="9"/>
        <v>2.65294117647059</v>
      </c>
      <c r="V10" s="77"/>
      <c r="W10" s="77"/>
      <c r="X10" s="77">
        <f t="shared" si="2"/>
        <v>63.2534132352941</v>
      </c>
      <c r="Y10" s="94">
        <f t="shared" si="10"/>
        <v>14.7039264705882</v>
      </c>
      <c r="Z10" s="94"/>
      <c r="AA10" s="94">
        <f t="shared" si="11"/>
        <v>0.102642294117647</v>
      </c>
      <c r="AB10" s="94">
        <f t="shared" si="3"/>
        <v>14.8065687647059</v>
      </c>
      <c r="AC10" s="45">
        <v>7.3</v>
      </c>
      <c r="AD10" s="77">
        <f t="shared" si="4"/>
        <v>108.087951982353</v>
      </c>
      <c r="AE10" s="77">
        <f t="shared" si="5"/>
        <v>171.341365217647</v>
      </c>
      <c r="AF10" s="77">
        <f t="shared" si="6"/>
        <v>-2.56536521764704</v>
      </c>
    </row>
    <row r="11" s="2" customFormat="1" spans="1:32">
      <c r="A11" s="21"/>
      <c r="B11" s="22"/>
      <c r="C11" s="23">
        <v>241114000027</v>
      </c>
      <c r="D11" s="24">
        <v>45616</v>
      </c>
      <c r="E11" s="24" t="s">
        <v>53</v>
      </c>
      <c r="F11" s="22" t="s">
        <v>54</v>
      </c>
      <c r="G11" s="22" t="s">
        <v>113</v>
      </c>
      <c r="H11" s="25">
        <v>7.3094</v>
      </c>
      <c r="I11" s="25">
        <v>4250</v>
      </c>
      <c r="J11" s="105"/>
      <c r="K11" s="51">
        <v>3823031.52</v>
      </c>
      <c r="L11" s="46"/>
      <c r="M11" s="47">
        <f t="shared" si="0"/>
        <v>1663.2</v>
      </c>
      <c r="N11" s="99">
        <v>2298.6</v>
      </c>
      <c r="O11" s="49">
        <v>7.3</v>
      </c>
      <c r="P11" s="50">
        <f t="shared" si="1"/>
        <v>16779.78</v>
      </c>
      <c r="Q11" s="78"/>
      <c r="R11" s="78"/>
      <c r="S11" s="77">
        <f t="shared" si="8"/>
        <v>4910.78814264706</v>
      </c>
      <c r="T11" s="77"/>
      <c r="U11" s="77">
        <f t="shared" si="9"/>
        <v>214.982352941176</v>
      </c>
      <c r="V11" s="77"/>
      <c r="W11" s="77"/>
      <c r="X11" s="77">
        <f t="shared" si="2"/>
        <v>5125.77049558824</v>
      </c>
      <c r="Y11" s="94">
        <f t="shared" si="10"/>
        <v>1191.53969117647</v>
      </c>
      <c r="Z11" s="95">
        <v>97.22</v>
      </c>
      <c r="AA11" s="94">
        <f t="shared" si="11"/>
        <v>8.31766723529412</v>
      </c>
      <c r="AB11" s="94">
        <f t="shared" si="3"/>
        <v>1297.07735841176</v>
      </c>
      <c r="AC11" s="45">
        <v>7.3</v>
      </c>
      <c r="AD11" s="77">
        <f t="shared" si="4"/>
        <v>9468.66471640588</v>
      </c>
      <c r="AE11" s="77">
        <f t="shared" si="5"/>
        <v>14594.4352119941</v>
      </c>
      <c r="AF11" s="77">
        <f t="shared" si="6"/>
        <v>2185.34478800588</v>
      </c>
    </row>
    <row r="12" s="2" customFormat="1" spans="1:32">
      <c r="A12" s="21"/>
      <c r="B12" s="22"/>
      <c r="C12" s="23">
        <v>241115000042</v>
      </c>
      <c r="D12" s="24">
        <v>45616</v>
      </c>
      <c r="E12" s="24" t="s">
        <v>57</v>
      </c>
      <c r="F12" s="22" t="s">
        <v>58</v>
      </c>
      <c r="G12" s="22" t="s">
        <v>111</v>
      </c>
      <c r="H12" s="25">
        <v>2.5805</v>
      </c>
      <c r="I12" s="25">
        <v>1066</v>
      </c>
      <c r="J12" s="50"/>
      <c r="K12" s="51">
        <v>1255187.75</v>
      </c>
      <c r="L12" s="46"/>
      <c r="M12" s="47">
        <f t="shared" si="0"/>
        <v>1706.71686664175</v>
      </c>
      <c r="N12" s="52">
        <v>735.43994</v>
      </c>
      <c r="O12" s="49">
        <v>7.27</v>
      </c>
      <c r="P12" s="50">
        <f t="shared" si="1"/>
        <v>5346.6483638</v>
      </c>
      <c r="Q12" s="78"/>
      <c r="R12" s="78"/>
      <c r="S12" s="77">
        <f t="shared" si="8"/>
        <v>1733.69754044118</v>
      </c>
      <c r="T12" s="77"/>
      <c r="U12" s="77">
        <f t="shared" si="9"/>
        <v>75.8970588235294</v>
      </c>
      <c r="V12" s="77"/>
      <c r="W12" s="77"/>
      <c r="X12" s="77">
        <f t="shared" si="2"/>
        <v>1809.59459926471</v>
      </c>
      <c r="Y12" s="94">
        <f t="shared" si="10"/>
        <v>420.659448529412</v>
      </c>
      <c r="Z12" s="94"/>
      <c r="AA12" s="94">
        <f t="shared" si="11"/>
        <v>2.93645720588235</v>
      </c>
      <c r="AB12" s="94">
        <f t="shared" si="3"/>
        <v>423.595905735294</v>
      </c>
      <c r="AC12" s="45">
        <v>7.3</v>
      </c>
      <c r="AD12" s="77">
        <f t="shared" si="4"/>
        <v>3092.25011186765</v>
      </c>
      <c r="AE12" s="77">
        <f t="shared" si="5"/>
        <v>4901.84471113235</v>
      </c>
      <c r="AF12" s="77">
        <f t="shared" si="6"/>
        <v>444.803652667648</v>
      </c>
    </row>
    <row r="13" s="2" customFormat="1" spans="1:32">
      <c r="A13" s="21"/>
      <c r="B13" s="22"/>
      <c r="C13" s="23">
        <v>241118000051</v>
      </c>
      <c r="D13" s="24">
        <v>45616</v>
      </c>
      <c r="E13" s="24" t="s">
        <v>57</v>
      </c>
      <c r="F13" s="22" t="s">
        <v>58</v>
      </c>
      <c r="G13" s="22" t="s">
        <v>108</v>
      </c>
      <c r="H13" s="25">
        <v>0.2898</v>
      </c>
      <c r="I13" s="25">
        <v>30</v>
      </c>
      <c r="J13" s="44">
        <v>639.5</v>
      </c>
      <c r="K13" s="45"/>
      <c r="L13" s="46"/>
      <c r="M13" s="47"/>
      <c r="N13" s="48"/>
      <c r="O13" s="49"/>
      <c r="P13" s="50">
        <f>SUBTOTAL(9,J13)</f>
        <v>639.5</v>
      </c>
      <c r="Q13" s="78"/>
      <c r="R13" s="78"/>
      <c r="S13" s="77">
        <f t="shared" si="8"/>
        <v>194.700851470588</v>
      </c>
      <c r="T13" s="77"/>
      <c r="U13" s="77">
        <f t="shared" si="9"/>
        <v>8.52352941176471</v>
      </c>
      <c r="V13" s="77"/>
      <c r="W13" s="77"/>
      <c r="X13" s="77">
        <f t="shared" si="2"/>
        <v>203.224380882353</v>
      </c>
      <c r="Y13" s="94">
        <f t="shared" si="10"/>
        <v>47.2416617647059</v>
      </c>
      <c r="Z13" s="94"/>
      <c r="AA13" s="94">
        <f t="shared" si="11"/>
        <v>0.329775352941176</v>
      </c>
      <c r="AB13" s="94">
        <f t="shared" si="3"/>
        <v>47.5714371176471</v>
      </c>
      <c r="AC13" s="45">
        <v>7.3</v>
      </c>
      <c r="AD13" s="77">
        <f t="shared" si="4"/>
        <v>347.271490958824</v>
      </c>
      <c r="AE13" s="77">
        <f t="shared" si="5"/>
        <v>550.495871841176</v>
      </c>
      <c r="AF13" s="77">
        <f t="shared" si="6"/>
        <v>89.0041281588235</v>
      </c>
    </row>
    <row r="14" s="2" customFormat="1" spans="1:32">
      <c r="A14" s="21"/>
      <c r="B14" s="22"/>
      <c r="C14" s="23">
        <v>241118000062</v>
      </c>
      <c r="D14" s="24">
        <v>45616</v>
      </c>
      <c r="E14" s="24" t="s">
        <v>94</v>
      </c>
      <c r="F14" s="22" t="s">
        <v>95</v>
      </c>
      <c r="G14" s="22" t="s">
        <v>119</v>
      </c>
      <c r="H14" s="25">
        <v>0.3791</v>
      </c>
      <c r="I14" s="25">
        <v>53</v>
      </c>
      <c r="J14" s="50"/>
      <c r="K14" s="51">
        <v>156056.4</v>
      </c>
      <c r="L14" s="46"/>
      <c r="M14" s="47">
        <f t="shared" ref="M14:M16" si="12">SUM(K14/N14)</f>
        <v>1608</v>
      </c>
      <c r="N14" s="52">
        <v>97.05</v>
      </c>
      <c r="O14" s="49">
        <v>7.3</v>
      </c>
      <c r="P14" s="50">
        <f t="shared" ref="P14:P16" si="13">SUM(N14*O14)</f>
        <v>708.465</v>
      </c>
      <c r="Q14" s="78"/>
      <c r="R14" s="78"/>
      <c r="S14" s="77">
        <f t="shared" si="8"/>
        <v>254.6966625</v>
      </c>
      <c r="T14" s="77"/>
      <c r="U14" s="77">
        <f t="shared" si="9"/>
        <v>11.15</v>
      </c>
      <c r="V14" s="77"/>
      <c r="W14" s="77"/>
      <c r="X14" s="77">
        <f t="shared" si="2"/>
        <v>265.8466625</v>
      </c>
      <c r="Y14" s="94">
        <f t="shared" si="10"/>
        <v>61.798875</v>
      </c>
      <c r="Z14" s="94"/>
      <c r="AA14" s="94">
        <f t="shared" si="11"/>
        <v>0.4313935</v>
      </c>
      <c r="AB14" s="94">
        <f t="shared" si="3"/>
        <v>62.2302685</v>
      </c>
      <c r="AC14" s="45">
        <v>7.3</v>
      </c>
      <c r="AD14" s="77">
        <f t="shared" si="4"/>
        <v>454.28096005</v>
      </c>
      <c r="AE14" s="77">
        <f t="shared" si="5"/>
        <v>720.12762255</v>
      </c>
      <c r="AF14" s="77">
        <f t="shared" si="6"/>
        <v>-11.6626225499998</v>
      </c>
    </row>
    <row r="15" s="2" customFormat="1" spans="1:32">
      <c r="A15" s="21"/>
      <c r="B15" s="22"/>
      <c r="C15" s="23">
        <v>241119000022</v>
      </c>
      <c r="D15" s="24">
        <v>45616</v>
      </c>
      <c r="E15" s="24" t="s">
        <v>94</v>
      </c>
      <c r="F15" s="22" t="s">
        <v>95</v>
      </c>
      <c r="G15" s="22" t="s">
        <v>119</v>
      </c>
      <c r="H15" s="25">
        <v>2.3578</v>
      </c>
      <c r="I15" s="25">
        <v>388</v>
      </c>
      <c r="J15" s="50"/>
      <c r="K15" s="51">
        <v>970588.8</v>
      </c>
      <c r="L15" s="46"/>
      <c r="M15" s="47">
        <f t="shared" si="12"/>
        <v>1608</v>
      </c>
      <c r="N15" s="52">
        <v>603.6</v>
      </c>
      <c r="O15" s="49">
        <v>7.3</v>
      </c>
      <c r="P15" s="50">
        <f t="shared" si="13"/>
        <v>4406.28</v>
      </c>
      <c r="Q15" s="78"/>
      <c r="R15" s="78"/>
      <c r="S15" s="77">
        <f t="shared" si="8"/>
        <v>1584.07752794118</v>
      </c>
      <c r="T15" s="77"/>
      <c r="U15" s="77">
        <f t="shared" si="9"/>
        <v>69.3470588235294</v>
      </c>
      <c r="V15" s="77"/>
      <c r="W15" s="77"/>
      <c r="X15" s="77">
        <f t="shared" si="2"/>
        <v>1653.42458676471</v>
      </c>
      <c r="Y15" s="94">
        <f t="shared" si="10"/>
        <v>384.356073529412</v>
      </c>
      <c r="Z15" s="94"/>
      <c r="AA15" s="94">
        <f t="shared" si="11"/>
        <v>2.68303770588235</v>
      </c>
      <c r="AB15" s="94">
        <f t="shared" si="3"/>
        <v>387.039111235294</v>
      </c>
      <c r="AC15" s="45">
        <v>7.3</v>
      </c>
      <c r="AD15" s="77">
        <f t="shared" si="4"/>
        <v>2825.38551201765</v>
      </c>
      <c r="AE15" s="77">
        <f t="shared" si="5"/>
        <v>4478.81009878235</v>
      </c>
      <c r="AF15" s="77">
        <f t="shared" si="6"/>
        <v>-72.530098782353</v>
      </c>
    </row>
    <row r="16" s="2" customFormat="1" spans="1:32">
      <c r="A16" s="21"/>
      <c r="B16" s="22"/>
      <c r="C16" s="23">
        <v>241113000043</v>
      </c>
      <c r="D16" s="24">
        <v>45616</v>
      </c>
      <c r="E16" s="24" t="s">
        <v>94</v>
      </c>
      <c r="F16" s="22" t="s">
        <v>95</v>
      </c>
      <c r="G16" s="22" t="s">
        <v>119</v>
      </c>
      <c r="H16" s="25">
        <v>7.2261</v>
      </c>
      <c r="I16" s="25">
        <v>7740</v>
      </c>
      <c r="J16" s="50"/>
      <c r="K16" s="51">
        <v>2974607.04</v>
      </c>
      <c r="L16" s="46"/>
      <c r="M16" s="47">
        <f t="shared" si="12"/>
        <v>1608</v>
      </c>
      <c r="N16" s="52">
        <v>1849.88</v>
      </c>
      <c r="O16" s="49">
        <v>7.3</v>
      </c>
      <c r="P16" s="50">
        <f t="shared" si="13"/>
        <v>13504.124</v>
      </c>
      <c r="Q16" s="78"/>
      <c r="R16" s="78"/>
      <c r="S16" s="77">
        <f t="shared" si="8"/>
        <v>4854.82340514706</v>
      </c>
      <c r="T16" s="77"/>
      <c r="U16" s="77">
        <f t="shared" si="9"/>
        <v>212.532352941176</v>
      </c>
      <c r="V16" s="77"/>
      <c r="W16" s="77"/>
      <c r="X16" s="77">
        <f t="shared" si="2"/>
        <v>5067.35575808824</v>
      </c>
      <c r="Y16" s="94">
        <f t="shared" si="10"/>
        <v>1177.96056617647</v>
      </c>
      <c r="Z16" s="94"/>
      <c r="AA16" s="94">
        <f t="shared" si="11"/>
        <v>8.22287673529412</v>
      </c>
      <c r="AB16" s="94">
        <f t="shared" si="3"/>
        <v>1186.18344291176</v>
      </c>
      <c r="AC16" s="45">
        <v>7.3</v>
      </c>
      <c r="AD16" s="77">
        <f t="shared" si="4"/>
        <v>8659.13913325588</v>
      </c>
      <c r="AE16" s="77">
        <f t="shared" si="5"/>
        <v>13726.4948913441</v>
      </c>
      <c r="AF16" s="77">
        <f t="shared" si="6"/>
        <v>-222.370891344117</v>
      </c>
    </row>
    <row r="17" s="2" customFormat="1" spans="1:32">
      <c r="A17" s="21"/>
      <c r="B17" s="22"/>
      <c r="C17" s="23">
        <v>241118000049</v>
      </c>
      <c r="D17" s="24">
        <v>45616</v>
      </c>
      <c r="E17" s="24" t="s">
        <v>70</v>
      </c>
      <c r="F17" s="22" t="s">
        <v>70</v>
      </c>
      <c r="G17" s="22" t="s">
        <v>130</v>
      </c>
      <c r="H17" s="25">
        <v>18.8558</v>
      </c>
      <c r="I17" s="25">
        <v>3372</v>
      </c>
      <c r="J17" s="44">
        <v>41577.26</v>
      </c>
      <c r="K17" s="100"/>
      <c r="L17" s="46"/>
      <c r="M17" s="47"/>
      <c r="N17" s="48"/>
      <c r="O17" s="49"/>
      <c r="P17" s="50">
        <f>SUBTOTAL(9,J17)</f>
        <v>41577.26</v>
      </c>
      <c r="Q17" s="78"/>
      <c r="R17" s="78"/>
      <c r="S17" s="77">
        <f t="shared" si="8"/>
        <v>12668.1860426471</v>
      </c>
      <c r="T17" s="77"/>
      <c r="U17" s="77">
        <f t="shared" si="9"/>
        <v>554.582352941176</v>
      </c>
      <c r="V17" s="77"/>
      <c r="W17" s="77"/>
      <c r="X17" s="77">
        <f t="shared" si="2"/>
        <v>13222.7683955882</v>
      </c>
      <c r="Y17" s="94">
        <f t="shared" si="10"/>
        <v>3073.77269117647</v>
      </c>
      <c r="Z17" s="94"/>
      <c r="AA17" s="94">
        <f t="shared" si="11"/>
        <v>21.4567912352941</v>
      </c>
      <c r="AB17" s="94">
        <f t="shared" si="3"/>
        <v>3095.22948241176</v>
      </c>
      <c r="AC17" s="45">
        <v>7.3</v>
      </c>
      <c r="AD17" s="77">
        <f t="shared" si="4"/>
        <v>22595.1752216059</v>
      </c>
      <c r="AE17" s="77">
        <f t="shared" si="5"/>
        <v>35817.9436171941</v>
      </c>
      <c r="AF17" s="77">
        <f t="shared" si="6"/>
        <v>5759.31638280589</v>
      </c>
    </row>
    <row r="18" s="2" customFormat="1" spans="1:32">
      <c r="A18" s="21"/>
      <c r="B18" s="22"/>
      <c r="C18" s="23">
        <v>241120000022</v>
      </c>
      <c r="D18" s="24">
        <v>45616</v>
      </c>
      <c r="E18" s="24" t="s">
        <v>94</v>
      </c>
      <c r="F18" s="22" t="s">
        <v>95</v>
      </c>
      <c r="G18" s="22" t="s">
        <v>96</v>
      </c>
      <c r="H18" s="25">
        <v>24.63</v>
      </c>
      <c r="I18" s="25">
        <v>3402</v>
      </c>
      <c r="J18" s="44">
        <v>38444.97</v>
      </c>
      <c r="K18" s="45"/>
      <c r="L18" s="46"/>
      <c r="M18" s="47"/>
      <c r="N18" s="52"/>
      <c r="O18" s="49"/>
      <c r="P18" s="50">
        <f>SUBTOTAL(9,J18)</f>
        <v>38444.97</v>
      </c>
      <c r="Q18" s="81"/>
      <c r="R18" s="81"/>
      <c r="S18" s="77">
        <f t="shared" si="8"/>
        <v>16547.5568382353</v>
      </c>
      <c r="T18" s="77"/>
      <c r="U18" s="77">
        <f t="shared" si="9"/>
        <v>724.411764705882</v>
      </c>
      <c r="V18" s="77"/>
      <c r="W18" s="77"/>
      <c r="X18" s="77">
        <f t="shared" si="2"/>
        <v>17271.9686029412</v>
      </c>
      <c r="Y18" s="94">
        <f t="shared" si="10"/>
        <v>4015.05220588235</v>
      </c>
      <c r="Z18" s="95"/>
      <c r="AA18" s="94">
        <f t="shared" si="11"/>
        <v>28.0274911764706</v>
      </c>
      <c r="AB18" s="94">
        <f t="shared" si="3"/>
        <v>4043.07969705882</v>
      </c>
      <c r="AC18" s="45">
        <v>7.3</v>
      </c>
      <c r="AD18" s="77">
        <f t="shared" si="4"/>
        <v>29514.4817885294</v>
      </c>
      <c r="AE18" s="77">
        <f t="shared" si="5"/>
        <v>46786.4503914706</v>
      </c>
      <c r="AF18" s="77">
        <f t="shared" si="6"/>
        <v>-8341.48039147058</v>
      </c>
    </row>
    <row r="19" ht="15.75" spans="1:32">
      <c r="A19" s="27" t="s">
        <v>20</v>
      </c>
      <c r="B19" s="28"/>
      <c r="C19" s="28"/>
      <c r="D19" s="28"/>
      <c r="E19" s="28"/>
      <c r="F19" s="28"/>
      <c r="G19" s="28"/>
      <c r="H19" s="28"/>
      <c r="I19" s="54"/>
      <c r="J19" s="28">
        <f>SUM(J4:J4)</f>
        <v>0</v>
      </c>
      <c r="K19" s="55"/>
      <c r="L19" s="56"/>
      <c r="M19" s="55"/>
      <c r="N19" s="55">
        <f t="shared" ref="N19:Q19" si="14">SUM(N4:N4)</f>
        <v>0</v>
      </c>
      <c r="O19" s="28"/>
      <c r="P19" s="28">
        <f t="shared" si="14"/>
        <v>0</v>
      </c>
      <c r="Q19" s="28">
        <f t="shared" si="14"/>
        <v>0</v>
      </c>
      <c r="R19" s="28"/>
      <c r="S19" s="28"/>
      <c r="T19" s="28"/>
      <c r="U19" s="28"/>
      <c r="V19" s="28"/>
      <c r="W19" s="28"/>
      <c r="X19" s="82">
        <f>SUM(X4:X4)</f>
        <v>0</v>
      </c>
      <c r="Y19" s="56"/>
      <c r="Z19" s="56"/>
      <c r="AA19" s="56"/>
      <c r="AB19" s="56"/>
      <c r="AC19" s="55"/>
      <c r="AD19" s="28">
        <f>SUM(AD4:AD4)</f>
        <v>0</v>
      </c>
      <c r="AE19" s="28"/>
      <c r="AF19" s="96">
        <f>SUM(AF4:AF18)</f>
        <v>6096.05639369707</v>
      </c>
    </row>
    <row r="20" customFormat="1" spans="4:32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  <c r="AF20" s="8"/>
    </row>
    <row r="21" customFormat="1" spans="4:32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  <c r="AF21" s="8"/>
    </row>
    <row r="22" customFormat="1" spans="4:32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  <c r="AF22" s="8"/>
    </row>
    <row r="23" customFormat="1" spans="4:32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  <c r="AF23" s="8"/>
    </row>
    <row r="24" customFormat="1" spans="4:32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  <c r="AF24" s="8"/>
    </row>
    <row r="25" customFormat="1" spans="4:32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  <c r="AF25" s="8"/>
    </row>
    <row r="26" customFormat="1" spans="4:32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  <c r="AF26" s="8"/>
    </row>
    <row r="27" customFormat="1" spans="4:32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  <c r="AF27" s="8"/>
    </row>
    <row r="28" customFormat="1" spans="4:32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  <c r="AF28" s="8"/>
    </row>
    <row r="29" customFormat="1" spans="4:32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  <c r="AF29" s="8"/>
    </row>
    <row r="30" customFormat="1" spans="4:32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  <c r="AF30" s="8"/>
    </row>
    <row r="31" customFormat="1" spans="4:32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  <c r="AF31" s="8"/>
    </row>
    <row r="32" customFormat="1" spans="4:32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  <c r="AF32" s="8"/>
    </row>
    <row r="33" customFormat="1" spans="4:32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  <c r="AF33" s="8"/>
    </row>
    <row r="34" customFormat="1" spans="4:32">
      <c r="D34" s="3"/>
      <c r="E34" s="3"/>
      <c r="K34" s="4"/>
      <c r="L34" s="5"/>
      <c r="M34" s="4"/>
      <c r="X34" s="7"/>
      <c r="Y34" s="5"/>
      <c r="Z34" s="5"/>
      <c r="AA34" s="5"/>
      <c r="AB34" s="5"/>
      <c r="AC34" s="4"/>
      <c r="AF34" s="8"/>
    </row>
    <row r="35" customFormat="1" spans="4:32">
      <c r="D35" s="3"/>
      <c r="E35" s="3"/>
      <c r="K35" s="4"/>
      <c r="L35" s="5"/>
      <c r="M35" s="4"/>
      <c r="X35" s="7"/>
      <c r="Y35" s="5"/>
      <c r="Z35" s="5"/>
      <c r="AA35" s="5"/>
      <c r="AB35" s="5"/>
      <c r="AC35" s="4"/>
      <c r="AF35" s="8"/>
    </row>
  </sheetData>
  <autoFilter xmlns:etc="http://www.wps.cn/officeDocument/2017/etCustomData" ref="A3:AF19" etc:filterBottomFollowUsedRange="0">
    <extLst/>
  </autoFilter>
  <mergeCells count="21">
    <mergeCell ref="A1:AF1"/>
    <mergeCell ref="J3:P3"/>
    <mergeCell ref="R3:V3"/>
    <mergeCell ref="Y3:AD3"/>
    <mergeCell ref="A3:A4"/>
    <mergeCell ref="A5:A18"/>
    <mergeCell ref="B3:B4"/>
    <mergeCell ref="B5:B18"/>
    <mergeCell ref="C3:C4"/>
    <mergeCell ref="D3:D4"/>
    <mergeCell ref="E3:E4"/>
    <mergeCell ref="F3:F4"/>
    <mergeCell ref="G3:G4"/>
    <mergeCell ref="H3:H4"/>
    <mergeCell ref="I3:I4"/>
    <mergeCell ref="Q3:Q4"/>
    <mergeCell ref="Q5:Q18"/>
    <mergeCell ref="R5:R18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6"/>
  <sheetViews>
    <sheetView zoomScale="110" zoomScaleNormal="110" workbookViewId="0">
      <pane xSplit="2" ySplit="4" topLeftCell="S5" activePane="bottomRight" state="frozen"/>
      <selection/>
      <selection pane="topRight"/>
      <selection pane="bottomLeft"/>
      <selection pane="bottomRight" activeCell="J15" sqref="J15:P15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9"/>
      <c r="L1" s="30"/>
      <c r="M1" s="29"/>
      <c r="N1" s="9"/>
      <c r="O1" s="31"/>
      <c r="P1" s="9"/>
      <c r="Q1" s="9"/>
      <c r="R1" s="9"/>
      <c r="S1" s="9"/>
      <c r="T1" s="57"/>
      <c r="U1" s="57"/>
      <c r="V1" s="58"/>
      <c r="W1" s="57"/>
      <c r="X1" s="59"/>
      <c r="Y1" s="30"/>
      <c r="Z1" s="30"/>
      <c r="AA1" s="30"/>
      <c r="AB1" s="30"/>
      <c r="AC1" s="29"/>
      <c r="AD1" s="30"/>
      <c r="AE1" s="9"/>
      <c r="AF1" s="83"/>
    </row>
    <row r="2" customFormat="1" ht="31" customHeight="1" spans="1:32">
      <c r="A2" s="10" t="s">
        <v>136</v>
      </c>
      <c r="B2" s="10" t="s">
        <v>137</v>
      </c>
      <c r="C2" s="10">
        <v>77.0138</v>
      </c>
      <c r="D2" s="9"/>
      <c r="E2" s="9"/>
      <c r="F2" s="9"/>
      <c r="G2" s="9"/>
      <c r="H2" s="9"/>
      <c r="I2" s="9"/>
      <c r="J2" s="9"/>
      <c r="K2" s="29"/>
      <c r="L2" s="30"/>
      <c r="M2" s="29"/>
      <c r="N2" s="9"/>
      <c r="O2" s="31"/>
      <c r="P2" s="9"/>
      <c r="Q2" s="9"/>
      <c r="R2" s="9"/>
      <c r="S2" s="9"/>
      <c r="T2" s="57"/>
      <c r="U2" s="57"/>
      <c r="V2" s="58"/>
      <c r="W2" s="57"/>
      <c r="X2" s="59"/>
      <c r="Y2" s="30"/>
      <c r="Z2" s="30"/>
      <c r="AA2" s="30"/>
      <c r="AB2" s="30"/>
      <c r="AC2" s="29"/>
      <c r="AD2" s="30"/>
      <c r="AE2" s="9"/>
      <c r="AF2" s="9"/>
    </row>
    <row r="3" s="1" customFormat="1" ht="23" customHeight="1" spans="1:32">
      <c r="A3" s="11" t="s">
        <v>1</v>
      </c>
      <c r="B3" s="12" t="s">
        <v>2</v>
      </c>
      <c r="C3" s="13" t="s">
        <v>21</v>
      </c>
      <c r="D3" s="14" t="s">
        <v>22</v>
      </c>
      <c r="E3" s="15" t="s">
        <v>23</v>
      </c>
      <c r="F3" s="16" t="s">
        <v>24</v>
      </c>
      <c r="G3" s="16" t="s">
        <v>25</v>
      </c>
      <c r="H3" s="16" t="s">
        <v>26</v>
      </c>
      <c r="I3" s="16" t="s">
        <v>27</v>
      </c>
      <c r="J3" s="32" t="s">
        <v>28</v>
      </c>
      <c r="K3" s="33"/>
      <c r="L3" s="34"/>
      <c r="M3" s="33"/>
      <c r="N3" s="34"/>
      <c r="O3" s="35"/>
      <c r="P3" s="36"/>
      <c r="Q3" s="60" t="s">
        <v>29</v>
      </c>
      <c r="R3" s="61" t="s">
        <v>30</v>
      </c>
      <c r="S3" s="62"/>
      <c r="T3" s="63"/>
      <c r="U3" s="64"/>
      <c r="V3" s="65"/>
      <c r="W3" s="66" t="s">
        <v>31</v>
      </c>
      <c r="X3" s="67" t="s">
        <v>32</v>
      </c>
      <c r="Y3" s="84" t="s">
        <v>33</v>
      </c>
      <c r="Z3" s="84"/>
      <c r="AA3" s="84"/>
      <c r="AB3" s="84"/>
      <c r="AC3" s="85"/>
      <c r="AD3" s="84"/>
      <c r="AE3" s="86" t="s">
        <v>34</v>
      </c>
      <c r="AF3" s="87" t="s">
        <v>3</v>
      </c>
    </row>
    <row r="4" s="1" customFormat="1" ht="27" customHeight="1" spans="1:32">
      <c r="A4" s="17"/>
      <c r="B4" s="18"/>
      <c r="C4" s="13"/>
      <c r="D4" s="14"/>
      <c r="E4" s="19"/>
      <c r="F4" s="20"/>
      <c r="G4" s="20"/>
      <c r="H4" s="20"/>
      <c r="I4" s="37"/>
      <c r="J4" s="38" t="s">
        <v>35</v>
      </c>
      <c r="K4" s="39" t="s">
        <v>36</v>
      </c>
      <c r="L4" s="40" t="s">
        <v>37</v>
      </c>
      <c r="M4" s="39" t="s">
        <v>38</v>
      </c>
      <c r="N4" s="41" t="s">
        <v>39</v>
      </c>
      <c r="O4" s="42" t="s">
        <v>40</v>
      </c>
      <c r="P4" s="43" t="s">
        <v>41</v>
      </c>
      <c r="Q4" s="68"/>
      <c r="R4" s="69" t="s">
        <v>42</v>
      </c>
      <c r="S4" s="70" t="s">
        <v>43</v>
      </c>
      <c r="T4" s="71" t="s">
        <v>44</v>
      </c>
      <c r="U4" s="72" t="s">
        <v>45</v>
      </c>
      <c r="V4" s="71" t="s">
        <v>46</v>
      </c>
      <c r="W4" s="73"/>
      <c r="X4" s="74"/>
      <c r="Y4" s="88" t="s">
        <v>47</v>
      </c>
      <c r="Z4" s="88" t="s">
        <v>48</v>
      </c>
      <c r="AA4" s="88" t="s">
        <v>49</v>
      </c>
      <c r="AB4" s="89" t="s">
        <v>50</v>
      </c>
      <c r="AC4" s="90" t="s">
        <v>51</v>
      </c>
      <c r="AD4" s="91" t="s">
        <v>41</v>
      </c>
      <c r="AE4" s="92" t="s">
        <v>52</v>
      </c>
      <c r="AF4" s="93"/>
    </row>
    <row r="5" s="2" customFormat="1" spans="1:32">
      <c r="A5" s="21" t="s">
        <v>16</v>
      </c>
      <c r="B5" s="22" t="s">
        <v>17</v>
      </c>
      <c r="C5" s="23">
        <v>241107000009</v>
      </c>
      <c r="D5" s="24">
        <v>45617</v>
      </c>
      <c r="E5" s="24" t="s">
        <v>57</v>
      </c>
      <c r="F5" s="22" t="s">
        <v>58</v>
      </c>
      <c r="G5" s="22" t="s">
        <v>111</v>
      </c>
      <c r="H5" s="25">
        <v>3.597</v>
      </c>
      <c r="I5" s="25">
        <v>2893</v>
      </c>
      <c r="J5" s="97">
        <v>8527.49</v>
      </c>
      <c r="K5" s="98"/>
      <c r="L5" s="99"/>
      <c r="M5" s="47"/>
      <c r="N5" s="52"/>
      <c r="O5" s="49"/>
      <c r="P5" s="50">
        <f>SUBTOTAL(9,J5)</f>
        <v>8527.49</v>
      </c>
      <c r="Q5" s="75">
        <f>SUM(P5:P19)</f>
        <v>149572.519</v>
      </c>
      <c r="R5" s="76" t="s">
        <v>131</v>
      </c>
      <c r="S5" s="77">
        <f>SUM(45788.5/68)*H5</f>
        <v>2422.07697794118</v>
      </c>
      <c r="T5" s="77"/>
      <c r="U5" s="77">
        <f>SUM(1300/68)*H5</f>
        <v>68.7661764705882</v>
      </c>
      <c r="V5" s="77"/>
      <c r="W5" s="77"/>
      <c r="X5" s="77">
        <f t="shared" ref="X5:X28" si="0">SUM(S5:W5)</f>
        <v>2490.84315441176</v>
      </c>
      <c r="Y5" s="94">
        <f>SUM(11233/68)*H5</f>
        <v>594.192661764706</v>
      </c>
      <c r="Z5" s="94"/>
      <c r="AA5" s="94">
        <f>SUM(209.95/68)*H5</f>
        <v>11.1057375</v>
      </c>
      <c r="AB5" s="94">
        <f t="shared" ref="AB5:AB28" si="1">SUM(Y5:AA5)</f>
        <v>605.298399264706</v>
      </c>
      <c r="AC5" s="45">
        <v>7.3</v>
      </c>
      <c r="AD5" s="77">
        <f t="shared" ref="AD5:AD28" si="2">SUM(AB5*AC5)</f>
        <v>4418.67831463235</v>
      </c>
      <c r="AE5" s="77">
        <f t="shared" ref="AE5:AE28" si="3">SUM(X5+AD5)</f>
        <v>6909.52146904412</v>
      </c>
      <c r="AF5" s="77">
        <f t="shared" ref="AF5:AF28" si="4">SUM(P5-AE5)</f>
        <v>1617.96853095588</v>
      </c>
    </row>
    <row r="6" s="2" customFormat="1" spans="1:32">
      <c r="A6" s="21"/>
      <c r="B6" s="22"/>
      <c r="C6" s="23">
        <v>241108000020</v>
      </c>
      <c r="D6" s="24">
        <v>45617</v>
      </c>
      <c r="E6" s="24" t="s">
        <v>57</v>
      </c>
      <c r="F6" s="22" t="s">
        <v>58</v>
      </c>
      <c r="G6" s="22" t="s">
        <v>132</v>
      </c>
      <c r="H6" s="25">
        <v>4.4226</v>
      </c>
      <c r="I6" s="25">
        <v>1416</v>
      </c>
      <c r="J6" s="44">
        <v>13696</v>
      </c>
      <c r="K6" s="45"/>
      <c r="L6" s="46"/>
      <c r="M6" s="47"/>
      <c r="N6" s="48"/>
      <c r="O6" s="49"/>
      <c r="P6" s="50">
        <f>SUBTOTAL(9,J6)</f>
        <v>13696</v>
      </c>
      <c r="Q6" s="78"/>
      <c r="R6" s="78"/>
      <c r="S6" s="77">
        <f t="shared" ref="S6:S19" si="5">SUM(45788.5/68)*H6</f>
        <v>2978.00323676471</v>
      </c>
      <c r="T6" s="77"/>
      <c r="U6" s="77">
        <f t="shared" ref="U6:U19" si="6">SUM(1300/68)*H6</f>
        <v>84.5497058823529</v>
      </c>
      <c r="V6" s="79">
        <v>800</v>
      </c>
      <c r="W6" s="79">
        <v>80</v>
      </c>
      <c r="X6" s="77">
        <f t="shared" si="0"/>
        <v>3942.55294264706</v>
      </c>
      <c r="Y6" s="94">
        <f t="shared" ref="Y6:Y19" si="7">SUM(11233/68)*H6</f>
        <v>730.574497058824</v>
      </c>
      <c r="Z6" s="95">
        <v>256.98</v>
      </c>
      <c r="AA6" s="94">
        <f t="shared" ref="AA6:AA19" si="8">SUM(209.95/68)*H6</f>
        <v>13.6547775</v>
      </c>
      <c r="AB6" s="94">
        <f t="shared" si="1"/>
        <v>1001.20927455882</v>
      </c>
      <c r="AC6" s="45">
        <v>7.3</v>
      </c>
      <c r="AD6" s="77">
        <f t="shared" si="2"/>
        <v>7308.82770427941</v>
      </c>
      <c r="AE6" s="77">
        <f t="shared" si="3"/>
        <v>11251.3806469265</v>
      </c>
      <c r="AF6" s="77">
        <f t="shared" si="4"/>
        <v>2444.6193530735</v>
      </c>
    </row>
    <row r="7" s="2" customFormat="1" spans="1:32">
      <c r="A7" s="21"/>
      <c r="B7" s="22"/>
      <c r="C7" s="23">
        <v>241113000043</v>
      </c>
      <c r="D7" s="24">
        <v>45617</v>
      </c>
      <c r="E7" s="24" t="s">
        <v>94</v>
      </c>
      <c r="F7" s="22" t="s">
        <v>95</v>
      </c>
      <c r="G7" s="22" t="s">
        <v>119</v>
      </c>
      <c r="H7" s="25">
        <v>4.8174</v>
      </c>
      <c r="I7" s="25">
        <v>5160</v>
      </c>
      <c r="J7" s="50"/>
      <c r="K7" s="51">
        <v>1944345.36</v>
      </c>
      <c r="L7" s="46"/>
      <c r="M7" s="47">
        <f t="shared" ref="M7:M9" si="9">SUM(K7/N7)</f>
        <v>1608</v>
      </c>
      <c r="N7" s="52">
        <v>1209.17</v>
      </c>
      <c r="O7" s="49">
        <v>7.3</v>
      </c>
      <c r="P7" s="50">
        <f t="shared" ref="P7:P9" si="10">SUM(N7*O7)</f>
        <v>8826.941</v>
      </c>
      <c r="Q7" s="78"/>
      <c r="R7" s="78"/>
      <c r="S7" s="77">
        <f t="shared" si="5"/>
        <v>3243.84588088235</v>
      </c>
      <c r="T7" s="77"/>
      <c r="U7" s="77">
        <f t="shared" si="6"/>
        <v>92.0973529411765</v>
      </c>
      <c r="V7" s="77"/>
      <c r="W7" s="77"/>
      <c r="X7" s="77">
        <f t="shared" si="0"/>
        <v>3335.94323382353</v>
      </c>
      <c r="Y7" s="94">
        <f t="shared" si="7"/>
        <v>795.791973529412</v>
      </c>
      <c r="Z7" s="94"/>
      <c r="AA7" s="94">
        <f t="shared" si="8"/>
        <v>14.8737225</v>
      </c>
      <c r="AB7" s="94">
        <f t="shared" si="1"/>
        <v>810.665696029412</v>
      </c>
      <c r="AC7" s="45">
        <v>7.3</v>
      </c>
      <c r="AD7" s="77">
        <f t="shared" si="2"/>
        <v>5917.85958101471</v>
      </c>
      <c r="AE7" s="77">
        <f t="shared" si="3"/>
        <v>9253.80281483823</v>
      </c>
      <c r="AF7" s="77">
        <f t="shared" si="4"/>
        <v>-426.861814838228</v>
      </c>
    </row>
    <row r="8" s="2" customFormat="1" spans="1:32">
      <c r="A8" s="21"/>
      <c r="B8" s="22"/>
      <c r="C8" s="23">
        <v>241113000045</v>
      </c>
      <c r="D8" s="24">
        <v>45617</v>
      </c>
      <c r="E8" s="24" t="s">
        <v>94</v>
      </c>
      <c r="F8" s="22" t="s">
        <v>95</v>
      </c>
      <c r="G8" s="22" t="s">
        <v>119</v>
      </c>
      <c r="H8" s="25">
        <v>0.164</v>
      </c>
      <c r="I8" s="25">
        <v>134</v>
      </c>
      <c r="J8" s="50"/>
      <c r="K8" s="51">
        <v>66217.44</v>
      </c>
      <c r="L8" s="46"/>
      <c r="M8" s="47">
        <f t="shared" si="9"/>
        <v>1608</v>
      </c>
      <c r="N8" s="52">
        <v>41.18</v>
      </c>
      <c r="O8" s="49">
        <v>7.3</v>
      </c>
      <c r="P8" s="50">
        <f t="shared" si="10"/>
        <v>300.614</v>
      </c>
      <c r="Q8" s="78"/>
      <c r="R8" s="78"/>
      <c r="S8" s="77">
        <f t="shared" si="5"/>
        <v>110.431088235294</v>
      </c>
      <c r="T8" s="77"/>
      <c r="U8" s="77">
        <f t="shared" si="6"/>
        <v>3.13529411764706</v>
      </c>
      <c r="V8" s="77"/>
      <c r="W8" s="77"/>
      <c r="X8" s="77">
        <f t="shared" si="0"/>
        <v>113.566382352941</v>
      </c>
      <c r="Y8" s="94">
        <f t="shared" si="7"/>
        <v>27.0913529411765</v>
      </c>
      <c r="Z8" s="94"/>
      <c r="AA8" s="94">
        <f t="shared" si="8"/>
        <v>0.50635</v>
      </c>
      <c r="AB8" s="94">
        <f t="shared" si="1"/>
        <v>27.5977029411765</v>
      </c>
      <c r="AC8" s="45">
        <v>7.3</v>
      </c>
      <c r="AD8" s="77">
        <f t="shared" si="2"/>
        <v>201.463231470588</v>
      </c>
      <c r="AE8" s="77">
        <f t="shared" si="3"/>
        <v>315.029613823529</v>
      </c>
      <c r="AF8" s="77">
        <f t="shared" si="4"/>
        <v>-14.415613823529</v>
      </c>
    </row>
    <row r="9" s="2" customFormat="1" spans="1:32">
      <c r="A9" s="21"/>
      <c r="B9" s="22"/>
      <c r="C9" s="23">
        <v>241114000012</v>
      </c>
      <c r="D9" s="24">
        <v>45617</v>
      </c>
      <c r="E9" s="24" t="s">
        <v>94</v>
      </c>
      <c r="F9" s="22" t="s">
        <v>95</v>
      </c>
      <c r="G9" s="22" t="s">
        <v>119</v>
      </c>
      <c r="H9" s="25">
        <v>4.9075</v>
      </c>
      <c r="I9" s="25">
        <v>496</v>
      </c>
      <c r="J9" s="50"/>
      <c r="K9" s="51">
        <v>1980702.24</v>
      </c>
      <c r="L9" s="46"/>
      <c r="M9" s="47">
        <f t="shared" si="9"/>
        <v>1608</v>
      </c>
      <c r="N9" s="52">
        <v>1231.78</v>
      </c>
      <c r="O9" s="49">
        <v>7.3</v>
      </c>
      <c r="P9" s="50">
        <f t="shared" si="10"/>
        <v>8991.994</v>
      </c>
      <c r="Q9" s="78"/>
      <c r="R9" s="78"/>
      <c r="S9" s="77">
        <f t="shared" si="5"/>
        <v>3304.51564338235</v>
      </c>
      <c r="T9" s="77"/>
      <c r="U9" s="77">
        <f t="shared" si="6"/>
        <v>93.8198529411765</v>
      </c>
      <c r="V9" s="77"/>
      <c r="W9" s="77"/>
      <c r="X9" s="77">
        <f t="shared" si="0"/>
        <v>3398.33549632353</v>
      </c>
      <c r="Y9" s="94">
        <f t="shared" si="7"/>
        <v>810.675698529412</v>
      </c>
      <c r="Z9" s="94"/>
      <c r="AA9" s="94">
        <f t="shared" si="8"/>
        <v>15.15190625</v>
      </c>
      <c r="AB9" s="94">
        <f t="shared" si="1"/>
        <v>825.827604779412</v>
      </c>
      <c r="AC9" s="45">
        <v>7.3</v>
      </c>
      <c r="AD9" s="77">
        <f t="shared" si="2"/>
        <v>6028.54151488971</v>
      </c>
      <c r="AE9" s="77">
        <f t="shared" si="3"/>
        <v>9426.87701121324</v>
      </c>
      <c r="AF9" s="77">
        <f t="shared" si="4"/>
        <v>-434.88301121324</v>
      </c>
    </row>
    <row r="10" s="2" customFormat="1" spans="1:32">
      <c r="A10" s="21"/>
      <c r="B10" s="22"/>
      <c r="C10" s="23">
        <v>241118000049</v>
      </c>
      <c r="D10" s="24">
        <v>45617</v>
      </c>
      <c r="E10" s="24" t="s">
        <v>70</v>
      </c>
      <c r="F10" s="22" t="s">
        <v>70</v>
      </c>
      <c r="G10" s="22" t="s">
        <v>130</v>
      </c>
      <c r="H10" s="25">
        <v>18.8558</v>
      </c>
      <c r="I10" s="25">
        <v>3470</v>
      </c>
      <c r="J10" s="44">
        <v>41577.26</v>
      </c>
      <c r="K10" s="100"/>
      <c r="L10" s="46"/>
      <c r="M10" s="47"/>
      <c r="N10" s="48"/>
      <c r="O10" s="49"/>
      <c r="P10" s="50">
        <f t="shared" ref="P10:P12" si="11">SUBTOTAL(9,J10)</f>
        <v>41577.26</v>
      </c>
      <c r="Q10" s="78"/>
      <c r="R10" s="78"/>
      <c r="S10" s="77">
        <f t="shared" si="5"/>
        <v>12696.7470338235</v>
      </c>
      <c r="T10" s="77"/>
      <c r="U10" s="77">
        <f t="shared" si="6"/>
        <v>360.478529411765</v>
      </c>
      <c r="V10" s="77"/>
      <c r="W10" s="77"/>
      <c r="X10" s="77">
        <f t="shared" si="0"/>
        <v>13057.2255632353</v>
      </c>
      <c r="Y10" s="94">
        <f t="shared" si="7"/>
        <v>3114.81178529412</v>
      </c>
      <c r="Z10" s="95">
        <v>1481.48</v>
      </c>
      <c r="AA10" s="94">
        <f t="shared" si="8"/>
        <v>58.2172825</v>
      </c>
      <c r="AB10" s="94">
        <f t="shared" si="1"/>
        <v>4654.50906779412</v>
      </c>
      <c r="AC10" s="45">
        <v>7.3</v>
      </c>
      <c r="AD10" s="77">
        <f t="shared" si="2"/>
        <v>33977.9161948971</v>
      </c>
      <c r="AE10" s="77">
        <f t="shared" si="3"/>
        <v>47035.1417581323</v>
      </c>
      <c r="AF10" s="77">
        <f t="shared" si="4"/>
        <v>-5457.88175813229</v>
      </c>
    </row>
    <row r="11" s="2" customFormat="1" spans="1:32">
      <c r="A11" s="21"/>
      <c r="B11" s="22"/>
      <c r="C11" s="23">
        <v>241023000034</v>
      </c>
      <c r="D11" s="24">
        <v>45617</v>
      </c>
      <c r="E11" s="24" t="s">
        <v>70</v>
      </c>
      <c r="F11" s="22" t="s">
        <v>70</v>
      </c>
      <c r="G11" s="22" t="s">
        <v>80</v>
      </c>
      <c r="H11" s="25">
        <v>0.535</v>
      </c>
      <c r="I11" s="25">
        <v>223</v>
      </c>
      <c r="J11" s="44">
        <v>1547</v>
      </c>
      <c r="K11" s="100"/>
      <c r="L11" s="46"/>
      <c r="M11" s="47"/>
      <c r="N11" s="48"/>
      <c r="O11" s="49"/>
      <c r="P11" s="50">
        <f t="shared" si="11"/>
        <v>1547</v>
      </c>
      <c r="Q11" s="78"/>
      <c r="R11" s="78"/>
      <c r="S11" s="77">
        <f t="shared" si="5"/>
        <v>360.247757352941</v>
      </c>
      <c r="T11" s="77"/>
      <c r="U11" s="77">
        <f t="shared" si="6"/>
        <v>10.2279411764706</v>
      </c>
      <c r="V11" s="77"/>
      <c r="W11" s="77"/>
      <c r="X11" s="77">
        <f t="shared" si="0"/>
        <v>370.475698529412</v>
      </c>
      <c r="Y11" s="94">
        <f t="shared" si="7"/>
        <v>88.3772794117647</v>
      </c>
      <c r="Z11" s="94"/>
      <c r="AA11" s="94">
        <f t="shared" si="8"/>
        <v>1.6518125</v>
      </c>
      <c r="AB11" s="94">
        <f t="shared" si="1"/>
        <v>90.0290919117647</v>
      </c>
      <c r="AC11" s="45">
        <v>7.3</v>
      </c>
      <c r="AD11" s="77">
        <f t="shared" si="2"/>
        <v>657.212370955882</v>
      </c>
      <c r="AE11" s="77">
        <f t="shared" si="3"/>
        <v>1027.68806948529</v>
      </c>
      <c r="AF11" s="77">
        <f t="shared" si="4"/>
        <v>519.31193051471</v>
      </c>
    </row>
    <row r="12" s="2" customFormat="1" spans="1:32">
      <c r="A12" s="21"/>
      <c r="B12" s="22"/>
      <c r="C12" s="23">
        <v>241115000013</v>
      </c>
      <c r="D12" s="24">
        <v>45617</v>
      </c>
      <c r="E12" s="24" t="s">
        <v>70</v>
      </c>
      <c r="F12" s="22" t="s">
        <v>70</v>
      </c>
      <c r="G12" s="22" t="s">
        <v>133</v>
      </c>
      <c r="H12" s="25">
        <v>0.0579</v>
      </c>
      <c r="I12" s="25">
        <v>37</v>
      </c>
      <c r="J12" s="44">
        <v>123</v>
      </c>
      <c r="K12" s="45"/>
      <c r="L12" s="46"/>
      <c r="M12" s="47"/>
      <c r="N12" s="48"/>
      <c r="O12" s="49"/>
      <c r="P12" s="50">
        <f t="shared" si="11"/>
        <v>123</v>
      </c>
      <c r="Q12" s="78"/>
      <c r="R12" s="78"/>
      <c r="S12" s="77">
        <f t="shared" si="5"/>
        <v>38.9875610294118</v>
      </c>
      <c r="T12" s="77"/>
      <c r="U12" s="77">
        <f t="shared" si="6"/>
        <v>1.10691176470588</v>
      </c>
      <c r="V12" s="77"/>
      <c r="W12" s="77"/>
      <c r="X12" s="77">
        <f t="shared" si="0"/>
        <v>40.0944727941176</v>
      </c>
      <c r="Y12" s="94">
        <f t="shared" si="7"/>
        <v>9.56456911764706</v>
      </c>
      <c r="Z12" s="94"/>
      <c r="AA12" s="94">
        <f t="shared" si="8"/>
        <v>0.17876625</v>
      </c>
      <c r="AB12" s="94">
        <f t="shared" si="1"/>
        <v>9.74333536764706</v>
      </c>
      <c r="AC12" s="45">
        <v>7.3</v>
      </c>
      <c r="AD12" s="77">
        <f t="shared" si="2"/>
        <v>71.1263481838235</v>
      </c>
      <c r="AE12" s="77">
        <f t="shared" si="3"/>
        <v>111.220820977941</v>
      </c>
      <c r="AF12" s="77">
        <f t="shared" si="4"/>
        <v>11.779179022059</v>
      </c>
    </row>
    <row r="13" s="2" customFormat="1" spans="1:32">
      <c r="A13" s="21"/>
      <c r="B13" s="22"/>
      <c r="C13" s="23">
        <v>241118000061</v>
      </c>
      <c r="D13" s="24">
        <v>45617</v>
      </c>
      <c r="E13" s="24" t="s">
        <v>94</v>
      </c>
      <c r="F13" s="22" t="s">
        <v>95</v>
      </c>
      <c r="G13" s="22" t="s">
        <v>119</v>
      </c>
      <c r="H13" s="25">
        <v>0.2475</v>
      </c>
      <c r="I13" s="25">
        <v>27</v>
      </c>
      <c r="J13" s="50"/>
      <c r="K13" s="51">
        <v>99937.2</v>
      </c>
      <c r="L13" s="46"/>
      <c r="M13" s="47">
        <f t="shared" ref="M13:M18" si="12">SUM(K13/N13)</f>
        <v>1608</v>
      </c>
      <c r="N13" s="52">
        <v>62.15</v>
      </c>
      <c r="O13" s="49">
        <v>7.3</v>
      </c>
      <c r="P13" s="50">
        <f t="shared" ref="P13:P18" si="13">SUM(N13*O13)</f>
        <v>453.695</v>
      </c>
      <c r="Q13" s="78"/>
      <c r="R13" s="78"/>
      <c r="S13" s="77">
        <f t="shared" si="5"/>
        <v>166.656672794118</v>
      </c>
      <c r="T13" s="77"/>
      <c r="U13" s="77">
        <f t="shared" si="6"/>
        <v>4.73161764705882</v>
      </c>
      <c r="V13" s="77"/>
      <c r="W13" s="77"/>
      <c r="X13" s="77">
        <f t="shared" si="0"/>
        <v>171.388290441176</v>
      </c>
      <c r="Y13" s="94">
        <f t="shared" si="7"/>
        <v>40.8848161764706</v>
      </c>
      <c r="Z13" s="94"/>
      <c r="AA13" s="94">
        <f t="shared" si="8"/>
        <v>0.76415625</v>
      </c>
      <c r="AB13" s="94">
        <f t="shared" si="1"/>
        <v>41.6489724264706</v>
      </c>
      <c r="AC13" s="45">
        <v>7.3</v>
      </c>
      <c r="AD13" s="77">
        <f t="shared" si="2"/>
        <v>304.037498713235</v>
      </c>
      <c r="AE13" s="77">
        <f t="shared" si="3"/>
        <v>475.425789154412</v>
      </c>
      <c r="AF13" s="77">
        <f t="shared" si="4"/>
        <v>-21.730789154412</v>
      </c>
    </row>
    <row r="14" s="2" customFormat="1" spans="1:32">
      <c r="A14" s="21"/>
      <c r="B14" s="22"/>
      <c r="C14" s="23">
        <v>241118000064</v>
      </c>
      <c r="D14" s="24">
        <v>45617</v>
      </c>
      <c r="E14" s="24" t="s">
        <v>94</v>
      </c>
      <c r="F14" s="22" t="s">
        <v>95</v>
      </c>
      <c r="G14" s="22" t="s">
        <v>119</v>
      </c>
      <c r="H14" s="25">
        <v>0.0647</v>
      </c>
      <c r="I14" s="25">
        <v>9</v>
      </c>
      <c r="J14" s="50"/>
      <c r="K14" s="51">
        <v>26097.84</v>
      </c>
      <c r="L14" s="46"/>
      <c r="M14" s="47">
        <f t="shared" si="12"/>
        <v>1608</v>
      </c>
      <c r="N14" s="52">
        <v>16.23</v>
      </c>
      <c r="O14" s="49">
        <v>7.3</v>
      </c>
      <c r="P14" s="50">
        <f t="shared" si="13"/>
        <v>118.479</v>
      </c>
      <c r="Q14" s="78"/>
      <c r="R14" s="78"/>
      <c r="S14" s="77">
        <f t="shared" si="5"/>
        <v>43.5664110294118</v>
      </c>
      <c r="T14" s="77"/>
      <c r="U14" s="77">
        <f t="shared" si="6"/>
        <v>1.23691176470588</v>
      </c>
      <c r="V14" s="77"/>
      <c r="W14" s="77"/>
      <c r="X14" s="77">
        <f t="shared" si="0"/>
        <v>44.8033227941176</v>
      </c>
      <c r="Y14" s="94">
        <f t="shared" si="7"/>
        <v>10.6878691176471</v>
      </c>
      <c r="Z14" s="94"/>
      <c r="AA14" s="94">
        <f t="shared" si="8"/>
        <v>0.19976125</v>
      </c>
      <c r="AB14" s="94">
        <f t="shared" si="1"/>
        <v>10.8876303676471</v>
      </c>
      <c r="AC14" s="45">
        <v>7.3</v>
      </c>
      <c r="AD14" s="77">
        <f t="shared" si="2"/>
        <v>79.4797016838235</v>
      </c>
      <c r="AE14" s="77">
        <f t="shared" si="3"/>
        <v>124.283024477941</v>
      </c>
      <c r="AF14" s="77">
        <f t="shared" si="4"/>
        <v>-5.804024477941</v>
      </c>
    </row>
    <row r="15" s="2" customFormat="1" spans="1:32">
      <c r="A15" s="21"/>
      <c r="B15" s="22"/>
      <c r="C15" s="23">
        <v>241118000074</v>
      </c>
      <c r="D15" s="24">
        <v>45617</v>
      </c>
      <c r="E15" s="24" t="s">
        <v>77</v>
      </c>
      <c r="F15" s="22" t="s">
        <v>78</v>
      </c>
      <c r="G15" s="22" t="s">
        <v>85</v>
      </c>
      <c r="H15" s="25">
        <v>4.524</v>
      </c>
      <c r="I15" s="25">
        <v>2048</v>
      </c>
      <c r="J15" s="44">
        <v>10687.32</v>
      </c>
      <c r="K15" s="45"/>
      <c r="L15" s="101"/>
      <c r="M15" s="102"/>
      <c r="N15" s="48"/>
      <c r="O15" s="103"/>
      <c r="P15" s="104">
        <f>SUBTOTAL(9,J15)</f>
        <v>10687.32</v>
      </c>
      <c r="Q15" s="78"/>
      <c r="R15" s="78"/>
      <c r="S15" s="77">
        <f t="shared" si="5"/>
        <v>3046.28197058824</v>
      </c>
      <c r="T15" s="77"/>
      <c r="U15" s="77">
        <f t="shared" si="6"/>
        <v>86.4882352941176</v>
      </c>
      <c r="V15" s="77"/>
      <c r="W15" s="77"/>
      <c r="X15" s="77">
        <f t="shared" si="0"/>
        <v>3132.77020588235</v>
      </c>
      <c r="Y15" s="94">
        <f t="shared" si="7"/>
        <v>747.324882352941</v>
      </c>
      <c r="Z15" s="95">
        <v>262.87</v>
      </c>
      <c r="AA15" s="94">
        <f t="shared" si="8"/>
        <v>13.96785</v>
      </c>
      <c r="AB15" s="94">
        <f t="shared" si="1"/>
        <v>1024.16273235294</v>
      </c>
      <c r="AC15" s="45">
        <v>7.3</v>
      </c>
      <c r="AD15" s="77">
        <f t="shared" si="2"/>
        <v>7476.38794617647</v>
      </c>
      <c r="AE15" s="77">
        <f t="shared" si="3"/>
        <v>10609.1581520588</v>
      </c>
      <c r="AF15" s="77">
        <f t="shared" si="4"/>
        <v>78.1618479411991</v>
      </c>
    </row>
    <row r="16" s="2" customFormat="1" spans="1:32">
      <c r="A16" s="21"/>
      <c r="B16" s="22"/>
      <c r="C16" s="23">
        <v>241119000018</v>
      </c>
      <c r="D16" s="24">
        <v>45617</v>
      </c>
      <c r="E16" s="24" t="s">
        <v>94</v>
      </c>
      <c r="F16" s="22" t="s">
        <v>95</v>
      </c>
      <c r="G16" s="22" t="s">
        <v>119</v>
      </c>
      <c r="H16" s="25">
        <v>0.3528</v>
      </c>
      <c r="I16" s="25">
        <v>60</v>
      </c>
      <c r="J16" s="50"/>
      <c r="K16" s="51">
        <v>142388.4</v>
      </c>
      <c r="L16" s="46"/>
      <c r="M16" s="47">
        <f t="shared" si="12"/>
        <v>1608</v>
      </c>
      <c r="N16" s="52">
        <v>88.55</v>
      </c>
      <c r="O16" s="49">
        <v>7.3</v>
      </c>
      <c r="P16" s="50">
        <f t="shared" si="13"/>
        <v>646.415</v>
      </c>
      <c r="Q16" s="78"/>
      <c r="R16" s="78"/>
      <c r="S16" s="77">
        <f t="shared" si="5"/>
        <v>237.561511764706</v>
      </c>
      <c r="T16" s="77"/>
      <c r="U16" s="77">
        <f t="shared" si="6"/>
        <v>6.74470588235294</v>
      </c>
      <c r="V16" s="77"/>
      <c r="W16" s="77"/>
      <c r="X16" s="77">
        <f t="shared" si="0"/>
        <v>244.306217647059</v>
      </c>
      <c r="Y16" s="94">
        <f t="shared" si="7"/>
        <v>58.2794470588235</v>
      </c>
      <c r="Z16" s="94"/>
      <c r="AA16" s="94">
        <f t="shared" si="8"/>
        <v>1.08927</v>
      </c>
      <c r="AB16" s="94">
        <f t="shared" si="1"/>
        <v>59.3687170588235</v>
      </c>
      <c r="AC16" s="45">
        <v>7.3</v>
      </c>
      <c r="AD16" s="77">
        <f t="shared" si="2"/>
        <v>433.391634529412</v>
      </c>
      <c r="AE16" s="77">
        <f t="shared" si="3"/>
        <v>677.697852176471</v>
      </c>
      <c r="AF16" s="77">
        <f t="shared" si="4"/>
        <v>-31.282852176471</v>
      </c>
    </row>
    <row r="17" s="2" customFormat="1" spans="1:32">
      <c r="A17" s="21"/>
      <c r="B17" s="22"/>
      <c r="C17" s="23">
        <v>241119000019</v>
      </c>
      <c r="D17" s="24">
        <v>45617</v>
      </c>
      <c r="E17" s="24" t="s">
        <v>94</v>
      </c>
      <c r="F17" s="22" t="s">
        <v>95</v>
      </c>
      <c r="G17" s="22" t="s">
        <v>119</v>
      </c>
      <c r="H17" s="25">
        <v>0.8465</v>
      </c>
      <c r="I17" s="25">
        <v>76</v>
      </c>
      <c r="J17" s="50"/>
      <c r="K17" s="51">
        <v>341667.84</v>
      </c>
      <c r="L17" s="46"/>
      <c r="M17" s="47">
        <f t="shared" si="12"/>
        <v>1608</v>
      </c>
      <c r="N17" s="52">
        <v>212.48</v>
      </c>
      <c r="O17" s="49">
        <v>7.3</v>
      </c>
      <c r="P17" s="50">
        <f t="shared" si="13"/>
        <v>1551.104</v>
      </c>
      <c r="Q17" s="78"/>
      <c r="R17" s="78"/>
      <c r="S17" s="77">
        <f t="shared" si="5"/>
        <v>569.999488970588</v>
      </c>
      <c r="T17" s="77"/>
      <c r="U17" s="77">
        <f t="shared" si="6"/>
        <v>16.1830882352941</v>
      </c>
      <c r="V17" s="77"/>
      <c r="W17" s="77"/>
      <c r="X17" s="77">
        <f t="shared" si="0"/>
        <v>586.182577205882</v>
      </c>
      <c r="Y17" s="94">
        <f t="shared" si="7"/>
        <v>139.834330882353</v>
      </c>
      <c r="Z17" s="94"/>
      <c r="AA17" s="94">
        <f t="shared" si="8"/>
        <v>2.61356875</v>
      </c>
      <c r="AB17" s="94">
        <f t="shared" si="1"/>
        <v>142.447899632353</v>
      </c>
      <c r="AC17" s="45">
        <v>7.3</v>
      </c>
      <c r="AD17" s="77">
        <f t="shared" si="2"/>
        <v>1039.86966731618</v>
      </c>
      <c r="AE17" s="77">
        <f t="shared" si="3"/>
        <v>1626.05224452206</v>
      </c>
      <c r="AF17" s="77">
        <f t="shared" si="4"/>
        <v>-74.9482445220601</v>
      </c>
    </row>
    <row r="18" s="2" customFormat="1" spans="1:32">
      <c r="A18" s="21"/>
      <c r="B18" s="22"/>
      <c r="C18" s="23">
        <v>241119000020</v>
      </c>
      <c r="D18" s="24">
        <v>45617</v>
      </c>
      <c r="E18" s="24" t="s">
        <v>94</v>
      </c>
      <c r="F18" s="22" t="s">
        <v>95</v>
      </c>
      <c r="G18" s="22" t="s">
        <v>119</v>
      </c>
      <c r="H18" s="25">
        <v>0.1709</v>
      </c>
      <c r="I18" s="25">
        <v>14</v>
      </c>
      <c r="J18" s="50"/>
      <c r="K18" s="51">
        <v>68967.12</v>
      </c>
      <c r="L18" s="46"/>
      <c r="M18" s="47">
        <f t="shared" si="12"/>
        <v>1608</v>
      </c>
      <c r="N18" s="52">
        <v>42.89</v>
      </c>
      <c r="O18" s="49">
        <v>7.3</v>
      </c>
      <c r="P18" s="50">
        <f t="shared" si="13"/>
        <v>313.097</v>
      </c>
      <c r="Q18" s="78"/>
      <c r="R18" s="78"/>
      <c r="S18" s="77">
        <f t="shared" si="5"/>
        <v>115.077274264706</v>
      </c>
      <c r="T18" s="77"/>
      <c r="U18" s="77">
        <f t="shared" si="6"/>
        <v>3.26720588235294</v>
      </c>
      <c r="V18" s="77"/>
      <c r="W18" s="77"/>
      <c r="X18" s="77">
        <f t="shared" si="0"/>
        <v>118.344480147059</v>
      </c>
      <c r="Y18" s="94">
        <f t="shared" si="7"/>
        <v>28.2311720588235</v>
      </c>
      <c r="Z18" s="94"/>
      <c r="AA18" s="94">
        <f t="shared" si="8"/>
        <v>0.52765375</v>
      </c>
      <c r="AB18" s="94">
        <f t="shared" si="1"/>
        <v>28.7588258088235</v>
      </c>
      <c r="AC18" s="45">
        <v>7.3</v>
      </c>
      <c r="AD18" s="77">
        <f t="shared" si="2"/>
        <v>209.939428404412</v>
      </c>
      <c r="AE18" s="77">
        <f t="shared" si="3"/>
        <v>328.283908551471</v>
      </c>
      <c r="AF18" s="77">
        <f t="shared" si="4"/>
        <v>-15.186908551471</v>
      </c>
    </row>
    <row r="19" s="2" customFormat="1" spans="1:32">
      <c r="A19" s="21"/>
      <c r="B19" s="22"/>
      <c r="C19" s="23">
        <v>241120000030</v>
      </c>
      <c r="D19" s="24">
        <v>45617</v>
      </c>
      <c r="E19" s="24" t="s">
        <v>94</v>
      </c>
      <c r="F19" s="22" t="s">
        <v>95</v>
      </c>
      <c r="G19" s="22" t="s">
        <v>96</v>
      </c>
      <c r="H19" s="25">
        <v>33.45</v>
      </c>
      <c r="I19" s="25">
        <v>4005</v>
      </c>
      <c r="J19" s="44">
        <v>52212.11</v>
      </c>
      <c r="K19" s="45"/>
      <c r="L19" s="46"/>
      <c r="M19" s="47"/>
      <c r="N19" s="52"/>
      <c r="O19" s="49"/>
      <c r="P19" s="50">
        <f>SUBTOTAL(9,J19)</f>
        <v>52212.11</v>
      </c>
      <c r="Q19" s="81"/>
      <c r="R19" s="81"/>
      <c r="S19" s="77">
        <f t="shared" si="5"/>
        <v>22523.9018382353</v>
      </c>
      <c r="T19" s="77"/>
      <c r="U19" s="77">
        <f t="shared" si="6"/>
        <v>639.485294117647</v>
      </c>
      <c r="V19" s="77"/>
      <c r="W19" s="77"/>
      <c r="X19" s="77">
        <f t="shared" si="0"/>
        <v>23163.3871323529</v>
      </c>
      <c r="Y19" s="94">
        <f t="shared" si="7"/>
        <v>5525.64485294118</v>
      </c>
      <c r="Z19" s="95"/>
      <c r="AA19" s="94">
        <f t="shared" si="8"/>
        <v>103.276875</v>
      </c>
      <c r="AB19" s="94">
        <f t="shared" si="1"/>
        <v>5628.92172794118</v>
      </c>
      <c r="AC19" s="45">
        <v>7.3</v>
      </c>
      <c r="AD19" s="77">
        <f t="shared" si="2"/>
        <v>41091.1286139706</v>
      </c>
      <c r="AE19" s="77">
        <f t="shared" si="3"/>
        <v>64254.5157463235</v>
      </c>
      <c r="AF19" s="77">
        <f t="shared" si="4"/>
        <v>-12042.4057463235</v>
      </c>
    </row>
    <row r="20" ht="15.75" spans="1:32">
      <c r="A20" s="27" t="s">
        <v>20</v>
      </c>
      <c r="B20" s="28"/>
      <c r="C20" s="28"/>
      <c r="D20" s="28"/>
      <c r="E20" s="28"/>
      <c r="F20" s="28"/>
      <c r="G20" s="28"/>
      <c r="H20" s="28"/>
      <c r="I20" s="54"/>
      <c r="J20" s="28">
        <f>SUM(J4:J4)</f>
        <v>0</v>
      </c>
      <c r="K20" s="55"/>
      <c r="L20" s="56"/>
      <c r="M20" s="55"/>
      <c r="N20" s="55">
        <f t="shared" ref="N20:Q20" si="14">SUM(N4:N4)</f>
        <v>0</v>
      </c>
      <c r="O20" s="28"/>
      <c r="P20" s="28">
        <f t="shared" si="14"/>
        <v>0</v>
      </c>
      <c r="Q20" s="28">
        <f t="shared" si="14"/>
        <v>0</v>
      </c>
      <c r="R20" s="28"/>
      <c r="S20" s="28"/>
      <c r="T20" s="28"/>
      <c r="U20" s="28"/>
      <c r="V20" s="28"/>
      <c r="W20" s="28"/>
      <c r="X20" s="82">
        <f>SUM(X4:X4)</f>
        <v>0</v>
      </c>
      <c r="Y20" s="56"/>
      <c r="Z20" s="56"/>
      <c r="AA20" s="56"/>
      <c r="AB20" s="56"/>
      <c r="AC20" s="55"/>
      <c r="AD20" s="28">
        <f>SUM(AD4:AD4)</f>
        <v>0</v>
      </c>
      <c r="AE20" s="28"/>
      <c r="AF20" s="96">
        <f>SUM(AF4:AF19)</f>
        <v>-13853.5599217058</v>
      </c>
    </row>
    <row r="21" customFormat="1" spans="4:32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  <c r="AF21" s="8"/>
    </row>
    <row r="22" customFormat="1" spans="4:32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  <c r="AF22" s="8"/>
    </row>
    <row r="23" customFormat="1" spans="4:32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  <c r="AF23" s="8"/>
    </row>
    <row r="24" customFormat="1" spans="4:32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  <c r="AF24" s="8"/>
    </row>
    <row r="25" customFormat="1" spans="4:32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  <c r="AF25" s="8"/>
    </row>
    <row r="26" customFormat="1" spans="4:32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  <c r="AF26" s="8"/>
    </row>
    <row r="27" customFormat="1" spans="4:32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  <c r="AF27" s="8"/>
    </row>
    <row r="28" customFormat="1" spans="4:32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  <c r="AF28" s="8"/>
    </row>
    <row r="29" customFormat="1" spans="4:32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  <c r="AF29" s="8"/>
    </row>
    <row r="30" customFormat="1" spans="4:32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  <c r="AF30" s="8"/>
    </row>
    <row r="31" customFormat="1" spans="4:32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  <c r="AF31" s="8"/>
    </row>
    <row r="32" customFormat="1" spans="4:32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  <c r="AF32" s="8"/>
    </row>
    <row r="33" customFormat="1" spans="4:32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  <c r="AF33" s="8"/>
    </row>
    <row r="34" customFormat="1" spans="4:32">
      <c r="D34" s="3"/>
      <c r="E34" s="3"/>
      <c r="K34" s="4"/>
      <c r="L34" s="5"/>
      <c r="M34" s="4"/>
      <c r="X34" s="7"/>
      <c r="Y34" s="5"/>
      <c r="Z34" s="5"/>
      <c r="AA34" s="5"/>
      <c r="AB34" s="5"/>
      <c r="AC34" s="4"/>
      <c r="AF34" s="8"/>
    </row>
    <row r="35" customFormat="1" spans="4:32">
      <c r="D35" s="3"/>
      <c r="E35" s="3"/>
      <c r="K35" s="4"/>
      <c r="L35" s="5"/>
      <c r="M35" s="4"/>
      <c r="X35" s="7"/>
      <c r="Y35" s="5"/>
      <c r="Z35" s="5"/>
      <c r="AA35" s="5"/>
      <c r="AB35" s="5"/>
      <c r="AC35" s="4"/>
      <c r="AF35" s="8"/>
    </row>
    <row r="36" customFormat="1" spans="4:32">
      <c r="D36" s="3"/>
      <c r="E36" s="3"/>
      <c r="K36" s="4"/>
      <c r="L36" s="5"/>
      <c r="M36" s="4"/>
      <c r="X36" s="7"/>
      <c r="Y36" s="5"/>
      <c r="Z36" s="5"/>
      <c r="AA36" s="5"/>
      <c r="AB36" s="5"/>
      <c r="AC36" s="4"/>
      <c r="AF36" s="8"/>
    </row>
  </sheetData>
  <autoFilter xmlns:etc="http://www.wps.cn/officeDocument/2017/etCustomData" ref="A3:AF20" etc:filterBottomFollowUsedRange="0">
    <extLst/>
  </autoFilter>
  <mergeCells count="21">
    <mergeCell ref="A1:AF1"/>
    <mergeCell ref="J3:P3"/>
    <mergeCell ref="R3:V3"/>
    <mergeCell ref="Y3:AD3"/>
    <mergeCell ref="A3:A4"/>
    <mergeCell ref="A5:A19"/>
    <mergeCell ref="B3:B4"/>
    <mergeCell ref="B5:B19"/>
    <mergeCell ref="C3:C4"/>
    <mergeCell ref="D3:D4"/>
    <mergeCell ref="E3:E4"/>
    <mergeCell ref="F3:F4"/>
    <mergeCell ref="G3:G4"/>
    <mergeCell ref="H3:H4"/>
    <mergeCell ref="I3:I4"/>
    <mergeCell ref="Q3:Q4"/>
    <mergeCell ref="Q5:Q19"/>
    <mergeCell ref="R5:R19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2"/>
  <sheetViews>
    <sheetView zoomScale="110" zoomScaleNormal="110" workbookViewId="0">
      <pane xSplit="2" ySplit="4" topLeftCell="S5" activePane="bottomRight" state="frozen"/>
      <selection/>
      <selection pane="topRight"/>
      <selection pane="bottomLeft"/>
      <selection pane="bottomRight" activeCell="AA5" sqref="AA5:AA25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9"/>
      <c r="L1" s="30"/>
      <c r="M1" s="29"/>
      <c r="N1" s="9"/>
      <c r="O1" s="31"/>
      <c r="P1" s="9"/>
      <c r="Q1" s="9"/>
      <c r="R1" s="9"/>
      <c r="S1" s="9"/>
      <c r="T1" s="57"/>
      <c r="U1" s="57"/>
      <c r="V1" s="58"/>
      <c r="W1" s="57"/>
      <c r="X1" s="59"/>
      <c r="Y1" s="30"/>
      <c r="Z1" s="30"/>
      <c r="AA1" s="30"/>
      <c r="AB1" s="30"/>
      <c r="AC1" s="29"/>
      <c r="AD1" s="30"/>
      <c r="AE1" s="9"/>
      <c r="AF1" s="83"/>
    </row>
    <row r="2" customFormat="1" ht="31" customHeight="1" spans="1:32">
      <c r="A2" s="10" t="s">
        <v>136</v>
      </c>
      <c r="B2" s="10" t="s">
        <v>137</v>
      </c>
      <c r="C2" s="10">
        <v>75.228</v>
      </c>
      <c r="D2" s="9"/>
      <c r="E2" s="9"/>
      <c r="F2" s="9"/>
      <c r="G2" s="9"/>
      <c r="H2" s="9"/>
      <c r="I2" s="9"/>
      <c r="J2" s="9"/>
      <c r="K2" s="29"/>
      <c r="L2" s="30"/>
      <c r="M2" s="29"/>
      <c r="N2" s="9"/>
      <c r="O2" s="31"/>
      <c r="P2" s="9"/>
      <c r="Q2" s="9"/>
      <c r="R2" s="9"/>
      <c r="S2" s="9"/>
      <c r="T2" s="57"/>
      <c r="U2" s="57"/>
      <c r="V2" s="58"/>
      <c r="W2" s="57"/>
      <c r="X2" s="59"/>
      <c r="Y2" s="30"/>
      <c r="Z2" s="30"/>
      <c r="AA2" s="30"/>
      <c r="AB2" s="30"/>
      <c r="AC2" s="29"/>
      <c r="AD2" s="30"/>
      <c r="AE2" s="9"/>
      <c r="AF2" s="9"/>
    </row>
    <row r="3" s="1" customFormat="1" ht="23" customHeight="1" spans="1:32">
      <c r="A3" s="11" t="s">
        <v>1</v>
      </c>
      <c r="B3" s="12" t="s">
        <v>2</v>
      </c>
      <c r="C3" s="13" t="s">
        <v>21</v>
      </c>
      <c r="D3" s="14" t="s">
        <v>22</v>
      </c>
      <c r="E3" s="15" t="s">
        <v>23</v>
      </c>
      <c r="F3" s="16" t="s">
        <v>24</v>
      </c>
      <c r="G3" s="16" t="s">
        <v>25</v>
      </c>
      <c r="H3" s="16" t="s">
        <v>26</v>
      </c>
      <c r="I3" s="16" t="s">
        <v>27</v>
      </c>
      <c r="J3" s="32" t="s">
        <v>28</v>
      </c>
      <c r="K3" s="33"/>
      <c r="L3" s="34"/>
      <c r="M3" s="33"/>
      <c r="N3" s="34"/>
      <c r="O3" s="35"/>
      <c r="P3" s="36"/>
      <c r="Q3" s="60" t="s">
        <v>29</v>
      </c>
      <c r="R3" s="61" t="s">
        <v>30</v>
      </c>
      <c r="S3" s="62"/>
      <c r="T3" s="63"/>
      <c r="U3" s="64"/>
      <c r="V3" s="65"/>
      <c r="W3" s="66" t="s">
        <v>31</v>
      </c>
      <c r="X3" s="67" t="s">
        <v>32</v>
      </c>
      <c r="Y3" s="84" t="s">
        <v>33</v>
      </c>
      <c r="Z3" s="84"/>
      <c r="AA3" s="84"/>
      <c r="AB3" s="84"/>
      <c r="AC3" s="85"/>
      <c r="AD3" s="84"/>
      <c r="AE3" s="86" t="s">
        <v>34</v>
      </c>
      <c r="AF3" s="87" t="s">
        <v>3</v>
      </c>
    </row>
    <row r="4" s="1" customFormat="1" ht="27" customHeight="1" spans="1:32">
      <c r="A4" s="17"/>
      <c r="B4" s="18"/>
      <c r="C4" s="13"/>
      <c r="D4" s="14"/>
      <c r="E4" s="19"/>
      <c r="F4" s="20"/>
      <c r="G4" s="20"/>
      <c r="H4" s="20"/>
      <c r="I4" s="37"/>
      <c r="J4" s="38" t="s">
        <v>35</v>
      </c>
      <c r="K4" s="39" t="s">
        <v>36</v>
      </c>
      <c r="L4" s="40" t="s">
        <v>37</v>
      </c>
      <c r="M4" s="39" t="s">
        <v>38</v>
      </c>
      <c r="N4" s="41" t="s">
        <v>39</v>
      </c>
      <c r="O4" s="42" t="s">
        <v>40</v>
      </c>
      <c r="P4" s="43" t="s">
        <v>41</v>
      </c>
      <c r="Q4" s="68"/>
      <c r="R4" s="69" t="s">
        <v>42</v>
      </c>
      <c r="S4" s="70" t="s">
        <v>43</v>
      </c>
      <c r="T4" s="71" t="s">
        <v>44</v>
      </c>
      <c r="U4" s="72" t="s">
        <v>45</v>
      </c>
      <c r="V4" s="71" t="s">
        <v>46</v>
      </c>
      <c r="W4" s="73"/>
      <c r="X4" s="74"/>
      <c r="Y4" s="88" t="s">
        <v>47</v>
      </c>
      <c r="Z4" s="88" t="s">
        <v>48</v>
      </c>
      <c r="AA4" s="88" t="s">
        <v>49</v>
      </c>
      <c r="AB4" s="89" t="s">
        <v>50</v>
      </c>
      <c r="AC4" s="90" t="s">
        <v>51</v>
      </c>
      <c r="AD4" s="91" t="s">
        <v>41</v>
      </c>
      <c r="AE4" s="92" t="s">
        <v>52</v>
      </c>
      <c r="AF4" s="93"/>
    </row>
    <row r="5" s="2" customFormat="1" spans="1:32">
      <c r="A5" s="21" t="s">
        <v>18</v>
      </c>
      <c r="B5" s="22" t="s">
        <v>19</v>
      </c>
      <c r="C5" s="23">
        <v>241116000004</v>
      </c>
      <c r="D5" s="24">
        <v>45623</v>
      </c>
      <c r="E5" s="24" t="s">
        <v>57</v>
      </c>
      <c r="F5" s="22" t="s">
        <v>58</v>
      </c>
      <c r="G5" s="22" t="s">
        <v>122</v>
      </c>
      <c r="H5" s="25">
        <v>0.076</v>
      </c>
      <c r="I5" s="25">
        <v>13</v>
      </c>
      <c r="J5" s="44">
        <v>250</v>
      </c>
      <c r="K5" s="45"/>
      <c r="L5" s="46"/>
      <c r="M5" s="47"/>
      <c r="N5" s="48"/>
      <c r="O5" s="49"/>
      <c r="P5" s="50">
        <f>SUBTOTAL(9,J5)</f>
        <v>250</v>
      </c>
      <c r="Q5" s="75">
        <f>SUM(P5:P25)</f>
        <v>157301.5148756</v>
      </c>
      <c r="R5" s="76" t="s">
        <v>134</v>
      </c>
      <c r="S5" s="77">
        <f>SUM(47033.65/68)*H5</f>
        <v>52.5670205882353</v>
      </c>
      <c r="T5" s="77"/>
      <c r="U5" s="77">
        <f>SUM(1900/68)*H5</f>
        <v>2.12352941176471</v>
      </c>
      <c r="V5" s="77"/>
      <c r="W5" s="77"/>
      <c r="X5" s="77">
        <f t="shared" ref="X5:X13" si="0">SUM(S5:W5)</f>
        <v>54.69055</v>
      </c>
      <c r="Y5" s="94">
        <f>SUM(11081/68)*H5</f>
        <v>12.3846470588235</v>
      </c>
      <c r="Z5" s="95">
        <v>59.52</v>
      </c>
      <c r="AA5" s="94">
        <f>SUM(53.57/68)*H5</f>
        <v>0.0598723529411765</v>
      </c>
      <c r="AB5" s="94">
        <f t="shared" ref="AB5:AB13" si="1">SUM(Y5:AA5)</f>
        <v>71.9645194117647</v>
      </c>
      <c r="AC5" s="45">
        <v>7.3</v>
      </c>
      <c r="AD5" s="77">
        <f t="shared" ref="AD5:AD13" si="2">SUM(AB5*AC5)</f>
        <v>525.340991705882</v>
      </c>
      <c r="AE5" s="77">
        <f t="shared" ref="AE5:AE13" si="3">SUM(X5+AD5)</f>
        <v>580.031541705882</v>
      </c>
      <c r="AF5" s="77">
        <f t="shared" ref="AF5:AF13" si="4">SUM(P5-AE5)</f>
        <v>-330.031541705882</v>
      </c>
    </row>
    <row r="6" s="2" customFormat="1" spans="1:32">
      <c r="A6" s="21"/>
      <c r="B6" s="22"/>
      <c r="C6" s="23">
        <v>241118000058</v>
      </c>
      <c r="D6" s="24">
        <v>45623</v>
      </c>
      <c r="E6" s="24" t="s">
        <v>94</v>
      </c>
      <c r="F6" s="22" t="s">
        <v>95</v>
      </c>
      <c r="G6" s="22" t="s">
        <v>119</v>
      </c>
      <c r="H6" s="25">
        <v>0.5167</v>
      </c>
      <c r="I6" s="25">
        <v>71</v>
      </c>
      <c r="J6" s="50"/>
      <c r="K6" s="51">
        <v>214362.48</v>
      </c>
      <c r="L6" s="46"/>
      <c r="M6" s="47">
        <f t="shared" ref="M6:M11" si="5">SUM(K6/N6)</f>
        <v>1608</v>
      </c>
      <c r="N6" s="52">
        <v>133.31</v>
      </c>
      <c r="O6" s="49">
        <v>7.3</v>
      </c>
      <c r="P6" s="50">
        <f t="shared" ref="P6:P11" si="6">SUM(N6*O6)</f>
        <v>973.163</v>
      </c>
      <c r="Q6" s="78"/>
      <c r="R6" s="78"/>
      <c r="S6" s="77">
        <f t="shared" ref="S6:S25" si="7">SUM(47033.65/68)*H6</f>
        <v>357.386572867647</v>
      </c>
      <c r="T6" s="77"/>
      <c r="U6" s="77">
        <f t="shared" ref="U6:U25" si="8">SUM(1900/68)*H6</f>
        <v>14.4372058823529</v>
      </c>
      <c r="V6" s="77"/>
      <c r="W6" s="77"/>
      <c r="X6" s="77">
        <f t="shared" si="0"/>
        <v>371.82377875</v>
      </c>
      <c r="Y6" s="94">
        <f t="shared" ref="Y6:Y25" si="9">SUM(11081/68)*H6</f>
        <v>84.1993044117647</v>
      </c>
      <c r="Z6" s="94"/>
      <c r="AA6" s="94">
        <f t="shared" ref="AA6:AA25" si="10">SUM(53.57/68)*H6</f>
        <v>0.407053220588235</v>
      </c>
      <c r="AB6" s="94">
        <f t="shared" si="1"/>
        <v>84.606357632353</v>
      </c>
      <c r="AC6" s="45">
        <v>7.3</v>
      </c>
      <c r="AD6" s="77">
        <f t="shared" si="2"/>
        <v>617.626410716177</v>
      </c>
      <c r="AE6" s="77">
        <f t="shared" si="3"/>
        <v>989.450189466177</v>
      </c>
      <c r="AF6" s="77">
        <f t="shared" si="4"/>
        <v>-16.2871894661766</v>
      </c>
    </row>
    <row r="7" s="2" customFormat="1" spans="1:32">
      <c r="A7" s="21"/>
      <c r="B7" s="22"/>
      <c r="C7" s="23">
        <v>241118000059</v>
      </c>
      <c r="D7" s="24">
        <v>45623</v>
      </c>
      <c r="E7" s="24" t="s">
        <v>94</v>
      </c>
      <c r="F7" s="22" t="s">
        <v>95</v>
      </c>
      <c r="G7" s="22" t="s">
        <v>119</v>
      </c>
      <c r="H7" s="25">
        <v>0.8256</v>
      </c>
      <c r="I7" s="25">
        <v>31</v>
      </c>
      <c r="J7" s="50"/>
      <c r="K7" s="51">
        <v>342504</v>
      </c>
      <c r="L7" s="46"/>
      <c r="M7" s="47">
        <f t="shared" si="5"/>
        <v>1608</v>
      </c>
      <c r="N7" s="52">
        <v>213</v>
      </c>
      <c r="O7" s="49">
        <v>7.3</v>
      </c>
      <c r="P7" s="50">
        <f t="shared" si="6"/>
        <v>1554.9</v>
      </c>
      <c r="Q7" s="78"/>
      <c r="R7" s="78"/>
      <c r="S7" s="77">
        <f t="shared" si="7"/>
        <v>571.043844705882</v>
      </c>
      <c r="T7" s="77"/>
      <c r="U7" s="77">
        <f t="shared" si="8"/>
        <v>23.0682352941176</v>
      </c>
      <c r="V7" s="77"/>
      <c r="W7" s="77"/>
      <c r="X7" s="77">
        <f t="shared" si="0"/>
        <v>594.11208</v>
      </c>
      <c r="Y7" s="94">
        <f t="shared" si="9"/>
        <v>134.536376470588</v>
      </c>
      <c r="Z7" s="94"/>
      <c r="AA7" s="94">
        <f t="shared" si="10"/>
        <v>0.650402823529412</v>
      </c>
      <c r="AB7" s="94">
        <f t="shared" si="1"/>
        <v>135.186779294118</v>
      </c>
      <c r="AC7" s="45">
        <v>7.3</v>
      </c>
      <c r="AD7" s="77">
        <f t="shared" si="2"/>
        <v>986.863488847059</v>
      </c>
      <c r="AE7" s="77">
        <f t="shared" si="3"/>
        <v>1580.97556884706</v>
      </c>
      <c r="AF7" s="77">
        <f t="shared" si="4"/>
        <v>-26.075568847059</v>
      </c>
    </row>
    <row r="8" s="2" customFormat="1" spans="1:32">
      <c r="A8" s="21"/>
      <c r="B8" s="22"/>
      <c r="C8" s="23">
        <v>241118000060</v>
      </c>
      <c r="D8" s="24">
        <v>45623</v>
      </c>
      <c r="E8" s="24" t="s">
        <v>94</v>
      </c>
      <c r="F8" s="22" t="s">
        <v>95</v>
      </c>
      <c r="G8" s="22" t="s">
        <v>119</v>
      </c>
      <c r="H8" s="25">
        <v>0.132</v>
      </c>
      <c r="I8" s="25">
        <v>50</v>
      </c>
      <c r="J8" s="50"/>
      <c r="K8" s="51">
        <v>54768.48</v>
      </c>
      <c r="L8" s="46"/>
      <c r="M8" s="47">
        <f t="shared" si="5"/>
        <v>1608</v>
      </c>
      <c r="N8" s="52">
        <v>34.06</v>
      </c>
      <c r="O8" s="49">
        <v>7.3</v>
      </c>
      <c r="P8" s="50">
        <f t="shared" si="6"/>
        <v>248.638</v>
      </c>
      <c r="Q8" s="78"/>
      <c r="R8" s="78"/>
      <c r="S8" s="77">
        <f t="shared" si="7"/>
        <v>91.3006147058824</v>
      </c>
      <c r="T8" s="77"/>
      <c r="U8" s="77">
        <f t="shared" si="8"/>
        <v>3.68823529411765</v>
      </c>
      <c r="V8" s="77"/>
      <c r="W8" s="77"/>
      <c r="X8" s="77">
        <f t="shared" si="0"/>
        <v>94.98885</v>
      </c>
      <c r="Y8" s="94">
        <f t="shared" si="9"/>
        <v>21.5101764705882</v>
      </c>
      <c r="Z8" s="94"/>
      <c r="AA8" s="94">
        <f t="shared" si="10"/>
        <v>0.103988823529412</v>
      </c>
      <c r="AB8" s="94">
        <f t="shared" si="1"/>
        <v>21.6141652941177</v>
      </c>
      <c r="AC8" s="45">
        <v>7.3</v>
      </c>
      <c r="AD8" s="77">
        <f t="shared" si="2"/>
        <v>157.783406647059</v>
      </c>
      <c r="AE8" s="77">
        <f t="shared" si="3"/>
        <v>252.772256647059</v>
      </c>
      <c r="AF8" s="77">
        <f t="shared" si="4"/>
        <v>-4.13425664705883</v>
      </c>
    </row>
    <row r="9" s="2" customFormat="1" spans="1:32">
      <c r="A9" s="21"/>
      <c r="B9" s="22"/>
      <c r="C9" s="23">
        <v>241118000065</v>
      </c>
      <c r="D9" s="24">
        <v>45623</v>
      </c>
      <c r="E9" s="24" t="s">
        <v>94</v>
      </c>
      <c r="F9" s="22" t="s">
        <v>95</v>
      </c>
      <c r="G9" s="22" t="s">
        <v>119</v>
      </c>
      <c r="H9" s="25">
        <v>1.2613</v>
      </c>
      <c r="I9" s="25">
        <v>266</v>
      </c>
      <c r="J9" s="50"/>
      <c r="K9" s="51">
        <v>523146.72</v>
      </c>
      <c r="L9" s="46"/>
      <c r="M9" s="47">
        <f t="shared" si="5"/>
        <v>1608</v>
      </c>
      <c r="N9" s="52">
        <v>325.34</v>
      </c>
      <c r="O9" s="49">
        <v>7.3</v>
      </c>
      <c r="P9" s="50">
        <f t="shared" si="6"/>
        <v>2374.982</v>
      </c>
      <c r="Q9" s="78"/>
      <c r="R9" s="78"/>
      <c r="S9" s="77">
        <f t="shared" si="7"/>
        <v>872.405040367647</v>
      </c>
      <c r="T9" s="77"/>
      <c r="U9" s="77">
        <f t="shared" si="8"/>
        <v>35.2422058823529</v>
      </c>
      <c r="V9" s="77"/>
      <c r="W9" s="77"/>
      <c r="X9" s="77">
        <f t="shared" si="0"/>
        <v>907.64724625</v>
      </c>
      <c r="Y9" s="94">
        <f t="shared" si="9"/>
        <v>205.536254411765</v>
      </c>
      <c r="Z9" s="94"/>
      <c r="AA9" s="94">
        <f t="shared" si="10"/>
        <v>0.993644720588235</v>
      </c>
      <c r="AB9" s="94">
        <f t="shared" si="1"/>
        <v>206.529899132353</v>
      </c>
      <c r="AC9" s="45">
        <v>7.3</v>
      </c>
      <c r="AD9" s="77">
        <f t="shared" si="2"/>
        <v>1507.66826366618</v>
      </c>
      <c r="AE9" s="77">
        <f t="shared" si="3"/>
        <v>2415.31550991618</v>
      </c>
      <c r="AF9" s="77">
        <f t="shared" si="4"/>
        <v>-40.3335099161768</v>
      </c>
    </row>
    <row r="10" s="2" customFormat="1" spans="1:32">
      <c r="A10" s="21"/>
      <c r="B10" s="22"/>
      <c r="C10" s="23">
        <v>241118000067</v>
      </c>
      <c r="D10" s="24">
        <v>45623</v>
      </c>
      <c r="E10" s="24" t="s">
        <v>94</v>
      </c>
      <c r="F10" s="22" t="s">
        <v>95</v>
      </c>
      <c r="G10" s="22" t="s">
        <v>119</v>
      </c>
      <c r="H10" s="25">
        <v>0.2938</v>
      </c>
      <c r="I10" s="25">
        <v>56</v>
      </c>
      <c r="J10" s="50"/>
      <c r="K10" s="51">
        <v>121886.4</v>
      </c>
      <c r="L10" s="46"/>
      <c r="M10" s="47">
        <f t="shared" si="5"/>
        <v>1608</v>
      </c>
      <c r="N10" s="52">
        <v>75.8</v>
      </c>
      <c r="O10" s="49">
        <v>7.3</v>
      </c>
      <c r="P10" s="50">
        <f t="shared" si="6"/>
        <v>553.34</v>
      </c>
      <c r="Q10" s="78"/>
      <c r="R10" s="78"/>
      <c r="S10" s="77">
        <f t="shared" si="7"/>
        <v>203.213034852941</v>
      </c>
      <c r="T10" s="77"/>
      <c r="U10" s="77">
        <f t="shared" si="8"/>
        <v>8.20911764705882</v>
      </c>
      <c r="V10" s="77"/>
      <c r="W10" s="77"/>
      <c r="X10" s="77">
        <f t="shared" si="0"/>
        <v>211.4221525</v>
      </c>
      <c r="Y10" s="94">
        <f t="shared" si="9"/>
        <v>47.8764382352941</v>
      </c>
      <c r="Z10" s="94"/>
      <c r="AA10" s="94">
        <f t="shared" si="10"/>
        <v>0.231453911764706</v>
      </c>
      <c r="AB10" s="94">
        <f t="shared" si="1"/>
        <v>48.1078921470588</v>
      </c>
      <c r="AC10" s="45">
        <v>7.3</v>
      </c>
      <c r="AD10" s="77">
        <f t="shared" si="2"/>
        <v>351.187612673529</v>
      </c>
      <c r="AE10" s="77">
        <f t="shared" si="3"/>
        <v>562.609765173529</v>
      </c>
      <c r="AF10" s="77">
        <f t="shared" si="4"/>
        <v>-9.26976517352944</v>
      </c>
    </row>
    <row r="11" s="2" customFormat="1" spans="1:32">
      <c r="A11" s="21"/>
      <c r="B11" s="22"/>
      <c r="C11" s="23">
        <v>241127000014</v>
      </c>
      <c r="D11" s="24">
        <v>45623</v>
      </c>
      <c r="E11" s="24" t="s">
        <v>94</v>
      </c>
      <c r="F11" s="22" t="s">
        <v>95</v>
      </c>
      <c r="G11" s="22" t="s">
        <v>119</v>
      </c>
      <c r="H11" s="25">
        <v>0.8732</v>
      </c>
      <c r="I11" s="25">
        <v>115</v>
      </c>
      <c r="J11" s="50"/>
      <c r="K11" s="51">
        <v>362266.32</v>
      </c>
      <c r="L11" s="46"/>
      <c r="M11" s="47">
        <f t="shared" si="5"/>
        <v>1608</v>
      </c>
      <c r="N11" s="52">
        <v>225.29</v>
      </c>
      <c r="O11" s="49">
        <v>7.3</v>
      </c>
      <c r="P11" s="50">
        <f t="shared" si="6"/>
        <v>1644.617</v>
      </c>
      <c r="Q11" s="78"/>
      <c r="R11" s="78"/>
      <c r="S11" s="77">
        <f t="shared" si="7"/>
        <v>603.967399705882</v>
      </c>
      <c r="T11" s="77"/>
      <c r="U11" s="77">
        <f t="shared" si="8"/>
        <v>24.3982352941176</v>
      </c>
      <c r="V11" s="77"/>
      <c r="W11" s="77"/>
      <c r="X11" s="77">
        <f t="shared" si="0"/>
        <v>628.365635</v>
      </c>
      <c r="Y11" s="94">
        <f t="shared" si="9"/>
        <v>142.293076470588</v>
      </c>
      <c r="Z11" s="94"/>
      <c r="AA11" s="94">
        <f t="shared" si="10"/>
        <v>0.687901823529412</v>
      </c>
      <c r="AB11" s="94">
        <f t="shared" si="1"/>
        <v>142.980978294118</v>
      </c>
      <c r="AC11" s="45">
        <v>7.3</v>
      </c>
      <c r="AD11" s="77">
        <f t="shared" si="2"/>
        <v>1043.76114154706</v>
      </c>
      <c r="AE11" s="77">
        <f t="shared" si="3"/>
        <v>1672.12677654706</v>
      </c>
      <c r="AF11" s="77">
        <f t="shared" si="4"/>
        <v>-27.5097765470589</v>
      </c>
    </row>
    <row r="12" s="2" customFormat="1" spans="1:32">
      <c r="A12" s="21"/>
      <c r="B12" s="22"/>
      <c r="C12" s="23">
        <v>241119000012</v>
      </c>
      <c r="D12" s="24">
        <v>45623</v>
      </c>
      <c r="E12" s="24" t="s">
        <v>64</v>
      </c>
      <c r="F12" s="22" t="s">
        <v>65</v>
      </c>
      <c r="G12" s="22" t="s">
        <v>72</v>
      </c>
      <c r="H12" s="25">
        <v>0.9901</v>
      </c>
      <c r="I12" s="25">
        <v>222</v>
      </c>
      <c r="J12" s="44">
        <v>2046.8</v>
      </c>
      <c r="K12" s="45"/>
      <c r="L12" s="46"/>
      <c r="M12" s="47"/>
      <c r="N12" s="48"/>
      <c r="O12" s="49"/>
      <c r="P12" s="50">
        <f t="shared" ref="P12:P16" si="11">SUBTOTAL(9,J12)</f>
        <v>2046.8</v>
      </c>
      <c r="Q12" s="78"/>
      <c r="R12" s="78"/>
      <c r="S12" s="77">
        <f t="shared" si="7"/>
        <v>684.823777426471</v>
      </c>
      <c r="T12" s="77"/>
      <c r="U12" s="77">
        <f t="shared" si="8"/>
        <v>27.6645588235294</v>
      </c>
      <c r="V12" s="77"/>
      <c r="W12" s="77"/>
      <c r="X12" s="77">
        <f t="shared" si="0"/>
        <v>712.48833625</v>
      </c>
      <c r="Y12" s="94">
        <f t="shared" si="9"/>
        <v>161.342619117647</v>
      </c>
      <c r="Z12" s="94"/>
      <c r="AA12" s="94">
        <f t="shared" si="10"/>
        <v>0.779994955882353</v>
      </c>
      <c r="AB12" s="94">
        <f t="shared" si="1"/>
        <v>162.122614073529</v>
      </c>
      <c r="AC12" s="45">
        <v>7.3</v>
      </c>
      <c r="AD12" s="77">
        <f t="shared" si="2"/>
        <v>1183.49508273676</v>
      </c>
      <c r="AE12" s="77">
        <f t="shared" si="3"/>
        <v>1895.98341898676</v>
      </c>
      <c r="AF12" s="77">
        <f t="shared" si="4"/>
        <v>150.816581013235</v>
      </c>
    </row>
    <row r="13" s="2" customFormat="1" spans="1:32">
      <c r="A13" s="21"/>
      <c r="B13" s="22"/>
      <c r="C13" s="23">
        <v>241119000021</v>
      </c>
      <c r="D13" s="24">
        <v>45623</v>
      </c>
      <c r="E13" s="24" t="s">
        <v>94</v>
      </c>
      <c r="F13" s="22" t="s">
        <v>95</v>
      </c>
      <c r="G13" s="22" t="s">
        <v>119</v>
      </c>
      <c r="H13" s="25">
        <v>1.3774</v>
      </c>
      <c r="I13" s="25">
        <v>231</v>
      </c>
      <c r="J13" s="50"/>
      <c r="K13" s="51">
        <v>571274.16</v>
      </c>
      <c r="L13" s="46"/>
      <c r="M13" s="47">
        <f>SUM(K13/N13)</f>
        <v>1608</v>
      </c>
      <c r="N13" s="52">
        <v>355.27</v>
      </c>
      <c r="O13" s="49">
        <v>7.3</v>
      </c>
      <c r="P13" s="50">
        <f>SUM(N13*O13)</f>
        <v>2593.471</v>
      </c>
      <c r="Q13" s="78"/>
      <c r="R13" s="78"/>
      <c r="S13" s="77">
        <f t="shared" si="7"/>
        <v>952.708081029412</v>
      </c>
      <c r="T13" s="77"/>
      <c r="U13" s="77">
        <f t="shared" si="8"/>
        <v>38.4861764705882</v>
      </c>
      <c r="V13" s="77"/>
      <c r="W13" s="77"/>
      <c r="X13" s="77">
        <f t="shared" si="0"/>
        <v>991.1942575</v>
      </c>
      <c r="Y13" s="94">
        <f t="shared" si="9"/>
        <v>224.455432352941</v>
      </c>
      <c r="Z13" s="94"/>
      <c r="AA13" s="94">
        <f t="shared" si="10"/>
        <v>1.08510761764706</v>
      </c>
      <c r="AB13" s="94">
        <f t="shared" si="1"/>
        <v>225.540539970588</v>
      </c>
      <c r="AC13" s="45">
        <v>7.3</v>
      </c>
      <c r="AD13" s="77">
        <f t="shared" si="2"/>
        <v>1646.44594178529</v>
      </c>
      <c r="AE13" s="77">
        <f t="shared" si="3"/>
        <v>2637.64019928529</v>
      </c>
      <c r="AF13" s="77">
        <f t="shared" si="4"/>
        <v>-44.1691992852943</v>
      </c>
    </row>
    <row r="14" s="2" customFormat="1" spans="1:32">
      <c r="A14" s="21"/>
      <c r="B14" s="22"/>
      <c r="C14" s="23">
        <v>241119000027</v>
      </c>
      <c r="D14" s="24">
        <v>45623</v>
      </c>
      <c r="E14" s="24" t="s">
        <v>57</v>
      </c>
      <c r="F14" s="22" t="s">
        <v>58</v>
      </c>
      <c r="G14" s="22" t="s">
        <v>108</v>
      </c>
      <c r="H14" s="25">
        <v>0.0148</v>
      </c>
      <c r="I14" s="25">
        <v>6</v>
      </c>
      <c r="J14" s="44">
        <v>220</v>
      </c>
      <c r="K14" s="45"/>
      <c r="L14" s="46"/>
      <c r="M14" s="47"/>
      <c r="N14" s="48"/>
      <c r="O14" s="49"/>
      <c r="P14" s="50">
        <f t="shared" si="11"/>
        <v>220</v>
      </c>
      <c r="Q14" s="78"/>
      <c r="R14" s="78"/>
      <c r="S14" s="77">
        <f t="shared" si="7"/>
        <v>10.2367355882353</v>
      </c>
      <c r="T14" s="77"/>
      <c r="U14" s="77">
        <f t="shared" si="8"/>
        <v>0.413529411764706</v>
      </c>
      <c r="V14" s="77"/>
      <c r="W14" s="77"/>
      <c r="X14" s="77">
        <f t="shared" ref="X14:X25" si="12">SUM(S14:W14)</f>
        <v>10.650265</v>
      </c>
      <c r="Y14" s="94">
        <f t="shared" si="9"/>
        <v>2.41174705882353</v>
      </c>
      <c r="Z14" s="94"/>
      <c r="AA14" s="94">
        <f t="shared" si="10"/>
        <v>0.0116593529411765</v>
      </c>
      <c r="AB14" s="94">
        <f t="shared" ref="AB14:AB25" si="13">SUM(Y14:AA14)</f>
        <v>2.42340641176471</v>
      </c>
      <c r="AC14" s="45">
        <v>7.3</v>
      </c>
      <c r="AD14" s="77">
        <f t="shared" ref="AD14:AD25" si="14">SUM(AB14*AC14)</f>
        <v>17.6908668058824</v>
      </c>
      <c r="AE14" s="77">
        <f t="shared" ref="AE14:AE25" si="15">SUM(X14+AD14)</f>
        <v>28.3411318058824</v>
      </c>
      <c r="AF14" s="77">
        <f t="shared" ref="AF14:AF25" si="16">SUM(P14-AE14)</f>
        <v>191.658868194118</v>
      </c>
    </row>
    <row r="15" s="2" customFormat="1" spans="1:32">
      <c r="A15" s="21"/>
      <c r="B15" s="22"/>
      <c r="C15" s="23">
        <v>241120000029</v>
      </c>
      <c r="D15" s="24">
        <v>45623</v>
      </c>
      <c r="E15" s="24" t="s">
        <v>70</v>
      </c>
      <c r="F15" s="22" t="s">
        <v>70</v>
      </c>
      <c r="G15" s="22" t="s">
        <v>80</v>
      </c>
      <c r="H15" s="25">
        <v>1.1485</v>
      </c>
      <c r="I15" s="25">
        <v>243</v>
      </c>
      <c r="J15" s="44">
        <v>4092.46</v>
      </c>
      <c r="K15" s="45"/>
      <c r="L15" s="46"/>
      <c r="M15" s="47"/>
      <c r="N15" s="48"/>
      <c r="O15" s="49"/>
      <c r="P15" s="50">
        <f t="shared" si="11"/>
        <v>4092.46</v>
      </c>
      <c r="Q15" s="78"/>
      <c r="R15" s="78"/>
      <c r="S15" s="77">
        <f t="shared" si="7"/>
        <v>794.384515073529</v>
      </c>
      <c r="T15" s="77"/>
      <c r="U15" s="77">
        <f t="shared" si="8"/>
        <v>32.0904411764706</v>
      </c>
      <c r="V15" s="79">
        <v>230</v>
      </c>
      <c r="W15" s="79">
        <v>408</v>
      </c>
      <c r="X15" s="77">
        <f t="shared" si="12"/>
        <v>1464.47495625</v>
      </c>
      <c r="Y15" s="94">
        <f t="shared" si="9"/>
        <v>187.154830882353</v>
      </c>
      <c r="Z15" s="95">
        <v>67.46</v>
      </c>
      <c r="AA15" s="94">
        <f t="shared" si="10"/>
        <v>0.904781544117647</v>
      </c>
      <c r="AB15" s="94">
        <f t="shared" si="13"/>
        <v>255.519612426471</v>
      </c>
      <c r="AC15" s="45">
        <v>7.3</v>
      </c>
      <c r="AD15" s="77">
        <f t="shared" si="14"/>
        <v>1865.29317071324</v>
      </c>
      <c r="AE15" s="77">
        <f t="shared" si="15"/>
        <v>3329.76812696324</v>
      </c>
      <c r="AF15" s="77">
        <f t="shared" si="16"/>
        <v>762.691873036764</v>
      </c>
    </row>
    <row r="16" s="2" customFormat="1" spans="1:32">
      <c r="A16" s="21"/>
      <c r="B16" s="22"/>
      <c r="C16" s="23">
        <v>241121000012</v>
      </c>
      <c r="D16" s="24">
        <v>45623</v>
      </c>
      <c r="E16" s="24" t="s">
        <v>70</v>
      </c>
      <c r="F16" s="22" t="s">
        <v>70</v>
      </c>
      <c r="G16" s="22" t="s">
        <v>135</v>
      </c>
      <c r="H16" s="25">
        <v>21.5631</v>
      </c>
      <c r="I16" s="25">
        <v>10414</v>
      </c>
      <c r="J16" s="44">
        <v>62286</v>
      </c>
      <c r="K16" s="45"/>
      <c r="L16" s="46"/>
      <c r="M16" s="47"/>
      <c r="N16" s="48"/>
      <c r="O16" s="49"/>
      <c r="P16" s="50">
        <f t="shared" si="11"/>
        <v>62286</v>
      </c>
      <c r="Q16" s="78"/>
      <c r="R16" s="78"/>
      <c r="S16" s="77">
        <f t="shared" si="7"/>
        <v>14914.5779163971</v>
      </c>
      <c r="T16" s="77"/>
      <c r="U16" s="77">
        <f t="shared" si="8"/>
        <v>602.498382352941</v>
      </c>
      <c r="V16" s="79">
        <v>800</v>
      </c>
      <c r="W16" s="80"/>
      <c r="X16" s="77">
        <f t="shared" si="12"/>
        <v>16317.07629875</v>
      </c>
      <c r="Y16" s="94">
        <f t="shared" si="9"/>
        <v>3513.83398676471</v>
      </c>
      <c r="Z16" s="95">
        <v>902.53</v>
      </c>
      <c r="AA16" s="94">
        <f t="shared" si="10"/>
        <v>16.9872833382353</v>
      </c>
      <c r="AB16" s="94">
        <f t="shared" si="13"/>
        <v>4433.35127010294</v>
      </c>
      <c r="AC16" s="45">
        <v>7.3</v>
      </c>
      <c r="AD16" s="77">
        <f t="shared" si="14"/>
        <v>32363.4642717515</v>
      </c>
      <c r="AE16" s="77">
        <f t="shared" si="15"/>
        <v>48680.5405705015</v>
      </c>
      <c r="AF16" s="77">
        <f t="shared" si="16"/>
        <v>13605.4594294985</v>
      </c>
    </row>
    <row r="17" s="2" customFormat="1" spans="1:32">
      <c r="A17" s="21"/>
      <c r="B17" s="22"/>
      <c r="C17" s="23">
        <v>241121000016</v>
      </c>
      <c r="D17" s="24">
        <v>45623</v>
      </c>
      <c r="E17" s="24" t="s">
        <v>53</v>
      </c>
      <c r="F17" s="22" t="s">
        <v>54</v>
      </c>
      <c r="G17" s="22" t="s">
        <v>55</v>
      </c>
      <c r="H17" s="25">
        <v>2.2928</v>
      </c>
      <c r="I17" s="25">
        <v>1066</v>
      </c>
      <c r="J17" s="50"/>
      <c r="K17" s="51">
        <v>1070400</v>
      </c>
      <c r="L17" s="46"/>
      <c r="M17" s="47">
        <f t="shared" ref="M17:M21" si="17">SUM(K17/N17)</f>
        <v>1600</v>
      </c>
      <c r="N17" s="52">
        <v>669</v>
      </c>
      <c r="O17" s="49">
        <v>7.27</v>
      </c>
      <c r="P17" s="50">
        <f t="shared" ref="P17:P21" si="18">SUM(N17*O17)</f>
        <v>4863.63</v>
      </c>
      <c r="Q17" s="78"/>
      <c r="R17" s="78"/>
      <c r="S17" s="77">
        <f t="shared" si="7"/>
        <v>1585.86401058824</v>
      </c>
      <c r="T17" s="77"/>
      <c r="U17" s="77">
        <f t="shared" si="8"/>
        <v>64.0635294117647</v>
      </c>
      <c r="V17" s="77"/>
      <c r="W17" s="80"/>
      <c r="X17" s="77">
        <f t="shared" si="12"/>
        <v>1649.92754</v>
      </c>
      <c r="Y17" s="94">
        <f t="shared" si="9"/>
        <v>373.625247058824</v>
      </c>
      <c r="Z17" s="94"/>
      <c r="AA17" s="94">
        <f t="shared" si="10"/>
        <v>1.80625435294118</v>
      </c>
      <c r="AB17" s="94">
        <f t="shared" si="13"/>
        <v>375.431501411765</v>
      </c>
      <c r="AC17" s="45">
        <v>7.3</v>
      </c>
      <c r="AD17" s="77">
        <f t="shared" si="14"/>
        <v>2740.64996030588</v>
      </c>
      <c r="AE17" s="77">
        <f t="shared" si="15"/>
        <v>4390.57750030588</v>
      </c>
      <c r="AF17" s="77">
        <f t="shared" si="16"/>
        <v>473.052499694118</v>
      </c>
    </row>
    <row r="18" s="2" customFormat="1" spans="1:32">
      <c r="A18" s="21"/>
      <c r="B18" s="22"/>
      <c r="C18" s="23">
        <v>241124000008</v>
      </c>
      <c r="D18" s="24">
        <v>45623</v>
      </c>
      <c r="E18" s="24" t="s">
        <v>64</v>
      </c>
      <c r="F18" s="22" t="s">
        <v>65</v>
      </c>
      <c r="G18" s="22" t="s">
        <v>72</v>
      </c>
      <c r="H18" s="26">
        <v>3.0541</v>
      </c>
      <c r="I18" s="53">
        <v>317</v>
      </c>
      <c r="J18" s="44">
        <v>6242.74</v>
      </c>
      <c r="K18" s="45"/>
      <c r="L18" s="46"/>
      <c r="M18" s="47"/>
      <c r="N18" s="48"/>
      <c r="O18" s="49"/>
      <c r="P18" s="50">
        <f t="shared" ref="P18:P22" si="19">SUBTOTAL(9,J18)</f>
        <v>6242.74</v>
      </c>
      <c r="Q18" s="78"/>
      <c r="R18" s="78"/>
      <c r="S18" s="77">
        <f t="shared" si="7"/>
        <v>2112.43338919118</v>
      </c>
      <c r="T18" s="77"/>
      <c r="U18" s="77">
        <f t="shared" si="8"/>
        <v>85.3351470588235</v>
      </c>
      <c r="V18" s="77"/>
      <c r="W18" s="80"/>
      <c r="X18" s="77">
        <f t="shared" si="12"/>
        <v>2197.76853625</v>
      </c>
      <c r="Y18" s="94">
        <f t="shared" si="9"/>
        <v>497.683560294118</v>
      </c>
      <c r="Z18" s="94"/>
      <c r="AA18" s="94">
        <f t="shared" si="10"/>
        <v>2.40600201470588</v>
      </c>
      <c r="AB18" s="94">
        <f t="shared" si="13"/>
        <v>500.089562308824</v>
      </c>
      <c r="AC18" s="45">
        <v>7.3</v>
      </c>
      <c r="AD18" s="77">
        <f t="shared" si="14"/>
        <v>3650.65380485441</v>
      </c>
      <c r="AE18" s="77">
        <f t="shared" si="15"/>
        <v>5848.42234110441</v>
      </c>
      <c r="AF18" s="77">
        <f t="shared" si="16"/>
        <v>394.317658895588</v>
      </c>
    </row>
    <row r="19" s="2" customFormat="1" spans="1:32">
      <c r="A19" s="21"/>
      <c r="B19" s="22"/>
      <c r="C19" s="23">
        <v>241125000029</v>
      </c>
      <c r="D19" s="24">
        <v>45623</v>
      </c>
      <c r="E19" s="24" t="s">
        <v>86</v>
      </c>
      <c r="F19" s="22" t="s">
        <v>87</v>
      </c>
      <c r="G19" s="22" t="s">
        <v>100</v>
      </c>
      <c r="H19" s="25">
        <v>0.2641</v>
      </c>
      <c r="I19" s="25">
        <v>318</v>
      </c>
      <c r="J19" s="50"/>
      <c r="K19" s="51">
        <v>228967.2</v>
      </c>
      <c r="L19" s="46"/>
      <c r="M19" s="47">
        <f t="shared" si="17"/>
        <v>1680.00024653316</v>
      </c>
      <c r="N19" s="52">
        <v>136.28998</v>
      </c>
      <c r="O19" s="49">
        <v>7.3</v>
      </c>
      <c r="P19" s="50">
        <f t="shared" si="18"/>
        <v>994.916854</v>
      </c>
      <c r="Q19" s="78"/>
      <c r="R19" s="78"/>
      <c r="S19" s="77">
        <f t="shared" si="7"/>
        <v>182.670396544118</v>
      </c>
      <c r="T19" s="77"/>
      <c r="U19" s="77">
        <f t="shared" si="8"/>
        <v>7.37926470588235</v>
      </c>
      <c r="V19" s="77"/>
      <c r="W19" s="80"/>
      <c r="X19" s="77">
        <f t="shared" si="12"/>
        <v>190.04966125</v>
      </c>
      <c r="Y19" s="94">
        <f t="shared" si="9"/>
        <v>43.0366485294118</v>
      </c>
      <c r="Z19" s="94"/>
      <c r="AA19" s="94">
        <f t="shared" si="10"/>
        <v>0.208056426470588</v>
      </c>
      <c r="AB19" s="94">
        <f t="shared" si="13"/>
        <v>43.2447049558824</v>
      </c>
      <c r="AC19" s="45">
        <v>7.3</v>
      </c>
      <c r="AD19" s="77">
        <f t="shared" si="14"/>
        <v>315.686346177941</v>
      </c>
      <c r="AE19" s="77">
        <f t="shared" si="15"/>
        <v>505.736007427941</v>
      </c>
      <c r="AF19" s="77">
        <f t="shared" si="16"/>
        <v>489.180846572059</v>
      </c>
    </row>
    <row r="20" s="2" customFormat="1" spans="1:32">
      <c r="A20" s="21"/>
      <c r="B20" s="22"/>
      <c r="C20" s="23">
        <v>241125000035</v>
      </c>
      <c r="D20" s="24">
        <v>45623</v>
      </c>
      <c r="E20" s="24" t="s">
        <v>64</v>
      </c>
      <c r="F20" s="22" t="s">
        <v>65</v>
      </c>
      <c r="G20" s="22" t="s">
        <v>72</v>
      </c>
      <c r="H20" s="25">
        <v>1.1856</v>
      </c>
      <c r="I20" s="25">
        <v>142</v>
      </c>
      <c r="J20" s="44">
        <v>2595.69</v>
      </c>
      <c r="K20" s="45"/>
      <c r="L20" s="46"/>
      <c r="M20" s="47"/>
      <c r="N20" s="48"/>
      <c r="O20" s="49"/>
      <c r="P20" s="50">
        <f t="shared" si="19"/>
        <v>2595.69</v>
      </c>
      <c r="Q20" s="78"/>
      <c r="R20" s="78"/>
      <c r="S20" s="77">
        <f t="shared" si="7"/>
        <v>820.045521176471</v>
      </c>
      <c r="T20" s="77"/>
      <c r="U20" s="77">
        <f t="shared" si="8"/>
        <v>33.1270588235294</v>
      </c>
      <c r="V20" s="77"/>
      <c r="W20" s="79">
        <v>157.53</v>
      </c>
      <c r="X20" s="77">
        <f t="shared" si="12"/>
        <v>1010.70258</v>
      </c>
      <c r="Y20" s="94">
        <f t="shared" si="9"/>
        <v>193.200494117647</v>
      </c>
      <c r="Z20" s="94"/>
      <c r="AA20" s="94">
        <f t="shared" si="10"/>
        <v>0.934008705882353</v>
      </c>
      <c r="AB20" s="94">
        <f t="shared" si="13"/>
        <v>194.134502823529</v>
      </c>
      <c r="AC20" s="45">
        <v>7.3</v>
      </c>
      <c r="AD20" s="77">
        <f t="shared" si="14"/>
        <v>1417.18187061176</v>
      </c>
      <c r="AE20" s="77">
        <f t="shared" si="15"/>
        <v>2427.88445061176</v>
      </c>
      <c r="AF20" s="77">
        <f t="shared" si="16"/>
        <v>167.805549388235</v>
      </c>
    </row>
    <row r="21" s="2" customFormat="1" spans="1:32">
      <c r="A21" s="21"/>
      <c r="B21" s="22"/>
      <c r="C21" s="23">
        <v>241125000066</v>
      </c>
      <c r="D21" s="24">
        <v>45623</v>
      </c>
      <c r="E21" s="24" t="s">
        <v>116</v>
      </c>
      <c r="F21" s="22" t="s">
        <v>117</v>
      </c>
      <c r="G21" s="22" t="s">
        <v>118</v>
      </c>
      <c r="H21" s="25">
        <v>0.151</v>
      </c>
      <c r="I21" s="25">
        <v>45</v>
      </c>
      <c r="J21" s="50"/>
      <c r="K21" s="51">
        <v>76000</v>
      </c>
      <c r="L21" s="46"/>
      <c r="M21" s="47">
        <f t="shared" si="17"/>
        <v>1677.70408315426</v>
      </c>
      <c r="N21" s="52">
        <v>45.300003</v>
      </c>
      <c r="O21" s="49">
        <v>7.2</v>
      </c>
      <c r="P21" s="50">
        <f t="shared" si="18"/>
        <v>326.1600216</v>
      </c>
      <c r="Q21" s="78"/>
      <c r="R21" s="78"/>
      <c r="S21" s="77">
        <f t="shared" si="7"/>
        <v>104.442369852941</v>
      </c>
      <c r="T21" s="77"/>
      <c r="U21" s="77">
        <f t="shared" si="8"/>
        <v>4.21911764705882</v>
      </c>
      <c r="V21" s="77"/>
      <c r="W21" s="77"/>
      <c r="X21" s="77">
        <f t="shared" si="12"/>
        <v>108.6614875</v>
      </c>
      <c r="Y21" s="94">
        <f t="shared" si="9"/>
        <v>24.6063382352941</v>
      </c>
      <c r="Z21" s="94"/>
      <c r="AA21" s="94">
        <f t="shared" si="10"/>
        <v>0.118956911764706</v>
      </c>
      <c r="AB21" s="94">
        <f t="shared" si="13"/>
        <v>24.7252951470588</v>
      </c>
      <c r="AC21" s="45">
        <v>7.3</v>
      </c>
      <c r="AD21" s="77">
        <f t="shared" si="14"/>
        <v>180.494654573529</v>
      </c>
      <c r="AE21" s="77">
        <f t="shared" si="15"/>
        <v>289.156142073529</v>
      </c>
      <c r="AF21" s="77">
        <f t="shared" si="16"/>
        <v>37.0038795264706</v>
      </c>
    </row>
    <row r="22" s="2" customFormat="1" spans="1:32">
      <c r="A22" s="21"/>
      <c r="B22" s="22"/>
      <c r="C22" s="23">
        <v>241126000027</v>
      </c>
      <c r="D22" s="24">
        <v>45623</v>
      </c>
      <c r="E22" s="24" t="s">
        <v>64</v>
      </c>
      <c r="F22" s="22" t="s">
        <v>65</v>
      </c>
      <c r="G22" s="22" t="s">
        <v>72</v>
      </c>
      <c r="H22" s="25">
        <v>0.4539</v>
      </c>
      <c r="I22" s="25">
        <v>85</v>
      </c>
      <c r="J22" s="44">
        <v>921.06</v>
      </c>
      <c r="K22" s="45"/>
      <c r="L22" s="46"/>
      <c r="M22" s="47"/>
      <c r="N22" s="48"/>
      <c r="O22" s="49"/>
      <c r="P22" s="50">
        <f t="shared" si="19"/>
        <v>921.06</v>
      </c>
      <c r="Q22" s="78"/>
      <c r="R22" s="78"/>
      <c r="S22" s="77">
        <f t="shared" si="7"/>
        <v>313.94961375</v>
      </c>
      <c r="T22" s="77"/>
      <c r="U22" s="77">
        <f t="shared" si="8"/>
        <v>12.6825</v>
      </c>
      <c r="V22" s="77"/>
      <c r="W22" s="77"/>
      <c r="X22" s="77">
        <f t="shared" si="12"/>
        <v>326.63211375</v>
      </c>
      <c r="Y22" s="94">
        <f t="shared" si="9"/>
        <v>73.965675</v>
      </c>
      <c r="Z22" s="94"/>
      <c r="AA22" s="94">
        <f t="shared" si="10"/>
        <v>0.35757975</v>
      </c>
      <c r="AB22" s="94">
        <f t="shared" si="13"/>
        <v>74.32325475</v>
      </c>
      <c r="AC22" s="45">
        <v>7.3</v>
      </c>
      <c r="AD22" s="77">
        <f t="shared" si="14"/>
        <v>542.559759675</v>
      </c>
      <c r="AE22" s="77">
        <f t="shared" si="15"/>
        <v>869.191873425</v>
      </c>
      <c r="AF22" s="77">
        <f t="shared" si="16"/>
        <v>51.8681265749999</v>
      </c>
    </row>
    <row r="23" s="2" customFormat="1" spans="1:32">
      <c r="A23" s="21"/>
      <c r="B23" s="22"/>
      <c r="C23" s="23">
        <v>241127000011</v>
      </c>
      <c r="D23" s="24">
        <v>45623</v>
      </c>
      <c r="E23" s="24" t="s">
        <v>94</v>
      </c>
      <c r="F23" s="22" t="s">
        <v>95</v>
      </c>
      <c r="G23" s="22" t="s">
        <v>119</v>
      </c>
      <c r="H23" s="25">
        <v>2.5492</v>
      </c>
      <c r="I23" s="25">
        <v>684</v>
      </c>
      <c r="J23" s="50"/>
      <c r="K23" s="51">
        <v>1057565.52</v>
      </c>
      <c r="L23" s="46"/>
      <c r="M23" s="47">
        <f>SUM(K23/N23)</f>
        <v>1608</v>
      </c>
      <c r="N23" s="52">
        <v>657.69</v>
      </c>
      <c r="O23" s="49">
        <v>7.3</v>
      </c>
      <c r="P23" s="50">
        <f>SUM(N23*O23)</f>
        <v>4801.137</v>
      </c>
      <c r="Q23" s="78"/>
      <c r="R23" s="78"/>
      <c r="S23" s="77">
        <f t="shared" si="7"/>
        <v>1763.20853794118</v>
      </c>
      <c r="T23" s="77"/>
      <c r="U23" s="77">
        <f t="shared" si="8"/>
        <v>71.2276470588235</v>
      </c>
      <c r="V23" s="77"/>
      <c r="W23" s="77"/>
      <c r="X23" s="77">
        <f t="shared" si="12"/>
        <v>1834.436185</v>
      </c>
      <c r="Y23" s="94">
        <f t="shared" si="9"/>
        <v>415.407135294118</v>
      </c>
      <c r="Z23" s="94"/>
      <c r="AA23" s="94">
        <f t="shared" si="10"/>
        <v>2.00824476470588</v>
      </c>
      <c r="AB23" s="94">
        <f t="shared" si="13"/>
        <v>417.415380058824</v>
      </c>
      <c r="AC23" s="45">
        <v>7.3</v>
      </c>
      <c r="AD23" s="77">
        <f t="shared" si="14"/>
        <v>3047.13227442941</v>
      </c>
      <c r="AE23" s="77">
        <f t="shared" si="15"/>
        <v>4881.56845942941</v>
      </c>
      <c r="AF23" s="77">
        <f t="shared" si="16"/>
        <v>-80.4314594294119</v>
      </c>
    </row>
    <row r="24" s="2" customFormat="1" spans="1:32">
      <c r="A24" s="21"/>
      <c r="B24" s="22"/>
      <c r="C24" s="23">
        <v>241127000015</v>
      </c>
      <c r="D24" s="24">
        <v>45623</v>
      </c>
      <c r="E24" s="24" t="s">
        <v>94</v>
      </c>
      <c r="F24" s="22" t="s">
        <v>95</v>
      </c>
      <c r="G24" s="22" t="s">
        <v>96</v>
      </c>
      <c r="H24" s="25">
        <v>33.06</v>
      </c>
      <c r="I24" s="25">
        <v>5293</v>
      </c>
      <c r="J24" s="44">
        <v>51603.35</v>
      </c>
      <c r="K24" s="45"/>
      <c r="L24" s="46"/>
      <c r="M24" s="47"/>
      <c r="N24" s="52"/>
      <c r="O24" s="49"/>
      <c r="P24" s="50">
        <f>SUBTOTAL(9,J24)</f>
        <v>51603.35</v>
      </c>
      <c r="Q24" s="78"/>
      <c r="R24" s="78"/>
      <c r="S24" s="77">
        <f t="shared" si="7"/>
        <v>22866.6539558824</v>
      </c>
      <c r="T24" s="77"/>
      <c r="U24" s="77">
        <f t="shared" si="8"/>
        <v>923.735294117647</v>
      </c>
      <c r="V24" s="77"/>
      <c r="W24" s="77"/>
      <c r="X24" s="77">
        <f t="shared" si="12"/>
        <v>23790.38925</v>
      </c>
      <c r="Y24" s="94">
        <f t="shared" si="9"/>
        <v>5387.32147058824</v>
      </c>
      <c r="Z24" s="94"/>
      <c r="AA24" s="94">
        <f t="shared" si="10"/>
        <v>26.0444735294118</v>
      </c>
      <c r="AB24" s="94">
        <f t="shared" si="13"/>
        <v>5413.36594411765</v>
      </c>
      <c r="AC24" s="45">
        <v>7.3</v>
      </c>
      <c r="AD24" s="77">
        <f t="shared" si="14"/>
        <v>39517.5713920588</v>
      </c>
      <c r="AE24" s="77">
        <f t="shared" si="15"/>
        <v>63307.9606420588</v>
      </c>
      <c r="AF24" s="77">
        <f t="shared" si="16"/>
        <v>-11704.6106420588</v>
      </c>
    </row>
    <row r="25" s="2" customFormat="1" spans="1:32">
      <c r="A25" s="21"/>
      <c r="B25" s="22"/>
      <c r="C25" s="23">
        <v>241127000027</v>
      </c>
      <c r="D25" s="24">
        <v>45623</v>
      </c>
      <c r="E25" s="24" t="s">
        <v>77</v>
      </c>
      <c r="F25" s="22" t="s">
        <v>78</v>
      </c>
      <c r="G25" s="22" t="s">
        <v>128</v>
      </c>
      <c r="H25" s="25">
        <v>3.145</v>
      </c>
      <c r="I25" s="25">
        <v>1753</v>
      </c>
      <c r="J25" s="44">
        <v>6114.46</v>
      </c>
      <c r="K25" s="45"/>
      <c r="L25" s="46"/>
      <c r="M25" s="47"/>
      <c r="N25" s="48"/>
      <c r="O25" s="49"/>
      <c r="P25" s="50">
        <f>SUBTOTAL(9,J25)</f>
        <v>6114.46</v>
      </c>
      <c r="Q25" s="81"/>
      <c r="R25" s="81"/>
      <c r="S25" s="77">
        <f t="shared" si="7"/>
        <v>2175.3063125</v>
      </c>
      <c r="T25" s="77"/>
      <c r="U25" s="77">
        <f t="shared" si="8"/>
        <v>87.875</v>
      </c>
      <c r="V25" s="77"/>
      <c r="W25" s="77"/>
      <c r="X25" s="77">
        <f t="shared" si="12"/>
        <v>2263.1813125</v>
      </c>
      <c r="Y25" s="94">
        <f t="shared" si="9"/>
        <v>512.49625</v>
      </c>
      <c r="Z25" s="94"/>
      <c r="AA25" s="94">
        <f t="shared" si="10"/>
        <v>2.4776125</v>
      </c>
      <c r="AB25" s="94">
        <f t="shared" si="13"/>
        <v>514.9738625</v>
      </c>
      <c r="AC25" s="45">
        <v>7.3</v>
      </c>
      <c r="AD25" s="77">
        <f t="shared" si="14"/>
        <v>3759.30919625</v>
      </c>
      <c r="AE25" s="77">
        <f t="shared" si="15"/>
        <v>6022.49050875</v>
      </c>
      <c r="AF25" s="77">
        <f t="shared" si="16"/>
        <v>91.9694912500008</v>
      </c>
    </row>
    <row r="26" ht="15.75" spans="1:32">
      <c r="A26" s="27" t="s">
        <v>20</v>
      </c>
      <c r="B26" s="28"/>
      <c r="C26" s="28"/>
      <c r="D26" s="28"/>
      <c r="E26" s="28"/>
      <c r="F26" s="28"/>
      <c r="G26" s="28"/>
      <c r="H26" s="28"/>
      <c r="I26" s="54"/>
      <c r="J26" s="28">
        <f>SUM(J4:J4)</f>
        <v>0</v>
      </c>
      <c r="K26" s="55"/>
      <c r="L26" s="56"/>
      <c r="M26" s="55"/>
      <c r="N26" s="55">
        <f t="shared" ref="N26:Q26" si="20">SUM(N4:N4)</f>
        <v>0</v>
      </c>
      <c r="O26" s="28"/>
      <c r="P26" s="28">
        <f t="shared" si="20"/>
        <v>0</v>
      </c>
      <c r="Q26" s="28">
        <f t="shared" si="20"/>
        <v>0</v>
      </c>
      <c r="R26" s="28"/>
      <c r="S26" s="28"/>
      <c r="T26" s="28"/>
      <c r="U26" s="28"/>
      <c r="V26" s="28"/>
      <c r="W26" s="28"/>
      <c r="X26" s="82">
        <f>SUM(X4:X4)</f>
        <v>0</v>
      </c>
      <c r="Y26" s="56"/>
      <c r="Z26" s="56"/>
      <c r="AA26" s="56"/>
      <c r="AB26" s="56"/>
      <c r="AC26" s="55"/>
      <c r="AD26" s="28">
        <f>SUM(AD4:AD4)</f>
        <v>0</v>
      </c>
      <c r="AE26" s="28"/>
      <c r="AF26" s="96">
        <f>SUM(AF4:AF25)</f>
        <v>4132.97189456763</v>
      </c>
    </row>
    <row r="27" customFormat="1" spans="4:32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  <c r="AF27" s="8"/>
    </row>
    <row r="28" customFormat="1" spans="4:32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  <c r="AF28" s="8"/>
    </row>
    <row r="29" customFormat="1" spans="4:32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  <c r="AF29" s="8"/>
    </row>
    <row r="30" customFormat="1" spans="4:32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  <c r="AF30" s="8"/>
    </row>
    <row r="31" customFormat="1" spans="4:32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  <c r="AF31" s="8"/>
    </row>
    <row r="32" customFormat="1" spans="4:32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  <c r="AF32" s="8"/>
    </row>
    <row r="33" customFormat="1" spans="4:32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  <c r="AF33" s="8"/>
    </row>
    <row r="34" customFormat="1" spans="4:32">
      <c r="D34" s="3"/>
      <c r="E34" s="3"/>
      <c r="K34" s="4"/>
      <c r="L34" s="5"/>
      <c r="M34" s="4"/>
      <c r="X34" s="7"/>
      <c r="Y34" s="5"/>
      <c r="Z34" s="5"/>
      <c r="AA34" s="5"/>
      <c r="AB34" s="5"/>
      <c r="AC34" s="4"/>
      <c r="AF34" s="8"/>
    </row>
    <row r="35" customFormat="1" spans="4:32">
      <c r="D35" s="3"/>
      <c r="E35" s="3"/>
      <c r="K35" s="4"/>
      <c r="L35" s="5"/>
      <c r="M35" s="4"/>
      <c r="X35" s="7"/>
      <c r="Y35" s="5"/>
      <c r="Z35" s="5"/>
      <c r="AA35" s="5"/>
      <c r="AB35" s="5"/>
      <c r="AC35" s="4"/>
      <c r="AF35" s="8"/>
    </row>
    <row r="36" customFormat="1" spans="4:32">
      <c r="D36" s="3"/>
      <c r="E36" s="3"/>
      <c r="K36" s="4"/>
      <c r="L36" s="5"/>
      <c r="M36" s="4"/>
      <c r="X36" s="7"/>
      <c r="Y36" s="5"/>
      <c r="Z36" s="5"/>
      <c r="AA36" s="5"/>
      <c r="AB36" s="5"/>
      <c r="AC36" s="4"/>
      <c r="AF36" s="8"/>
    </row>
    <row r="37" customFormat="1" spans="4:32">
      <c r="D37" s="3"/>
      <c r="E37" s="3"/>
      <c r="K37" s="4"/>
      <c r="L37" s="5"/>
      <c r="M37" s="4"/>
      <c r="X37" s="7"/>
      <c r="Y37" s="5"/>
      <c r="Z37" s="5"/>
      <c r="AA37" s="5"/>
      <c r="AB37" s="5"/>
      <c r="AC37" s="4"/>
      <c r="AF37" s="8"/>
    </row>
    <row r="38" customFormat="1" spans="4:32">
      <c r="D38" s="3"/>
      <c r="E38" s="3"/>
      <c r="K38" s="4"/>
      <c r="L38" s="5"/>
      <c r="M38" s="4"/>
      <c r="X38" s="7"/>
      <c r="Y38" s="5"/>
      <c r="Z38" s="5"/>
      <c r="AA38" s="5"/>
      <c r="AB38" s="5"/>
      <c r="AC38" s="4"/>
      <c r="AF38" s="8"/>
    </row>
    <row r="39" customFormat="1" spans="4:32">
      <c r="D39" s="3"/>
      <c r="E39" s="3"/>
      <c r="K39" s="4"/>
      <c r="L39" s="5"/>
      <c r="M39" s="4"/>
      <c r="X39" s="7"/>
      <c r="Y39" s="5"/>
      <c r="Z39" s="5"/>
      <c r="AA39" s="5"/>
      <c r="AB39" s="5"/>
      <c r="AC39" s="4"/>
      <c r="AF39" s="8"/>
    </row>
    <row r="40" customFormat="1" spans="4:32">
      <c r="D40" s="3"/>
      <c r="E40" s="3"/>
      <c r="K40" s="4"/>
      <c r="L40" s="5"/>
      <c r="M40" s="4"/>
      <c r="X40" s="7"/>
      <c r="Y40" s="5"/>
      <c r="Z40" s="5"/>
      <c r="AA40" s="5"/>
      <c r="AB40" s="5"/>
      <c r="AC40" s="4"/>
      <c r="AF40" s="8"/>
    </row>
    <row r="41" customFormat="1" spans="4:32">
      <c r="D41" s="3"/>
      <c r="E41" s="3"/>
      <c r="K41" s="4"/>
      <c r="L41" s="5"/>
      <c r="M41" s="4"/>
      <c r="X41" s="7"/>
      <c r="Y41" s="5"/>
      <c r="Z41" s="5"/>
      <c r="AA41" s="5"/>
      <c r="AB41" s="5"/>
      <c r="AC41" s="4"/>
      <c r="AF41" s="8"/>
    </row>
    <row r="42" customFormat="1" spans="4:32">
      <c r="D42" s="3"/>
      <c r="E42" s="3"/>
      <c r="K42" s="4"/>
      <c r="L42" s="5"/>
      <c r="M42" s="4"/>
      <c r="X42" s="7"/>
      <c r="Y42" s="5"/>
      <c r="Z42" s="5"/>
      <c r="AA42" s="5"/>
      <c r="AB42" s="5"/>
      <c r="AC42" s="4"/>
      <c r="AF42" s="8"/>
    </row>
  </sheetData>
  <autoFilter xmlns:etc="http://www.wps.cn/officeDocument/2017/etCustomData" ref="A3:AF26" etc:filterBottomFollowUsedRange="0">
    <extLst/>
  </autoFilter>
  <mergeCells count="21">
    <mergeCell ref="A1:AF1"/>
    <mergeCell ref="J3:P3"/>
    <mergeCell ref="R3:V3"/>
    <mergeCell ref="Y3:AD3"/>
    <mergeCell ref="A3:A4"/>
    <mergeCell ref="A5:A25"/>
    <mergeCell ref="B3:B4"/>
    <mergeCell ref="B5:B25"/>
    <mergeCell ref="C3:C4"/>
    <mergeCell ref="D3:D4"/>
    <mergeCell ref="E3:E4"/>
    <mergeCell ref="F3:F4"/>
    <mergeCell ref="G3:G4"/>
    <mergeCell ref="H3:H4"/>
    <mergeCell ref="I3:I4"/>
    <mergeCell ref="Q3:Q4"/>
    <mergeCell ref="Q5:Q25"/>
    <mergeCell ref="R5:R25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总表 </vt:lpstr>
      <vt:lpstr>总表  (2)</vt:lpstr>
      <vt:lpstr>JOB120361</vt:lpstr>
      <vt:lpstr>JOB120362</vt:lpstr>
      <vt:lpstr>JOB120363</vt:lpstr>
      <vt:lpstr>JOB120364</vt:lpstr>
      <vt:lpstr>JOB120365</vt:lpstr>
      <vt:lpstr>JOB120366</vt:lpstr>
      <vt:lpstr>JOB120367</vt:lpstr>
      <vt:lpstr>JOB120368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2020-12-16T06:30:00Z</dcterms:created>
  <dcterms:modified xsi:type="dcterms:W3CDTF">2025-07-29T03:39:34Z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5B5154A60FF74DFC8ED3EF61905B62BC</vt:lpwstr>
  </property>
  <property fmtid="{D5CDD505-2E9C-101B-9397-08002B2CF9AE}" pid="4" name="commondata">
    <vt:lpwstr>eyJoZGlkIjoiYTYxNDVjYTE0NTdmMWZiNThiMzQ1NGY2ZWQwODMwZTQifQ==</vt:lpwstr>
  </property>
</Properties>
</file>