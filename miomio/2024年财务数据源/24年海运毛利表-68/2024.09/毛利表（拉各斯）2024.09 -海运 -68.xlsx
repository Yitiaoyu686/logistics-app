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1"/>
  </bookViews>
  <sheets>
    <sheet name="总表 " sheetId="3" r:id="rId1"/>
    <sheet name="总表 (2)" sheetId="4" r:id="rId2"/>
    <sheet name="JOB090350" sheetId="5" r:id="rId3"/>
    <sheet name="JOB090351" sheetId="6" r:id="rId4"/>
    <sheet name="JOB090364" sheetId="7" r:id="rId5"/>
    <sheet name="JOB090366" sheetId="8" r:id="rId6"/>
    <sheet name="JOB090367" sheetId="9" r:id="rId7"/>
    <sheet name="JOB090368" sheetId="10" r:id="rId8"/>
    <sheet name="JOB090375" sheetId="11" r:id="rId9"/>
    <sheet name="JOB090387" sheetId="12" r:id="rId10"/>
    <sheet name="JOB090388" sheetId="13" r:id="rId11"/>
    <sheet name="JOB110331" sheetId="14" r:id="rId12"/>
    <sheet name="JOB100351" sheetId="15" r:id="rId13"/>
  </sheets>
  <definedNames>
    <definedName name="_xlnm._FilterDatabase" localSheetId="0" hidden="1">'总表 '!$A$2:$C$107</definedName>
    <definedName name="_xlnm._FilterDatabase" localSheetId="1" hidden="1">'总表 (2)'!$A$2:$AF$107</definedName>
    <definedName name="_xlnm._FilterDatabase" localSheetId="2" hidden="1">'JOB090350'!$A$3:$AF$18</definedName>
    <definedName name="_xlnm._FilterDatabase" localSheetId="3" hidden="1">'JOB090351'!$A$3:$AF$16</definedName>
    <definedName name="_xlnm._FilterDatabase" localSheetId="4" hidden="1">'JOB090364'!$A$3:$AF$30</definedName>
    <definedName name="_xlnm._FilterDatabase" localSheetId="5" hidden="1">'JOB090366'!$A$3:$AF$10</definedName>
    <definedName name="_xlnm._FilterDatabase" localSheetId="6" hidden="1">'JOB090367'!$A$2:$AF$5</definedName>
    <definedName name="_xlnm._FilterDatabase" localSheetId="7" hidden="1">'JOB090368'!$A$2:$AF$5</definedName>
    <definedName name="_xlnm._FilterDatabase" localSheetId="8" hidden="1">'JOB090375'!$A$3:$AF$26</definedName>
    <definedName name="_xlnm._FilterDatabase" localSheetId="9" hidden="1">'JOB090387'!$A$3:$AF$19</definedName>
    <definedName name="_xlnm._FilterDatabase" localSheetId="10" hidden="1">'JOB090388'!$A$3:$AF$15</definedName>
    <definedName name="_xlnm._FilterDatabase" localSheetId="11" hidden="1">'JOB110331'!$A$2:$AF$5</definedName>
    <definedName name="_xlnm._FilterDatabase" localSheetId="12" hidden="1">'JOB100351'!$A$2:$AF$5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到付USD171.21转到付USD1258.39.
</t>
        </r>
      </text>
    </comment>
    <comment ref="J9" authorId="0">
      <text>
        <r>
          <rPr>
            <sz val="9"/>
            <rFont val="宋体"/>
            <charset val="134"/>
          </rPr>
          <t xml:space="preserve">到付USD46.37转预付333.6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到付USD259.86转预付1871.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到付USD3600.45转预付25671.21.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到付USD2362.5转预付16844.63
</t>
        </r>
      </text>
    </comment>
    <comment ref="J16" authorId="0">
      <text>
        <r>
          <rPr>
            <sz val="9"/>
            <rFont val="宋体"/>
            <charset val="134"/>
          </rPr>
          <t xml:space="preserve">到付 USD131.46转预付959.66
</t>
        </r>
      </text>
    </comment>
    <comment ref="J18" authorId="0">
      <text>
        <r>
          <rPr>
            <sz val="9"/>
            <rFont val="宋体"/>
            <charset val="134"/>
          </rPr>
          <t xml:space="preserve">到付US1257.09转预付9176.76
</t>
        </r>
      </text>
    </comment>
    <comment ref="J21" authorId="0">
      <text>
        <r>
          <rPr>
            <sz val="9"/>
            <rFont val="宋体"/>
            <charset val="134"/>
          </rPr>
          <t>到付USD73.57转预付573.06</t>
        </r>
      </text>
    </comment>
    <comment ref="J22" authorId="0">
      <text>
        <r>
          <rPr>
            <sz val="9"/>
            <rFont val="宋体"/>
            <charset val="134"/>
          </rPr>
          <t xml:space="preserve">到付USD87.52转预付630.11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到付USD124.05转预付959.18.
</t>
        </r>
      </text>
    </comment>
    <comment ref="J25" authorId="0">
      <text>
        <r>
          <rPr>
            <sz val="9"/>
            <rFont val="宋体"/>
            <charset val="134"/>
          </rPr>
          <t xml:space="preserve">到付USD7635.22转预付65182.
</t>
        </r>
      </text>
    </comment>
    <comment ref="J26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27" authorId="0">
      <text>
        <r>
          <rPr>
            <sz val="9"/>
            <rFont val="宋体"/>
            <charset val="134"/>
          </rPr>
          <t xml:space="preserve">到付USD6904.08转预付48967.52
</t>
        </r>
      </text>
    </comment>
    <comment ref="J28" authorId="0">
      <text>
        <r>
          <rPr>
            <sz val="9"/>
            <rFont val="宋体"/>
            <charset val="134"/>
          </rPr>
          <t xml:space="preserve">到付USD1814转预付13067.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到付USD946.34转预付7000.
</t>
        </r>
      </text>
    </comment>
    <comment ref="J33" authorId="0">
      <text>
        <r>
          <rPr>
            <sz val="9"/>
            <rFont val="宋体"/>
            <charset val="134"/>
          </rPr>
          <t xml:space="preserve">到付USD779.75转预付5623.
</t>
        </r>
      </text>
    </comment>
    <comment ref="J35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36" authorId="0">
      <text>
        <r>
          <rPr>
            <sz val="9"/>
            <rFont val="宋体"/>
            <charset val="134"/>
          </rPr>
          <t xml:space="preserve">到付USD1984转预付14483.2
</t>
        </r>
      </text>
    </comment>
    <comment ref="J37" authorId="0">
      <text>
        <r>
          <rPr>
            <sz val="9"/>
            <rFont val="宋体"/>
            <charset val="134"/>
          </rPr>
          <t xml:space="preserve">到付USD94.1转预付686.93
</t>
        </r>
      </text>
    </comment>
    <comment ref="J38" authorId="0">
      <text>
        <r>
          <rPr>
            <sz val="9"/>
            <rFont val="宋体"/>
            <charset val="134"/>
          </rPr>
          <t>到付USD729.16转预付5265.</t>
        </r>
      </text>
    </comment>
    <comment ref="J41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43" authorId="0">
      <text>
        <r>
          <rPr>
            <sz val="9"/>
            <rFont val="宋体"/>
            <charset val="134"/>
          </rPr>
          <t xml:space="preserve">到付USD702.96转预付5181.75.
</t>
        </r>
      </text>
    </comment>
    <comment ref="J44" authorId="0">
      <text>
        <r>
          <rPr>
            <sz val="9"/>
            <rFont val="宋体"/>
            <charset val="134"/>
          </rPr>
          <t xml:space="preserve">到付USD214.2转预付1563.66
</t>
        </r>
      </text>
    </comment>
    <comment ref="J45" authorId="0">
      <text>
        <r>
          <rPr>
            <sz val="9"/>
            <rFont val="宋体"/>
            <charset val="134"/>
          </rPr>
          <t>到付USD78转预付569.4.</t>
        </r>
      </text>
    </comment>
    <comment ref="J49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51" authorId="0">
      <text>
        <r>
          <rPr>
            <sz val="9"/>
            <rFont val="宋体"/>
            <charset val="134"/>
          </rPr>
          <t xml:space="preserve">到付USD290.44转预付2095.0
</t>
        </r>
      </text>
    </comment>
    <comment ref="J52" authorId="0">
      <text>
        <r>
          <rPr>
            <sz val="9"/>
            <rFont val="宋体"/>
            <charset val="134"/>
          </rPr>
          <t xml:space="preserve">到付USD28.87转预付204.4
</t>
        </r>
      </text>
    </comment>
    <comment ref="J57" authorId="0">
      <text>
        <r>
          <rPr>
            <sz val="9"/>
            <rFont val="宋体"/>
            <charset val="134"/>
          </rPr>
          <t xml:space="preserve">到付USD369.7转预付2643.36
</t>
        </r>
      </text>
    </comment>
    <comment ref="J60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61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64" authorId="0">
      <text>
        <r>
          <rPr>
            <sz val="9"/>
            <rFont val="宋体"/>
            <charset val="134"/>
          </rPr>
          <t xml:space="preserve">到付USD163.8l专预付1212.75.
</t>
        </r>
      </text>
    </comment>
    <comment ref="J65" authorId="0">
      <text>
        <r>
          <rPr>
            <sz val="9"/>
            <rFont val="宋体"/>
            <charset val="134"/>
          </rPr>
          <t xml:space="preserve">到付USD10.36转预付221.13.
</t>
        </r>
      </text>
    </comment>
    <comment ref="J66" authorId="0">
      <text>
        <r>
          <rPr>
            <sz val="9"/>
            <rFont val="宋体"/>
            <charset val="134"/>
          </rPr>
          <t xml:space="preserve">到付USD369.82转预付2649.
</t>
        </r>
      </text>
    </comment>
    <comment ref="J67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69" authorId="0">
      <text>
        <r>
          <rPr>
            <sz val="9"/>
            <rFont val="宋体"/>
            <charset val="134"/>
          </rPr>
          <t xml:space="preserve">到付USD189.72转预付1411.2
</t>
        </r>
      </text>
    </comment>
    <comment ref="J71" authorId="0">
      <text>
        <r>
          <rPr>
            <sz val="9"/>
            <rFont val="宋体"/>
            <charset val="134"/>
          </rPr>
          <t xml:space="preserve">到付USD2146转预付15665.8
</t>
        </r>
      </text>
    </comment>
    <comment ref="J72" authorId="0">
      <text>
        <r>
          <rPr>
            <sz val="9"/>
            <rFont val="宋体"/>
            <charset val="134"/>
          </rPr>
          <t xml:space="preserve">到付USD125.12转预付907.12.
</t>
        </r>
      </text>
    </comment>
    <comment ref="J73" authorId="0">
      <text>
        <r>
          <rPr>
            <sz val="9"/>
            <rFont val="宋体"/>
            <charset val="134"/>
          </rPr>
          <t>到付USD678.67转预付4987.5</t>
        </r>
      </text>
    </comment>
    <comment ref="J75" authorId="0">
      <text>
        <r>
          <rPr>
            <sz val="9"/>
            <rFont val="宋体"/>
            <charset val="134"/>
          </rPr>
          <t xml:space="preserve">到付USD2231.19转预付16287.69
</t>
        </r>
      </text>
    </comment>
    <comment ref="J76" authorId="0">
      <text>
        <r>
          <rPr>
            <sz val="9"/>
            <rFont val="宋体"/>
            <charset val="134"/>
          </rPr>
          <t xml:space="preserve">到付USD3018.86转预付21916.92.
</t>
        </r>
      </text>
    </comment>
    <comment ref="J77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78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79" authorId="0">
      <text>
        <r>
          <rPr>
            <sz val="9"/>
            <rFont val="宋体"/>
            <charset val="134"/>
          </rPr>
          <t>到付USD3639.38转预付
26386.</t>
        </r>
      </text>
    </comment>
    <comment ref="J80" authorId="0">
      <text>
        <r>
          <rPr>
            <sz val="9"/>
            <rFont val="宋体"/>
            <charset val="134"/>
          </rPr>
          <t xml:space="preserve">到付USD868转预付6336.4
</t>
        </r>
      </text>
    </comment>
    <comment ref="J81" authorId="0">
      <text>
        <r>
          <rPr>
            <sz val="9"/>
            <rFont val="宋体"/>
            <charset val="134"/>
          </rPr>
          <t xml:space="preserve">到付USD1458转预付10643.4
</t>
        </r>
      </text>
    </comment>
    <comment ref="J82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83" authorId="0">
      <text>
        <r>
          <rPr>
            <sz val="9"/>
            <rFont val="宋体"/>
            <charset val="134"/>
          </rPr>
          <t xml:space="preserve">到付USD1074转预付7840.2
</t>
        </r>
      </text>
    </comment>
    <comment ref="J84" authorId="0">
      <text>
        <r>
          <rPr>
            <sz val="9"/>
            <rFont val="宋体"/>
            <charset val="134"/>
          </rPr>
          <t xml:space="preserve">到付USD821.74转预付5998.7
</t>
        </r>
      </text>
    </comment>
    <comment ref="J86" authorId="0">
      <text>
        <r>
          <rPr>
            <sz val="9"/>
            <rFont val="宋体"/>
            <charset val="134"/>
          </rPr>
          <t xml:space="preserve">到付USD1013.74转预付7297
</t>
        </r>
      </text>
    </comment>
    <comment ref="J97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98" authorId="0">
      <text>
        <r>
          <rPr>
            <sz val="9"/>
            <rFont val="宋体"/>
            <charset val="134"/>
          </rPr>
          <t xml:space="preserve">到付USD1404.12转预付10109.64.
</t>
        </r>
      </text>
    </comment>
    <comment ref="J101" authorId="0">
      <text>
        <r>
          <rPr>
            <sz val="9"/>
            <rFont val="宋体"/>
            <charset val="134"/>
          </rPr>
          <t xml:space="preserve">到付USD2538转预付18527.4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8" authorId="0">
      <text>
        <r>
          <rPr>
            <sz val="9"/>
            <rFont val="宋体"/>
            <charset val="134"/>
          </rPr>
          <t xml:space="preserve">到付USD171.21转到付USD1258.39.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到付USD46.37转预付333.6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到付USD259.86转预付1871.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到付USD3600.45转预付25671.21.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到付USD2362.5转预付16844.63
</t>
        </r>
      </text>
    </comment>
    <comment ref="J17" authorId="0">
      <text>
        <r>
          <rPr>
            <sz val="9"/>
            <rFont val="宋体"/>
            <charset val="134"/>
          </rPr>
          <t xml:space="preserve">到付 USD131.46转预付959.66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到付US1257.09转预付9176.76
</t>
        </r>
      </text>
    </comment>
    <comment ref="J9" authorId="0">
      <text>
        <r>
          <rPr>
            <sz val="9"/>
            <rFont val="宋体"/>
            <charset val="134"/>
          </rPr>
          <t>到付USD73.57转预付573.06</t>
        </r>
      </text>
    </comment>
    <comment ref="J10" authorId="0">
      <text>
        <r>
          <rPr>
            <sz val="9"/>
            <rFont val="宋体"/>
            <charset val="134"/>
          </rPr>
          <t xml:space="preserve">到付USD87.52转预付630.11
</t>
        </r>
      </text>
    </comment>
    <comment ref="J11" authorId="0">
      <text>
        <r>
          <rPr>
            <sz val="9"/>
            <rFont val="宋体"/>
            <charset val="134"/>
          </rPr>
          <t xml:space="preserve">到付USD124.05转预付959.18.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到付USD7635.22转预付65182.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15" authorId="0">
      <text>
        <r>
          <rPr>
            <sz val="9"/>
            <rFont val="宋体"/>
            <charset val="134"/>
          </rPr>
          <t xml:space="preserve">到付USD6904.08转预付48967.52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到付USD1814转预付13067.
</t>
        </r>
      </text>
    </comment>
    <comment ref="J7" authorId="0">
      <text>
        <r>
          <rPr>
            <sz val="9"/>
            <rFont val="宋体"/>
            <charset val="134"/>
          </rPr>
          <t xml:space="preserve">到付USD946.34转预付7000.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到付USD779.75转预付5623.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到付USD1984转预付14483.2
</t>
        </r>
      </text>
    </comment>
    <comment ref="J14" authorId="0">
      <text>
        <r>
          <rPr>
            <sz val="9"/>
            <rFont val="宋体"/>
            <charset val="134"/>
          </rPr>
          <t xml:space="preserve">到付USD94.1转预付686.93
</t>
        </r>
      </text>
    </comment>
    <comment ref="J15" authorId="0">
      <text>
        <r>
          <rPr>
            <sz val="9"/>
            <rFont val="宋体"/>
            <charset val="134"/>
          </rPr>
          <t>到付USD729.16转预付5265.</t>
        </r>
      </text>
    </comment>
    <comment ref="J18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20" authorId="0">
      <text>
        <r>
          <rPr>
            <sz val="9"/>
            <rFont val="宋体"/>
            <charset val="134"/>
          </rPr>
          <t xml:space="preserve">到付USD702.96转预付5181.75.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到付USD214.2转预付1563.66
</t>
        </r>
      </text>
    </comment>
    <comment ref="J22" authorId="0">
      <text>
        <r>
          <rPr>
            <sz val="9"/>
            <rFont val="宋体"/>
            <charset val="134"/>
          </rPr>
          <t>到付USD78转预付569.4.</t>
        </r>
      </text>
    </comment>
    <comment ref="J26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8" authorId="0">
      <text>
        <r>
          <rPr>
            <sz val="9"/>
            <rFont val="宋体"/>
            <charset val="134"/>
          </rPr>
          <t xml:space="preserve">到付USD290.44转预付2095.0
</t>
        </r>
      </text>
    </comment>
    <comment ref="J29" authorId="0">
      <text>
        <r>
          <rPr>
            <sz val="9"/>
            <rFont val="宋体"/>
            <charset val="134"/>
          </rPr>
          <t xml:space="preserve">到付USD28.87转预付204.4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9" authorId="0">
      <text>
        <r>
          <rPr>
            <sz val="9"/>
            <rFont val="宋体"/>
            <charset val="134"/>
          </rPr>
          <t xml:space="preserve">到付USD369.7转预付2643.36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6" authorId="0">
      <text>
        <r>
          <rPr>
            <sz val="9"/>
            <rFont val="宋体"/>
            <charset val="134"/>
          </rPr>
          <t xml:space="preserve">到付USD5075.66转预付36542.3
</t>
        </r>
      </text>
    </comment>
    <comment ref="J9" authorId="0">
      <text>
        <r>
          <rPr>
            <sz val="9"/>
            <rFont val="宋体"/>
            <charset val="134"/>
          </rPr>
          <t xml:space="preserve">到付USD163.8l专预付1212.75.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到付USD10.36转预付221.13.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到付USD369.82转预付2649.
</t>
        </r>
      </text>
    </comment>
    <comment ref="J12" authorId="0">
      <text>
        <r>
          <rPr>
            <b/>
            <sz val="9"/>
            <rFont val="宋体"/>
            <charset val="134"/>
          </rPr>
          <t>1/11国内收美金</t>
        </r>
        <r>
          <rPr>
            <sz val="9"/>
            <rFont val="宋体"/>
            <charset val="134"/>
          </rPr>
          <t xml:space="preserve">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到付USD189.72转预付1411.2
</t>
        </r>
      </text>
    </comment>
    <comment ref="J16" authorId="0">
      <text>
        <r>
          <rPr>
            <sz val="9"/>
            <rFont val="宋体"/>
            <charset val="134"/>
          </rPr>
          <t xml:space="preserve">到付USD2146转预付15665.8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到付USD125.12转预付907.12.
</t>
        </r>
      </text>
    </comment>
    <comment ref="J18" authorId="0">
      <text>
        <r>
          <rPr>
            <sz val="9"/>
            <rFont val="宋体"/>
            <charset val="134"/>
          </rPr>
          <t>到付USD678.67转预付4987.5</t>
        </r>
      </text>
    </comment>
    <comment ref="J20" authorId="0">
      <text>
        <r>
          <rPr>
            <sz val="9"/>
            <rFont val="宋体"/>
            <charset val="134"/>
          </rPr>
          <t xml:space="preserve">到付USD2231.19转预付16287.69
</t>
        </r>
      </text>
    </comment>
    <comment ref="J21" authorId="0">
      <text>
        <r>
          <rPr>
            <sz val="9"/>
            <rFont val="宋体"/>
            <charset val="134"/>
          </rPr>
          <t xml:space="preserve">到付USD3018.86转预付21916.92.
</t>
        </r>
      </text>
    </comment>
    <comment ref="J22" authorId="0">
      <text>
        <r>
          <rPr>
            <sz val="9"/>
            <rFont val="宋体"/>
            <charset val="134"/>
          </rPr>
          <t xml:space="preserve">到付USD881.09转预付7317.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24" authorId="0">
      <text>
        <r>
          <rPr>
            <sz val="9"/>
            <rFont val="宋体"/>
            <charset val="134"/>
          </rPr>
          <t>到付USD3639.38转预付
26386.</t>
        </r>
      </text>
    </comment>
    <comment ref="J25" authorId="0">
      <text>
        <r>
          <rPr>
            <sz val="9"/>
            <rFont val="宋体"/>
            <charset val="134"/>
          </rPr>
          <t xml:space="preserve">到付USD868转预付6336.4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到付USD1458转预付10643.4
</t>
        </r>
      </text>
    </comment>
    <comment ref="J6" authorId="0">
      <text>
        <r>
          <rPr>
            <sz val="9"/>
            <rFont val="宋体"/>
            <charset val="134"/>
          </rPr>
          <t xml:space="preserve">到付USD2030.89转预付14536.83
</t>
        </r>
      </text>
    </comment>
    <comment ref="J7" authorId="0">
      <text>
        <r>
          <rPr>
            <sz val="9"/>
            <rFont val="宋体"/>
            <charset val="134"/>
          </rPr>
          <t xml:space="preserve">到付USD1074转预付7840.2
</t>
        </r>
      </text>
    </comment>
    <comment ref="J8" authorId="0">
      <text>
        <r>
          <rPr>
            <sz val="9"/>
            <rFont val="宋体"/>
            <charset val="134"/>
          </rPr>
          <t xml:space="preserve">到付USD821.74转预付5998.7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到付USD1013.74转预付7297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J7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8" authorId="0">
      <text>
        <r>
          <rPr>
            <sz val="9"/>
            <rFont val="宋体"/>
            <charset val="134"/>
          </rPr>
          <t xml:space="preserve">到付USD1404.12转预付10109.64.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到付USD2538转预付18527.4
</t>
        </r>
      </text>
    </comment>
  </commentList>
</comments>
</file>

<file path=xl/sharedStrings.xml><?xml version="1.0" encoding="utf-8"?>
<sst xmlns="http://schemas.openxmlformats.org/spreadsheetml/2006/main" count="1185" uniqueCount="139">
  <si>
    <t>2024年09月份LOS毛利表（海运）</t>
  </si>
  <si>
    <t>JOB</t>
  </si>
  <si>
    <t>集装编号 </t>
  </si>
  <si>
    <t>利润</t>
  </si>
  <si>
    <t>JOB090350</t>
  </si>
  <si>
    <t>COLL004142</t>
  </si>
  <si>
    <t>JOB090351</t>
  </si>
  <si>
    <t>COLL004143</t>
  </si>
  <si>
    <t>JOB090364</t>
  </si>
  <si>
    <t>COLL004256</t>
  </si>
  <si>
    <t>JOB090366</t>
  </si>
  <si>
    <t>COLL004158</t>
  </si>
  <si>
    <t>JOB090367</t>
  </si>
  <si>
    <t>COLL004161</t>
  </si>
  <si>
    <t>JOB090368</t>
  </si>
  <si>
    <t>COLL004162</t>
  </si>
  <si>
    <t>JOB090375</t>
  </si>
  <si>
    <t>COLL004167</t>
  </si>
  <si>
    <t>JOB090387</t>
  </si>
  <si>
    <t>COLL004180</t>
  </si>
  <si>
    <t>JOB090388</t>
  </si>
  <si>
    <t>COLL004181</t>
  </si>
  <si>
    <t>JOB110331</t>
  </si>
  <si>
    <t>COLL004224</t>
  </si>
  <si>
    <t>JOB100351</t>
  </si>
  <si>
    <t>COLL004217</t>
  </si>
  <si>
    <t>合计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</si>
  <si>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</si>
  <si>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</si>
  <si>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</si>
  <si>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</si>
  <si>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</si>
  <si>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</si>
  <si>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</si>
  <si>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</si>
  <si>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</si>
  <si>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</si>
  <si>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</si>
  <si>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</si>
  <si>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</si>
  <si>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</si>
  <si>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</si>
  <si>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</si>
  <si>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</si>
  <si>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</si>
  <si>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</si>
  <si>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</si>
  <si>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</si>
  <si>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</si>
  <si>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</si>
  <si>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</si>
  <si>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</si>
  <si>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</si>
  <si>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</si>
  <si>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</si>
  <si>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</si>
  <si>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</si>
  <si>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</si>
  <si>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</si>
  <si>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Sam.Pao</t>
  </si>
  <si>
    <t>Nick Wang</t>
  </si>
  <si>
    <t>登凯=48459
赛捷=1120 
拖车费=1670
杂费=81 
过磅费=61</t>
  </si>
  <si>
    <t>Bella</t>
  </si>
  <si>
    <t>Bella Chan</t>
  </si>
  <si>
    <t>new hope 边鹏飞</t>
  </si>
  <si>
    <t>Adesoye</t>
  </si>
  <si>
    <t>吕沛霖</t>
  </si>
  <si>
    <t>喵喵速运-Layne</t>
  </si>
  <si>
    <t>SHAEK</t>
  </si>
  <si>
    <t>zhong zi xin</t>
  </si>
  <si>
    <t>ERICA</t>
  </si>
  <si>
    <t>罗伟健</t>
  </si>
  <si>
    <t>MailMail速运-演员</t>
  </si>
  <si>
    <t>Harvey Wang</t>
  </si>
  <si>
    <t>无人</t>
  </si>
  <si>
    <t>dejare James</t>
  </si>
  <si>
    <t>James</t>
  </si>
  <si>
    <t>SKY JET</t>
  </si>
  <si>
    <t>黄颖</t>
  </si>
  <si>
    <t>ying</t>
  </si>
  <si>
    <t>zhounengquan</t>
  </si>
  <si>
    <t>陆总</t>
  </si>
  <si>
    <t>陆梓龙</t>
  </si>
  <si>
    <t>luk</t>
  </si>
  <si>
    <t>ABDUL</t>
  </si>
  <si>
    <t>登凯=44776
赛捷=1750 
拖车费=2270
杂费=1388 
过磅费=65</t>
  </si>
  <si>
    <t>xiantian</t>
  </si>
  <si>
    <t>WEI PING</t>
  </si>
  <si>
    <t>朱小飞</t>
  </si>
  <si>
    <t>Isabel Zhu</t>
  </si>
  <si>
    <t>Mr Qiu</t>
  </si>
  <si>
    <t>WANG</t>
  </si>
  <si>
    <t>MaiKaiNian</t>
  </si>
  <si>
    <t>Halifa Success</t>
  </si>
  <si>
    <t>Hu Hai Liang</t>
  </si>
  <si>
    <t>AiGeLi</t>
  </si>
  <si>
    <t>JunYue hotel</t>
  </si>
  <si>
    <t>ShanShan</t>
  </si>
  <si>
    <t>登凯=41647
赛捷=1280 
拖车费=1670
杂费=73
过磅费=68</t>
  </si>
  <si>
    <t>Ms PEJU</t>
  </si>
  <si>
    <t>Bruce</t>
  </si>
  <si>
    <t>Victor Nnamdi</t>
  </si>
  <si>
    <t>Mr.Wang</t>
  </si>
  <si>
    <t>Sunday Adelena</t>
  </si>
  <si>
    <t>Sanusi samad</t>
  </si>
  <si>
    <t>jizong</t>
  </si>
  <si>
    <t>Mr.Joseph Ezekiel</t>
  </si>
  <si>
    <t>Lin Bao Zhen</t>
  </si>
  <si>
    <t>Candice Ding</t>
  </si>
  <si>
    <t>赛捷</t>
  </si>
  <si>
    <t>Yusky</t>
  </si>
  <si>
    <t>LuZhiLong</t>
  </si>
  <si>
    <t>Mr. Jason</t>
  </si>
  <si>
    <t>只清关</t>
  </si>
  <si>
    <t>卓志=41025        赛捷=2800 
拖车费=1670
杂费=61
过磅费=67</t>
  </si>
  <si>
    <t>jiangnan</t>
  </si>
  <si>
    <t>Gbenga</t>
  </si>
  <si>
    <t>Shuaibu musa</t>
  </si>
  <si>
    <t>makus</t>
  </si>
  <si>
    <t>Mailmail Abv sales person 1</t>
  </si>
  <si>
    <t>Ugochukwu</t>
  </si>
  <si>
    <t>Nura</t>
  </si>
  <si>
    <t xml:space="preserve">登凯=39969.7
赛捷=2800 </t>
  </si>
  <si>
    <t>WDG</t>
  </si>
  <si>
    <t>FRANK</t>
  </si>
  <si>
    <t>Mr.Ahamed Tijani Danmallam</t>
  </si>
  <si>
    <t>ChenGaoHong</t>
  </si>
  <si>
    <t>罗珮文</t>
  </si>
  <si>
    <t>Shirley</t>
  </si>
  <si>
    <t>登凯=38533
赛捷=1620
拖车费=1670
杂费=61
过磅费=59</t>
  </si>
  <si>
    <t>Mr Liu</t>
  </si>
  <si>
    <t>WYLB</t>
  </si>
  <si>
    <t>FEMEB NIGERIA LIMITED</t>
  </si>
  <si>
    <t>到付</t>
  </si>
  <si>
    <t>登凯=41647
陆总=2000 
拖车费=1670
杂费=101
过磅费=58</t>
  </si>
  <si>
    <t>Yang Bo</t>
  </si>
  <si>
    <t>鼎程=245686.66  鼎程出口=750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</si>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</sst>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  <numFmt numFmtId="184" formatCode="&quot;US$&quot;#,##0.00_);[Red]\(&quot;US$&quot;#,##0.00\)"/>
    <numFmt numFmtId="185" formatCode="0.0000_ "/>
  </numFmts>
  <fonts count="45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color rgb="FF393939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rgb="FFFFFFFF"/>
      <name val="Microsoft JhengHei"/>
      <charset val="134"/>
    </font>
    <font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sz val="10"/>
      <color rgb="FF000000"/>
      <name val="Microsoft JhengHei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10" borderId="14" applyNumberFormat="0" applyAlignment="0" applyProtection="0">
      <alignment vertical="center"/>
    </xf>
    <xf numFmtId="0" fontId="34" fillId="10" borderId="13" applyNumberFormat="0" applyAlignment="0" applyProtection="0">
      <alignment vertical="center"/>
    </xf>
    <xf numFmtId="0" fontId="35" fillId="11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7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181" fontId="2" fillId="0" borderId="2" xfId="0" applyNumberFormat="1" applyFont="1" applyFill="1" applyBorder="1" applyAlignment="1">
      <alignment vertical="center"/>
    </xf>
    <xf numFmtId="58" fontId="2" fillId="0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1" fillId="4" borderId="4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182" fontId="9" fillId="0" borderId="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vertical="center"/>
    </xf>
    <xf numFmtId="182" fontId="4" fillId="4" borderId="2" xfId="0" applyNumberFormat="1" applyFont="1" applyFill="1" applyBorder="1" applyAlignment="1">
      <alignment horizontal="right" vertical="center"/>
    </xf>
    <xf numFmtId="176" fontId="10" fillId="4" borderId="2" xfId="0" applyNumberFormat="1" applyFont="1" applyFill="1" applyBorder="1" applyAlignment="1">
      <alignment horizontal="center" vertical="center" wrapText="1"/>
    </xf>
    <xf numFmtId="177" fontId="10" fillId="4" borderId="2" xfId="0" applyNumberFormat="1" applyFont="1" applyFill="1" applyBorder="1" applyAlignment="1">
      <alignment horizontal="center" vertical="center" wrapText="1"/>
    </xf>
    <xf numFmtId="177" fontId="4" fillId="4" borderId="2" xfId="0" applyNumberFormat="1" applyFont="1" applyFill="1" applyBorder="1" applyAlignment="1">
      <alignment horizontal="center" vertical="center" wrapText="1"/>
    </xf>
    <xf numFmtId="0" fontId="11" fillId="4" borderId="2" xfId="0" applyNumberFormat="1" applyFont="1" applyFill="1" applyBorder="1" applyAlignment="1">
      <alignment horizontal="center" vertical="center"/>
    </xf>
    <xf numFmtId="182" fontId="12" fillId="0" borderId="2" xfId="0" applyNumberFormat="1" applyFont="1" applyFill="1" applyBorder="1" applyAlignment="1">
      <alignment horizontal="right" vertical="center"/>
    </xf>
    <xf numFmtId="182" fontId="13" fillId="2" borderId="2" xfId="0" applyNumberFormat="1" applyFont="1" applyFill="1" applyBorder="1" applyAlignment="1">
      <alignment vertical="center"/>
    </xf>
    <xf numFmtId="176" fontId="13" fillId="2" borderId="2" xfId="0" applyNumberFormat="1" applyFont="1" applyFill="1" applyBorder="1" applyAlignment="1">
      <alignment vertical="center"/>
    </xf>
    <xf numFmtId="177" fontId="14" fillId="2" borderId="2" xfId="0" applyNumberFormat="1" applyFont="1" applyFill="1" applyBorder="1" applyAlignment="1">
      <alignment vertical="center"/>
    </xf>
    <xf numFmtId="176" fontId="13" fillId="4" borderId="2" xfId="0" applyNumberFormat="1" applyFont="1" applyFill="1" applyBorder="1" applyAlignment="1">
      <alignment horizontal="center" vertical="center"/>
    </xf>
    <xf numFmtId="177" fontId="13" fillId="4" borderId="2" xfId="0" applyNumberFormat="1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182" fontId="15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6" fillId="0" borderId="0" xfId="0" applyNumberFormat="1" applyFont="1" applyFill="1" applyAlignment="1">
      <alignment horizontal="center" vertical="center"/>
    </xf>
    <xf numFmtId="182" fontId="1" fillId="5" borderId="1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82" fontId="4" fillId="6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1" fillId="0" borderId="8" xfId="0" applyNumberFormat="1" applyFont="1" applyFill="1" applyBorder="1" applyAlignment="1">
      <alignment horizontal="center" vertical="center" wrapText="1"/>
    </xf>
    <xf numFmtId="7" fontId="16" fillId="4" borderId="1" xfId="0" applyNumberFormat="1" applyFont="1" applyFill="1" applyBorder="1" applyAlignment="1">
      <alignment horizontal="center" vertical="center" wrapText="1"/>
    </xf>
    <xf numFmtId="182" fontId="1" fillId="5" borderId="3" xfId="0" applyNumberFormat="1" applyFont="1" applyFill="1" applyBorder="1" applyAlignment="1">
      <alignment horizontal="center" vertical="center"/>
    </xf>
    <xf numFmtId="183" fontId="17" fillId="6" borderId="2" xfId="4" applyNumberFormat="1" applyFont="1" applyFill="1" applyBorder="1" applyAlignment="1">
      <alignment horizontal="center" vertical="center"/>
    </xf>
    <xf numFmtId="182" fontId="12" fillId="6" borderId="2" xfId="4" applyNumberFormat="1" applyFont="1" applyFill="1" applyBorder="1" applyAlignment="1">
      <alignment horizontal="center" vertical="center"/>
    </xf>
    <xf numFmtId="183" fontId="12" fillId="0" borderId="2" xfId="4" applyNumberFormat="1" applyFont="1" applyFill="1" applyBorder="1" applyAlignment="1">
      <alignment horizontal="center" vertical="center"/>
    </xf>
    <xf numFmtId="182" fontId="12" fillId="0" borderId="2" xfId="4" applyNumberFormat="1" applyFont="1" applyFill="1" applyBorder="1" applyAlignment="1">
      <alignment horizontal="center" vertical="center"/>
    </xf>
    <xf numFmtId="182" fontId="11" fillId="0" borderId="9" xfId="0" applyNumberFormat="1" applyFont="1" applyFill="1" applyBorder="1" applyAlignment="1">
      <alignment horizontal="center" vertical="center" wrapText="1"/>
    </xf>
    <xf numFmtId="7" fontId="16" fillId="4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vertical="center"/>
    </xf>
    <xf numFmtId="182" fontId="2" fillId="0" borderId="2" xfId="0" applyNumberFormat="1" applyFont="1" applyFill="1" applyBorder="1" applyAlignment="1">
      <alignment vertical="center" wrapText="1"/>
    </xf>
    <xf numFmtId="7" fontId="2" fillId="0" borderId="2" xfId="0" applyNumberFormat="1" applyFont="1" applyBorder="1" applyAlignment="1">
      <alignment vertical="center"/>
    </xf>
    <xf numFmtId="7" fontId="3" fillId="0" borderId="0" xfId="0" applyNumberFormat="1" applyFont="1" applyAlignment="1">
      <alignment horizontal="center" vertical="center"/>
    </xf>
    <xf numFmtId="177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82" fontId="11" fillId="5" borderId="1" xfId="0" applyNumberFormat="1" applyFont="1" applyFill="1" applyBorder="1" applyAlignment="1">
      <alignment horizontal="center" vertical="center"/>
    </xf>
    <xf numFmtId="7" fontId="1" fillId="7" borderId="1" xfId="0" applyNumberFormat="1" applyFont="1" applyFill="1" applyBorder="1" applyAlignment="1">
      <alignment horizontal="center" vertical="center"/>
    </xf>
    <xf numFmtId="177" fontId="18" fillId="4" borderId="2" xfId="0" applyNumberFormat="1" applyFont="1" applyFill="1" applyBorder="1" applyAlignment="1">
      <alignment vertical="center" wrapText="1"/>
    </xf>
    <xf numFmtId="177" fontId="11" fillId="4" borderId="2" xfId="0" applyNumberFormat="1" applyFont="1" applyFill="1" applyBorder="1" applyAlignment="1">
      <alignment horizontal="right" vertical="center"/>
    </xf>
    <xf numFmtId="176" fontId="16" fillId="4" borderId="2" xfId="0" applyNumberFormat="1" applyFont="1" applyFill="1" applyBorder="1" applyAlignment="1">
      <alignment horizontal="center" vertical="center"/>
    </xf>
    <xf numFmtId="182" fontId="11" fillId="4" borderId="2" xfId="0" applyNumberFormat="1" applyFont="1" applyFill="1" applyBorder="1" applyAlignment="1">
      <alignment horizontal="center" vertical="center"/>
    </xf>
    <xf numFmtId="182" fontId="11" fillId="5" borderId="2" xfId="0" applyNumberFormat="1" applyFont="1" applyFill="1" applyBorder="1" applyAlignment="1">
      <alignment horizontal="center" vertical="center"/>
    </xf>
    <xf numFmtId="7" fontId="1" fillId="7" borderId="7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vertical="center"/>
    </xf>
    <xf numFmtId="7" fontId="19" fillId="4" borderId="2" xfId="0" applyNumberFormat="1" applyFont="1" applyFill="1" applyBorder="1">
      <alignment vertical="center"/>
    </xf>
    <xf numFmtId="0" fontId="20" fillId="3" borderId="2" xfId="0" applyFont="1" applyFill="1" applyBorder="1" applyAlignment="1">
      <alignment vertical="center"/>
    </xf>
    <xf numFmtId="176" fontId="13" fillId="0" borderId="0" xfId="0" applyNumberFormat="1" applyFont="1" applyFill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177" fontId="15" fillId="2" borderId="2" xfId="0" applyNumberFormat="1" applyFont="1" applyFill="1" applyBorder="1" applyAlignment="1">
      <alignment vertical="center"/>
    </xf>
    <xf numFmtId="177" fontId="15" fillId="4" borderId="2" xfId="0" applyNumberFormat="1" applyFont="1" applyFill="1" applyBorder="1" applyAlignment="1">
      <alignment vertical="center"/>
    </xf>
    <xf numFmtId="182" fontId="13" fillId="0" borderId="0" xfId="0" applyNumberFormat="1" applyFont="1" applyFill="1" applyBorder="1" applyAlignment="1">
      <alignment vertical="center"/>
    </xf>
    <xf numFmtId="184" fontId="15" fillId="4" borderId="2" xfId="0" applyNumberFormat="1" applyFont="1" applyFill="1" applyBorder="1" applyAlignment="1">
      <alignment vertical="center"/>
    </xf>
    <xf numFmtId="177" fontId="2" fillId="4" borderId="2" xfId="0" applyNumberFormat="1" applyFont="1" applyFill="1" applyBorder="1" applyAlignment="1">
      <alignment vertical="center"/>
    </xf>
    <xf numFmtId="176" fontId="13" fillId="0" borderId="2" xfId="0" applyNumberFormat="1" applyFont="1" applyFill="1" applyBorder="1" applyAlignment="1">
      <alignment vertical="center"/>
    </xf>
    <xf numFmtId="177" fontId="13" fillId="0" borderId="2" xfId="0" applyNumberFormat="1" applyFont="1" applyFill="1" applyBorder="1" applyAlignment="1">
      <alignment vertical="center"/>
    </xf>
    <xf numFmtId="182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 wrapText="1"/>
    </xf>
    <xf numFmtId="7" fontId="2" fillId="0" borderId="2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center" vertical="center"/>
    </xf>
    <xf numFmtId="182" fontId="2" fillId="0" borderId="7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185" fontId="15" fillId="4" borderId="2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182" fontId="15" fillId="4" borderId="2" xfId="0" applyNumberFormat="1" applyFont="1" applyFill="1" applyBorder="1" applyAlignment="1">
      <alignment vertical="center"/>
    </xf>
    <xf numFmtId="181" fontId="15" fillId="4" borderId="2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7" xfId="0" applyNumberFormat="1" applyFont="1" applyFill="1" applyBorder="1" applyAlignment="1">
      <alignment horizontal="center" vertical="center" wrapText="1"/>
    </xf>
    <xf numFmtId="177" fontId="13" fillId="2" borderId="2" xfId="0" applyNumberFormat="1" applyFon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182" fontId="2" fillId="4" borderId="2" xfId="0" applyNumberFormat="1" applyFont="1" applyFill="1" applyBorder="1" applyAlignment="1">
      <alignment vertical="center"/>
    </xf>
    <xf numFmtId="181" fontId="15" fillId="2" borderId="2" xfId="0" applyNumberFormat="1" applyFont="1" applyFill="1" applyBorder="1" applyAlignment="1">
      <alignment vertical="center"/>
    </xf>
    <xf numFmtId="181" fontId="15" fillId="2" borderId="2" xfId="0" applyNumberFormat="1" applyFont="1" applyFill="1" applyBorder="1" applyAlignment="1">
      <alignment horizontal="center" vertical="center"/>
    </xf>
    <xf numFmtId="58" fontId="22" fillId="0" borderId="2" xfId="0" applyNumberFormat="1" applyFont="1" applyFill="1" applyBorder="1" applyAlignment="1">
      <alignment vertical="center"/>
    </xf>
    <xf numFmtId="176" fontId="23" fillId="0" borderId="2" xfId="0" applyNumberFormat="1" applyFon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7" fontId="15" fillId="0" borderId="2" xfId="0" applyNumberFormat="1" applyFont="1" applyFill="1" applyBorder="1" applyAlignment="1">
      <alignment vertical="center"/>
    </xf>
    <xf numFmtId="182" fontId="15" fillId="0" borderId="2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182" fontId="13" fillId="0" borderId="2" xfId="0" applyNumberFormat="1" applyFont="1" applyFill="1" applyBorder="1" applyAlignment="1">
      <alignment vertical="center"/>
    </xf>
    <xf numFmtId="182" fontId="22" fillId="0" borderId="2" xfId="0" applyNumberFormat="1" applyFont="1" applyBorder="1" applyAlignment="1">
      <alignment vertical="center"/>
    </xf>
    <xf numFmtId="182" fontId="0" fillId="0" borderId="2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3"/>
  <sheetViews>
    <sheetView zoomScale="110" zoomScaleNormal="110" workbookViewId="0">
      <pane xSplit="2" ySplit="3" topLeftCell="C66" activePane="bottomRight" state="frozen"/>
      <selection/>
      <selection pane="topRight"/>
      <selection pane="bottomLeft"/>
      <selection pane="bottomRight" activeCell="C106" sqref="C106"/>
    </sheetView>
  </sheetViews>
  <sheetFormatPr defaultColWidth="9" defaultRowHeight="13.5" outlineLevelCol="2"/>
  <cols>
    <col min="1" max="1" width="9.875" customWidth="1"/>
    <col min="2" max="2" width="11.625" customWidth="1"/>
    <col min="3" max="3" width="14.875" style="8"/>
  </cols>
  <sheetData>
    <row r="1" ht="31" customHeight="1" spans="1:3">
      <c r="A1" s="9" t="s">
        <v>0</v>
      </c>
      <c r="B1" s="9"/>
      <c r="C1" s="73"/>
    </row>
    <row r="2" s="1" customFormat="1" ht="23" customHeight="1" spans="1:3">
      <c r="A2" s="10" t="s">
        <v>1</v>
      </c>
      <c r="B2" s="11" t="s">
        <v>2</v>
      </c>
      <c r="C2" s="77" t="s">
        <v>3</v>
      </c>
    </row>
    <row r="3" s="1" customFormat="1" ht="27" customHeight="1" spans="1:3">
      <c r="A3" s="16"/>
      <c r="B3" s="17"/>
      <c r="C3" s="83"/>
    </row>
    <row r="4" s="2" customFormat="1" ht="10" customHeight="1" spans="1:3">
      <c r="A4" s="90" t="s">
        <v>4</v>
      </c>
      <c r="B4" s="47" t="s">
        <v>5</v>
      </c>
      <c r="C4" s="99">
        <f>SUM('JOB090350'!AF18)</f>
        <v>-3667.93548945174</v>
      </c>
    </row>
    <row r="5" s="2" customFormat="1" ht="10" customHeight="1" spans="1:3">
      <c r="A5" s="90"/>
      <c r="B5" s="47"/>
      <c r="C5" s="102"/>
    </row>
    <row r="6" s="2" customFormat="1" ht="10" customHeight="1" spans="1:3">
      <c r="A6" s="90"/>
      <c r="B6" s="47"/>
      <c r="C6" s="102"/>
    </row>
    <row r="7" s="2" customFormat="1" ht="10" customHeight="1" spans="1:3">
      <c r="A7" s="90"/>
      <c r="B7" s="47"/>
      <c r="C7" s="102"/>
    </row>
    <row r="8" s="2" customFormat="1" ht="10" customHeight="1" spans="1:3">
      <c r="A8" s="90"/>
      <c r="B8" s="47"/>
      <c r="C8" s="102"/>
    </row>
    <row r="9" s="2" customFormat="1" ht="10" customHeight="1" spans="1:3">
      <c r="A9" s="90"/>
      <c r="B9" s="47"/>
      <c r="C9" s="102"/>
    </row>
    <row r="10" s="2" customFormat="1" ht="10" customHeight="1" spans="1:3">
      <c r="A10" s="90"/>
      <c r="B10" s="47"/>
      <c r="C10" s="102"/>
    </row>
    <row r="11" s="2" customFormat="1" ht="10" customHeight="1" spans="1:3">
      <c r="A11" s="90"/>
      <c r="B11" s="47"/>
      <c r="C11" s="102"/>
    </row>
    <row r="12" s="2" customFormat="1" ht="10" customHeight="1" spans="1:3">
      <c r="A12" s="90"/>
      <c r="B12" s="47"/>
      <c r="C12" s="102"/>
    </row>
    <row r="13" s="2" customFormat="1" ht="10" customHeight="1" spans="1:3">
      <c r="A13" s="90"/>
      <c r="B13" s="47"/>
      <c r="C13" s="102"/>
    </row>
    <row r="14" s="2" customFormat="1" ht="10" customHeight="1" spans="1:3">
      <c r="A14" s="90"/>
      <c r="B14" s="47"/>
      <c r="C14" s="103"/>
    </row>
    <row r="15" s="2" customFormat="1" ht="10" customHeight="1" spans="1:3">
      <c r="A15" s="90"/>
      <c r="B15" s="47"/>
      <c r="C15" s="102"/>
    </row>
    <row r="16" s="2" customFormat="1" ht="10" customHeight="1" spans="1:3">
      <c r="A16" s="90"/>
      <c r="B16" s="47"/>
      <c r="C16" s="103"/>
    </row>
    <row r="17" s="2" customFormat="1" ht="10" customHeight="1" spans="1:3">
      <c r="A17" s="90" t="s">
        <v>6</v>
      </c>
      <c r="B17" s="47" t="s">
        <v>7</v>
      </c>
      <c r="C17" s="99">
        <f>SUM('JOB090351'!AF16)</f>
        <v>4152.45749895765</v>
      </c>
    </row>
    <row r="18" s="2" customFormat="1" ht="10" customHeight="1" spans="1:3">
      <c r="A18" s="90"/>
      <c r="B18" s="47"/>
      <c r="C18" s="102"/>
    </row>
    <row r="19" s="2" customFormat="1" ht="10" customHeight="1" spans="1:3">
      <c r="A19" s="90"/>
      <c r="B19" s="47"/>
      <c r="C19" s="102"/>
    </row>
    <row r="20" s="2" customFormat="1" ht="10" customHeight="1" spans="1:3">
      <c r="A20" s="90"/>
      <c r="B20" s="47"/>
      <c r="C20" s="102"/>
    </row>
    <row r="21" s="2" customFormat="1" ht="10" customHeight="1" spans="1:3">
      <c r="A21" s="90"/>
      <c r="B21" s="47"/>
      <c r="C21" s="102"/>
    </row>
    <row r="22" s="2" customFormat="1" ht="10" customHeight="1" spans="1:3">
      <c r="A22" s="90"/>
      <c r="B22" s="47"/>
      <c r="C22" s="102"/>
    </row>
    <row r="23" s="2" customFormat="1" ht="10" customHeight="1" spans="1:3">
      <c r="A23" s="90"/>
      <c r="B23" s="47"/>
      <c r="C23" s="102"/>
    </row>
    <row r="24" s="2" customFormat="1" ht="10" customHeight="1" spans="1:3">
      <c r="A24" s="90"/>
      <c r="B24" s="47"/>
      <c r="C24" s="102"/>
    </row>
    <row r="25" s="2" customFormat="1" ht="10" customHeight="1" spans="1:3">
      <c r="A25" s="90"/>
      <c r="B25" s="47"/>
      <c r="C25" s="103"/>
    </row>
    <row r="26" s="2" customFormat="1" ht="10" customHeight="1" spans="1:3">
      <c r="A26" s="90"/>
      <c r="B26" s="47"/>
      <c r="C26" s="103"/>
    </row>
    <row r="27" s="2" customFormat="1" ht="10" customHeight="1" spans="1:3">
      <c r="A27" s="90"/>
      <c r="B27" s="47"/>
      <c r="C27" s="103"/>
    </row>
    <row r="28" s="2" customFormat="1" ht="10" customHeight="1" spans="1:3">
      <c r="A28" s="90" t="s">
        <v>8</v>
      </c>
      <c r="B28" s="47" t="s">
        <v>9</v>
      </c>
      <c r="C28" s="99">
        <f>SUM('JOB090364'!AF30)</f>
        <v>33956.7122795177</v>
      </c>
    </row>
    <row r="29" s="2" customFormat="1" ht="10" customHeight="1" spans="1:3">
      <c r="A29" s="90"/>
      <c r="B29" s="47"/>
      <c r="C29" s="102"/>
    </row>
    <row r="30" s="2" customFormat="1" ht="10" customHeight="1" spans="1:3">
      <c r="A30" s="90"/>
      <c r="B30" s="47"/>
      <c r="C30" s="102"/>
    </row>
    <row r="31" s="2" customFormat="1" ht="10" customHeight="1" spans="1:3">
      <c r="A31" s="90"/>
      <c r="B31" s="47"/>
      <c r="C31" s="102"/>
    </row>
    <row r="32" s="2" customFormat="1" ht="10" customHeight="1" spans="1:3">
      <c r="A32" s="90"/>
      <c r="B32" s="47"/>
      <c r="C32" s="102"/>
    </row>
    <row r="33" s="2" customFormat="1" ht="10" customHeight="1" spans="1:3">
      <c r="A33" s="90"/>
      <c r="B33" s="47"/>
      <c r="C33" s="102"/>
    </row>
    <row r="34" s="2" customFormat="1" ht="10" customHeight="1" spans="1:3">
      <c r="A34" s="90"/>
      <c r="B34" s="47"/>
      <c r="C34" s="102"/>
    </row>
    <row r="35" s="2" customFormat="1" ht="10" customHeight="1" spans="1:3">
      <c r="A35" s="90"/>
      <c r="B35" s="47"/>
      <c r="C35" s="103"/>
    </row>
    <row r="36" s="2" customFormat="1" ht="10" customHeight="1" spans="1:3">
      <c r="A36" s="90"/>
      <c r="B36" s="47"/>
      <c r="C36" s="102"/>
    </row>
    <row r="37" s="2" customFormat="1" ht="10" customHeight="1" spans="1:3">
      <c r="A37" s="90"/>
      <c r="B37" s="47"/>
      <c r="C37" s="102"/>
    </row>
    <row r="38" s="2" customFormat="1" ht="10" customHeight="1" spans="1:3">
      <c r="A38" s="90"/>
      <c r="B38" s="47"/>
      <c r="C38" s="102"/>
    </row>
    <row r="39" s="2" customFormat="1" ht="10" customHeight="1" spans="1:3">
      <c r="A39" s="90"/>
      <c r="B39" s="47"/>
      <c r="C39" s="102"/>
    </row>
    <row r="40" s="2" customFormat="1" ht="10" customHeight="1" spans="1:3">
      <c r="A40" s="90"/>
      <c r="B40" s="47"/>
      <c r="C40" s="102"/>
    </row>
    <row r="41" s="2" customFormat="1" ht="10" customHeight="1" spans="1:3">
      <c r="A41" s="90"/>
      <c r="B41" s="47"/>
      <c r="C41" s="99"/>
    </row>
    <row r="42" s="2" customFormat="1" ht="10" customHeight="1" spans="1:3">
      <c r="A42" s="90"/>
      <c r="B42" s="47"/>
      <c r="C42" s="102"/>
    </row>
    <row r="43" s="2" customFormat="1" ht="10" customHeight="1" spans="1:3">
      <c r="A43" s="90"/>
      <c r="B43" s="47"/>
      <c r="C43" s="102"/>
    </row>
    <row r="44" s="2" customFormat="1" ht="10" customHeight="1" spans="1:3">
      <c r="A44" s="90"/>
      <c r="B44" s="47"/>
      <c r="C44" s="102"/>
    </row>
    <row r="45" s="2" customFormat="1" ht="10" customHeight="1" spans="1:3">
      <c r="A45" s="90"/>
      <c r="B45" s="47"/>
      <c r="C45" s="102"/>
    </row>
    <row r="46" s="2" customFormat="1" ht="10" customHeight="1" spans="1:3">
      <c r="A46" s="90"/>
      <c r="B46" s="47"/>
      <c r="C46" s="102"/>
    </row>
    <row r="47" s="2" customFormat="1" ht="10" customHeight="1" spans="1:3">
      <c r="A47" s="90"/>
      <c r="B47" s="47"/>
      <c r="C47" s="102"/>
    </row>
    <row r="48" s="2" customFormat="1" ht="10" customHeight="1" spans="1:3">
      <c r="A48" s="90"/>
      <c r="B48" s="47"/>
      <c r="C48" s="102"/>
    </row>
    <row r="49" s="2" customFormat="1" ht="10" customHeight="1" spans="1:3">
      <c r="A49" s="90"/>
      <c r="B49" s="47"/>
      <c r="C49" s="102"/>
    </row>
    <row r="50" s="2" customFormat="1" ht="10" customHeight="1" spans="1:3">
      <c r="A50" s="90"/>
      <c r="B50" s="47"/>
      <c r="C50" s="102"/>
    </row>
    <row r="51" s="2" customFormat="1" ht="10" customHeight="1" spans="1:3">
      <c r="A51" s="90"/>
      <c r="B51" s="47"/>
      <c r="C51" s="102"/>
    </row>
    <row r="52" s="2" customFormat="1" ht="10" customHeight="1" spans="1:3">
      <c r="A52" s="90"/>
      <c r="B52" s="47"/>
      <c r="C52" s="103"/>
    </row>
    <row r="53" s="2" customFormat="1" ht="10" customHeight="1" spans="1:3">
      <c r="A53" s="90" t="s">
        <v>10</v>
      </c>
      <c r="B53" s="47" t="s">
        <v>11</v>
      </c>
      <c r="C53" s="99">
        <f>SUM('JOB090366'!AF10)</f>
        <v>1577.5441652</v>
      </c>
    </row>
    <row r="54" s="2" customFormat="1" ht="10" customHeight="1" spans="1:3">
      <c r="A54" s="90"/>
      <c r="B54" s="47"/>
      <c r="C54" s="102"/>
    </row>
    <row r="55" s="2" customFormat="1" ht="10" customHeight="1" spans="1:3">
      <c r="A55" s="90"/>
      <c r="B55" s="47"/>
      <c r="C55" s="102"/>
    </row>
    <row r="56" s="2" customFormat="1" ht="10" customHeight="1" spans="1:3">
      <c r="A56" s="90"/>
      <c r="B56" s="47"/>
      <c r="C56" s="102"/>
    </row>
    <row r="57" s="2" customFormat="1" ht="10" customHeight="1" spans="1:3">
      <c r="A57" s="90"/>
      <c r="B57" s="47"/>
      <c r="C57" s="103"/>
    </row>
    <row r="58" s="2" customFormat="1" ht="15" customHeight="1" spans="1:3">
      <c r="A58" s="116" t="s">
        <v>12</v>
      </c>
      <c r="B58" s="115" t="s">
        <v>13</v>
      </c>
      <c r="C58" s="70">
        <f>SUM('JOB090367'!AF5)</f>
        <v>-65.7887999999948</v>
      </c>
    </row>
    <row r="59" s="2" customFormat="1" ht="21" customHeight="1" spans="1:3">
      <c r="A59" s="90" t="s">
        <v>14</v>
      </c>
      <c r="B59" s="47" t="s">
        <v>15</v>
      </c>
      <c r="C59" s="70">
        <f>SUM('JOB090368'!AF5)</f>
        <v>10744.57128</v>
      </c>
    </row>
    <row r="60" s="2" customFormat="1" ht="10" customHeight="1" spans="1:3">
      <c r="A60" s="90" t="s">
        <v>16</v>
      </c>
      <c r="B60" s="47" t="s">
        <v>17</v>
      </c>
      <c r="C60" s="99">
        <f>SUM('JOB090375'!AF26)</f>
        <v>19561.749412313</v>
      </c>
    </row>
    <row r="61" s="2" customFormat="1" ht="10" customHeight="1" spans="1:3">
      <c r="A61" s="90"/>
      <c r="B61" s="47"/>
      <c r="C61" s="102"/>
    </row>
    <row r="62" s="2" customFormat="1" ht="10" customHeight="1" spans="1:3">
      <c r="A62" s="90"/>
      <c r="B62" s="47"/>
      <c r="C62" s="102"/>
    </row>
    <row r="63" s="2" customFormat="1" ht="10" customHeight="1" spans="1:3">
      <c r="A63" s="90"/>
      <c r="B63" s="47"/>
      <c r="C63" s="102"/>
    </row>
    <row r="64" s="2" customFormat="1" ht="10" customHeight="1" spans="1:3">
      <c r="A64" s="90"/>
      <c r="B64" s="47"/>
      <c r="C64" s="102"/>
    </row>
    <row r="65" s="2" customFormat="1" ht="10" customHeight="1" spans="1:3">
      <c r="A65" s="90"/>
      <c r="B65" s="47"/>
      <c r="C65" s="102"/>
    </row>
    <row r="66" s="2" customFormat="1" ht="10" customHeight="1" spans="1:3">
      <c r="A66" s="90"/>
      <c r="B66" s="47"/>
      <c r="C66" s="102"/>
    </row>
    <row r="67" s="2" customFormat="1" ht="10" customHeight="1" spans="1:3">
      <c r="A67" s="90"/>
      <c r="B67" s="47"/>
      <c r="C67" s="102"/>
    </row>
    <row r="68" s="2" customFormat="1" ht="10" customHeight="1" spans="1:3">
      <c r="A68" s="90"/>
      <c r="B68" s="47"/>
      <c r="C68" s="102"/>
    </row>
    <row r="69" s="2" customFormat="1" ht="10" customHeight="1" spans="1:3">
      <c r="A69" s="90"/>
      <c r="B69" s="47"/>
      <c r="C69" s="102"/>
    </row>
    <row r="70" s="2" customFormat="1" ht="10" customHeight="1" spans="1:3">
      <c r="A70" s="90"/>
      <c r="B70" s="47"/>
      <c r="C70" s="102"/>
    </row>
    <row r="71" s="2" customFormat="1" ht="10" customHeight="1" spans="1:3">
      <c r="A71" s="90"/>
      <c r="B71" s="47"/>
      <c r="C71" s="102"/>
    </row>
    <row r="72" s="2" customFormat="1" ht="10" customHeight="1" spans="1:3">
      <c r="A72" s="90"/>
      <c r="B72" s="47"/>
      <c r="C72" s="102"/>
    </row>
    <row r="73" s="2" customFormat="1" ht="10" customHeight="1" spans="1:3">
      <c r="A73" s="90"/>
      <c r="B73" s="47"/>
      <c r="C73" s="102"/>
    </row>
    <row r="74" s="2" customFormat="1" ht="10" customHeight="1" spans="1:3">
      <c r="A74" s="90"/>
      <c r="B74" s="47"/>
      <c r="C74" s="102"/>
    </row>
    <row r="75" s="2" customFormat="1" ht="10" customHeight="1" spans="1:3">
      <c r="A75" s="90"/>
      <c r="B75" s="47"/>
      <c r="C75" s="102"/>
    </row>
    <row r="76" s="2" customFormat="1" ht="10" customHeight="1" spans="1:3">
      <c r="A76" s="90"/>
      <c r="B76" s="47"/>
      <c r="C76" s="102"/>
    </row>
    <row r="77" s="2" customFormat="1" ht="10" customHeight="1" spans="1:3">
      <c r="A77" s="90"/>
      <c r="B77" s="47"/>
      <c r="C77" s="102"/>
    </row>
    <row r="78" s="2" customFormat="1" ht="10" customHeight="1" spans="1:3">
      <c r="A78" s="90"/>
      <c r="B78" s="47"/>
      <c r="C78" s="102"/>
    </row>
    <row r="79" s="2" customFormat="1" ht="10" customHeight="1" spans="1:3">
      <c r="A79" s="90"/>
      <c r="B79" s="47"/>
      <c r="C79" s="102"/>
    </row>
    <row r="80" s="2" customFormat="1" ht="10" customHeight="1" spans="1:3">
      <c r="A80" s="90"/>
      <c r="B80" s="47"/>
      <c r="C80" s="103"/>
    </row>
    <row r="81" s="2" customFormat="1" ht="10" customHeight="1" spans="1:3">
      <c r="A81" s="104" t="s">
        <v>18</v>
      </c>
      <c r="B81" s="104" t="s">
        <v>19</v>
      </c>
      <c r="C81" s="102">
        <f>SUM('JOB090387'!AF19)</f>
        <v>14960.7348388977</v>
      </c>
    </row>
    <row r="82" s="2" customFormat="1" ht="10" customHeight="1" spans="1:3">
      <c r="A82" s="105"/>
      <c r="B82" s="105"/>
      <c r="C82" s="102"/>
    </row>
    <row r="83" s="2" customFormat="1" ht="10" customHeight="1" spans="1:3">
      <c r="A83" s="105"/>
      <c r="B83" s="105"/>
      <c r="C83" s="102"/>
    </row>
    <row r="84" s="2" customFormat="1" ht="10" customHeight="1" spans="1:3">
      <c r="A84" s="105"/>
      <c r="B84" s="105"/>
      <c r="C84" s="102"/>
    </row>
    <row r="85" s="2" customFormat="1" ht="10" customHeight="1" spans="1:3">
      <c r="A85" s="105"/>
      <c r="B85" s="105"/>
      <c r="C85" s="102"/>
    </row>
    <row r="86" s="2" customFormat="1" ht="10" customHeight="1" spans="1:3">
      <c r="A86" s="105"/>
      <c r="B86" s="105"/>
      <c r="C86" s="102"/>
    </row>
    <row r="87" s="2" customFormat="1" ht="10" customHeight="1" spans="1:3">
      <c r="A87" s="105"/>
      <c r="B87" s="105"/>
      <c r="C87" s="102"/>
    </row>
    <row r="88" s="2" customFormat="1" ht="10" customHeight="1" spans="1:3">
      <c r="A88" s="105"/>
      <c r="B88" s="105"/>
      <c r="C88" s="102"/>
    </row>
    <row r="89" s="2" customFormat="1" ht="10" customHeight="1" spans="1:3">
      <c r="A89" s="105"/>
      <c r="B89" s="105"/>
      <c r="C89" s="102"/>
    </row>
    <row r="90" s="2" customFormat="1" ht="10" customHeight="1" spans="1:3">
      <c r="A90" s="105"/>
      <c r="B90" s="105"/>
      <c r="C90" s="102"/>
    </row>
    <row r="91" s="2" customFormat="1" ht="10" customHeight="1" spans="1:3">
      <c r="A91" s="105"/>
      <c r="B91" s="105"/>
      <c r="C91" s="102"/>
    </row>
    <row r="92" s="2" customFormat="1" ht="10" customHeight="1" spans="1:3">
      <c r="A92" s="105"/>
      <c r="B92" s="105"/>
      <c r="C92" s="102"/>
    </row>
    <row r="93" s="2" customFormat="1" ht="10" customHeight="1" spans="1:3">
      <c r="A93" s="105"/>
      <c r="B93" s="105"/>
      <c r="C93" s="102"/>
    </row>
    <row r="94" s="2" customFormat="1" ht="10" customHeight="1" spans="1:3">
      <c r="A94" s="107"/>
      <c r="B94" s="107"/>
      <c r="C94" s="103"/>
    </row>
    <row r="95" s="2" customFormat="1" ht="10" customHeight="1" spans="1:3">
      <c r="A95" s="90" t="s">
        <v>20</v>
      </c>
      <c r="B95" s="47" t="s">
        <v>21</v>
      </c>
      <c r="C95" s="99">
        <f>SUM('JOB090388'!AF15)</f>
        <v>12199.6089506165</v>
      </c>
    </row>
    <row r="96" s="2" customFormat="1" ht="10" customHeight="1" spans="1:3">
      <c r="A96" s="90"/>
      <c r="B96" s="47"/>
      <c r="C96" s="99"/>
    </row>
    <row r="97" s="2" customFormat="1" ht="10" customHeight="1" spans="1:3">
      <c r="A97" s="90"/>
      <c r="B97" s="47"/>
      <c r="C97" s="102"/>
    </row>
    <row r="98" s="2" customFormat="1" ht="10" customHeight="1" spans="1:3">
      <c r="A98" s="90"/>
      <c r="B98" s="47"/>
      <c r="C98" s="102"/>
    </row>
    <row r="99" s="2" customFormat="1" ht="10" customHeight="1" spans="1:3">
      <c r="A99" s="90"/>
      <c r="B99" s="47"/>
      <c r="C99" s="102"/>
    </row>
    <row r="100" s="2" customFormat="1" ht="10" customHeight="1" spans="1:3">
      <c r="A100" s="90"/>
      <c r="B100" s="47"/>
      <c r="C100" s="102"/>
    </row>
    <row r="101" s="2" customFormat="1" ht="10" customHeight="1" spans="1:3">
      <c r="A101" s="90"/>
      <c r="B101" s="47"/>
      <c r="C101" s="102"/>
    </row>
    <row r="102" s="2" customFormat="1" ht="10" customHeight="1" spans="1:3">
      <c r="A102" s="90"/>
      <c r="B102" s="47"/>
      <c r="C102" s="102"/>
    </row>
    <row r="103" s="2" customFormat="1" ht="10" customHeight="1" spans="1:3">
      <c r="A103" s="90"/>
      <c r="B103" s="47"/>
      <c r="C103" s="102"/>
    </row>
    <row r="104" s="2" customFormat="1" ht="10" customHeight="1" spans="1:3">
      <c r="A104" s="90"/>
      <c r="B104" s="47"/>
      <c r="C104" s="103"/>
    </row>
    <row r="105" s="2" customFormat="1" spans="1:3">
      <c r="A105" s="20" t="s">
        <v>22</v>
      </c>
      <c r="B105" s="21" t="s">
        <v>23</v>
      </c>
      <c r="C105" s="70">
        <f>SUM('JOB110331'!AF5)</f>
        <v>15800.516</v>
      </c>
    </row>
    <row r="106" s="2" customFormat="1" spans="1:3">
      <c r="A106" s="20" t="s">
        <v>24</v>
      </c>
      <c r="B106" s="21" t="s">
        <v>25</v>
      </c>
      <c r="C106" s="70">
        <f>SUM('JOB100351'!AF5)</f>
        <v>31841.0864</v>
      </c>
    </row>
    <row r="107" ht="15.75" spans="1:3">
      <c r="A107" s="25" t="s">
        <v>26</v>
      </c>
      <c r="B107" s="26"/>
      <c r="C107" s="86">
        <f>SUM(C3:C106)</f>
        <v>141061.256536051</v>
      </c>
    </row>
    <row r="108" customFormat="1" spans="3:3">
      <c r="C108" s="8"/>
    </row>
    <row r="109" customFormat="1" spans="3:3">
      <c r="C109" s="8"/>
    </row>
    <row r="110" customFormat="1" spans="3:3">
      <c r="C110" s="8"/>
    </row>
    <row r="111" customFormat="1" spans="3:3">
      <c r="C111" s="8"/>
    </row>
    <row r="112" customFormat="1" spans="3:3">
      <c r="C112" s="8"/>
    </row>
    <row r="113" customFormat="1" spans="3:3">
      <c r="C113" s="8"/>
    </row>
    <row r="114" customFormat="1" spans="3:3">
      <c r="C114" s="8"/>
    </row>
    <row r="115" customFormat="1" spans="3:3">
      <c r="C115" s="8"/>
    </row>
    <row r="116" customFormat="1" spans="3:3">
      <c r="C116" s="8"/>
    </row>
    <row r="117" customFormat="1" spans="3:3">
      <c r="C117" s="8"/>
    </row>
    <row r="118" customFormat="1" spans="3:3">
      <c r="C118" s="8"/>
    </row>
    <row r="119" customFormat="1" spans="3:3">
      <c r="C119" s="8"/>
    </row>
    <row r="120" customFormat="1" spans="3:3">
      <c r="C120" s="8"/>
    </row>
    <row r="121" customFormat="1" spans="3:3">
      <c r="C121" s="8"/>
    </row>
    <row r="122" customFormat="1" spans="3:3">
      <c r="C122" s="8"/>
    </row>
    <row r="123" customFormat="1" spans="3:3">
      <c r="C123" s="8"/>
    </row>
  </sheetData>
  <autoFilter xmlns:etc="http://www.wps.cn/officeDocument/2017/etCustomData" ref="A2:C107" etc:filterBottomFollowUsedRange="0">
    <extLst/>
  </autoFilter>
  <mergeCells count="25">
    <mergeCell ref="A1:C1"/>
    <mergeCell ref="A2:A3"/>
    <mergeCell ref="A4:A16"/>
    <mergeCell ref="A17:A27"/>
    <mergeCell ref="A28:A52"/>
    <mergeCell ref="A53:A57"/>
    <mergeCell ref="A60:A80"/>
    <mergeCell ref="A81:A94"/>
    <mergeCell ref="A95:A104"/>
    <mergeCell ref="B2:B3"/>
    <mergeCell ref="B4:B16"/>
    <mergeCell ref="B17:B27"/>
    <mergeCell ref="B28:B52"/>
    <mergeCell ref="B53:B57"/>
    <mergeCell ref="B60:B80"/>
    <mergeCell ref="B81:B94"/>
    <mergeCell ref="B95:B104"/>
    <mergeCell ref="C2:C3"/>
    <mergeCell ref="C4:C16"/>
    <mergeCell ref="C17:C27"/>
    <mergeCell ref="C28:C52"/>
    <mergeCell ref="C53:C57"/>
    <mergeCell ref="C60:C80"/>
    <mergeCell ref="C81:C94"/>
    <mergeCell ref="C95:C10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3"/>
  <sheetViews>
    <sheetView tabSelected="1" zoomScale="110" zoomScaleNormal="110" topLeftCell="F1" workbookViewId="0">
      <pane xSplit="10" ySplit="3" topLeftCell="P93" activePane="bottomRight" state="frozen"/>
      <selection/>
      <selection pane="topRight"/>
      <selection pane="bottomLeft"/>
      <selection pane="bottomRight" activeCell="P107" sqref="P107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4.8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7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4" t="s">
        <v>39</v>
      </c>
      <c r="Z2" s="74"/>
      <c r="AA2" s="74"/>
      <c r="AB2" s="74"/>
      <c r="AC2" s="75"/>
      <c r="AD2" s="74"/>
      <c r="AE2" s="76" t="s">
        <v>40</v>
      </c>
      <c r="AF2" s="77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8" t="s">
        <v>53</v>
      </c>
      <c r="Z3" s="78" t="s">
        <v>54</v>
      </c>
      <c r="AA3" s="78" t="s">
        <v>55</v>
      </c>
      <c r="AB3" s="79" t="s">
        <v>56</v>
      </c>
      <c r="AC3" s="80" t="s">
        <v>57</v>
      </c>
      <c r="AD3" s="81" t="s">
        <v>47</v>
      </c>
      <c r="AE3" s="82" t="s">
        <v>58</v>
      </c>
      <c r="AF3" s="83"/>
    </row>
    <row r="4" s="2" customFormat="1" spans="1:32">
      <c r="A4" s="90" t="s">
        <v>4</v>
      </c>
      <c r="B4" s="47" t="s">
        <v>5</v>
      </c>
      <c r="C4" s="22">
        <v>240807000019</v>
      </c>
      <c r="D4" s="23">
        <v>45539</v>
      </c>
      <c r="E4" s="23" t="s">
        <v>59</v>
      </c>
      <c r="F4" s="47" t="s">
        <v>59</v>
      </c>
      <c r="G4" s="47" t="s">
        <v>60</v>
      </c>
      <c r="H4" s="91">
        <v>55.0796</v>
      </c>
      <c r="I4" s="91">
        <v>14200</v>
      </c>
      <c r="J4" s="42">
        <v>26216.12</v>
      </c>
      <c r="K4" s="97">
        <v>21550555</v>
      </c>
      <c r="L4" s="92"/>
      <c r="M4" s="45">
        <f t="shared" ref="M4:M6" si="0">SUM(K4/N4)</f>
        <v>1560.26071248864</v>
      </c>
      <c r="N4" s="112">
        <v>13812.15</v>
      </c>
      <c r="O4" s="47">
        <v>7.24</v>
      </c>
      <c r="P4" s="48">
        <f>SUM(N4*O4+J4)</f>
        <v>126216.086</v>
      </c>
      <c r="Q4" s="99">
        <f>SUM(P4:P16)</f>
        <v>196493.638775</v>
      </c>
      <c r="R4" s="100" t="s">
        <v>61</v>
      </c>
      <c r="S4" s="70">
        <f>SUM(51391/68)*H4</f>
        <v>41626.4077</v>
      </c>
      <c r="T4" s="70"/>
      <c r="U4" s="70">
        <f>SUM(1450/68)*H4</f>
        <v>1174.49147058824</v>
      </c>
      <c r="V4" s="114">
        <v>600</v>
      </c>
      <c r="W4" s="114">
        <f>SUM(235.5+800)</f>
        <v>1035.5</v>
      </c>
      <c r="X4" s="101">
        <f>SUM(S4:W4)</f>
        <v>44436.3991705882</v>
      </c>
      <c r="Y4" s="84">
        <f>SUM(10737.46/68)*H4</f>
        <v>8697.27943847059</v>
      </c>
      <c r="Z4" s="84">
        <v>1858.41</v>
      </c>
      <c r="AA4" s="84"/>
      <c r="AB4" s="84">
        <f>SUM(Y4:AA4)</f>
        <v>10555.6894384706</v>
      </c>
      <c r="AC4" s="85">
        <v>7.12</v>
      </c>
      <c r="AD4" s="70">
        <f>SUM(AB4*AC4)</f>
        <v>75156.5088019106</v>
      </c>
      <c r="AE4" s="70">
        <f>SUM(X4+AD4)</f>
        <v>119592.907972499</v>
      </c>
      <c r="AF4" s="70">
        <f>SUM(P4-AE4)</f>
        <v>6623.1780275012</v>
      </c>
    </row>
    <row r="5" s="2" customFormat="1" spans="1:32">
      <c r="A5" s="90"/>
      <c r="B5" s="47"/>
      <c r="C5" s="22">
        <v>240827000016</v>
      </c>
      <c r="D5" s="23">
        <v>45539</v>
      </c>
      <c r="E5" s="23" t="s">
        <v>62</v>
      </c>
      <c r="F5" s="47" t="s">
        <v>63</v>
      </c>
      <c r="G5" s="47" t="s">
        <v>64</v>
      </c>
      <c r="H5" s="91">
        <v>0.2537</v>
      </c>
      <c r="I5" s="91">
        <v>138</v>
      </c>
      <c r="J5" s="48"/>
      <c r="K5" s="97">
        <v>202127.5</v>
      </c>
      <c r="L5" s="92"/>
      <c r="M5" s="45">
        <f t="shared" si="0"/>
        <v>1735</v>
      </c>
      <c r="N5" s="112">
        <v>116.5</v>
      </c>
      <c r="O5" s="47">
        <v>7.12</v>
      </c>
      <c r="P5" s="48">
        <f t="shared" ref="P5:P8" si="1">SUM(N5*O5)</f>
        <v>829.48</v>
      </c>
      <c r="Q5" s="102"/>
      <c r="R5" s="102"/>
      <c r="S5" s="70">
        <f t="shared" ref="S5:S16" si="2">SUM(51391/68)*H5</f>
        <v>191.733775</v>
      </c>
      <c r="T5" s="70"/>
      <c r="U5" s="70">
        <f t="shared" ref="U5:U16" si="3">SUM(1450/68)*H5</f>
        <v>5.40977941176471</v>
      </c>
      <c r="V5" s="70"/>
      <c r="W5" s="114">
        <v>240</v>
      </c>
      <c r="X5" s="101">
        <f t="shared" ref="X5:X16" si="4">SUM(S5:W5)</f>
        <v>437.143554411765</v>
      </c>
      <c r="Y5" s="84">
        <f t="shared" ref="Y5:Y17" si="5">SUM(10737.46/68)*H5</f>
        <v>40.0602000294118</v>
      </c>
      <c r="Z5" s="84"/>
      <c r="AA5" s="84"/>
      <c r="AB5" s="84">
        <f t="shared" ref="AB5:AB16" si="6">SUM(Y5:AA5)</f>
        <v>40.0602000294118</v>
      </c>
      <c r="AC5" s="85">
        <v>7.12</v>
      </c>
      <c r="AD5" s="70">
        <f t="shared" ref="AD5:AD16" si="7">SUM(AB5*AC5)</f>
        <v>285.228624209412</v>
      </c>
      <c r="AE5" s="70">
        <f t="shared" ref="AE5:AE16" si="8">SUM(X5+AD5)</f>
        <v>722.372178621176</v>
      </c>
      <c r="AF5" s="70">
        <f t="shared" ref="AF5:AF16" si="9">SUM(P5-AE5)</f>
        <v>107.107821378824</v>
      </c>
    </row>
    <row r="6" s="2" customFormat="1" spans="1:32">
      <c r="A6" s="90"/>
      <c r="B6" s="47"/>
      <c r="C6" s="22">
        <v>240827000023</v>
      </c>
      <c r="D6" s="23">
        <v>45539</v>
      </c>
      <c r="E6" s="23" t="s">
        <v>59</v>
      </c>
      <c r="F6" s="47" t="s">
        <v>59</v>
      </c>
      <c r="G6" s="47" t="s">
        <v>65</v>
      </c>
      <c r="H6" s="91">
        <v>3.027</v>
      </c>
      <c r="I6" s="91">
        <v>2480</v>
      </c>
      <c r="J6" s="48"/>
      <c r="K6" s="97">
        <v>1916044.9</v>
      </c>
      <c r="L6" s="92"/>
      <c r="M6" s="45">
        <f t="shared" si="0"/>
        <v>1745</v>
      </c>
      <c r="N6" s="112">
        <v>1098.02</v>
      </c>
      <c r="O6" s="47">
        <v>7.12</v>
      </c>
      <c r="P6" s="48">
        <f t="shared" si="1"/>
        <v>7817.9024</v>
      </c>
      <c r="Q6" s="102"/>
      <c r="R6" s="102"/>
      <c r="S6" s="70">
        <f t="shared" si="2"/>
        <v>2287.65525</v>
      </c>
      <c r="T6" s="70"/>
      <c r="U6" s="70">
        <f t="shared" si="3"/>
        <v>64.5463235294118</v>
      </c>
      <c r="V6" s="70"/>
      <c r="W6" s="70"/>
      <c r="X6" s="101">
        <f t="shared" si="4"/>
        <v>2352.20157352941</v>
      </c>
      <c r="Y6" s="84">
        <f t="shared" si="5"/>
        <v>477.974873823529</v>
      </c>
      <c r="Z6" s="84"/>
      <c r="AA6" s="84"/>
      <c r="AB6" s="84">
        <f t="shared" si="6"/>
        <v>477.974873823529</v>
      </c>
      <c r="AC6" s="85">
        <v>7.12</v>
      </c>
      <c r="AD6" s="70">
        <f t="shared" si="7"/>
        <v>3403.18110162353</v>
      </c>
      <c r="AE6" s="70">
        <f t="shared" si="8"/>
        <v>5755.38267515294</v>
      </c>
      <c r="AF6" s="70">
        <f t="shared" si="9"/>
        <v>2062.51972484706</v>
      </c>
    </row>
    <row r="7" s="2" customFormat="1" spans="1:32">
      <c r="A7" s="90"/>
      <c r="B7" s="47"/>
      <c r="C7" s="22">
        <v>240828000016</v>
      </c>
      <c r="D7" s="23">
        <v>45539</v>
      </c>
      <c r="E7" s="23" t="s">
        <v>66</v>
      </c>
      <c r="F7" s="47" t="s">
        <v>67</v>
      </c>
      <c r="G7" s="47" t="s">
        <v>68</v>
      </c>
      <c r="H7" s="91">
        <v>0.1625</v>
      </c>
      <c r="I7" s="91">
        <v>169</v>
      </c>
      <c r="J7" s="42">
        <v>1258.39</v>
      </c>
      <c r="K7" s="85"/>
      <c r="L7" s="92"/>
      <c r="M7" s="45"/>
      <c r="N7" s="92"/>
      <c r="O7" s="47"/>
      <c r="P7" s="48">
        <f t="shared" ref="P7:P10" si="10">SUBTOTAL(9,J7)</f>
        <v>1258.39</v>
      </c>
      <c r="Q7" s="102"/>
      <c r="R7" s="102"/>
      <c r="S7" s="70">
        <f t="shared" si="2"/>
        <v>122.809375</v>
      </c>
      <c r="T7" s="70"/>
      <c r="U7" s="70">
        <f t="shared" si="3"/>
        <v>3.46507352941176</v>
      </c>
      <c r="V7" s="70"/>
      <c r="W7" s="70"/>
      <c r="X7" s="101">
        <f t="shared" si="4"/>
        <v>126.274448529412</v>
      </c>
      <c r="Y7" s="84">
        <f t="shared" si="5"/>
        <v>25.6593713235294</v>
      </c>
      <c r="Z7" s="84">
        <v>93.95</v>
      </c>
      <c r="AA7" s="84"/>
      <c r="AB7" s="84">
        <f t="shared" si="6"/>
        <v>119.609371323529</v>
      </c>
      <c r="AC7" s="85">
        <v>7.12</v>
      </c>
      <c r="AD7" s="70">
        <f t="shared" si="7"/>
        <v>851.618723823529</v>
      </c>
      <c r="AE7" s="70">
        <f t="shared" si="8"/>
        <v>977.893172352941</v>
      </c>
      <c r="AF7" s="70">
        <f t="shared" si="9"/>
        <v>280.496827647059</v>
      </c>
    </row>
    <row r="8" s="2" customFormat="1" spans="1:32">
      <c r="A8" s="90"/>
      <c r="B8" s="47"/>
      <c r="C8" s="22">
        <v>240828000064</v>
      </c>
      <c r="D8" s="23">
        <v>45539</v>
      </c>
      <c r="E8" s="23" t="s">
        <v>62</v>
      </c>
      <c r="F8" s="47" t="s">
        <v>63</v>
      </c>
      <c r="G8" s="47" t="s">
        <v>69</v>
      </c>
      <c r="H8" s="91">
        <v>2.368</v>
      </c>
      <c r="I8" s="91">
        <v>2617</v>
      </c>
      <c r="J8" s="48"/>
      <c r="K8" s="97">
        <v>2020000</v>
      </c>
      <c r="L8" s="92"/>
      <c r="M8" s="45">
        <f>SUM(K8/N8)</f>
        <v>1688.52202079306</v>
      </c>
      <c r="N8" s="112">
        <v>1196.3125</v>
      </c>
      <c r="O8" s="47">
        <v>7.23</v>
      </c>
      <c r="P8" s="48">
        <f t="shared" si="1"/>
        <v>8649.339375</v>
      </c>
      <c r="Q8" s="102"/>
      <c r="R8" s="102"/>
      <c r="S8" s="70">
        <f t="shared" si="2"/>
        <v>1789.616</v>
      </c>
      <c r="T8" s="70"/>
      <c r="U8" s="70">
        <f t="shared" si="3"/>
        <v>50.4941176470588</v>
      </c>
      <c r="V8" s="70"/>
      <c r="W8" s="70"/>
      <c r="X8" s="101">
        <f t="shared" si="4"/>
        <v>1840.11011764706</v>
      </c>
      <c r="Y8" s="84">
        <f t="shared" si="5"/>
        <v>373.916254117647</v>
      </c>
      <c r="Z8" s="84">
        <v>70.8</v>
      </c>
      <c r="AA8" s="84"/>
      <c r="AB8" s="84">
        <f t="shared" si="6"/>
        <v>444.716254117647</v>
      </c>
      <c r="AC8" s="85">
        <v>7.12</v>
      </c>
      <c r="AD8" s="70">
        <f t="shared" si="7"/>
        <v>3166.37972931765</v>
      </c>
      <c r="AE8" s="70">
        <f t="shared" si="8"/>
        <v>5006.48984696471</v>
      </c>
      <c r="AF8" s="70">
        <f t="shared" si="9"/>
        <v>3642.84952803529</v>
      </c>
    </row>
    <row r="9" s="2" customFormat="1" spans="1:32">
      <c r="A9" s="90"/>
      <c r="B9" s="47"/>
      <c r="C9" s="22">
        <v>240830000003</v>
      </c>
      <c r="D9" s="23">
        <v>45539</v>
      </c>
      <c r="E9" s="23" t="s">
        <v>59</v>
      </c>
      <c r="F9" s="47" t="s">
        <v>59</v>
      </c>
      <c r="G9" s="47" t="s">
        <v>70</v>
      </c>
      <c r="H9" s="91">
        <v>0.1448</v>
      </c>
      <c r="I9" s="91">
        <v>20</v>
      </c>
      <c r="J9" s="42">
        <v>333.6</v>
      </c>
      <c r="K9" s="85"/>
      <c r="L9" s="92"/>
      <c r="M9" s="45"/>
      <c r="N9" s="92"/>
      <c r="O9" s="47"/>
      <c r="P9" s="48">
        <f t="shared" si="10"/>
        <v>333.6</v>
      </c>
      <c r="Q9" s="102"/>
      <c r="R9" s="102"/>
      <c r="S9" s="70">
        <f t="shared" si="2"/>
        <v>109.4326</v>
      </c>
      <c r="T9" s="70"/>
      <c r="U9" s="70">
        <f t="shared" si="3"/>
        <v>3.08764705882353</v>
      </c>
      <c r="V9" s="70"/>
      <c r="W9" s="70"/>
      <c r="X9" s="101">
        <f t="shared" si="4"/>
        <v>112.520247058824</v>
      </c>
      <c r="Y9" s="84">
        <f t="shared" si="5"/>
        <v>22.8644736470588</v>
      </c>
      <c r="Z9" s="84">
        <v>5.9</v>
      </c>
      <c r="AA9" s="84"/>
      <c r="AB9" s="84">
        <f t="shared" si="6"/>
        <v>28.7644736470588</v>
      </c>
      <c r="AC9" s="85">
        <v>7.12</v>
      </c>
      <c r="AD9" s="70">
        <f t="shared" si="7"/>
        <v>204.803052367059</v>
      </c>
      <c r="AE9" s="70">
        <f t="shared" si="8"/>
        <v>317.323299425882</v>
      </c>
      <c r="AF9" s="70">
        <f t="shared" si="9"/>
        <v>16.276700574118</v>
      </c>
    </row>
    <row r="10" s="2" customFormat="1" spans="1:32">
      <c r="A10" s="90"/>
      <c r="B10" s="47"/>
      <c r="C10" s="22">
        <v>240830000027</v>
      </c>
      <c r="D10" s="23">
        <v>45539</v>
      </c>
      <c r="E10" s="23" t="s">
        <v>71</v>
      </c>
      <c r="F10" s="47" t="s">
        <v>72</v>
      </c>
      <c r="G10" s="47" t="s">
        <v>73</v>
      </c>
      <c r="H10" s="91">
        <v>0.866</v>
      </c>
      <c r="I10" s="91">
        <v>98</v>
      </c>
      <c r="J10" s="42">
        <v>1871</v>
      </c>
      <c r="K10" s="85"/>
      <c r="L10" s="92"/>
      <c r="M10" s="45"/>
      <c r="N10" s="92"/>
      <c r="O10" s="47"/>
      <c r="P10" s="48">
        <f t="shared" si="10"/>
        <v>1871</v>
      </c>
      <c r="Q10" s="102"/>
      <c r="R10" s="102"/>
      <c r="S10" s="70">
        <f t="shared" si="2"/>
        <v>654.4795</v>
      </c>
      <c r="T10" s="70"/>
      <c r="U10" s="70">
        <f t="shared" si="3"/>
        <v>18.4661764705882</v>
      </c>
      <c r="V10" s="70"/>
      <c r="W10" s="70"/>
      <c r="X10" s="101">
        <f t="shared" si="4"/>
        <v>672.945676470588</v>
      </c>
      <c r="Y10" s="84">
        <f t="shared" si="5"/>
        <v>136.744711176471</v>
      </c>
      <c r="Z10" s="84"/>
      <c r="AA10" s="84"/>
      <c r="AB10" s="84">
        <f t="shared" si="6"/>
        <v>136.744711176471</v>
      </c>
      <c r="AC10" s="85">
        <v>7.12</v>
      </c>
      <c r="AD10" s="70">
        <f t="shared" si="7"/>
        <v>973.62234357647</v>
      </c>
      <c r="AE10" s="70">
        <f t="shared" si="8"/>
        <v>1646.56802004706</v>
      </c>
      <c r="AF10" s="70">
        <f t="shared" si="9"/>
        <v>224.43197995294</v>
      </c>
    </row>
    <row r="11" s="2" customFormat="1" spans="1:32">
      <c r="A11" s="90"/>
      <c r="B11" s="47"/>
      <c r="C11" s="22">
        <v>240830000048</v>
      </c>
      <c r="D11" s="23">
        <v>45539</v>
      </c>
      <c r="E11" s="23" t="s">
        <v>74</v>
      </c>
      <c r="F11" s="47" t="s">
        <v>75</v>
      </c>
      <c r="G11" s="47" t="s">
        <v>76</v>
      </c>
      <c r="H11" s="91">
        <v>2.146</v>
      </c>
      <c r="I11" s="91">
        <v>268</v>
      </c>
      <c r="J11" s="48"/>
      <c r="K11" s="85"/>
      <c r="L11" s="112">
        <v>640.17</v>
      </c>
      <c r="M11" s="45">
        <f>SUM(K11/N11)</f>
        <v>0</v>
      </c>
      <c r="N11" s="112">
        <v>640.17</v>
      </c>
      <c r="O11" s="47">
        <v>7.3</v>
      </c>
      <c r="P11" s="48">
        <f>SUM(N11*O11)</f>
        <v>4673.241</v>
      </c>
      <c r="Q11" s="102"/>
      <c r="R11" s="102"/>
      <c r="S11" s="70">
        <f t="shared" si="2"/>
        <v>1621.8395</v>
      </c>
      <c r="T11" s="70"/>
      <c r="U11" s="70">
        <f t="shared" si="3"/>
        <v>45.7602941176471</v>
      </c>
      <c r="V11" s="70"/>
      <c r="W11" s="70"/>
      <c r="X11" s="101">
        <f t="shared" si="4"/>
        <v>1667.59979411765</v>
      </c>
      <c r="Y11" s="84">
        <f t="shared" si="5"/>
        <v>338.861605294118</v>
      </c>
      <c r="Z11" s="84"/>
      <c r="AA11" s="84"/>
      <c r="AB11" s="84">
        <f t="shared" si="6"/>
        <v>338.861605294118</v>
      </c>
      <c r="AC11" s="85">
        <v>7.12</v>
      </c>
      <c r="AD11" s="70">
        <f t="shared" si="7"/>
        <v>2412.69462969412</v>
      </c>
      <c r="AE11" s="70">
        <f t="shared" si="8"/>
        <v>4080.29442381176</v>
      </c>
      <c r="AF11" s="70">
        <f t="shared" si="9"/>
        <v>592.946576188236</v>
      </c>
    </row>
    <row r="12" s="2" customFormat="1" spans="1:32">
      <c r="A12" s="90"/>
      <c r="B12" s="47"/>
      <c r="C12" s="22">
        <v>240728000003</v>
      </c>
      <c r="D12" s="23">
        <v>45506</v>
      </c>
      <c r="E12" s="23" t="s">
        <v>59</v>
      </c>
      <c r="F12" s="47" t="s">
        <v>59</v>
      </c>
      <c r="G12" s="47" t="s">
        <v>60</v>
      </c>
      <c r="H12" s="91">
        <v>0.42</v>
      </c>
      <c r="I12" s="91">
        <v>160</v>
      </c>
      <c r="J12" s="42">
        <v>1132</v>
      </c>
      <c r="K12" s="85"/>
      <c r="L12" s="92"/>
      <c r="M12" s="45"/>
      <c r="N12" s="92"/>
      <c r="O12" s="47"/>
      <c r="P12" s="48">
        <f t="shared" ref="P12:P16" si="11">SUBTOTAL(9,J12)</f>
        <v>1132</v>
      </c>
      <c r="Q12" s="102"/>
      <c r="R12" s="102"/>
      <c r="S12" s="70">
        <f t="shared" si="2"/>
        <v>317.415</v>
      </c>
      <c r="T12" s="70"/>
      <c r="U12" s="70">
        <f t="shared" si="3"/>
        <v>8.95588235294118</v>
      </c>
      <c r="V12" s="70"/>
      <c r="W12" s="70"/>
      <c r="X12" s="101">
        <f t="shared" si="4"/>
        <v>326.370882352941</v>
      </c>
      <c r="Y12" s="84">
        <f t="shared" si="5"/>
        <v>66.3196058823529</v>
      </c>
      <c r="Z12" s="84">
        <v>31.76</v>
      </c>
      <c r="AA12" s="84"/>
      <c r="AB12" s="84">
        <f t="shared" si="6"/>
        <v>98.0796058823529</v>
      </c>
      <c r="AC12" s="85">
        <v>7.12</v>
      </c>
      <c r="AD12" s="70">
        <f t="shared" si="7"/>
        <v>698.326793882353</v>
      </c>
      <c r="AE12" s="70">
        <f t="shared" si="8"/>
        <v>1024.69767623529</v>
      </c>
      <c r="AF12" s="70">
        <f t="shared" si="9"/>
        <v>107.30232376471</v>
      </c>
    </row>
    <row r="13" s="2" customFormat="1" spans="1:32">
      <c r="A13" s="90"/>
      <c r="B13" s="47"/>
      <c r="C13" s="22">
        <v>240904000001</v>
      </c>
      <c r="D13" s="23">
        <v>45539</v>
      </c>
      <c r="E13" s="23" t="s">
        <v>59</v>
      </c>
      <c r="F13" s="47" t="s">
        <v>59</v>
      </c>
      <c r="G13" s="47" t="s">
        <v>77</v>
      </c>
      <c r="H13" s="91">
        <v>19.05</v>
      </c>
      <c r="I13" s="91">
        <v>2484</v>
      </c>
      <c r="J13" s="42">
        <v>25671.21</v>
      </c>
      <c r="K13" s="85"/>
      <c r="L13" s="92"/>
      <c r="M13" s="45"/>
      <c r="N13" s="112"/>
      <c r="O13" s="47"/>
      <c r="P13" s="48">
        <f t="shared" si="11"/>
        <v>25671.21</v>
      </c>
      <c r="Q13" s="102"/>
      <c r="R13" s="102"/>
      <c r="S13" s="70">
        <f t="shared" si="2"/>
        <v>14397.0375</v>
      </c>
      <c r="T13" s="70"/>
      <c r="U13" s="70">
        <f t="shared" si="3"/>
        <v>406.213235294118</v>
      </c>
      <c r="V13" s="70"/>
      <c r="W13" s="70"/>
      <c r="X13" s="101">
        <f t="shared" si="4"/>
        <v>14803.2507352941</v>
      </c>
      <c r="Y13" s="84">
        <f t="shared" si="5"/>
        <v>3008.06783823529</v>
      </c>
      <c r="Z13" s="84"/>
      <c r="AA13" s="84"/>
      <c r="AB13" s="84">
        <f t="shared" si="6"/>
        <v>3008.06783823529</v>
      </c>
      <c r="AC13" s="85">
        <v>7.12</v>
      </c>
      <c r="AD13" s="70">
        <f t="shared" si="7"/>
        <v>21417.4430082353</v>
      </c>
      <c r="AE13" s="70">
        <f t="shared" si="8"/>
        <v>36220.6937435294</v>
      </c>
      <c r="AF13" s="70">
        <f t="shared" si="9"/>
        <v>-10549.4837435294</v>
      </c>
    </row>
    <row r="14" s="2" customFormat="1" spans="1:32">
      <c r="A14" s="90"/>
      <c r="B14" s="47"/>
      <c r="C14" s="22">
        <v>240904000027</v>
      </c>
      <c r="D14" s="23">
        <v>45539</v>
      </c>
      <c r="E14" s="23" t="s">
        <v>78</v>
      </c>
      <c r="F14" s="47" t="s">
        <v>79</v>
      </c>
      <c r="G14" s="47" t="s">
        <v>80</v>
      </c>
      <c r="H14" s="91">
        <v>0.057</v>
      </c>
      <c r="I14" s="91">
        <v>22</v>
      </c>
      <c r="J14" s="48"/>
      <c r="K14" s="97">
        <v>55920</v>
      </c>
      <c r="L14" s="92"/>
      <c r="M14" s="45">
        <f>SUM(K14/N14)</f>
        <v>1679.27927927928</v>
      </c>
      <c r="N14" s="46">
        <v>33.3</v>
      </c>
      <c r="O14" s="47">
        <v>7.12</v>
      </c>
      <c r="P14" s="48">
        <v>237.1</v>
      </c>
      <c r="Q14" s="103"/>
      <c r="R14" s="103"/>
      <c r="S14" s="70">
        <f t="shared" si="2"/>
        <v>43.07775</v>
      </c>
      <c r="T14" s="70"/>
      <c r="U14" s="70">
        <f t="shared" si="3"/>
        <v>1.21544117647059</v>
      </c>
      <c r="V14" s="70"/>
      <c r="W14" s="70"/>
      <c r="X14" s="101">
        <f t="shared" si="4"/>
        <v>44.2931911764706</v>
      </c>
      <c r="Y14" s="84">
        <f t="shared" si="5"/>
        <v>9.00051794117647</v>
      </c>
      <c r="Z14" s="84">
        <v>7.02</v>
      </c>
      <c r="AA14" s="84"/>
      <c r="AB14" s="84">
        <f t="shared" si="6"/>
        <v>16.0205179411765</v>
      </c>
      <c r="AC14" s="85">
        <v>7.12</v>
      </c>
      <c r="AD14" s="70">
        <f t="shared" si="7"/>
        <v>114.066087741176</v>
      </c>
      <c r="AE14" s="70">
        <f t="shared" si="8"/>
        <v>158.359278917647</v>
      </c>
      <c r="AF14" s="70">
        <f t="shared" si="9"/>
        <v>78.7407210823529</v>
      </c>
    </row>
    <row r="15" s="2" customFormat="1" spans="1:32">
      <c r="A15" s="90"/>
      <c r="B15" s="47"/>
      <c r="C15" s="22">
        <v>240904000002</v>
      </c>
      <c r="D15" s="23">
        <v>45539</v>
      </c>
      <c r="E15" s="23" t="s">
        <v>59</v>
      </c>
      <c r="F15" s="47" t="s">
        <v>59</v>
      </c>
      <c r="G15" s="47" t="s">
        <v>77</v>
      </c>
      <c r="H15" s="91">
        <v>12.5</v>
      </c>
      <c r="I15" s="91">
        <v>19</v>
      </c>
      <c r="J15" s="42">
        <v>16844.63</v>
      </c>
      <c r="K15" s="85"/>
      <c r="L15" s="92"/>
      <c r="M15" s="45"/>
      <c r="N15" s="112"/>
      <c r="O15" s="47"/>
      <c r="P15" s="48">
        <f t="shared" si="11"/>
        <v>16844.63</v>
      </c>
      <c r="Q15" s="102"/>
      <c r="R15" s="102"/>
      <c r="S15" s="70">
        <f t="shared" si="2"/>
        <v>9446.875</v>
      </c>
      <c r="T15" s="70"/>
      <c r="U15" s="70">
        <f t="shared" si="3"/>
        <v>266.544117647059</v>
      </c>
      <c r="V15" s="70"/>
      <c r="W15" s="70"/>
      <c r="X15" s="101">
        <f t="shared" ref="X15:X27" si="12">SUM(S15:W15)</f>
        <v>9713.41911764706</v>
      </c>
      <c r="Y15" s="84">
        <f t="shared" si="5"/>
        <v>1973.79779411765</v>
      </c>
      <c r="Z15" s="84"/>
      <c r="AA15" s="84"/>
      <c r="AB15" s="84">
        <f t="shared" ref="AB15:AB27" si="13">SUM(Y15:AA15)</f>
        <v>1973.79779411765</v>
      </c>
      <c r="AC15" s="85">
        <v>7.12</v>
      </c>
      <c r="AD15" s="70">
        <f t="shared" si="7"/>
        <v>14053.4402941176</v>
      </c>
      <c r="AE15" s="70">
        <f t="shared" si="8"/>
        <v>23766.8594117647</v>
      </c>
      <c r="AF15" s="70">
        <f t="shared" ref="AF15:AF27" si="14">SUM(P15-AE15)</f>
        <v>-6922.2294117647</v>
      </c>
    </row>
    <row r="16" s="2" customFormat="1" spans="1:32">
      <c r="A16" s="90"/>
      <c r="B16" s="47"/>
      <c r="C16" s="22">
        <v>240904000021</v>
      </c>
      <c r="D16" s="23">
        <v>45539</v>
      </c>
      <c r="E16" s="23" t="s">
        <v>81</v>
      </c>
      <c r="F16" s="47" t="s">
        <v>82</v>
      </c>
      <c r="G16" s="47" t="s">
        <v>83</v>
      </c>
      <c r="H16" s="91">
        <v>0.469</v>
      </c>
      <c r="I16" s="91">
        <v>105</v>
      </c>
      <c r="J16" s="42">
        <v>959.66</v>
      </c>
      <c r="K16" s="85"/>
      <c r="L16" s="92"/>
      <c r="M16" s="45"/>
      <c r="N16" s="92"/>
      <c r="O16" s="47"/>
      <c r="P16" s="48">
        <f t="shared" si="11"/>
        <v>959.66</v>
      </c>
      <c r="Q16" s="103"/>
      <c r="R16" s="103"/>
      <c r="S16" s="70">
        <f t="shared" si="2"/>
        <v>354.44675</v>
      </c>
      <c r="T16" s="70"/>
      <c r="U16" s="70">
        <f t="shared" si="3"/>
        <v>10.0007352941176</v>
      </c>
      <c r="V16" s="70"/>
      <c r="W16" s="70"/>
      <c r="X16" s="101">
        <f t="shared" si="12"/>
        <v>364.447485294118</v>
      </c>
      <c r="Y16" s="84">
        <f t="shared" si="5"/>
        <v>74.0568932352941</v>
      </c>
      <c r="Z16" s="84"/>
      <c r="AA16" s="84"/>
      <c r="AB16" s="84">
        <f t="shared" si="13"/>
        <v>74.0568932352941</v>
      </c>
      <c r="AC16" s="85">
        <v>7.12</v>
      </c>
      <c r="AD16" s="70">
        <f t="shared" ref="AD16:AD27" si="15">SUM(AB16*AC16)</f>
        <v>527.285079835294</v>
      </c>
      <c r="AE16" s="70">
        <f t="shared" ref="AE16:AE27" si="16">SUM(X16+AD16)</f>
        <v>891.732565129412</v>
      </c>
      <c r="AF16" s="70">
        <f t="shared" si="14"/>
        <v>67.9274348705879</v>
      </c>
    </row>
    <row r="17" s="2" customFormat="1" spans="1:32">
      <c r="A17" s="90" t="s">
        <v>6</v>
      </c>
      <c r="B17" s="47" t="s">
        <v>7</v>
      </c>
      <c r="C17" s="22">
        <v>240828000043</v>
      </c>
      <c r="D17" s="23">
        <v>45539</v>
      </c>
      <c r="E17" s="23" t="s">
        <v>66</v>
      </c>
      <c r="F17" s="47" t="s">
        <v>67</v>
      </c>
      <c r="G17" s="47" t="s">
        <v>84</v>
      </c>
      <c r="H17" s="91">
        <v>6.8939</v>
      </c>
      <c r="I17" s="91">
        <v>3722</v>
      </c>
      <c r="J17" s="48"/>
      <c r="K17" s="97">
        <v>3417687</v>
      </c>
      <c r="L17" s="92"/>
      <c r="M17" s="45">
        <f>SUM(K17/N17)</f>
        <v>1690</v>
      </c>
      <c r="N17" s="112">
        <v>2022.3</v>
      </c>
      <c r="O17" s="47">
        <v>7.3</v>
      </c>
      <c r="P17" s="48">
        <f>SUM(N17*O17)</f>
        <v>14762.79</v>
      </c>
      <c r="Q17" s="99">
        <f>SUM(P17:P27)</f>
        <v>153607.2887292</v>
      </c>
      <c r="R17" s="100" t="s">
        <v>85</v>
      </c>
      <c r="S17" s="70">
        <f>SUM(50249/68)*H17</f>
        <v>5094.28795735294</v>
      </c>
      <c r="T17" s="114">
        <f>SUM(116.62/68)*H17</f>
        <v>11.8230385</v>
      </c>
      <c r="U17" s="70">
        <f>SUM(1750/68)*H17</f>
        <v>177.416544117647</v>
      </c>
      <c r="V17" s="70"/>
      <c r="W17" s="70"/>
      <c r="X17" s="101">
        <f t="shared" si="12"/>
        <v>5283.52753997059</v>
      </c>
      <c r="Y17" s="84">
        <f t="shared" si="5"/>
        <v>1088.57316902941</v>
      </c>
      <c r="Z17" s="84">
        <v>91.45</v>
      </c>
      <c r="AA17" s="84">
        <f>SUM(70.8/68)*H17</f>
        <v>7.17776647058823</v>
      </c>
      <c r="AB17" s="84">
        <f t="shared" si="13"/>
        <v>1187.2009355</v>
      </c>
      <c r="AC17" s="85">
        <v>7.12</v>
      </c>
      <c r="AD17" s="70">
        <f t="shared" si="15"/>
        <v>8452.87066076</v>
      </c>
      <c r="AE17" s="70">
        <f t="shared" si="16"/>
        <v>13736.3982007306</v>
      </c>
      <c r="AF17" s="70">
        <f t="shared" si="14"/>
        <v>1026.39179926941</v>
      </c>
    </row>
    <row r="18" s="2" customFormat="1" spans="1:32">
      <c r="A18" s="90"/>
      <c r="B18" s="47"/>
      <c r="C18" s="22">
        <v>240828000069</v>
      </c>
      <c r="D18" s="23">
        <v>45539</v>
      </c>
      <c r="E18" s="23" t="s">
        <v>81</v>
      </c>
      <c r="F18" s="47" t="s">
        <v>82</v>
      </c>
      <c r="G18" s="47" t="s">
        <v>86</v>
      </c>
      <c r="H18" s="91">
        <v>3.615</v>
      </c>
      <c r="I18" s="91">
        <v>1442</v>
      </c>
      <c r="J18" s="42">
        <v>9176.76</v>
      </c>
      <c r="K18" s="85"/>
      <c r="L18" s="92"/>
      <c r="M18" s="45"/>
      <c r="N18" s="93"/>
      <c r="O18" s="47"/>
      <c r="P18" s="48">
        <f t="shared" ref="P18:P23" si="17">SUBTOTAL(9,J18)</f>
        <v>9176.76</v>
      </c>
      <c r="Q18" s="102"/>
      <c r="R18" s="102"/>
      <c r="S18" s="70">
        <f t="shared" ref="S18:S27" si="18">SUM(50249/68)*H18</f>
        <v>2671.32551470588</v>
      </c>
      <c r="T18" s="114">
        <f t="shared" ref="T18:T27" si="19">SUM(116.62/68)*H18</f>
        <v>6.199725</v>
      </c>
      <c r="U18" s="70">
        <f t="shared" ref="U18:U27" si="20">SUM(1750/68)*H18</f>
        <v>93.0330882352941</v>
      </c>
      <c r="V18" s="70"/>
      <c r="W18" s="70"/>
      <c r="X18" s="101">
        <f t="shared" si="12"/>
        <v>2770.55832794118</v>
      </c>
      <c r="Y18" s="84">
        <f t="shared" ref="Y18:Y28" si="21">SUM(10737.46/68)*H18</f>
        <v>570.822322058823</v>
      </c>
      <c r="Z18" s="96">
        <v>100.29</v>
      </c>
      <c r="AA18" s="84">
        <f t="shared" ref="AA18:AA27" si="22">SUM(70.8/68)*H18</f>
        <v>3.76385294117647</v>
      </c>
      <c r="AB18" s="84">
        <f t="shared" si="13"/>
        <v>674.876175</v>
      </c>
      <c r="AC18" s="85">
        <v>7.12</v>
      </c>
      <c r="AD18" s="70">
        <f t="shared" si="15"/>
        <v>4805.118366</v>
      </c>
      <c r="AE18" s="70">
        <f t="shared" si="16"/>
        <v>7575.67669394118</v>
      </c>
      <c r="AF18" s="70">
        <f t="shared" si="14"/>
        <v>1601.08330605882</v>
      </c>
    </row>
    <row r="19" s="2" customFormat="1" spans="1:32">
      <c r="A19" s="90"/>
      <c r="B19" s="47"/>
      <c r="C19" s="22">
        <v>240819000017</v>
      </c>
      <c r="D19" s="23">
        <v>45516</v>
      </c>
      <c r="E19" s="23" t="s">
        <v>66</v>
      </c>
      <c r="F19" s="47" t="s">
        <v>67</v>
      </c>
      <c r="G19" s="47" t="s">
        <v>87</v>
      </c>
      <c r="H19" s="91">
        <v>4.904</v>
      </c>
      <c r="I19" s="91">
        <v>848</v>
      </c>
      <c r="J19" s="42">
        <v>10475</v>
      </c>
      <c r="K19" s="85"/>
      <c r="L19" s="92"/>
      <c r="M19" s="45"/>
      <c r="N19" s="92"/>
      <c r="O19" s="47"/>
      <c r="P19" s="48">
        <f t="shared" si="17"/>
        <v>10475</v>
      </c>
      <c r="Q19" s="102"/>
      <c r="R19" s="102"/>
      <c r="S19" s="70">
        <f t="shared" si="18"/>
        <v>3623.83964705882</v>
      </c>
      <c r="T19" s="114">
        <f t="shared" si="19"/>
        <v>8.41036</v>
      </c>
      <c r="U19" s="70">
        <f t="shared" si="20"/>
        <v>126.205882352941</v>
      </c>
      <c r="V19" s="70"/>
      <c r="W19" s="70"/>
      <c r="X19" s="101">
        <f t="shared" si="12"/>
        <v>3758.45588941176</v>
      </c>
      <c r="Y19" s="84">
        <f t="shared" si="21"/>
        <v>774.360350588235</v>
      </c>
      <c r="Z19" s="84"/>
      <c r="AA19" s="84">
        <f t="shared" si="22"/>
        <v>5.1059294117647</v>
      </c>
      <c r="AB19" s="84">
        <f t="shared" si="13"/>
        <v>779.46628</v>
      </c>
      <c r="AC19" s="85">
        <v>7.12</v>
      </c>
      <c r="AD19" s="70">
        <f t="shared" si="15"/>
        <v>5549.7999136</v>
      </c>
      <c r="AE19" s="70">
        <f t="shared" si="16"/>
        <v>9308.25580301176</v>
      </c>
      <c r="AF19" s="70">
        <f t="shared" si="14"/>
        <v>1166.74419698824</v>
      </c>
    </row>
    <row r="20" s="2" customFormat="1" spans="1:32">
      <c r="A20" s="90"/>
      <c r="B20" s="47"/>
      <c r="C20" s="22">
        <v>240902000041</v>
      </c>
      <c r="D20" s="23">
        <v>45539</v>
      </c>
      <c r="E20" s="23" t="s">
        <v>88</v>
      </c>
      <c r="F20" s="47" t="s">
        <v>89</v>
      </c>
      <c r="G20" s="47" t="s">
        <v>90</v>
      </c>
      <c r="H20" s="91">
        <v>0.5458</v>
      </c>
      <c r="I20" s="91">
        <v>230</v>
      </c>
      <c r="J20" s="48"/>
      <c r="K20" s="97">
        <v>436950</v>
      </c>
      <c r="L20" s="92"/>
      <c r="M20" s="45">
        <f>SUM(K20/N20)</f>
        <v>1779.040013804</v>
      </c>
      <c r="N20" s="112">
        <v>245.60999</v>
      </c>
      <c r="O20" s="47">
        <v>7.08</v>
      </c>
      <c r="P20" s="48">
        <f>SUM(N20*O20)</f>
        <v>1738.9187292</v>
      </c>
      <c r="Q20" s="102"/>
      <c r="R20" s="102"/>
      <c r="S20" s="70">
        <f t="shared" si="18"/>
        <v>403.322120588235</v>
      </c>
      <c r="T20" s="114">
        <f t="shared" si="19"/>
        <v>0.936047</v>
      </c>
      <c r="U20" s="70">
        <f t="shared" si="20"/>
        <v>14.0463235294118</v>
      </c>
      <c r="V20" s="70"/>
      <c r="W20" s="70"/>
      <c r="X20" s="101">
        <f t="shared" si="12"/>
        <v>418.304491117647</v>
      </c>
      <c r="Y20" s="84">
        <f t="shared" si="21"/>
        <v>86.1839068823529</v>
      </c>
      <c r="Z20" s="84"/>
      <c r="AA20" s="84">
        <f t="shared" si="22"/>
        <v>0.568274117647059</v>
      </c>
      <c r="AB20" s="84">
        <f t="shared" si="13"/>
        <v>86.752181</v>
      </c>
      <c r="AC20" s="85">
        <v>7.12</v>
      </c>
      <c r="AD20" s="70">
        <f t="shared" si="15"/>
        <v>617.67552872</v>
      </c>
      <c r="AE20" s="70">
        <f t="shared" si="16"/>
        <v>1035.98001983765</v>
      </c>
      <c r="AF20" s="70">
        <f t="shared" si="14"/>
        <v>702.938709362353</v>
      </c>
    </row>
    <row r="21" s="2" customFormat="1" spans="1:32">
      <c r="A21" s="90"/>
      <c r="B21" s="47"/>
      <c r="C21" s="22">
        <v>240902000057</v>
      </c>
      <c r="D21" s="23">
        <v>45539</v>
      </c>
      <c r="E21" s="23" t="s">
        <v>81</v>
      </c>
      <c r="F21" s="47" t="s">
        <v>82</v>
      </c>
      <c r="G21" s="47" t="s">
        <v>91</v>
      </c>
      <c r="H21" s="91">
        <v>0.2102</v>
      </c>
      <c r="I21" s="91">
        <v>74</v>
      </c>
      <c r="J21" s="42">
        <v>573.06</v>
      </c>
      <c r="K21" s="85"/>
      <c r="L21" s="92"/>
      <c r="M21" s="45"/>
      <c r="N21" s="92"/>
      <c r="O21" s="47"/>
      <c r="P21" s="48">
        <f t="shared" si="17"/>
        <v>573.06</v>
      </c>
      <c r="Q21" s="102"/>
      <c r="R21" s="102"/>
      <c r="S21" s="70">
        <f t="shared" si="18"/>
        <v>155.328526470588</v>
      </c>
      <c r="T21" s="114">
        <f t="shared" si="19"/>
        <v>0.360493</v>
      </c>
      <c r="U21" s="70">
        <f t="shared" si="20"/>
        <v>5.40955882352941</v>
      </c>
      <c r="V21" s="70"/>
      <c r="W21" s="70"/>
      <c r="X21" s="101">
        <f t="shared" si="12"/>
        <v>161.098578294118</v>
      </c>
      <c r="Y21" s="84">
        <f t="shared" si="21"/>
        <v>33.1913837058823</v>
      </c>
      <c r="Z21" s="84"/>
      <c r="AA21" s="84">
        <f t="shared" si="22"/>
        <v>0.218855294117647</v>
      </c>
      <c r="AB21" s="84">
        <f t="shared" si="13"/>
        <v>33.410239</v>
      </c>
      <c r="AC21" s="85">
        <v>7.12</v>
      </c>
      <c r="AD21" s="70">
        <f t="shared" si="15"/>
        <v>237.88090168</v>
      </c>
      <c r="AE21" s="70">
        <f t="shared" si="16"/>
        <v>398.979479974118</v>
      </c>
      <c r="AF21" s="70">
        <f t="shared" si="14"/>
        <v>174.080520025882</v>
      </c>
    </row>
    <row r="22" s="2" customFormat="1" spans="1:32">
      <c r="A22" s="90"/>
      <c r="B22" s="47"/>
      <c r="C22" s="22">
        <v>240903000009</v>
      </c>
      <c r="D22" s="23">
        <v>45539</v>
      </c>
      <c r="E22" s="23" t="s">
        <v>59</v>
      </c>
      <c r="F22" s="47" t="s">
        <v>59</v>
      </c>
      <c r="G22" s="47" t="s">
        <v>92</v>
      </c>
      <c r="H22" s="91">
        <v>0.2574</v>
      </c>
      <c r="I22" s="91">
        <v>150</v>
      </c>
      <c r="J22" s="42">
        <v>630.11</v>
      </c>
      <c r="K22" s="85"/>
      <c r="L22" s="92"/>
      <c r="M22" s="45"/>
      <c r="N22" s="92"/>
      <c r="O22" s="47"/>
      <c r="P22" s="48">
        <f t="shared" si="17"/>
        <v>630.11</v>
      </c>
      <c r="Q22" s="102"/>
      <c r="R22" s="102"/>
      <c r="S22" s="70">
        <f t="shared" si="18"/>
        <v>190.207244117647</v>
      </c>
      <c r="T22" s="114">
        <f t="shared" si="19"/>
        <v>0.441441</v>
      </c>
      <c r="U22" s="70">
        <f t="shared" si="20"/>
        <v>6.62426470588235</v>
      </c>
      <c r="V22" s="70"/>
      <c r="W22" s="70"/>
      <c r="X22" s="101">
        <f t="shared" si="12"/>
        <v>197.272949823529</v>
      </c>
      <c r="Y22" s="84">
        <f t="shared" si="21"/>
        <v>40.6444441764706</v>
      </c>
      <c r="Z22" s="84"/>
      <c r="AA22" s="84">
        <f t="shared" si="22"/>
        <v>0.267998823529412</v>
      </c>
      <c r="AB22" s="84">
        <f t="shared" si="13"/>
        <v>40.912443</v>
      </c>
      <c r="AC22" s="85">
        <v>7.12</v>
      </c>
      <c r="AD22" s="70">
        <f t="shared" si="15"/>
        <v>291.29659416</v>
      </c>
      <c r="AE22" s="70">
        <f t="shared" si="16"/>
        <v>488.569543983529</v>
      </c>
      <c r="AF22" s="70">
        <f t="shared" si="14"/>
        <v>141.540456016471</v>
      </c>
    </row>
    <row r="23" s="2" customFormat="1" spans="1:32">
      <c r="A23" s="90"/>
      <c r="B23" s="47"/>
      <c r="C23" s="22">
        <v>240903000015</v>
      </c>
      <c r="D23" s="23">
        <v>45539</v>
      </c>
      <c r="E23" s="23" t="s">
        <v>88</v>
      </c>
      <c r="F23" s="47" t="s">
        <v>89</v>
      </c>
      <c r="G23" s="47" t="s">
        <v>93</v>
      </c>
      <c r="H23" s="91">
        <v>0.42</v>
      </c>
      <c r="I23" s="91">
        <v>62</v>
      </c>
      <c r="J23" s="42">
        <v>959.18</v>
      </c>
      <c r="K23" s="85"/>
      <c r="L23" s="92"/>
      <c r="M23" s="45"/>
      <c r="N23" s="92"/>
      <c r="O23" s="47"/>
      <c r="P23" s="48">
        <f t="shared" si="17"/>
        <v>959.18</v>
      </c>
      <c r="Q23" s="102"/>
      <c r="R23" s="102"/>
      <c r="S23" s="70">
        <f t="shared" si="18"/>
        <v>310.361470588235</v>
      </c>
      <c r="T23" s="114">
        <f t="shared" si="19"/>
        <v>0.7203</v>
      </c>
      <c r="U23" s="70">
        <f t="shared" si="20"/>
        <v>10.8088235294118</v>
      </c>
      <c r="V23" s="70"/>
      <c r="W23" s="70"/>
      <c r="X23" s="101">
        <f t="shared" si="12"/>
        <v>321.890594117647</v>
      </c>
      <c r="Y23" s="84">
        <f t="shared" si="21"/>
        <v>66.3196058823529</v>
      </c>
      <c r="Z23" s="84"/>
      <c r="AA23" s="84">
        <f t="shared" si="22"/>
        <v>0.437294117647059</v>
      </c>
      <c r="AB23" s="84">
        <f t="shared" si="13"/>
        <v>66.7569</v>
      </c>
      <c r="AC23" s="85">
        <v>7.12</v>
      </c>
      <c r="AD23" s="70">
        <f t="shared" si="15"/>
        <v>475.309128</v>
      </c>
      <c r="AE23" s="70">
        <f t="shared" si="16"/>
        <v>797.199722117647</v>
      </c>
      <c r="AF23" s="70">
        <f t="shared" si="14"/>
        <v>161.980277882353</v>
      </c>
    </row>
    <row r="24" s="2" customFormat="1" spans="1:32">
      <c r="A24" s="90"/>
      <c r="B24" s="47"/>
      <c r="C24" s="22">
        <v>240902000056</v>
      </c>
      <c r="D24" s="23">
        <v>45547</v>
      </c>
      <c r="E24" s="23" t="s">
        <v>66</v>
      </c>
      <c r="F24" s="47" t="s">
        <v>67</v>
      </c>
      <c r="G24" s="47" t="s">
        <v>94</v>
      </c>
      <c r="H24" s="91">
        <v>0.512</v>
      </c>
      <c r="I24" s="91">
        <v>51</v>
      </c>
      <c r="J24" s="48"/>
      <c r="K24" s="97">
        <v>289240</v>
      </c>
      <c r="L24" s="92"/>
      <c r="M24" s="45">
        <f>SUM(K24/N24)</f>
        <v>1752.9696969697</v>
      </c>
      <c r="N24" s="46">
        <v>165</v>
      </c>
      <c r="O24" s="47">
        <v>7.23</v>
      </c>
      <c r="P24" s="48">
        <f>SUM(N24*O24)</f>
        <v>1192.95</v>
      </c>
      <c r="Q24" s="102"/>
      <c r="R24" s="102"/>
      <c r="S24" s="70">
        <f t="shared" si="18"/>
        <v>378.345411764706</v>
      </c>
      <c r="T24" s="114">
        <f t="shared" si="19"/>
        <v>0.87808</v>
      </c>
      <c r="U24" s="70">
        <f t="shared" si="20"/>
        <v>13.1764705882353</v>
      </c>
      <c r="V24" s="114"/>
      <c r="W24" s="70"/>
      <c r="X24" s="101">
        <f t="shared" si="12"/>
        <v>392.399962352941</v>
      </c>
      <c r="Y24" s="84">
        <f t="shared" si="21"/>
        <v>80.8467576470588</v>
      </c>
      <c r="Z24" s="84"/>
      <c r="AA24" s="84">
        <f t="shared" si="22"/>
        <v>0.533082352941176</v>
      </c>
      <c r="AB24" s="84">
        <f t="shared" si="13"/>
        <v>81.37984</v>
      </c>
      <c r="AC24" s="85">
        <v>7.12</v>
      </c>
      <c r="AD24" s="70">
        <f t="shared" si="15"/>
        <v>579.4244608</v>
      </c>
      <c r="AE24" s="70">
        <f t="shared" si="16"/>
        <v>971.824423152941</v>
      </c>
      <c r="AF24" s="70">
        <f t="shared" si="14"/>
        <v>221.125576847059</v>
      </c>
    </row>
    <row r="25" s="2" customFormat="1" spans="1:32">
      <c r="A25" s="90"/>
      <c r="B25" s="47"/>
      <c r="C25" s="22">
        <v>240813000017</v>
      </c>
      <c r="D25" s="23">
        <v>45539</v>
      </c>
      <c r="E25" s="23" t="s">
        <v>59</v>
      </c>
      <c r="F25" s="47" t="s">
        <v>59</v>
      </c>
      <c r="G25" s="47" t="s">
        <v>95</v>
      </c>
      <c r="H25" s="91">
        <v>21.51</v>
      </c>
      <c r="I25" s="91">
        <v>13906</v>
      </c>
      <c r="J25" s="42">
        <v>59293</v>
      </c>
      <c r="K25" s="85"/>
      <c r="L25" s="92"/>
      <c r="M25" s="45"/>
      <c r="N25" s="92"/>
      <c r="O25" s="47"/>
      <c r="P25" s="48">
        <f t="shared" ref="P25:P30" si="23">SUBTOTAL(9,J25)</f>
        <v>59293</v>
      </c>
      <c r="Q25" s="103"/>
      <c r="R25" s="103"/>
      <c r="S25" s="70">
        <f t="shared" si="18"/>
        <v>15894.9410294118</v>
      </c>
      <c r="T25" s="114">
        <f t="shared" si="19"/>
        <v>36.88965</v>
      </c>
      <c r="U25" s="70">
        <f t="shared" si="20"/>
        <v>553.566176470588</v>
      </c>
      <c r="V25" s="114">
        <v>500</v>
      </c>
      <c r="W25" s="70"/>
      <c r="X25" s="101">
        <f t="shared" si="12"/>
        <v>16985.3968558824</v>
      </c>
      <c r="Y25" s="84">
        <f t="shared" si="21"/>
        <v>3396.51124411765</v>
      </c>
      <c r="Z25" s="84">
        <v>1415.93</v>
      </c>
      <c r="AA25" s="84">
        <f t="shared" si="22"/>
        <v>22.3957058823529</v>
      </c>
      <c r="AB25" s="84">
        <f t="shared" si="13"/>
        <v>4834.83695</v>
      </c>
      <c r="AC25" s="85">
        <v>7.12</v>
      </c>
      <c r="AD25" s="70">
        <f t="shared" si="15"/>
        <v>34424.039084</v>
      </c>
      <c r="AE25" s="70">
        <f t="shared" si="16"/>
        <v>51409.4359398824</v>
      </c>
      <c r="AF25" s="70">
        <f t="shared" si="14"/>
        <v>7883.5640601176</v>
      </c>
    </row>
    <row r="26" s="2" customFormat="1" spans="1:32">
      <c r="A26" s="90"/>
      <c r="B26" s="47"/>
      <c r="C26" s="22">
        <v>240828000061</v>
      </c>
      <c r="D26" s="23">
        <v>45539</v>
      </c>
      <c r="E26" s="23" t="s">
        <v>59</v>
      </c>
      <c r="F26" s="47" t="s">
        <v>59</v>
      </c>
      <c r="G26" s="47" t="s">
        <v>96</v>
      </c>
      <c r="H26" s="91">
        <v>2.6171</v>
      </c>
      <c r="I26" s="91">
        <v>719.5</v>
      </c>
      <c r="J26" s="42">
        <v>5838</v>
      </c>
      <c r="K26" s="85"/>
      <c r="L26" s="92"/>
      <c r="M26" s="45"/>
      <c r="N26" s="92"/>
      <c r="O26" s="47"/>
      <c r="P26" s="48">
        <f t="shared" si="23"/>
        <v>5838</v>
      </c>
      <c r="Q26" s="103"/>
      <c r="R26" s="103"/>
      <c r="S26" s="70">
        <f t="shared" si="18"/>
        <v>1933.92143970588</v>
      </c>
      <c r="T26" s="114">
        <f t="shared" si="19"/>
        <v>4.4883265</v>
      </c>
      <c r="U26" s="70">
        <f t="shared" si="20"/>
        <v>67.3518382352941</v>
      </c>
      <c r="V26" s="70"/>
      <c r="W26" s="70"/>
      <c r="X26" s="101">
        <f t="shared" si="12"/>
        <v>2005.76160444118</v>
      </c>
      <c r="Y26" s="84">
        <f t="shared" si="21"/>
        <v>413.250096558823</v>
      </c>
      <c r="Z26" s="84"/>
      <c r="AA26" s="84">
        <f t="shared" si="22"/>
        <v>2.72486294117647</v>
      </c>
      <c r="AB26" s="84">
        <f t="shared" si="13"/>
        <v>415.9749595</v>
      </c>
      <c r="AC26" s="85">
        <v>7.12</v>
      </c>
      <c r="AD26" s="70">
        <f t="shared" ref="AD26:AD52" si="24">SUM(AB26*AC26)</f>
        <v>2961.74171164</v>
      </c>
      <c r="AE26" s="70">
        <f t="shared" si="16"/>
        <v>4967.50331608118</v>
      </c>
      <c r="AF26" s="70">
        <f t="shared" ref="AF26:AF52" si="25">SUM(P26-AE26)</f>
        <v>870.49668391882</v>
      </c>
    </row>
    <row r="27" s="2" customFormat="1" spans="1:32">
      <c r="A27" s="90"/>
      <c r="B27" s="47"/>
      <c r="C27" s="22">
        <v>240904000002</v>
      </c>
      <c r="D27" s="23">
        <v>45539</v>
      </c>
      <c r="E27" s="23" t="s">
        <v>59</v>
      </c>
      <c r="F27" s="47" t="s">
        <v>59</v>
      </c>
      <c r="G27" s="47" t="s">
        <v>77</v>
      </c>
      <c r="H27" s="91">
        <v>30.96</v>
      </c>
      <c r="I27" s="91">
        <v>3682.5</v>
      </c>
      <c r="J27" s="42">
        <v>48967.52</v>
      </c>
      <c r="K27" s="85"/>
      <c r="L27" s="92"/>
      <c r="M27" s="45"/>
      <c r="N27" s="112"/>
      <c r="O27" s="47"/>
      <c r="P27" s="48">
        <f t="shared" si="23"/>
        <v>48967.52</v>
      </c>
      <c r="Q27" s="103"/>
      <c r="R27" s="103"/>
      <c r="S27" s="70">
        <f t="shared" si="18"/>
        <v>22878.0741176471</v>
      </c>
      <c r="T27" s="114">
        <f t="shared" si="19"/>
        <v>53.0964</v>
      </c>
      <c r="U27" s="70">
        <f t="shared" si="20"/>
        <v>796.764705882353</v>
      </c>
      <c r="V27" s="70"/>
      <c r="W27" s="70"/>
      <c r="X27" s="101">
        <f t="shared" ref="X27:X52" si="26">SUM(S27:W27)</f>
        <v>23727.9352235294</v>
      </c>
      <c r="Y27" s="84">
        <f t="shared" si="21"/>
        <v>4888.70237647059</v>
      </c>
      <c r="Z27" s="84"/>
      <c r="AA27" s="84">
        <f t="shared" si="22"/>
        <v>32.2348235294118</v>
      </c>
      <c r="AB27" s="84">
        <f t="shared" ref="AB27:AB52" si="27">SUM(Y27:AA27)</f>
        <v>4920.9372</v>
      </c>
      <c r="AC27" s="85">
        <v>7.12</v>
      </c>
      <c r="AD27" s="70">
        <f t="shared" si="24"/>
        <v>35037.072864</v>
      </c>
      <c r="AE27" s="70">
        <f t="shared" ref="AE27:AE52" si="28">SUM(X27+AD27)</f>
        <v>58765.0080875294</v>
      </c>
      <c r="AF27" s="70">
        <f t="shared" si="25"/>
        <v>-9797.4880875294</v>
      </c>
    </row>
    <row r="28" s="2" customFormat="1" spans="1:32">
      <c r="A28" s="90" t="s">
        <v>8</v>
      </c>
      <c r="B28" s="47" t="s">
        <v>9</v>
      </c>
      <c r="C28" s="22">
        <v>240726000055</v>
      </c>
      <c r="D28" s="23">
        <v>45547</v>
      </c>
      <c r="E28" s="23" t="s">
        <v>59</v>
      </c>
      <c r="F28" s="47" t="s">
        <v>59</v>
      </c>
      <c r="G28" s="47" t="s">
        <v>97</v>
      </c>
      <c r="H28" s="91">
        <v>5.09</v>
      </c>
      <c r="I28" s="91">
        <v>677</v>
      </c>
      <c r="J28" s="42">
        <v>13067</v>
      </c>
      <c r="K28" s="85"/>
      <c r="L28" s="92"/>
      <c r="M28" s="45"/>
      <c r="N28" s="93"/>
      <c r="O28" s="47"/>
      <c r="P28" s="48">
        <f t="shared" si="23"/>
        <v>13067</v>
      </c>
      <c r="Q28" s="99">
        <f>SUM(P28:P52)</f>
        <v>158115.1681396</v>
      </c>
      <c r="R28" s="100" t="s">
        <v>98</v>
      </c>
      <c r="S28" s="70">
        <f>SUM(44738/68)*H28</f>
        <v>3348.77088235294</v>
      </c>
      <c r="T28" s="70"/>
      <c r="U28" s="70">
        <f>SUM(1300/68)*H28</f>
        <v>97.3088235294118</v>
      </c>
      <c r="V28" s="70"/>
      <c r="W28" s="70"/>
      <c r="X28" s="101">
        <f t="shared" si="26"/>
        <v>3446.07970588235</v>
      </c>
      <c r="Y28" s="84">
        <f t="shared" si="21"/>
        <v>803.730461764706</v>
      </c>
      <c r="Z28" s="84">
        <v>47.2</v>
      </c>
      <c r="AA28" s="84"/>
      <c r="AB28" s="84">
        <f t="shared" si="27"/>
        <v>850.930461764706</v>
      </c>
      <c r="AC28" s="85">
        <v>7.12</v>
      </c>
      <c r="AD28" s="70">
        <f t="shared" si="24"/>
        <v>6058.6248877647</v>
      </c>
      <c r="AE28" s="70">
        <f t="shared" si="28"/>
        <v>9504.70459364706</v>
      </c>
      <c r="AF28" s="70">
        <f t="shared" si="25"/>
        <v>3562.29540635294</v>
      </c>
    </row>
    <row r="29" s="2" customFormat="1" spans="1:32">
      <c r="A29" s="90"/>
      <c r="B29" s="47"/>
      <c r="C29" s="22">
        <v>240813000017</v>
      </c>
      <c r="D29" s="23">
        <v>45547</v>
      </c>
      <c r="E29" s="23" t="s">
        <v>59</v>
      </c>
      <c r="F29" s="47" t="s">
        <v>59</v>
      </c>
      <c r="G29" s="47" t="s">
        <v>95</v>
      </c>
      <c r="H29" s="91">
        <v>2.1368</v>
      </c>
      <c r="I29" s="91">
        <v>256</v>
      </c>
      <c r="J29" s="42">
        <v>5889</v>
      </c>
      <c r="K29" s="85"/>
      <c r="L29" s="92"/>
      <c r="M29" s="45"/>
      <c r="N29" s="93"/>
      <c r="O29" s="47"/>
      <c r="P29" s="48">
        <f t="shared" si="23"/>
        <v>5889</v>
      </c>
      <c r="Q29" s="102"/>
      <c r="R29" s="102"/>
      <c r="S29" s="70">
        <f t="shared" ref="S29:S52" si="29">SUM(44738/68)*H29</f>
        <v>1405.82585882353</v>
      </c>
      <c r="T29" s="70"/>
      <c r="U29" s="70">
        <f t="shared" ref="U29:U52" si="30">SUM(1300/68)*H29</f>
        <v>40.8505882352941</v>
      </c>
      <c r="V29" s="70"/>
      <c r="W29" s="70"/>
      <c r="X29" s="101">
        <f t="shared" si="26"/>
        <v>1446.67644705882</v>
      </c>
      <c r="Y29" s="84">
        <f t="shared" ref="Y29:Y52" si="31">SUM(10737.46/68)*H29</f>
        <v>337.408890117647</v>
      </c>
      <c r="Z29" s="84"/>
      <c r="AA29" s="84"/>
      <c r="AB29" s="84">
        <f t="shared" si="27"/>
        <v>337.408890117647</v>
      </c>
      <c r="AC29" s="85">
        <v>7.12</v>
      </c>
      <c r="AD29" s="70">
        <f t="shared" si="24"/>
        <v>2402.35129763765</v>
      </c>
      <c r="AE29" s="70">
        <f t="shared" si="28"/>
        <v>3849.02774469647</v>
      </c>
      <c r="AF29" s="70">
        <f t="shared" si="25"/>
        <v>2039.97225530353</v>
      </c>
    </row>
    <row r="30" s="2" customFormat="1" spans="1:32">
      <c r="A30" s="90"/>
      <c r="B30" s="47"/>
      <c r="C30" s="22">
        <v>240902000015</v>
      </c>
      <c r="D30" s="23">
        <v>45547</v>
      </c>
      <c r="E30" s="23" t="s">
        <v>78</v>
      </c>
      <c r="F30" s="47" t="s">
        <v>79</v>
      </c>
      <c r="G30" s="47" t="s">
        <v>99</v>
      </c>
      <c r="H30" s="91">
        <v>3.028</v>
      </c>
      <c r="I30" s="91">
        <v>338</v>
      </c>
      <c r="J30" s="42">
        <v>7000</v>
      </c>
      <c r="K30" s="85"/>
      <c r="L30" s="92"/>
      <c r="M30" s="45"/>
      <c r="N30" s="93"/>
      <c r="O30" s="47"/>
      <c r="P30" s="48">
        <f t="shared" si="23"/>
        <v>7000</v>
      </c>
      <c r="Q30" s="102"/>
      <c r="R30" s="102"/>
      <c r="S30" s="70">
        <f t="shared" si="29"/>
        <v>1992.15682352941</v>
      </c>
      <c r="T30" s="70"/>
      <c r="U30" s="70">
        <f t="shared" si="30"/>
        <v>57.8882352941176</v>
      </c>
      <c r="V30" s="70"/>
      <c r="W30" s="70"/>
      <c r="X30" s="101">
        <f t="shared" si="26"/>
        <v>2050.04505882353</v>
      </c>
      <c r="Y30" s="84">
        <f t="shared" si="31"/>
        <v>478.132777647059</v>
      </c>
      <c r="Z30" s="84"/>
      <c r="AA30" s="84"/>
      <c r="AB30" s="84">
        <f t="shared" si="27"/>
        <v>478.132777647059</v>
      </c>
      <c r="AC30" s="85">
        <v>7.12</v>
      </c>
      <c r="AD30" s="70">
        <f t="shared" si="24"/>
        <v>3404.30537684706</v>
      </c>
      <c r="AE30" s="70">
        <f t="shared" si="28"/>
        <v>5454.35043567059</v>
      </c>
      <c r="AF30" s="70">
        <f t="shared" si="25"/>
        <v>1545.64956432941</v>
      </c>
    </row>
    <row r="31" s="2" customFormat="1" spans="1:32">
      <c r="A31" s="90"/>
      <c r="B31" s="47"/>
      <c r="C31" s="22">
        <v>240902000056</v>
      </c>
      <c r="D31" s="23">
        <v>45547</v>
      </c>
      <c r="E31" s="23" t="s">
        <v>66</v>
      </c>
      <c r="F31" s="47" t="s">
        <v>67</v>
      </c>
      <c r="G31" s="47" t="s">
        <v>94</v>
      </c>
      <c r="H31" s="91">
        <v>3.078</v>
      </c>
      <c r="I31" s="91">
        <v>521</v>
      </c>
      <c r="J31" s="48"/>
      <c r="K31" s="97">
        <v>1738835</v>
      </c>
      <c r="L31" s="92"/>
      <c r="M31" s="45">
        <f t="shared" ref="M31:M34" si="32">SUM(K31/N31)</f>
        <v>1754.43189958733</v>
      </c>
      <c r="N31" s="46">
        <v>991.11</v>
      </c>
      <c r="O31" s="47">
        <v>7.23</v>
      </c>
      <c r="P31" s="48">
        <f>SUM(N31*O31)</f>
        <v>7165.7253</v>
      </c>
      <c r="Q31" s="102"/>
      <c r="R31" s="102"/>
      <c r="S31" s="70">
        <f t="shared" si="29"/>
        <v>2025.05241176471</v>
      </c>
      <c r="T31" s="70"/>
      <c r="U31" s="70">
        <f t="shared" si="30"/>
        <v>58.8441176470588</v>
      </c>
      <c r="V31" s="114">
        <v>580</v>
      </c>
      <c r="W31" s="70"/>
      <c r="X31" s="101">
        <f t="shared" si="26"/>
        <v>2663.89652941176</v>
      </c>
      <c r="Y31" s="84">
        <f t="shared" si="31"/>
        <v>486.027968823529</v>
      </c>
      <c r="Z31" s="84"/>
      <c r="AA31" s="84"/>
      <c r="AB31" s="84">
        <f t="shared" si="27"/>
        <v>486.027968823529</v>
      </c>
      <c r="AC31" s="85">
        <v>7.12</v>
      </c>
      <c r="AD31" s="70">
        <f t="shared" si="24"/>
        <v>3460.51913802353</v>
      </c>
      <c r="AE31" s="70">
        <f t="shared" si="28"/>
        <v>6124.41566743529</v>
      </c>
      <c r="AF31" s="70">
        <f t="shared" si="25"/>
        <v>1041.30963256471</v>
      </c>
    </row>
    <row r="32" s="2" customFormat="1" spans="1:32">
      <c r="A32" s="90"/>
      <c r="B32" s="47"/>
      <c r="C32" s="22">
        <v>240904000027</v>
      </c>
      <c r="D32" s="23">
        <v>45547</v>
      </c>
      <c r="E32" s="23" t="s">
        <v>78</v>
      </c>
      <c r="F32" s="47" t="s">
        <v>79</v>
      </c>
      <c r="G32" s="47" t="s">
        <v>80</v>
      </c>
      <c r="H32" s="91">
        <v>0.0074</v>
      </c>
      <c r="I32" s="91">
        <v>6</v>
      </c>
      <c r="J32" s="48"/>
      <c r="K32" s="97">
        <v>7260</v>
      </c>
      <c r="L32" s="92"/>
      <c r="M32" s="45">
        <f t="shared" si="32"/>
        <v>2261.68224299065</v>
      </c>
      <c r="N32" s="46">
        <v>3.21</v>
      </c>
      <c r="O32" s="47">
        <v>7.12</v>
      </c>
      <c r="P32" s="48">
        <v>22.9</v>
      </c>
      <c r="Q32" s="102"/>
      <c r="R32" s="102"/>
      <c r="S32" s="70">
        <f t="shared" si="29"/>
        <v>4.86854705882353</v>
      </c>
      <c r="T32" s="70"/>
      <c r="U32" s="70">
        <f t="shared" si="30"/>
        <v>0.141470588235294</v>
      </c>
      <c r="V32" s="70"/>
      <c r="W32" s="70"/>
      <c r="X32" s="101">
        <f t="shared" si="26"/>
        <v>5.01001764705882</v>
      </c>
      <c r="Y32" s="84">
        <f t="shared" si="31"/>
        <v>1.16848829411765</v>
      </c>
      <c r="Z32" s="84"/>
      <c r="AA32" s="84"/>
      <c r="AB32" s="84">
        <f t="shared" si="27"/>
        <v>1.16848829411765</v>
      </c>
      <c r="AC32" s="85">
        <v>7.12</v>
      </c>
      <c r="AD32" s="70">
        <f t="shared" si="24"/>
        <v>8.31963665411765</v>
      </c>
      <c r="AE32" s="70">
        <f t="shared" si="28"/>
        <v>13.3296543011765</v>
      </c>
      <c r="AF32" s="70">
        <f t="shared" si="25"/>
        <v>9.57034569882353</v>
      </c>
    </row>
    <row r="33" s="2" customFormat="1" spans="1:32">
      <c r="A33" s="90"/>
      <c r="B33" s="47"/>
      <c r="C33" s="22">
        <v>240904000032</v>
      </c>
      <c r="D33" s="23">
        <v>45547</v>
      </c>
      <c r="E33" s="23" t="s">
        <v>78</v>
      </c>
      <c r="F33" s="47" t="s">
        <v>79</v>
      </c>
      <c r="G33" s="47" t="s">
        <v>100</v>
      </c>
      <c r="H33" s="91">
        <v>2.736</v>
      </c>
      <c r="I33" s="91">
        <v>1216</v>
      </c>
      <c r="J33" s="42">
        <v>5623</v>
      </c>
      <c r="K33" s="85"/>
      <c r="L33" s="92"/>
      <c r="M33" s="45"/>
      <c r="N33" s="93"/>
      <c r="O33" s="47"/>
      <c r="P33" s="48">
        <f t="shared" ref="P33:P38" si="33">SUBTOTAL(9,J33)</f>
        <v>5623</v>
      </c>
      <c r="Q33" s="102"/>
      <c r="R33" s="102"/>
      <c r="S33" s="70">
        <f t="shared" si="29"/>
        <v>1800.04658823529</v>
      </c>
      <c r="T33" s="70"/>
      <c r="U33" s="70">
        <f t="shared" si="30"/>
        <v>52.3058823529412</v>
      </c>
      <c r="V33" s="70"/>
      <c r="W33" s="70"/>
      <c r="X33" s="101">
        <f t="shared" si="26"/>
        <v>1852.35247058824</v>
      </c>
      <c r="Y33" s="84">
        <f t="shared" si="31"/>
        <v>432.024861176471</v>
      </c>
      <c r="Z33" s="84"/>
      <c r="AA33" s="84"/>
      <c r="AB33" s="84">
        <f t="shared" si="27"/>
        <v>432.024861176471</v>
      </c>
      <c r="AC33" s="85">
        <v>7.12</v>
      </c>
      <c r="AD33" s="70">
        <f t="shared" si="24"/>
        <v>3076.01701157647</v>
      </c>
      <c r="AE33" s="70">
        <f t="shared" si="28"/>
        <v>4928.36948216471</v>
      </c>
      <c r="AF33" s="70">
        <f t="shared" si="25"/>
        <v>694.63051783529</v>
      </c>
    </row>
    <row r="34" s="2" customFormat="1" spans="1:32">
      <c r="A34" s="90"/>
      <c r="B34" s="47"/>
      <c r="C34" s="22">
        <v>240904000040</v>
      </c>
      <c r="D34" s="23">
        <v>45547</v>
      </c>
      <c r="E34" s="23" t="s">
        <v>88</v>
      </c>
      <c r="F34" s="47" t="s">
        <v>89</v>
      </c>
      <c r="G34" s="47" t="s">
        <v>101</v>
      </c>
      <c r="H34" s="91">
        <v>1.449</v>
      </c>
      <c r="I34" s="91">
        <v>227</v>
      </c>
      <c r="J34" s="48"/>
      <c r="K34" s="97">
        <v>761250</v>
      </c>
      <c r="L34" s="92"/>
      <c r="M34" s="45">
        <f t="shared" si="32"/>
        <v>1751.19516050402</v>
      </c>
      <c r="N34" s="46">
        <v>434.70312</v>
      </c>
      <c r="O34" s="47">
        <v>7.08</v>
      </c>
      <c r="P34" s="48">
        <f>SUM(N34*O34)</f>
        <v>3077.6980896</v>
      </c>
      <c r="Q34" s="102"/>
      <c r="R34" s="102"/>
      <c r="S34" s="70">
        <f t="shared" si="29"/>
        <v>953.314147058824</v>
      </c>
      <c r="T34" s="70"/>
      <c r="U34" s="70">
        <f t="shared" si="30"/>
        <v>27.7014705882353</v>
      </c>
      <c r="V34" s="70"/>
      <c r="W34" s="70"/>
      <c r="X34" s="101">
        <f t="shared" si="26"/>
        <v>981.015617647059</v>
      </c>
      <c r="Y34" s="84">
        <f t="shared" si="31"/>
        <v>228.802640294118</v>
      </c>
      <c r="Z34" s="84"/>
      <c r="AA34" s="84"/>
      <c r="AB34" s="84">
        <f t="shared" si="27"/>
        <v>228.802640294118</v>
      </c>
      <c r="AC34" s="85">
        <v>7.12</v>
      </c>
      <c r="AD34" s="70">
        <f t="shared" si="24"/>
        <v>1629.07479889412</v>
      </c>
      <c r="AE34" s="70">
        <f t="shared" si="28"/>
        <v>2610.09041654118</v>
      </c>
      <c r="AF34" s="70">
        <f t="shared" si="25"/>
        <v>467.607673058823</v>
      </c>
    </row>
    <row r="35" s="2" customFormat="1" spans="1:32">
      <c r="A35" s="90"/>
      <c r="B35" s="47"/>
      <c r="C35" s="22">
        <v>240828000061</v>
      </c>
      <c r="D35" s="23">
        <v>45539</v>
      </c>
      <c r="E35" s="23" t="s">
        <v>59</v>
      </c>
      <c r="F35" s="47" t="s">
        <v>59</v>
      </c>
      <c r="G35" s="47" t="s">
        <v>96</v>
      </c>
      <c r="H35" s="91">
        <v>5.2294</v>
      </c>
      <c r="I35" s="91">
        <v>555</v>
      </c>
      <c r="J35" s="42">
        <v>11683.3</v>
      </c>
      <c r="K35" s="85"/>
      <c r="L35" s="92"/>
      <c r="M35" s="45"/>
      <c r="N35" s="113"/>
      <c r="O35" s="47"/>
      <c r="P35" s="48">
        <f t="shared" si="33"/>
        <v>11683.3</v>
      </c>
      <c r="Q35" s="103"/>
      <c r="R35" s="103"/>
      <c r="S35" s="70">
        <f t="shared" si="29"/>
        <v>3440.48378235294</v>
      </c>
      <c r="T35" s="70"/>
      <c r="U35" s="70">
        <f t="shared" si="30"/>
        <v>99.9738235294118</v>
      </c>
      <c r="V35" s="70"/>
      <c r="W35" s="70"/>
      <c r="X35" s="101">
        <f t="shared" si="26"/>
        <v>3540.45760588235</v>
      </c>
      <c r="Y35" s="84">
        <f t="shared" si="31"/>
        <v>825.742254764706</v>
      </c>
      <c r="Z35" s="84"/>
      <c r="AA35" s="84"/>
      <c r="AB35" s="84">
        <f t="shared" si="27"/>
        <v>825.742254764706</v>
      </c>
      <c r="AC35" s="85">
        <v>7.12</v>
      </c>
      <c r="AD35" s="70">
        <f t="shared" si="24"/>
        <v>5879.28485392471</v>
      </c>
      <c r="AE35" s="70">
        <f t="shared" si="28"/>
        <v>9419.74245980706</v>
      </c>
      <c r="AF35" s="70">
        <f t="shared" si="25"/>
        <v>2263.55754019294</v>
      </c>
    </row>
    <row r="36" s="2" customFormat="1" spans="1:32">
      <c r="A36" s="90"/>
      <c r="B36" s="47"/>
      <c r="C36" s="22">
        <v>240905000026</v>
      </c>
      <c r="D36" s="23">
        <v>45547</v>
      </c>
      <c r="E36" s="23" t="s">
        <v>81</v>
      </c>
      <c r="F36" s="47" t="s">
        <v>82</v>
      </c>
      <c r="G36" s="47" t="s">
        <v>86</v>
      </c>
      <c r="H36" s="122">
        <v>6.2</v>
      </c>
      <c r="I36" s="91">
        <v>4920</v>
      </c>
      <c r="J36" s="42">
        <v>14483.2</v>
      </c>
      <c r="K36" s="85"/>
      <c r="L36" s="92"/>
      <c r="M36" s="45"/>
      <c r="N36" s="93"/>
      <c r="O36" s="47"/>
      <c r="P36" s="48">
        <f t="shared" si="33"/>
        <v>14483.2</v>
      </c>
      <c r="Q36" s="102"/>
      <c r="R36" s="102"/>
      <c r="S36" s="70">
        <f t="shared" si="29"/>
        <v>4079.05294117647</v>
      </c>
      <c r="T36" s="70"/>
      <c r="U36" s="70">
        <f t="shared" si="30"/>
        <v>118.529411764706</v>
      </c>
      <c r="V36" s="70"/>
      <c r="W36" s="70"/>
      <c r="X36" s="101">
        <f t="shared" si="26"/>
        <v>4197.58235294118</v>
      </c>
      <c r="Y36" s="84">
        <f t="shared" si="31"/>
        <v>979.003705882353</v>
      </c>
      <c r="Z36" s="84"/>
      <c r="AA36" s="84"/>
      <c r="AB36" s="84">
        <f t="shared" si="27"/>
        <v>979.003705882353</v>
      </c>
      <c r="AC36" s="85">
        <v>7.12</v>
      </c>
      <c r="AD36" s="70">
        <f t="shared" si="24"/>
        <v>6970.50638588235</v>
      </c>
      <c r="AE36" s="70">
        <f t="shared" si="28"/>
        <v>11168.0887388235</v>
      </c>
      <c r="AF36" s="70">
        <f t="shared" si="25"/>
        <v>3315.1112611765</v>
      </c>
    </row>
    <row r="37" s="2" customFormat="1" spans="1:32">
      <c r="A37" s="90"/>
      <c r="B37" s="47"/>
      <c r="C37" s="22">
        <v>240905000027</v>
      </c>
      <c r="D37" s="23">
        <v>45547</v>
      </c>
      <c r="E37" s="23" t="s">
        <v>81</v>
      </c>
      <c r="F37" s="47" t="s">
        <v>82</v>
      </c>
      <c r="G37" s="47" t="s">
        <v>83</v>
      </c>
      <c r="H37" s="91">
        <v>0.3485</v>
      </c>
      <c r="I37" s="91">
        <v>70</v>
      </c>
      <c r="J37" s="42">
        <v>686.93</v>
      </c>
      <c r="K37" s="85"/>
      <c r="L37" s="92"/>
      <c r="M37" s="45"/>
      <c r="N37" s="93"/>
      <c r="O37" s="47"/>
      <c r="P37" s="48">
        <f t="shared" si="33"/>
        <v>686.93</v>
      </c>
      <c r="Q37" s="102"/>
      <c r="R37" s="102"/>
      <c r="S37" s="70">
        <f t="shared" si="29"/>
        <v>229.28225</v>
      </c>
      <c r="T37" s="70"/>
      <c r="U37" s="70">
        <f t="shared" si="30"/>
        <v>6.6625</v>
      </c>
      <c r="V37" s="70"/>
      <c r="W37" s="70"/>
      <c r="X37" s="101">
        <f t="shared" si="26"/>
        <v>235.94475</v>
      </c>
      <c r="Y37" s="84">
        <f t="shared" si="31"/>
        <v>55.0294825</v>
      </c>
      <c r="Z37" s="84"/>
      <c r="AA37" s="84"/>
      <c r="AB37" s="84">
        <f t="shared" si="27"/>
        <v>55.0294825</v>
      </c>
      <c r="AC37" s="85">
        <v>7.12</v>
      </c>
      <c r="AD37" s="70">
        <f t="shared" si="24"/>
        <v>391.8099154</v>
      </c>
      <c r="AE37" s="70">
        <f t="shared" si="28"/>
        <v>627.7546654</v>
      </c>
      <c r="AF37" s="70">
        <f t="shared" si="25"/>
        <v>59.1753345999999</v>
      </c>
    </row>
    <row r="38" s="2" customFormat="1" spans="1:32">
      <c r="A38" s="90"/>
      <c r="B38" s="47"/>
      <c r="C38" s="22">
        <v>240905000028</v>
      </c>
      <c r="D38" s="23">
        <v>45547</v>
      </c>
      <c r="E38" s="23" t="s">
        <v>78</v>
      </c>
      <c r="F38" s="47" t="s">
        <v>79</v>
      </c>
      <c r="G38" s="47" t="s">
        <v>100</v>
      </c>
      <c r="H38" s="91">
        <v>2.499</v>
      </c>
      <c r="I38" s="91">
        <v>970</v>
      </c>
      <c r="J38" s="42">
        <v>5265</v>
      </c>
      <c r="K38" s="85"/>
      <c r="L38" s="92"/>
      <c r="M38" s="45"/>
      <c r="N38" s="93"/>
      <c r="O38" s="47"/>
      <c r="P38" s="48">
        <f t="shared" si="33"/>
        <v>5265</v>
      </c>
      <c r="Q38" s="102"/>
      <c r="R38" s="102"/>
      <c r="S38" s="70">
        <f t="shared" si="29"/>
        <v>1644.1215</v>
      </c>
      <c r="T38" s="70"/>
      <c r="U38" s="70">
        <f t="shared" si="30"/>
        <v>47.775</v>
      </c>
      <c r="V38" s="70"/>
      <c r="W38" s="70"/>
      <c r="X38" s="101">
        <f t="shared" si="26"/>
        <v>1691.8965</v>
      </c>
      <c r="Y38" s="84">
        <f t="shared" si="31"/>
        <v>394.601655</v>
      </c>
      <c r="Z38" s="84"/>
      <c r="AA38" s="84"/>
      <c r="AB38" s="84">
        <f t="shared" si="27"/>
        <v>394.601655</v>
      </c>
      <c r="AC38" s="85">
        <v>7.12</v>
      </c>
      <c r="AD38" s="70">
        <f t="shared" si="24"/>
        <v>2809.5637836</v>
      </c>
      <c r="AE38" s="70">
        <f t="shared" si="28"/>
        <v>4501.4602836</v>
      </c>
      <c r="AF38" s="70">
        <f t="shared" si="25"/>
        <v>763.5397164</v>
      </c>
    </row>
    <row r="39" s="2" customFormat="1" spans="1:32">
      <c r="A39" s="90"/>
      <c r="B39" s="47"/>
      <c r="C39" s="22">
        <v>240905000029</v>
      </c>
      <c r="D39" s="23">
        <v>45547</v>
      </c>
      <c r="E39" s="23" t="s">
        <v>78</v>
      </c>
      <c r="F39" s="47" t="s">
        <v>79</v>
      </c>
      <c r="G39" s="47" t="s">
        <v>80</v>
      </c>
      <c r="H39" s="91">
        <v>0.0359</v>
      </c>
      <c r="I39" s="91">
        <v>12</v>
      </c>
      <c r="J39" s="48"/>
      <c r="K39" s="97">
        <v>63180</v>
      </c>
      <c r="L39" s="92"/>
      <c r="M39" s="45">
        <f t="shared" ref="M39:M42" si="34">SUM(K39/N39)</f>
        <v>1730.48479868529</v>
      </c>
      <c r="N39" s="46">
        <v>36.51</v>
      </c>
      <c r="O39" s="47">
        <v>7.12</v>
      </c>
      <c r="P39" s="48">
        <f t="shared" ref="P39:P42" si="35">SUM(N39*O39)</f>
        <v>259.9512</v>
      </c>
      <c r="Q39" s="102"/>
      <c r="R39" s="102"/>
      <c r="S39" s="70">
        <f t="shared" si="29"/>
        <v>23.6190323529412</v>
      </c>
      <c r="T39" s="70"/>
      <c r="U39" s="70">
        <f t="shared" si="30"/>
        <v>0.686323529411765</v>
      </c>
      <c r="V39" s="70"/>
      <c r="W39" s="70"/>
      <c r="X39" s="101">
        <f t="shared" si="26"/>
        <v>24.3053558823529</v>
      </c>
      <c r="Y39" s="84">
        <f t="shared" si="31"/>
        <v>5.66874726470588</v>
      </c>
      <c r="Z39" s="84">
        <v>7.06</v>
      </c>
      <c r="AA39" s="84"/>
      <c r="AB39" s="84">
        <f t="shared" si="27"/>
        <v>12.7287472647059</v>
      </c>
      <c r="AC39" s="85">
        <v>7.12</v>
      </c>
      <c r="AD39" s="70">
        <f t="shared" si="24"/>
        <v>90.6286805247059</v>
      </c>
      <c r="AE39" s="70">
        <f t="shared" si="28"/>
        <v>114.934036407059</v>
      </c>
      <c r="AF39" s="70">
        <f t="shared" si="25"/>
        <v>145.017163592941</v>
      </c>
    </row>
    <row r="40" s="2" customFormat="1" spans="1:32">
      <c r="A40" s="90"/>
      <c r="B40" s="47"/>
      <c r="C40" s="22">
        <v>240905000039</v>
      </c>
      <c r="D40" s="23">
        <v>45547</v>
      </c>
      <c r="E40" s="23" t="s">
        <v>66</v>
      </c>
      <c r="F40" s="47" t="s">
        <v>67</v>
      </c>
      <c r="G40" s="47" t="s">
        <v>102</v>
      </c>
      <c r="H40" s="91">
        <v>1.0166</v>
      </c>
      <c r="I40" s="91">
        <v>193</v>
      </c>
      <c r="J40" s="48"/>
      <c r="K40" s="97">
        <v>466616</v>
      </c>
      <c r="L40" s="92"/>
      <c r="M40" s="45">
        <f t="shared" si="34"/>
        <v>1700</v>
      </c>
      <c r="N40" s="46">
        <v>274.48</v>
      </c>
      <c r="O40" s="47">
        <v>7.27</v>
      </c>
      <c r="P40" s="48">
        <f t="shared" si="35"/>
        <v>1995.4696</v>
      </c>
      <c r="Q40" s="102"/>
      <c r="R40" s="102"/>
      <c r="S40" s="70">
        <f t="shared" si="29"/>
        <v>668.8331</v>
      </c>
      <c r="T40" s="70"/>
      <c r="U40" s="70">
        <f t="shared" si="30"/>
        <v>19.435</v>
      </c>
      <c r="V40" s="70"/>
      <c r="W40" s="70"/>
      <c r="X40" s="101">
        <f t="shared" si="26"/>
        <v>688.2681</v>
      </c>
      <c r="Y40" s="84">
        <f t="shared" si="31"/>
        <v>160.525027</v>
      </c>
      <c r="Z40" s="84"/>
      <c r="AA40" s="84"/>
      <c r="AB40" s="84">
        <f t="shared" si="27"/>
        <v>160.525027</v>
      </c>
      <c r="AC40" s="85">
        <v>7.12</v>
      </c>
      <c r="AD40" s="70">
        <f t="shared" si="24"/>
        <v>1142.93819224</v>
      </c>
      <c r="AE40" s="70">
        <f t="shared" si="28"/>
        <v>1831.20629224</v>
      </c>
      <c r="AF40" s="70">
        <f t="shared" si="25"/>
        <v>164.26330776</v>
      </c>
    </row>
    <row r="41" s="2" customFormat="1" spans="1:32">
      <c r="A41" s="90"/>
      <c r="B41" s="47"/>
      <c r="C41" s="22">
        <v>240816000024</v>
      </c>
      <c r="D41" s="23">
        <v>45554</v>
      </c>
      <c r="E41" s="23" t="s">
        <v>78</v>
      </c>
      <c r="F41" s="47" t="s">
        <v>79</v>
      </c>
      <c r="G41" s="47" t="s">
        <v>103</v>
      </c>
      <c r="H41" s="91">
        <v>22.5</v>
      </c>
      <c r="I41" s="91">
        <v>11357</v>
      </c>
      <c r="J41" s="42">
        <v>51447.45</v>
      </c>
      <c r="K41" s="85"/>
      <c r="L41" s="112"/>
      <c r="M41" s="45"/>
      <c r="N41" s="46"/>
      <c r="O41" s="47"/>
      <c r="P41" s="48">
        <f t="shared" ref="P41:P45" si="36">SUBTOTAL(9,J41)</f>
        <v>51447.45</v>
      </c>
      <c r="Q41" s="99"/>
      <c r="R41" s="99"/>
      <c r="S41" s="70">
        <f t="shared" si="29"/>
        <v>14803.0147058824</v>
      </c>
      <c r="T41" s="70"/>
      <c r="U41" s="70">
        <f t="shared" si="30"/>
        <v>430.147058823529</v>
      </c>
      <c r="V41" s="70"/>
      <c r="W41" s="70"/>
      <c r="X41" s="101">
        <f t="shared" si="26"/>
        <v>15233.1617647059</v>
      </c>
      <c r="Y41" s="84">
        <f t="shared" si="31"/>
        <v>3552.83602941176</v>
      </c>
      <c r="Z41" s="84"/>
      <c r="AA41" s="84"/>
      <c r="AB41" s="84">
        <f t="shared" si="27"/>
        <v>3552.83602941176</v>
      </c>
      <c r="AC41" s="85">
        <v>7.12</v>
      </c>
      <c r="AD41" s="70">
        <f t="shared" si="24"/>
        <v>25296.1925294118</v>
      </c>
      <c r="AE41" s="70">
        <f t="shared" si="28"/>
        <v>40529.3542941176</v>
      </c>
      <c r="AF41" s="70">
        <f t="shared" si="25"/>
        <v>10918.0957058824</v>
      </c>
    </row>
    <row r="42" s="2" customFormat="1" spans="1:32">
      <c r="A42" s="90"/>
      <c r="B42" s="47"/>
      <c r="C42" s="22">
        <v>240906000030</v>
      </c>
      <c r="D42" s="23">
        <v>45547</v>
      </c>
      <c r="E42" s="23" t="s">
        <v>74</v>
      </c>
      <c r="F42" s="47" t="s">
        <v>75</v>
      </c>
      <c r="G42" s="47" t="s">
        <v>76</v>
      </c>
      <c r="H42" s="91">
        <v>1.934</v>
      </c>
      <c r="I42" s="91">
        <v>395</v>
      </c>
      <c r="J42" s="48"/>
      <c r="K42" s="85"/>
      <c r="L42" s="112">
        <v>580.5</v>
      </c>
      <c r="M42" s="45">
        <f t="shared" si="34"/>
        <v>0</v>
      </c>
      <c r="N42" s="46">
        <v>580.5</v>
      </c>
      <c r="O42" s="47">
        <v>7.08</v>
      </c>
      <c r="P42" s="48">
        <f t="shared" si="35"/>
        <v>4109.94</v>
      </c>
      <c r="Q42" s="102"/>
      <c r="R42" s="102"/>
      <c r="S42" s="70">
        <f t="shared" si="29"/>
        <v>1272.40135294118</v>
      </c>
      <c r="T42" s="70"/>
      <c r="U42" s="70">
        <f t="shared" si="30"/>
        <v>36.9735294117647</v>
      </c>
      <c r="V42" s="70"/>
      <c r="W42" s="70"/>
      <c r="X42" s="101">
        <f t="shared" si="26"/>
        <v>1309.37488235294</v>
      </c>
      <c r="Y42" s="84">
        <f t="shared" si="31"/>
        <v>305.385994705882</v>
      </c>
      <c r="Z42" s="84"/>
      <c r="AA42" s="84"/>
      <c r="AB42" s="84">
        <f t="shared" si="27"/>
        <v>305.385994705882</v>
      </c>
      <c r="AC42" s="85">
        <v>7.12</v>
      </c>
      <c r="AD42" s="70">
        <f t="shared" si="24"/>
        <v>2174.34828230588</v>
      </c>
      <c r="AE42" s="70">
        <f t="shared" si="28"/>
        <v>3483.72316465882</v>
      </c>
      <c r="AF42" s="70">
        <f t="shared" si="25"/>
        <v>626.216835341176</v>
      </c>
    </row>
    <row r="43" s="2" customFormat="1" spans="1:32">
      <c r="A43" s="90"/>
      <c r="B43" s="47"/>
      <c r="C43" s="22">
        <v>240906000035</v>
      </c>
      <c r="D43" s="23">
        <v>45547</v>
      </c>
      <c r="E43" s="23" t="s">
        <v>78</v>
      </c>
      <c r="F43" s="47" t="s">
        <v>79</v>
      </c>
      <c r="G43" s="47" t="s">
        <v>104</v>
      </c>
      <c r="H43" s="91">
        <v>2.343</v>
      </c>
      <c r="I43" s="91">
        <v>480</v>
      </c>
      <c r="J43" s="42">
        <v>5181.75</v>
      </c>
      <c r="K43" s="85"/>
      <c r="L43" s="92"/>
      <c r="M43" s="45"/>
      <c r="N43" s="93"/>
      <c r="O43" s="47"/>
      <c r="P43" s="48">
        <f t="shared" si="36"/>
        <v>5181.75</v>
      </c>
      <c r="Q43" s="102"/>
      <c r="R43" s="102"/>
      <c r="S43" s="70">
        <f t="shared" si="29"/>
        <v>1541.48726470588</v>
      </c>
      <c r="T43" s="70"/>
      <c r="U43" s="70">
        <f t="shared" si="30"/>
        <v>44.7926470588235</v>
      </c>
      <c r="V43" s="70"/>
      <c r="W43" s="70"/>
      <c r="X43" s="101">
        <f t="shared" si="26"/>
        <v>1586.27991176471</v>
      </c>
      <c r="Y43" s="84">
        <f t="shared" si="31"/>
        <v>369.968658529412</v>
      </c>
      <c r="Z43" s="84"/>
      <c r="AA43" s="84"/>
      <c r="AB43" s="84">
        <f t="shared" si="27"/>
        <v>369.968658529412</v>
      </c>
      <c r="AC43" s="85">
        <v>7.12</v>
      </c>
      <c r="AD43" s="70">
        <f t="shared" si="24"/>
        <v>2634.17684872941</v>
      </c>
      <c r="AE43" s="70">
        <f t="shared" si="28"/>
        <v>4220.45676049412</v>
      </c>
      <c r="AF43" s="70">
        <f t="shared" si="25"/>
        <v>961.29323950588</v>
      </c>
    </row>
    <row r="44" s="2" customFormat="1" spans="1:32">
      <c r="A44" s="90"/>
      <c r="B44" s="47"/>
      <c r="C44" s="22">
        <v>240906000040</v>
      </c>
      <c r="D44" s="23">
        <v>45547</v>
      </c>
      <c r="E44" s="23" t="s">
        <v>81</v>
      </c>
      <c r="F44" s="47" t="s">
        <v>82</v>
      </c>
      <c r="G44" s="47" t="s">
        <v>105</v>
      </c>
      <c r="H44" s="91">
        <v>0.714</v>
      </c>
      <c r="I44" s="91">
        <v>240</v>
      </c>
      <c r="J44" s="42">
        <v>1563.66</v>
      </c>
      <c r="K44" s="85"/>
      <c r="L44" s="92"/>
      <c r="M44" s="45"/>
      <c r="N44" s="93"/>
      <c r="O44" s="47"/>
      <c r="P44" s="48">
        <f t="shared" si="36"/>
        <v>1563.66</v>
      </c>
      <c r="Q44" s="102"/>
      <c r="R44" s="102"/>
      <c r="S44" s="70">
        <f t="shared" si="29"/>
        <v>469.749</v>
      </c>
      <c r="T44" s="70"/>
      <c r="U44" s="70">
        <f t="shared" si="30"/>
        <v>13.65</v>
      </c>
      <c r="V44" s="70"/>
      <c r="W44" s="70"/>
      <c r="X44" s="101">
        <f t="shared" si="26"/>
        <v>483.399</v>
      </c>
      <c r="Y44" s="84">
        <f t="shared" si="31"/>
        <v>112.74333</v>
      </c>
      <c r="Z44" s="84"/>
      <c r="AA44" s="84"/>
      <c r="AB44" s="84">
        <f t="shared" si="27"/>
        <v>112.74333</v>
      </c>
      <c r="AC44" s="85">
        <v>7.12</v>
      </c>
      <c r="AD44" s="70">
        <f t="shared" si="24"/>
        <v>802.7325096</v>
      </c>
      <c r="AE44" s="70">
        <f t="shared" si="28"/>
        <v>1286.1315096</v>
      </c>
      <c r="AF44" s="70">
        <f t="shared" si="25"/>
        <v>277.5284904</v>
      </c>
    </row>
    <row r="45" s="2" customFormat="1" spans="1:32">
      <c r="A45" s="90"/>
      <c r="B45" s="47"/>
      <c r="C45" s="22">
        <v>240908000020</v>
      </c>
      <c r="D45" s="23">
        <v>45547</v>
      </c>
      <c r="E45" s="23" t="s">
        <v>59</v>
      </c>
      <c r="F45" s="47" t="s">
        <v>59</v>
      </c>
      <c r="G45" s="47" t="s">
        <v>92</v>
      </c>
      <c r="H45" s="91">
        <v>0.164</v>
      </c>
      <c r="I45" s="91">
        <v>156</v>
      </c>
      <c r="J45" s="42">
        <v>569.4</v>
      </c>
      <c r="K45" s="85"/>
      <c r="L45" s="92"/>
      <c r="M45" s="45"/>
      <c r="N45" s="93"/>
      <c r="O45" s="47"/>
      <c r="P45" s="48">
        <f t="shared" si="36"/>
        <v>569.4</v>
      </c>
      <c r="Q45" s="102"/>
      <c r="R45" s="102"/>
      <c r="S45" s="70">
        <f t="shared" si="29"/>
        <v>107.897529411765</v>
      </c>
      <c r="T45" s="70"/>
      <c r="U45" s="70">
        <f t="shared" si="30"/>
        <v>3.13529411764706</v>
      </c>
      <c r="V45" s="70"/>
      <c r="W45" s="70"/>
      <c r="X45" s="101">
        <f t="shared" si="26"/>
        <v>111.032823529412</v>
      </c>
      <c r="Y45" s="84">
        <f t="shared" si="31"/>
        <v>25.8962270588235</v>
      </c>
      <c r="Z45" s="84"/>
      <c r="AA45" s="84"/>
      <c r="AB45" s="84">
        <f t="shared" si="27"/>
        <v>25.8962270588235</v>
      </c>
      <c r="AC45" s="85">
        <v>7.12</v>
      </c>
      <c r="AD45" s="70">
        <f t="shared" si="24"/>
        <v>184.381136658824</v>
      </c>
      <c r="AE45" s="70">
        <f t="shared" si="28"/>
        <v>295.413960188235</v>
      </c>
      <c r="AF45" s="70">
        <f t="shared" si="25"/>
        <v>273.986039811765</v>
      </c>
    </row>
    <row r="46" s="2" customFormat="1" spans="1:32">
      <c r="A46" s="90"/>
      <c r="B46" s="47"/>
      <c r="C46" s="22">
        <v>240909000018</v>
      </c>
      <c r="D46" s="23">
        <v>45547</v>
      </c>
      <c r="E46" s="23" t="s">
        <v>71</v>
      </c>
      <c r="F46" s="47" t="s">
        <v>72</v>
      </c>
      <c r="G46" s="47" t="s">
        <v>106</v>
      </c>
      <c r="H46" s="91">
        <v>0.42</v>
      </c>
      <c r="I46" s="91">
        <v>106</v>
      </c>
      <c r="J46" s="42">
        <v>500</v>
      </c>
      <c r="K46" s="97">
        <v>214855</v>
      </c>
      <c r="L46" s="92"/>
      <c r="M46" s="45">
        <f t="shared" ref="M46:M50" si="37">SUM(K46/N46)</f>
        <v>1802.62605923316</v>
      </c>
      <c r="N46" s="46">
        <v>119.19</v>
      </c>
      <c r="O46" s="47">
        <v>7.08</v>
      </c>
      <c r="P46" s="48">
        <f>SUM(N46*O46)+J46</f>
        <v>1343.8652</v>
      </c>
      <c r="Q46" s="102"/>
      <c r="R46" s="102"/>
      <c r="S46" s="70">
        <f t="shared" si="29"/>
        <v>276.322941176471</v>
      </c>
      <c r="T46" s="70"/>
      <c r="U46" s="70">
        <f t="shared" si="30"/>
        <v>8.02941176470588</v>
      </c>
      <c r="V46" s="70"/>
      <c r="W46" s="70"/>
      <c r="X46" s="101">
        <f t="shared" si="26"/>
        <v>284.352352941176</v>
      </c>
      <c r="Y46" s="84">
        <f t="shared" si="31"/>
        <v>66.3196058823529</v>
      </c>
      <c r="Z46" s="84"/>
      <c r="AA46" s="84"/>
      <c r="AB46" s="84">
        <f t="shared" si="27"/>
        <v>66.3196058823529</v>
      </c>
      <c r="AC46" s="85">
        <v>7.12</v>
      </c>
      <c r="AD46" s="70">
        <f t="shared" si="24"/>
        <v>472.195593882353</v>
      </c>
      <c r="AE46" s="70">
        <f t="shared" si="28"/>
        <v>756.547946823529</v>
      </c>
      <c r="AF46" s="70">
        <f t="shared" si="25"/>
        <v>587.317253176471</v>
      </c>
    </row>
    <row r="47" s="2" customFormat="1" spans="1:32">
      <c r="A47" s="90"/>
      <c r="B47" s="47"/>
      <c r="C47" s="22">
        <v>240909000038</v>
      </c>
      <c r="D47" s="23">
        <v>45547</v>
      </c>
      <c r="E47" s="23" t="s">
        <v>88</v>
      </c>
      <c r="F47" s="47" t="s">
        <v>89</v>
      </c>
      <c r="G47" s="47" t="s">
        <v>107</v>
      </c>
      <c r="H47" s="91">
        <v>0.577</v>
      </c>
      <c r="I47" s="91">
        <v>154</v>
      </c>
      <c r="J47" s="48"/>
      <c r="K47" s="97">
        <v>305348.4</v>
      </c>
      <c r="L47" s="92"/>
      <c r="M47" s="45">
        <f t="shared" si="37"/>
        <v>1762.79069096157</v>
      </c>
      <c r="N47" s="46">
        <v>173.21875</v>
      </c>
      <c r="O47" s="47">
        <v>7.08</v>
      </c>
      <c r="P47" s="48">
        <f>SUM(N47*O47)</f>
        <v>1226.38875</v>
      </c>
      <c r="Q47" s="102"/>
      <c r="R47" s="102"/>
      <c r="S47" s="70">
        <f t="shared" si="29"/>
        <v>379.615088235294</v>
      </c>
      <c r="T47" s="70"/>
      <c r="U47" s="70">
        <f t="shared" si="30"/>
        <v>11.0308823529412</v>
      </c>
      <c r="V47" s="70"/>
      <c r="W47" s="70"/>
      <c r="X47" s="101">
        <f t="shared" si="26"/>
        <v>390.645970588235</v>
      </c>
      <c r="Y47" s="84">
        <f t="shared" si="31"/>
        <v>91.1105061764706</v>
      </c>
      <c r="Z47" s="84"/>
      <c r="AA47" s="84"/>
      <c r="AB47" s="84">
        <f t="shared" si="27"/>
        <v>91.1105061764706</v>
      </c>
      <c r="AC47" s="85">
        <v>7.12</v>
      </c>
      <c r="AD47" s="70">
        <f t="shared" si="24"/>
        <v>648.70680397647</v>
      </c>
      <c r="AE47" s="70">
        <f t="shared" si="28"/>
        <v>1039.35277456471</v>
      </c>
      <c r="AF47" s="70">
        <f t="shared" si="25"/>
        <v>187.035975435294</v>
      </c>
    </row>
    <row r="48" s="2" customFormat="1" spans="1:32">
      <c r="A48" s="90"/>
      <c r="B48" s="47"/>
      <c r="C48" s="22">
        <v>240909000047</v>
      </c>
      <c r="D48" s="23">
        <v>45547</v>
      </c>
      <c r="E48" s="23" t="s">
        <v>78</v>
      </c>
      <c r="F48" s="47" t="s">
        <v>79</v>
      </c>
      <c r="G48" s="47" t="s">
        <v>100</v>
      </c>
      <c r="H48" s="91">
        <v>2.709</v>
      </c>
      <c r="I48" s="91">
        <v>1034</v>
      </c>
      <c r="J48" s="123">
        <v>5562</v>
      </c>
      <c r="K48" s="85"/>
      <c r="L48" s="92"/>
      <c r="M48" s="45"/>
      <c r="N48" s="93"/>
      <c r="O48" s="47"/>
      <c r="P48" s="48">
        <f>SUM(J48)</f>
        <v>5562</v>
      </c>
      <c r="Q48" s="102"/>
      <c r="R48" s="102"/>
      <c r="S48" s="70">
        <f t="shared" si="29"/>
        <v>1782.28297058824</v>
      </c>
      <c r="T48" s="70"/>
      <c r="U48" s="70">
        <f t="shared" si="30"/>
        <v>51.7897058823529</v>
      </c>
      <c r="V48" s="70"/>
      <c r="W48" s="70"/>
      <c r="X48" s="101">
        <f t="shared" si="26"/>
        <v>1834.07267647059</v>
      </c>
      <c r="Y48" s="84">
        <f t="shared" si="31"/>
        <v>427.761457941176</v>
      </c>
      <c r="Z48" s="84"/>
      <c r="AA48" s="84"/>
      <c r="AB48" s="84">
        <f t="shared" si="27"/>
        <v>427.761457941176</v>
      </c>
      <c r="AC48" s="85">
        <v>7.12</v>
      </c>
      <c r="AD48" s="70">
        <f t="shared" si="24"/>
        <v>3045.66158054118</v>
      </c>
      <c r="AE48" s="70">
        <f t="shared" si="28"/>
        <v>4879.73425701176</v>
      </c>
      <c r="AF48" s="70">
        <f t="shared" si="25"/>
        <v>682.265742988236</v>
      </c>
    </row>
    <row r="49" s="2" customFormat="1" spans="1:32">
      <c r="A49" s="90"/>
      <c r="B49" s="47"/>
      <c r="C49" s="22">
        <v>240728000003</v>
      </c>
      <c r="D49" s="23">
        <v>45506</v>
      </c>
      <c r="E49" s="23" t="s">
        <v>59</v>
      </c>
      <c r="F49" s="47" t="s">
        <v>59</v>
      </c>
      <c r="G49" s="47" t="s">
        <v>60</v>
      </c>
      <c r="H49" s="91">
        <v>0.145</v>
      </c>
      <c r="I49" s="91">
        <v>52</v>
      </c>
      <c r="J49" s="42">
        <v>396</v>
      </c>
      <c r="K49" s="85"/>
      <c r="L49" s="92"/>
      <c r="M49" s="45"/>
      <c r="N49" s="113"/>
      <c r="O49" s="47"/>
      <c r="P49" s="48">
        <f t="shared" ref="P49:P52" si="38">SUBTOTAL(9,J49)</f>
        <v>396</v>
      </c>
      <c r="Q49" s="102"/>
      <c r="R49" s="102"/>
      <c r="S49" s="70">
        <f t="shared" si="29"/>
        <v>95.3972058823529</v>
      </c>
      <c r="T49" s="70"/>
      <c r="U49" s="70">
        <f t="shared" si="30"/>
        <v>2.77205882352941</v>
      </c>
      <c r="V49" s="70"/>
      <c r="W49" s="70"/>
      <c r="X49" s="101">
        <f t="shared" si="26"/>
        <v>98.1692647058823</v>
      </c>
      <c r="Y49" s="84">
        <f t="shared" si="31"/>
        <v>22.8960544117647</v>
      </c>
      <c r="Z49" s="84"/>
      <c r="AA49" s="84"/>
      <c r="AB49" s="84">
        <f t="shared" si="27"/>
        <v>22.8960544117647</v>
      </c>
      <c r="AC49" s="85">
        <v>7.12</v>
      </c>
      <c r="AD49" s="70">
        <f t="shared" si="24"/>
        <v>163.019907411765</v>
      </c>
      <c r="AE49" s="70">
        <f t="shared" si="28"/>
        <v>261.189172117647</v>
      </c>
      <c r="AF49" s="70">
        <f t="shared" si="25"/>
        <v>134.810827882353</v>
      </c>
    </row>
    <row r="50" s="2" customFormat="1" spans="1:32">
      <c r="A50" s="90"/>
      <c r="B50" s="47"/>
      <c r="C50" s="22">
        <v>240910000031</v>
      </c>
      <c r="D50" s="23">
        <v>45547</v>
      </c>
      <c r="E50" s="23" t="s">
        <v>71</v>
      </c>
      <c r="F50" s="47" t="s">
        <v>72</v>
      </c>
      <c r="G50" s="47" t="s">
        <v>106</v>
      </c>
      <c r="H50" s="91">
        <v>2.926</v>
      </c>
      <c r="I50" s="91">
        <v>2628</v>
      </c>
      <c r="J50" s="48"/>
      <c r="K50" s="97">
        <v>2040383</v>
      </c>
      <c r="L50" s="92"/>
      <c r="M50" s="45">
        <f t="shared" si="37"/>
        <v>1763.89280311217</v>
      </c>
      <c r="N50" s="46">
        <v>1156.75</v>
      </c>
      <c r="O50" s="47">
        <v>7.08</v>
      </c>
      <c r="P50" s="48">
        <f t="shared" ref="P50:P56" si="39">SUM(N50*O50)</f>
        <v>8189.79</v>
      </c>
      <c r="Q50" s="102"/>
      <c r="R50" s="102"/>
      <c r="S50" s="70">
        <f t="shared" si="29"/>
        <v>1925.04982352941</v>
      </c>
      <c r="T50" s="70"/>
      <c r="U50" s="70">
        <f t="shared" si="30"/>
        <v>55.9382352941176</v>
      </c>
      <c r="V50" s="70"/>
      <c r="W50" s="70"/>
      <c r="X50" s="101">
        <f t="shared" si="26"/>
        <v>1980.98805882353</v>
      </c>
      <c r="Y50" s="84">
        <f t="shared" si="31"/>
        <v>462.026587647059</v>
      </c>
      <c r="Z50" s="84"/>
      <c r="AA50" s="84"/>
      <c r="AB50" s="84">
        <f t="shared" si="27"/>
        <v>462.026587647059</v>
      </c>
      <c r="AC50" s="85">
        <v>7.12</v>
      </c>
      <c r="AD50" s="70">
        <f t="shared" si="24"/>
        <v>3289.62930404706</v>
      </c>
      <c r="AE50" s="70">
        <f t="shared" si="28"/>
        <v>5270.61736287059</v>
      </c>
      <c r="AF50" s="70">
        <f t="shared" si="25"/>
        <v>2919.17263712941</v>
      </c>
    </row>
    <row r="51" s="2" customFormat="1" spans="1:32">
      <c r="A51" s="90"/>
      <c r="B51" s="47"/>
      <c r="C51" s="22">
        <v>240911000011</v>
      </c>
      <c r="D51" s="23">
        <v>45547</v>
      </c>
      <c r="E51" s="23" t="s">
        <v>78</v>
      </c>
      <c r="F51" s="47" t="s">
        <v>79</v>
      </c>
      <c r="G51" s="47" t="s">
        <v>100</v>
      </c>
      <c r="H51" s="91">
        <v>1.019</v>
      </c>
      <c r="I51" s="91">
        <v>374</v>
      </c>
      <c r="J51" s="42">
        <v>2095</v>
      </c>
      <c r="K51" s="85"/>
      <c r="L51" s="92"/>
      <c r="M51" s="45"/>
      <c r="N51" s="93"/>
      <c r="O51" s="47"/>
      <c r="P51" s="48">
        <f t="shared" si="38"/>
        <v>2095</v>
      </c>
      <c r="Q51" s="102"/>
      <c r="R51" s="102"/>
      <c r="S51" s="70">
        <f t="shared" si="29"/>
        <v>670.412088235294</v>
      </c>
      <c r="T51" s="70"/>
      <c r="U51" s="70">
        <f t="shared" si="30"/>
        <v>19.4808823529412</v>
      </c>
      <c r="V51" s="70"/>
      <c r="W51" s="70"/>
      <c r="X51" s="101">
        <f t="shared" si="26"/>
        <v>689.892970588235</v>
      </c>
      <c r="Y51" s="84">
        <f t="shared" si="31"/>
        <v>160.903996176471</v>
      </c>
      <c r="Z51" s="84"/>
      <c r="AA51" s="84"/>
      <c r="AB51" s="84">
        <f t="shared" si="27"/>
        <v>160.903996176471</v>
      </c>
      <c r="AC51" s="85">
        <v>7.12</v>
      </c>
      <c r="AD51" s="70">
        <f t="shared" si="24"/>
        <v>1145.63645277647</v>
      </c>
      <c r="AE51" s="70">
        <f t="shared" ref="AE51:AE59" si="40">SUM(X51+AD51)</f>
        <v>1835.52942336471</v>
      </c>
      <c r="AF51" s="70">
        <f t="shared" si="25"/>
        <v>259.47057663529</v>
      </c>
    </row>
    <row r="52" s="2" customFormat="1" spans="1:32">
      <c r="A52" s="90"/>
      <c r="B52" s="47"/>
      <c r="C52" s="22">
        <v>240911000023</v>
      </c>
      <c r="D52" s="23">
        <v>45547</v>
      </c>
      <c r="E52" s="23" t="s">
        <v>81</v>
      </c>
      <c r="F52" s="47" t="s">
        <v>82</v>
      </c>
      <c r="G52" s="47" t="s">
        <v>83</v>
      </c>
      <c r="H52" s="91">
        <v>0.0849</v>
      </c>
      <c r="I52" s="91">
        <v>40</v>
      </c>
      <c r="J52" s="42">
        <v>210.75</v>
      </c>
      <c r="K52" s="85"/>
      <c r="L52" s="92"/>
      <c r="M52" s="45"/>
      <c r="N52" s="93"/>
      <c r="O52" s="47"/>
      <c r="P52" s="48">
        <f t="shared" si="38"/>
        <v>210.75</v>
      </c>
      <c r="Q52" s="103"/>
      <c r="R52" s="103"/>
      <c r="S52" s="70">
        <f t="shared" si="29"/>
        <v>55.8567088235294</v>
      </c>
      <c r="T52" s="70"/>
      <c r="U52" s="70">
        <f t="shared" si="30"/>
        <v>1.62308823529412</v>
      </c>
      <c r="V52" s="70"/>
      <c r="W52" s="70"/>
      <c r="X52" s="101">
        <f t="shared" ref="X52:X59" si="41">SUM(S52:W52)</f>
        <v>57.4797970588235</v>
      </c>
      <c r="Y52" s="84">
        <f t="shared" si="31"/>
        <v>13.4060346176471</v>
      </c>
      <c r="Z52" s="84"/>
      <c r="AA52" s="84"/>
      <c r="AB52" s="84">
        <f t="shared" si="27"/>
        <v>13.4060346176471</v>
      </c>
      <c r="AC52" s="85">
        <v>7.12</v>
      </c>
      <c r="AD52" s="70">
        <f t="shared" ref="AD52:AD59" si="42">SUM(AB52*AC52)</f>
        <v>95.450966477647</v>
      </c>
      <c r="AE52" s="70">
        <f t="shared" si="40"/>
        <v>152.930763536471</v>
      </c>
      <c r="AF52" s="70">
        <f t="shared" ref="AF52:AF59" si="43">SUM(P52-AE52)</f>
        <v>57.819236463529</v>
      </c>
    </row>
    <row r="53" s="2" customFormat="1" spans="1:32">
      <c r="A53" s="90" t="s">
        <v>10</v>
      </c>
      <c r="B53" s="47" t="s">
        <v>11</v>
      </c>
      <c r="C53" s="22">
        <v>240812000038</v>
      </c>
      <c r="D53" s="117">
        <v>45518</v>
      </c>
      <c r="E53" s="23" t="s">
        <v>66</v>
      </c>
      <c r="F53" s="47" t="s">
        <v>67</v>
      </c>
      <c r="G53" s="47" t="s">
        <v>108</v>
      </c>
      <c r="H53" s="91">
        <v>3.8495</v>
      </c>
      <c r="I53" s="91">
        <v>2234</v>
      </c>
      <c r="J53" s="48"/>
      <c r="K53" s="118">
        <v>2249445</v>
      </c>
      <c r="L53" s="92"/>
      <c r="M53" s="45">
        <f t="shared" ref="M53:M56" si="44">SUM(K53/N53)</f>
        <v>1750.28546418324</v>
      </c>
      <c r="N53" s="46">
        <v>1285.1875</v>
      </c>
      <c r="O53" s="47">
        <v>7.1</v>
      </c>
      <c r="P53" s="48">
        <f t="shared" si="39"/>
        <v>9124.83125</v>
      </c>
      <c r="Q53" s="99">
        <f>SUM(P53:P57)</f>
        <v>23751.7281652</v>
      </c>
      <c r="R53" s="99" t="s">
        <v>109</v>
      </c>
      <c r="S53" s="121">
        <f>SUM(20857/11.0091)*H53</f>
        <v>7292.96868045526</v>
      </c>
      <c r="T53" s="70">
        <f>SUM(351/11.0091)*H53</f>
        <v>122.732512194457</v>
      </c>
      <c r="U53" s="70"/>
      <c r="V53" s="70"/>
      <c r="W53" s="70"/>
      <c r="X53" s="101">
        <f t="shared" si="41"/>
        <v>7415.70119264972</v>
      </c>
      <c r="Y53" s="84"/>
      <c r="Z53" s="84">
        <v>53.1</v>
      </c>
      <c r="AA53" s="84">
        <f>SUM(82.6/11.0091)*H53</f>
        <v>28.8823518725418</v>
      </c>
      <c r="AB53" s="84">
        <f t="shared" ref="AB53:AB59" si="45">SUM(Y53:AA53)</f>
        <v>81.9823518725418</v>
      </c>
      <c r="AC53" s="85">
        <v>7.12</v>
      </c>
      <c r="AD53" s="70">
        <f t="shared" si="42"/>
        <v>583.714345332498</v>
      </c>
      <c r="AE53" s="70">
        <f t="shared" si="40"/>
        <v>7999.41553798222</v>
      </c>
      <c r="AF53" s="70">
        <f t="shared" si="43"/>
        <v>1125.41571201778</v>
      </c>
    </row>
    <row r="54" s="2" customFormat="1" spans="1:32">
      <c r="A54" s="90"/>
      <c r="B54" s="47"/>
      <c r="C54" s="22">
        <v>240812000053</v>
      </c>
      <c r="D54" s="117">
        <v>45518</v>
      </c>
      <c r="E54" s="23" t="s">
        <v>59</v>
      </c>
      <c r="F54" s="47" t="s">
        <v>59</v>
      </c>
      <c r="G54" s="47" t="s">
        <v>110</v>
      </c>
      <c r="H54" s="91">
        <v>1.2271</v>
      </c>
      <c r="I54" s="91">
        <v>166</v>
      </c>
      <c r="J54" s="42">
        <v>2491.03</v>
      </c>
      <c r="K54" s="119"/>
      <c r="L54" s="92"/>
      <c r="M54" s="45"/>
      <c r="N54" s="93"/>
      <c r="O54" s="47"/>
      <c r="P54" s="48">
        <f>SUBTOTAL(9,J54)</f>
        <v>2491.03</v>
      </c>
      <c r="Q54" s="102"/>
      <c r="R54" s="102"/>
      <c r="S54" s="121">
        <f>SUM(20857/11.0091)*H54</f>
        <v>2324.7699357804</v>
      </c>
      <c r="T54" s="70">
        <f>SUM(351/11.0091)*H54</f>
        <v>39.1232798321389</v>
      </c>
      <c r="U54" s="70"/>
      <c r="V54" s="70"/>
      <c r="W54" s="70"/>
      <c r="X54" s="101">
        <f t="shared" si="41"/>
        <v>2363.89321561254</v>
      </c>
      <c r="Y54" s="84"/>
      <c r="Z54" s="84"/>
      <c r="AA54" s="84">
        <f>SUM(82.6/11.0091)*H54</f>
        <v>9.20678892915861</v>
      </c>
      <c r="AB54" s="84">
        <f t="shared" si="45"/>
        <v>9.20678892915861</v>
      </c>
      <c r="AC54" s="85">
        <v>7.12</v>
      </c>
      <c r="AD54" s="70">
        <f t="shared" si="42"/>
        <v>65.5523371756093</v>
      </c>
      <c r="AE54" s="70">
        <f t="shared" si="40"/>
        <v>2429.44555278815</v>
      </c>
      <c r="AF54" s="70">
        <f t="shared" si="43"/>
        <v>61.5844472118501</v>
      </c>
    </row>
    <row r="55" s="2" customFormat="1" spans="1:32">
      <c r="A55" s="90"/>
      <c r="B55" s="47"/>
      <c r="C55" s="22">
        <v>240812000057</v>
      </c>
      <c r="D55" s="117">
        <v>45518</v>
      </c>
      <c r="E55" s="23" t="s">
        <v>62</v>
      </c>
      <c r="F55" s="47" t="s">
        <v>63</v>
      </c>
      <c r="G55" s="47" t="s">
        <v>69</v>
      </c>
      <c r="H55" s="91">
        <v>2.0765</v>
      </c>
      <c r="I55" s="91">
        <v>1506</v>
      </c>
      <c r="J55" s="48"/>
      <c r="K55" s="97">
        <v>1325000</v>
      </c>
      <c r="L55" s="92"/>
      <c r="M55" s="45">
        <f t="shared" si="44"/>
        <v>1924.58541815562</v>
      </c>
      <c r="N55" s="46">
        <v>688.45996</v>
      </c>
      <c r="O55" s="47">
        <v>7.12</v>
      </c>
      <c r="P55" s="48">
        <f t="shared" si="39"/>
        <v>4901.8349152</v>
      </c>
      <c r="Q55" s="102"/>
      <c r="R55" s="102"/>
      <c r="S55" s="121">
        <f>SUM(20857/11.0091)*H55</f>
        <v>3933.97829977019</v>
      </c>
      <c r="T55" s="70">
        <f>SUM(351/11.0091)*H55</f>
        <v>66.2044581300924</v>
      </c>
      <c r="U55" s="70"/>
      <c r="V55" s="70"/>
      <c r="W55" s="70"/>
      <c r="X55" s="101">
        <f t="shared" si="41"/>
        <v>4000.18275790028</v>
      </c>
      <c r="Y55" s="84"/>
      <c r="Z55" s="84"/>
      <c r="AA55" s="84">
        <f>SUM(82.6/11.0091)*H55</f>
        <v>15.5797385799021</v>
      </c>
      <c r="AB55" s="84">
        <f t="shared" si="45"/>
        <v>15.5797385799021</v>
      </c>
      <c r="AC55" s="85">
        <v>7.12</v>
      </c>
      <c r="AD55" s="70">
        <f t="shared" si="42"/>
        <v>110.927738688903</v>
      </c>
      <c r="AE55" s="70">
        <f t="shared" si="40"/>
        <v>4111.11049658919</v>
      </c>
      <c r="AF55" s="70">
        <f t="shared" si="43"/>
        <v>790.724418610815</v>
      </c>
    </row>
    <row r="56" s="2" customFormat="1" spans="1:32">
      <c r="A56" s="90"/>
      <c r="B56" s="47"/>
      <c r="C56" s="22">
        <v>240813000031</v>
      </c>
      <c r="D56" s="117">
        <v>45518</v>
      </c>
      <c r="E56" s="23" t="s">
        <v>59</v>
      </c>
      <c r="F56" s="47" t="s">
        <v>59</v>
      </c>
      <c r="G56" s="47" t="s">
        <v>110</v>
      </c>
      <c r="H56" s="91">
        <v>2.3157</v>
      </c>
      <c r="I56" s="91">
        <v>122</v>
      </c>
      <c r="J56" s="42"/>
      <c r="K56" s="119"/>
      <c r="L56" s="92"/>
      <c r="M56" s="45">
        <f t="shared" si="44"/>
        <v>0</v>
      </c>
      <c r="N56" s="120">
        <v>648.4</v>
      </c>
      <c r="O56" s="47">
        <v>7.08</v>
      </c>
      <c r="P56" s="48">
        <f t="shared" si="39"/>
        <v>4590.672</v>
      </c>
      <c r="Q56" s="102"/>
      <c r="R56" s="102"/>
      <c r="S56" s="121">
        <f>SUM(20857/11.0091)*H56</f>
        <v>4387.14835000136</v>
      </c>
      <c r="T56" s="70">
        <f>SUM(351/11.0091)*H56</f>
        <v>73.8308036079244</v>
      </c>
      <c r="U56" s="70"/>
      <c r="V56" s="70"/>
      <c r="W56" s="70"/>
      <c r="X56" s="101">
        <f t="shared" si="41"/>
        <v>4460.97915360928</v>
      </c>
      <c r="Y56" s="84"/>
      <c r="Z56" s="84"/>
      <c r="AA56" s="84">
        <f>SUM(82.6/11.0091)*H56</f>
        <v>17.3744284273919</v>
      </c>
      <c r="AB56" s="84">
        <f t="shared" si="45"/>
        <v>17.3744284273919</v>
      </c>
      <c r="AC56" s="85">
        <v>7.12</v>
      </c>
      <c r="AD56" s="70">
        <f t="shared" si="42"/>
        <v>123.70593040303</v>
      </c>
      <c r="AE56" s="70">
        <f t="shared" si="40"/>
        <v>4584.68508401231</v>
      </c>
      <c r="AF56" s="70">
        <f t="shared" si="43"/>
        <v>5.98691598768528</v>
      </c>
    </row>
    <row r="57" s="2" customFormat="1" spans="1:32">
      <c r="A57" s="90"/>
      <c r="B57" s="47"/>
      <c r="C57" s="22">
        <v>240814000030</v>
      </c>
      <c r="D57" s="117">
        <v>45518</v>
      </c>
      <c r="E57" s="23" t="s">
        <v>59</v>
      </c>
      <c r="F57" s="47" t="s">
        <v>59</v>
      </c>
      <c r="G57" s="47" t="s">
        <v>111</v>
      </c>
      <c r="H57" s="91">
        <v>1.5403</v>
      </c>
      <c r="I57" s="91">
        <v>189.9</v>
      </c>
      <c r="J57" s="42">
        <v>2643.36</v>
      </c>
      <c r="K57" s="119"/>
      <c r="L57" s="92"/>
      <c r="M57" s="45"/>
      <c r="N57" s="93"/>
      <c r="O57" s="47"/>
      <c r="P57" s="48">
        <f t="shared" ref="P57:P61" si="46">SUBTOTAL(9,J57)</f>
        <v>2643.36</v>
      </c>
      <c r="Q57" s="103"/>
      <c r="R57" s="103"/>
      <c r="S57" s="121">
        <f>SUM(20857/11.0091)*H57</f>
        <v>2918.13473399279</v>
      </c>
      <c r="T57" s="70">
        <f>SUM(351/11.0091)*H57</f>
        <v>49.1089462353871</v>
      </c>
      <c r="U57" s="70"/>
      <c r="V57" s="70"/>
      <c r="W57" s="70"/>
      <c r="X57" s="101">
        <f t="shared" si="41"/>
        <v>2967.24368022818</v>
      </c>
      <c r="Y57" s="84"/>
      <c r="Z57" s="84"/>
      <c r="AA57" s="84">
        <f>SUM(82.6/11.0091)*H57</f>
        <v>11.5566921910056</v>
      </c>
      <c r="AB57" s="84">
        <f t="shared" si="45"/>
        <v>11.5566921910056</v>
      </c>
      <c r="AC57" s="85">
        <v>7.12</v>
      </c>
      <c r="AD57" s="70">
        <f t="shared" si="42"/>
        <v>82.28364839996</v>
      </c>
      <c r="AE57" s="70">
        <f t="shared" si="40"/>
        <v>3049.52732862814</v>
      </c>
      <c r="AF57" s="70">
        <f t="shared" si="43"/>
        <v>-406.16732862814</v>
      </c>
    </row>
    <row r="58" s="2" customFormat="1" spans="1:32">
      <c r="A58" s="116" t="s">
        <v>12</v>
      </c>
      <c r="B58" s="115" t="s">
        <v>13</v>
      </c>
      <c r="C58" s="22">
        <v>240830000002</v>
      </c>
      <c r="D58" s="23">
        <v>45583</v>
      </c>
      <c r="E58" s="23" t="s">
        <v>59</v>
      </c>
      <c r="F58" s="115" t="s">
        <v>59</v>
      </c>
      <c r="G58" s="115" t="s">
        <v>112</v>
      </c>
      <c r="H58" s="115" t="s">
        <v>113</v>
      </c>
      <c r="I58" s="115"/>
      <c r="J58" s="48"/>
      <c r="K58" s="97">
        <v>18000000</v>
      </c>
      <c r="L58" s="92"/>
      <c r="M58" s="45">
        <f t="shared" ref="M58:M63" si="47">SUM(K58/N58)</f>
        <v>1744.9909066585</v>
      </c>
      <c r="N58" s="98">
        <v>10315.24</v>
      </c>
      <c r="O58" s="47">
        <v>7.12</v>
      </c>
      <c r="P58" s="48">
        <f t="shared" ref="P58:P63" si="48">SUM(N58*O58)</f>
        <v>73444.5088</v>
      </c>
      <c r="Q58" s="70">
        <f>SUM(P58)</f>
        <v>73444.5088</v>
      </c>
      <c r="R58" s="70"/>
      <c r="S58" s="70"/>
      <c r="T58" s="70"/>
      <c r="U58" s="70"/>
      <c r="V58" s="70"/>
      <c r="W58" s="70"/>
      <c r="X58" s="101">
        <f t="shared" ref="X58:X80" si="49">SUM(S58:W58)</f>
        <v>0</v>
      </c>
      <c r="Y58" s="84">
        <v>10324.48</v>
      </c>
      <c r="Z58" s="84"/>
      <c r="AA58" s="84"/>
      <c r="AB58" s="84">
        <f t="shared" si="45"/>
        <v>10324.48</v>
      </c>
      <c r="AC58" s="85">
        <v>7.12</v>
      </c>
      <c r="AD58" s="70">
        <f t="shared" ref="AD58:AD80" si="50">SUM(AB58*AC58)</f>
        <v>73510.2976</v>
      </c>
      <c r="AE58" s="70">
        <f t="shared" ref="AE58:AE80" si="51">SUM(X58+AD58)</f>
        <v>73510.2976</v>
      </c>
      <c r="AF58" s="70">
        <f t="shared" si="43"/>
        <v>-65.7888000000094</v>
      </c>
    </row>
    <row r="59" s="2" customFormat="1" spans="1:32">
      <c r="A59" s="90" t="s">
        <v>14</v>
      </c>
      <c r="B59" s="47" t="s">
        <v>15</v>
      </c>
      <c r="C59" s="22">
        <v>240830000001</v>
      </c>
      <c r="D59" s="23">
        <v>45583</v>
      </c>
      <c r="E59" s="23" t="s">
        <v>59</v>
      </c>
      <c r="F59" s="47" t="s">
        <v>59</v>
      </c>
      <c r="G59" s="47" t="s">
        <v>112</v>
      </c>
      <c r="H59" s="115" t="s">
        <v>113</v>
      </c>
      <c r="I59" s="115"/>
      <c r="J59" s="48"/>
      <c r="K59" s="97">
        <v>15200000</v>
      </c>
      <c r="L59" s="92"/>
      <c r="M59" s="45">
        <f t="shared" si="47"/>
        <v>1710.99898814672</v>
      </c>
      <c r="N59" s="46">
        <v>8883.699</v>
      </c>
      <c r="O59" s="47">
        <v>7.12</v>
      </c>
      <c r="P59" s="48">
        <f t="shared" si="48"/>
        <v>63251.93688</v>
      </c>
      <c r="Q59" s="70">
        <f>SUM(P59)</f>
        <v>63251.93688</v>
      </c>
      <c r="R59" s="70"/>
      <c r="S59" s="70"/>
      <c r="T59" s="70"/>
      <c r="U59" s="70"/>
      <c r="V59" s="70"/>
      <c r="W59" s="70"/>
      <c r="X59" s="101">
        <f t="shared" si="49"/>
        <v>0</v>
      </c>
      <c r="Y59" s="84">
        <v>7374.63</v>
      </c>
      <c r="Z59" s="84"/>
      <c r="AA59" s="84"/>
      <c r="AB59" s="84">
        <f t="shared" ref="AB59:AB80" si="52">SUM(Y59:AA59)</f>
        <v>7374.63</v>
      </c>
      <c r="AC59" s="85">
        <v>7.12</v>
      </c>
      <c r="AD59" s="70">
        <f t="shared" si="50"/>
        <v>52507.3656</v>
      </c>
      <c r="AE59" s="70">
        <f t="shared" si="51"/>
        <v>52507.3656</v>
      </c>
      <c r="AF59" s="70">
        <f t="shared" si="43"/>
        <v>10744.57128</v>
      </c>
    </row>
    <row r="60" s="2" customFormat="1" spans="1:32">
      <c r="A60" s="90" t="s">
        <v>16</v>
      </c>
      <c r="B60" s="47" t="s">
        <v>17</v>
      </c>
      <c r="C60" s="22">
        <v>240816000024</v>
      </c>
      <c r="D60" s="23">
        <v>45554</v>
      </c>
      <c r="E60" s="23" t="s">
        <v>78</v>
      </c>
      <c r="F60" s="47" t="s">
        <v>79</v>
      </c>
      <c r="G60" s="47" t="s">
        <v>103</v>
      </c>
      <c r="H60" s="91">
        <v>4.5226</v>
      </c>
      <c r="I60" s="91">
        <v>5204</v>
      </c>
      <c r="J60" s="42">
        <v>10335.77</v>
      </c>
      <c r="K60" s="85"/>
      <c r="L60" s="112"/>
      <c r="M60" s="45"/>
      <c r="N60" s="46"/>
      <c r="O60" s="47"/>
      <c r="P60" s="48">
        <f t="shared" si="46"/>
        <v>10335.77</v>
      </c>
      <c r="Q60" s="99">
        <f>SUM(P60:P80)</f>
        <v>147850.33616548</v>
      </c>
      <c r="R60" s="100" t="s">
        <v>114</v>
      </c>
      <c r="S60" s="70">
        <f>SUM(45623/68)*H60</f>
        <v>3034.33205588235</v>
      </c>
      <c r="T60" s="70"/>
      <c r="U60" s="70">
        <f>SUM(1600/68)*H60</f>
        <v>106.414117647059</v>
      </c>
      <c r="V60" s="70"/>
      <c r="W60" s="70"/>
      <c r="X60" s="101">
        <f t="shared" si="49"/>
        <v>3140.74617352941</v>
      </c>
      <c r="Y60" s="84">
        <f>SUM(10737.46/68)*H60</f>
        <v>714.135832294117</v>
      </c>
      <c r="Z60" s="84"/>
      <c r="AA60" s="84">
        <f>SUM(53.1/68)*H60</f>
        <v>3.53161852941176</v>
      </c>
      <c r="AB60" s="84">
        <f t="shared" si="52"/>
        <v>717.667450823529</v>
      </c>
      <c r="AC60" s="85">
        <v>7.18</v>
      </c>
      <c r="AD60" s="70">
        <f t="shared" si="50"/>
        <v>5152.85229691294</v>
      </c>
      <c r="AE60" s="70">
        <f t="shared" si="51"/>
        <v>8293.59847044235</v>
      </c>
      <c r="AF60" s="70">
        <f t="shared" ref="AF60:AF80" si="53">SUM(P60-AE60)</f>
        <v>2042.17152955765</v>
      </c>
    </row>
    <row r="61" s="2" customFormat="1" spans="1:32">
      <c r="A61" s="90"/>
      <c r="B61" s="47"/>
      <c r="C61" s="22">
        <v>240828000061</v>
      </c>
      <c r="D61" s="23">
        <v>45554</v>
      </c>
      <c r="E61" s="23" t="s">
        <v>59</v>
      </c>
      <c r="F61" s="47" t="s">
        <v>59</v>
      </c>
      <c r="G61" s="47" t="s">
        <v>96</v>
      </c>
      <c r="H61" s="91">
        <v>8.526</v>
      </c>
      <c r="I61" s="91">
        <v>1229</v>
      </c>
      <c r="J61" s="42">
        <v>19021</v>
      </c>
      <c r="K61" s="85"/>
      <c r="L61" s="92"/>
      <c r="M61" s="45"/>
      <c r="N61" s="93"/>
      <c r="O61" s="47"/>
      <c r="P61" s="48">
        <f t="shared" si="46"/>
        <v>19021</v>
      </c>
      <c r="Q61" s="102"/>
      <c r="R61" s="110"/>
      <c r="S61" s="70">
        <f t="shared" ref="S61:S80" si="54">SUM(45623/68)*H61</f>
        <v>5720.31908823529</v>
      </c>
      <c r="T61" s="70"/>
      <c r="U61" s="70">
        <f t="shared" ref="U61:U80" si="55">SUM(1600/68)*H61</f>
        <v>200.611764705882</v>
      </c>
      <c r="V61" s="70"/>
      <c r="W61" s="70"/>
      <c r="X61" s="101">
        <f t="shared" si="49"/>
        <v>5920.93085294118</v>
      </c>
      <c r="Y61" s="84">
        <f t="shared" ref="Y61:Y81" si="56">SUM(10737.46/68)*H61</f>
        <v>1346.28799941176</v>
      </c>
      <c r="Z61" s="84"/>
      <c r="AA61" s="84">
        <f t="shared" ref="AA61:AA81" si="57">SUM(53.1/68)*H61</f>
        <v>6.65780294117647</v>
      </c>
      <c r="AB61" s="84">
        <f t="shared" si="52"/>
        <v>1352.94580235294</v>
      </c>
      <c r="AC61" s="85">
        <v>7.18</v>
      </c>
      <c r="AD61" s="70">
        <f t="shared" si="50"/>
        <v>9714.15086089412</v>
      </c>
      <c r="AE61" s="70">
        <f t="shared" si="51"/>
        <v>15635.0817138353</v>
      </c>
      <c r="AF61" s="70">
        <f t="shared" si="53"/>
        <v>3385.9182861647</v>
      </c>
    </row>
    <row r="62" s="2" customFormat="1" spans="1:32">
      <c r="A62" s="90"/>
      <c r="B62" s="47"/>
      <c r="C62" s="22">
        <v>240905000030</v>
      </c>
      <c r="D62" s="23">
        <v>45554</v>
      </c>
      <c r="E62" s="23" t="s">
        <v>66</v>
      </c>
      <c r="F62" s="47" t="s">
        <v>67</v>
      </c>
      <c r="G62" s="47" t="s">
        <v>94</v>
      </c>
      <c r="H62" s="91">
        <v>6.5636</v>
      </c>
      <c r="I62" s="91">
        <v>3760</v>
      </c>
      <c r="J62" s="48"/>
      <c r="K62" s="97">
        <v>3334275</v>
      </c>
      <c r="L62" s="92"/>
      <c r="M62" s="45">
        <f t="shared" si="47"/>
        <v>1750.04592573153</v>
      </c>
      <c r="N62" s="46">
        <v>1905.25</v>
      </c>
      <c r="O62" s="47">
        <v>7.23</v>
      </c>
      <c r="P62" s="48">
        <f t="shared" si="48"/>
        <v>13774.9575</v>
      </c>
      <c r="Q62" s="102"/>
      <c r="R62" s="110"/>
      <c r="S62" s="70">
        <f t="shared" si="54"/>
        <v>4403.69298235294</v>
      </c>
      <c r="T62" s="70"/>
      <c r="U62" s="70">
        <f t="shared" si="55"/>
        <v>154.437647058824</v>
      </c>
      <c r="V62" s="70"/>
      <c r="W62" s="70"/>
      <c r="X62" s="101">
        <f t="shared" si="49"/>
        <v>4558.13062941176</v>
      </c>
      <c r="Y62" s="84">
        <f t="shared" si="56"/>
        <v>1036.41753611765</v>
      </c>
      <c r="Z62" s="84"/>
      <c r="AA62" s="84">
        <f t="shared" si="57"/>
        <v>5.12539941176471</v>
      </c>
      <c r="AB62" s="84">
        <f t="shared" si="52"/>
        <v>1041.54293552941</v>
      </c>
      <c r="AC62" s="85">
        <v>7.18</v>
      </c>
      <c r="AD62" s="70">
        <f t="shared" si="50"/>
        <v>7478.27827710118</v>
      </c>
      <c r="AE62" s="70">
        <f t="shared" si="51"/>
        <v>12036.4089065129</v>
      </c>
      <c r="AF62" s="70">
        <f t="shared" si="53"/>
        <v>1738.54859348706</v>
      </c>
    </row>
    <row r="63" s="2" customFormat="1" spans="1:32">
      <c r="A63" s="90"/>
      <c r="B63" s="47"/>
      <c r="C63" s="22">
        <v>240909000050</v>
      </c>
      <c r="D63" s="23">
        <v>45554</v>
      </c>
      <c r="E63" s="23" t="s">
        <v>74</v>
      </c>
      <c r="F63" s="47" t="s">
        <v>75</v>
      </c>
      <c r="G63" s="47" t="s">
        <v>76</v>
      </c>
      <c r="H63" s="91">
        <v>0.0321</v>
      </c>
      <c r="I63" s="91">
        <v>3.5</v>
      </c>
      <c r="J63" s="48"/>
      <c r="K63" s="85"/>
      <c r="L63" s="112">
        <v>8.99</v>
      </c>
      <c r="M63" s="45">
        <f t="shared" si="47"/>
        <v>0</v>
      </c>
      <c r="N63" s="46">
        <v>8.990002</v>
      </c>
      <c r="O63" s="47">
        <v>7.08</v>
      </c>
      <c r="P63" s="48">
        <f t="shared" si="48"/>
        <v>63.64921416</v>
      </c>
      <c r="Q63" s="102"/>
      <c r="R63" s="110"/>
      <c r="S63" s="70">
        <f t="shared" si="54"/>
        <v>21.5367397058824</v>
      </c>
      <c r="T63" s="70"/>
      <c r="U63" s="70">
        <f t="shared" si="55"/>
        <v>0.755294117647059</v>
      </c>
      <c r="V63" s="70"/>
      <c r="W63" s="70"/>
      <c r="X63" s="101">
        <f t="shared" si="49"/>
        <v>22.2920338235294</v>
      </c>
      <c r="Y63" s="84">
        <f t="shared" si="56"/>
        <v>5.06871273529412</v>
      </c>
      <c r="Z63" s="84"/>
      <c r="AA63" s="84">
        <f t="shared" si="57"/>
        <v>0.0250663235294118</v>
      </c>
      <c r="AB63" s="84">
        <f t="shared" si="52"/>
        <v>5.09377905882353</v>
      </c>
      <c r="AC63" s="85">
        <v>7.18</v>
      </c>
      <c r="AD63" s="70">
        <f t="shared" si="50"/>
        <v>36.5733336423529</v>
      </c>
      <c r="AE63" s="70">
        <f t="shared" si="51"/>
        <v>58.8653674658823</v>
      </c>
      <c r="AF63" s="70">
        <f t="shared" si="53"/>
        <v>4.78384669411766</v>
      </c>
    </row>
    <row r="64" s="2" customFormat="1" spans="1:32">
      <c r="A64" s="90"/>
      <c r="B64" s="47"/>
      <c r="C64" s="22">
        <v>240911000014</v>
      </c>
      <c r="D64" s="23">
        <v>45554</v>
      </c>
      <c r="E64" s="23" t="s">
        <v>78</v>
      </c>
      <c r="F64" s="47" t="s">
        <v>79</v>
      </c>
      <c r="G64" s="47" t="s">
        <v>115</v>
      </c>
      <c r="H64" s="91">
        <v>0.546</v>
      </c>
      <c r="I64" s="91">
        <v>153</v>
      </c>
      <c r="J64" s="42">
        <v>1212.75</v>
      </c>
      <c r="K64" s="85"/>
      <c r="L64" s="92"/>
      <c r="M64" s="45"/>
      <c r="N64" s="93"/>
      <c r="O64" s="47"/>
      <c r="P64" s="48">
        <f t="shared" ref="P64:P67" si="58">SUBTOTAL(9,J64)</f>
        <v>1212.75</v>
      </c>
      <c r="Q64" s="102"/>
      <c r="R64" s="110"/>
      <c r="S64" s="70">
        <f t="shared" si="54"/>
        <v>366.325852941176</v>
      </c>
      <c r="T64" s="70"/>
      <c r="U64" s="70">
        <f t="shared" si="55"/>
        <v>12.8470588235294</v>
      </c>
      <c r="V64" s="70"/>
      <c r="W64" s="70"/>
      <c r="X64" s="101">
        <f t="shared" si="49"/>
        <v>379.172911764706</v>
      </c>
      <c r="Y64" s="84">
        <f t="shared" si="56"/>
        <v>86.2154876470588</v>
      </c>
      <c r="Z64" s="84"/>
      <c r="AA64" s="84">
        <f t="shared" si="57"/>
        <v>0.426361764705882</v>
      </c>
      <c r="AB64" s="84">
        <f t="shared" si="52"/>
        <v>86.6418494117647</v>
      </c>
      <c r="AC64" s="85">
        <v>7.18</v>
      </c>
      <c r="AD64" s="70">
        <f t="shared" si="50"/>
        <v>622.088478776471</v>
      </c>
      <c r="AE64" s="70">
        <f t="shared" si="51"/>
        <v>1001.26139054118</v>
      </c>
      <c r="AF64" s="70">
        <f t="shared" si="53"/>
        <v>211.48860945882</v>
      </c>
    </row>
    <row r="65" s="2" customFormat="1" spans="1:32">
      <c r="A65" s="90"/>
      <c r="B65" s="47"/>
      <c r="C65" s="22">
        <v>240912000025</v>
      </c>
      <c r="D65" s="23">
        <v>45554</v>
      </c>
      <c r="E65" s="23" t="s">
        <v>88</v>
      </c>
      <c r="F65" s="47" t="s">
        <v>89</v>
      </c>
      <c r="G65" s="47" t="s">
        <v>93</v>
      </c>
      <c r="H65" s="91">
        <v>0.0329</v>
      </c>
      <c r="I65" s="91">
        <v>7.28</v>
      </c>
      <c r="J65" s="42">
        <v>221.13</v>
      </c>
      <c r="K65" s="85"/>
      <c r="L65" s="92"/>
      <c r="M65" s="45"/>
      <c r="N65" s="93"/>
      <c r="O65" s="47"/>
      <c r="P65" s="48">
        <f t="shared" si="58"/>
        <v>221.13</v>
      </c>
      <c r="Q65" s="102"/>
      <c r="R65" s="110"/>
      <c r="S65" s="70">
        <f t="shared" si="54"/>
        <v>22.0734808823529</v>
      </c>
      <c r="T65" s="70"/>
      <c r="U65" s="70">
        <f t="shared" si="55"/>
        <v>0.774117647058824</v>
      </c>
      <c r="V65" s="70"/>
      <c r="W65" s="70"/>
      <c r="X65" s="101">
        <f t="shared" si="49"/>
        <v>22.8475985294118</v>
      </c>
      <c r="Y65" s="84">
        <f t="shared" si="56"/>
        <v>5.19503579411765</v>
      </c>
      <c r="Z65" s="84"/>
      <c r="AA65" s="84">
        <f t="shared" si="57"/>
        <v>0.0256910294117647</v>
      </c>
      <c r="AB65" s="84">
        <f t="shared" si="52"/>
        <v>5.22072682352941</v>
      </c>
      <c r="AC65" s="85">
        <v>7.18</v>
      </c>
      <c r="AD65" s="70">
        <f t="shared" si="50"/>
        <v>37.4848185929412</v>
      </c>
      <c r="AE65" s="70">
        <f t="shared" si="51"/>
        <v>60.3324171223529</v>
      </c>
      <c r="AF65" s="70">
        <f t="shared" si="53"/>
        <v>160.797582877647</v>
      </c>
    </row>
    <row r="66" s="2" customFormat="1" spans="1:32">
      <c r="A66" s="90"/>
      <c r="B66" s="47"/>
      <c r="C66" s="22">
        <v>240912000029</v>
      </c>
      <c r="D66" s="23">
        <v>45554</v>
      </c>
      <c r="E66" s="23" t="s">
        <v>78</v>
      </c>
      <c r="F66" s="47" t="s">
        <v>79</v>
      </c>
      <c r="G66" s="47" t="s">
        <v>100</v>
      </c>
      <c r="H66" s="91">
        <v>1.2975</v>
      </c>
      <c r="I66" s="91">
        <v>506</v>
      </c>
      <c r="J66" s="42">
        <v>2649</v>
      </c>
      <c r="K66" s="85"/>
      <c r="L66" s="92"/>
      <c r="M66" s="45"/>
      <c r="N66" s="93"/>
      <c r="O66" s="47"/>
      <c r="P66" s="48">
        <f t="shared" si="58"/>
        <v>2649</v>
      </c>
      <c r="Q66" s="102"/>
      <c r="R66" s="110"/>
      <c r="S66" s="70">
        <f t="shared" si="54"/>
        <v>870.527095588235</v>
      </c>
      <c r="T66" s="70"/>
      <c r="U66" s="70">
        <f t="shared" si="55"/>
        <v>30.5294117647059</v>
      </c>
      <c r="V66" s="70"/>
      <c r="W66" s="70"/>
      <c r="X66" s="101">
        <f t="shared" si="49"/>
        <v>901.056507352941</v>
      </c>
      <c r="Y66" s="84">
        <f t="shared" si="56"/>
        <v>204.880211029412</v>
      </c>
      <c r="Z66" s="84"/>
      <c r="AA66" s="84">
        <f t="shared" si="57"/>
        <v>1.01319485294118</v>
      </c>
      <c r="AB66" s="84">
        <f t="shared" si="52"/>
        <v>205.893405882353</v>
      </c>
      <c r="AC66" s="85">
        <v>7.18</v>
      </c>
      <c r="AD66" s="70">
        <f t="shared" si="50"/>
        <v>1478.31465423529</v>
      </c>
      <c r="AE66" s="70">
        <f t="shared" si="51"/>
        <v>2379.37116158824</v>
      </c>
      <c r="AF66" s="70">
        <f t="shared" si="53"/>
        <v>269.62883841176</v>
      </c>
    </row>
    <row r="67" s="2" customFormat="1" spans="1:32">
      <c r="A67" s="90"/>
      <c r="B67" s="47"/>
      <c r="C67" s="22">
        <v>240912000039</v>
      </c>
      <c r="D67" s="23">
        <v>45554</v>
      </c>
      <c r="E67" s="23" t="s">
        <v>78</v>
      </c>
      <c r="F67" s="47" t="s">
        <v>79</v>
      </c>
      <c r="G67" s="47" t="s">
        <v>103</v>
      </c>
      <c r="H67" s="91">
        <v>2.7009</v>
      </c>
      <c r="I67" s="91">
        <v>1774</v>
      </c>
      <c r="J67" s="42">
        <v>5427.88</v>
      </c>
      <c r="K67" s="85"/>
      <c r="L67" s="112"/>
      <c r="M67" s="45"/>
      <c r="N67" s="46"/>
      <c r="O67" s="47"/>
      <c r="P67" s="48">
        <f t="shared" si="58"/>
        <v>5427.88</v>
      </c>
      <c r="Q67" s="102"/>
      <c r="R67" s="110"/>
      <c r="S67" s="70">
        <f t="shared" si="54"/>
        <v>1812.10530441176</v>
      </c>
      <c r="T67" s="70"/>
      <c r="U67" s="70">
        <f t="shared" si="55"/>
        <v>63.5505882352941</v>
      </c>
      <c r="V67" s="70"/>
      <c r="W67" s="70"/>
      <c r="X67" s="101">
        <f t="shared" si="49"/>
        <v>1875.65589264706</v>
      </c>
      <c r="Y67" s="84">
        <f t="shared" si="56"/>
        <v>426.482436970588</v>
      </c>
      <c r="Z67" s="84"/>
      <c r="AA67" s="84">
        <f t="shared" si="57"/>
        <v>2.10908514705882</v>
      </c>
      <c r="AB67" s="84">
        <f t="shared" si="52"/>
        <v>428.591522117647</v>
      </c>
      <c r="AC67" s="85">
        <v>7.18</v>
      </c>
      <c r="AD67" s="70">
        <f t="shared" si="50"/>
        <v>3077.2871288047</v>
      </c>
      <c r="AE67" s="70">
        <f t="shared" si="51"/>
        <v>4952.94302145176</v>
      </c>
      <c r="AF67" s="70">
        <f t="shared" si="53"/>
        <v>474.93697854824</v>
      </c>
    </row>
    <row r="68" s="2" customFormat="1" spans="1:32">
      <c r="A68" s="90"/>
      <c r="B68" s="47"/>
      <c r="C68" s="22">
        <v>240913000002</v>
      </c>
      <c r="D68" s="23">
        <v>45554</v>
      </c>
      <c r="E68" s="23" t="s">
        <v>88</v>
      </c>
      <c r="F68" s="47" t="s">
        <v>89</v>
      </c>
      <c r="G68" s="47" t="s">
        <v>107</v>
      </c>
      <c r="H68" s="91">
        <v>0.64</v>
      </c>
      <c r="I68" s="91">
        <v>208</v>
      </c>
      <c r="J68" s="48"/>
      <c r="K68" s="97">
        <v>485452.8</v>
      </c>
      <c r="L68" s="92"/>
      <c r="M68" s="45">
        <f>SUM(K68/N68)</f>
        <v>1764.00012819768</v>
      </c>
      <c r="N68" s="46">
        <v>275.19998</v>
      </c>
      <c r="O68" s="47">
        <v>7.08</v>
      </c>
      <c r="P68" s="48">
        <f>SUM(N68*O68)</f>
        <v>1948.4158584</v>
      </c>
      <c r="Q68" s="102"/>
      <c r="R68" s="110"/>
      <c r="S68" s="70">
        <f t="shared" si="54"/>
        <v>429.392941176471</v>
      </c>
      <c r="T68" s="70"/>
      <c r="U68" s="70">
        <f t="shared" si="55"/>
        <v>15.0588235294118</v>
      </c>
      <c r="V68" s="70"/>
      <c r="W68" s="70"/>
      <c r="X68" s="101">
        <f t="shared" si="49"/>
        <v>444.451764705882</v>
      </c>
      <c r="Y68" s="84">
        <f t="shared" si="56"/>
        <v>101.058447058824</v>
      </c>
      <c r="Z68" s="84"/>
      <c r="AA68" s="84">
        <f t="shared" si="57"/>
        <v>0.499764705882353</v>
      </c>
      <c r="AB68" s="84">
        <f t="shared" si="52"/>
        <v>101.558211764706</v>
      </c>
      <c r="AC68" s="85">
        <v>7.18</v>
      </c>
      <c r="AD68" s="70">
        <f t="shared" si="50"/>
        <v>729.187960470588</v>
      </c>
      <c r="AE68" s="70">
        <f t="shared" si="51"/>
        <v>1173.63972517647</v>
      </c>
      <c r="AF68" s="70">
        <f t="shared" si="53"/>
        <v>774.77613322353</v>
      </c>
    </row>
    <row r="69" s="2" customFormat="1" spans="1:32">
      <c r="A69" s="90"/>
      <c r="B69" s="47"/>
      <c r="C69" s="22">
        <v>240913000030</v>
      </c>
      <c r="D69" s="23">
        <v>45554</v>
      </c>
      <c r="E69" s="23" t="s">
        <v>78</v>
      </c>
      <c r="F69" s="47" t="s">
        <v>79</v>
      </c>
      <c r="G69" s="47" t="s">
        <v>115</v>
      </c>
      <c r="H69" s="91">
        <v>0.6324</v>
      </c>
      <c r="I69" s="91">
        <v>181</v>
      </c>
      <c r="J69" s="42">
        <v>1411.2</v>
      </c>
      <c r="K69" s="85"/>
      <c r="L69" s="92"/>
      <c r="M69" s="45"/>
      <c r="N69" s="93"/>
      <c r="O69" s="47"/>
      <c r="P69" s="48">
        <f t="shared" ref="P69:P73" si="59">SUBTOTAL(9,J69)</f>
        <v>1411.2</v>
      </c>
      <c r="Q69" s="102"/>
      <c r="R69" s="110"/>
      <c r="S69" s="70">
        <f t="shared" si="54"/>
        <v>424.2939</v>
      </c>
      <c r="T69" s="70"/>
      <c r="U69" s="70">
        <f t="shared" si="55"/>
        <v>14.88</v>
      </c>
      <c r="V69" s="70"/>
      <c r="W69" s="70"/>
      <c r="X69" s="101">
        <f t="shared" si="49"/>
        <v>439.1739</v>
      </c>
      <c r="Y69" s="84">
        <f t="shared" si="56"/>
        <v>99.858378</v>
      </c>
      <c r="Z69" s="84"/>
      <c r="AA69" s="84">
        <f t="shared" si="57"/>
        <v>0.49383</v>
      </c>
      <c r="AB69" s="84">
        <f t="shared" si="52"/>
        <v>100.352208</v>
      </c>
      <c r="AC69" s="85">
        <v>7.18</v>
      </c>
      <c r="AD69" s="70">
        <f t="shared" si="50"/>
        <v>720.52885344</v>
      </c>
      <c r="AE69" s="70">
        <f t="shared" si="51"/>
        <v>1159.70275344</v>
      </c>
      <c r="AF69" s="70">
        <f t="shared" si="53"/>
        <v>251.49724656</v>
      </c>
    </row>
    <row r="70" s="2" customFormat="1" spans="1:32">
      <c r="A70" s="90"/>
      <c r="B70" s="47"/>
      <c r="C70" s="22">
        <v>240913000032</v>
      </c>
      <c r="D70" s="23">
        <v>45554</v>
      </c>
      <c r="E70" s="23" t="s">
        <v>88</v>
      </c>
      <c r="F70" s="47" t="s">
        <v>89</v>
      </c>
      <c r="G70" s="47" t="s">
        <v>116</v>
      </c>
      <c r="H70" s="91">
        <v>0.2805</v>
      </c>
      <c r="I70" s="91">
        <v>35</v>
      </c>
      <c r="J70" s="48"/>
      <c r="K70" s="97">
        <v>156631</v>
      </c>
      <c r="L70" s="92"/>
      <c r="M70" s="45">
        <f>SUM(K70/N70)</f>
        <v>1744.99786903954</v>
      </c>
      <c r="N70" s="46">
        <v>89.759995</v>
      </c>
      <c r="O70" s="47">
        <v>7.08</v>
      </c>
      <c r="P70" s="48">
        <f>SUM(N70*O70)</f>
        <v>635.5007646</v>
      </c>
      <c r="Q70" s="102"/>
      <c r="R70" s="110"/>
      <c r="S70" s="70">
        <f t="shared" si="54"/>
        <v>188.194875</v>
      </c>
      <c r="T70" s="70"/>
      <c r="U70" s="70">
        <f t="shared" si="55"/>
        <v>6.6</v>
      </c>
      <c r="V70" s="70"/>
      <c r="W70" s="70"/>
      <c r="X70" s="101">
        <f t="shared" si="49"/>
        <v>194.794875</v>
      </c>
      <c r="Y70" s="84">
        <f t="shared" si="56"/>
        <v>44.2920225</v>
      </c>
      <c r="Z70" s="84"/>
      <c r="AA70" s="84">
        <f t="shared" si="57"/>
        <v>0.2190375</v>
      </c>
      <c r="AB70" s="84">
        <f t="shared" si="52"/>
        <v>44.51106</v>
      </c>
      <c r="AC70" s="85">
        <v>7.18</v>
      </c>
      <c r="AD70" s="70">
        <f t="shared" si="50"/>
        <v>319.5894108</v>
      </c>
      <c r="AE70" s="70">
        <f t="shared" si="51"/>
        <v>514.3842858</v>
      </c>
      <c r="AF70" s="70">
        <f t="shared" si="53"/>
        <v>121.1164788</v>
      </c>
    </row>
    <row r="71" s="2" customFormat="1" spans="1:32">
      <c r="A71" s="90"/>
      <c r="B71" s="47"/>
      <c r="C71" s="22">
        <v>240911000008</v>
      </c>
      <c r="D71" s="23">
        <v>45559</v>
      </c>
      <c r="E71" s="23" t="s">
        <v>81</v>
      </c>
      <c r="F71" s="47" t="s">
        <v>82</v>
      </c>
      <c r="G71" s="47" t="s">
        <v>105</v>
      </c>
      <c r="H71" s="91">
        <v>6.1104</v>
      </c>
      <c r="I71" s="91">
        <v>5000</v>
      </c>
      <c r="J71" s="42">
        <v>15665.8</v>
      </c>
      <c r="K71" s="85"/>
      <c r="L71" s="92"/>
      <c r="M71" s="45"/>
      <c r="N71" s="93"/>
      <c r="O71" s="47"/>
      <c r="P71" s="48">
        <f t="shared" si="59"/>
        <v>15665.8</v>
      </c>
      <c r="Q71" s="102"/>
      <c r="R71" s="110"/>
      <c r="S71" s="70">
        <f t="shared" si="54"/>
        <v>4099.62910588235</v>
      </c>
      <c r="T71" s="70"/>
      <c r="U71" s="70">
        <f t="shared" si="55"/>
        <v>143.774117647059</v>
      </c>
      <c r="V71" s="70"/>
      <c r="W71" s="70"/>
      <c r="X71" s="101">
        <f t="shared" si="49"/>
        <v>4243.40322352941</v>
      </c>
      <c r="Y71" s="84">
        <f t="shared" si="56"/>
        <v>964.855523294118</v>
      </c>
      <c r="Z71" s="84"/>
      <c r="AA71" s="84">
        <f t="shared" si="57"/>
        <v>4.77150352941177</v>
      </c>
      <c r="AB71" s="84">
        <f t="shared" si="52"/>
        <v>969.627026823529</v>
      </c>
      <c r="AC71" s="85">
        <v>7.18</v>
      </c>
      <c r="AD71" s="70">
        <f t="shared" si="50"/>
        <v>6961.92205259294</v>
      </c>
      <c r="AE71" s="70">
        <f t="shared" si="51"/>
        <v>11205.3252761224</v>
      </c>
      <c r="AF71" s="70">
        <f t="shared" si="53"/>
        <v>4460.4747238776</v>
      </c>
    </row>
    <row r="72" s="2" customFormat="1" spans="1:32">
      <c r="A72" s="90"/>
      <c r="B72" s="47"/>
      <c r="C72" s="22">
        <v>240914000051</v>
      </c>
      <c r="D72" s="23">
        <v>45554</v>
      </c>
      <c r="E72" s="23" t="s">
        <v>62</v>
      </c>
      <c r="F72" s="47" t="s">
        <v>63</v>
      </c>
      <c r="G72" s="47" t="s">
        <v>117</v>
      </c>
      <c r="H72" s="91">
        <v>0.3911</v>
      </c>
      <c r="I72" s="91">
        <v>120</v>
      </c>
      <c r="J72" s="42">
        <v>907.12</v>
      </c>
      <c r="K72" s="85"/>
      <c r="L72" s="92"/>
      <c r="M72" s="45"/>
      <c r="N72" s="93"/>
      <c r="O72" s="47"/>
      <c r="P72" s="48">
        <f t="shared" si="59"/>
        <v>907.12</v>
      </c>
      <c r="Q72" s="102"/>
      <c r="R72" s="110"/>
      <c r="S72" s="70">
        <f t="shared" si="54"/>
        <v>262.399342647059</v>
      </c>
      <c r="T72" s="70"/>
      <c r="U72" s="70">
        <f t="shared" si="55"/>
        <v>9.20235294117647</v>
      </c>
      <c r="V72" s="70"/>
      <c r="W72" s="70"/>
      <c r="X72" s="101">
        <f t="shared" si="49"/>
        <v>271.601695588235</v>
      </c>
      <c r="Y72" s="84">
        <f t="shared" si="56"/>
        <v>61.7561853823529</v>
      </c>
      <c r="Z72" s="84"/>
      <c r="AA72" s="84">
        <f t="shared" si="57"/>
        <v>0.305403088235294</v>
      </c>
      <c r="AB72" s="84">
        <f t="shared" si="52"/>
        <v>62.0615884705882</v>
      </c>
      <c r="AC72" s="85">
        <v>7.18</v>
      </c>
      <c r="AD72" s="70">
        <f t="shared" si="50"/>
        <v>445.602205218823</v>
      </c>
      <c r="AE72" s="70">
        <f t="shared" si="51"/>
        <v>717.203900807059</v>
      </c>
      <c r="AF72" s="70">
        <f t="shared" si="53"/>
        <v>189.916099192941</v>
      </c>
    </row>
    <row r="73" s="2" customFormat="1" spans="1:32">
      <c r="A73" s="90"/>
      <c r="B73" s="47"/>
      <c r="C73" s="22">
        <v>240917000017</v>
      </c>
      <c r="D73" s="23">
        <v>45554</v>
      </c>
      <c r="E73" s="23" t="s">
        <v>78</v>
      </c>
      <c r="F73" s="47" t="s">
        <v>79</v>
      </c>
      <c r="G73" s="47" t="s">
        <v>118</v>
      </c>
      <c r="H73" s="91">
        <v>1.7265</v>
      </c>
      <c r="I73" s="91">
        <v>349</v>
      </c>
      <c r="J73" s="42">
        <v>4987.5</v>
      </c>
      <c r="K73" s="85"/>
      <c r="L73" s="92"/>
      <c r="M73" s="45"/>
      <c r="N73" s="93"/>
      <c r="O73" s="47"/>
      <c r="P73" s="48">
        <f t="shared" si="59"/>
        <v>4987.5</v>
      </c>
      <c r="Q73" s="102"/>
      <c r="R73" s="110"/>
      <c r="S73" s="70">
        <f t="shared" si="54"/>
        <v>1158.35455147059</v>
      </c>
      <c r="T73" s="70"/>
      <c r="U73" s="70">
        <f t="shared" si="55"/>
        <v>40.6235294117647</v>
      </c>
      <c r="V73" s="70"/>
      <c r="W73" s="70"/>
      <c r="X73" s="101">
        <f t="shared" si="49"/>
        <v>1198.97808088235</v>
      </c>
      <c r="Y73" s="84">
        <f t="shared" si="56"/>
        <v>272.620951323529</v>
      </c>
      <c r="Z73" s="84"/>
      <c r="AA73" s="84">
        <f t="shared" si="57"/>
        <v>1.34819338235294</v>
      </c>
      <c r="AB73" s="84">
        <f t="shared" si="52"/>
        <v>273.969144705882</v>
      </c>
      <c r="AC73" s="85">
        <v>7.18</v>
      </c>
      <c r="AD73" s="70">
        <f t="shared" si="50"/>
        <v>1967.09845898823</v>
      </c>
      <c r="AE73" s="70">
        <f t="shared" si="51"/>
        <v>3166.07653987059</v>
      </c>
      <c r="AF73" s="70">
        <f t="shared" si="53"/>
        <v>1821.42346012941</v>
      </c>
    </row>
    <row r="74" s="2" customFormat="1" spans="1:32">
      <c r="A74" s="90"/>
      <c r="B74" s="47"/>
      <c r="C74" s="22">
        <v>240917000018</v>
      </c>
      <c r="D74" s="23">
        <v>45554</v>
      </c>
      <c r="E74" s="23" t="s">
        <v>74</v>
      </c>
      <c r="F74" s="47" t="s">
        <v>119</v>
      </c>
      <c r="G74" s="47" t="s">
        <v>120</v>
      </c>
      <c r="H74" s="91">
        <v>0.1378</v>
      </c>
      <c r="I74" s="91">
        <v>49</v>
      </c>
      <c r="J74" s="48"/>
      <c r="K74" s="97">
        <v>77059.2</v>
      </c>
      <c r="L74" s="92"/>
      <c r="M74" s="45">
        <f>SUM(K74/N74)</f>
        <v>1744.99984193842</v>
      </c>
      <c r="N74" s="46">
        <v>44.160004</v>
      </c>
      <c r="O74" s="47">
        <v>7.08</v>
      </c>
      <c r="P74" s="48">
        <f>SUM(N74*O74)</f>
        <v>312.65282832</v>
      </c>
      <c r="Q74" s="102"/>
      <c r="R74" s="110"/>
      <c r="S74" s="70">
        <f t="shared" si="54"/>
        <v>92.4536676470588</v>
      </c>
      <c r="T74" s="70"/>
      <c r="U74" s="70">
        <f t="shared" si="55"/>
        <v>3.24235294117647</v>
      </c>
      <c r="V74" s="70"/>
      <c r="W74" s="70"/>
      <c r="X74" s="101">
        <f t="shared" si="49"/>
        <v>95.6960205882353</v>
      </c>
      <c r="Y74" s="84">
        <f t="shared" si="56"/>
        <v>21.7591468823529</v>
      </c>
      <c r="Z74" s="84"/>
      <c r="AA74" s="84">
        <f t="shared" si="57"/>
        <v>0.107605588235294</v>
      </c>
      <c r="AB74" s="84">
        <f t="shared" si="52"/>
        <v>21.8667524705882</v>
      </c>
      <c r="AC74" s="85">
        <v>7.18</v>
      </c>
      <c r="AD74" s="70">
        <f t="shared" si="50"/>
        <v>157.003282738823</v>
      </c>
      <c r="AE74" s="70">
        <f t="shared" si="51"/>
        <v>252.699303327059</v>
      </c>
      <c r="AF74" s="70">
        <f t="shared" si="53"/>
        <v>59.9535249929413</v>
      </c>
    </row>
    <row r="75" s="2" customFormat="1" spans="1:32">
      <c r="A75" s="90"/>
      <c r="B75" s="47"/>
      <c r="C75" s="22">
        <v>240918000048</v>
      </c>
      <c r="D75" s="23">
        <v>45554</v>
      </c>
      <c r="E75" s="23" t="s">
        <v>81</v>
      </c>
      <c r="F75" s="47" t="s">
        <v>82</v>
      </c>
      <c r="G75" s="47" t="s">
        <v>83</v>
      </c>
      <c r="H75" s="91">
        <v>7.1974</v>
      </c>
      <c r="I75" s="91">
        <v>2213</v>
      </c>
      <c r="J75" s="42">
        <v>16287.69</v>
      </c>
      <c r="K75" s="85"/>
      <c r="L75" s="92"/>
      <c r="M75" s="45"/>
      <c r="N75" s="93"/>
      <c r="O75" s="47"/>
      <c r="P75" s="48">
        <f t="shared" ref="P75:P84" si="60">SUBTOTAL(9,J75)</f>
        <v>16287.69</v>
      </c>
      <c r="Q75" s="102"/>
      <c r="R75" s="110"/>
      <c r="S75" s="70">
        <f t="shared" si="54"/>
        <v>4828.92617941176</v>
      </c>
      <c r="T75" s="70"/>
      <c r="U75" s="70">
        <f t="shared" si="55"/>
        <v>169.350588235294</v>
      </c>
      <c r="V75" s="70"/>
      <c r="W75" s="70"/>
      <c r="X75" s="101">
        <f t="shared" si="49"/>
        <v>4998.27676764706</v>
      </c>
      <c r="Y75" s="84">
        <f t="shared" si="56"/>
        <v>1136.49697947059</v>
      </c>
      <c r="Z75" s="84"/>
      <c r="AA75" s="84">
        <f t="shared" si="57"/>
        <v>5.62032264705882</v>
      </c>
      <c r="AB75" s="84">
        <f t="shared" si="52"/>
        <v>1142.11730211765</v>
      </c>
      <c r="AC75" s="85">
        <v>7.18</v>
      </c>
      <c r="AD75" s="70">
        <f t="shared" si="50"/>
        <v>8200.4022292047</v>
      </c>
      <c r="AE75" s="70">
        <f t="shared" si="51"/>
        <v>13198.6789968518</v>
      </c>
      <c r="AF75" s="70">
        <f t="shared" si="53"/>
        <v>3089.0110031482</v>
      </c>
    </row>
    <row r="76" s="2" customFormat="1" spans="1:32">
      <c r="A76" s="90"/>
      <c r="B76" s="47"/>
      <c r="C76" s="22">
        <v>240918000051</v>
      </c>
      <c r="D76" s="23">
        <v>45554</v>
      </c>
      <c r="E76" s="23" t="s">
        <v>59</v>
      </c>
      <c r="F76" s="47" t="s">
        <v>59</v>
      </c>
      <c r="G76" s="47" t="s">
        <v>77</v>
      </c>
      <c r="H76" s="91">
        <v>13.66</v>
      </c>
      <c r="I76" s="91">
        <v>2003</v>
      </c>
      <c r="J76" s="42">
        <v>21916.92</v>
      </c>
      <c r="K76" s="85"/>
      <c r="L76" s="92"/>
      <c r="M76" s="45"/>
      <c r="N76" s="46"/>
      <c r="O76" s="47"/>
      <c r="P76" s="48">
        <f t="shared" si="60"/>
        <v>21916.92</v>
      </c>
      <c r="Q76" s="102"/>
      <c r="R76" s="110"/>
      <c r="S76" s="70">
        <f t="shared" si="54"/>
        <v>9164.85558823529</v>
      </c>
      <c r="T76" s="70"/>
      <c r="U76" s="70">
        <f t="shared" si="55"/>
        <v>321.411764705882</v>
      </c>
      <c r="V76" s="70"/>
      <c r="W76" s="70"/>
      <c r="X76" s="101">
        <f t="shared" si="49"/>
        <v>9486.26735294118</v>
      </c>
      <c r="Y76" s="84">
        <f t="shared" si="56"/>
        <v>2156.96622941176</v>
      </c>
      <c r="Z76" s="84"/>
      <c r="AA76" s="84">
        <f t="shared" si="57"/>
        <v>10.6668529411765</v>
      </c>
      <c r="AB76" s="84">
        <f t="shared" si="52"/>
        <v>2167.63308235294</v>
      </c>
      <c r="AC76" s="85">
        <v>7.18</v>
      </c>
      <c r="AD76" s="70">
        <f t="shared" si="50"/>
        <v>15563.6055312941</v>
      </c>
      <c r="AE76" s="70">
        <f t="shared" si="51"/>
        <v>25049.8728842353</v>
      </c>
      <c r="AF76" s="70">
        <f t="shared" si="53"/>
        <v>-3132.9528842353</v>
      </c>
    </row>
    <row r="77" s="2" customFormat="1" spans="1:32">
      <c r="A77" s="90"/>
      <c r="B77" s="47"/>
      <c r="C77" s="22">
        <v>240728000003</v>
      </c>
      <c r="D77" s="23">
        <v>45506</v>
      </c>
      <c r="E77" s="23" t="s">
        <v>59</v>
      </c>
      <c r="F77" s="47" t="s">
        <v>59</v>
      </c>
      <c r="G77" s="47" t="s">
        <v>60</v>
      </c>
      <c r="H77" s="91">
        <v>0.183</v>
      </c>
      <c r="I77" s="91">
        <v>74</v>
      </c>
      <c r="J77" s="42">
        <v>493</v>
      </c>
      <c r="K77" s="85"/>
      <c r="L77" s="92"/>
      <c r="M77" s="45"/>
      <c r="N77" s="113"/>
      <c r="O77" s="47"/>
      <c r="P77" s="48">
        <f t="shared" si="60"/>
        <v>493</v>
      </c>
      <c r="Q77" s="102"/>
      <c r="R77" s="110"/>
      <c r="S77" s="70">
        <f t="shared" si="54"/>
        <v>122.779544117647</v>
      </c>
      <c r="T77" s="70"/>
      <c r="U77" s="70">
        <f t="shared" si="55"/>
        <v>4.30588235294118</v>
      </c>
      <c r="V77" s="70"/>
      <c r="W77" s="70"/>
      <c r="X77" s="101">
        <f t="shared" si="49"/>
        <v>127.085426470588</v>
      </c>
      <c r="Y77" s="84">
        <f t="shared" si="56"/>
        <v>28.8963997058823</v>
      </c>
      <c r="Z77" s="84"/>
      <c r="AA77" s="84">
        <f t="shared" si="57"/>
        <v>0.142901470588235</v>
      </c>
      <c r="AB77" s="84">
        <f t="shared" si="52"/>
        <v>29.0393011764706</v>
      </c>
      <c r="AC77" s="85">
        <v>7.18</v>
      </c>
      <c r="AD77" s="70">
        <f t="shared" si="50"/>
        <v>208.502182447059</v>
      </c>
      <c r="AE77" s="70">
        <f t="shared" si="51"/>
        <v>335.587608917647</v>
      </c>
      <c r="AF77" s="70">
        <f t="shared" si="53"/>
        <v>157.412391082353</v>
      </c>
    </row>
    <row r="78" s="2" customFormat="1" spans="1:32">
      <c r="A78" s="90"/>
      <c r="B78" s="47"/>
      <c r="C78" s="22">
        <v>240910000011</v>
      </c>
      <c r="D78" s="23">
        <v>45559</v>
      </c>
      <c r="E78" s="23" t="s">
        <v>78</v>
      </c>
      <c r="F78" s="47" t="s">
        <v>79</v>
      </c>
      <c r="G78" s="47" t="s">
        <v>103</v>
      </c>
      <c r="H78" s="91">
        <v>4.9278</v>
      </c>
      <c r="I78" s="91">
        <v>2354</v>
      </c>
      <c r="J78" s="42">
        <v>10516</v>
      </c>
      <c r="K78" s="85"/>
      <c r="L78" s="92"/>
      <c r="M78" s="45"/>
      <c r="N78" s="93"/>
      <c r="O78" s="47"/>
      <c r="P78" s="48">
        <f t="shared" si="60"/>
        <v>10516</v>
      </c>
      <c r="Q78" s="102"/>
      <c r="R78" s="110"/>
      <c r="S78" s="70">
        <f t="shared" si="54"/>
        <v>3306.19146176471</v>
      </c>
      <c r="T78" s="70"/>
      <c r="U78" s="70">
        <f t="shared" si="55"/>
        <v>115.948235294118</v>
      </c>
      <c r="V78" s="114">
        <v>400</v>
      </c>
      <c r="W78" s="70"/>
      <c r="X78" s="101">
        <f t="shared" si="49"/>
        <v>3822.13969705882</v>
      </c>
      <c r="Y78" s="84">
        <f t="shared" si="56"/>
        <v>778.118461588235</v>
      </c>
      <c r="Z78" s="84"/>
      <c r="AA78" s="84">
        <f t="shared" si="57"/>
        <v>3.84803205882353</v>
      </c>
      <c r="AB78" s="84">
        <f t="shared" si="52"/>
        <v>781.966493647059</v>
      </c>
      <c r="AC78" s="85">
        <v>7.18</v>
      </c>
      <c r="AD78" s="70">
        <f t="shared" si="50"/>
        <v>5614.51942438588</v>
      </c>
      <c r="AE78" s="70">
        <f t="shared" si="51"/>
        <v>9436.65912144471</v>
      </c>
      <c r="AF78" s="70">
        <f t="shared" si="53"/>
        <v>1079.34087855529</v>
      </c>
    </row>
    <row r="79" s="2" customFormat="1" spans="1:32">
      <c r="A79" s="90"/>
      <c r="B79" s="47"/>
      <c r="C79" s="22">
        <v>240912000038</v>
      </c>
      <c r="D79" s="23">
        <v>45559</v>
      </c>
      <c r="E79" s="23" t="s">
        <v>78</v>
      </c>
      <c r="F79" s="47" t="s">
        <v>79</v>
      </c>
      <c r="G79" s="47" t="s">
        <v>121</v>
      </c>
      <c r="H79" s="91">
        <v>6.5307</v>
      </c>
      <c r="I79" s="91">
        <v>1272</v>
      </c>
      <c r="J79" s="42">
        <v>13726</v>
      </c>
      <c r="K79" s="85"/>
      <c r="L79" s="92"/>
      <c r="M79" s="45"/>
      <c r="N79" s="93"/>
      <c r="O79" s="47"/>
      <c r="P79" s="48">
        <f t="shared" si="60"/>
        <v>13726</v>
      </c>
      <c r="Q79" s="102"/>
      <c r="R79" s="110"/>
      <c r="S79" s="70">
        <f t="shared" si="54"/>
        <v>4381.61950147059</v>
      </c>
      <c r="T79" s="70"/>
      <c r="U79" s="70">
        <f t="shared" si="55"/>
        <v>153.663529411765</v>
      </c>
      <c r="V79" s="70"/>
      <c r="W79" s="70"/>
      <c r="X79" s="101">
        <f t="shared" si="49"/>
        <v>4535.28303088235</v>
      </c>
      <c r="Y79" s="84">
        <f t="shared" si="56"/>
        <v>1031.22250032353</v>
      </c>
      <c r="Z79" s="84"/>
      <c r="AA79" s="84">
        <f t="shared" si="57"/>
        <v>5.09970838235294</v>
      </c>
      <c r="AB79" s="84">
        <f t="shared" si="52"/>
        <v>1036.32220870588</v>
      </c>
      <c r="AC79" s="85">
        <v>7.18</v>
      </c>
      <c r="AD79" s="70">
        <f t="shared" ref="AD79:AD94" si="61">SUM(AB79*AC79)</f>
        <v>7440.79345850823</v>
      </c>
      <c r="AE79" s="70">
        <f t="shared" ref="AE79:AE94" si="62">SUM(X79+AD79)</f>
        <v>11976.0764893906</v>
      </c>
      <c r="AF79" s="70">
        <f t="shared" ref="AF79:AF94" si="63">SUM(P79-AE79)</f>
        <v>1749.9235106094</v>
      </c>
    </row>
    <row r="80" s="2" customFormat="1" spans="1:32">
      <c r="A80" s="90"/>
      <c r="B80" s="47"/>
      <c r="C80" s="22">
        <v>240919000029</v>
      </c>
      <c r="D80" s="23">
        <v>45554</v>
      </c>
      <c r="E80" s="23" t="s">
        <v>81</v>
      </c>
      <c r="F80" s="47" t="s">
        <v>82</v>
      </c>
      <c r="G80" s="47" t="s">
        <v>105</v>
      </c>
      <c r="H80" s="91">
        <v>3.1</v>
      </c>
      <c r="I80" s="91">
        <v>472</v>
      </c>
      <c r="J80" s="42">
        <v>6336.4</v>
      </c>
      <c r="K80" s="85"/>
      <c r="L80" s="92"/>
      <c r="M80" s="45"/>
      <c r="N80" s="93"/>
      <c r="O80" s="47"/>
      <c r="P80" s="48">
        <f t="shared" si="60"/>
        <v>6336.4</v>
      </c>
      <c r="Q80" s="103"/>
      <c r="R80" s="111"/>
      <c r="S80" s="70">
        <f t="shared" si="54"/>
        <v>2079.87205882353</v>
      </c>
      <c r="T80" s="70"/>
      <c r="U80" s="70">
        <f t="shared" si="55"/>
        <v>72.9411764705882</v>
      </c>
      <c r="V80" s="70"/>
      <c r="W80" s="70"/>
      <c r="X80" s="101">
        <f t="shared" ref="X80:X94" si="64">SUM(S80:W80)</f>
        <v>2152.81323529412</v>
      </c>
      <c r="Y80" s="84">
        <f t="shared" si="56"/>
        <v>489.501852941176</v>
      </c>
      <c r="Z80" s="84"/>
      <c r="AA80" s="84">
        <f t="shared" si="57"/>
        <v>2.42073529411765</v>
      </c>
      <c r="AB80" s="84">
        <f t="shared" ref="AB80:AB94" si="65">SUM(Y80:AA80)</f>
        <v>491.922588235294</v>
      </c>
      <c r="AC80" s="85">
        <v>7.18</v>
      </c>
      <c r="AD80" s="70">
        <f t="shared" si="61"/>
        <v>3532.00418352941</v>
      </c>
      <c r="AE80" s="70">
        <f t="shared" si="62"/>
        <v>5684.81741882353</v>
      </c>
      <c r="AF80" s="70">
        <f t="shared" si="63"/>
        <v>651.58258117647</v>
      </c>
    </row>
    <row r="81" s="2" customFormat="1" spans="1:32">
      <c r="A81" s="104" t="s">
        <v>18</v>
      </c>
      <c r="B81" s="104" t="s">
        <v>19</v>
      </c>
      <c r="C81" s="22">
        <v>240919000028</v>
      </c>
      <c r="D81" s="23">
        <v>45559</v>
      </c>
      <c r="E81" s="23" t="s">
        <v>81</v>
      </c>
      <c r="F81" s="47" t="s">
        <v>82</v>
      </c>
      <c r="G81" s="47" t="s">
        <v>105</v>
      </c>
      <c r="H81" s="91">
        <v>4.5</v>
      </c>
      <c r="I81" s="91">
        <v>3775</v>
      </c>
      <c r="J81" s="42">
        <v>10643.4</v>
      </c>
      <c r="K81" s="85"/>
      <c r="L81" s="92"/>
      <c r="M81" s="45"/>
      <c r="N81" s="93"/>
      <c r="O81" s="47"/>
      <c r="P81" s="48">
        <f t="shared" si="60"/>
        <v>10643.4</v>
      </c>
      <c r="Q81" s="102">
        <f>SUM(P81:P94)</f>
        <v>139953.87</v>
      </c>
      <c r="R81" s="110" t="s">
        <v>122</v>
      </c>
      <c r="S81" s="70">
        <f>SUM(42769.7/68)*H81</f>
        <v>2830.34779411765</v>
      </c>
      <c r="T81" s="70"/>
      <c r="U81" s="70">
        <f>SUM(1500/68)*H81</f>
        <v>99.2647058823529</v>
      </c>
      <c r="V81" s="70"/>
      <c r="W81" s="70"/>
      <c r="X81" s="101">
        <f t="shared" si="64"/>
        <v>2929.6125</v>
      </c>
      <c r="Y81" s="84">
        <f t="shared" si="56"/>
        <v>710.567205882353</v>
      </c>
      <c r="Z81" s="84"/>
      <c r="AA81" s="84">
        <f t="shared" si="57"/>
        <v>3.51397058823529</v>
      </c>
      <c r="AB81" s="84">
        <f t="shared" si="65"/>
        <v>714.081176470588</v>
      </c>
      <c r="AC81" s="85">
        <v>7.18</v>
      </c>
      <c r="AD81" s="70">
        <f t="shared" si="61"/>
        <v>5127.10284705882</v>
      </c>
      <c r="AE81" s="70">
        <f t="shared" si="62"/>
        <v>8056.71534705882</v>
      </c>
      <c r="AF81" s="70">
        <f t="shared" si="63"/>
        <v>2586.68465294118</v>
      </c>
    </row>
    <row r="82" s="2" customFormat="1" spans="1:32">
      <c r="A82" s="105"/>
      <c r="B82" s="105"/>
      <c r="C82" s="22">
        <v>240910000011</v>
      </c>
      <c r="D82" s="23">
        <v>45559</v>
      </c>
      <c r="E82" s="23" t="s">
        <v>78</v>
      </c>
      <c r="F82" s="47" t="s">
        <v>79</v>
      </c>
      <c r="G82" s="47" t="s">
        <v>103</v>
      </c>
      <c r="H82" s="91">
        <v>1.8876</v>
      </c>
      <c r="I82" s="91">
        <v>1002</v>
      </c>
      <c r="J82" s="42">
        <v>4020.83</v>
      </c>
      <c r="K82" s="85"/>
      <c r="L82" s="92"/>
      <c r="M82" s="45"/>
      <c r="N82" s="93"/>
      <c r="O82" s="47"/>
      <c r="P82" s="48">
        <f t="shared" si="60"/>
        <v>4020.83</v>
      </c>
      <c r="Q82" s="102"/>
      <c r="R82" s="110"/>
      <c r="S82" s="70">
        <f t="shared" ref="S82:S94" si="66">SUM(42769.7/68)*H82</f>
        <v>1187.23655470588</v>
      </c>
      <c r="T82" s="70"/>
      <c r="U82" s="70">
        <f t="shared" ref="U82:U94" si="67">SUM(1500/68)*H82</f>
        <v>41.6382352941176</v>
      </c>
      <c r="V82" s="70"/>
      <c r="W82" s="70"/>
      <c r="X82" s="101">
        <f t="shared" si="64"/>
        <v>1228.87479</v>
      </c>
      <c r="Y82" s="84">
        <f t="shared" ref="Y82:Y95" si="68">SUM(10737.46/68)*H82</f>
        <v>298.059257294118</v>
      </c>
      <c r="Z82" s="84"/>
      <c r="AA82" s="84">
        <f t="shared" ref="AA82:AA95" si="69">SUM(53.1/68)*H82</f>
        <v>1.47399352941176</v>
      </c>
      <c r="AB82" s="84">
        <f t="shared" si="65"/>
        <v>299.533250823529</v>
      </c>
      <c r="AC82" s="85">
        <v>7.18</v>
      </c>
      <c r="AD82" s="70">
        <f t="shared" si="61"/>
        <v>2150.64874091294</v>
      </c>
      <c r="AE82" s="70">
        <f t="shared" si="62"/>
        <v>3379.52353091294</v>
      </c>
      <c r="AF82" s="70">
        <f t="shared" si="63"/>
        <v>641.30646908706</v>
      </c>
    </row>
    <row r="83" s="2" customFormat="1" spans="1:32">
      <c r="A83" s="105"/>
      <c r="B83" s="105"/>
      <c r="C83" s="22">
        <v>240911000008</v>
      </c>
      <c r="D83" s="23">
        <v>45559</v>
      </c>
      <c r="E83" s="23" t="s">
        <v>81</v>
      </c>
      <c r="F83" s="47" t="s">
        <v>82</v>
      </c>
      <c r="G83" s="47" t="s">
        <v>105</v>
      </c>
      <c r="H83" s="91">
        <v>3.0552</v>
      </c>
      <c r="I83" s="91">
        <v>2500</v>
      </c>
      <c r="J83" s="42">
        <v>7840.2</v>
      </c>
      <c r="K83" s="85"/>
      <c r="L83" s="92"/>
      <c r="M83" s="45"/>
      <c r="N83" s="93"/>
      <c r="O83" s="47"/>
      <c r="P83" s="48">
        <f t="shared" si="60"/>
        <v>7840.2</v>
      </c>
      <c r="Q83" s="102"/>
      <c r="R83" s="110"/>
      <c r="S83" s="70">
        <f t="shared" si="66"/>
        <v>1921.61746235294</v>
      </c>
      <c r="T83" s="70"/>
      <c r="U83" s="70">
        <f t="shared" si="67"/>
        <v>67.3941176470588</v>
      </c>
      <c r="V83" s="70"/>
      <c r="W83" s="70"/>
      <c r="X83" s="101">
        <f t="shared" si="64"/>
        <v>1989.01158</v>
      </c>
      <c r="Y83" s="84">
        <f t="shared" si="68"/>
        <v>482.427761647059</v>
      </c>
      <c r="Z83" s="84"/>
      <c r="AA83" s="84">
        <f t="shared" si="69"/>
        <v>2.38575176470588</v>
      </c>
      <c r="AB83" s="84">
        <f t="shared" si="65"/>
        <v>484.813513411765</v>
      </c>
      <c r="AC83" s="85">
        <v>7.18</v>
      </c>
      <c r="AD83" s="70">
        <f t="shared" si="61"/>
        <v>3480.96102629647</v>
      </c>
      <c r="AE83" s="70">
        <f t="shared" si="62"/>
        <v>5469.97260629647</v>
      </c>
      <c r="AF83" s="70">
        <f t="shared" si="63"/>
        <v>2370.22739370353</v>
      </c>
    </row>
    <row r="84" s="2" customFormat="1" spans="1:32">
      <c r="A84" s="105"/>
      <c r="B84" s="105"/>
      <c r="C84" s="22">
        <v>240913000016</v>
      </c>
      <c r="D84" s="23">
        <v>45559</v>
      </c>
      <c r="E84" s="23" t="s">
        <v>81</v>
      </c>
      <c r="F84" s="47" t="s">
        <v>82</v>
      </c>
      <c r="G84" s="47" t="s">
        <v>123</v>
      </c>
      <c r="H84" s="91">
        <v>2.9348</v>
      </c>
      <c r="I84" s="91">
        <v>1250</v>
      </c>
      <c r="J84" s="42">
        <v>5998.7</v>
      </c>
      <c r="K84" s="85"/>
      <c r="L84" s="92"/>
      <c r="M84" s="45"/>
      <c r="N84" s="93"/>
      <c r="O84" s="47"/>
      <c r="P84" s="48">
        <f t="shared" si="60"/>
        <v>5998.7</v>
      </c>
      <c r="Q84" s="102"/>
      <c r="R84" s="110"/>
      <c r="S84" s="70">
        <f t="shared" si="66"/>
        <v>1845.88993470588</v>
      </c>
      <c r="T84" s="70"/>
      <c r="U84" s="70">
        <f t="shared" si="67"/>
        <v>64.7382352941176</v>
      </c>
      <c r="V84" s="70"/>
      <c r="W84" s="70"/>
      <c r="X84" s="101">
        <f t="shared" si="64"/>
        <v>1910.62817</v>
      </c>
      <c r="Y84" s="84">
        <f t="shared" si="68"/>
        <v>463.416141294118</v>
      </c>
      <c r="Z84" s="84"/>
      <c r="AA84" s="84">
        <f t="shared" si="69"/>
        <v>2.29173352941176</v>
      </c>
      <c r="AB84" s="84">
        <f t="shared" si="65"/>
        <v>465.707874823529</v>
      </c>
      <c r="AC84" s="85">
        <v>7.18</v>
      </c>
      <c r="AD84" s="70">
        <f t="shared" si="61"/>
        <v>3343.78254123294</v>
      </c>
      <c r="AE84" s="70">
        <f t="shared" si="62"/>
        <v>5254.41071123294</v>
      </c>
      <c r="AF84" s="70">
        <f t="shared" si="63"/>
        <v>744.28928876706</v>
      </c>
    </row>
    <row r="85" s="2" customFormat="1" spans="1:32">
      <c r="A85" s="105"/>
      <c r="B85" s="105"/>
      <c r="C85" s="22">
        <v>240915000008</v>
      </c>
      <c r="D85" s="23">
        <v>45559</v>
      </c>
      <c r="E85" s="23" t="s">
        <v>66</v>
      </c>
      <c r="F85" s="47" t="s">
        <v>67</v>
      </c>
      <c r="G85" s="47" t="s">
        <v>124</v>
      </c>
      <c r="H85" s="91">
        <v>0.5143</v>
      </c>
      <c r="I85" s="91">
        <v>152</v>
      </c>
      <c r="J85" s="48"/>
      <c r="K85" s="97">
        <v>248724</v>
      </c>
      <c r="L85" s="92"/>
      <c r="M85" s="45">
        <f>SUM(K85/N85)</f>
        <v>1727.25</v>
      </c>
      <c r="N85" s="46">
        <v>144</v>
      </c>
      <c r="O85" s="47">
        <v>7.27</v>
      </c>
      <c r="P85" s="48">
        <f>SUM(N85*O85)</f>
        <v>1046.88</v>
      </c>
      <c r="Q85" s="102"/>
      <c r="R85" s="110"/>
      <c r="S85" s="70">
        <f t="shared" si="66"/>
        <v>323.477304558823</v>
      </c>
      <c r="T85" s="70"/>
      <c r="U85" s="70">
        <f t="shared" si="67"/>
        <v>11.3448529411765</v>
      </c>
      <c r="V85" s="70"/>
      <c r="W85" s="70"/>
      <c r="X85" s="101">
        <f t="shared" si="64"/>
        <v>334.8221575</v>
      </c>
      <c r="Y85" s="84">
        <f t="shared" si="68"/>
        <v>81.2099364411765</v>
      </c>
      <c r="Z85" s="84"/>
      <c r="AA85" s="84">
        <f t="shared" si="69"/>
        <v>0.401607794117647</v>
      </c>
      <c r="AB85" s="84">
        <f t="shared" si="65"/>
        <v>81.6115442352941</v>
      </c>
      <c r="AC85" s="85">
        <v>7.18</v>
      </c>
      <c r="AD85" s="70">
        <f t="shared" si="61"/>
        <v>585.970887609412</v>
      </c>
      <c r="AE85" s="70">
        <f t="shared" si="62"/>
        <v>920.793045109412</v>
      </c>
      <c r="AF85" s="70">
        <f t="shared" si="63"/>
        <v>126.086954890588</v>
      </c>
    </row>
    <row r="86" s="2" customFormat="1" spans="1:32">
      <c r="A86" s="105"/>
      <c r="B86" s="105"/>
      <c r="C86" s="22">
        <v>240921000018</v>
      </c>
      <c r="D86" s="23">
        <v>45559</v>
      </c>
      <c r="E86" s="23" t="s">
        <v>71</v>
      </c>
      <c r="F86" s="47" t="s">
        <v>72</v>
      </c>
      <c r="G86" s="47" t="s">
        <v>125</v>
      </c>
      <c r="H86" s="91">
        <v>3.6205</v>
      </c>
      <c r="I86" s="91">
        <v>786</v>
      </c>
      <c r="J86" s="42">
        <v>7297</v>
      </c>
      <c r="K86" s="85"/>
      <c r="L86" s="92"/>
      <c r="M86" s="45"/>
      <c r="N86" s="93"/>
      <c r="O86" s="47"/>
      <c r="P86" s="48">
        <f t="shared" ref="P86:P98" si="70">SUBTOTAL(9,J86)</f>
        <v>7297</v>
      </c>
      <c r="Q86" s="102"/>
      <c r="R86" s="110"/>
      <c r="S86" s="70">
        <f t="shared" si="66"/>
        <v>2277.17204191176</v>
      </c>
      <c r="T86" s="70"/>
      <c r="U86" s="70">
        <f t="shared" si="67"/>
        <v>79.8639705882353</v>
      </c>
      <c r="V86" s="70"/>
      <c r="W86" s="70"/>
      <c r="X86" s="101">
        <f t="shared" si="64"/>
        <v>2357.0360125</v>
      </c>
      <c r="Y86" s="84">
        <f t="shared" si="68"/>
        <v>571.690793088235</v>
      </c>
      <c r="Z86" s="84"/>
      <c r="AA86" s="84">
        <f t="shared" si="69"/>
        <v>2.82718455882353</v>
      </c>
      <c r="AB86" s="84">
        <f t="shared" si="65"/>
        <v>574.517977647059</v>
      </c>
      <c r="AC86" s="85">
        <v>7.18</v>
      </c>
      <c r="AD86" s="70">
        <f t="shared" si="61"/>
        <v>4125.03907950588</v>
      </c>
      <c r="AE86" s="70">
        <f t="shared" si="62"/>
        <v>6482.07509200588</v>
      </c>
      <c r="AF86" s="70">
        <f t="shared" si="63"/>
        <v>814.92490799412</v>
      </c>
    </row>
    <row r="87" s="2" customFormat="1" spans="1:32">
      <c r="A87" s="105"/>
      <c r="B87" s="105"/>
      <c r="C87" s="22">
        <v>240906000023</v>
      </c>
      <c r="D87" s="23">
        <v>45559</v>
      </c>
      <c r="E87" s="23" t="s">
        <v>59</v>
      </c>
      <c r="F87" s="47" t="s">
        <v>59</v>
      </c>
      <c r="G87" s="47" t="s">
        <v>126</v>
      </c>
      <c r="H87" s="91">
        <v>10.189</v>
      </c>
      <c r="I87" s="91">
        <v>4334</v>
      </c>
      <c r="J87" s="108">
        <v>20928</v>
      </c>
      <c r="K87" s="85"/>
      <c r="L87" s="92"/>
      <c r="M87" s="45"/>
      <c r="N87" s="93"/>
      <c r="O87" s="47"/>
      <c r="P87" s="48">
        <f t="shared" si="70"/>
        <v>20928</v>
      </c>
      <c r="Q87" s="102"/>
      <c r="R87" s="110"/>
      <c r="S87" s="70">
        <f t="shared" si="66"/>
        <v>6408.53637205882</v>
      </c>
      <c r="T87" s="70"/>
      <c r="U87" s="70">
        <f t="shared" si="67"/>
        <v>224.757352941176</v>
      </c>
      <c r="V87" s="70"/>
      <c r="W87" s="70"/>
      <c r="X87" s="101">
        <f t="shared" si="64"/>
        <v>6633.293725</v>
      </c>
      <c r="Y87" s="84">
        <f t="shared" si="68"/>
        <v>1608.88205794118</v>
      </c>
      <c r="Z87" s="84"/>
      <c r="AA87" s="84">
        <f t="shared" si="69"/>
        <v>7.95641029411765</v>
      </c>
      <c r="AB87" s="84">
        <f t="shared" si="65"/>
        <v>1616.83846823529</v>
      </c>
      <c r="AC87" s="85">
        <v>7.18</v>
      </c>
      <c r="AD87" s="70">
        <f t="shared" si="61"/>
        <v>11608.9002019294</v>
      </c>
      <c r="AE87" s="70">
        <f t="shared" si="62"/>
        <v>18242.1939269294</v>
      </c>
      <c r="AF87" s="70">
        <f t="shared" si="63"/>
        <v>2685.8060730706</v>
      </c>
    </row>
    <row r="88" s="2" customFormat="1" spans="1:32">
      <c r="A88" s="105"/>
      <c r="B88" s="105"/>
      <c r="C88" s="22">
        <v>240924000002</v>
      </c>
      <c r="D88" s="23">
        <v>45559</v>
      </c>
      <c r="E88" s="23" t="s">
        <v>59</v>
      </c>
      <c r="F88" s="47" t="s">
        <v>59</v>
      </c>
      <c r="G88" s="47" t="s">
        <v>110</v>
      </c>
      <c r="H88" s="91">
        <v>2.1628</v>
      </c>
      <c r="I88" s="91">
        <v>650</v>
      </c>
      <c r="J88" s="42">
        <v>4123.95</v>
      </c>
      <c r="K88" s="85"/>
      <c r="L88" s="92"/>
      <c r="M88" s="45"/>
      <c r="N88" s="93"/>
      <c r="O88" s="47"/>
      <c r="P88" s="48">
        <f t="shared" si="70"/>
        <v>4123.95</v>
      </c>
      <c r="Q88" s="102"/>
      <c r="R88" s="110"/>
      <c r="S88" s="70">
        <f t="shared" si="66"/>
        <v>1360.32804647059</v>
      </c>
      <c r="T88" s="70"/>
      <c r="U88" s="70">
        <f t="shared" si="67"/>
        <v>47.7088235294118</v>
      </c>
      <c r="V88" s="70"/>
      <c r="W88" s="70"/>
      <c r="X88" s="101">
        <f t="shared" si="64"/>
        <v>1408.03687</v>
      </c>
      <c r="Y88" s="84">
        <f t="shared" si="68"/>
        <v>341.514389529412</v>
      </c>
      <c r="Z88" s="84"/>
      <c r="AA88" s="84">
        <f t="shared" si="69"/>
        <v>1.68889235294118</v>
      </c>
      <c r="AB88" s="84">
        <f t="shared" si="65"/>
        <v>343.203281882353</v>
      </c>
      <c r="AC88" s="85">
        <v>7.18</v>
      </c>
      <c r="AD88" s="70">
        <f t="shared" si="61"/>
        <v>2464.19956391529</v>
      </c>
      <c r="AE88" s="70">
        <f t="shared" si="62"/>
        <v>3872.23643391529</v>
      </c>
      <c r="AF88" s="70">
        <f t="shared" si="63"/>
        <v>251.71356608471</v>
      </c>
    </row>
    <row r="89" s="2" customFormat="1" spans="1:32">
      <c r="A89" s="105"/>
      <c r="B89" s="105"/>
      <c r="C89" s="22">
        <v>240924000003</v>
      </c>
      <c r="D89" s="23">
        <v>45559</v>
      </c>
      <c r="E89" s="23" t="s">
        <v>59</v>
      </c>
      <c r="F89" s="47" t="s">
        <v>59</v>
      </c>
      <c r="G89" s="47" t="s">
        <v>110</v>
      </c>
      <c r="H89" s="91">
        <v>7.5034</v>
      </c>
      <c r="I89" s="91">
        <v>1232</v>
      </c>
      <c r="J89" s="42">
        <v>14307.08</v>
      </c>
      <c r="K89" s="85"/>
      <c r="L89" s="92"/>
      <c r="M89" s="45"/>
      <c r="N89" s="93"/>
      <c r="O89" s="47"/>
      <c r="P89" s="48">
        <f t="shared" si="70"/>
        <v>14307.08</v>
      </c>
      <c r="Q89" s="102"/>
      <c r="R89" s="110"/>
      <c r="S89" s="70">
        <f t="shared" si="66"/>
        <v>4719.38480852941</v>
      </c>
      <c r="T89" s="70"/>
      <c r="U89" s="70">
        <f t="shared" si="67"/>
        <v>165.516176470588</v>
      </c>
      <c r="V89" s="70"/>
      <c r="W89" s="70"/>
      <c r="X89" s="101">
        <f t="shared" si="64"/>
        <v>4884.900985</v>
      </c>
      <c r="Y89" s="84">
        <f t="shared" si="68"/>
        <v>1184.81554947059</v>
      </c>
      <c r="Z89" s="84"/>
      <c r="AA89" s="84">
        <f t="shared" si="69"/>
        <v>5.85927264705882</v>
      </c>
      <c r="AB89" s="84">
        <f t="shared" si="65"/>
        <v>1190.67482211765</v>
      </c>
      <c r="AC89" s="85">
        <v>7.18</v>
      </c>
      <c r="AD89" s="70">
        <f t="shared" si="61"/>
        <v>8549.0452228047</v>
      </c>
      <c r="AE89" s="70">
        <f t="shared" si="62"/>
        <v>13433.9462078047</v>
      </c>
      <c r="AF89" s="70">
        <f t="shared" si="63"/>
        <v>873.1337921953</v>
      </c>
    </row>
    <row r="90" s="2" customFormat="1" spans="1:32">
      <c r="A90" s="105"/>
      <c r="B90" s="105"/>
      <c r="C90" s="22">
        <v>240924000004</v>
      </c>
      <c r="D90" s="23">
        <v>45559</v>
      </c>
      <c r="E90" s="23" t="s">
        <v>59</v>
      </c>
      <c r="F90" s="47" t="s">
        <v>59</v>
      </c>
      <c r="G90" s="47" t="s">
        <v>110</v>
      </c>
      <c r="H90" s="91">
        <v>0.1491</v>
      </c>
      <c r="I90" s="91">
        <v>143</v>
      </c>
      <c r="J90" s="42">
        <v>284.49</v>
      </c>
      <c r="K90" s="85"/>
      <c r="L90" s="92"/>
      <c r="M90" s="45"/>
      <c r="N90" s="93"/>
      <c r="O90" s="47"/>
      <c r="P90" s="48">
        <f t="shared" si="70"/>
        <v>284.49</v>
      </c>
      <c r="Q90" s="102"/>
      <c r="R90" s="110"/>
      <c r="S90" s="70">
        <f t="shared" si="66"/>
        <v>93.7788569117647</v>
      </c>
      <c r="T90" s="70"/>
      <c r="U90" s="70">
        <f t="shared" si="67"/>
        <v>3.28897058823529</v>
      </c>
      <c r="V90" s="70"/>
      <c r="W90" s="70"/>
      <c r="X90" s="101">
        <f t="shared" si="64"/>
        <v>97.0678275</v>
      </c>
      <c r="Y90" s="84">
        <f t="shared" si="68"/>
        <v>23.5434600882353</v>
      </c>
      <c r="Z90" s="84"/>
      <c r="AA90" s="84">
        <f t="shared" si="69"/>
        <v>0.116429558823529</v>
      </c>
      <c r="AB90" s="84">
        <f t="shared" si="65"/>
        <v>23.6598896470588</v>
      </c>
      <c r="AC90" s="85">
        <v>7.18</v>
      </c>
      <c r="AD90" s="70">
        <f t="shared" si="61"/>
        <v>169.878007665882</v>
      </c>
      <c r="AE90" s="70">
        <f t="shared" si="62"/>
        <v>266.945835165882</v>
      </c>
      <c r="AF90" s="70">
        <f t="shared" si="63"/>
        <v>17.544164834118</v>
      </c>
    </row>
    <row r="91" s="2" customFormat="1" spans="1:32">
      <c r="A91" s="105"/>
      <c r="B91" s="105"/>
      <c r="C91" s="22">
        <v>240924000005</v>
      </c>
      <c r="D91" s="23">
        <v>45559</v>
      </c>
      <c r="E91" s="23" t="s">
        <v>59</v>
      </c>
      <c r="F91" s="47" t="s">
        <v>59</v>
      </c>
      <c r="G91" s="47" t="s">
        <v>110</v>
      </c>
      <c r="H91" s="106">
        <v>0.817</v>
      </c>
      <c r="I91" s="109">
        <v>358</v>
      </c>
      <c r="J91" s="42">
        <v>1558.03</v>
      </c>
      <c r="K91" s="85"/>
      <c r="L91" s="92"/>
      <c r="M91" s="45"/>
      <c r="N91" s="93"/>
      <c r="O91" s="47"/>
      <c r="P91" s="48">
        <f t="shared" si="70"/>
        <v>1558.03</v>
      </c>
      <c r="Q91" s="102"/>
      <c r="R91" s="110"/>
      <c r="S91" s="70">
        <f t="shared" si="66"/>
        <v>513.865366176471</v>
      </c>
      <c r="T91" s="70"/>
      <c r="U91" s="70">
        <f t="shared" si="67"/>
        <v>18.0220588235294</v>
      </c>
      <c r="V91" s="70"/>
      <c r="W91" s="70"/>
      <c r="X91" s="101">
        <f t="shared" si="64"/>
        <v>531.887425</v>
      </c>
      <c r="Y91" s="84">
        <f t="shared" si="68"/>
        <v>129.007423823529</v>
      </c>
      <c r="Z91" s="84"/>
      <c r="AA91" s="84">
        <f t="shared" si="69"/>
        <v>0.637980882352941</v>
      </c>
      <c r="AB91" s="84">
        <f t="shared" si="65"/>
        <v>129.645404705882</v>
      </c>
      <c r="AC91" s="85">
        <v>7.18</v>
      </c>
      <c r="AD91" s="70">
        <f t="shared" si="61"/>
        <v>930.854005788235</v>
      </c>
      <c r="AE91" s="70">
        <f t="shared" si="62"/>
        <v>1462.74143078823</v>
      </c>
      <c r="AF91" s="70">
        <f t="shared" si="63"/>
        <v>95.28856921177</v>
      </c>
    </row>
    <row r="92" s="2" customFormat="1" spans="1:32">
      <c r="A92" s="105"/>
      <c r="B92" s="105"/>
      <c r="C92" s="22">
        <v>240924000006</v>
      </c>
      <c r="D92" s="23">
        <v>45559</v>
      </c>
      <c r="E92" s="23" t="s">
        <v>59</v>
      </c>
      <c r="F92" s="47" t="s">
        <v>59</v>
      </c>
      <c r="G92" s="47" t="s">
        <v>110</v>
      </c>
      <c r="H92" s="91">
        <v>4.261</v>
      </c>
      <c r="I92" s="91">
        <v>638</v>
      </c>
      <c r="J92" s="42">
        <v>8122.76</v>
      </c>
      <c r="K92" s="85"/>
      <c r="L92" s="92"/>
      <c r="M92" s="45"/>
      <c r="N92" s="93"/>
      <c r="O92" s="47"/>
      <c r="P92" s="48">
        <f t="shared" si="70"/>
        <v>8122.76</v>
      </c>
      <c r="Q92" s="102"/>
      <c r="R92" s="110"/>
      <c r="S92" s="70">
        <f t="shared" si="66"/>
        <v>2680.02487794118</v>
      </c>
      <c r="T92" s="70"/>
      <c r="U92" s="70">
        <f t="shared" si="67"/>
        <v>93.9926470588235</v>
      </c>
      <c r="V92" s="70"/>
      <c r="W92" s="70"/>
      <c r="X92" s="101">
        <f t="shared" si="64"/>
        <v>2774.017525</v>
      </c>
      <c r="Y92" s="84">
        <f t="shared" si="68"/>
        <v>672.828192058823</v>
      </c>
      <c r="Z92" s="84"/>
      <c r="AA92" s="84">
        <f t="shared" si="69"/>
        <v>3.32733970588235</v>
      </c>
      <c r="AB92" s="84">
        <f t="shared" si="65"/>
        <v>676.155531764706</v>
      </c>
      <c r="AC92" s="85">
        <v>7.18</v>
      </c>
      <c r="AD92" s="70">
        <f t="shared" si="61"/>
        <v>4854.79671807059</v>
      </c>
      <c r="AE92" s="70">
        <f t="shared" si="62"/>
        <v>7628.81424307059</v>
      </c>
      <c r="AF92" s="70">
        <f t="shared" si="63"/>
        <v>493.94575692941</v>
      </c>
    </row>
    <row r="93" s="2" customFormat="1" spans="1:32">
      <c r="A93" s="105"/>
      <c r="B93" s="105"/>
      <c r="C93" s="22">
        <v>240924000007</v>
      </c>
      <c r="D93" s="23">
        <v>45559</v>
      </c>
      <c r="E93" s="23" t="s">
        <v>59</v>
      </c>
      <c r="F93" s="47" t="s">
        <v>59</v>
      </c>
      <c r="G93" s="47" t="s">
        <v>110</v>
      </c>
      <c r="H93" s="91">
        <v>3.099</v>
      </c>
      <c r="I93" s="91">
        <v>438</v>
      </c>
      <c r="J93" s="42">
        <v>5908.61</v>
      </c>
      <c r="K93" s="85"/>
      <c r="L93" s="92"/>
      <c r="M93" s="45"/>
      <c r="N93" s="93"/>
      <c r="O93" s="47"/>
      <c r="P93" s="48">
        <f t="shared" si="70"/>
        <v>5908.61</v>
      </c>
      <c r="Q93" s="102"/>
      <c r="R93" s="110"/>
      <c r="S93" s="70">
        <f t="shared" si="66"/>
        <v>1949.16618088235</v>
      </c>
      <c r="T93" s="70"/>
      <c r="U93" s="70">
        <f t="shared" si="67"/>
        <v>68.3602941176471</v>
      </c>
      <c r="V93" s="70"/>
      <c r="W93" s="70"/>
      <c r="X93" s="101">
        <f t="shared" si="64"/>
        <v>2017.526475</v>
      </c>
      <c r="Y93" s="84">
        <f t="shared" si="68"/>
        <v>489.343949117647</v>
      </c>
      <c r="Z93" s="84"/>
      <c r="AA93" s="84">
        <f t="shared" si="69"/>
        <v>2.41995441176471</v>
      </c>
      <c r="AB93" s="84">
        <f t="shared" si="65"/>
        <v>491.763903529412</v>
      </c>
      <c r="AC93" s="85">
        <v>7.18</v>
      </c>
      <c r="AD93" s="70">
        <f t="shared" ref="AD93:AD106" si="71">SUM(AB93*AC93)</f>
        <v>3530.86482734118</v>
      </c>
      <c r="AE93" s="70">
        <f t="shared" si="62"/>
        <v>5548.39130234118</v>
      </c>
      <c r="AF93" s="70">
        <f t="shared" ref="AF93:AF104" si="72">SUM(P93-AE93)</f>
        <v>360.21869765882</v>
      </c>
    </row>
    <row r="94" s="2" customFormat="1" spans="1:32">
      <c r="A94" s="107"/>
      <c r="B94" s="107"/>
      <c r="C94" s="22">
        <v>240925000014</v>
      </c>
      <c r="D94" s="23">
        <v>45559</v>
      </c>
      <c r="E94" s="23" t="s">
        <v>127</v>
      </c>
      <c r="F94" s="47" t="s">
        <v>128</v>
      </c>
      <c r="G94" s="47" t="s">
        <v>110</v>
      </c>
      <c r="H94" s="91">
        <v>25.12</v>
      </c>
      <c r="I94" s="91">
        <v>4000</v>
      </c>
      <c r="J94" s="42">
        <v>47873.94</v>
      </c>
      <c r="K94" s="85"/>
      <c r="L94" s="92"/>
      <c r="M94" s="45"/>
      <c r="N94" s="93"/>
      <c r="O94" s="47"/>
      <c r="P94" s="48">
        <f t="shared" si="70"/>
        <v>47873.94</v>
      </c>
      <c r="Q94" s="103"/>
      <c r="R94" s="111"/>
      <c r="S94" s="70">
        <f t="shared" si="66"/>
        <v>15799.6303529412</v>
      </c>
      <c r="T94" s="70"/>
      <c r="U94" s="70">
        <f t="shared" si="67"/>
        <v>554.117647058824</v>
      </c>
      <c r="V94" s="70"/>
      <c r="W94" s="70"/>
      <c r="X94" s="101">
        <f t="shared" ref="X94:X106" si="73">SUM(S94:W94)</f>
        <v>16353.748</v>
      </c>
      <c r="Y94" s="84">
        <f t="shared" si="68"/>
        <v>3966.54404705882</v>
      </c>
      <c r="Z94" s="84"/>
      <c r="AA94" s="84">
        <f t="shared" si="69"/>
        <v>19.6157647058824</v>
      </c>
      <c r="AB94" s="84">
        <f t="shared" ref="AB94:AB106" si="74">SUM(Y94:AA94)</f>
        <v>3986.15981176471</v>
      </c>
      <c r="AC94" s="85">
        <v>7.18</v>
      </c>
      <c r="AD94" s="70">
        <f t="shared" si="71"/>
        <v>28620.6274484706</v>
      </c>
      <c r="AE94" s="70">
        <f t="shared" ref="AE94:AE106" si="75">SUM(X94+AD94)</f>
        <v>44974.3754484706</v>
      </c>
      <c r="AF94" s="70">
        <f t="shared" si="72"/>
        <v>2899.5645515294</v>
      </c>
    </row>
    <row r="95" s="2" customFormat="1" spans="1:32">
      <c r="A95" s="90" t="s">
        <v>20</v>
      </c>
      <c r="B95" s="47" t="s">
        <v>21</v>
      </c>
      <c r="C95" s="22">
        <v>240912000038</v>
      </c>
      <c r="D95" s="23">
        <v>45560</v>
      </c>
      <c r="E95" s="23" t="s">
        <v>78</v>
      </c>
      <c r="F95" s="47" t="s">
        <v>79</v>
      </c>
      <c r="G95" s="47" t="s">
        <v>121</v>
      </c>
      <c r="H95" s="91">
        <v>6.0188</v>
      </c>
      <c r="I95" s="91">
        <v>1018</v>
      </c>
      <c r="J95" s="42">
        <v>12660</v>
      </c>
      <c r="K95" s="85"/>
      <c r="L95" s="92"/>
      <c r="M95" s="45"/>
      <c r="N95" s="93"/>
      <c r="O95" s="47"/>
      <c r="P95" s="48">
        <f t="shared" si="70"/>
        <v>12660</v>
      </c>
      <c r="Q95" s="99">
        <f>SUM(P95:P104)</f>
        <v>155300.8834</v>
      </c>
      <c r="R95" s="100" t="s">
        <v>129</v>
      </c>
      <c r="S95" s="70">
        <f>SUM(41943/68)*H95</f>
        <v>3712.44894705882</v>
      </c>
      <c r="T95" s="70"/>
      <c r="U95" s="70">
        <f>SUM(1300/68)*H95</f>
        <v>115.065294117647</v>
      </c>
      <c r="V95" s="70"/>
      <c r="W95" s="70"/>
      <c r="X95" s="101">
        <f t="shared" si="73"/>
        <v>3827.51424117647</v>
      </c>
      <c r="Y95" s="84">
        <f t="shared" si="68"/>
        <v>950.391533058823</v>
      </c>
      <c r="Z95" s="84"/>
      <c r="AA95" s="84">
        <f t="shared" si="69"/>
        <v>4.69997470588235</v>
      </c>
      <c r="AB95" s="84">
        <f t="shared" si="74"/>
        <v>955.091507764706</v>
      </c>
      <c r="AC95" s="85">
        <v>7.18</v>
      </c>
      <c r="AD95" s="70">
        <f t="shared" si="71"/>
        <v>6857.55702575059</v>
      </c>
      <c r="AE95" s="70">
        <f t="shared" si="75"/>
        <v>10685.0712669271</v>
      </c>
      <c r="AF95" s="70">
        <f t="shared" si="72"/>
        <v>1974.9287330729</v>
      </c>
    </row>
    <row r="96" s="2" customFormat="1" spans="1:32">
      <c r="A96" s="90"/>
      <c r="B96" s="47"/>
      <c r="C96" s="22">
        <v>240914000053</v>
      </c>
      <c r="D96" s="23">
        <v>45560</v>
      </c>
      <c r="E96" s="23" t="s">
        <v>78</v>
      </c>
      <c r="F96" s="47" t="s">
        <v>79</v>
      </c>
      <c r="G96" s="47" t="s">
        <v>121</v>
      </c>
      <c r="H96" s="91">
        <v>0.3137</v>
      </c>
      <c r="I96" s="91">
        <v>144.5</v>
      </c>
      <c r="J96" s="94">
        <v>672.8</v>
      </c>
      <c r="K96" s="85"/>
      <c r="L96" s="92"/>
      <c r="M96" s="45"/>
      <c r="N96" s="95"/>
      <c r="O96" s="47"/>
      <c r="P96" s="48">
        <f t="shared" si="70"/>
        <v>672.8</v>
      </c>
      <c r="Q96" s="99"/>
      <c r="R96" s="100"/>
      <c r="S96" s="70">
        <f t="shared" ref="S96:S104" si="76">SUM(41943/68)*H96</f>
        <v>193.492927941176</v>
      </c>
      <c r="T96" s="70"/>
      <c r="U96" s="70">
        <f t="shared" ref="U96:U104" si="77">SUM(1300/68)*H96</f>
        <v>5.99720588235294</v>
      </c>
      <c r="V96" s="70"/>
      <c r="W96" s="70"/>
      <c r="X96" s="101">
        <f t="shared" si="73"/>
        <v>199.490133823529</v>
      </c>
      <c r="Y96" s="84">
        <f t="shared" ref="Y96:Y104" si="78">SUM(10737.46/68)*H96</f>
        <v>49.5344294411765</v>
      </c>
      <c r="Z96" s="84"/>
      <c r="AA96" s="84">
        <f t="shared" ref="AA96:AA104" si="79">SUM(53.1/68)*H96</f>
        <v>0.244962794117647</v>
      </c>
      <c r="AB96" s="84">
        <f t="shared" si="74"/>
        <v>49.7793922352941</v>
      </c>
      <c r="AC96" s="85">
        <v>7.18</v>
      </c>
      <c r="AD96" s="70">
        <f t="shared" si="71"/>
        <v>357.416036249412</v>
      </c>
      <c r="AE96" s="70">
        <f t="shared" si="75"/>
        <v>556.906170072941</v>
      </c>
      <c r="AF96" s="70">
        <f t="shared" si="72"/>
        <v>115.893829927059</v>
      </c>
    </row>
    <row r="97" s="2" customFormat="1" spans="1:32">
      <c r="A97" s="90"/>
      <c r="B97" s="47"/>
      <c r="C97" s="22">
        <v>240923000035</v>
      </c>
      <c r="D97" s="23">
        <v>45547</v>
      </c>
      <c r="E97" s="23" t="s">
        <v>78</v>
      </c>
      <c r="F97" s="47" t="s">
        <v>79</v>
      </c>
      <c r="G97" s="47" t="s">
        <v>100</v>
      </c>
      <c r="H97" s="91">
        <v>0.7148</v>
      </c>
      <c r="I97" s="91">
        <v>310</v>
      </c>
      <c r="J97" s="42">
        <v>1406</v>
      </c>
      <c r="K97" s="85"/>
      <c r="L97" s="92"/>
      <c r="M97" s="45"/>
      <c r="N97" s="96"/>
      <c r="O97" s="47"/>
      <c r="P97" s="48">
        <f t="shared" si="70"/>
        <v>1406</v>
      </c>
      <c r="Q97" s="102"/>
      <c r="R97" s="102"/>
      <c r="S97" s="70">
        <f t="shared" si="76"/>
        <v>440.894947058824</v>
      </c>
      <c r="T97" s="70"/>
      <c r="U97" s="70">
        <f t="shared" si="77"/>
        <v>13.6652941176471</v>
      </c>
      <c r="V97" s="70"/>
      <c r="W97" s="70"/>
      <c r="X97" s="101">
        <f t="shared" si="73"/>
        <v>454.560241176471</v>
      </c>
      <c r="Y97" s="84">
        <f t="shared" si="78"/>
        <v>112.869653058824</v>
      </c>
      <c r="Z97" s="84"/>
      <c r="AA97" s="84">
        <f t="shared" si="79"/>
        <v>0.558174705882353</v>
      </c>
      <c r="AB97" s="84">
        <f t="shared" si="74"/>
        <v>113.427827764706</v>
      </c>
      <c r="AC97" s="85">
        <v>7.18</v>
      </c>
      <c r="AD97" s="70">
        <f t="shared" si="71"/>
        <v>814.411803350588</v>
      </c>
      <c r="AE97" s="70">
        <f t="shared" si="75"/>
        <v>1268.97204452706</v>
      </c>
      <c r="AF97" s="70">
        <f t="shared" si="72"/>
        <v>137.02795547294</v>
      </c>
    </row>
    <row r="98" s="2" customFormat="1" spans="1:32">
      <c r="A98" s="90"/>
      <c r="B98" s="47"/>
      <c r="C98" s="22">
        <v>240912000064</v>
      </c>
      <c r="D98" s="23">
        <v>45560</v>
      </c>
      <c r="E98" s="23" t="s">
        <v>59</v>
      </c>
      <c r="F98" s="47" t="s">
        <v>59</v>
      </c>
      <c r="G98" s="47" t="s">
        <v>130</v>
      </c>
      <c r="H98" s="91">
        <v>5.0147</v>
      </c>
      <c r="I98" s="91">
        <v>766</v>
      </c>
      <c r="J98" s="42">
        <v>10109.64</v>
      </c>
      <c r="K98" s="85"/>
      <c r="L98" s="92"/>
      <c r="M98" s="45"/>
      <c r="N98" s="93"/>
      <c r="O98" s="47"/>
      <c r="P98" s="48">
        <f t="shared" si="70"/>
        <v>10109.64</v>
      </c>
      <c r="Q98" s="102"/>
      <c r="R98" s="102"/>
      <c r="S98" s="70">
        <f t="shared" si="76"/>
        <v>3093.11120735294</v>
      </c>
      <c r="T98" s="70"/>
      <c r="U98" s="70">
        <f t="shared" si="77"/>
        <v>95.8692647058824</v>
      </c>
      <c r="V98" s="70"/>
      <c r="W98" s="70"/>
      <c r="X98" s="101">
        <f t="shared" si="73"/>
        <v>3188.98047205882</v>
      </c>
      <c r="Y98" s="84">
        <f t="shared" si="78"/>
        <v>791.840303852941</v>
      </c>
      <c r="Z98" s="84"/>
      <c r="AA98" s="84">
        <f t="shared" si="79"/>
        <v>3.91589073529412</v>
      </c>
      <c r="AB98" s="84">
        <f t="shared" si="74"/>
        <v>795.756194588235</v>
      </c>
      <c r="AC98" s="85">
        <v>7.18</v>
      </c>
      <c r="AD98" s="70">
        <f t="shared" si="71"/>
        <v>5713.52947714353</v>
      </c>
      <c r="AE98" s="70">
        <f t="shared" si="75"/>
        <v>8902.50994920235</v>
      </c>
      <c r="AF98" s="70">
        <f t="shared" si="72"/>
        <v>1207.13005079765</v>
      </c>
    </row>
    <row r="99" s="2" customFormat="1" spans="1:32">
      <c r="A99" s="90"/>
      <c r="B99" s="47"/>
      <c r="C99" s="22">
        <v>240918000030</v>
      </c>
      <c r="D99" s="23">
        <v>45560</v>
      </c>
      <c r="E99" s="23" t="s">
        <v>66</v>
      </c>
      <c r="F99" s="47" t="s">
        <v>67</v>
      </c>
      <c r="G99" s="47" t="s">
        <v>131</v>
      </c>
      <c r="H99" s="91">
        <v>6.4512</v>
      </c>
      <c r="I99" s="91">
        <v>2312</v>
      </c>
      <c r="J99" s="48"/>
      <c r="K99" s="97">
        <v>3152063.3</v>
      </c>
      <c r="L99" s="92"/>
      <c r="M99" s="45">
        <f>SUM(K99/N99)</f>
        <v>1745</v>
      </c>
      <c r="N99" s="98">
        <v>1806.34</v>
      </c>
      <c r="O99" s="47">
        <v>7.21</v>
      </c>
      <c r="P99" s="48">
        <f>SUM(N99*O99)</f>
        <v>13023.7114</v>
      </c>
      <c r="Q99" s="102"/>
      <c r="R99" s="102"/>
      <c r="S99" s="70">
        <f t="shared" si="76"/>
        <v>3979.15708235294</v>
      </c>
      <c r="T99" s="70"/>
      <c r="U99" s="70">
        <f t="shared" si="77"/>
        <v>123.331764705882</v>
      </c>
      <c r="V99" s="70"/>
      <c r="W99" s="70"/>
      <c r="X99" s="101">
        <f t="shared" si="73"/>
        <v>4102.48884705882</v>
      </c>
      <c r="Y99" s="84">
        <f t="shared" si="78"/>
        <v>1018.66914635294</v>
      </c>
      <c r="Z99" s="84"/>
      <c r="AA99" s="84">
        <f t="shared" si="79"/>
        <v>5.03762823529412</v>
      </c>
      <c r="AB99" s="84">
        <f t="shared" si="74"/>
        <v>1023.70677458824</v>
      </c>
      <c r="AC99" s="85">
        <v>7.18</v>
      </c>
      <c r="AD99" s="70">
        <f t="shared" si="71"/>
        <v>7350.21464154353</v>
      </c>
      <c r="AE99" s="70">
        <f t="shared" si="75"/>
        <v>11452.7034886024</v>
      </c>
      <c r="AF99" s="70">
        <f t="shared" si="72"/>
        <v>1571.00791139765</v>
      </c>
    </row>
    <row r="100" s="2" customFormat="1" spans="1:32">
      <c r="A100" s="90"/>
      <c r="B100" s="47"/>
      <c r="C100" s="22">
        <v>240924000002</v>
      </c>
      <c r="D100" s="23">
        <v>45560</v>
      </c>
      <c r="E100" s="23" t="s">
        <v>59</v>
      </c>
      <c r="F100" s="47" t="s">
        <v>59</v>
      </c>
      <c r="G100" s="47" t="s">
        <v>110</v>
      </c>
      <c r="H100" s="91">
        <v>1.6316</v>
      </c>
      <c r="I100" s="91">
        <v>279.5</v>
      </c>
      <c r="J100" s="42">
        <v>2779.87</v>
      </c>
      <c r="K100" s="85"/>
      <c r="L100" s="92"/>
      <c r="M100" s="45"/>
      <c r="N100" s="93"/>
      <c r="O100" s="47"/>
      <c r="P100" s="48">
        <f t="shared" ref="P100:P103" si="80">SUBTOTAL(9,J100)</f>
        <v>2779.87</v>
      </c>
      <c r="Q100" s="102"/>
      <c r="R100" s="102"/>
      <c r="S100" s="70">
        <f t="shared" si="76"/>
        <v>1006.38527647059</v>
      </c>
      <c r="T100" s="70"/>
      <c r="U100" s="70">
        <f t="shared" si="77"/>
        <v>31.1923529411765</v>
      </c>
      <c r="V100" s="70"/>
      <c r="W100" s="70"/>
      <c r="X100" s="101">
        <f t="shared" si="73"/>
        <v>1037.57762941176</v>
      </c>
      <c r="Y100" s="84">
        <f t="shared" si="78"/>
        <v>257.635878470588</v>
      </c>
      <c r="Z100" s="84"/>
      <c r="AA100" s="84">
        <f t="shared" si="79"/>
        <v>1.27408764705882</v>
      </c>
      <c r="AB100" s="84">
        <f t="shared" si="74"/>
        <v>258.909966117647</v>
      </c>
      <c r="AC100" s="85">
        <v>7.18</v>
      </c>
      <c r="AD100" s="70">
        <f t="shared" si="71"/>
        <v>1858.97355672471</v>
      </c>
      <c r="AE100" s="70">
        <f t="shared" si="75"/>
        <v>2896.55118613647</v>
      </c>
      <c r="AF100" s="70">
        <f t="shared" si="72"/>
        <v>-116.68118613647</v>
      </c>
    </row>
    <row r="101" s="2" customFormat="1" spans="1:32">
      <c r="A101" s="90"/>
      <c r="B101" s="47"/>
      <c r="C101" s="22">
        <v>240921000019</v>
      </c>
      <c r="D101" s="23">
        <v>45547</v>
      </c>
      <c r="E101" s="23" t="s">
        <v>81</v>
      </c>
      <c r="F101" s="47" t="s">
        <v>82</v>
      </c>
      <c r="G101" s="47" t="s">
        <v>86</v>
      </c>
      <c r="H101" s="91">
        <v>9.0628</v>
      </c>
      <c r="I101" s="91">
        <v>3434.65</v>
      </c>
      <c r="J101" s="42">
        <v>18527.4</v>
      </c>
      <c r="K101" s="85"/>
      <c r="L101" s="92"/>
      <c r="M101" s="45"/>
      <c r="N101" s="96"/>
      <c r="O101" s="47"/>
      <c r="P101" s="48">
        <f t="shared" si="80"/>
        <v>18527.4</v>
      </c>
      <c r="Q101" s="102"/>
      <c r="R101" s="102"/>
      <c r="S101" s="70">
        <f t="shared" si="76"/>
        <v>5590.01500588235</v>
      </c>
      <c r="T101" s="70"/>
      <c r="U101" s="70">
        <f t="shared" si="77"/>
        <v>173.259411764706</v>
      </c>
      <c r="V101" s="70"/>
      <c r="W101" s="70"/>
      <c r="X101" s="101">
        <f t="shared" si="73"/>
        <v>5763.27441764706</v>
      </c>
      <c r="Y101" s="84">
        <f t="shared" si="78"/>
        <v>1431.05077188235</v>
      </c>
      <c r="Z101" s="84"/>
      <c r="AA101" s="84">
        <f t="shared" si="79"/>
        <v>7.07698058823529</v>
      </c>
      <c r="AB101" s="84">
        <f t="shared" si="74"/>
        <v>1438.12775247059</v>
      </c>
      <c r="AC101" s="85">
        <v>7.18</v>
      </c>
      <c r="AD101" s="70">
        <f t="shared" si="71"/>
        <v>10325.7572627388</v>
      </c>
      <c r="AE101" s="70">
        <f t="shared" si="75"/>
        <v>16089.0316803859</v>
      </c>
      <c r="AF101" s="70">
        <f t="shared" si="72"/>
        <v>2438.3683196141</v>
      </c>
    </row>
    <row r="102" s="2" customFormat="1" spans="1:32">
      <c r="A102" s="90"/>
      <c r="B102" s="47"/>
      <c r="C102" s="22">
        <v>240924000001</v>
      </c>
      <c r="D102" s="23">
        <v>45560</v>
      </c>
      <c r="E102" s="23" t="s">
        <v>59</v>
      </c>
      <c r="F102" s="47" t="s">
        <v>59</v>
      </c>
      <c r="G102" s="47" t="s">
        <v>110</v>
      </c>
      <c r="H102" s="91">
        <v>29.32</v>
      </c>
      <c r="I102" s="91">
        <v>1291</v>
      </c>
      <c r="J102" s="42">
        <v>49953.95</v>
      </c>
      <c r="K102" s="85"/>
      <c r="L102" s="92"/>
      <c r="M102" s="45"/>
      <c r="N102" s="93"/>
      <c r="O102" s="47"/>
      <c r="P102" s="48">
        <f t="shared" si="80"/>
        <v>49953.95</v>
      </c>
      <c r="Q102" s="102"/>
      <c r="R102" s="102"/>
      <c r="S102" s="70">
        <f t="shared" si="76"/>
        <v>18084.8347058824</v>
      </c>
      <c r="T102" s="70"/>
      <c r="U102" s="70">
        <f t="shared" si="77"/>
        <v>560.529411764706</v>
      </c>
      <c r="V102" s="70"/>
      <c r="W102" s="70"/>
      <c r="X102" s="101">
        <f t="shared" si="73"/>
        <v>18645.3641176471</v>
      </c>
      <c r="Y102" s="84">
        <f t="shared" si="78"/>
        <v>4629.74010588235</v>
      </c>
      <c r="Z102" s="84"/>
      <c r="AA102" s="84">
        <f t="shared" si="79"/>
        <v>22.8954705882353</v>
      </c>
      <c r="AB102" s="84">
        <f t="shared" si="74"/>
        <v>4652.63557647059</v>
      </c>
      <c r="AC102" s="85">
        <v>7.18</v>
      </c>
      <c r="AD102" s="70">
        <f t="shared" si="71"/>
        <v>33405.9234390588</v>
      </c>
      <c r="AE102" s="70">
        <f t="shared" si="75"/>
        <v>52051.2875567059</v>
      </c>
      <c r="AF102" s="70">
        <f t="shared" si="72"/>
        <v>-2097.3375567059</v>
      </c>
    </row>
    <row r="103" s="2" customFormat="1" spans="1:32">
      <c r="A103" s="90"/>
      <c r="B103" s="47"/>
      <c r="C103" s="22">
        <v>240924000008</v>
      </c>
      <c r="D103" s="23">
        <v>45560</v>
      </c>
      <c r="E103" s="23" t="s">
        <v>59</v>
      </c>
      <c r="F103" s="47" t="s">
        <v>59</v>
      </c>
      <c r="G103" s="47" t="s">
        <v>110</v>
      </c>
      <c r="H103" s="91">
        <v>6.42</v>
      </c>
      <c r="I103" s="91">
        <v>1637</v>
      </c>
      <c r="J103" s="42">
        <v>11242.58</v>
      </c>
      <c r="K103" s="85"/>
      <c r="L103" s="92"/>
      <c r="M103" s="45"/>
      <c r="N103" s="93"/>
      <c r="O103" s="47"/>
      <c r="P103" s="48">
        <f t="shared" si="80"/>
        <v>11242.58</v>
      </c>
      <c r="Q103" s="102"/>
      <c r="R103" s="102"/>
      <c r="S103" s="70">
        <f t="shared" si="76"/>
        <v>3959.91264705882</v>
      </c>
      <c r="T103" s="70"/>
      <c r="U103" s="70">
        <f t="shared" si="77"/>
        <v>122.735294117647</v>
      </c>
      <c r="V103" s="70"/>
      <c r="W103" s="70"/>
      <c r="X103" s="101">
        <f t="shared" si="73"/>
        <v>4082.64794117647</v>
      </c>
      <c r="Y103" s="84">
        <f t="shared" si="78"/>
        <v>1013.74254705882</v>
      </c>
      <c r="Z103" s="84"/>
      <c r="AA103" s="84">
        <f t="shared" si="79"/>
        <v>5.01326470588235</v>
      </c>
      <c r="AB103" s="84">
        <f t="shared" si="74"/>
        <v>1018.75581176471</v>
      </c>
      <c r="AC103" s="85">
        <v>7.18</v>
      </c>
      <c r="AD103" s="70">
        <f t="shared" si="71"/>
        <v>7314.66672847059</v>
      </c>
      <c r="AE103" s="70">
        <f t="shared" si="75"/>
        <v>11397.3146696471</v>
      </c>
      <c r="AF103" s="70">
        <f t="shared" si="72"/>
        <v>-154.7346696471</v>
      </c>
    </row>
    <row r="104" s="2" customFormat="1" spans="1:32">
      <c r="A104" s="90"/>
      <c r="B104" s="47"/>
      <c r="C104" s="22">
        <v>240924000028</v>
      </c>
      <c r="D104" s="23">
        <v>45560</v>
      </c>
      <c r="E104" s="23" t="s">
        <v>59</v>
      </c>
      <c r="F104" s="47" t="s">
        <v>59</v>
      </c>
      <c r="G104" s="47" t="s">
        <v>132</v>
      </c>
      <c r="H104" s="91">
        <v>15.66</v>
      </c>
      <c r="I104" s="91">
        <v>10000</v>
      </c>
      <c r="J104" s="48"/>
      <c r="K104" s="97">
        <v>8627642.1</v>
      </c>
      <c r="L104" s="92"/>
      <c r="M104" s="45">
        <f t="shared" ref="M104:M106" si="81">SUM(K104/N104)</f>
        <v>1749</v>
      </c>
      <c r="N104" s="46">
        <v>4932.9</v>
      </c>
      <c r="O104" s="47">
        <v>7.08</v>
      </c>
      <c r="P104" s="48">
        <f>SUM(N104*O104)</f>
        <v>34924.932</v>
      </c>
      <c r="Q104" s="103"/>
      <c r="R104" s="103"/>
      <c r="S104" s="70">
        <f t="shared" si="76"/>
        <v>9659.22617647059</v>
      </c>
      <c r="T104" s="70"/>
      <c r="U104" s="70">
        <f t="shared" si="77"/>
        <v>299.382352941176</v>
      </c>
      <c r="V104" s="70"/>
      <c r="W104" s="70"/>
      <c r="X104" s="101">
        <f t="shared" si="73"/>
        <v>9958.60852941176</v>
      </c>
      <c r="Y104" s="84">
        <f t="shared" si="78"/>
        <v>2472.77387647059</v>
      </c>
      <c r="Z104" s="84"/>
      <c r="AA104" s="84">
        <f t="shared" si="79"/>
        <v>12.2286176470588</v>
      </c>
      <c r="AB104" s="84">
        <f t="shared" si="74"/>
        <v>2485.00249411765</v>
      </c>
      <c r="AC104" s="85">
        <v>7.18</v>
      </c>
      <c r="AD104" s="70">
        <f t="shared" si="71"/>
        <v>17842.3179077647</v>
      </c>
      <c r="AE104" s="70">
        <f t="shared" si="75"/>
        <v>27800.9264371765</v>
      </c>
      <c r="AF104" s="70">
        <f t="shared" si="72"/>
        <v>7124.00556282354</v>
      </c>
    </row>
    <row r="105" s="2" customFormat="1" ht="67.5" spans="1:32">
      <c r="A105" s="20" t="s">
        <v>22</v>
      </c>
      <c r="B105" s="21" t="s">
        <v>23</v>
      </c>
      <c r="C105" s="22">
        <v>241018000035</v>
      </c>
      <c r="D105" s="23">
        <v>45551</v>
      </c>
      <c r="E105" s="23" t="s">
        <v>59</v>
      </c>
      <c r="F105" s="21" t="s">
        <v>59</v>
      </c>
      <c r="G105" s="21" t="s">
        <v>97</v>
      </c>
      <c r="H105" s="87">
        <v>68</v>
      </c>
      <c r="I105" s="87"/>
      <c r="J105" s="42">
        <v>51892</v>
      </c>
      <c r="K105" s="88">
        <v>21300000</v>
      </c>
      <c r="L105" s="44" t="s">
        <v>133</v>
      </c>
      <c r="M105" s="45">
        <f t="shared" si="81"/>
        <v>1745.0005325119</v>
      </c>
      <c r="N105" s="46">
        <v>12206.3</v>
      </c>
      <c r="O105" s="47">
        <v>7.12</v>
      </c>
      <c r="P105" s="48">
        <f>SUM(N105*O105)+J105</f>
        <v>138800.856</v>
      </c>
      <c r="Q105" s="70">
        <f>SUM(P105)</f>
        <v>138800.856</v>
      </c>
      <c r="R105" s="71" t="s">
        <v>134</v>
      </c>
      <c r="S105" s="70">
        <v>45476</v>
      </c>
      <c r="T105" s="70"/>
      <c r="U105" s="70"/>
      <c r="V105" s="70"/>
      <c r="W105" s="70"/>
      <c r="X105" s="70">
        <f t="shared" si="73"/>
        <v>45476</v>
      </c>
      <c r="Y105" s="84">
        <v>10888.25</v>
      </c>
      <c r="Z105" s="84"/>
      <c r="AA105" s="84"/>
      <c r="AB105" s="84">
        <f t="shared" si="74"/>
        <v>10888.25</v>
      </c>
      <c r="AC105" s="85">
        <v>7.12</v>
      </c>
      <c r="AD105" s="70">
        <f t="shared" si="71"/>
        <v>77524.34</v>
      </c>
      <c r="AE105" s="70">
        <f t="shared" si="75"/>
        <v>123000.34</v>
      </c>
      <c r="AF105" s="70">
        <f>SUM(Q105-AE105)</f>
        <v>15800.516</v>
      </c>
    </row>
    <row r="106" s="2" customFormat="1" ht="54" spans="1:32">
      <c r="A106" s="20" t="s">
        <v>24</v>
      </c>
      <c r="B106" s="21" t="s">
        <v>25</v>
      </c>
      <c r="C106" s="22">
        <v>241015000029</v>
      </c>
      <c r="D106" s="23">
        <v>45547</v>
      </c>
      <c r="E106" s="23" t="s">
        <v>62</v>
      </c>
      <c r="F106" s="21" t="s">
        <v>63</v>
      </c>
      <c r="G106" s="21" t="s">
        <v>135</v>
      </c>
      <c r="H106" s="24">
        <v>181.1178</v>
      </c>
      <c r="I106" s="24"/>
      <c r="J106" s="42">
        <v>257973.5</v>
      </c>
      <c r="K106" s="43">
        <v>60800000</v>
      </c>
      <c r="L106" s="44" t="s">
        <v>133</v>
      </c>
      <c r="M106" s="45">
        <f t="shared" si="81"/>
        <v>1770.00012809211</v>
      </c>
      <c r="N106" s="46">
        <v>34350.28</v>
      </c>
      <c r="O106" s="47">
        <v>7.12</v>
      </c>
      <c r="P106" s="48">
        <f>SUM(N106*O106)+J106</f>
        <v>502547.4936</v>
      </c>
      <c r="Q106" s="70">
        <f>SUM(P106)</f>
        <v>502547.4936</v>
      </c>
      <c r="R106" s="71" t="s">
        <v>136</v>
      </c>
      <c r="S106" s="70">
        <v>246436.66</v>
      </c>
      <c r="T106" s="70"/>
      <c r="U106" s="70"/>
      <c r="V106" s="70"/>
      <c r="W106" s="70"/>
      <c r="X106" s="70">
        <f t="shared" si="73"/>
        <v>246436.66</v>
      </c>
      <c r="Y106" s="84">
        <v>31498.56</v>
      </c>
      <c r="Z106" s="84"/>
      <c r="AA106" s="84"/>
      <c r="AB106" s="84">
        <f t="shared" si="74"/>
        <v>31498.56</v>
      </c>
      <c r="AC106" s="85">
        <v>7.12</v>
      </c>
      <c r="AD106" s="70">
        <f t="shared" si="71"/>
        <v>224269.7472</v>
      </c>
      <c r="AE106" s="70">
        <f t="shared" si="75"/>
        <v>470706.4072</v>
      </c>
      <c r="AF106" s="70">
        <f>SUM(Q106-AE106)</f>
        <v>31841.0864</v>
      </c>
    </row>
    <row r="107" ht="15.75" spans="1:32">
      <c r="A107" s="25" t="s">
        <v>26</v>
      </c>
      <c r="B107" s="26"/>
      <c r="C107" s="26"/>
      <c r="D107" s="26"/>
      <c r="E107" s="26"/>
      <c r="F107" s="26"/>
      <c r="G107" s="26"/>
      <c r="H107" s="26"/>
      <c r="I107" s="49"/>
      <c r="J107" s="26"/>
      <c r="K107" s="50"/>
      <c r="L107" s="51"/>
      <c r="M107" s="50"/>
      <c r="N107" s="50"/>
      <c r="O107" s="26"/>
      <c r="P107" s="26">
        <f>SUM(P3:P106)</f>
        <v>1753117.70865448</v>
      </c>
      <c r="Q107" s="124">
        <f>SUM(Q4:Q106)</f>
        <v>1753117.70865448</v>
      </c>
      <c r="R107" s="26"/>
      <c r="S107" s="26"/>
      <c r="T107" s="26"/>
      <c r="U107" s="26"/>
      <c r="V107" s="26"/>
      <c r="W107" s="26"/>
      <c r="X107" s="72">
        <f>SUM(X3:X3)</f>
        <v>0</v>
      </c>
      <c r="Y107" s="51"/>
      <c r="Z107" s="51"/>
      <c r="AA107" s="51"/>
      <c r="AB107" s="51"/>
      <c r="AC107" s="50"/>
      <c r="AD107" s="26"/>
      <c r="AE107" s="125">
        <f>SUM(AE4:AE106)</f>
        <v>1612056.45211843</v>
      </c>
      <c r="AF107" s="86">
        <f>SUM(AF3:AF106)</f>
        <v>141061.25653605</v>
      </c>
    </row>
    <row r="108" customFormat="1" spans="4:32">
      <c r="D108" s="3"/>
      <c r="E108" s="3"/>
      <c r="K108" s="4"/>
      <c r="L108" s="5"/>
      <c r="M108" s="4"/>
      <c r="X108" s="7"/>
      <c r="Y108" s="5"/>
      <c r="Z108" s="5"/>
      <c r="AA108" s="5"/>
      <c r="AB108" s="5"/>
      <c r="AC108" s="4"/>
      <c r="AF108" s="8"/>
    </row>
    <row r="109" customFormat="1" spans="4:32">
      <c r="D109" s="3"/>
      <c r="E109" s="3"/>
      <c r="K109" s="4"/>
      <c r="L109" s="5"/>
      <c r="M109" s="4"/>
      <c r="X109" s="7"/>
      <c r="Y109" s="5"/>
      <c r="Z109" s="5"/>
      <c r="AA109" s="5"/>
      <c r="AB109" s="5"/>
      <c r="AC109" s="4"/>
      <c r="AF109" s="8"/>
    </row>
    <row r="110" customFormat="1" spans="4:32">
      <c r="D110" s="3"/>
      <c r="E110" s="3"/>
      <c r="K110" s="4"/>
      <c r="L110" s="5"/>
      <c r="M110" s="4"/>
      <c r="X110" s="7"/>
      <c r="Y110" s="5"/>
      <c r="Z110" s="5"/>
      <c r="AA110" s="5"/>
      <c r="AB110" s="5"/>
      <c r="AC110" s="4"/>
      <c r="AF110" s="8"/>
    </row>
    <row r="111" customFormat="1" spans="4:32">
      <c r="D111" s="3"/>
      <c r="E111" s="3"/>
      <c r="K111" s="4"/>
      <c r="L111" s="5"/>
      <c r="M111" s="4"/>
      <c r="X111" s="7"/>
      <c r="Y111" s="5"/>
      <c r="Z111" s="5"/>
      <c r="AA111" s="5"/>
      <c r="AB111" s="5"/>
      <c r="AC111" s="4"/>
      <c r="AF111" s="8"/>
    </row>
    <row r="112" customFormat="1" spans="4:32">
      <c r="D112" s="3"/>
      <c r="E112" s="3"/>
      <c r="K112" s="4"/>
      <c r="L112" s="5"/>
      <c r="M112" s="4"/>
      <c r="X112" s="7"/>
      <c r="Y112" s="5"/>
      <c r="Z112" s="5"/>
      <c r="AA112" s="5"/>
      <c r="AB112" s="5"/>
      <c r="AC112" s="4"/>
      <c r="AF112" s="8"/>
    </row>
    <row r="113" customFormat="1" spans="4:32">
      <c r="D113" s="3"/>
      <c r="E113" s="3"/>
      <c r="K113" s="4"/>
      <c r="L113" s="5"/>
      <c r="M113" s="4"/>
      <c r="X113" s="7"/>
      <c r="Y113" s="5"/>
      <c r="Z113" s="5"/>
      <c r="AA113" s="5"/>
      <c r="AB113" s="5"/>
      <c r="AC113" s="4"/>
      <c r="AF113" s="8"/>
    </row>
    <row r="114" customFormat="1" spans="4:32">
      <c r="D114" s="3"/>
      <c r="E114" s="3"/>
      <c r="K114" s="4"/>
      <c r="L114" s="5"/>
      <c r="M114" s="4"/>
      <c r="X114" s="7"/>
      <c r="Y114" s="5"/>
      <c r="Z114" s="5"/>
      <c r="AA114" s="5"/>
      <c r="AB114" s="5"/>
      <c r="AC114" s="4"/>
      <c r="AF114" s="8"/>
    </row>
    <row r="115" customFormat="1" spans="4:32">
      <c r="D115" s="3"/>
      <c r="E115" s="3"/>
      <c r="K115" s="4"/>
      <c r="L115" s="5"/>
      <c r="M115" s="4"/>
      <c r="X115" s="7"/>
      <c r="Y115" s="5"/>
      <c r="Z115" s="5"/>
      <c r="AA115" s="5"/>
      <c r="AB115" s="5"/>
      <c r="AC115" s="4"/>
      <c r="AF115" s="8"/>
    </row>
    <row r="116" customFormat="1" spans="4:32">
      <c r="D116" s="3"/>
      <c r="E116" s="3"/>
      <c r="K116" s="4"/>
      <c r="L116" s="5"/>
      <c r="M116" s="4"/>
      <c r="X116" s="7"/>
      <c r="Y116" s="5"/>
      <c r="Z116" s="5"/>
      <c r="AA116" s="5"/>
      <c r="AB116" s="5"/>
      <c r="AC116" s="4"/>
      <c r="AF116" s="8"/>
    </row>
    <row r="117" customFormat="1" spans="4:32">
      <c r="D117" s="3"/>
      <c r="E117" s="3"/>
      <c r="K117" s="4"/>
      <c r="L117" s="5"/>
      <c r="M117" s="4"/>
      <c r="X117" s="7"/>
      <c r="Y117" s="5"/>
      <c r="Z117" s="5"/>
      <c r="AA117" s="5"/>
      <c r="AB117" s="5"/>
      <c r="AC117" s="4"/>
      <c r="AF117" s="8"/>
    </row>
    <row r="118" customFormat="1" spans="4:32">
      <c r="D118" s="3"/>
      <c r="E118" s="3"/>
      <c r="K118" s="4"/>
      <c r="L118" s="5"/>
      <c r="M118" s="4"/>
      <c r="X118" s="7"/>
      <c r="Y118" s="5"/>
      <c r="Z118" s="5"/>
      <c r="AA118" s="5"/>
      <c r="AB118" s="5"/>
      <c r="AC118" s="4"/>
      <c r="AF118" s="8"/>
    </row>
    <row r="119" customFormat="1" spans="4:32">
      <c r="D119" s="3"/>
      <c r="E119" s="3"/>
      <c r="K119" s="4"/>
      <c r="L119" s="5"/>
      <c r="M119" s="4"/>
      <c r="X119" s="7"/>
      <c r="Y119" s="5"/>
      <c r="Z119" s="5"/>
      <c r="AA119" s="5"/>
      <c r="AB119" s="5"/>
      <c r="AC119" s="4"/>
      <c r="AF119" s="8"/>
    </row>
    <row r="120" customFormat="1" spans="4:32">
      <c r="D120" s="3"/>
      <c r="E120" s="3"/>
      <c r="K120" s="4"/>
      <c r="L120" s="5"/>
      <c r="M120" s="4"/>
      <c r="X120" s="7"/>
      <c r="Y120" s="5"/>
      <c r="Z120" s="5"/>
      <c r="AA120" s="5"/>
      <c r="AB120" s="5"/>
      <c r="AC120" s="4"/>
      <c r="AF120" s="8"/>
    </row>
    <row r="121" customFormat="1" spans="4:32">
      <c r="D121" s="3"/>
      <c r="E121" s="3"/>
      <c r="K121" s="4"/>
      <c r="L121" s="5"/>
      <c r="M121" s="4"/>
      <c r="X121" s="7"/>
      <c r="Y121" s="5"/>
      <c r="Z121" s="5"/>
      <c r="AA121" s="5"/>
      <c r="AB121" s="5"/>
      <c r="AC121" s="4"/>
      <c r="AF121" s="8"/>
    </row>
    <row r="122" customFormat="1" spans="4:32">
      <c r="D122" s="3"/>
      <c r="E122" s="3"/>
      <c r="K122" s="4"/>
      <c r="L122" s="5"/>
      <c r="M122" s="4"/>
      <c r="X122" s="7"/>
      <c r="Y122" s="5"/>
      <c r="Z122" s="5"/>
      <c r="AA122" s="5"/>
      <c r="AB122" s="5"/>
      <c r="AC122" s="4"/>
      <c r="AF122" s="8"/>
    </row>
    <row r="123" customFormat="1" spans="4:32">
      <c r="D123" s="3"/>
      <c r="E123" s="3"/>
      <c r="K123" s="4"/>
      <c r="L123" s="5"/>
      <c r="M123" s="4"/>
      <c r="X123" s="7"/>
      <c r="Y123" s="5"/>
      <c r="Z123" s="5"/>
      <c r="AA123" s="5"/>
      <c r="AB123" s="5"/>
      <c r="AC123" s="4"/>
      <c r="AF123" s="8"/>
    </row>
  </sheetData>
  <autoFilter xmlns:etc="http://www.wps.cn/officeDocument/2017/etCustomData" ref="A2:AF107" etc:filterBottomFollowUsedRange="0">
    <extLst/>
  </autoFilter>
  <mergeCells count="45">
    <mergeCell ref="A1:AF1"/>
    <mergeCell ref="J2:P2"/>
    <mergeCell ref="R2:V2"/>
    <mergeCell ref="Y2:AD2"/>
    <mergeCell ref="A2:A3"/>
    <mergeCell ref="A4:A16"/>
    <mergeCell ref="A17:A27"/>
    <mergeCell ref="A28:A52"/>
    <mergeCell ref="A53:A57"/>
    <mergeCell ref="A60:A80"/>
    <mergeCell ref="A81:A94"/>
    <mergeCell ref="A95:A104"/>
    <mergeCell ref="B2:B3"/>
    <mergeCell ref="B4:B16"/>
    <mergeCell ref="B17:B27"/>
    <mergeCell ref="B28:B52"/>
    <mergeCell ref="B53:B57"/>
    <mergeCell ref="B60:B80"/>
    <mergeCell ref="B81:B94"/>
    <mergeCell ref="B95:B104"/>
    <mergeCell ref="C2:C3"/>
    <mergeCell ref="D2:D3"/>
    <mergeCell ref="E2:E3"/>
    <mergeCell ref="F2:F3"/>
    <mergeCell ref="G2:G3"/>
    <mergeCell ref="H2:H3"/>
    <mergeCell ref="I2:I3"/>
    <mergeCell ref="Q2:Q3"/>
    <mergeCell ref="Q4:Q16"/>
    <mergeCell ref="Q17:Q27"/>
    <mergeCell ref="Q28:Q52"/>
    <mergeCell ref="Q53:Q57"/>
    <mergeCell ref="Q60:Q80"/>
    <mergeCell ref="Q81:Q94"/>
    <mergeCell ref="Q95:Q104"/>
    <mergeCell ref="R4:R16"/>
    <mergeCell ref="R17:R27"/>
    <mergeCell ref="R28:R52"/>
    <mergeCell ref="R53:R57"/>
    <mergeCell ref="R60:R80"/>
    <mergeCell ref="R81:R94"/>
    <mergeCell ref="R95:R104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96.544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4</v>
      </c>
      <c r="B5" s="47" t="s">
        <v>5</v>
      </c>
      <c r="C5" s="22">
        <v>240807000019</v>
      </c>
      <c r="D5" s="23">
        <v>45539</v>
      </c>
      <c r="E5" s="23" t="s">
        <v>59</v>
      </c>
      <c r="F5" s="47" t="s">
        <v>59</v>
      </c>
      <c r="G5" s="47" t="s">
        <v>60</v>
      </c>
      <c r="H5" s="91">
        <v>55.0796</v>
      </c>
      <c r="I5" s="91">
        <v>14200</v>
      </c>
      <c r="J5" s="42">
        <v>26216.12</v>
      </c>
      <c r="K5" s="97">
        <v>21550555</v>
      </c>
      <c r="L5" s="92"/>
      <c r="M5" s="45">
        <f t="shared" ref="M5:M7" si="0">SUM(K5/N5)</f>
        <v>1560.26071248864</v>
      </c>
      <c r="N5" s="112">
        <v>13812.15</v>
      </c>
      <c r="O5" s="47">
        <v>7.24</v>
      </c>
      <c r="P5" s="48">
        <f>SUM(N5*O5+J5)</f>
        <v>126216.086</v>
      </c>
      <c r="Q5" s="99">
        <f>SUM(P5:P17)</f>
        <v>196493.638775</v>
      </c>
      <c r="R5" s="100" t="s">
        <v>61</v>
      </c>
      <c r="S5" s="70">
        <f>SUM(51391/68)*H5</f>
        <v>41626.4077</v>
      </c>
      <c r="T5" s="70"/>
      <c r="U5" s="70">
        <f>SUM(1450/68)*H5</f>
        <v>1174.49147058824</v>
      </c>
      <c r="V5" s="114">
        <v>600</v>
      </c>
      <c r="W5" s="114">
        <f>SUM(235.5+800)</f>
        <v>1035.5</v>
      </c>
      <c r="X5" s="101">
        <f t="shared" ref="X5:X68" si="1">SUM(S5:W5)</f>
        <v>44436.3991705882</v>
      </c>
      <c r="Y5" s="84">
        <f>SUM(10737.46/68)*H5</f>
        <v>8697.27943847059</v>
      </c>
      <c r="Z5" s="84">
        <v>1858.41</v>
      </c>
      <c r="AA5" s="84"/>
      <c r="AB5" s="84">
        <f t="shared" ref="AB5:AB68" si="2">SUM(Y5:AA5)</f>
        <v>10555.6894384706</v>
      </c>
      <c r="AC5" s="85">
        <v>7.12</v>
      </c>
      <c r="AD5" s="70">
        <f t="shared" ref="AD5:AD68" si="3">SUM(AB5*AC5)</f>
        <v>75156.5088019106</v>
      </c>
      <c r="AE5" s="70">
        <f t="shared" ref="AE5:AE68" si="4">SUM(X5+AD5)</f>
        <v>119592.907972499</v>
      </c>
      <c r="AF5" s="70">
        <f t="shared" ref="AF5:AF68" si="5">SUM(P5-AE5)</f>
        <v>6623.1780275012</v>
      </c>
    </row>
    <row r="6" s="2" customFormat="1" spans="1:32">
      <c r="A6" s="90"/>
      <c r="B6" s="47"/>
      <c r="C6" s="22">
        <v>240827000016</v>
      </c>
      <c r="D6" s="23">
        <v>45539</v>
      </c>
      <c r="E6" s="23" t="s">
        <v>62</v>
      </c>
      <c r="F6" s="47" t="s">
        <v>63</v>
      </c>
      <c r="G6" s="47" t="s">
        <v>64</v>
      </c>
      <c r="H6" s="91">
        <v>0.2537</v>
      </c>
      <c r="I6" s="91">
        <v>138</v>
      </c>
      <c r="J6" s="48"/>
      <c r="K6" s="97">
        <v>202127.5</v>
      </c>
      <c r="L6" s="92"/>
      <c r="M6" s="45">
        <f t="shared" si="0"/>
        <v>1735</v>
      </c>
      <c r="N6" s="112">
        <v>116.5</v>
      </c>
      <c r="O6" s="47">
        <v>7.12</v>
      </c>
      <c r="P6" s="48">
        <f t="shared" ref="P6:P9" si="6">SUM(N6*O6)</f>
        <v>829.48</v>
      </c>
      <c r="Q6" s="102"/>
      <c r="R6" s="102"/>
      <c r="S6" s="70">
        <f t="shared" ref="S6:S17" si="7">SUM(51391/68)*H6</f>
        <v>191.733775</v>
      </c>
      <c r="T6" s="70"/>
      <c r="U6" s="70">
        <f t="shared" ref="U6:U17" si="8">SUM(1450/68)*H6</f>
        <v>5.40977941176471</v>
      </c>
      <c r="V6" s="70"/>
      <c r="W6" s="114">
        <v>240</v>
      </c>
      <c r="X6" s="101">
        <f t="shared" si="1"/>
        <v>437.143554411765</v>
      </c>
      <c r="Y6" s="84">
        <f t="shared" ref="Y6:Y17" si="9">SUM(10737.46/68)*H6</f>
        <v>40.0602000294118</v>
      </c>
      <c r="Z6" s="84"/>
      <c r="AA6" s="84"/>
      <c r="AB6" s="84">
        <f t="shared" si="2"/>
        <v>40.0602000294118</v>
      </c>
      <c r="AC6" s="85">
        <v>7.12</v>
      </c>
      <c r="AD6" s="70">
        <f t="shared" si="3"/>
        <v>285.228624209412</v>
      </c>
      <c r="AE6" s="70">
        <f t="shared" si="4"/>
        <v>722.372178621176</v>
      </c>
      <c r="AF6" s="70">
        <f t="shared" si="5"/>
        <v>107.107821378824</v>
      </c>
    </row>
    <row r="7" s="2" customFormat="1" spans="1:32">
      <c r="A7" s="90"/>
      <c r="B7" s="47"/>
      <c r="C7" s="22">
        <v>240827000023</v>
      </c>
      <c r="D7" s="23">
        <v>45539</v>
      </c>
      <c r="E7" s="23" t="s">
        <v>59</v>
      </c>
      <c r="F7" s="47" t="s">
        <v>59</v>
      </c>
      <c r="G7" s="47" t="s">
        <v>65</v>
      </c>
      <c r="H7" s="91">
        <v>3.027</v>
      </c>
      <c r="I7" s="91">
        <v>2480</v>
      </c>
      <c r="J7" s="48"/>
      <c r="K7" s="97">
        <v>1916044.9</v>
      </c>
      <c r="L7" s="92"/>
      <c r="M7" s="45">
        <f t="shared" si="0"/>
        <v>1745</v>
      </c>
      <c r="N7" s="112">
        <v>1098.02</v>
      </c>
      <c r="O7" s="47">
        <v>7.12</v>
      </c>
      <c r="P7" s="48">
        <f t="shared" si="6"/>
        <v>7817.9024</v>
      </c>
      <c r="Q7" s="102"/>
      <c r="R7" s="102"/>
      <c r="S7" s="70">
        <f t="shared" si="7"/>
        <v>2287.65525</v>
      </c>
      <c r="T7" s="70"/>
      <c r="U7" s="70">
        <f t="shared" si="8"/>
        <v>64.5463235294118</v>
      </c>
      <c r="V7" s="70"/>
      <c r="W7" s="70"/>
      <c r="X7" s="101">
        <f t="shared" si="1"/>
        <v>2352.20157352941</v>
      </c>
      <c r="Y7" s="84">
        <f t="shared" si="9"/>
        <v>477.974873823529</v>
      </c>
      <c r="Z7" s="84"/>
      <c r="AA7" s="84"/>
      <c r="AB7" s="84">
        <f t="shared" si="2"/>
        <v>477.974873823529</v>
      </c>
      <c r="AC7" s="85">
        <v>7.12</v>
      </c>
      <c r="AD7" s="70">
        <f t="shared" si="3"/>
        <v>3403.18110162353</v>
      </c>
      <c r="AE7" s="70">
        <f t="shared" si="4"/>
        <v>5755.38267515294</v>
      </c>
      <c r="AF7" s="70">
        <f t="shared" si="5"/>
        <v>2062.51972484706</v>
      </c>
    </row>
    <row r="8" s="2" customFormat="1" spans="1:32">
      <c r="A8" s="90"/>
      <c r="B8" s="47"/>
      <c r="C8" s="22">
        <v>240828000016</v>
      </c>
      <c r="D8" s="23">
        <v>45539</v>
      </c>
      <c r="E8" s="23" t="s">
        <v>66</v>
      </c>
      <c r="F8" s="47" t="s">
        <v>67</v>
      </c>
      <c r="G8" s="47" t="s">
        <v>68</v>
      </c>
      <c r="H8" s="91">
        <v>0.1625</v>
      </c>
      <c r="I8" s="91">
        <v>169</v>
      </c>
      <c r="J8" s="42">
        <v>1258.39</v>
      </c>
      <c r="K8" s="85"/>
      <c r="L8" s="92"/>
      <c r="M8" s="45"/>
      <c r="N8" s="92"/>
      <c r="O8" s="47"/>
      <c r="P8" s="48">
        <f t="shared" ref="P8:P11" si="10">SUBTOTAL(9,J8)</f>
        <v>1258.39</v>
      </c>
      <c r="Q8" s="102"/>
      <c r="R8" s="102"/>
      <c r="S8" s="70">
        <f t="shared" si="7"/>
        <v>122.809375</v>
      </c>
      <c r="T8" s="70"/>
      <c r="U8" s="70">
        <f t="shared" si="8"/>
        <v>3.46507352941176</v>
      </c>
      <c r="V8" s="70"/>
      <c r="W8" s="70"/>
      <c r="X8" s="101">
        <f t="shared" si="1"/>
        <v>126.274448529412</v>
      </c>
      <c r="Y8" s="84">
        <f t="shared" si="9"/>
        <v>25.6593713235294</v>
      </c>
      <c r="Z8" s="84">
        <v>93.95</v>
      </c>
      <c r="AA8" s="84"/>
      <c r="AB8" s="84">
        <f t="shared" si="2"/>
        <v>119.609371323529</v>
      </c>
      <c r="AC8" s="85">
        <v>7.12</v>
      </c>
      <c r="AD8" s="70">
        <f t="shared" si="3"/>
        <v>851.618723823529</v>
      </c>
      <c r="AE8" s="70">
        <f t="shared" si="4"/>
        <v>977.893172352941</v>
      </c>
      <c r="AF8" s="70">
        <f t="shared" si="5"/>
        <v>280.496827647059</v>
      </c>
    </row>
    <row r="9" s="2" customFormat="1" spans="1:32">
      <c r="A9" s="90"/>
      <c r="B9" s="47"/>
      <c r="C9" s="22">
        <v>240828000064</v>
      </c>
      <c r="D9" s="23">
        <v>45539</v>
      </c>
      <c r="E9" s="23" t="s">
        <v>62</v>
      </c>
      <c r="F9" s="47" t="s">
        <v>63</v>
      </c>
      <c r="G9" s="47" t="s">
        <v>69</v>
      </c>
      <c r="H9" s="91">
        <v>2.368</v>
      </c>
      <c r="I9" s="91">
        <v>2617</v>
      </c>
      <c r="J9" s="48"/>
      <c r="K9" s="97">
        <v>2020000</v>
      </c>
      <c r="L9" s="92"/>
      <c r="M9" s="45">
        <f>SUM(K9/N9)</f>
        <v>1688.52202079306</v>
      </c>
      <c r="N9" s="112">
        <v>1196.3125</v>
      </c>
      <c r="O9" s="47">
        <v>7.23</v>
      </c>
      <c r="P9" s="48">
        <f t="shared" si="6"/>
        <v>8649.339375</v>
      </c>
      <c r="Q9" s="102"/>
      <c r="R9" s="102"/>
      <c r="S9" s="70">
        <f t="shared" si="7"/>
        <v>1789.616</v>
      </c>
      <c r="T9" s="70"/>
      <c r="U9" s="70">
        <f t="shared" si="8"/>
        <v>50.4941176470588</v>
      </c>
      <c r="V9" s="70"/>
      <c r="W9" s="70"/>
      <c r="X9" s="101">
        <f t="shared" si="1"/>
        <v>1840.11011764706</v>
      </c>
      <c r="Y9" s="84">
        <f t="shared" si="9"/>
        <v>373.916254117647</v>
      </c>
      <c r="Z9" s="84">
        <v>70.8</v>
      </c>
      <c r="AA9" s="84"/>
      <c r="AB9" s="84">
        <f t="shared" si="2"/>
        <v>444.716254117647</v>
      </c>
      <c r="AC9" s="85">
        <v>7.12</v>
      </c>
      <c r="AD9" s="70">
        <f t="shared" si="3"/>
        <v>3166.37972931765</v>
      </c>
      <c r="AE9" s="70">
        <f t="shared" si="4"/>
        <v>5006.48984696471</v>
      </c>
      <c r="AF9" s="70">
        <f t="shared" si="5"/>
        <v>3642.84952803529</v>
      </c>
    </row>
    <row r="10" s="2" customFormat="1" spans="1:32">
      <c r="A10" s="90"/>
      <c r="B10" s="47"/>
      <c r="C10" s="22">
        <v>240830000003</v>
      </c>
      <c r="D10" s="23">
        <v>45539</v>
      </c>
      <c r="E10" s="23" t="s">
        <v>59</v>
      </c>
      <c r="F10" s="47" t="s">
        <v>59</v>
      </c>
      <c r="G10" s="47" t="s">
        <v>70</v>
      </c>
      <c r="H10" s="91">
        <v>0.1448</v>
      </c>
      <c r="I10" s="91">
        <v>20</v>
      </c>
      <c r="J10" s="42">
        <v>333.6</v>
      </c>
      <c r="K10" s="85"/>
      <c r="L10" s="92"/>
      <c r="M10" s="45"/>
      <c r="N10" s="92"/>
      <c r="O10" s="47"/>
      <c r="P10" s="48">
        <f t="shared" si="10"/>
        <v>333.6</v>
      </c>
      <c r="Q10" s="102"/>
      <c r="R10" s="102"/>
      <c r="S10" s="70">
        <f t="shared" si="7"/>
        <v>109.4326</v>
      </c>
      <c r="T10" s="70"/>
      <c r="U10" s="70">
        <f t="shared" si="8"/>
        <v>3.08764705882353</v>
      </c>
      <c r="V10" s="70"/>
      <c r="W10" s="70"/>
      <c r="X10" s="101">
        <f t="shared" si="1"/>
        <v>112.520247058824</v>
      </c>
      <c r="Y10" s="84">
        <f t="shared" si="9"/>
        <v>22.8644736470588</v>
      </c>
      <c r="Z10" s="84">
        <v>5.9</v>
      </c>
      <c r="AA10" s="84"/>
      <c r="AB10" s="84">
        <f t="shared" si="2"/>
        <v>28.7644736470588</v>
      </c>
      <c r="AC10" s="85">
        <v>7.12</v>
      </c>
      <c r="AD10" s="70">
        <f t="shared" si="3"/>
        <v>204.803052367059</v>
      </c>
      <c r="AE10" s="70">
        <f t="shared" si="4"/>
        <v>317.323299425882</v>
      </c>
      <c r="AF10" s="70">
        <f t="shared" si="5"/>
        <v>16.2767005741176</v>
      </c>
    </row>
    <row r="11" s="2" customFormat="1" spans="1:32">
      <c r="A11" s="90"/>
      <c r="B11" s="47"/>
      <c r="C11" s="22">
        <v>240830000027</v>
      </c>
      <c r="D11" s="23">
        <v>45539</v>
      </c>
      <c r="E11" s="23" t="s">
        <v>71</v>
      </c>
      <c r="F11" s="47" t="s">
        <v>72</v>
      </c>
      <c r="G11" s="47" t="s">
        <v>73</v>
      </c>
      <c r="H11" s="91">
        <v>0.866</v>
      </c>
      <c r="I11" s="91">
        <v>98</v>
      </c>
      <c r="J11" s="42">
        <v>1871</v>
      </c>
      <c r="K11" s="85"/>
      <c r="L11" s="92"/>
      <c r="M11" s="45"/>
      <c r="N11" s="92"/>
      <c r="O11" s="47"/>
      <c r="P11" s="48">
        <f t="shared" si="10"/>
        <v>1871</v>
      </c>
      <c r="Q11" s="102"/>
      <c r="R11" s="102"/>
      <c r="S11" s="70">
        <f t="shared" si="7"/>
        <v>654.4795</v>
      </c>
      <c r="T11" s="70"/>
      <c r="U11" s="70">
        <f t="shared" si="8"/>
        <v>18.4661764705882</v>
      </c>
      <c r="V11" s="70"/>
      <c r="W11" s="70"/>
      <c r="X11" s="101">
        <f t="shared" si="1"/>
        <v>672.945676470588</v>
      </c>
      <c r="Y11" s="84">
        <f t="shared" si="9"/>
        <v>136.744711176471</v>
      </c>
      <c r="Z11" s="84"/>
      <c r="AA11" s="84"/>
      <c r="AB11" s="84">
        <f t="shared" si="2"/>
        <v>136.744711176471</v>
      </c>
      <c r="AC11" s="85">
        <v>7.12</v>
      </c>
      <c r="AD11" s="70">
        <f t="shared" si="3"/>
        <v>973.62234357647</v>
      </c>
      <c r="AE11" s="70">
        <f t="shared" si="4"/>
        <v>1646.56802004706</v>
      </c>
      <c r="AF11" s="70">
        <f t="shared" si="5"/>
        <v>224.431979952941</v>
      </c>
    </row>
    <row r="12" s="2" customFormat="1" spans="1:32">
      <c r="A12" s="90"/>
      <c r="B12" s="47"/>
      <c r="C12" s="22">
        <v>240830000048</v>
      </c>
      <c r="D12" s="23">
        <v>45539</v>
      </c>
      <c r="E12" s="23" t="s">
        <v>74</v>
      </c>
      <c r="F12" s="47" t="s">
        <v>75</v>
      </c>
      <c r="G12" s="47" t="s">
        <v>76</v>
      </c>
      <c r="H12" s="91">
        <v>2.146</v>
      </c>
      <c r="I12" s="91">
        <v>268</v>
      </c>
      <c r="J12" s="48"/>
      <c r="K12" s="85"/>
      <c r="L12" s="112">
        <v>640.17</v>
      </c>
      <c r="M12" s="45">
        <f>SUM(K12/N12)</f>
        <v>0</v>
      </c>
      <c r="N12" s="112">
        <v>640.17</v>
      </c>
      <c r="O12" s="47">
        <v>7.3</v>
      </c>
      <c r="P12" s="48">
        <f>SUM(N12*O12)</f>
        <v>4673.241</v>
      </c>
      <c r="Q12" s="102"/>
      <c r="R12" s="102"/>
      <c r="S12" s="70">
        <f t="shared" si="7"/>
        <v>1621.8395</v>
      </c>
      <c r="T12" s="70"/>
      <c r="U12" s="70">
        <f t="shared" si="8"/>
        <v>45.7602941176471</v>
      </c>
      <c r="V12" s="70"/>
      <c r="W12" s="70"/>
      <c r="X12" s="101">
        <f t="shared" si="1"/>
        <v>1667.59979411765</v>
      </c>
      <c r="Y12" s="84">
        <f t="shared" si="9"/>
        <v>338.861605294118</v>
      </c>
      <c r="Z12" s="84"/>
      <c r="AA12" s="84"/>
      <c r="AB12" s="84">
        <f t="shared" si="2"/>
        <v>338.861605294118</v>
      </c>
      <c r="AC12" s="85">
        <v>7.12</v>
      </c>
      <c r="AD12" s="70">
        <f t="shared" si="3"/>
        <v>2412.69462969412</v>
      </c>
      <c r="AE12" s="70">
        <f t="shared" si="4"/>
        <v>4080.29442381176</v>
      </c>
      <c r="AF12" s="70">
        <f t="shared" si="5"/>
        <v>592.946576188236</v>
      </c>
    </row>
    <row r="13" s="2" customFormat="1" spans="1:32">
      <c r="A13" s="90"/>
      <c r="B13" s="47"/>
      <c r="C13" s="22">
        <v>240728000003</v>
      </c>
      <c r="D13" s="23">
        <v>45506</v>
      </c>
      <c r="E13" s="23" t="s">
        <v>59</v>
      </c>
      <c r="F13" s="47" t="s">
        <v>59</v>
      </c>
      <c r="G13" s="47" t="s">
        <v>60</v>
      </c>
      <c r="H13" s="91">
        <v>0.42</v>
      </c>
      <c r="I13" s="91">
        <v>160</v>
      </c>
      <c r="J13" s="42">
        <v>1132</v>
      </c>
      <c r="K13" s="85"/>
      <c r="L13" s="92"/>
      <c r="M13" s="45"/>
      <c r="N13" s="92"/>
      <c r="O13" s="47"/>
      <c r="P13" s="48">
        <f t="shared" ref="P13:P17" si="11">SUBTOTAL(9,J13)</f>
        <v>1132</v>
      </c>
      <c r="Q13" s="102"/>
      <c r="R13" s="102"/>
      <c r="S13" s="70">
        <f t="shared" si="7"/>
        <v>317.415</v>
      </c>
      <c r="T13" s="70"/>
      <c r="U13" s="70">
        <f t="shared" si="8"/>
        <v>8.95588235294118</v>
      </c>
      <c r="V13" s="70"/>
      <c r="W13" s="70"/>
      <c r="X13" s="101">
        <f t="shared" si="1"/>
        <v>326.370882352941</v>
      </c>
      <c r="Y13" s="84">
        <f t="shared" si="9"/>
        <v>66.3196058823529</v>
      </c>
      <c r="Z13" s="84">
        <v>31.76</v>
      </c>
      <c r="AA13" s="84"/>
      <c r="AB13" s="84">
        <f t="shared" si="2"/>
        <v>98.0796058823529</v>
      </c>
      <c r="AC13" s="85">
        <v>7.12</v>
      </c>
      <c r="AD13" s="70">
        <f t="shared" si="3"/>
        <v>698.326793882353</v>
      </c>
      <c r="AE13" s="70">
        <f t="shared" si="4"/>
        <v>1024.69767623529</v>
      </c>
      <c r="AF13" s="70">
        <f t="shared" si="5"/>
        <v>107.302323764706</v>
      </c>
    </row>
    <row r="14" s="2" customFormat="1" spans="1:32">
      <c r="A14" s="90"/>
      <c r="B14" s="47"/>
      <c r="C14" s="22">
        <v>240904000001</v>
      </c>
      <c r="D14" s="23">
        <v>45539</v>
      </c>
      <c r="E14" s="23" t="s">
        <v>59</v>
      </c>
      <c r="F14" s="47" t="s">
        <v>59</v>
      </c>
      <c r="G14" s="47" t="s">
        <v>77</v>
      </c>
      <c r="H14" s="91">
        <v>19.05</v>
      </c>
      <c r="I14" s="91">
        <v>2484</v>
      </c>
      <c r="J14" s="42">
        <v>25671.21</v>
      </c>
      <c r="K14" s="85"/>
      <c r="L14" s="92"/>
      <c r="M14" s="45"/>
      <c r="N14" s="112"/>
      <c r="O14" s="47"/>
      <c r="P14" s="48">
        <f t="shared" si="11"/>
        <v>25671.21</v>
      </c>
      <c r="Q14" s="102"/>
      <c r="R14" s="102"/>
      <c r="S14" s="70">
        <f t="shared" si="7"/>
        <v>14397.0375</v>
      </c>
      <c r="T14" s="70"/>
      <c r="U14" s="70">
        <f t="shared" si="8"/>
        <v>406.213235294118</v>
      </c>
      <c r="V14" s="70"/>
      <c r="W14" s="70"/>
      <c r="X14" s="101">
        <f t="shared" si="1"/>
        <v>14803.2507352941</v>
      </c>
      <c r="Y14" s="84">
        <f t="shared" si="9"/>
        <v>3008.06783823529</v>
      </c>
      <c r="Z14" s="84"/>
      <c r="AA14" s="84"/>
      <c r="AB14" s="84">
        <f t="shared" si="2"/>
        <v>3008.06783823529</v>
      </c>
      <c r="AC14" s="85">
        <v>7.12</v>
      </c>
      <c r="AD14" s="70">
        <f t="shared" si="3"/>
        <v>21417.4430082353</v>
      </c>
      <c r="AE14" s="70">
        <f t="shared" si="4"/>
        <v>36220.6937435294</v>
      </c>
      <c r="AF14" s="70">
        <f t="shared" si="5"/>
        <v>-10549.4837435294</v>
      </c>
    </row>
    <row r="15" s="2" customFormat="1" spans="1:32">
      <c r="A15" s="90"/>
      <c r="B15" s="47"/>
      <c r="C15" s="22">
        <v>240904000027</v>
      </c>
      <c r="D15" s="23">
        <v>45539</v>
      </c>
      <c r="E15" s="23" t="s">
        <v>78</v>
      </c>
      <c r="F15" s="47" t="s">
        <v>79</v>
      </c>
      <c r="G15" s="47" t="s">
        <v>80</v>
      </c>
      <c r="H15" s="91">
        <v>0.057</v>
      </c>
      <c r="I15" s="91">
        <v>22</v>
      </c>
      <c r="J15" s="48"/>
      <c r="K15" s="97">
        <v>55920</v>
      </c>
      <c r="L15" s="92"/>
      <c r="M15" s="45">
        <f>SUM(K15/N15)</f>
        <v>1679.27927927928</v>
      </c>
      <c r="N15" s="46">
        <v>33.3</v>
      </c>
      <c r="O15" s="47">
        <v>7.12</v>
      </c>
      <c r="P15" s="48">
        <v>237.1</v>
      </c>
      <c r="Q15" s="103"/>
      <c r="R15" s="103"/>
      <c r="S15" s="70">
        <f t="shared" si="7"/>
        <v>43.07775</v>
      </c>
      <c r="T15" s="70"/>
      <c r="U15" s="70">
        <f t="shared" si="8"/>
        <v>1.21544117647059</v>
      </c>
      <c r="V15" s="70"/>
      <c r="W15" s="70"/>
      <c r="X15" s="101">
        <f t="shared" si="1"/>
        <v>44.2931911764706</v>
      </c>
      <c r="Y15" s="84">
        <f t="shared" si="9"/>
        <v>9.00051794117647</v>
      </c>
      <c r="Z15" s="84">
        <v>7.02</v>
      </c>
      <c r="AA15" s="84"/>
      <c r="AB15" s="84">
        <f t="shared" si="2"/>
        <v>16.0205179411765</v>
      </c>
      <c r="AC15" s="85">
        <v>7.12</v>
      </c>
      <c r="AD15" s="70">
        <f t="shared" si="3"/>
        <v>114.066087741176</v>
      </c>
      <c r="AE15" s="70">
        <f t="shared" si="4"/>
        <v>158.359278917647</v>
      </c>
      <c r="AF15" s="70">
        <f t="shared" si="5"/>
        <v>78.7407210823529</v>
      </c>
    </row>
    <row r="16" s="2" customFormat="1" spans="1:32">
      <c r="A16" s="90"/>
      <c r="B16" s="47"/>
      <c r="C16" s="22">
        <v>240904000002</v>
      </c>
      <c r="D16" s="23">
        <v>45539</v>
      </c>
      <c r="E16" s="23" t="s">
        <v>59</v>
      </c>
      <c r="F16" s="47" t="s">
        <v>59</v>
      </c>
      <c r="G16" s="47" t="s">
        <v>77</v>
      </c>
      <c r="H16" s="91">
        <v>12.5</v>
      </c>
      <c r="I16" s="91">
        <v>19</v>
      </c>
      <c r="J16" s="42">
        <v>16844.63</v>
      </c>
      <c r="K16" s="85"/>
      <c r="L16" s="92"/>
      <c r="M16" s="45"/>
      <c r="N16" s="112"/>
      <c r="O16" s="47"/>
      <c r="P16" s="48">
        <f t="shared" si="11"/>
        <v>16844.63</v>
      </c>
      <c r="Q16" s="102"/>
      <c r="R16" s="102"/>
      <c r="S16" s="70">
        <f t="shared" si="7"/>
        <v>9446.875</v>
      </c>
      <c r="T16" s="70"/>
      <c r="U16" s="70">
        <f t="shared" si="8"/>
        <v>266.544117647059</v>
      </c>
      <c r="V16" s="70"/>
      <c r="W16" s="70"/>
      <c r="X16" s="101">
        <f t="shared" si="1"/>
        <v>9713.41911764706</v>
      </c>
      <c r="Y16" s="84">
        <f t="shared" si="9"/>
        <v>1973.79779411765</v>
      </c>
      <c r="Z16" s="84"/>
      <c r="AA16" s="84"/>
      <c r="AB16" s="84">
        <f t="shared" si="2"/>
        <v>1973.79779411765</v>
      </c>
      <c r="AC16" s="85">
        <v>7.12</v>
      </c>
      <c r="AD16" s="70">
        <f t="shared" si="3"/>
        <v>14053.4402941176</v>
      </c>
      <c r="AE16" s="70">
        <f t="shared" si="4"/>
        <v>23766.8594117647</v>
      </c>
      <c r="AF16" s="70">
        <f t="shared" si="5"/>
        <v>-6922.2294117647</v>
      </c>
    </row>
    <row r="17" s="2" customFormat="1" spans="1:32">
      <c r="A17" s="90"/>
      <c r="B17" s="47"/>
      <c r="C17" s="22">
        <v>240904000021</v>
      </c>
      <c r="D17" s="23">
        <v>45539</v>
      </c>
      <c r="E17" s="23" t="s">
        <v>81</v>
      </c>
      <c r="F17" s="47" t="s">
        <v>82</v>
      </c>
      <c r="G17" s="47" t="s">
        <v>83</v>
      </c>
      <c r="H17" s="91">
        <v>0.469</v>
      </c>
      <c r="I17" s="91">
        <v>105</v>
      </c>
      <c r="J17" s="42">
        <v>959.66</v>
      </c>
      <c r="K17" s="85"/>
      <c r="L17" s="92"/>
      <c r="M17" s="45"/>
      <c r="N17" s="92"/>
      <c r="O17" s="47"/>
      <c r="P17" s="48">
        <f t="shared" si="11"/>
        <v>959.66</v>
      </c>
      <c r="Q17" s="103"/>
      <c r="R17" s="103"/>
      <c r="S17" s="70">
        <f t="shared" si="7"/>
        <v>354.44675</v>
      </c>
      <c r="T17" s="70"/>
      <c r="U17" s="70">
        <f t="shared" si="8"/>
        <v>10.0007352941176</v>
      </c>
      <c r="V17" s="70"/>
      <c r="W17" s="70"/>
      <c r="X17" s="101">
        <f t="shared" si="1"/>
        <v>364.447485294118</v>
      </c>
      <c r="Y17" s="84">
        <f t="shared" si="9"/>
        <v>74.0568932352941</v>
      </c>
      <c r="Z17" s="84"/>
      <c r="AA17" s="84"/>
      <c r="AB17" s="84">
        <f t="shared" si="2"/>
        <v>74.0568932352941</v>
      </c>
      <c r="AC17" s="85">
        <v>7.12</v>
      </c>
      <c r="AD17" s="70">
        <f t="shared" si="3"/>
        <v>527.285079835294</v>
      </c>
      <c r="AE17" s="70">
        <f t="shared" si="4"/>
        <v>891.732565129412</v>
      </c>
      <c r="AF17" s="70">
        <f t="shared" si="5"/>
        <v>67.9274348705884</v>
      </c>
    </row>
    <row r="18" ht="15.75" spans="1:32">
      <c r="A18" s="25" t="s">
        <v>26</v>
      </c>
      <c r="B18" s="26"/>
      <c r="C18" s="26"/>
      <c r="D18" s="26"/>
      <c r="E18" s="26"/>
      <c r="F18" s="26"/>
      <c r="G18" s="26"/>
      <c r="H18" s="26"/>
      <c r="I18" s="49"/>
      <c r="J18" s="26">
        <f>SUM(J4:J4)</f>
        <v>0</v>
      </c>
      <c r="K18" s="50"/>
      <c r="L18" s="51"/>
      <c r="M18" s="50"/>
      <c r="N18" s="50">
        <f t="shared" ref="N18:Q18" si="12">SUM(N4:N4)</f>
        <v>0</v>
      </c>
      <c r="O18" s="26"/>
      <c r="P18" s="26">
        <f t="shared" si="12"/>
        <v>0</v>
      </c>
      <c r="Q18" s="26">
        <f t="shared" si="12"/>
        <v>0</v>
      </c>
      <c r="R18" s="26"/>
      <c r="S18" s="26"/>
      <c r="T18" s="26"/>
      <c r="U18" s="26"/>
      <c r="V18" s="26"/>
      <c r="W18" s="26"/>
      <c r="X18" s="72">
        <f>SUM(X4:X4)</f>
        <v>0</v>
      </c>
      <c r="Y18" s="51"/>
      <c r="Z18" s="51"/>
      <c r="AA18" s="51"/>
      <c r="AB18" s="51"/>
      <c r="AC18" s="50"/>
      <c r="AD18" s="26">
        <f>SUM(AD4:AD4)</f>
        <v>0</v>
      </c>
      <c r="AE18" s="26"/>
      <c r="AF18" s="86">
        <f>SUM(AF4:AF17)</f>
        <v>-3667.93548945174</v>
      </c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</sheetData>
  <autoFilter xmlns:etc="http://www.wps.cn/officeDocument/2017/etCustomData" ref="A3:AF18" etc:filterBottomFollowUsedRange="0">
    <extLst/>
  </autoFilter>
  <mergeCells count="21">
    <mergeCell ref="A1:AF1"/>
    <mergeCell ref="J3:P3"/>
    <mergeCell ref="R3:V3"/>
    <mergeCell ref="Y3:AD3"/>
    <mergeCell ref="A3:A4"/>
    <mergeCell ref="A5:A17"/>
    <mergeCell ref="B3:B4"/>
    <mergeCell ref="B5:B17"/>
    <mergeCell ref="C3:C4"/>
    <mergeCell ref="D3:D4"/>
    <mergeCell ref="E3:E4"/>
    <mergeCell ref="F3:F4"/>
    <mergeCell ref="G3:G4"/>
    <mergeCell ref="H3:H4"/>
    <mergeCell ref="I3:I4"/>
    <mergeCell ref="Q3:Q4"/>
    <mergeCell ref="Q5:Q17"/>
    <mergeCell ref="R5:R17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72.4455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6</v>
      </c>
      <c r="B5" s="47" t="s">
        <v>7</v>
      </c>
      <c r="C5" s="22">
        <v>240828000043</v>
      </c>
      <c r="D5" s="23">
        <v>45539</v>
      </c>
      <c r="E5" s="23" t="s">
        <v>66</v>
      </c>
      <c r="F5" s="47" t="s">
        <v>67</v>
      </c>
      <c r="G5" s="47" t="s">
        <v>84</v>
      </c>
      <c r="H5" s="91">
        <v>6.8939</v>
      </c>
      <c r="I5" s="91">
        <v>3722</v>
      </c>
      <c r="J5" s="48"/>
      <c r="K5" s="97">
        <v>3417687</v>
      </c>
      <c r="L5" s="92"/>
      <c r="M5" s="45">
        <f>SUM(K5/N5)</f>
        <v>1690</v>
      </c>
      <c r="N5" s="112">
        <v>2022.3</v>
      </c>
      <c r="O5" s="47">
        <v>7.3</v>
      </c>
      <c r="P5" s="48">
        <f>SUM(N5*O5)</f>
        <v>14762.79</v>
      </c>
      <c r="Q5" s="99">
        <f>SUM(P5:P15)</f>
        <v>153607.2887292</v>
      </c>
      <c r="R5" s="100" t="s">
        <v>85</v>
      </c>
      <c r="S5" s="70">
        <f>SUM(50249/68)*H5</f>
        <v>5094.28795735294</v>
      </c>
      <c r="T5" s="114">
        <f>SUM(116.62/68)*H5</f>
        <v>11.8230385</v>
      </c>
      <c r="U5" s="70">
        <f>SUM(1750/68)*H5</f>
        <v>177.416544117647</v>
      </c>
      <c r="V5" s="70"/>
      <c r="W5" s="70"/>
      <c r="X5" s="101">
        <f t="shared" ref="X5:X55" si="0">SUM(S5:W5)</f>
        <v>5283.52753997059</v>
      </c>
      <c r="Y5" s="84">
        <f>SUM(10737.46/68)*H5</f>
        <v>1088.57316902941</v>
      </c>
      <c r="Z5" s="84">
        <v>91.45</v>
      </c>
      <c r="AA5" s="84">
        <f>SUM(70.8/68)*H5</f>
        <v>7.17776647058823</v>
      </c>
      <c r="AB5" s="84">
        <f t="shared" ref="AB5:AB55" si="1">SUM(Y5:AA5)</f>
        <v>1187.2009355</v>
      </c>
      <c r="AC5" s="85">
        <v>7.12</v>
      </c>
      <c r="AD5" s="70">
        <f t="shared" ref="AD5:AD55" si="2">SUM(AB5*AC5)</f>
        <v>8452.87066076</v>
      </c>
      <c r="AE5" s="70">
        <f t="shared" ref="AE5:AE55" si="3">SUM(X5+AD5)</f>
        <v>13736.3982007306</v>
      </c>
      <c r="AF5" s="70">
        <f t="shared" ref="AF5:AF55" si="4">SUM(P5-AE5)</f>
        <v>1026.39179926941</v>
      </c>
    </row>
    <row r="6" s="2" customFormat="1" spans="1:32">
      <c r="A6" s="90"/>
      <c r="B6" s="47"/>
      <c r="C6" s="22">
        <v>240828000069</v>
      </c>
      <c r="D6" s="23">
        <v>45539</v>
      </c>
      <c r="E6" s="23" t="s">
        <v>81</v>
      </c>
      <c r="F6" s="47" t="s">
        <v>82</v>
      </c>
      <c r="G6" s="47" t="s">
        <v>86</v>
      </c>
      <c r="H6" s="91">
        <v>3.615</v>
      </c>
      <c r="I6" s="91">
        <v>1442</v>
      </c>
      <c r="J6" s="42">
        <v>9176.76</v>
      </c>
      <c r="K6" s="85"/>
      <c r="L6" s="92"/>
      <c r="M6" s="45"/>
      <c r="N6" s="93"/>
      <c r="O6" s="47"/>
      <c r="P6" s="48">
        <f t="shared" ref="P6:P11" si="5">SUBTOTAL(9,J6)</f>
        <v>9176.76</v>
      </c>
      <c r="Q6" s="102"/>
      <c r="R6" s="102"/>
      <c r="S6" s="70">
        <f t="shared" ref="S6:S15" si="6">SUM(50249/68)*H6</f>
        <v>2671.32551470588</v>
      </c>
      <c r="T6" s="114">
        <f t="shared" ref="T6:T15" si="7">SUM(116.62/68)*H6</f>
        <v>6.199725</v>
      </c>
      <c r="U6" s="70">
        <f t="shared" ref="U6:U15" si="8">SUM(1750/68)*H6</f>
        <v>93.0330882352941</v>
      </c>
      <c r="V6" s="70"/>
      <c r="W6" s="70"/>
      <c r="X6" s="101">
        <f t="shared" si="0"/>
        <v>2770.55832794118</v>
      </c>
      <c r="Y6" s="84">
        <f t="shared" ref="Y6:Y15" si="9">SUM(10737.46/68)*H6</f>
        <v>570.822322058823</v>
      </c>
      <c r="Z6" s="96">
        <v>100.29</v>
      </c>
      <c r="AA6" s="84">
        <f t="shared" ref="AA6:AA15" si="10">SUM(70.8/68)*H6</f>
        <v>3.76385294117647</v>
      </c>
      <c r="AB6" s="84">
        <f t="shared" si="1"/>
        <v>674.876175</v>
      </c>
      <c r="AC6" s="85">
        <v>7.12</v>
      </c>
      <c r="AD6" s="70">
        <f t="shared" si="2"/>
        <v>4805.118366</v>
      </c>
      <c r="AE6" s="70">
        <f t="shared" si="3"/>
        <v>7575.67669394118</v>
      </c>
      <c r="AF6" s="70">
        <f t="shared" si="4"/>
        <v>1601.08330605882</v>
      </c>
    </row>
    <row r="7" s="2" customFormat="1" spans="1:32">
      <c r="A7" s="90"/>
      <c r="B7" s="47"/>
      <c r="C7" s="22">
        <v>240819000017</v>
      </c>
      <c r="D7" s="23">
        <v>45516</v>
      </c>
      <c r="E7" s="23" t="s">
        <v>66</v>
      </c>
      <c r="F7" s="47" t="s">
        <v>67</v>
      </c>
      <c r="G7" s="47" t="s">
        <v>87</v>
      </c>
      <c r="H7" s="91">
        <v>4.904</v>
      </c>
      <c r="I7" s="91">
        <v>848</v>
      </c>
      <c r="J7" s="42">
        <v>10475</v>
      </c>
      <c r="K7" s="85"/>
      <c r="L7" s="92"/>
      <c r="M7" s="45"/>
      <c r="N7" s="92"/>
      <c r="O7" s="47"/>
      <c r="P7" s="48">
        <f t="shared" si="5"/>
        <v>10475</v>
      </c>
      <c r="Q7" s="102"/>
      <c r="R7" s="102"/>
      <c r="S7" s="70">
        <f t="shared" si="6"/>
        <v>3623.83964705882</v>
      </c>
      <c r="T7" s="114">
        <f t="shared" si="7"/>
        <v>8.41036</v>
      </c>
      <c r="U7" s="70">
        <f t="shared" si="8"/>
        <v>126.205882352941</v>
      </c>
      <c r="V7" s="70"/>
      <c r="W7" s="70"/>
      <c r="X7" s="101">
        <f t="shared" si="0"/>
        <v>3758.45588941176</v>
      </c>
      <c r="Y7" s="84">
        <f t="shared" si="9"/>
        <v>774.360350588235</v>
      </c>
      <c r="Z7" s="84"/>
      <c r="AA7" s="84">
        <f t="shared" si="10"/>
        <v>5.1059294117647</v>
      </c>
      <c r="AB7" s="84">
        <f t="shared" si="1"/>
        <v>779.46628</v>
      </c>
      <c r="AC7" s="85">
        <v>7.12</v>
      </c>
      <c r="AD7" s="70">
        <f t="shared" si="2"/>
        <v>5549.7999136</v>
      </c>
      <c r="AE7" s="70">
        <f t="shared" si="3"/>
        <v>9308.25580301176</v>
      </c>
      <c r="AF7" s="70">
        <f t="shared" si="4"/>
        <v>1166.74419698824</v>
      </c>
    </row>
    <row r="8" s="2" customFormat="1" spans="1:32">
      <c r="A8" s="90"/>
      <c r="B8" s="47"/>
      <c r="C8" s="22">
        <v>240902000041</v>
      </c>
      <c r="D8" s="23">
        <v>45539</v>
      </c>
      <c r="E8" s="23" t="s">
        <v>88</v>
      </c>
      <c r="F8" s="47" t="s">
        <v>89</v>
      </c>
      <c r="G8" s="47" t="s">
        <v>90</v>
      </c>
      <c r="H8" s="91">
        <v>0.5458</v>
      </c>
      <c r="I8" s="91">
        <v>230</v>
      </c>
      <c r="J8" s="48"/>
      <c r="K8" s="97">
        <v>436950</v>
      </c>
      <c r="L8" s="92"/>
      <c r="M8" s="45">
        <f>SUM(K8/N8)</f>
        <v>1779.040013804</v>
      </c>
      <c r="N8" s="112">
        <v>245.60999</v>
      </c>
      <c r="O8" s="47">
        <v>7.08</v>
      </c>
      <c r="P8" s="48">
        <f>SUM(N8*O8)</f>
        <v>1738.9187292</v>
      </c>
      <c r="Q8" s="102"/>
      <c r="R8" s="102"/>
      <c r="S8" s="70">
        <f t="shared" si="6"/>
        <v>403.322120588235</v>
      </c>
      <c r="T8" s="114">
        <f t="shared" si="7"/>
        <v>0.936047</v>
      </c>
      <c r="U8" s="70">
        <f t="shared" si="8"/>
        <v>14.0463235294118</v>
      </c>
      <c r="V8" s="70"/>
      <c r="W8" s="70"/>
      <c r="X8" s="101">
        <f t="shared" si="0"/>
        <v>418.304491117647</v>
      </c>
      <c r="Y8" s="84">
        <f t="shared" si="9"/>
        <v>86.1839068823529</v>
      </c>
      <c r="Z8" s="84"/>
      <c r="AA8" s="84">
        <f t="shared" si="10"/>
        <v>0.568274117647059</v>
      </c>
      <c r="AB8" s="84">
        <f t="shared" si="1"/>
        <v>86.752181</v>
      </c>
      <c r="AC8" s="85">
        <v>7.12</v>
      </c>
      <c r="AD8" s="70">
        <f t="shared" si="2"/>
        <v>617.67552872</v>
      </c>
      <c r="AE8" s="70">
        <f t="shared" si="3"/>
        <v>1035.98001983765</v>
      </c>
      <c r="AF8" s="70">
        <f t="shared" si="4"/>
        <v>702.938709362353</v>
      </c>
    </row>
    <row r="9" s="2" customFormat="1" spans="1:32">
      <c r="A9" s="90"/>
      <c r="B9" s="47"/>
      <c r="C9" s="22">
        <v>240902000057</v>
      </c>
      <c r="D9" s="23">
        <v>45539</v>
      </c>
      <c r="E9" s="23" t="s">
        <v>81</v>
      </c>
      <c r="F9" s="47" t="s">
        <v>82</v>
      </c>
      <c r="G9" s="47" t="s">
        <v>91</v>
      </c>
      <c r="H9" s="91">
        <v>0.2102</v>
      </c>
      <c r="I9" s="91">
        <v>74</v>
      </c>
      <c r="J9" s="42">
        <v>573.06</v>
      </c>
      <c r="K9" s="85"/>
      <c r="L9" s="92"/>
      <c r="M9" s="45"/>
      <c r="N9" s="92"/>
      <c r="O9" s="47"/>
      <c r="P9" s="48">
        <f t="shared" si="5"/>
        <v>573.06</v>
      </c>
      <c r="Q9" s="102"/>
      <c r="R9" s="102"/>
      <c r="S9" s="70">
        <f t="shared" si="6"/>
        <v>155.328526470588</v>
      </c>
      <c r="T9" s="114">
        <f t="shared" si="7"/>
        <v>0.360493</v>
      </c>
      <c r="U9" s="70">
        <f t="shared" si="8"/>
        <v>5.40955882352941</v>
      </c>
      <c r="V9" s="70"/>
      <c r="W9" s="70"/>
      <c r="X9" s="101">
        <f t="shared" si="0"/>
        <v>161.098578294118</v>
      </c>
      <c r="Y9" s="84">
        <f t="shared" si="9"/>
        <v>33.1913837058823</v>
      </c>
      <c r="Z9" s="84"/>
      <c r="AA9" s="84">
        <f t="shared" si="10"/>
        <v>0.218855294117647</v>
      </c>
      <c r="AB9" s="84">
        <f t="shared" si="1"/>
        <v>33.410239</v>
      </c>
      <c r="AC9" s="85">
        <v>7.12</v>
      </c>
      <c r="AD9" s="70">
        <f t="shared" si="2"/>
        <v>237.88090168</v>
      </c>
      <c r="AE9" s="70">
        <f t="shared" si="3"/>
        <v>398.979479974118</v>
      </c>
      <c r="AF9" s="70">
        <f t="shared" si="4"/>
        <v>174.080520025882</v>
      </c>
    </row>
    <row r="10" s="2" customFormat="1" spans="1:32">
      <c r="A10" s="90"/>
      <c r="B10" s="47"/>
      <c r="C10" s="22">
        <v>240903000009</v>
      </c>
      <c r="D10" s="23">
        <v>45539</v>
      </c>
      <c r="E10" s="23" t="s">
        <v>59</v>
      </c>
      <c r="F10" s="47" t="s">
        <v>59</v>
      </c>
      <c r="G10" s="47" t="s">
        <v>92</v>
      </c>
      <c r="H10" s="91">
        <v>0.2574</v>
      </c>
      <c r="I10" s="91">
        <v>150</v>
      </c>
      <c r="J10" s="42">
        <v>630.11</v>
      </c>
      <c r="K10" s="85"/>
      <c r="L10" s="92"/>
      <c r="M10" s="45"/>
      <c r="N10" s="92"/>
      <c r="O10" s="47"/>
      <c r="P10" s="48">
        <f t="shared" si="5"/>
        <v>630.11</v>
      </c>
      <c r="Q10" s="102"/>
      <c r="R10" s="102"/>
      <c r="S10" s="70">
        <f t="shared" si="6"/>
        <v>190.207244117647</v>
      </c>
      <c r="T10" s="114">
        <f t="shared" si="7"/>
        <v>0.441441</v>
      </c>
      <c r="U10" s="70">
        <f t="shared" si="8"/>
        <v>6.62426470588235</v>
      </c>
      <c r="V10" s="70"/>
      <c r="W10" s="70"/>
      <c r="X10" s="101">
        <f t="shared" si="0"/>
        <v>197.272949823529</v>
      </c>
      <c r="Y10" s="84">
        <f t="shared" si="9"/>
        <v>40.6444441764706</v>
      </c>
      <c r="Z10" s="84"/>
      <c r="AA10" s="84">
        <f t="shared" si="10"/>
        <v>0.267998823529412</v>
      </c>
      <c r="AB10" s="84">
        <f t="shared" si="1"/>
        <v>40.912443</v>
      </c>
      <c r="AC10" s="85">
        <v>7.12</v>
      </c>
      <c r="AD10" s="70">
        <f t="shared" si="2"/>
        <v>291.29659416</v>
      </c>
      <c r="AE10" s="70">
        <f t="shared" si="3"/>
        <v>488.569543983529</v>
      </c>
      <c r="AF10" s="70">
        <f t="shared" si="4"/>
        <v>141.540456016471</v>
      </c>
    </row>
    <row r="11" s="2" customFormat="1" spans="1:32">
      <c r="A11" s="90"/>
      <c r="B11" s="47"/>
      <c r="C11" s="22">
        <v>240903000015</v>
      </c>
      <c r="D11" s="23">
        <v>45539</v>
      </c>
      <c r="E11" s="23" t="s">
        <v>88</v>
      </c>
      <c r="F11" s="47" t="s">
        <v>89</v>
      </c>
      <c r="G11" s="47" t="s">
        <v>93</v>
      </c>
      <c r="H11" s="91">
        <v>0.42</v>
      </c>
      <c r="I11" s="91">
        <v>62</v>
      </c>
      <c r="J11" s="42">
        <v>959.18</v>
      </c>
      <c r="K11" s="85"/>
      <c r="L11" s="92"/>
      <c r="M11" s="45"/>
      <c r="N11" s="92"/>
      <c r="O11" s="47"/>
      <c r="P11" s="48">
        <f t="shared" si="5"/>
        <v>959.18</v>
      </c>
      <c r="Q11" s="102"/>
      <c r="R11" s="102"/>
      <c r="S11" s="70">
        <f t="shared" si="6"/>
        <v>310.361470588235</v>
      </c>
      <c r="T11" s="114">
        <f t="shared" si="7"/>
        <v>0.7203</v>
      </c>
      <c r="U11" s="70">
        <f t="shared" si="8"/>
        <v>10.8088235294118</v>
      </c>
      <c r="V11" s="70"/>
      <c r="W11" s="70"/>
      <c r="X11" s="101">
        <f t="shared" si="0"/>
        <v>321.890594117647</v>
      </c>
      <c r="Y11" s="84">
        <f t="shared" si="9"/>
        <v>66.3196058823529</v>
      </c>
      <c r="Z11" s="84"/>
      <c r="AA11" s="84">
        <f t="shared" si="10"/>
        <v>0.437294117647059</v>
      </c>
      <c r="AB11" s="84">
        <f t="shared" si="1"/>
        <v>66.7569</v>
      </c>
      <c r="AC11" s="85">
        <v>7.12</v>
      </c>
      <c r="AD11" s="70">
        <f t="shared" si="2"/>
        <v>475.309128</v>
      </c>
      <c r="AE11" s="70">
        <f t="shared" si="3"/>
        <v>797.199722117647</v>
      </c>
      <c r="AF11" s="70">
        <f t="shared" si="4"/>
        <v>161.980277882353</v>
      </c>
    </row>
    <row r="12" s="2" customFormat="1" spans="1:32">
      <c r="A12" s="90"/>
      <c r="B12" s="47"/>
      <c r="C12" s="22">
        <v>240902000056</v>
      </c>
      <c r="D12" s="23">
        <v>45547</v>
      </c>
      <c r="E12" s="23" t="s">
        <v>66</v>
      </c>
      <c r="F12" s="47" t="s">
        <v>67</v>
      </c>
      <c r="G12" s="47" t="s">
        <v>94</v>
      </c>
      <c r="H12" s="91">
        <v>0.512</v>
      </c>
      <c r="I12" s="91">
        <v>51</v>
      </c>
      <c r="J12" s="48"/>
      <c r="K12" s="97">
        <v>289240</v>
      </c>
      <c r="L12" s="92"/>
      <c r="M12" s="45">
        <f>SUM(K12/N12)</f>
        <v>1752.9696969697</v>
      </c>
      <c r="N12" s="46">
        <v>165</v>
      </c>
      <c r="O12" s="47">
        <v>7.23</v>
      </c>
      <c r="P12" s="48">
        <f>SUM(N12*O12)</f>
        <v>1192.95</v>
      </c>
      <c r="Q12" s="102"/>
      <c r="R12" s="102"/>
      <c r="S12" s="70">
        <f t="shared" si="6"/>
        <v>378.345411764706</v>
      </c>
      <c r="T12" s="114">
        <f t="shared" si="7"/>
        <v>0.87808</v>
      </c>
      <c r="U12" s="70">
        <f t="shared" si="8"/>
        <v>13.1764705882353</v>
      </c>
      <c r="V12" s="114"/>
      <c r="W12" s="70"/>
      <c r="X12" s="101">
        <f t="shared" si="0"/>
        <v>392.399962352941</v>
      </c>
      <c r="Y12" s="84">
        <f t="shared" si="9"/>
        <v>80.8467576470588</v>
      </c>
      <c r="Z12" s="84"/>
      <c r="AA12" s="84">
        <f t="shared" si="10"/>
        <v>0.533082352941176</v>
      </c>
      <c r="AB12" s="84">
        <f t="shared" si="1"/>
        <v>81.37984</v>
      </c>
      <c r="AC12" s="85">
        <v>7.12</v>
      </c>
      <c r="AD12" s="70">
        <f t="shared" si="2"/>
        <v>579.4244608</v>
      </c>
      <c r="AE12" s="70">
        <f t="shared" si="3"/>
        <v>971.824423152941</v>
      </c>
      <c r="AF12" s="70">
        <f t="shared" si="4"/>
        <v>221.125576847059</v>
      </c>
    </row>
    <row r="13" s="2" customFormat="1" spans="1:32">
      <c r="A13" s="90"/>
      <c r="B13" s="47"/>
      <c r="C13" s="22">
        <v>240813000017</v>
      </c>
      <c r="D13" s="23">
        <v>45539</v>
      </c>
      <c r="E13" s="23" t="s">
        <v>59</v>
      </c>
      <c r="F13" s="47" t="s">
        <v>59</v>
      </c>
      <c r="G13" s="47" t="s">
        <v>95</v>
      </c>
      <c r="H13" s="91">
        <v>21.51</v>
      </c>
      <c r="I13" s="91">
        <v>13906</v>
      </c>
      <c r="J13" s="42">
        <v>59293</v>
      </c>
      <c r="K13" s="85"/>
      <c r="L13" s="92"/>
      <c r="M13" s="45"/>
      <c r="N13" s="92"/>
      <c r="O13" s="47"/>
      <c r="P13" s="48">
        <f>SUBTOTAL(9,J13)</f>
        <v>59293</v>
      </c>
      <c r="Q13" s="103"/>
      <c r="R13" s="103"/>
      <c r="S13" s="70">
        <f t="shared" si="6"/>
        <v>15894.9410294118</v>
      </c>
      <c r="T13" s="114">
        <f t="shared" si="7"/>
        <v>36.88965</v>
      </c>
      <c r="U13" s="70">
        <f t="shared" si="8"/>
        <v>553.566176470588</v>
      </c>
      <c r="V13" s="114">
        <v>500</v>
      </c>
      <c r="W13" s="70"/>
      <c r="X13" s="101">
        <f t="shared" si="0"/>
        <v>16985.3968558824</v>
      </c>
      <c r="Y13" s="84">
        <f t="shared" si="9"/>
        <v>3396.51124411765</v>
      </c>
      <c r="Z13" s="84">
        <v>1415.93</v>
      </c>
      <c r="AA13" s="84">
        <f t="shared" si="10"/>
        <v>22.3957058823529</v>
      </c>
      <c r="AB13" s="84">
        <f t="shared" si="1"/>
        <v>4834.83695</v>
      </c>
      <c r="AC13" s="85">
        <v>7.12</v>
      </c>
      <c r="AD13" s="70">
        <f t="shared" si="2"/>
        <v>34424.039084</v>
      </c>
      <c r="AE13" s="70">
        <f t="shared" si="3"/>
        <v>51409.4359398824</v>
      </c>
      <c r="AF13" s="70">
        <f t="shared" si="4"/>
        <v>7883.56406011765</v>
      </c>
    </row>
    <row r="14" s="2" customFormat="1" spans="1:32">
      <c r="A14" s="90"/>
      <c r="B14" s="47"/>
      <c r="C14" s="22">
        <v>240828000061</v>
      </c>
      <c r="D14" s="23">
        <v>45539</v>
      </c>
      <c r="E14" s="23" t="s">
        <v>59</v>
      </c>
      <c r="F14" s="47" t="s">
        <v>59</v>
      </c>
      <c r="G14" s="47" t="s">
        <v>96</v>
      </c>
      <c r="H14" s="91">
        <v>2.6171</v>
      </c>
      <c r="I14" s="91">
        <v>719.5</v>
      </c>
      <c r="J14" s="42">
        <v>5838</v>
      </c>
      <c r="K14" s="85"/>
      <c r="L14" s="92"/>
      <c r="M14" s="45"/>
      <c r="N14" s="92"/>
      <c r="O14" s="47"/>
      <c r="P14" s="48">
        <f>SUBTOTAL(9,J14)</f>
        <v>5838</v>
      </c>
      <c r="Q14" s="103"/>
      <c r="R14" s="103"/>
      <c r="S14" s="70">
        <f t="shared" si="6"/>
        <v>1933.92143970588</v>
      </c>
      <c r="T14" s="114">
        <f t="shared" si="7"/>
        <v>4.4883265</v>
      </c>
      <c r="U14" s="70">
        <f t="shared" si="8"/>
        <v>67.3518382352941</v>
      </c>
      <c r="V14" s="70"/>
      <c r="W14" s="70"/>
      <c r="X14" s="101">
        <f t="shared" si="0"/>
        <v>2005.76160444118</v>
      </c>
      <c r="Y14" s="84">
        <f t="shared" si="9"/>
        <v>413.250096558823</v>
      </c>
      <c r="Z14" s="84"/>
      <c r="AA14" s="84">
        <f t="shared" si="10"/>
        <v>2.72486294117647</v>
      </c>
      <c r="AB14" s="84">
        <f t="shared" si="1"/>
        <v>415.9749595</v>
      </c>
      <c r="AC14" s="85">
        <v>7.12</v>
      </c>
      <c r="AD14" s="70">
        <f t="shared" si="2"/>
        <v>2961.74171164</v>
      </c>
      <c r="AE14" s="70">
        <f t="shared" si="3"/>
        <v>4967.50331608118</v>
      </c>
      <c r="AF14" s="70">
        <f t="shared" si="4"/>
        <v>870.496683918824</v>
      </c>
    </row>
    <row r="15" s="2" customFormat="1" spans="1:32">
      <c r="A15" s="90"/>
      <c r="B15" s="47"/>
      <c r="C15" s="22">
        <v>240904000002</v>
      </c>
      <c r="D15" s="23">
        <v>45539</v>
      </c>
      <c r="E15" s="23" t="s">
        <v>59</v>
      </c>
      <c r="F15" s="47" t="s">
        <v>59</v>
      </c>
      <c r="G15" s="47" t="s">
        <v>77</v>
      </c>
      <c r="H15" s="91">
        <v>30.96</v>
      </c>
      <c r="I15" s="91">
        <v>3682.5</v>
      </c>
      <c r="J15" s="42">
        <v>48967.52</v>
      </c>
      <c r="K15" s="85"/>
      <c r="L15" s="92"/>
      <c r="M15" s="45"/>
      <c r="N15" s="112"/>
      <c r="O15" s="47"/>
      <c r="P15" s="48">
        <f>SUBTOTAL(9,J15)</f>
        <v>48967.52</v>
      </c>
      <c r="Q15" s="103"/>
      <c r="R15" s="103"/>
      <c r="S15" s="70">
        <f t="shared" si="6"/>
        <v>22878.0741176471</v>
      </c>
      <c r="T15" s="114">
        <f t="shared" si="7"/>
        <v>53.0964</v>
      </c>
      <c r="U15" s="70">
        <f t="shared" si="8"/>
        <v>796.764705882353</v>
      </c>
      <c r="V15" s="70"/>
      <c r="W15" s="70"/>
      <c r="X15" s="101">
        <f t="shared" si="0"/>
        <v>23727.9352235294</v>
      </c>
      <c r="Y15" s="84">
        <f t="shared" si="9"/>
        <v>4888.70237647059</v>
      </c>
      <c r="Z15" s="84"/>
      <c r="AA15" s="84">
        <f t="shared" si="10"/>
        <v>32.2348235294118</v>
      </c>
      <c r="AB15" s="84">
        <f t="shared" si="1"/>
        <v>4920.9372</v>
      </c>
      <c r="AC15" s="85">
        <v>7.12</v>
      </c>
      <c r="AD15" s="70">
        <f t="shared" si="2"/>
        <v>35037.072864</v>
      </c>
      <c r="AE15" s="70">
        <f t="shared" si="3"/>
        <v>58765.0080875294</v>
      </c>
      <c r="AF15" s="70">
        <f t="shared" si="4"/>
        <v>-9797.48808752941</v>
      </c>
    </row>
    <row r="16" ht="15.75" spans="1:32">
      <c r="A16" s="25" t="s">
        <v>26</v>
      </c>
      <c r="B16" s="26"/>
      <c r="C16" s="26"/>
      <c r="D16" s="26"/>
      <c r="E16" s="26"/>
      <c r="F16" s="26"/>
      <c r="G16" s="26"/>
      <c r="H16" s="26"/>
      <c r="I16" s="49"/>
      <c r="J16" s="26">
        <f>SUM(J4:J4)</f>
        <v>0</v>
      </c>
      <c r="K16" s="50"/>
      <c r="L16" s="51"/>
      <c r="M16" s="50"/>
      <c r="N16" s="50">
        <f t="shared" ref="N16:Q16" si="11">SUM(N4:N4)</f>
        <v>0</v>
      </c>
      <c r="O16" s="26"/>
      <c r="P16" s="26">
        <f t="shared" si="11"/>
        <v>0</v>
      </c>
      <c r="Q16" s="26">
        <f t="shared" si="11"/>
        <v>0</v>
      </c>
      <c r="R16" s="26"/>
      <c r="S16" s="26"/>
      <c r="T16" s="26"/>
      <c r="U16" s="26"/>
      <c r="V16" s="26"/>
      <c r="W16" s="26"/>
      <c r="X16" s="72">
        <f>SUM(X4:X4)</f>
        <v>0</v>
      </c>
      <c r="Y16" s="51"/>
      <c r="Z16" s="51"/>
      <c r="AA16" s="51"/>
      <c r="AB16" s="51"/>
      <c r="AC16" s="50"/>
      <c r="AD16" s="26">
        <f>SUM(AD4:AD4)</f>
        <v>0</v>
      </c>
      <c r="AE16" s="26"/>
      <c r="AF16" s="86">
        <f>SUM(AF4:AF15)</f>
        <v>4152.45749895765</v>
      </c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</sheetData>
  <autoFilter xmlns:etc="http://www.wps.cn/officeDocument/2017/etCustomData" ref="A3:AF16" etc:filterBottomFollowUsedRange="0">
    <extLst/>
  </autoFilter>
  <mergeCells count="21">
    <mergeCell ref="A1:AF1"/>
    <mergeCell ref="J3:P3"/>
    <mergeCell ref="R3:V3"/>
    <mergeCell ref="Y3:AD3"/>
    <mergeCell ref="A3:A4"/>
    <mergeCell ref="A5:A15"/>
    <mergeCell ref="B3:B4"/>
    <mergeCell ref="B5:B15"/>
    <mergeCell ref="C3:C4"/>
    <mergeCell ref="D3:D4"/>
    <mergeCell ref="E3:E4"/>
    <mergeCell ref="F3:F4"/>
    <mergeCell ref="G3:G4"/>
    <mergeCell ref="H3:H4"/>
    <mergeCell ref="I3:I4"/>
    <mergeCell ref="Q3:Q4"/>
    <mergeCell ref="Q5:Q15"/>
    <mergeCell ref="R5:R1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68.2656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8</v>
      </c>
      <c r="B5" s="47" t="s">
        <v>9</v>
      </c>
      <c r="C5" s="22">
        <v>240726000055</v>
      </c>
      <c r="D5" s="23">
        <v>45547</v>
      </c>
      <c r="E5" s="23" t="s">
        <v>59</v>
      </c>
      <c r="F5" s="47" t="s">
        <v>59</v>
      </c>
      <c r="G5" s="47" t="s">
        <v>97</v>
      </c>
      <c r="H5" s="91">
        <v>5.09</v>
      </c>
      <c r="I5" s="91">
        <v>677</v>
      </c>
      <c r="J5" s="42">
        <v>13067</v>
      </c>
      <c r="K5" s="85"/>
      <c r="L5" s="92"/>
      <c r="M5" s="45"/>
      <c r="N5" s="93"/>
      <c r="O5" s="47"/>
      <c r="P5" s="48">
        <f>SUBTOTAL(9,J5)</f>
        <v>13067</v>
      </c>
      <c r="Q5" s="99">
        <f>SUM(P5:P29)</f>
        <v>158115.1681396</v>
      </c>
      <c r="R5" s="100" t="s">
        <v>98</v>
      </c>
      <c r="S5" s="70">
        <f>SUM(44738/68)*H5</f>
        <v>3348.77088235294</v>
      </c>
      <c r="T5" s="70"/>
      <c r="U5" s="70">
        <f>SUM(1300/68)*H5</f>
        <v>97.3088235294118</v>
      </c>
      <c r="V5" s="70"/>
      <c r="W5" s="70"/>
      <c r="X5" s="101">
        <f t="shared" ref="X5:X44" si="0">SUM(S5:W5)</f>
        <v>3446.07970588235</v>
      </c>
      <c r="Y5" s="84">
        <f>SUM(10737.46/68)*H5</f>
        <v>803.730461764706</v>
      </c>
      <c r="Z5" s="84">
        <v>47.2</v>
      </c>
      <c r="AA5" s="84"/>
      <c r="AB5" s="84">
        <f t="shared" ref="AB5:AB44" si="1">SUM(Y5:AA5)</f>
        <v>850.930461764706</v>
      </c>
      <c r="AC5" s="85">
        <v>7.12</v>
      </c>
      <c r="AD5" s="70">
        <f t="shared" ref="AD5:AD44" si="2">SUM(AB5*AC5)</f>
        <v>6058.6248877647</v>
      </c>
      <c r="AE5" s="70">
        <f t="shared" ref="AE5:AE44" si="3">SUM(X5+AD5)</f>
        <v>9504.70459364706</v>
      </c>
      <c r="AF5" s="70">
        <f t="shared" ref="AF5:AF44" si="4">SUM(P5-AE5)</f>
        <v>3562.29540635294</v>
      </c>
    </row>
    <row r="6" s="2" customFormat="1" spans="1:32">
      <c r="A6" s="90"/>
      <c r="B6" s="47"/>
      <c r="C6" s="22">
        <v>240813000017</v>
      </c>
      <c r="D6" s="23">
        <v>45547</v>
      </c>
      <c r="E6" s="23" t="s">
        <v>59</v>
      </c>
      <c r="F6" s="47" t="s">
        <v>59</v>
      </c>
      <c r="G6" s="47" t="s">
        <v>95</v>
      </c>
      <c r="H6" s="91">
        <v>2.1368</v>
      </c>
      <c r="I6" s="91">
        <v>256</v>
      </c>
      <c r="J6" s="42">
        <v>5889</v>
      </c>
      <c r="K6" s="85"/>
      <c r="L6" s="92"/>
      <c r="M6" s="45"/>
      <c r="N6" s="93"/>
      <c r="O6" s="47"/>
      <c r="P6" s="48">
        <f>SUBTOTAL(9,J6)</f>
        <v>5889</v>
      </c>
      <c r="Q6" s="102"/>
      <c r="R6" s="102"/>
      <c r="S6" s="70">
        <f t="shared" ref="S6:S29" si="5">SUM(44738/68)*H6</f>
        <v>1405.82585882353</v>
      </c>
      <c r="T6" s="70"/>
      <c r="U6" s="70">
        <f t="shared" ref="U6:U29" si="6">SUM(1300/68)*H6</f>
        <v>40.8505882352941</v>
      </c>
      <c r="V6" s="70"/>
      <c r="W6" s="70"/>
      <c r="X6" s="101">
        <f t="shared" si="0"/>
        <v>1446.67644705882</v>
      </c>
      <c r="Y6" s="84">
        <f t="shared" ref="Y6:Y29" si="7">SUM(10737.46/68)*H6</f>
        <v>337.408890117647</v>
      </c>
      <c r="Z6" s="84"/>
      <c r="AA6" s="84"/>
      <c r="AB6" s="84">
        <f t="shared" si="1"/>
        <v>337.408890117647</v>
      </c>
      <c r="AC6" s="85">
        <v>7.12</v>
      </c>
      <c r="AD6" s="70">
        <f t="shared" si="2"/>
        <v>2402.35129763765</v>
      </c>
      <c r="AE6" s="70">
        <f t="shared" si="3"/>
        <v>3849.02774469647</v>
      </c>
      <c r="AF6" s="70">
        <f t="shared" si="4"/>
        <v>2039.97225530353</v>
      </c>
    </row>
    <row r="7" s="2" customFormat="1" spans="1:32">
      <c r="A7" s="90"/>
      <c r="B7" s="47"/>
      <c r="C7" s="22">
        <v>240902000015</v>
      </c>
      <c r="D7" s="23">
        <v>45547</v>
      </c>
      <c r="E7" s="23" t="s">
        <v>78</v>
      </c>
      <c r="F7" s="47" t="s">
        <v>79</v>
      </c>
      <c r="G7" s="47" t="s">
        <v>99</v>
      </c>
      <c r="H7" s="91">
        <v>3.028</v>
      </c>
      <c r="I7" s="91">
        <v>338</v>
      </c>
      <c r="J7" s="42">
        <v>7000</v>
      </c>
      <c r="K7" s="85"/>
      <c r="L7" s="92"/>
      <c r="M7" s="45"/>
      <c r="N7" s="93"/>
      <c r="O7" s="47"/>
      <c r="P7" s="48">
        <f>SUBTOTAL(9,J7)</f>
        <v>7000</v>
      </c>
      <c r="Q7" s="102"/>
      <c r="R7" s="102"/>
      <c r="S7" s="70">
        <f t="shared" si="5"/>
        <v>1992.15682352941</v>
      </c>
      <c r="T7" s="70"/>
      <c r="U7" s="70">
        <f t="shared" si="6"/>
        <v>57.8882352941176</v>
      </c>
      <c r="V7" s="70"/>
      <c r="W7" s="70"/>
      <c r="X7" s="101">
        <f t="shared" si="0"/>
        <v>2050.04505882353</v>
      </c>
      <c r="Y7" s="84">
        <f t="shared" si="7"/>
        <v>478.132777647059</v>
      </c>
      <c r="Z7" s="84"/>
      <c r="AA7" s="84"/>
      <c r="AB7" s="84">
        <f t="shared" si="1"/>
        <v>478.132777647059</v>
      </c>
      <c r="AC7" s="85">
        <v>7.12</v>
      </c>
      <c r="AD7" s="70">
        <f t="shared" si="2"/>
        <v>3404.30537684706</v>
      </c>
      <c r="AE7" s="70">
        <f t="shared" si="3"/>
        <v>5454.35043567059</v>
      </c>
      <c r="AF7" s="70">
        <f t="shared" si="4"/>
        <v>1545.64956432941</v>
      </c>
    </row>
    <row r="8" s="2" customFormat="1" spans="1:32">
      <c r="A8" s="90"/>
      <c r="B8" s="47"/>
      <c r="C8" s="22">
        <v>240902000056</v>
      </c>
      <c r="D8" s="23">
        <v>45547</v>
      </c>
      <c r="E8" s="23" t="s">
        <v>66</v>
      </c>
      <c r="F8" s="47" t="s">
        <v>67</v>
      </c>
      <c r="G8" s="47" t="s">
        <v>94</v>
      </c>
      <c r="H8" s="91">
        <v>3.078</v>
      </c>
      <c r="I8" s="91">
        <v>521</v>
      </c>
      <c r="J8" s="48"/>
      <c r="K8" s="97">
        <v>1738835</v>
      </c>
      <c r="L8" s="92"/>
      <c r="M8" s="45">
        <f t="shared" ref="M8:M11" si="8">SUM(K8/N8)</f>
        <v>1754.43189958733</v>
      </c>
      <c r="N8" s="46">
        <v>991.11</v>
      </c>
      <c r="O8" s="47">
        <v>7.23</v>
      </c>
      <c r="P8" s="48">
        <f>SUM(N8*O8)</f>
        <v>7165.7253</v>
      </c>
      <c r="Q8" s="102"/>
      <c r="R8" s="102"/>
      <c r="S8" s="70">
        <f t="shared" si="5"/>
        <v>2025.05241176471</v>
      </c>
      <c r="T8" s="70"/>
      <c r="U8" s="70">
        <f t="shared" si="6"/>
        <v>58.8441176470588</v>
      </c>
      <c r="V8" s="114">
        <v>580</v>
      </c>
      <c r="W8" s="70"/>
      <c r="X8" s="101">
        <f t="shared" si="0"/>
        <v>2663.89652941176</v>
      </c>
      <c r="Y8" s="84">
        <f t="shared" si="7"/>
        <v>486.027968823529</v>
      </c>
      <c r="Z8" s="84"/>
      <c r="AA8" s="84"/>
      <c r="AB8" s="84">
        <f t="shared" si="1"/>
        <v>486.027968823529</v>
      </c>
      <c r="AC8" s="85">
        <v>7.12</v>
      </c>
      <c r="AD8" s="70">
        <f t="shared" si="2"/>
        <v>3460.51913802353</v>
      </c>
      <c r="AE8" s="70">
        <f t="shared" si="3"/>
        <v>6124.41566743529</v>
      </c>
      <c r="AF8" s="70">
        <f t="shared" si="4"/>
        <v>1041.30963256471</v>
      </c>
    </row>
    <row r="9" s="2" customFormat="1" spans="1:32">
      <c r="A9" s="90"/>
      <c r="B9" s="47"/>
      <c r="C9" s="22">
        <v>240904000027</v>
      </c>
      <c r="D9" s="23">
        <v>45547</v>
      </c>
      <c r="E9" s="23" t="s">
        <v>78</v>
      </c>
      <c r="F9" s="47" t="s">
        <v>79</v>
      </c>
      <c r="G9" s="47" t="s">
        <v>80</v>
      </c>
      <c r="H9" s="91">
        <v>0.0074</v>
      </c>
      <c r="I9" s="91">
        <v>6</v>
      </c>
      <c r="J9" s="48"/>
      <c r="K9" s="97">
        <v>7260</v>
      </c>
      <c r="L9" s="92"/>
      <c r="M9" s="45">
        <f t="shared" si="8"/>
        <v>2261.68224299065</v>
      </c>
      <c r="N9" s="46">
        <v>3.21</v>
      </c>
      <c r="O9" s="47">
        <v>7.12</v>
      </c>
      <c r="P9" s="48">
        <v>22.9</v>
      </c>
      <c r="Q9" s="102"/>
      <c r="R9" s="102"/>
      <c r="S9" s="70">
        <f t="shared" si="5"/>
        <v>4.86854705882353</v>
      </c>
      <c r="T9" s="70"/>
      <c r="U9" s="70">
        <f t="shared" si="6"/>
        <v>0.141470588235294</v>
      </c>
      <c r="V9" s="70"/>
      <c r="W9" s="70"/>
      <c r="X9" s="101">
        <f t="shared" si="0"/>
        <v>5.01001764705882</v>
      </c>
      <c r="Y9" s="84">
        <f t="shared" si="7"/>
        <v>1.16848829411765</v>
      </c>
      <c r="Z9" s="84"/>
      <c r="AA9" s="84"/>
      <c r="AB9" s="84">
        <f t="shared" si="1"/>
        <v>1.16848829411765</v>
      </c>
      <c r="AC9" s="85">
        <v>7.12</v>
      </c>
      <c r="AD9" s="70">
        <f t="shared" si="2"/>
        <v>8.31963665411765</v>
      </c>
      <c r="AE9" s="70">
        <f t="shared" si="3"/>
        <v>13.3296543011765</v>
      </c>
      <c r="AF9" s="70">
        <f t="shared" si="4"/>
        <v>9.57034569882353</v>
      </c>
    </row>
    <row r="10" s="2" customFormat="1" spans="1:32">
      <c r="A10" s="90"/>
      <c r="B10" s="47"/>
      <c r="C10" s="22">
        <v>240904000032</v>
      </c>
      <c r="D10" s="23">
        <v>45547</v>
      </c>
      <c r="E10" s="23" t="s">
        <v>78</v>
      </c>
      <c r="F10" s="47" t="s">
        <v>79</v>
      </c>
      <c r="G10" s="47" t="s">
        <v>100</v>
      </c>
      <c r="H10" s="91">
        <v>2.736</v>
      </c>
      <c r="I10" s="91">
        <v>1216</v>
      </c>
      <c r="J10" s="42">
        <v>5623</v>
      </c>
      <c r="K10" s="85"/>
      <c r="L10" s="92"/>
      <c r="M10" s="45"/>
      <c r="N10" s="93"/>
      <c r="O10" s="47"/>
      <c r="P10" s="48">
        <f t="shared" ref="P10:P15" si="9">SUBTOTAL(9,J10)</f>
        <v>5623</v>
      </c>
      <c r="Q10" s="102"/>
      <c r="R10" s="102"/>
      <c r="S10" s="70">
        <f t="shared" si="5"/>
        <v>1800.04658823529</v>
      </c>
      <c r="T10" s="70"/>
      <c r="U10" s="70">
        <f t="shared" si="6"/>
        <v>52.3058823529412</v>
      </c>
      <c r="V10" s="70"/>
      <c r="W10" s="70"/>
      <c r="X10" s="101">
        <f t="shared" si="0"/>
        <v>1852.35247058824</v>
      </c>
      <c r="Y10" s="84">
        <f t="shared" si="7"/>
        <v>432.024861176471</v>
      </c>
      <c r="Z10" s="84"/>
      <c r="AA10" s="84"/>
      <c r="AB10" s="84">
        <f t="shared" si="1"/>
        <v>432.024861176471</v>
      </c>
      <c r="AC10" s="85">
        <v>7.12</v>
      </c>
      <c r="AD10" s="70">
        <f t="shared" si="2"/>
        <v>3076.01701157647</v>
      </c>
      <c r="AE10" s="70">
        <f t="shared" si="3"/>
        <v>4928.36948216471</v>
      </c>
      <c r="AF10" s="70">
        <f t="shared" si="4"/>
        <v>694.630517835294</v>
      </c>
    </row>
    <row r="11" s="2" customFormat="1" spans="1:32">
      <c r="A11" s="90"/>
      <c r="B11" s="47"/>
      <c r="C11" s="22">
        <v>240904000040</v>
      </c>
      <c r="D11" s="23">
        <v>45547</v>
      </c>
      <c r="E11" s="23" t="s">
        <v>88</v>
      </c>
      <c r="F11" s="47" t="s">
        <v>89</v>
      </c>
      <c r="G11" s="47" t="s">
        <v>101</v>
      </c>
      <c r="H11" s="91">
        <v>1.449</v>
      </c>
      <c r="I11" s="91">
        <v>227</v>
      </c>
      <c r="J11" s="48"/>
      <c r="K11" s="97">
        <v>761250</v>
      </c>
      <c r="L11" s="92"/>
      <c r="M11" s="45">
        <f t="shared" si="8"/>
        <v>1751.19516050402</v>
      </c>
      <c r="N11" s="46">
        <v>434.70312</v>
      </c>
      <c r="O11" s="47">
        <v>7.08</v>
      </c>
      <c r="P11" s="48">
        <f>SUM(N11*O11)</f>
        <v>3077.6980896</v>
      </c>
      <c r="Q11" s="102"/>
      <c r="R11" s="102"/>
      <c r="S11" s="70">
        <f t="shared" si="5"/>
        <v>953.314147058824</v>
      </c>
      <c r="T11" s="70"/>
      <c r="U11" s="70">
        <f t="shared" si="6"/>
        <v>27.7014705882353</v>
      </c>
      <c r="V11" s="70"/>
      <c r="W11" s="70"/>
      <c r="X11" s="101">
        <f t="shared" si="0"/>
        <v>981.015617647059</v>
      </c>
      <c r="Y11" s="84">
        <f t="shared" si="7"/>
        <v>228.802640294118</v>
      </c>
      <c r="Z11" s="84"/>
      <c r="AA11" s="84"/>
      <c r="AB11" s="84">
        <f t="shared" si="1"/>
        <v>228.802640294118</v>
      </c>
      <c r="AC11" s="85">
        <v>7.12</v>
      </c>
      <c r="AD11" s="70">
        <f t="shared" si="2"/>
        <v>1629.07479889412</v>
      </c>
      <c r="AE11" s="70">
        <f t="shared" si="3"/>
        <v>2610.09041654118</v>
      </c>
      <c r="AF11" s="70">
        <f t="shared" si="4"/>
        <v>467.607673058823</v>
      </c>
    </row>
    <row r="12" s="2" customFormat="1" spans="1:32">
      <c r="A12" s="90"/>
      <c r="B12" s="47"/>
      <c r="C12" s="22">
        <v>240828000061</v>
      </c>
      <c r="D12" s="23">
        <v>45539</v>
      </c>
      <c r="E12" s="23" t="s">
        <v>59</v>
      </c>
      <c r="F12" s="47" t="s">
        <v>59</v>
      </c>
      <c r="G12" s="47" t="s">
        <v>96</v>
      </c>
      <c r="H12" s="91">
        <v>5.2294</v>
      </c>
      <c r="I12" s="91">
        <v>555</v>
      </c>
      <c r="J12" s="42">
        <v>11683.3</v>
      </c>
      <c r="K12" s="85"/>
      <c r="L12" s="92"/>
      <c r="M12" s="45"/>
      <c r="N12" s="113"/>
      <c r="O12" s="47"/>
      <c r="P12" s="48">
        <f t="shared" si="9"/>
        <v>11683.3</v>
      </c>
      <c r="Q12" s="103"/>
      <c r="R12" s="103"/>
      <c r="S12" s="70">
        <f t="shared" si="5"/>
        <v>3440.48378235294</v>
      </c>
      <c r="T12" s="70"/>
      <c r="U12" s="70">
        <f t="shared" si="6"/>
        <v>99.9738235294118</v>
      </c>
      <c r="V12" s="70"/>
      <c r="W12" s="70"/>
      <c r="X12" s="101">
        <f t="shared" si="0"/>
        <v>3540.45760588235</v>
      </c>
      <c r="Y12" s="84">
        <f t="shared" si="7"/>
        <v>825.742254764706</v>
      </c>
      <c r="Z12" s="84"/>
      <c r="AA12" s="84"/>
      <c r="AB12" s="84">
        <f t="shared" si="1"/>
        <v>825.742254764706</v>
      </c>
      <c r="AC12" s="85">
        <v>7.12</v>
      </c>
      <c r="AD12" s="70">
        <f t="shared" si="2"/>
        <v>5879.28485392471</v>
      </c>
      <c r="AE12" s="70">
        <f t="shared" si="3"/>
        <v>9419.74245980706</v>
      </c>
      <c r="AF12" s="70">
        <f t="shared" si="4"/>
        <v>2263.55754019294</v>
      </c>
    </row>
    <row r="13" s="2" customFormat="1" spans="1:32">
      <c r="A13" s="90"/>
      <c r="B13" s="47"/>
      <c r="C13" s="22">
        <v>240905000026</v>
      </c>
      <c r="D13" s="23">
        <v>45547</v>
      </c>
      <c r="E13" s="23" t="s">
        <v>81</v>
      </c>
      <c r="F13" s="47" t="s">
        <v>82</v>
      </c>
      <c r="G13" s="47" t="s">
        <v>86</v>
      </c>
      <c r="H13" s="122">
        <v>6.2</v>
      </c>
      <c r="I13" s="91">
        <v>4920</v>
      </c>
      <c r="J13" s="42">
        <v>14483.2</v>
      </c>
      <c r="K13" s="85"/>
      <c r="L13" s="92"/>
      <c r="M13" s="45"/>
      <c r="N13" s="93"/>
      <c r="O13" s="47"/>
      <c r="P13" s="48">
        <f t="shared" si="9"/>
        <v>14483.2</v>
      </c>
      <c r="Q13" s="102"/>
      <c r="R13" s="102"/>
      <c r="S13" s="70">
        <f t="shared" si="5"/>
        <v>4079.05294117647</v>
      </c>
      <c r="T13" s="70"/>
      <c r="U13" s="70">
        <f t="shared" si="6"/>
        <v>118.529411764706</v>
      </c>
      <c r="V13" s="70"/>
      <c r="W13" s="70"/>
      <c r="X13" s="101">
        <f t="shared" si="0"/>
        <v>4197.58235294118</v>
      </c>
      <c r="Y13" s="84">
        <f t="shared" si="7"/>
        <v>979.003705882353</v>
      </c>
      <c r="Z13" s="84"/>
      <c r="AA13" s="84"/>
      <c r="AB13" s="84">
        <f t="shared" si="1"/>
        <v>979.003705882353</v>
      </c>
      <c r="AC13" s="85">
        <v>7.12</v>
      </c>
      <c r="AD13" s="70">
        <f t="shared" si="2"/>
        <v>6970.50638588235</v>
      </c>
      <c r="AE13" s="70">
        <f t="shared" si="3"/>
        <v>11168.0887388235</v>
      </c>
      <c r="AF13" s="70">
        <f t="shared" si="4"/>
        <v>3315.11126117647</v>
      </c>
    </row>
    <row r="14" s="2" customFormat="1" spans="1:32">
      <c r="A14" s="90"/>
      <c r="B14" s="47"/>
      <c r="C14" s="22">
        <v>240905000027</v>
      </c>
      <c r="D14" s="23">
        <v>45547</v>
      </c>
      <c r="E14" s="23" t="s">
        <v>81</v>
      </c>
      <c r="F14" s="47" t="s">
        <v>82</v>
      </c>
      <c r="G14" s="47" t="s">
        <v>83</v>
      </c>
      <c r="H14" s="91">
        <v>0.3485</v>
      </c>
      <c r="I14" s="91">
        <v>70</v>
      </c>
      <c r="J14" s="42">
        <v>686.93</v>
      </c>
      <c r="K14" s="85"/>
      <c r="L14" s="92"/>
      <c r="M14" s="45"/>
      <c r="N14" s="93"/>
      <c r="O14" s="47"/>
      <c r="P14" s="48">
        <f t="shared" si="9"/>
        <v>686.93</v>
      </c>
      <c r="Q14" s="102"/>
      <c r="R14" s="102"/>
      <c r="S14" s="70">
        <f t="shared" si="5"/>
        <v>229.28225</v>
      </c>
      <c r="T14" s="70"/>
      <c r="U14" s="70">
        <f t="shared" si="6"/>
        <v>6.6625</v>
      </c>
      <c r="V14" s="70"/>
      <c r="W14" s="70"/>
      <c r="X14" s="101">
        <f t="shared" si="0"/>
        <v>235.94475</v>
      </c>
      <c r="Y14" s="84">
        <f t="shared" si="7"/>
        <v>55.0294825</v>
      </c>
      <c r="Z14" s="84"/>
      <c r="AA14" s="84"/>
      <c r="AB14" s="84">
        <f t="shared" si="1"/>
        <v>55.0294825</v>
      </c>
      <c r="AC14" s="85">
        <v>7.12</v>
      </c>
      <c r="AD14" s="70">
        <f t="shared" si="2"/>
        <v>391.8099154</v>
      </c>
      <c r="AE14" s="70">
        <f t="shared" si="3"/>
        <v>627.7546654</v>
      </c>
      <c r="AF14" s="70">
        <f t="shared" si="4"/>
        <v>59.1753346</v>
      </c>
    </row>
    <row r="15" s="2" customFormat="1" spans="1:32">
      <c r="A15" s="90"/>
      <c r="B15" s="47"/>
      <c r="C15" s="22">
        <v>240905000028</v>
      </c>
      <c r="D15" s="23">
        <v>45547</v>
      </c>
      <c r="E15" s="23" t="s">
        <v>78</v>
      </c>
      <c r="F15" s="47" t="s">
        <v>79</v>
      </c>
      <c r="G15" s="47" t="s">
        <v>100</v>
      </c>
      <c r="H15" s="91">
        <v>2.499</v>
      </c>
      <c r="I15" s="91">
        <v>970</v>
      </c>
      <c r="J15" s="42">
        <v>5265</v>
      </c>
      <c r="K15" s="85"/>
      <c r="L15" s="92"/>
      <c r="M15" s="45"/>
      <c r="N15" s="93"/>
      <c r="O15" s="47"/>
      <c r="P15" s="48">
        <f t="shared" si="9"/>
        <v>5265</v>
      </c>
      <c r="Q15" s="102"/>
      <c r="R15" s="102"/>
      <c r="S15" s="70">
        <f t="shared" si="5"/>
        <v>1644.1215</v>
      </c>
      <c r="T15" s="70"/>
      <c r="U15" s="70">
        <f t="shared" si="6"/>
        <v>47.775</v>
      </c>
      <c r="V15" s="70"/>
      <c r="W15" s="70"/>
      <c r="X15" s="101">
        <f t="shared" si="0"/>
        <v>1691.8965</v>
      </c>
      <c r="Y15" s="84">
        <f t="shared" si="7"/>
        <v>394.601655</v>
      </c>
      <c r="Z15" s="84"/>
      <c r="AA15" s="84"/>
      <c r="AB15" s="84">
        <f t="shared" si="1"/>
        <v>394.601655</v>
      </c>
      <c r="AC15" s="85">
        <v>7.12</v>
      </c>
      <c r="AD15" s="70">
        <f t="shared" si="2"/>
        <v>2809.5637836</v>
      </c>
      <c r="AE15" s="70">
        <f t="shared" si="3"/>
        <v>4501.4602836</v>
      </c>
      <c r="AF15" s="70">
        <f t="shared" si="4"/>
        <v>763.539716400001</v>
      </c>
    </row>
    <row r="16" s="2" customFormat="1" spans="1:32">
      <c r="A16" s="90"/>
      <c r="B16" s="47"/>
      <c r="C16" s="22">
        <v>240905000029</v>
      </c>
      <c r="D16" s="23">
        <v>45547</v>
      </c>
      <c r="E16" s="23" t="s">
        <v>78</v>
      </c>
      <c r="F16" s="47" t="s">
        <v>79</v>
      </c>
      <c r="G16" s="47" t="s">
        <v>80</v>
      </c>
      <c r="H16" s="91">
        <v>0.0359</v>
      </c>
      <c r="I16" s="91">
        <v>12</v>
      </c>
      <c r="J16" s="48"/>
      <c r="K16" s="97">
        <v>63180</v>
      </c>
      <c r="L16" s="92"/>
      <c r="M16" s="45">
        <f t="shared" ref="M16:M19" si="10">SUM(K16/N16)</f>
        <v>1730.48479868529</v>
      </c>
      <c r="N16" s="46">
        <v>36.51</v>
      </c>
      <c r="O16" s="47">
        <v>7.12</v>
      </c>
      <c r="P16" s="48">
        <f t="shared" ref="P16:P19" si="11">SUM(N16*O16)</f>
        <v>259.9512</v>
      </c>
      <c r="Q16" s="102"/>
      <c r="R16" s="102"/>
      <c r="S16" s="70">
        <f t="shared" si="5"/>
        <v>23.6190323529412</v>
      </c>
      <c r="T16" s="70"/>
      <c r="U16" s="70">
        <f t="shared" si="6"/>
        <v>0.686323529411765</v>
      </c>
      <c r="V16" s="70"/>
      <c r="W16" s="70"/>
      <c r="X16" s="101">
        <f t="shared" si="0"/>
        <v>24.3053558823529</v>
      </c>
      <c r="Y16" s="84">
        <f t="shared" si="7"/>
        <v>5.66874726470588</v>
      </c>
      <c r="Z16" s="84">
        <v>7.06</v>
      </c>
      <c r="AA16" s="84"/>
      <c r="AB16" s="84">
        <f t="shared" si="1"/>
        <v>12.7287472647059</v>
      </c>
      <c r="AC16" s="85">
        <v>7.12</v>
      </c>
      <c r="AD16" s="70">
        <f t="shared" si="2"/>
        <v>90.6286805247059</v>
      </c>
      <c r="AE16" s="70">
        <f t="shared" si="3"/>
        <v>114.934036407059</v>
      </c>
      <c r="AF16" s="70">
        <f t="shared" si="4"/>
        <v>145.017163592941</v>
      </c>
    </row>
    <row r="17" s="2" customFormat="1" spans="1:32">
      <c r="A17" s="90"/>
      <c r="B17" s="47"/>
      <c r="C17" s="22">
        <v>240905000039</v>
      </c>
      <c r="D17" s="23">
        <v>45547</v>
      </c>
      <c r="E17" s="23" t="s">
        <v>66</v>
      </c>
      <c r="F17" s="47" t="s">
        <v>67</v>
      </c>
      <c r="G17" s="47" t="s">
        <v>102</v>
      </c>
      <c r="H17" s="91">
        <v>1.0166</v>
      </c>
      <c r="I17" s="91">
        <v>193</v>
      </c>
      <c r="J17" s="48"/>
      <c r="K17" s="97">
        <v>466616</v>
      </c>
      <c r="L17" s="92"/>
      <c r="M17" s="45">
        <f t="shared" si="10"/>
        <v>1700</v>
      </c>
      <c r="N17" s="46">
        <v>274.48</v>
      </c>
      <c r="O17" s="47">
        <v>7.27</v>
      </c>
      <c r="P17" s="48">
        <f t="shared" si="11"/>
        <v>1995.4696</v>
      </c>
      <c r="Q17" s="102"/>
      <c r="R17" s="102"/>
      <c r="S17" s="70">
        <f t="shared" si="5"/>
        <v>668.8331</v>
      </c>
      <c r="T17" s="70"/>
      <c r="U17" s="70">
        <f t="shared" si="6"/>
        <v>19.435</v>
      </c>
      <c r="V17" s="70"/>
      <c r="W17" s="70"/>
      <c r="X17" s="101">
        <f t="shared" si="0"/>
        <v>688.2681</v>
      </c>
      <c r="Y17" s="84">
        <f t="shared" si="7"/>
        <v>160.525027</v>
      </c>
      <c r="Z17" s="84"/>
      <c r="AA17" s="84"/>
      <c r="AB17" s="84">
        <f t="shared" si="1"/>
        <v>160.525027</v>
      </c>
      <c r="AC17" s="85">
        <v>7.12</v>
      </c>
      <c r="AD17" s="70">
        <f t="shared" si="2"/>
        <v>1142.93819224</v>
      </c>
      <c r="AE17" s="70">
        <f t="shared" si="3"/>
        <v>1831.20629224</v>
      </c>
      <c r="AF17" s="70">
        <f t="shared" si="4"/>
        <v>164.26330776</v>
      </c>
    </row>
    <row r="18" s="2" customFormat="1" spans="1:32">
      <c r="A18" s="90"/>
      <c r="B18" s="47"/>
      <c r="C18" s="22">
        <v>240816000024</v>
      </c>
      <c r="D18" s="23">
        <v>45554</v>
      </c>
      <c r="E18" s="23" t="s">
        <v>78</v>
      </c>
      <c r="F18" s="47" t="s">
        <v>79</v>
      </c>
      <c r="G18" s="47" t="s">
        <v>103</v>
      </c>
      <c r="H18" s="91">
        <v>22.5</v>
      </c>
      <c r="I18" s="91">
        <v>11357</v>
      </c>
      <c r="J18" s="42">
        <v>51447.45</v>
      </c>
      <c r="K18" s="85"/>
      <c r="L18" s="112"/>
      <c r="M18" s="45"/>
      <c r="N18" s="46"/>
      <c r="O18" s="47"/>
      <c r="P18" s="48">
        <f t="shared" ref="P18:P22" si="12">SUBTOTAL(9,J18)</f>
        <v>51447.45</v>
      </c>
      <c r="Q18" s="99"/>
      <c r="R18" s="99"/>
      <c r="S18" s="70">
        <f t="shared" si="5"/>
        <v>14803.0147058824</v>
      </c>
      <c r="T18" s="70"/>
      <c r="U18" s="70">
        <f t="shared" si="6"/>
        <v>430.147058823529</v>
      </c>
      <c r="V18" s="70"/>
      <c r="W18" s="70"/>
      <c r="X18" s="101">
        <f t="shared" si="0"/>
        <v>15233.1617647059</v>
      </c>
      <c r="Y18" s="84">
        <f t="shared" si="7"/>
        <v>3552.83602941176</v>
      </c>
      <c r="Z18" s="84"/>
      <c r="AA18" s="84"/>
      <c r="AB18" s="84">
        <f t="shared" si="1"/>
        <v>3552.83602941176</v>
      </c>
      <c r="AC18" s="85">
        <v>7.12</v>
      </c>
      <c r="AD18" s="70">
        <f t="shared" si="2"/>
        <v>25296.1925294118</v>
      </c>
      <c r="AE18" s="70">
        <f t="shared" si="3"/>
        <v>40529.3542941176</v>
      </c>
      <c r="AF18" s="70">
        <f t="shared" si="4"/>
        <v>10918.0957058824</v>
      </c>
    </row>
    <row r="19" s="2" customFormat="1" spans="1:32">
      <c r="A19" s="90"/>
      <c r="B19" s="47"/>
      <c r="C19" s="22">
        <v>240906000030</v>
      </c>
      <c r="D19" s="23">
        <v>45547</v>
      </c>
      <c r="E19" s="23" t="s">
        <v>74</v>
      </c>
      <c r="F19" s="47" t="s">
        <v>75</v>
      </c>
      <c r="G19" s="47" t="s">
        <v>76</v>
      </c>
      <c r="H19" s="91">
        <v>1.934</v>
      </c>
      <c r="I19" s="91">
        <v>395</v>
      </c>
      <c r="J19" s="48"/>
      <c r="K19" s="85"/>
      <c r="L19" s="112">
        <v>580.5</v>
      </c>
      <c r="M19" s="45">
        <f t="shared" si="10"/>
        <v>0</v>
      </c>
      <c r="N19" s="46">
        <v>580.5</v>
      </c>
      <c r="O19" s="47">
        <v>7.08</v>
      </c>
      <c r="P19" s="48">
        <f t="shared" si="11"/>
        <v>4109.94</v>
      </c>
      <c r="Q19" s="102"/>
      <c r="R19" s="102"/>
      <c r="S19" s="70">
        <f t="shared" si="5"/>
        <v>1272.40135294118</v>
      </c>
      <c r="T19" s="70"/>
      <c r="U19" s="70">
        <f t="shared" si="6"/>
        <v>36.9735294117647</v>
      </c>
      <c r="V19" s="70"/>
      <c r="W19" s="70"/>
      <c r="X19" s="101">
        <f t="shared" si="0"/>
        <v>1309.37488235294</v>
      </c>
      <c r="Y19" s="84">
        <f t="shared" si="7"/>
        <v>305.385994705882</v>
      </c>
      <c r="Z19" s="84"/>
      <c r="AA19" s="84"/>
      <c r="AB19" s="84">
        <f t="shared" si="1"/>
        <v>305.385994705882</v>
      </c>
      <c r="AC19" s="85">
        <v>7.12</v>
      </c>
      <c r="AD19" s="70">
        <f t="shared" si="2"/>
        <v>2174.34828230588</v>
      </c>
      <c r="AE19" s="70">
        <f t="shared" si="3"/>
        <v>3483.72316465882</v>
      </c>
      <c r="AF19" s="70">
        <f t="shared" si="4"/>
        <v>626.216835341176</v>
      </c>
    </row>
    <row r="20" s="2" customFormat="1" spans="1:32">
      <c r="A20" s="90"/>
      <c r="B20" s="47"/>
      <c r="C20" s="22">
        <v>240906000035</v>
      </c>
      <c r="D20" s="23">
        <v>45547</v>
      </c>
      <c r="E20" s="23" t="s">
        <v>78</v>
      </c>
      <c r="F20" s="47" t="s">
        <v>79</v>
      </c>
      <c r="G20" s="47" t="s">
        <v>104</v>
      </c>
      <c r="H20" s="91">
        <v>2.343</v>
      </c>
      <c r="I20" s="91">
        <v>480</v>
      </c>
      <c r="J20" s="42">
        <v>5181.75</v>
      </c>
      <c r="K20" s="85"/>
      <c r="L20" s="92"/>
      <c r="M20" s="45"/>
      <c r="N20" s="93"/>
      <c r="O20" s="47"/>
      <c r="P20" s="48">
        <f t="shared" si="12"/>
        <v>5181.75</v>
      </c>
      <c r="Q20" s="102"/>
      <c r="R20" s="102"/>
      <c r="S20" s="70">
        <f t="shared" si="5"/>
        <v>1541.48726470588</v>
      </c>
      <c r="T20" s="70"/>
      <c r="U20" s="70">
        <f t="shared" si="6"/>
        <v>44.7926470588235</v>
      </c>
      <c r="V20" s="70"/>
      <c r="W20" s="70"/>
      <c r="X20" s="101">
        <f t="shared" si="0"/>
        <v>1586.27991176471</v>
      </c>
      <c r="Y20" s="84">
        <f t="shared" si="7"/>
        <v>369.968658529412</v>
      </c>
      <c r="Z20" s="84"/>
      <c r="AA20" s="84"/>
      <c r="AB20" s="84">
        <f t="shared" si="1"/>
        <v>369.968658529412</v>
      </c>
      <c r="AC20" s="85">
        <v>7.12</v>
      </c>
      <c r="AD20" s="70">
        <f t="shared" si="2"/>
        <v>2634.17684872941</v>
      </c>
      <c r="AE20" s="70">
        <f t="shared" si="3"/>
        <v>4220.45676049412</v>
      </c>
      <c r="AF20" s="70">
        <f t="shared" si="4"/>
        <v>961.293239505883</v>
      </c>
    </row>
    <row r="21" s="2" customFormat="1" spans="1:32">
      <c r="A21" s="90"/>
      <c r="B21" s="47"/>
      <c r="C21" s="22">
        <v>240906000040</v>
      </c>
      <c r="D21" s="23">
        <v>45547</v>
      </c>
      <c r="E21" s="23" t="s">
        <v>81</v>
      </c>
      <c r="F21" s="47" t="s">
        <v>82</v>
      </c>
      <c r="G21" s="47" t="s">
        <v>105</v>
      </c>
      <c r="H21" s="91">
        <v>0.714</v>
      </c>
      <c r="I21" s="91">
        <v>240</v>
      </c>
      <c r="J21" s="42">
        <v>1563.66</v>
      </c>
      <c r="K21" s="85"/>
      <c r="L21" s="92"/>
      <c r="M21" s="45"/>
      <c r="N21" s="93"/>
      <c r="O21" s="47"/>
      <c r="P21" s="48">
        <f t="shared" si="12"/>
        <v>1563.66</v>
      </c>
      <c r="Q21" s="102"/>
      <c r="R21" s="102"/>
      <c r="S21" s="70">
        <f t="shared" si="5"/>
        <v>469.749</v>
      </c>
      <c r="T21" s="70"/>
      <c r="U21" s="70">
        <f t="shared" si="6"/>
        <v>13.65</v>
      </c>
      <c r="V21" s="70"/>
      <c r="W21" s="70"/>
      <c r="X21" s="101">
        <f t="shared" si="0"/>
        <v>483.399</v>
      </c>
      <c r="Y21" s="84">
        <f t="shared" si="7"/>
        <v>112.74333</v>
      </c>
      <c r="Z21" s="84"/>
      <c r="AA21" s="84"/>
      <c r="AB21" s="84">
        <f t="shared" si="1"/>
        <v>112.74333</v>
      </c>
      <c r="AC21" s="85">
        <v>7.12</v>
      </c>
      <c r="AD21" s="70">
        <f t="shared" si="2"/>
        <v>802.7325096</v>
      </c>
      <c r="AE21" s="70">
        <f t="shared" si="3"/>
        <v>1286.1315096</v>
      </c>
      <c r="AF21" s="70">
        <f t="shared" si="4"/>
        <v>277.5284904</v>
      </c>
    </row>
    <row r="22" s="2" customFormat="1" spans="1:32">
      <c r="A22" s="90"/>
      <c r="B22" s="47"/>
      <c r="C22" s="22">
        <v>240908000020</v>
      </c>
      <c r="D22" s="23">
        <v>45547</v>
      </c>
      <c r="E22" s="23" t="s">
        <v>59</v>
      </c>
      <c r="F22" s="47" t="s">
        <v>59</v>
      </c>
      <c r="G22" s="47" t="s">
        <v>92</v>
      </c>
      <c r="H22" s="91">
        <v>0.164</v>
      </c>
      <c r="I22" s="91">
        <v>156</v>
      </c>
      <c r="J22" s="42">
        <v>569.4</v>
      </c>
      <c r="K22" s="85"/>
      <c r="L22" s="92"/>
      <c r="M22" s="45"/>
      <c r="N22" s="93"/>
      <c r="O22" s="47"/>
      <c r="P22" s="48">
        <f t="shared" si="12"/>
        <v>569.4</v>
      </c>
      <c r="Q22" s="102"/>
      <c r="R22" s="102"/>
      <c r="S22" s="70">
        <f t="shared" si="5"/>
        <v>107.897529411765</v>
      </c>
      <c r="T22" s="70"/>
      <c r="U22" s="70">
        <f t="shared" si="6"/>
        <v>3.13529411764706</v>
      </c>
      <c r="V22" s="70"/>
      <c r="W22" s="70"/>
      <c r="X22" s="101">
        <f t="shared" si="0"/>
        <v>111.032823529412</v>
      </c>
      <c r="Y22" s="84">
        <f t="shared" si="7"/>
        <v>25.8962270588235</v>
      </c>
      <c r="Z22" s="84"/>
      <c r="AA22" s="84"/>
      <c r="AB22" s="84">
        <f t="shared" si="1"/>
        <v>25.8962270588235</v>
      </c>
      <c r="AC22" s="85">
        <v>7.12</v>
      </c>
      <c r="AD22" s="70">
        <f t="shared" si="2"/>
        <v>184.381136658824</v>
      </c>
      <c r="AE22" s="70">
        <f t="shared" si="3"/>
        <v>295.413960188235</v>
      </c>
      <c r="AF22" s="70">
        <f t="shared" si="4"/>
        <v>273.986039811765</v>
      </c>
    </row>
    <row r="23" s="2" customFormat="1" spans="1:32">
      <c r="A23" s="90"/>
      <c r="B23" s="47"/>
      <c r="C23" s="22">
        <v>240909000018</v>
      </c>
      <c r="D23" s="23">
        <v>45547</v>
      </c>
      <c r="E23" s="23" t="s">
        <v>71</v>
      </c>
      <c r="F23" s="47" t="s">
        <v>72</v>
      </c>
      <c r="G23" s="47" t="s">
        <v>106</v>
      </c>
      <c r="H23" s="91">
        <v>0.42</v>
      </c>
      <c r="I23" s="91">
        <v>106</v>
      </c>
      <c r="J23" s="42">
        <v>500</v>
      </c>
      <c r="K23" s="97">
        <v>214855</v>
      </c>
      <c r="L23" s="92"/>
      <c r="M23" s="45">
        <f t="shared" ref="M23:M27" si="13">SUM(K23/N23)</f>
        <v>1802.62605923316</v>
      </c>
      <c r="N23" s="46">
        <v>119.19</v>
      </c>
      <c r="O23" s="47">
        <v>7.08</v>
      </c>
      <c r="P23" s="48">
        <f>SUM(N23*O23)+J23</f>
        <v>1343.8652</v>
      </c>
      <c r="Q23" s="102"/>
      <c r="R23" s="102"/>
      <c r="S23" s="70">
        <f t="shared" si="5"/>
        <v>276.322941176471</v>
      </c>
      <c r="T23" s="70"/>
      <c r="U23" s="70">
        <f t="shared" si="6"/>
        <v>8.02941176470588</v>
      </c>
      <c r="V23" s="70"/>
      <c r="W23" s="70"/>
      <c r="X23" s="101">
        <f t="shared" si="0"/>
        <v>284.352352941176</v>
      </c>
      <c r="Y23" s="84">
        <f t="shared" si="7"/>
        <v>66.3196058823529</v>
      </c>
      <c r="Z23" s="84"/>
      <c r="AA23" s="84"/>
      <c r="AB23" s="84">
        <f t="shared" si="1"/>
        <v>66.3196058823529</v>
      </c>
      <c r="AC23" s="85">
        <v>7.12</v>
      </c>
      <c r="AD23" s="70">
        <f t="shared" si="2"/>
        <v>472.195593882353</v>
      </c>
      <c r="AE23" s="70">
        <f t="shared" si="3"/>
        <v>756.547946823529</v>
      </c>
      <c r="AF23" s="70">
        <f t="shared" si="4"/>
        <v>587.317253176471</v>
      </c>
    </row>
    <row r="24" s="2" customFormat="1" spans="1:32">
      <c r="A24" s="90"/>
      <c r="B24" s="47"/>
      <c r="C24" s="22">
        <v>240909000038</v>
      </c>
      <c r="D24" s="23">
        <v>45547</v>
      </c>
      <c r="E24" s="23" t="s">
        <v>88</v>
      </c>
      <c r="F24" s="47" t="s">
        <v>89</v>
      </c>
      <c r="G24" s="47" t="s">
        <v>107</v>
      </c>
      <c r="H24" s="91">
        <v>0.577</v>
      </c>
      <c r="I24" s="91">
        <v>154</v>
      </c>
      <c r="J24" s="48"/>
      <c r="K24" s="97">
        <v>305348.4</v>
      </c>
      <c r="L24" s="92"/>
      <c r="M24" s="45">
        <f t="shared" si="13"/>
        <v>1762.79069096157</v>
      </c>
      <c r="N24" s="46">
        <v>173.21875</v>
      </c>
      <c r="O24" s="47">
        <v>7.08</v>
      </c>
      <c r="P24" s="48">
        <f>SUM(N24*O24)</f>
        <v>1226.38875</v>
      </c>
      <c r="Q24" s="102"/>
      <c r="R24" s="102"/>
      <c r="S24" s="70">
        <f t="shared" si="5"/>
        <v>379.615088235294</v>
      </c>
      <c r="T24" s="70"/>
      <c r="U24" s="70">
        <f t="shared" si="6"/>
        <v>11.0308823529412</v>
      </c>
      <c r="V24" s="70"/>
      <c r="W24" s="70"/>
      <c r="X24" s="101">
        <f t="shared" si="0"/>
        <v>390.645970588235</v>
      </c>
      <c r="Y24" s="84">
        <f t="shared" si="7"/>
        <v>91.1105061764706</v>
      </c>
      <c r="Z24" s="84"/>
      <c r="AA24" s="84"/>
      <c r="AB24" s="84">
        <f t="shared" si="1"/>
        <v>91.1105061764706</v>
      </c>
      <c r="AC24" s="85">
        <v>7.12</v>
      </c>
      <c r="AD24" s="70">
        <f t="shared" si="2"/>
        <v>648.70680397647</v>
      </c>
      <c r="AE24" s="70">
        <f t="shared" si="3"/>
        <v>1039.35277456471</v>
      </c>
      <c r="AF24" s="70">
        <f t="shared" si="4"/>
        <v>187.035975435294</v>
      </c>
    </row>
    <row r="25" s="2" customFormat="1" spans="1:32">
      <c r="A25" s="90"/>
      <c r="B25" s="47"/>
      <c r="C25" s="22">
        <v>240909000047</v>
      </c>
      <c r="D25" s="23">
        <v>45547</v>
      </c>
      <c r="E25" s="23" t="s">
        <v>78</v>
      </c>
      <c r="F25" s="47" t="s">
        <v>79</v>
      </c>
      <c r="G25" s="47" t="s">
        <v>100</v>
      </c>
      <c r="H25" s="91">
        <v>2.709</v>
      </c>
      <c r="I25" s="91">
        <v>1034</v>
      </c>
      <c r="J25" s="123">
        <v>5562</v>
      </c>
      <c r="K25" s="85"/>
      <c r="L25" s="92"/>
      <c r="M25" s="45"/>
      <c r="N25" s="93"/>
      <c r="O25" s="47"/>
      <c r="P25" s="48">
        <f>SUM(J25)</f>
        <v>5562</v>
      </c>
      <c r="Q25" s="102"/>
      <c r="R25" s="102"/>
      <c r="S25" s="70">
        <f t="shared" si="5"/>
        <v>1782.28297058824</v>
      </c>
      <c r="T25" s="70"/>
      <c r="U25" s="70">
        <f t="shared" si="6"/>
        <v>51.7897058823529</v>
      </c>
      <c r="V25" s="70"/>
      <c r="W25" s="70"/>
      <c r="X25" s="101">
        <f t="shared" si="0"/>
        <v>1834.07267647059</v>
      </c>
      <c r="Y25" s="84">
        <f t="shared" si="7"/>
        <v>427.761457941176</v>
      </c>
      <c r="Z25" s="84"/>
      <c r="AA25" s="84"/>
      <c r="AB25" s="84">
        <f t="shared" si="1"/>
        <v>427.761457941176</v>
      </c>
      <c r="AC25" s="85">
        <v>7.12</v>
      </c>
      <c r="AD25" s="70">
        <f t="shared" si="2"/>
        <v>3045.66158054118</v>
      </c>
      <c r="AE25" s="70">
        <f t="shared" si="3"/>
        <v>4879.73425701176</v>
      </c>
      <c r="AF25" s="70">
        <f t="shared" si="4"/>
        <v>682.265742988236</v>
      </c>
    </row>
    <row r="26" s="2" customFormat="1" spans="1:32">
      <c r="A26" s="90"/>
      <c r="B26" s="47"/>
      <c r="C26" s="22">
        <v>240728000003</v>
      </c>
      <c r="D26" s="23">
        <v>45506</v>
      </c>
      <c r="E26" s="23" t="s">
        <v>59</v>
      </c>
      <c r="F26" s="47" t="s">
        <v>59</v>
      </c>
      <c r="G26" s="47" t="s">
        <v>60</v>
      </c>
      <c r="H26" s="91">
        <v>0.145</v>
      </c>
      <c r="I26" s="91">
        <v>52</v>
      </c>
      <c r="J26" s="42">
        <v>396</v>
      </c>
      <c r="K26" s="85"/>
      <c r="L26" s="92"/>
      <c r="M26" s="45"/>
      <c r="N26" s="113"/>
      <c r="O26" s="47"/>
      <c r="P26" s="48">
        <f t="shared" ref="P26:P29" si="14">SUBTOTAL(9,J26)</f>
        <v>396</v>
      </c>
      <c r="Q26" s="102"/>
      <c r="R26" s="102"/>
      <c r="S26" s="70">
        <f t="shared" si="5"/>
        <v>95.3972058823529</v>
      </c>
      <c r="T26" s="70"/>
      <c r="U26" s="70">
        <f t="shared" si="6"/>
        <v>2.77205882352941</v>
      </c>
      <c r="V26" s="70"/>
      <c r="W26" s="70"/>
      <c r="X26" s="101">
        <f t="shared" si="0"/>
        <v>98.1692647058823</v>
      </c>
      <c r="Y26" s="84">
        <f t="shared" si="7"/>
        <v>22.8960544117647</v>
      </c>
      <c r="Z26" s="84"/>
      <c r="AA26" s="84"/>
      <c r="AB26" s="84">
        <f t="shared" si="1"/>
        <v>22.8960544117647</v>
      </c>
      <c r="AC26" s="85">
        <v>7.12</v>
      </c>
      <c r="AD26" s="70">
        <f t="shared" si="2"/>
        <v>163.019907411765</v>
      </c>
      <c r="AE26" s="70">
        <f t="shared" si="3"/>
        <v>261.189172117647</v>
      </c>
      <c r="AF26" s="70">
        <f t="shared" si="4"/>
        <v>134.810827882353</v>
      </c>
    </row>
    <row r="27" s="2" customFormat="1" spans="1:32">
      <c r="A27" s="90"/>
      <c r="B27" s="47"/>
      <c r="C27" s="22">
        <v>240910000031</v>
      </c>
      <c r="D27" s="23">
        <v>45547</v>
      </c>
      <c r="E27" s="23" t="s">
        <v>71</v>
      </c>
      <c r="F27" s="47" t="s">
        <v>72</v>
      </c>
      <c r="G27" s="47" t="s">
        <v>106</v>
      </c>
      <c r="H27" s="91">
        <v>2.926</v>
      </c>
      <c r="I27" s="91">
        <v>2628</v>
      </c>
      <c r="J27" s="48"/>
      <c r="K27" s="97">
        <v>2040383</v>
      </c>
      <c r="L27" s="92"/>
      <c r="M27" s="45">
        <f t="shared" si="13"/>
        <v>1763.89280311217</v>
      </c>
      <c r="N27" s="46">
        <v>1156.75</v>
      </c>
      <c r="O27" s="47">
        <v>7.08</v>
      </c>
      <c r="P27" s="48">
        <f>SUM(N27*O27)</f>
        <v>8189.79</v>
      </c>
      <c r="Q27" s="102"/>
      <c r="R27" s="102"/>
      <c r="S27" s="70">
        <f t="shared" si="5"/>
        <v>1925.04982352941</v>
      </c>
      <c r="T27" s="70"/>
      <c r="U27" s="70">
        <f t="shared" si="6"/>
        <v>55.9382352941176</v>
      </c>
      <c r="V27" s="70"/>
      <c r="W27" s="70"/>
      <c r="X27" s="101">
        <f t="shared" si="0"/>
        <v>1980.98805882353</v>
      </c>
      <c r="Y27" s="84">
        <f t="shared" si="7"/>
        <v>462.026587647059</v>
      </c>
      <c r="Z27" s="84"/>
      <c r="AA27" s="84"/>
      <c r="AB27" s="84">
        <f t="shared" si="1"/>
        <v>462.026587647059</v>
      </c>
      <c r="AC27" s="85">
        <v>7.12</v>
      </c>
      <c r="AD27" s="70">
        <f t="shared" si="2"/>
        <v>3289.62930404706</v>
      </c>
      <c r="AE27" s="70">
        <f t="shared" si="3"/>
        <v>5270.61736287059</v>
      </c>
      <c r="AF27" s="70">
        <f t="shared" si="4"/>
        <v>2919.17263712941</v>
      </c>
    </row>
    <row r="28" s="2" customFormat="1" spans="1:32">
      <c r="A28" s="90"/>
      <c r="B28" s="47"/>
      <c r="C28" s="22">
        <v>240911000011</v>
      </c>
      <c r="D28" s="23">
        <v>45547</v>
      </c>
      <c r="E28" s="23" t="s">
        <v>78</v>
      </c>
      <c r="F28" s="47" t="s">
        <v>79</v>
      </c>
      <c r="G28" s="47" t="s">
        <v>100</v>
      </c>
      <c r="H28" s="91">
        <v>1.019</v>
      </c>
      <c r="I28" s="91">
        <v>374</v>
      </c>
      <c r="J28" s="42">
        <v>2095</v>
      </c>
      <c r="K28" s="85"/>
      <c r="L28" s="92"/>
      <c r="M28" s="45"/>
      <c r="N28" s="93"/>
      <c r="O28" s="47"/>
      <c r="P28" s="48">
        <f t="shared" si="14"/>
        <v>2095</v>
      </c>
      <c r="Q28" s="102"/>
      <c r="R28" s="102"/>
      <c r="S28" s="70">
        <f t="shared" si="5"/>
        <v>670.412088235294</v>
      </c>
      <c r="T28" s="70"/>
      <c r="U28" s="70">
        <f t="shared" si="6"/>
        <v>19.4808823529412</v>
      </c>
      <c r="V28" s="70"/>
      <c r="W28" s="70"/>
      <c r="X28" s="101">
        <f t="shared" si="0"/>
        <v>689.892970588235</v>
      </c>
      <c r="Y28" s="84">
        <f t="shared" si="7"/>
        <v>160.903996176471</v>
      </c>
      <c r="Z28" s="84"/>
      <c r="AA28" s="84"/>
      <c r="AB28" s="84">
        <f t="shared" si="1"/>
        <v>160.903996176471</v>
      </c>
      <c r="AC28" s="85">
        <v>7.12</v>
      </c>
      <c r="AD28" s="70">
        <f t="shared" si="2"/>
        <v>1145.63645277647</v>
      </c>
      <c r="AE28" s="70">
        <f t="shared" si="3"/>
        <v>1835.52942336471</v>
      </c>
      <c r="AF28" s="70">
        <f t="shared" si="4"/>
        <v>259.470576635294</v>
      </c>
    </row>
    <row r="29" s="2" customFormat="1" spans="1:32">
      <c r="A29" s="90"/>
      <c r="B29" s="47"/>
      <c r="C29" s="22">
        <v>240911000023</v>
      </c>
      <c r="D29" s="23">
        <v>45547</v>
      </c>
      <c r="E29" s="23" t="s">
        <v>81</v>
      </c>
      <c r="F29" s="47" t="s">
        <v>82</v>
      </c>
      <c r="G29" s="47" t="s">
        <v>83</v>
      </c>
      <c r="H29" s="91">
        <v>0.0849</v>
      </c>
      <c r="I29" s="91">
        <v>40</v>
      </c>
      <c r="J29" s="42">
        <v>210.75</v>
      </c>
      <c r="K29" s="85"/>
      <c r="L29" s="92"/>
      <c r="M29" s="45"/>
      <c r="N29" s="93"/>
      <c r="O29" s="47"/>
      <c r="P29" s="48">
        <f t="shared" si="14"/>
        <v>210.75</v>
      </c>
      <c r="Q29" s="103"/>
      <c r="R29" s="103"/>
      <c r="S29" s="70">
        <f t="shared" si="5"/>
        <v>55.8567088235294</v>
      </c>
      <c r="T29" s="70"/>
      <c r="U29" s="70">
        <f t="shared" si="6"/>
        <v>1.62308823529412</v>
      </c>
      <c r="V29" s="70"/>
      <c r="W29" s="70"/>
      <c r="X29" s="101">
        <f t="shared" si="0"/>
        <v>57.4797970588235</v>
      </c>
      <c r="Y29" s="84">
        <f t="shared" si="7"/>
        <v>13.4060346176471</v>
      </c>
      <c r="Z29" s="84"/>
      <c r="AA29" s="84"/>
      <c r="AB29" s="84">
        <f t="shared" si="1"/>
        <v>13.4060346176471</v>
      </c>
      <c r="AC29" s="85">
        <v>7.12</v>
      </c>
      <c r="AD29" s="70">
        <f t="shared" si="2"/>
        <v>95.450966477647</v>
      </c>
      <c r="AE29" s="70">
        <f t="shared" si="3"/>
        <v>152.930763536471</v>
      </c>
      <c r="AF29" s="70">
        <f t="shared" si="4"/>
        <v>57.8192364635294</v>
      </c>
    </row>
    <row r="30" ht="15.75" spans="1:32">
      <c r="A30" s="25" t="s">
        <v>26</v>
      </c>
      <c r="B30" s="26"/>
      <c r="C30" s="26"/>
      <c r="D30" s="26"/>
      <c r="E30" s="26"/>
      <c r="F30" s="26"/>
      <c r="G30" s="26"/>
      <c r="H30" s="26"/>
      <c r="I30" s="49"/>
      <c r="J30" s="26">
        <f>SUM(J4:J4)</f>
        <v>0</v>
      </c>
      <c r="K30" s="50"/>
      <c r="L30" s="51"/>
      <c r="M30" s="50"/>
      <c r="N30" s="50">
        <f t="shared" ref="N30:Q30" si="15">SUM(N4:N4)</f>
        <v>0</v>
      </c>
      <c r="O30" s="26"/>
      <c r="P30" s="26">
        <f t="shared" si="15"/>
        <v>0</v>
      </c>
      <c r="Q30" s="26">
        <f t="shared" si="15"/>
        <v>0</v>
      </c>
      <c r="R30" s="26"/>
      <c r="S30" s="26"/>
      <c r="T30" s="26"/>
      <c r="U30" s="26"/>
      <c r="V30" s="26"/>
      <c r="W30" s="26"/>
      <c r="X30" s="72">
        <f>SUM(X4:X4)</f>
        <v>0</v>
      </c>
      <c r="Y30" s="51"/>
      <c r="Z30" s="51"/>
      <c r="AA30" s="51"/>
      <c r="AB30" s="51"/>
      <c r="AC30" s="50"/>
      <c r="AD30" s="26">
        <f>SUM(AD4:AD4)</f>
        <v>0</v>
      </c>
      <c r="AE30" s="26"/>
      <c r="AF30" s="86">
        <f>SUM(AF4:AF29)</f>
        <v>33956.7122795177</v>
      </c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  <row r="43" customFormat="1" spans="4:32">
      <c r="D43" s="3"/>
      <c r="E43" s="3"/>
      <c r="K43" s="4"/>
      <c r="L43" s="5"/>
      <c r="M43" s="4"/>
      <c r="X43" s="7"/>
      <c r="Y43" s="5"/>
      <c r="Z43" s="5"/>
      <c r="AA43" s="5"/>
      <c r="AB43" s="5"/>
      <c r="AC43" s="4"/>
      <c r="AF43" s="8"/>
    </row>
    <row r="44" customFormat="1" spans="4:32">
      <c r="D44" s="3"/>
      <c r="E44" s="3"/>
      <c r="K44" s="4"/>
      <c r="L44" s="5"/>
      <c r="M44" s="4"/>
      <c r="X44" s="7"/>
      <c r="Y44" s="5"/>
      <c r="Z44" s="5"/>
      <c r="AA44" s="5"/>
      <c r="AB44" s="5"/>
      <c r="AC44" s="4"/>
      <c r="AF44" s="8"/>
    </row>
    <row r="45" customFormat="1" spans="4:32">
      <c r="D45" s="3"/>
      <c r="E45" s="3"/>
      <c r="K45" s="4"/>
      <c r="L45" s="5"/>
      <c r="M45" s="4"/>
      <c r="X45" s="7"/>
      <c r="Y45" s="5"/>
      <c r="Z45" s="5"/>
      <c r="AA45" s="5"/>
      <c r="AB45" s="5"/>
      <c r="AC45" s="4"/>
      <c r="AF45" s="8"/>
    </row>
    <row r="46" customFormat="1" spans="4:32">
      <c r="D46" s="3"/>
      <c r="E46" s="3"/>
      <c r="K46" s="4"/>
      <c r="L46" s="5"/>
      <c r="M46" s="4"/>
      <c r="X46" s="7"/>
      <c r="Y46" s="5"/>
      <c r="Z46" s="5"/>
      <c r="AA46" s="5"/>
      <c r="AB46" s="5"/>
      <c r="AC46" s="4"/>
      <c r="AF46" s="8"/>
    </row>
  </sheetData>
  <autoFilter xmlns:etc="http://www.wps.cn/officeDocument/2017/etCustomData" ref="A3:AF30" etc:filterBottomFollowUsedRange="0">
    <extLst/>
  </autoFilter>
  <mergeCells count="21">
    <mergeCell ref="A1:AF1"/>
    <mergeCell ref="J3:P3"/>
    <mergeCell ref="R3:V3"/>
    <mergeCell ref="Y3:AD3"/>
    <mergeCell ref="A3:A4"/>
    <mergeCell ref="A5:A29"/>
    <mergeCell ref="B3:B4"/>
    <mergeCell ref="B5:B29"/>
    <mergeCell ref="C3:C4"/>
    <mergeCell ref="D3:D4"/>
    <mergeCell ref="E3:E4"/>
    <mergeCell ref="F3:F4"/>
    <mergeCell ref="G3:G4"/>
    <mergeCell ref="H3:H4"/>
    <mergeCell ref="I3:I4"/>
    <mergeCell ref="Q3:Q4"/>
    <mergeCell ref="Q5:Q29"/>
    <mergeCell ref="R5:R2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6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11.0092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10</v>
      </c>
      <c r="B5" s="47" t="s">
        <v>11</v>
      </c>
      <c r="C5" s="22">
        <v>240812000038</v>
      </c>
      <c r="D5" s="117">
        <v>45518</v>
      </c>
      <c r="E5" s="23" t="s">
        <v>66</v>
      </c>
      <c r="F5" s="47" t="s">
        <v>67</v>
      </c>
      <c r="G5" s="47" t="s">
        <v>108</v>
      </c>
      <c r="H5" s="91">
        <v>3.8495</v>
      </c>
      <c r="I5" s="91">
        <v>2234</v>
      </c>
      <c r="J5" s="48"/>
      <c r="K5" s="118">
        <v>2249445</v>
      </c>
      <c r="L5" s="92"/>
      <c r="M5" s="45">
        <f t="shared" ref="M5:M8" si="0">SUM(K5/N5)</f>
        <v>1750.28546418324</v>
      </c>
      <c r="N5" s="46">
        <v>1285.1875</v>
      </c>
      <c r="O5" s="47">
        <v>7.1</v>
      </c>
      <c r="P5" s="48">
        <f>SUM(N5*O5)</f>
        <v>9124.83125</v>
      </c>
      <c r="Q5" s="99">
        <f>SUM(P5:P9)</f>
        <v>23751.7281652</v>
      </c>
      <c r="R5" s="99" t="s">
        <v>109</v>
      </c>
      <c r="S5" s="121">
        <f t="shared" ref="S5:S9" si="1">SUM(20857/11.0091)*H5</f>
        <v>7292.96868045526</v>
      </c>
      <c r="T5" s="70">
        <f t="shared" ref="T5:T9" si="2">SUM(351/11.0091)*H5</f>
        <v>122.732512194457</v>
      </c>
      <c r="U5" s="70"/>
      <c r="V5" s="70"/>
      <c r="W5" s="70"/>
      <c r="X5" s="101">
        <f>SUM(S5:W5)</f>
        <v>7415.70119264972</v>
      </c>
      <c r="Y5" s="84"/>
      <c r="Z5" s="84">
        <v>53.1</v>
      </c>
      <c r="AA5" s="84">
        <f t="shared" ref="AA5:AA9" si="3">SUM(82.6/11.0091)*H5</f>
        <v>28.8823518725418</v>
      </c>
      <c r="AB5" s="84">
        <f>SUM(Y5:AA5)</f>
        <v>81.9823518725418</v>
      </c>
      <c r="AC5" s="85">
        <v>7.12</v>
      </c>
      <c r="AD5" s="70">
        <f>SUM(AB5*AC5)</f>
        <v>583.714345332498</v>
      </c>
      <c r="AE5" s="70">
        <f>SUM(X5+AD5)</f>
        <v>7999.41553798222</v>
      </c>
      <c r="AF5" s="70">
        <f>SUM(P5-AE5)</f>
        <v>1125.41571201778</v>
      </c>
    </row>
    <row r="6" s="2" customFormat="1" spans="1:32">
      <c r="A6" s="90"/>
      <c r="B6" s="47"/>
      <c r="C6" s="22">
        <v>240812000053</v>
      </c>
      <c r="D6" s="117">
        <v>45518</v>
      </c>
      <c r="E6" s="23" t="s">
        <v>59</v>
      </c>
      <c r="F6" s="47" t="s">
        <v>59</v>
      </c>
      <c r="G6" s="47" t="s">
        <v>110</v>
      </c>
      <c r="H6" s="91">
        <v>1.2271</v>
      </c>
      <c r="I6" s="91">
        <v>166</v>
      </c>
      <c r="J6" s="42">
        <v>2491.03</v>
      </c>
      <c r="K6" s="119"/>
      <c r="L6" s="92"/>
      <c r="M6" s="45"/>
      <c r="N6" s="93"/>
      <c r="O6" s="47"/>
      <c r="P6" s="48">
        <f>SUBTOTAL(9,J6)</f>
        <v>2491.03</v>
      </c>
      <c r="Q6" s="102"/>
      <c r="R6" s="102"/>
      <c r="S6" s="121">
        <f t="shared" si="1"/>
        <v>2324.7699357804</v>
      </c>
      <c r="T6" s="70">
        <f t="shared" si="2"/>
        <v>39.1232798321389</v>
      </c>
      <c r="U6" s="70"/>
      <c r="V6" s="70"/>
      <c r="W6" s="70"/>
      <c r="X6" s="101">
        <f>SUM(S6:W6)</f>
        <v>2363.89321561254</v>
      </c>
      <c r="Y6" s="84"/>
      <c r="Z6" s="84"/>
      <c r="AA6" s="84">
        <f t="shared" si="3"/>
        <v>9.20678892915861</v>
      </c>
      <c r="AB6" s="84">
        <f>SUM(Y6:AA6)</f>
        <v>9.20678892915861</v>
      </c>
      <c r="AC6" s="85">
        <v>7.12</v>
      </c>
      <c r="AD6" s="70">
        <f>SUM(AB6*AC6)</f>
        <v>65.5523371756093</v>
      </c>
      <c r="AE6" s="70">
        <f>SUM(X6+AD6)</f>
        <v>2429.44555278815</v>
      </c>
      <c r="AF6" s="70">
        <f>SUM(P6-AE6)</f>
        <v>61.584447211852</v>
      </c>
    </row>
    <row r="7" s="2" customFormat="1" spans="1:32">
      <c r="A7" s="90"/>
      <c r="B7" s="47"/>
      <c r="C7" s="22">
        <v>240812000057</v>
      </c>
      <c r="D7" s="117">
        <v>45518</v>
      </c>
      <c r="E7" s="23" t="s">
        <v>62</v>
      </c>
      <c r="F7" s="47" t="s">
        <v>63</v>
      </c>
      <c r="G7" s="47" t="s">
        <v>69</v>
      </c>
      <c r="H7" s="91">
        <v>2.0765</v>
      </c>
      <c r="I7" s="91">
        <v>1506</v>
      </c>
      <c r="J7" s="48"/>
      <c r="K7" s="97">
        <v>1325000</v>
      </c>
      <c r="L7" s="92"/>
      <c r="M7" s="45">
        <f t="shared" si="0"/>
        <v>1924.58541815562</v>
      </c>
      <c r="N7" s="46">
        <v>688.45996</v>
      </c>
      <c r="O7" s="47">
        <v>7.12</v>
      </c>
      <c r="P7" s="48">
        <f>SUM(N7*O7)</f>
        <v>4901.8349152</v>
      </c>
      <c r="Q7" s="102"/>
      <c r="R7" s="102"/>
      <c r="S7" s="121">
        <f t="shared" si="1"/>
        <v>3933.97829977019</v>
      </c>
      <c r="T7" s="70">
        <f t="shared" si="2"/>
        <v>66.2044581300924</v>
      </c>
      <c r="U7" s="70"/>
      <c r="V7" s="70"/>
      <c r="W7" s="70"/>
      <c r="X7" s="101">
        <f>SUM(S7:W7)</f>
        <v>4000.18275790028</v>
      </c>
      <c r="Y7" s="84"/>
      <c r="Z7" s="84"/>
      <c r="AA7" s="84">
        <f t="shared" si="3"/>
        <v>15.5797385799021</v>
      </c>
      <c r="AB7" s="84">
        <f>SUM(Y7:AA7)</f>
        <v>15.5797385799021</v>
      </c>
      <c r="AC7" s="85">
        <v>7.12</v>
      </c>
      <c r="AD7" s="70">
        <f>SUM(AB7*AC7)</f>
        <v>110.927738688903</v>
      </c>
      <c r="AE7" s="70">
        <f>SUM(X7+AD7)</f>
        <v>4111.11049658919</v>
      </c>
      <c r="AF7" s="70">
        <f>SUM(P7-AE7)</f>
        <v>790.724418610815</v>
      </c>
    </row>
    <row r="8" s="2" customFormat="1" spans="1:32">
      <c r="A8" s="90"/>
      <c r="B8" s="47"/>
      <c r="C8" s="22">
        <v>240813000031</v>
      </c>
      <c r="D8" s="117">
        <v>45518</v>
      </c>
      <c r="E8" s="23" t="s">
        <v>59</v>
      </c>
      <c r="F8" s="47" t="s">
        <v>59</v>
      </c>
      <c r="G8" s="47" t="s">
        <v>110</v>
      </c>
      <c r="H8" s="91">
        <v>2.3157</v>
      </c>
      <c r="I8" s="91">
        <v>122</v>
      </c>
      <c r="J8" s="42"/>
      <c r="K8" s="119"/>
      <c r="L8" s="92"/>
      <c r="M8" s="45">
        <f t="shared" si="0"/>
        <v>0</v>
      </c>
      <c r="N8" s="120">
        <v>648.4</v>
      </c>
      <c r="O8" s="47">
        <v>7.08</v>
      </c>
      <c r="P8" s="48">
        <f>SUM(N8*O8)</f>
        <v>4590.672</v>
      </c>
      <c r="Q8" s="102"/>
      <c r="R8" s="102"/>
      <c r="S8" s="121">
        <f t="shared" si="1"/>
        <v>4387.14835000136</v>
      </c>
      <c r="T8" s="70">
        <f t="shared" si="2"/>
        <v>73.8308036079244</v>
      </c>
      <c r="U8" s="70"/>
      <c r="V8" s="70"/>
      <c r="W8" s="70"/>
      <c r="X8" s="101">
        <f>SUM(S8:W8)</f>
        <v>4460.97915360929</v>
      </c>
      <c r="Y8" s="84"/>
      <c r="Z8" s="84"/>
      <c r="AA8" s="84">
        <f t="shared" si="3"/>
        <v>17.3744284273919</v>
      </c>
      <c r="AB8" s="84">
        <f>SUM(Y8:AA8)</f>
        <v>17.3744284273919</v>
      </c>
      <c r="AC8" s="85">
        <v>7.12</v>
      </c>
      <c r="AD8" s="70">
        <f>SUM(AB8*AC8)</f>
        <v>123.70593040303</v>
      </c>
      <c r="AE8" s="70">
        <f>SUM(X8+AD8)</f>
        <v>4584.68508401232</v>
      </c>
      <c r="AF8" s="70">
        <f>SUM(P8-AE8)</f>
        <v>5.98691598768255</v>
      </c>
    </row>
    <row r="9" s="2" customFormat="1" spans="1:32">
      <c r="A9" s="90"/>
      <c r="B9" s="47"/>
      <c r="C9" s="22">
        <v>240814000030</v>
      </c>
      <c r="D9" s="117">
        <v>45518</v>
      </c>
      <c r="E9" s="23" t="s">
        <v>59</v>
      </c>
      <c r="F9" s="47" t="s">
        <v>59</v>
      </c>
      <c r="G9" s="47" t="s">
        <v>111</v>
      </c>
      <c r="H9" s="91">
        <v>1.5403</v>
      </c>
      <c r="I9" s="91">
        <v>189.9</v>
      </c>
      <c r="J9" s="42">
        <v>2643.36</v>
      </c>
      <c r="K9" s="119"/>
      <c r="L9" s="92"/>
      <c r="M9" s="45"/>
      <c r="N9" s="93"/>
      <c r="O9" s="47"/>
      <c r="P9" s="48">
        <f>SUBTOTAL(9,J9)</f>
        <v>2643.36</v>
      </c>
      <c r="Q9" s="103"/>
      <c r="R9" s="103"/>
      <c r="S9" s="121">
        <f t="shared" si="1"/>
        <v>2918.13473399279</v>
      </c>
      <c r="T9" s="70">
        <f t="shared" si="2"/>
        <v>49.1089462353871</v>
      </c>
      <c r="U9" s="70"/>
      <c r="V9" s="70"/>
      <c r="W9" s="70"/>
      <c r="X9" s="101">
        <f>SUM(S9:W9)</f>
        <v>2967.24368022817</v>
      </c>
      <c r="Y9" s="84"/>
      <c r="Z9" s="84"/>
      <c r="AA9" s="84">
        <f t="shared" si="3"/>
        <v>11.5566921910056</v>
      </c>
      <c r="AB9" s="84">
        <f>SUM(Y9:AA9)</f>
        <v>11.5566921910056</v>
      </c>
      <c r="AC9" s="85">
        <v>7.12</v>
      </c>
      <c r="AD9" s="70">
        <f>SUM(AB9*AC9)</f>
        <v>82.28364839996</v>
      </c>
      <c r="AE9" s="70">
        <f>SUM(X9+AD9)</f>
        <v>3049.52732862813</v>
      </c>
      <c r="AF9" s="70">
        <f>SUM(P9-AE9)</f>
        <v>-406.167328628135</v>
      </c>
    </row>
    <row r="10" ht="15.75" spans="1:32">
      <c r="A10" s="25" t="s">
        <v>26</v>
      </c>
      <c r="B10" s="26"/>
      <c r="C10" s="26"/>
      <c r="D10" s="26"/>
      <c r="E10" s="26"/>
      <c r="F10" s="26"/>
      <c r="G10" s="26"/>
      <c r="H10" s="26"/>
      <c r="I10" s="49"/>
      <c r="J10" s="26">
        <f>SUM(J4:J4)</f>
        <v>0</v>
      </c>
      <c r="K10" s="50"/>
      <c r="L10" s="51"/>
      <c r="M10" s="50"/>
      <c r="N10" s="50">
        <f t="shared" ref="N10:Q10" si="4">SUM(N4:N4)</f>
        <v>0</v>
      </c>
      <c r="O10" s="26"/>
      <c r="P10" s="26">
        <f t="shared" si="4"/>
        <v>0</v>
      </c>
      <c r="Q10" s="26">
        <f t="shared" si="4"/>
        <v>0</v>
      </c>
      <c r="R10" s="26"/>
      <c r="S10" s="26"/>
      <c r="T10" s="26"/>
      <c r="U10" s="26"/>
      <c r="V10" s="26"/>
      <c r="W10" s="26"/>
      <c r="X10" s="72">
        <f>SUM(X4:X4)</f>
        <v>0</v>
      </c>
      <c r="Y10" s="51"/>
      <c r="Z10" s="51"/>
      <c r="AA10" s="51"/>
      <c r="AB10" s="51"/>
      <c r="AC10" s="50"/>
      <c r="AD10" s="26">
        <f>SUM(AD4:AD4)</f>
        <v>0</v>
      </c>
      <c r="AE10" s="26"/>
      <c r="AF10" s="86">
        <f>SUM(AF4:AF9)</f>
        <v>1577.5441652</v>
      </c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</sheetData>
  <autoFilter xmlns:etc="http://www.wps.cn/officeDocument/2017/etCustomData" ref="A3:AF10" etc:filterBottomFollowUsedRange="0">
    <extLst/>
  </autoFilter>
  <mergeCells count="21">
    <mergeCell ref="A1:AF1"/>
    <mergeCell ref="J3:P3"/>
    <mergeCell ref="R3:V3"/>
    <mergeCell ref="Y3:AD3"/>
    <mergeCell ref="A3:A4"/>
    <mergeCell ref="A5:A9"/>
    <mergeCell ref="B3:B4"/>
    <mergeCell ref="B5:B9"/>
    <mergeCell ref="C3:C4"/>
    <mergeCell ref="D3:D4"/>
    <mergeCell ref="E3:E4"/>
    <mergeCell ref="F3:F4"/>
    <mergeCell ref="G3:G4"/>
    <mergeCell ref="H3:H4"/>
    <mergeCell ref="I3:I4"/>
    <mergeCell ref="Q3:Q4"/>
    <mergeCell ref="Q5:Q9"/>
    <mergeCell ref="R5:R9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A5" sqref="$A5:$XFD52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4" t="s">
        <v>39</v>
      </c>
      <c r="Z2" s="74"/>
      <c r="AA2" s="74"/>
      <c r="AB2" s="74"/>
      <c r="AC2" s="75"/>
      <c r="AD2" s="74"/>
      <c r="AE2" s="76" t="s">
        <v>40</v>
      </c>
      <c r="AF2" s="77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8" t="s">
        <v>53</v>
      </c>
      <c r="Z3" s="78" t="s">
        <v>54</v>
      </c>
      <c r="AA3" s="78" t="s">
        <v>55</v>
      </c>
      <c r="AB3" s="79" t="s">
        <v>56</v>
      </c>
      <c r="AC3" s="80" t="s">
        <v>57</v>
      </c>
      <c r="AD3" s="81" t="s">
        <v>47</v>
      </c>
      <c r="AE3" s="82" t="s">
        <v>58</v>
      </c>
      <c r="AF3" s="83"/>
    </row>
    <row r="4" s="2" customFormat="1" spans="1:32">
      <c r="A4" s="116" t="s">
        <v>12</v>
      </c>
      <c r="B4" s="115" t="s">
        <v>13</v>
      </c>
      <c r="C4" s="22">
        <v>240830000002</v>
      </c>
      <c r="D4" s="23">
        <v>45583</v>
      </c>
      <c r="E4" s="23" t="s">
        <v>59</v>
      </c>
      <c r="F4" s="115" t="s">
        <v>59</v>
      </c>
      <c r="G4" s="115" t="s">
        <v>112</v>
      </c>
      <c r="H4" s="115" t="s">
        <v>113</v>
      </c>
      <c r="I4" s="115"/>
      <c r="J4" s="48"/>
      <c r="K4" s="97">
        <v>18000000</v>
      </c>
      <c r="L4" s="92"/>
      <c r="M4" s="45">
        <f>SUM(K4/N4)</f>
        <v>1744.9909066585</v>
      </c>
      <c r="N4" s="98">
        <v>10315.24</v>
      </c>
      <c r="O4" s="47">
        <v>7.12</v>
      </c>
      <c r="P4" s="48">
        <f>SUM(N4*O4)</f>
        <v>73444.5088</v>
      </c>
      <c r="Q4" s="70">
        <f>SUM(P4)</f>
        <v>73444.5088</v>
      </c>
      <c r="R4" s="70"/>
      <c r="S4" s="70"/>
      <c r="T4" s="70"/>
      <c r="U4" s="70"/>
      <c r="V4" s="70"/>
      <c r="W4" s="70"/>
      <c r="X4" s="101">
        <f>SUM(S4:W4)</f>
        <v>0</v>
      </c>
      <c r="Y4" s="84">
        <v>10324.48</v>
      </c>
      <c r="Z4" s="84"/>
      <c r="AA4" s="84"/>
      <c r="AB4" s="84">
        <f>SUM(Y4:AA4)</f>
        <v>10324.48</v>
      </c>
      <c r="AC4" s="85">
        <v>7.12</v>
      </c>
      <c r="AD4" s="70">
        <f>SUM(AB4*AC4)</f>
        <v>73510.2976</v>
      </c>
      <c r="AE4" s="70">
        <f>SUM(X4+AD4)</f>
        <v>73510.2976</v>
      </c>
      <c r="AF4" s="70">
        <f>SUM(P4-AE4)</f>
        <v>-65.7887999999948</v>
      </c>
    </row>
    <row r="5" ht="15.75" spans="1:32">
      <c r="A5" s="25" t="s">
        <v>26</v>
      </c>
      <c r="B5" s="26"/>
      <c r="C5" s="26"/>
      <c r="D5" s="26"/>
      <c r="E5" s="26"/>
      <c r="F5" s="26"/>
      <c r="G5" s="26"/>
      <c r="H5" s="26"/>
      <c r="I5" s="49"/>
      <c r="J5" s="26">
        <f>SUM(J3:J3)</f>
        <v>0</v>
      </c>
      <c r="K5" s="50"/>
      <c r="L5" s="51"/>
      <c r="M5" s="50"/>
      <c r="N5" s="50">
        <f t="shared" ref="N5:Q5" si="0">SUM(N3:N3)</f>
        <v>0</v>
      </c>
      <c r="O5" s="26"/>
      <c r="P5" s="26">
        <f t="shared" si="0"/>
        <v>0</v>
      </c>
      <c r="Q5" s="26">
        <f t="shared" si="0"/>
        <v>0</v>
      </c>
      <c r="R5" s="26"/>
      <c r="S5" s="26"/>
      <c r="T5" s="26"/>
      <c r="U5" s="26"/>
      <c r="V5" s="26"/>
      <c r="W5" s="26"/>
      <c r="X5" s="72">
        <f>SUM(X3:X3)</f>
        <v>0</v>
      </c>
      <c r="Y5" s="51"/>
      <c r="Z5" s="51"/>
      <c r="AA5" s="51"/>
      <c r="AB5" s="51"/>
      <c r="AC5" s="50"/>
      <c r="AD5" s="26">
        <f>SUM(AD3:AD3)</f>
        <v>0</v>
      </c>
      <c r="AE5" s="26"/>
      <c r="AF5" s="86">
        <f>SUM(AF3:AF4)</f>
        <v>-65.7887999999948</v>
      </c>
    </row>
    <row r="6" customFormat="1" spans="4:32">
      <c r="D6" s="3"/>
      <c r="E6" s="3"/>
      <c r="K6" s="4"/>
      <c r="L6" s="5"/>
      <c r="M6" s="4"/>
      <c r="X6" s="7"/>
      <c r="Y6" s="5"/>
      <c r="Z6" s="5"/>
      <c r="AA6" s="5"/>
      <c r="AB6" s="5"/>
      <c r="AC6" s="4"/>
      <c r="AF6" s="8"/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</sheetData>
  <autoFilter xmlns:etc="http://www.wps.cn/officeDocument/2017/etCustomData" ref="A2:AF5" etc:filterBottomFollowUsedRange="0">
    <extLst/>
  </autoFilter>
  <mergeCells count="17">
    <mergeCell ref="A1:AF1"/>
    <mergeCell ref="J2:P2"/>
    <mergeCell ref="R2:V2"/>
    <mergeCell ref="Y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C5" sqref="$A5:$XFD51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4" t="s">
        <v>39</v>
      </c>
      <c r="Z2" s="74"/>
      <c r="AA2" s="74"/>
      <c r="AB2" s="74"/>
      <c r="AC2" s="75"/>
      <c r="AD2" s="74"/>
      <c r="AE2" s="76" t="s">
        <v>40</v>
      </c>
      <c r="AF2" s="77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8" t="s">
        <v>53</v>
      </c>
      <c r="Z3" s="78" t="s">
        <v>54</v>
      </c>
      <c r="AA3" s="78" t="s">
        <v>55</v>
      </c>
      <c r="AB3" s="79" t="s">
        <v>56</v>
      </c>
      <c r="AC3" s="80" t="s">
        <v>57</v>
      </c>
      <c r="AD3" s="81" t="s">
        <v>47</v>
      </c>
      <c r="AE3" s="82" t="s">
        <v>58</v>
      </c>
      <c r="AF3" s="83"/>
    </row>
    <row r="4" s="2" customFormat="1" spans="1:32">
      <c r="A4" s="90" t="s">
        <v>14</v>
      </c>
      <c r="B4" s="47" t="s">
        <v>15</v>
      </c>
      <c r="C4" s="22">
        <v>240830000001</v>
      </c>
      <c r="D4" s="23">
        <v>45583</v>
      </c>
      <c r="E4" s="23" t="s">
        <v>59</v>
      </c>
      <c r="F4" s="47" t="s">
        <v>59</v>
      </c>
      <c r="G4" s="47" t="s">
        <v>112</v>
      </c>
      <c r="H4" s="115" t="s">
        <v>113</v>
      </c>
      <c r="I4" s="115"/>
      <c r="J4" s="48"/>
      <c r="K4" s="97">
        <v>15200000</v>
      </c>
      <c r="L4" s="92"/>
      <c r="M4" s="45">
        <f>SUM(K4/N4)</f>
        <v>1710.99898814672</v>
      </c>
      <c r="N4" s="46">
        <v>8883.699</v>
      </c>
      <c r="O4" s="47">
        <v>7.12</v>
      </c>
      <c r="P4" s="48">
        <f>SUM(N4*O4)</f>
        <v>63251.93688</v>
      </c>
      <c r="Q4" s="70">
        <f>SUM(P4)</f>
        <v>63251.93688</v>
      </c>
      <c r="R4" s="70"/>
      <c r="S4" s="70"/>
      <c r="T4" s="70"/>
      <c r="U4" s="70"/>
      <c r="V4" s="70"/>
      <c r="W4" s="70"/>
      <c r="X4" s="101">
        <f>SUM(S4:W4)</f>
        <v>0</v>
      </c>
      <c r="Y4" s="84">
        <v>7374.63</v>
      </c>
      <c r="Z4" s="84"/>
      <c r="AA4" s="84"/>
      <c r="AB4" s="84">
        <f>SUM(Y4:AA4)</f>
        <v>7374.63</v>
      </c>
      <c r="AC4" s="85">
        <v>7.12</v>
      </c>
      <c r="AD4" s="70">
        <f>SUM(AB4*AC4)</f>
        <v>52507.3656</v>
      </c>
      <c r="AE4" s="70">
        <f>SUM(X4+AD4)</f>
        <v>52507.3656</v>
      </c>
      <c r="AF4" s="70">
        <f>SUM(P4-AE4)</f>
        <v>10744.57128</v>
      </c>
    </row>
    <row r="5" ht="15.75" spans="1:32">
      <c r="A5" s="25" t="s">
        <v>26</v>
      </c>
      <c r="B5" s="26"/>
      <c r="C5" s="26"/>
      <c r="D5" s="26"/>
      <c r="E5" s="26"/>
      <c r="F5" s="26"/>
      <c r="G5" s="26"/>
      <c r="H5" s="26"/>
      <c r="I5" s="49"/>
      <c r="J5" s="26">
        <f>SUM(J3:J3)</f>
        <v>0</v>
      </c>
      <c r="K5" s="50"/>
      <c r="L5" s="51"/>
      <c r="M5" s="50"/>
      <c r="N5" s="50">
        <f t="shared" ref="N5:Q5" si="0">SUM(N3:N3)</f>
        <v>0</v>
      </c>
      <c r="O5" s="26"/>
      <c r="P5" s="26">
        <f t="shared" si="0"/>
        <v>0</v>
      </c>
      <c r="Q5" s="26">
        <f t="shared" si="0"/>
        <v>0</v>
      </c>
      <c r="R5" s="26"/>
      <c r="S5" s="26"/>
      <c r="T5" s="26"/>
      <c r="U5" s="26"/>
      <c r="V5" s="26"/>
      <c r="W5" s="26"/>
      <c r="X5" s="72">
        <f>SUM(X3:X3)</f>
        <v>0</v>
      </c>
      <c r="Y5" s="51"/>
      <c r="Z5" s="51"/>
      <c r="AA5" s="51"/>
      <c r="AB5" s="51"/>
      <c r="AC5" s="50"/>
      <c r="AD5" s="26">
        <f>SUM(AD3:AD3)</f>
        <v>0</v>
      </c>
      <c r="AE5" s="26"/>
      <c r="AF5" s="86">
        <f>SUM(AF3:AF4)</f>
        <v>10744.57128</v>
      </c>
    </row>
    <row r="6" customFormat="1" spans="4:32">
      <c r="D6" s="3"/>
      <c r="E6" s="3"/>
      <c r="K6" s="4"/>
      <c r="L6" s="5"/>
      <c r="M6" s="4"/>
      <c r="X6" s="7"/>
      <c r="Y6" s="5"/>
      <c r="Z6" s="5"/>
      <c r="AA6" s="5"/>
      <c r="AB6" s="5"/>
      <c r="AC6" s="4"/>
      <c r="AF6" s="8"/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</sheetData>
  <autoFilter xmlns:etc="http://www.wps.cn/officeDocument/2017/etCustomData" ref="A2:AF5" etc:filterBottomFollowUsedRange="0">
    <extLst/>
  </autoFilter>
  <mergeCells count="17">
    <mergeCell ref="A1:AF1"/>
    <mergeCell ref="J2:P2"/>
    <mergeCell ref="R2:V2"/>
    <mergeCell ref="Y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69.7395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16</v>
      </c>
      <c r="B5" s="47" t="s">
        <v>17</v>
      </c>
      <c r="C5" s="22">
        <v>240816000024</v>
      </c>
      <c r="D5" s="23">
        <v>45554</v>
      </c>
      <c r="E5" s="23" t="s">
        <v>78</v>
      </c>
      <c r="F5" s="47" t="s">
        <v>79</v>
      </c>
      <c r="G5" s="47" t="s">
        <v>103</v>
      </c>
      <c r="H5" s="91">
        <v>4.5226</v>
      </c>
      <c r="I5" s="91">
        <v>5204</v>
      </c>
      <c r="J5" s="42">
        <v>10335.77</v>
      </c>
      <c r="K5" s="85"/>
      <c r="L5" s="112"/>
      <c r="M5" s="45"/>
      <c r="N5" s="46"/>
      <c r="O5" s="47"/>
      <c r="P5" s="48">
        <f>SUBTOTAL(9,J5)</f>
        <v>10335.77</v>
      </c>
      <c r="Q5" s="99">
        <f>SUM(P5:P25)</f>
        <v>147850.33616548</v>
      </c>
      <c r="R5" s="100" t="s">
        <v>114</v>
      </c>
      <c r="S5" s="70">
        <f>SUM(45623/68)*H5</f>
        <v>3034.33205588235</v>
      </c>
      <c r="T5" s="70"/>
      <c r="U5" s="70">
        <f>SUM(1600/68)*H5</f>
        <v>106.414117647059</v>
      </c>
      <c r="V5" s="70"/>
      <c r="W5" s="70"/>
      <c r="X5" s="101">
        <f t="shared" ref="X5:X12" si="0">SUM(S5:W5)</f>
        <v>3140.74617352941</v>
      </c>
      <c r="Y5" s="84">
        <f>SUM(10737.46/68)*H5</f>
        <v>714.135832294117</v>
      </c>
      <c r="Z5" s="84"/>
      <c r="AA5" s="84">
        <f>SUM(53.1/68)*H5</f>
        <v>3.53161852941176</v>
      </c>
      <c r="AB5" s="84">
        <f t="shared" ref="AB5:AB12" si="1">SUM(Y5:AA5)</f>
        <v>717.667450823529</v>
      </c>
      <c r="AC5" s="85">
        <v>7.18</v>
      </c>
      <c r="AD5" s="70">
        <f t="shared" ref="AD5:AD12" si="2">SUM(AB5*AC5)</f>
        <v>5152.85229691294</v>
      </c>
      <c r="AE5" s="70">
        <f t="shared" ref="AE5:AE12" si="3">SUM(X5+AD5)</f>
        <v>8293.59847044235</v>
      </c>
      <c r="AF5" s="70">
        <f t="shared" ref="AF5:AF12" si="4">SUM(P5-AE5)</f>
        <v>2042.17152955765</v>
      </c>
    </row>
    <row r="6" s="2" customFormat="1" spans="1:32">
      <c r="A6" s="90"/>
      <c r="B6" s="47"/>
      <c r="C6" s="22">
        <v>240828000061</v>
      </c>
      <c r="D6" s="23">
        <v>45554</v>
      </c>
      <c r="E6" s="23" t="s">
        <v>59</v>
      </c>
      <c r="F6" s="47" t="s">
        <v>59</v>
      </c>
      <c r="G6" s="47" t="s">
        <v>96</v>
      </c>
      <c r="H6" s="91">
        <v>8.526</v>
      </c>
      <c r="I6" s="91">
        <v>1229</v>
      </c>
      <c r="J6" s="42">
        <v>19021</v>
      </c>
      <c r="K6" s="85"/>
      <c r="L6" s="92"/>
      <c r="M6" s="45"/>
      <c r="N6" s="93"/>
      <c r="O6" s="47"/>
      <c r="P6" s="48">
        <f>SUBTOTAL(9,J6)</f>
        <v>19021</v>
      </c>
      <c r="Q6" s="102"/>
      <c r="R6" s="110"/>
      <c r="S6" s="70">
        <f t="shared" ref="S6:S25" si="5">SUM(45623/68)*H6</f>
        <v>5720.31908823529</v>
      </c>
      <c r="T6" s="70"/>
      <c r="U6" s="70">
        <f t="shared" ref="U6:U25" si="6">SUM(1600/68)*H6</f>
        <v>200.611764705882</v>
      </c>
      <c r="V6" s="70"/>
      <c r="W6" s="70"/>
      <c r="X6" s="101">
        <f t="shared" si="0"/>
        <v>5920.93085294118</v>
      </c>
      <c r="Y6" s="84">
        <f t="shared" ref="Y6:Y25" si="7">SUM(10737.46/68)*H6</f>
        <v>1346.28799941176</v>
      </c>
      <c r="Z6" s="84"/>
      <c r="AA6" s="84">
        <f t="shared" ref="AA6:AA25" si="8">SUM(53.1/68)*H6</f>
        <v>6.65780294117647</v>
      </c>
      <c r="AB6" s="84">
        <f t="shared" si="1"/>
        <v>1352.94580235294</v>
      </c>
      <c r="AC6" s="85">
        <v>7.18</v>
      </c>
      <c r="AD6" s="70">
        <f t="shared" si="2"/>
        <v>9714.15086089412</v>
      </c>
      <c r="AE6" s="70">
        <f t="shared" si="3"/>
        <v>15635.0817138353</v>
      </c>
      <c r="AF6" s="70">
        <f t="shared" si="4"/>
        <v>3385.91828616471</v>
      </c>
    </row>
    <row r="7" s="2" customFormat="1" spans="1:32">
      <c r="A7" s="90"/>
      <c r="B7" s="47"/>
      <c r="C7" s="22">
        <v>240905000030</v>
      </c>
      <c r="D7" s="23">
        <v>45554</v>
      </c>
      <c r="E7" s="23" t="s">
        <v>66</v>
      </c>
      <c r="F7" s="47" t="s">
        <v>67</v>
      </c>
      <c r="G7" s="47" t="s">
        <v>94</v>
      </c>
      <c r="H7" s="91">
        <v>6.5636</v>
      </c>
      <c r="I7" s="91">
        <v>3760</v>
      </c>
      <c r="J7" s="48"/>
      <c r="K7" s="97">
        <v>3334275</v>
      </c>
      <c r="L7" s="92"/>
      <c r="M7" s="45">
        <f>SUM(K7/N7)</f>
        <v>1750.04592573153</v>
      </c>
      <c r="N7" s="46">
        <v>1905.25</v>
      </c>
      <c r="O7" s="47">
        <v>7.23</v>
      </c>
      <c r="P7" s="48">
        <f>SUM(N7*O7)</f>
        <v>13774.9575</v>
      </c>
      <c r="Q7" s="102"/>
      <c r="R7" s="110"/>
      <c r="S7" s="70">
        <f t="shared" si="5"/>
        <v>4403.69298235294</v>
      </c>
      <c r="T7" s="70"/>
      <c r="U7" s="70">
        <f t="shared" si="6"/>
        <v>154.437647058824</v>
      </c>
      <c r="V7" s="70"/>
      <c r="W7" s="70"/>
      <c r="X7" s="101">
        <f t="shared" si="0"/>
        <v>4558.13062941176</v>
      </c>
      <c r="Y7" s="84">
        <f t="shared" si="7"/>
        <v>1036.41753611765</v>
      </c>
      <c r="Z7" s="84"/>
      <c r="AA7" s="84">
        <f t="shared" si="8"/>
        <v>5.12539941176471</v>
      </c>
      <c r="AB7" s="84">
        <f t="shared" si="1"/>
        <v>1041.54293552941</v>
      </c>
      <c r="AC7" s="85">
        <v>7.18</v>
      </c>
      <c r="AD7" s="70">
        <f t="shared" si="2"/>
        <v>7478.27827710118</v>
      </c>
      <c r="AE7" s="70">
        <f t="shared" si="3"/>
        <v>12036.4089065129</v>
      </c>
      <c r="AF7" s="70">
        <f t="shared" si="4"/>
        <v>1738.54859348706</v>
      </c>
    </row>
    <row r="8" s="2" customFormat="1" spans="1:32">
      <c r="A8" s="90"/>
      <c r="B8" s="47"/>
      <c r="C8" s="22">
        <v>240909000050</v>
      </c>
      <c r="D8" s="23">
        <v>45554</v>
      </c>
      <c r="E8" s="23" t="s">
        <v>74</v>
      </c>
      <c r="F8" s="47" t="s">
        <v>75</v>
      </c>
      <c r="G8" s="47" t="s">
        <v>76</v>
      </c>
      <c r="H8" s="91">
        <v>0.0321</v>
      </c>
      <c r="I8" s="91">
        <v>3.5</v>
      </c>
      <c r="J8" s="48"/>
      <c r="K8" s="85"/>
      <c r="L8" s="112">
        <v>8.99</v>
      </c>
      <c r="M8" s="45">
        <f>SUM(K8/N8)</f>
        <v>0</v>
      </c>
      <c r="N8" s="46">
        <v>8.990002</v>
      </c>
      <c r="O8" s="47">
        <v>7.08</v>
      </c>
      <c r="P8" s="48">
        <f>SUM(N8*O8)</f>
        <v>63.64921416</v>
      </c>
      <c r="Q8" s="102"/>
      <c r="R8" s="110"/>
      <c r="S8" s="70">
        <f t="shared" si="5"/>
        <v>21.5367397058824</v>
      </c>
      <c r="T8" s="70"/>
      <c r="U8" s="70">
        <f t="shared" si="6"/>
        <v>0.755294117647059</v>
      </c>
      <c r="V8" s="70"/>
      <c r="W8" s="70"/>
      <c r="X8" s="101">
        <f t="shared" si="0"/>
        <v>22.2920338235294</v>
      </c>
      <c r="Y8" s="84">
        <f t="shared" si="7"/>
        <v>5.06871273529412</v>
      </c>
      <c r="Z8" s="84"/>
      <c r="AA8" s="84">
        <f t="shared" si="8"/>
        <v>0.0250663235294118</v>
      </c>
      <c r="AB8" s="84">
        <f t="shared" si="1"/>
        <v>5.09377905882353</v>
      </c>
      <c r="AC8" s="85">
        <v>7.18</v>
      </c>
      <c r="AD8" s="70">
        <f t="shared" si="2"/>
        <v>36.5733336423529</v>
      </c>
      <c r="AE8" s="70">
        <f t="shared" si="3"/>
        <v>58.8653674658823</v>
      </c>
      <c r="AF8" s="70">
        <f t="shared" si="4"/>
        <v>4.78384669411766</v>
      </c>
    </row>
    <row r="9" s="2" customFormat="1" spans="1:32">
      <c r="A9" s="90"/>
      <c r="B9" s="47"/>
      <c r="C9" s="22">
        <v>240911000014</v>
      </c>
      <c r="D9" s="23">
        <v>45554</v>
      </c>
      <c r="E9" s="23" t="s">
        <v>78</v>
      </c>
      <c r="F9" s="47" t="s">
        <v>79</v>
      </c>
      <c r="G9" s="47" t="s">
        <v>115</v>
      </c>
      <c r="H9" s="91">
        <v>0.546</v>
      </c>
      <c r="I9" s="91">
        <v>153</v>
      </c>
      <c r="J9" s="42">
        <v>1212.75</v>
      </c>
      <c r="K9" s="85"/>
      <c r="L9" s="92"/>
      <c r="M9" s="45"/>
      <c r="N9" s="93"/>
      <c r="O9" s="47"/>
      <c r="P9" s="48">
        <f t="shared" ref="P9:P12" si="9">SUBTOTAL(9,J9)</f>
        <v>1212.75</v>
      </c>
      <c r="Q9" s="102"/>
      <c r="R9" s="110"/>
      <c r="S9" s="70">
        <f t="shared" si="5"/>
        <v>366.325852941176</v>
      </c>
      <c r="T9" s="70"/>
      <c r="U9" s="70">
        <f t="shared" si="6"/>
        <v>12.8470588235294</v>
      </c>
      <c r="V9" s="70"/>
      <c r="W9" s="70"/>
      <c r="X9" s="101">
        <f t="shared" si="0"/>
        <v>379.172911764706</v>
      </c>
      <c r="Y9" s="84">
        <f t="shared" si="7"/>
        <v>86.2154876470588</v>
      </c>
      <c r="Z9" s="84"/>
      <c r="AA9" s="84">
        <f t="shared" si="8"/>
        <v>0.426361764705882</v>
      </c>
      <c r="AB9" s="84">
        <f t="shared" si="1"/>
        <v>86.6418494117647</v>
      </c>
      <c r="AC9" s="85">
        <v>7.18</v>
      </c>
      <c r="AD9" s="70">
        <f t="shared" si="2"/>
        <v>622.088478776471</v>
      </c>
      <c r="AE9" s="70">
        <f t="shared" si="3"/>
        <v>1001.26139054118</v>
      </c>
      <c r="AF9" s="70">
        <f t="shared" si="4"/>
        <v>211.488609458823</v>
      </c>
    </row>
    <row r="10" s="2" customFormat="1" spans="1:32">
      <c r="A10" s="90"/>
      <c r="B10" s="47"/>
      <c r="C10" s="22">
        <v>240912000025</v>
      </c>
      <c r="D10" s="23">
        <v>45554</v>
      </c>
      <c r="E10" s="23" t="s">
        <v>88</v>
      </c>
      <c r="F10" s="47" t="s">
        <v>89</v>
      </c>
      <c r="G10" s="47" t="s">
        <v>93</v>
      </c>
      <c r="H10" s="91">
        <v>0.0329</v>
      </c>
      <c r="I10" s="91">
        <v>7.28</v>
      </c>
      <c r="J10" s="42">
        <v>221.13</v>
      </c>
      <c r="K10" s="85"/>
      <c r="L10" s="92"/>
      <c r="M10" s="45"/>
      <c r="N10" s="93"/>
      <c r="O10" s="47"/>
      <c r="P10" s="48">
        <f t="shared" si="9"/>
        <v>221.13</v>
      </c>
      <c r="Q10" s="102"/>
      <c r="R10" s="110"/>
      <c r="S10" s="70">
        <f t="shared" si="5"/>
        <v>22.0734808823529</v>
      </c>
      <c r="T10" s="70"/>
      <c r="U10" s="70">
        <f t="shared" si="6"/>
        <v>0.774117647058824</v>
      </c>
      <c r="V10" s="70"/>
      <c r="W10" s="70"/>
      <c r="X10" s="101">
        <f t="shared" si="0"/>
        <v>22.8475985294118</v>
      </c>
      <c r="Y10" s="84">
        <f t="shared" si="7"/>
        <v>5.19503579411765</v>
      </c>
      <c r="Z10" s="84"/>
      <c r="AA10" s="84">
        <f t="shared" si="8"/>
        <v>0.0256910294117647</v>
      </c>
      <c r="AB10" s="84">
        <f t="shared" si="1"/>
        <v>5.22072682352941</v>
      </c>
      <c r="AC10" s="85">
        <v>7.18</v>
      </c>
      <c r="AD10" s="70">
        <f t="shared" si="2"/>
        <v>37.4848185929412</v>
      </c>
      <c r="AE10" s="70">
        <f t="shared" si="3"/>
        <v>60.3324171223529</v>
      </c>
      <c r="AF10" s="70">
        <f t="shared" si="4"/>
        <v>160.797582877647</v>
      </c>
    </row>
    <row r="11" s="2" customFormat="1" spans="1:32">
      <c r="A11" s="90"/>
      <c r="B11" s="47"/>
      <c r="C11" s="22">
        <v>240912000029</v>
      </c>
      <c r="D11" s="23">
        <v>45554</v>
      </c>
      <c r="E11" s="23" t="s">
        <v>78</v>
      </c>
      <c r="F11" s="47" t="s">
        <v>79</v>
      </c>
      <c r="G11" s="47" t="s">
        <v>100</v>
      </c>
      <c r="H11" s="91">
        <v>1.2975</v>
      </c>
      <c r="I11" s="91">
        <v>506</v>
      </c>
      <c r="J11" s="42">
        <v>2649</v>
      </c>
      <c r="K11" s="85"/>
      <c r="L11" s="92"/>
      <c r="M11" s="45"/>
      <c r="N11" s="93"/>
      <c r="O11" s="47"/>
      <c r="P11" s="48">
        <f t="shared" si="9"/>
        <v>2649</v>
      </c>
      <c r="Q11" s="102"/>
      <c r="R11" s="110"/>
      <c r="S11" s="70">
        <f t="shared" si="5"/>
        <v>870.527095588235</v>
      </c>
      <c r="T11" s="70"/>
      <c r="U11" s="70">
        <f t="shared" si="6"/>
        <v>30.5294117647059</v>
      </c>
      <c r="V11" s="70"/>
      <c r="W11" s="70"/>
      <c r="X11" s="101">
        <f t="shared" si="0"/>
        <v>901.056507352941</v>
      </c>
      <c r="Y11" s="84">
        <f t="shared" si="7"/>
        <v>204.880211029412</v>
      </c>
      <c r="Z11" s="84"/>
      <c r="AA11" s="84">
        <f t="shared" si="8"/>
        <v>1.01319485294118</v>
      </c>
      <c r="AB11" s="84">
        <f t="shared" si="1"/>
        <v>205.893405882353</v>
      </c>
      <c r="AC11" s="85">
        <v>7.18</v>
      </c>
      <c r="AD11" s="70">
        <f t="shared" si="2"/>
        <v>1478.31465423529</v>
      </c>
      <c r="AE11" s="70">
        <f t="shared" si="3"/>
        <v>2379.37116158824</v>
      </c>
      <c r="AF11" s="70">
        <f t="shared" si="4"/>
        <v>269.628838411765</v>
      </c>
    </row>
    <row r="12" s="2" customFormat="1" spans="1:32">
      <c r="A12" s="90"/>
      <c r="B12" s="47"/>
      <c r="C12" s="22">
        <v>240912000039</v>
      </c>
      <c r="D12" s="23">
        <v>45554</v>
      </c>
      <c r="E12" s="23" t="s">
        <v>78</v>
      </c>
      <c r="F12" s="47" t="s">
        <v>79</v>
      </c>
      <c r="G12" s="47" t="s">
        <v>103</v>
      </c>
      <c r="H12" s="91">
        <v>2.7009</v>
      </c>
      <c r="I12" s="91">
        <v>1774</v>
      </c>
      <c r="J12" s="42">
        <v>5427.88</v>
      </c>
      <c r="K12" s="85"/>
      <c r="L12" s="112"/>
      <c r="M12" s="45"/>
      <c r="N12" s="46"/>
      <c r="O12" s="47"/>
      <c r="P12" s="48">
        <f t="shared" si="9"/>
        <v>5427.88</v>
      </c>
      <c r="Q12" s="102"/>
      <c r="R12" s="110"/>
      <c r="S12" s="70">
        <f t="shared" si="5"/>
        <v>1812.10530441176</v>
      </c>
      <c r="T12" s="70"/>
      <c r="U12" s="70">
        <f t="shared" si="6"/>
        <v>63.5505882352941</v>
      </c>
      <c r="V12" s="70"/>
      <c r="W12" s="70"/>
      <c r="X12" s="101">
        <f t="shared" si="0"/>
        <v>1875.65589264706</v>
      </c>
      <c r="Y12" s="84">
        <f t="shared" si="7"/>
        <v>426.482436970588</v>
      </c>
      <c r="Z12" s="84"/>
      <c r="AA12" s="84">
        <f t="shared" si="8"/>
        <v>2.10908514705882</v>
      </c>
      <c r="AB12" s="84">
        <f t="shared" si="1"/>
        <v>428.591522117647</v>
      </c>
      <c r="AC12" s="85">
        <v>7.18</v>
      </c>
      <c r="AD12" s="70">
        <f t="shared" si="2"/>
        <v>3077.2871288047</v>
      </c>
      <c r="AE12" s="70">
        <f t="shared" si="3"/>
        <v>4952.94302145176</v>
      </c>
      <c r="AF12" s="70">
        <f t="shared" si="4"/>
        <v>474.936978548237</v>
      </c>
    </row>
    <row r="13" s="2" customFormat="1" spans="1:32">
      <c r="A13" s="90"/>
      <c r="B13" s="47"/>
      <c r="C13" s="22">
        <v>240913000002</v>
      </c>
      <c r="D13" s="23">
        <v>45554</v>
      </c>
      <c r="E13" s="23" t="s">
        <v>88</v>
      </c>
      <c r="F13" s="47" t="s">
        <v>89</v>
      </c>
      <c r="G13" s="47" t="s">
        <v>107</v>
      </c>
      <c r="H13" s="91">
        <v>0.64</v>
      </c>
      <c r="I13" s="91">
        <v>208</v>
      </c>
      <c r="J13" s="48"/>
      <c r="K13" s="97">
        <v>485452.8</v>
      </c>
      <c r="L13" s="92"/>
      <c r="M13" s="45">
        <f>SUM(K13/N13)</f>
        <v>1764.00012819768</v>
      </c>
      <c r="N13" s="46">
        <v>275.19998</v>
      </c>
      <c r="O13" s="47">
        <v>7.08</v>
      </c>
      <c r="P13" s="48">
        <f>SUM(N13*O13)</f>
        <v>1948.4158584</v>
      </c>
      <c r="Q13" s="102"/>
      <c r="R13" s="110"/>
      <c r="S13" s="70">
        <f t="shared" si="5"/>
        <v>429.392941176471</v>
      </c>
      <c r="T13" s="70"/>
      <c r="U13" s="70">
        <f t="shared" si="6"/>
        <v>15.0588235294118</v>
      </c>
      <c r="V13" s="70"/>
      <c r="W13" s="70"/>
      <c r="X13" s="101">
        <f t="shared" ref="X13:X51" si="10">SUM(S13:W13)</f>
        <v>444.451764705882</v>
      </c>
      <c r="Y13" s="84">
        <f t="shared" si="7"/>
        <v>101.058447058824</v>
      </c>
      <c r="Z13" s="84"/>
      <c r="AA13" s="84">
        <f t="shared" si="8"/>
        <v>0.499764705882353</v>
      </c>
      <c r="AB13" s="84">
        <f t="shared" ref="AB13:AB51" si="11">SUM(Y13:AA13)</f>
        <v>101.558211764706</v>
      </c>
      <c r="AC13" s="85">
        <v>7.18</v>
      </c>
      <c r="AD13" s="70">
        <f t="shared" ref="AD13:AD51" si="12">SUM(AB13*AC13)</f>
        <v>729.187960470588</v>
      </c>
      <c r="AE13" s="70">
        <f t="shared" ref="AE13:AE51" si="13">SUM(X13+AD13)</f>
        <v>1173.63972517647</v>
      </c>
      <c r="AF13" s="70">
        <f t="shared" ref="AF13:AF49" si="14">SUM(P13-AE13)</f>
        <v>774.77613322353</v>
      </c>
    </row>
    <row r="14" s="2" customFormat="1" spans="1:32">
      <c r="A14" s="90"/>
      <c r="B14" s="47"/>
      <c r="C14" s="22">
        <v>240913000030</v>
      </c>
      <c r="D14" s="23">
        <v>45554</v>
      </c>
      <c r="E14" s="23" t="s">
        <v>78</v>
      </c>
      <c r="F14" s="47" t="s">
        <v>79</v>
      </c>
      <c r="G14" s="47" t="s">
        <v>115</v>
      </c>
      <c r="H14" s="91">
        <v>0.6324</v>
      </c>
      <c r="I14" s="91">
        <v>181</v>
      </c>
      <c r="J14" s="42">
        <v>1411.2</v>
      </c>
      <c r="K14" s="85"/>
      <c r="L14" s="92"/>
      <c r="M14" s="45"/>
      <c r="N14" s="93"/>
      <c r="O14" s="47"/>
      <c r="P14" s="48">
        <f t="shared" ref="P14:P18" si="15">SUBTOTAL(9,J14)</f>
        <v>1411.2</v>
      </c>
      <c r="Q14" s="102"/>
      <c r="R14" s="110"/>
      <c r="S14" s="70">
        <f t="shared" si="5"/>
        <v>424.2939</v>
      </c>
      <c r="T14" s="70"/>
      <c r="U14" s="70">
        <f t="shared" si="6"/>
        <v>14.88</v>
      </c>
      <c r="V14" s="70"/>
      <c r="W14" s="70"/>
      <c r="X14" s="101">
        <f t="shared" si="10"/>
        <v>439.1739</v>
      </c>
      <c r="Y14" s="84">
        <f t="shared" si="7"/>
        <v>99.858378</v>
      </c>
      <c r="Z14" s="84"/>
      <c r="AA14" s="84">
        <f t="shared" si="8"/>
        <v>0.49383</v>
      </c>
      <c r="AB14" s="84">
        <f t="shared" si="11"/>
        <v>100.352208</v>
      </c>
      <c r="AC14" s="85">
        <v>7.18</v>
      </c>
      <c r="AD14" s="70">
        <f t="shared" si="12"/>
        <v>720.52885344</v>
      </c>
      <c r="AE14" s="70">
        <f t="shared" si="13"/>
        <v>1159.70275344</v>
      </c>
      <c r="AF14" s="70">
        <f t="shared" si="14"/>
        <v>251.49724656</v>
      </c>
    </row>
    <row r="15" s="2" customFormat="1" spans="1:32">
      <c r="A15" s="90"/>
      <c r="B15" s="47"/>
      <c r="C15" s="22">
        <v>240913000032</v>
      </c>
      <c r="D15" s="23">
        <v>45554</v>
      </c>
      <c r="E15" s="23" t="s">
        <v>88</v>
      </c>
      <c r="F15" s="47" t="s">
        <v>89</v>
      </c>
      <c r="G15" s="47" t="s">
        <v>116</v>
      </c>
      <c r="H15" s="91">
        <v>0.2805</v>
      </c>
      <c r="I15" s="91">
        <v>35</v>
      </c>
      <c r="J15" s="48"/>
      <c r="K15" s="97">
        <v>156631</v>
      </c>
      <c r="L15" s="92"/>
      <c r="M15" s="45">
        <f>SUM(K15/N15)</f>
        <v>1744.99786903954</v>
      </c>
      <c r="N15" s="46">
        <v>89.759995</v>
      </c>
      <c r="O15" s="47">
        <v>7.08</v>
      </c>
      <c r="P15" s="48">
        <f>SUM(N15*O15)</f>
        <v>635.5007646</v>
      </c>
      <c r="Q15" s="102"/>
      <c r="R15" s="110"/>
      <c r="S15" s="70">
        <f t="shared" si="5"/>
        <v>188.194875</v>
      </c>
      <c r="T15" s="70"/>
      <c r="U15" s="70">
        <f t="shared" si="6"/>
        <v>6.6</v>
      </c>
      <c r="V15" s="70"/>
      <c r="W15" s="70"/>
      <c r="X15" s="101">
        <f t="shared" si="10"/>
        <v>194.794875</v>
      </c>
      <c r="Y15" s="84">
        <f t="shared" si="7"/>
        <v>44.2920225</v>
      </c>
      <c r="Z15" s="84"/>
      <c r="AA15" s="84">
        <f t="shared" si="8"/>
        <v>0.2190375</v>
      </c>
      <c r="AB15" s="84">
        <f t="shared" si="11"/>
        <v>44.51106</v>
      </c>
      <c r="AC15" s="85">
        <v>7.18</v>
      </c>
      <c r="AD15" s="70">
        <f t="shared" si="12"/>
        <v>319.5894108</v>
      </c>
      <c r="AE15" s="70">
        <f t="shared" si="13"/>
        <v>514.3842858</v>
      </c>
      <c r="AF15" s="70">
        <f t="shared" si="14"/>
        <v>121.1164788</v>
      </c>
    </row>
    <row r="16" s="2" customFormat="1" spans="1:32">
      <c r="A16" s="90"/>
      <c r="B16" s="47"/>
      <c r="C16" s="22">
        <v>240911000008</v>
      </c>
      <c r="D16" s="23">
        <v>45559</v>
      </c>
      <c r="E16" s="23" t="s">
        <v>81</v>
      </c>
      <c r="F16" s="47" t="s">
        <v>82</v>
      </c>
      <c r="G16" s="47" t="s">
        <v>105</v>
      </c>
      <c r="H16" s="91">
        <v>6.1104</v>
      </c>
      <c r="I16" s="91">
        <v>5000</v>
      </c>
      <c r="J16" s="42">
        <v>15665.8</v>
      </c>
      <c r="K16" s="85"/>
      <c r="L16" s="92"/>
      <c r="M16" s="45"/>
      <c r="N16" s="93"/>
      <c r="O16" s="47"/>
      <c r="P16" s="48">
        <f t="shared" si="15"/>
        <v>15665.8</v>
      </c>
      <c r="Q16" s="102"/>
      <c r="R16" s="110"/>
      <c r="S16" s="70">
        <f t="shared" si="5"/>
        <v>4099.62910588235</v>
      </c>
      <c r="T16" s="70"/>
      <c r="U16" s="70">
        <f t="shared" si="6"/>
        <v>143.774117647059</v>
      </c>
      <c r="V16" s="70"/>
      <c r="W16" s="70"/>
      <c r="X16" s="101">
        <f t="shared" si="10"/>
        <v>4243.40322352941</v>
      </c>
      <c r="Y16" s="84">
        <f t="shared" si="7"/>
        <v>964.855523294118</v>
      </c>
      <c r="Z16" s="84"/>
      <c r="AA16" s="84">
        <f t="shared" si="8"/>
        <v>4.77150352941177</v>
      </c>
      <c r="AB16" s="84">
        <f t="shared" si="11"/>
        <v>969.627026823529</v>
      </c>
      <c r="AC16" s="85">
        <v>7.18</v>
      </c>
      <c r="AD16" s="70">
        <f t="shared" si="12"/>
        <v>6961.92205259294</v>
      </c>
      <c r="AE16" s="70">
        <f t="shared" si="13"/>
        <v>11205.3252761224</v>
      </c>
      <c r="AF16" s="70">
        <f t="shared" si="14"/>
        <v>4460.47472387765</v>
      </c>
    </row>
    <row r="17" s="2" customFormat="1" spans="1:32">
      <c r="A17" s="90"/>
      <c r="B17" s="47"/>
      <c r="C17" s="22">
        <v>240914000051</v>
      </c>
      <c r="D17" s="23">
        <v>45554</v>
      </c>
      <c r="E17" s="23" t="s">
        <v>62</v>
      </c>
      <c r="F17" s="47" t="s">
        <v>63</v>
      </c>
      <c r="G17" s="47" t="s">
        <v>117</v>
      </c>
      <c r="H17" s="91">
        <v>0.3911</v>
      </c>
      <c r="I17" s="91">
        <v>120</v>
      </c>
      <c r="J17" s="42">
        <v>907.12</v>
      </c>
      <c r="K17" s="85"/>
      <c r="L17" s="92"/>
      <c r="M17" s="45"/>
      <c r="N17" s="93"/>
      <c r="O17" s="47"/>
      <c r="P17" s="48">
        <f t="shared" si="15"/>
        <v>907.12</v>
      </c>
      <c r="Q17" s="102"/>
      <c r="R17" s="110"/>
      <c r="S17" s="70">
        <f t="shared" si="5"/>
        <v>262.399342647059</v>
      </c>
      <c r="T17" s="70"/>
      <c r="U17" s="70">
        <f t="shared" si="6"/>
        <v>9.20235294117647</v>
      </c>
      <c r="V17" s="70"/>
      <c r="W17" s="70"/>
      <c r="X17" s="101">
        <f t="shared" si="10"/>
        <v>271.601695588235</v>
      </c>
      <c r="Y17" s="84">
        <f t="shared" si="7"/>
        <v>61.7561853823529</v>
      </c>
      <c r="Z17" s="84"/>
      <c r="AA17" s="84">
        <f t="shared" si="8"/>
        <v>0.305403088235294</v>
      </c>
      <c r="AB17" s="84">
        <f t="shared" si="11"/>
        <v>62.0615884705882</v>
      </c>
      <c r="AC17" s="85">
        <v>7.18</v>
      </c>
      <c r="AD17" s="70">
        <f t="shared" si="12"/>
        <v>445.602205218823</v>
      </c>
      <c r="AE17" s="70">
        <f t="shared" si="13"/>
        <v>717.203900807059</v>
      </c>
      <c r="AF17" s="70">
        <f t="shared" si="14"/>
        <v>189.916099192941</v>
      </c>
    </row>
    <row r="18" s="2" customFormat="1" spans="1:32">
      <c r="A18" s="90"/>
      <c r="B18" s="47"/>
      <c r="C18" s="22">
        <v>240917000017</v>
      </c>
      <c r="D18" s="23">
        <v>45554</v>
      </c>
      <c r="E18" s="23" t="s">
        <v>78</v>
      </c>
      <c r="F18" s="47" t="s">
        <v>79</v>
      </c>
      <c r="G18" s="47" t="s">
        <v>118</v>
      </c>
      <c r="H18" s="91">
        <v>1.7265</v>
      </c>
      <c r="I18" s="91">
        <v>349</v>
      </c>
      <c r="J18" s="42">
        <v>4987.5</v>
      </c>
      <c r="K18" s="85"/>
      <c r="L18" s="92"/>
      <c r="M18" s="45"/>
      <c r="N18" s="93"/>
      <c r="O18" s="47"/>
      <c r="P18" s="48">
        <f t="shared" si="15"/>
        <v>4987.5</v>
      </c>
      <c r="Q18" s="102"/>
      <c r="R18" s="110"/>
      <c r="S18" s="70">
        <f t="shared" si="5"/>
        <v>1158.35455147059</v>
      </c>
      <c r="T18" s="70"/>
      <c r="U18" s="70">
        <f t="shared" si="6"/>
        <v>40.6235294117647</v>
      </c>
      <c r="V18" s="70"/>
      <c r="W18" s="70"/>
      <c r="X18" s="101">
        <f t="shared" si="10"/>
        <v>1198.97808088235</v>
      </c>
      <c r="Y18" s="84">
        <f t="shared" si="7"/>
        <v>272.620951323529</v>
      </c>
      <c r="Z18" s="84"/>
      <c r="AA18" s="84">
        <f t="shared" si="8"/>
        <v>1.34819338235294</v>
      </c>
      <c r="AB18" s="84">
        <f t="shared" si="11"/>
        <v>273.969144705882</v>
      </c>
      <c r="AC18" s="85">
        <v>7.18</v>
      </c>
      <c r="AD18" s="70">
        <f t="shared" si="12"/>
        <v>1967.09845898823</v>
      </c>
      <c r="AE18" s="70">
        <f t="shared" si="13"/>
        <v>3166.07653987059</v>
      </c>
      <c r="AF18" s="70">
        <f t="shared" si="14"/>
        <v>1821.42346012941</v>
      </c>
    </row>
    <row r="19" s="2" customFormat="1" spans="1:32">
      <c r="A19" s="90"/>
      <c r="B19" s="47"/>
      <c r="C19" s="22">
        <v>240917000018</v>
      </c>
      <c r="D19" s="23">
        <v>45554</v>
      </c>
      <c r="E19" s="23" t="s">
        <v>74</v>
      </c>
      <c r="F19" s="47" t="s">
        <v>119</v>
      </c>
      <c r="G19" s="47" t="s">
        <v>120</v>
      </c>
      <c r="H19" s="91">
        <v>0.1378</v>
      </c>
      <c r="I19" s="91">
        <v>49</v>
      </c>
      <c r="J19" s="48"/>
      <c r="K19" s="97">
        <v>77059.2</v>
      </c>
      <c r="L19" s="92"/>
      <c r="M19" s="45">
        <f>SUM(K19/N19)</f>
        <v>1744.99984193842</v>
      </c>
      <c r="N19" s="46">
        <v>44.160004</v>
      </c>
      <c r="O19" s="47">
        <v>7.08</v>
      </c>
      <c r="P19" s="48">
        <f>SUM(N19*O19)</f>
        <v>312.65282832</v>
      </c>
      <c r="Q19" s="102"/>
      <c r="R19" s="110"/>
      <c r="S19" s="70">
        <f t="shared" si="5"/>
        <v>92.4536676470588</v>
      </c>
      <c r="T19" s="70"/>
      <c r="U19" s="70">
        <f t="shared" si="6"/>
        <v>3.24235294117647</v>
      </c>
      <c r="V19" s="70"/>
      <c r="W19" s="70"/>
      <c r="X19" s="101">
        <f t="shared" si="10"/>
        <v>95.6960205882353</v>
      </c>
      <c r="Y19" s="84">
        <f t="shared" si="7"/>
        <v>21.7591468823529</v>
      </c>
      <c r="Z19" s="84"/>
      <c r="AA19" s="84">
        <f t="shared" si="8"/>
        <v>0.107605588235294</v>
      </c>
      <c r="AB19" s="84">
        <f t="shared" si="11"/>
        <v>21.8667524705882</v>
      </c>
      <c r="AC19" s="85">
        <v>7.18</v>
      </c>
      <c r="AD19" s="70">
        <f t="shared" si="12"/>
        <v>157.003282738823</v>
      </c>
      <c r="AE19" s="70">
        <f t="shared" si="13"/>
        <v>252.699303327059</v>
      </c>
      <c r="AF19" s="70">
        <f t="shared" si="14"/>
        <v>59.9535249929413</v>
      </c>
    </row>
    <row r="20" s="2" customFormat="1" spans="1:32">
      <c r="A20" s="90"/>
      <c r="B20" s="47"/>
      <c r="C20" s="22">
        <v>240918000048</v>
      </c>
      <c r="D20" s="23">
        <v>45554</v>
      </c>
      <c r="E20" s="23" t="s">
        <v>81</v>
      </c>
      <c r="F20" s="47" t="s">
        <v>82</v>
      </c>
      <c r="G20" s="47" t="s">
        <v>83</v>
      </c>
      <c r="H20" s="91">
        <v>7.1974</v>
      </c>
      <c r="I20" s="91">
        <v>2213</v>
      </c>
      <c r="J20" s="42">
        <v>16287.69</v>
      </c>
      <c r="K20" s="85"/>
      <c r="L20" s="92"/>
      <c r="M20" s="45"/>
      <c r="N20" s="93"/>
      <c r="O20" s="47"/>
      <c r="P20" s="48">
        <f t="shared" ref="P20:P29" si="16">SUBTOTAL(9,J20)</f>
        <v>16287.69</v>
      </c>
      <c r="Q20" s="102"/>
      <c r="R20" s="110"/>
      <c r="S20" s="70">
        <f t="shared" si="5"/>
        <v>4828.92617941176</v>
      </c>
      <c r="T20" s="70"/>
      <c r="U20" s="70">
        <f t="shared" si="6"/>
        <v>169.350588235294</v>
      </c>
      <c r="V20" s="70"/>
      <c r="W20" s="70"/>
      <c r="X20" s="101">
        <f t="shared" si="10"/>
        <v>4998.27676764706</v>
      </c>
      <c r="Y20" s="84">
        <f t="shared" si="7"/>
        <v>1136.49697947059</v>
      </c>
      <c r="Z20" s="84"/>
      <c r="AA20" s="84">
        <f t="shared" si="8"/>
        <v>5.62032264705882</v>
      </c>
      <c r="AB20" s="84">
        <f t="shared" si="11"/>
        <v>1142.11730211765</v>
      </c>
      <c r="AC20" s="85">
        <v>7.18</v>
      </c>
      <c r="AD20" s="70">
        <f t="shared" si="12"/>
        <v>8200.4022292047</v>
      </c>
      <c r="AE20" s="70">
        <f t="shared" si="13"/>
        <v>13198.6789968518</v>
      </c>
      <c r="AF20" s="70">
        <f t="shared" si="14"/>
        <v>3089.01100314824</v>
      </c>
    </row>
    <row r="21" s="2" customFormat="1" spans="1:32">
      <c r="A21" s="90"/>
      <c r="B21" s="47"/>
      <c r="C21" s="22">
        <v>240918000051</v>
      </c>
      <c r="D21" s="23">
        <v>45554</v>
      </c>
      <c r="E21" s="23" t="s">
        <v>59</v>
      </c>
      <c r="F21" s="47" t="s">
        <v>59</v>
      </c>
      <c r="G21" s="47" t="s">
        <v>77</v>
      </c>
      <c r="H21" s="91">
        <v>13.66</v>
      </c>
      <c r="I21" s="91">
        <v>2003</v>
      </c>
      <c r="J21" s="42">
        <v>21916.92</v>
      </c>
      <c r="K21" s="85"/>
      <c r="L21" s="92"/>
      <c r="M21" s="45"/>
      <c r="N21" s="46"/>
      <c r="O21" s="47"/>
      <c r="P21" s="48">
        <f t="shared" si="16"/>
        <v>21916.92</v>
      </c>
      <c r="Q21" s="102"/>
      <c r="R21" s="110"/>
      <c r="S21" s="70">
        <f t="shared" si="5"/>
        <v>9164.85558823529</v>
      </c>
      <c r="T21" s="70"/>
      <c r="U21" s="70">
        <f t="shared" si="6"/>
        <v>321.411764705882</v>
      </c>
      <c r="V21" s="70"/>
      <c r="W21" s="70"/>
      <c r="X21" s="101">
        <f t="shared" si="10"/>
        <v>9486.26735294118</v>
      </c>
      <c r="Y21" s="84">
        <f t="shared" si="7"/>
        <v>2156.96622941176</v>
      </c>
      <c r="Z21" s="84"/>
      <c r="AA21" s="84">
        <f t="shared" si="8"/>
        <v>10.6668529411765</v>
      </c>
      <c r="AB21" s="84">
        <f t="shared" si="11"/>
        <v>2167.63308235294</v>
      </c>
      <c r="AC21" s="85">
        <v>7.18</v>
      </c>
      <c r="AD21" s="70">
        <f t="shared" si="12"/>
        <v>15563.6055312941</v>
      </c>
      <c r="AE21" s="70">
        <f t="shared" si="13"/>
        <v>25049.8728842353</v>
      </c>
      <c r="AF21" s="70">
        <f t="shared" si="14"/>
        <v>-3132.95288423529</v>
      </c>
    </row>
    <row r="22" s="2" customFormat="1" spans="1:32">
      <c r="A22" s="90"/>
      <c r="B22" s="47"/>
      <c r="C22" s="22">
        <v>240728000003</v>
      </c>
      <c r="D22" s="23">
        <v>45506</v>
      </c>
      <c r="E22" s="23" t="s">
        <v>59</v>
      </c>
      <c r="F22" s="47" t="s">
        <v>59</v>
      </c>
      <c r="G22" s="47" t="s">
        <v>60</v>
      </c>
      <c r="H22" s="91">
        <v>0.183</v>
      </c>
      <c r="I22" s="91">
        <v>74</v>
      </c>
      <c r="J22" s="42">
        <v>493</v>
      </c>
      <c r="K22" s="85"/>
      <c r="L22" s="92"/>
      <c r="M22" s="45"/>
      <c r="N22" s="113"/>
      <c r="O22" s="47"/>
      <c r="P22" s="48">
        <f t="shared" si="16"/>
        <v>493</v>
      </c>
      <c r="Q22" s="102"/>
      <c r="R22" s="110"/>
      <c r="S22" s="70">
        <f t="shared" si="5"/>
        <v>122.779544117647</v>
      </c>
      <c r="T22" s="70"/>
      <c r="U22" s="70">
        <f t="shared" si="6"/>
        <v>4.30588235294118</v>
      </c>
      <c r="V22" s="70"/>
      <c r="W22" s="70"/>
      <c r="X22" s="101">
        <f t="shared" si="10"/>
        <v>127.085426470588</v>
      </c>
      <c r="Y22" s="84">
        <f t="shared" si="7"/>
        <v>28.8963997058823</v>
      </c>
      <c r="Z22" s="84"/>
      <c r="AA22" s="84">
        <f t="shared" si="8"/>
        <v>0.142901470588235</v>
      </c>
      <c r="AB22" s="84">
        <f t="shared" si="11"/>
        <v>29.0393011764706</v>
      </c>
      <c r="AC22" s="85">
        <v>7.18</v>
      </c>
      <c r="AD22" s="70">
        <f t="shared" si="12"/>
        <v>208.502182447059</v>
      </c>
      <c r="AE22" s="70">
        <f t="shared" si="13"/>
        <v>335.587608917647</v>
      </c>
      <c r="AF22" s="70">
        <f t="shared" si="14"/>
        <v>157.412391082353</v>
      </c>
    </row>
    <row r="23" s="2" customFormat="1" spans="1:32">
      <c r="A23" s="90"/>
      <c r="B23" s="47"/>
      <c r="C23" s="22">
        <v>240910000011</v>
      </c>
      <c r="D23" s="23">
        <v>45559</v>
      </c>
      <c r="E23" s="23" t="s">
        <v>78</v>
      </c>
      <c r="F23" s="47" t="s">
        <v>79</v>
      </c>
      <c r="G23" s="47" t="s">
        <v>103</v>
      </c>
      <c r="H23" s="91">
        <v>4.9278</v>
      </c>
      <c r="I23" s="91">
        <v>2354</v>
      </c>
      <c r="J23" s="42">
        <v>10516</v>
      </c>
      <c r="K23" s="85"/>
      <c r="L23" s="92"/>
      <c r="M23" s="45"/>
      <c r="N23" s="93"/>
      <c r="O23" s="47"/>
      <c r="P23" s="48">
        <f t="shared" si="16"/>
        <v>10516</v>
      </c>
      <c r="Q23" s="102"/>
      <c r="R23" s="110"/>
      <c r="S23" s="70">
        <f t="shared" si="5"/>
        <v>3306.19146176471</v>
      </c>
      <c r="T23" s="70"/>
      <c r="U23" s="70">
        <f t="shared" si="6"/>
        <v>115.948235294118</v>
      </c>
      <c r="V23" s="114">
        <v>400</v>
      </c>
      <c r="W23" s="70"/>
      <c r="X23" s="101">
        <f t="shared" si="10"/>
        <v>3822.13969705882</v>
      </c>
      <c r="Y23" s="84">
        <f t="shared" si="7"/>
        <v>778.118461588235</v>
      </c>
      <c r="Z23" s="84"/>
      <c r="AA23" s="84">
        <f t="shared" si="8"/>
        <v>3.84803205882353</v>
      </c>
      <c r="AB23" s="84">
        <f t="shared" si="11"/>
        <v>781.966493647059</v>
      </c>
      <c r="AC23" s="85">
        <v>7.18</v>
      </c>
      <c r="AD23" s="70">
        <f t="shared" si="12"/>
        <v>5614.51942438588</v>
      </c>
      <c r="AE23" s="70">
        <f t="shared" si="13"/>
        <v>9436.65912144471</v>
      </c>
      <c r="AF23" s="70">
        <f t="shared" si="14"/>
        <v>1079.34087855529</v>
      </c>
    </row>
    <row r="24" s="2" customFormat="1" spans="1:32">
      <c r="A24" s="90"/>
      <c r="B24" s="47"/>
      <c r="C24" s="22">
        <v>240912000038</v>
      </c>
      <c r="D24" s="23">
        <v>45559</v>
      </c>
      <c r="E24" s="23" t="s">
        <v>78</v>
      </c>
      <c r="F24" s="47" t="s">
        <v>79</v>
      </c>
      <c r="G24" s="47" t="s">
        <v>121</v>
      </c>
      <c r="H24" s="91">
        <v>6.5307</v>
      </c>
      <c r="I24" s="91">
        <v>1272</v>
      </c>
      <c r="J24" s="42">
        <v>13726</v>
      </c>
      <c r="K24" s="85"/>
      <c r="L24" s="92"/>
      <c r="M24" s="45"/>
      <c r="N24" s="93"/>
      <c r="O24" s="47"/>
      <c r="P24" s="48">
        <f t="shared" si="16"/>
        <v>13726</v>
      </c>
      <c r="Q24" s="102"/>
      <c r="R24" s="110"/>
      <c r="S24" s="70">
        <f t="shared" si="5"/>
        <v>4381.61950147059</v>
      </c>
      <c r="T24" s="70"/>
      <c r="U24" s="70">
        <f t="shared" si="6"/>
        <v>153.663529411765</v>
      </c>
      <c r="V24" s="70"/>
      <c r="W24" s="70"/>
      <c r="X24" s="101">
        <f t="shared" si="10"/>
        <v>4535.28303088235</v>
      </c>
      <c r="Y24" s="84">
        <f t="shared" si="7"/>
        <v>1031.22250032353</v>
      </c>
      <c r="Z24" s="84"/>
      <c r="AA24" s="84">
        <f t="shared" si="8"/>
        <v>5.09970838235294</v>
      </c>
      <c r="AB24" s="84">
        <f t="shared" si="11"/>
        <v>1036.32220870588</v>
      </c>
      <c r="AC24" s="85">
        <v>7.18</v>
      </c>
      <c r="AD24" s="70">
        <f t="shared" si="12"/>
        <v>7440.79345850823</v>
      </c>
      <c r="AE24" s="70">
        <f t="shared" si="13"/>
        <v>11976.0764893906</v>
      </c>
      <c r="AF24" s="70">
        <f t="shared" si="14"/>
        <v>1749.92351060941</v>
      </c>
    </row>
    <row r="25" s="2" customFormat="1" spans="1:32">
      <c r="A25" s="90"/>
      <c r="B25" s="47"/>
      <c r="C25" s="22">
        <v>240919000029</v>
      </c>
      <c r="D25" s="23">
        <v>45554</v>
      </c>
      <c r="E25" s="23" t="s">
        <v>81</v>
      </c>
      <c r="F25" s="47" t="s">
        <v>82</v>
      </c>
      <c r="G25" s="47" t="s">
        <v>105</v>
      </c>
      <c r="H25" s="91">
        <v>3.1</v>
      </c>
      <c r="I25" s="91">
        <v>472</v>
      </c>
      <c r="J25" s="42">
        <v>6336.4</v>
      </c>
      <c r="K25" s="85"/>
      <c r="L25" s="92"/>
      <c r="M25" s="45"/>
      <c r="N25" s="93"/>
      <c r="O25" s="47"/>
      <c r="P25" s="48">
        <f t="shared" si="16"/>
        <v>6336.4</v>
      </c>
      <c r="Q25" s="103"/>
      <c r="R25" s="111"/>
      <c r="S25" s="70">
        <f t="shared" si="5"/>
        <v>2079.87205882353</v>
      </c>
      <c r="T25" s="70"/>
      <c r="U25" s="70">
        <f t="shared" si="6"/>
        <v>72.9411764705882</v>
      </c>
      <c r="V25" s="70"/>
      <c r="W25" s="70"/>
      <c r="X25" s="101">
        <f t="shared" si="10"/>
        <v>2152.81323529412</v>
      </c>
      <c r="Y25" s="84">
        <f t="shared" si="7"/>
        <v>489.501852941176</v>
      </c>
      <c r="Z25" s="84"/>
      <c r="AA25" s="84">
        <f t="shared" si="8"/>
        <v>2.42073529411765</v>
      </c>
      <c r="AB25" s="84">
        <f t="shared" si="11"/>
        <v>491.922588235294</v>
      </c>
      <c r="AC25" s="85">
        <v>7.18</v>
      </c>
      <c r="AD25" s="70">
        <f t="shared" si="12"/>
        <v>3532.00418352941</v>
      </c>
      <c r="AE25" s="70">
        <f t="shared" si="13"/>
        <v>5684.81741882353</v>
      </c>
      <c r="AF25" s="70">
        <f t="shared" si="14"/>
        <v>651.582581176471</v>
      </c>
    </row>
    <row r="26" ht="15.75" spans="1:32">
      <c r="A26" s="25" t="s">
        <v>26</v>
      </c>
      <c r="B26" s="26"/>
      <c r="C26" s="26"/>
      <c r="D26" s="26"/>
      <c r="E26" s="26"/>
      <c r="F26" s="26"/>
      <c r="G26" s="26"/>
      <c r="H26" s="26"/>
      <c r="I26" s="49"/>
      <c r="J26" s="26">
        <f>SUM(J4:J4)</f>
        <v>0</v>
      </c>
      <c r="K26" s="50"/>
      <c r="L26" s="51"/>
      <c r="M26" s="50"/>
      <c r="N26" s="50">
        <f t="shared" ref="N26:Q26" si="17">SUM(N4:N4)</f>
        <v>0</v>
      </c>
      <c r="O26" s="26"/>
      <c r="P26" s="26">
        <f t="shared" si="17"/>
        <v>0</v>
      </c>
      <c r="Q26" s="26">
        <f t="shared" si="17"/>
        <v>0</v>
      </c>
      <c r="R26" s="26"/>
      <c r="S26" s="26"/>
      <c r="T26" s="26"/>
      <c r="U26" s="26"/>
      <c r="V26" s="26"/>
      <c r="W26" s="26"/>
      <c r="X26" s="72">
        <f>SUM(X4:X4)</f>
        <v>0</v>
      </c>
      <c r="Y26" s="51"/>
      <c r="Z26" s="51"/>
      <c r="AA26" s="51"/>
      <c r="AB26" s="51"/>
      <c r="AC26" s="50"/>
      <c r="AD26" s="26">
        <f>SUM(AD4:AD4)</f>
        <v>0</v>
      </c>
      <c r="AE26" s="26"/>
      <c r="AF26" s="86">
        <f>SUM(AF4:AF25)</f>
        <v>19561.749412313</v>
      </c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  <row r="36" customFormat="1" spans="4:32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  <c r="AF36" s="8"/>
    </row>
    <row r="37" customFormat="1" spans="4:32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  <c r="AF37" s="8"/>
    </row>
    <row r="38" customFormat="1" spans="4:32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  <c r="AF38" s="8"/>
    </row>
    <row r="39" customFormat="1" spans="4:32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  <c r="AF39" s="8"/>
    </row>
    <row r="40" customFormat="1" spans="4:32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  <c r="AF40" s="8"/>
    </row>
    <row r="41" customFormat="1" spans="4:32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  <c r="AF41" s="8"/>
    </row>
    <row r="42" customFormat="1" spans="4:32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  <c r="AF42" s="8"/>
    </row>
  </sheetData>
  <autoFilter xmlns:etc="http://www.wps.cn/officeDocument/2017/etCustomData" ref="A3:AF26" etc:filterBottomFollowUsedRange="0">
    <extLst/>
  </autoFilter>
  <mergeCells count="21">
    <mergeCell ref="A1:AF1"/>
    <mergeCell ref="J3:P3"/>
    <mergeCell ref="R3:V3"/>
    <mergeCell ref="Y3:AD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I3:I4"/>
    <mergeCell ref="Q3:Q4"/>
    <mergeCell ref="Q5:Q25"/>
    <mergeCell ref="R5:R2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I2" sqref="I$1:I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69.8136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104" t="s">
        <v>18</v>
      </c>
      <c r="B5" s="104" t="s">
        <v>19</v>
      </c>
      <c r="C5" s="22">
        <v>240919000028</v>
      </c>
      <c r="D5" s="23">
        <v>45559</v>
      </c>
      <c r="E5" s="23" t="s">
        <v>81</v>
      </c>
      <c r="F5" s="47" t="s">
        <v>82</v>
      </c>
      <c r="G5" s="47" t="s">
        <v>105</v>
      </c>
      <c r="H5" s="91">
        <v>4.5</v>
      </c>
      <c r="I5" s="91">
        <v>3775</v>
      </c>
      <c r="J5" s="42">
        <v>10643.4</v>
      </c>
      <c r="K5" s="85"/>
      <c r="L5" s="92"/>
      <c r="M5" s="45"/>
      <c r="N5" s="93"/>
      <c r="O5" s="47"/>
      <c r="P5" s="48">
        <f>SUBTOTAL(9,J5)</f>
        <v>10643.4</v>
      </c>
      <c r="Q5" s="102">
        <f>SUM(P6:P18)</f>
        <v>129310.47</v>
      </c>
      <c r="R5" s="110" t="s">
        <v>122</v>
      </c>
      <c r="S5" s="70">
        <f>SUM(42769.7/68)*H5</f>
        <v>2830.34779411765</v>
      </c>
      <c r="T5" s="70"/>
      <c r="U5" s="70">
        <f>SUM(1500/68)*H5</f>
        <v>99.2647058823529</v>
      </c>
      <c r="V5" s="70"/>
      <c r="W5" s="70"/>
      <c r="X5" s="101">
        <f t="shared" ref="X5:X30" si="0">SUM(S5:W5)</f>
        <v>2929.6125</v>
      </c>
      <c r="Y5" s="84">
        <f>SUM(10737.46/68)*H5</f>
        <v>710.567205882353</v>
      </c>
      <c r="Z5" s="84"/>
      <c r="AA5" s="84">
        <f>SUM(53.1/68)*H5</f>
        <v>3.51397058823529</v>
      </c>
      <c r="AB5" s="84">
        <f t="shared" ref="AB5:AB30" si="1">SUM(Y5:AA5)</f>
        <v>714.081176470588</v>
      </c>
      <c r="AC5" s="85">
        <v>7.18</v>
      </c>
      <c r="AD5" s="70">
        <f t="shared" ref="AD5:AD30" si="2">SUM(AB5*AC5)</f>
        <v>5127.10284705882</v>
      </c>
      <c r="AE5" s="70">
        <f t="shared" ref="AE5:AE30" si="3">SUM(X5+AD5)</f>
        <v>8056.71534705882</v>
      </c>
      <c r="AF5" s="70">
        <f t="shared" ref="AF5:AF28" si="4">SUM(P5-AE5)</f>
        <v>2586.68465294118</v>
      </c>
    </row>
    <row r="6" s="2" customFormat="1" spans="1:32">
      <c r="A6" s="105"/>
      <c r="B6" s="105"/>
      <c r="C6" s="22">
        <v>240910000011</v>
      </c>
      <c r="D6" s="23">
        <v>45559</v>
      </c>
      <c r="E6" s="23" t="s">
        <v>78</v>
      </c>
      <c r="F6" s="47" t="s">
        <v>79</v>
      </c>
      <c r="G6" s="47" t="s">
        <v>103</v>
      </c>
      <c r="H6" s="91">
        <v>1.8876</v>
      </c>
      <c r="I6" s="91">
        <v>1002</v>
      </c>
      <c r="J6" s="42">
        <v>4020.83</v>
      </c>
      <c r="K6" s="85"/>
      <c r="L6" s="92"/>
      <c r="M6" s="45"/>
      <c r="N6" s="93"/>
      <c r="O6" s="47"/>
      <c r="P6" s="48">
        <f>SUBTOTAL(9,J6)</f>
        <v>4020.83</v>
      </c>
      <c r="Q6" s="102"/>
      <c r="R6" s="110"/>
      <c r="S6" s="70">
        <f t="shared" ref="S6:S18" si="5">SUM(42769.7/68)*H6</f>
        <v>1187.23655470588</v>
      </c>
      <c r="T6" s="70"/>
      <c r="U6" s="70">
        <f t="shared" ref="U6:U18" si="6">SUM(1500/68)*H6</f>
        <v>41.6382352941176</v>
      </c>
      <c r="V6" s="70"/>
      <c r="W6" s="70"/>
      <c r="X6" s="101">
        <f t="shared" si="0"/>
        <v>1228.87479</v>
      </c>
      <c r="Y6" s="84">
        <f t="shared" ref="Y6:Y18" si="7">SUM(10737.46/68)*H6</f>
        <v>298.059257294118</v>
      </c>
      <c r="Z6" s="84"/>
      <c r="AA6" s="84">
        <f t="shared" ref="AA6:AA18" si="8">SUM(53.1/68)*H6</f>
        <v>1.47399352941176</v>
      </c>
      <c r="AB6" s="84">
        <f t="shared" si="1"/>
        <v>299.533250823529</v>
      </c>
      <c r="AC6" s="85">
        <v>7.18</v>
      </c>
      <c r="AD6" s="70">
        <f t="shared" si="2"/>
        <v>2150.64874091294</v>
      </c>
      <c r="AE6" s="70">
        <f t="shared" si="3"/>
        <v>3379.52353091294</v>
      </c>
      <c r="AF6" s="70">
        <f t="shared" si="4"/>
        <v>641.30646908706</v>
      </c>
    </row>
    <row r="7" s="2" customFormat="1" spans="1:32">
      <c r="A7" s="105"/>
      <c r="B7" s="105"/>
      <c r="C7" s="22">
        <v>240911000008</v>
      </c>
      <c r="D7" s="23">
        <v>45559</v>
      </c>
      <c r="E7" s="23" t="s">
        <v>81</v>
      </c>
      <c r="F7" s="47" t="s">
        <v>82</v>
      </c>
      <c r="G7" s="47" t="s">
        <v>105</v>
      </c>
      <c r="H7" s="91">
        <v>3.0552</v>
      </c>
      <c r="I7" s="91">
        <v>2500</v>
      </c>
      <c r="J7" s="42">
        <v>7840.2</v>
      </c>
      <c r="K7" s="85"/>
      <c r="L7" s="92"/>
      <c r="M7" s="45"/>
      <c r="N7" s="93"/>
      <c r="O7" s="47"/>
      <c r="P7" s="48">
        <f>SUBTOTAL(9,J7)</f>
        <v>7840.2</v>
      </c>
      <c r="Q7" s="102"/>
      <c r="R7" s="110"/>
      <c r="S7" s="70">
        <f t="shared" si="5"/>
        <v>1921.61746235294</v>
      </c>
      <c r="T7" s="70"/>
      <c r="U7" s="70">
        <f t="shared" si="6"/>
        <v>67.3941176470588</v>
      </c>
      <c r="V7" s="70"/>
      <c r="W7" s="70"/>
      <c r="X7" s="101">
        <f t="shared" si="0"/>
        <v>1989.01158</v>
      </c>
      <c r="Y7" s="84">
        <f t="shared" si="7"/>
        <v>482.427761647059</v>
      </c>
      <c r="Z7" s="84"/>
      <c r="AA7" s="84">
        <f t="shared" si="8"/>
        <v>2.38575176470588</v>
      </c>
      <c r="AB7" s="84">
        <f t="shared" si="1"/>
        <v>484.813513411765</v>
      </c>
      <c r="AC7" s="85">
        <v>7.18</v>
      </c>
      <c r="AD7" s="70">
        <f t="shared" si="2"/>
        <v>3480.96102629647</v>
      </c>
      <c r="AE7" s="70">
        <f t="shared" si="3"/>
        <v>5469.97260629647</v>
      </c>
      <c r="AF7" s="70">
        <f t="shared" si="4"/>
        <v>2370.22739370353</v>
      </c>
    </row>
    <row r="8" s="2" customFormat="1" spans="1:32">
      <c r="A8" s="105"/>
      <c r="B8" s="105"/>
      <c r="C8" s="22">
        <v>240913000016</v>
      </c>
      <c r="D8" s="23">
        <v>45559</v>
      </c>
      <c r="E8" s="23" t="s">
        <v>81</v>
      </c>
      <c r="F8" s="47" t="s">
        <v>82</v>
      </c>
      <c r="G8" s="47" t="s">
        <v>123</v>
      </c>
      <c r="H8" s="91">
        <v>2.9348</v>
      </c>
      <c r="I8" s="91">
        <v>1250</v>
      </c>
      <c r="J8" s="42">
        <v>5998.7</v>
      </c>
      <c r="K8" s="85"/>
      <c r="L8" s="92"/>
      <c r="M8" s="45"/>
      <c r="N8" s="93"/>
      <c r="O8" s="47"/>
      <c r="P8" s="48">
        <f>SUBTOTAL(9,J8)</f>
        <v>5998.7</v>
      </c>
      <c r="Q8" s="102"/>
      <c r="R8" s="110"/>
      <c r="S8" s="70">
        <f t="shared" si="5"/>
        <v>1845.88993470588</v>
      </c>
      <c r="T8" s="70"/>
      <c r="U8" s="70">
        <f t="shared" si="6"/>
        <v>64.7382352941176</v>
      </c>
      <c r="V8" s="70"/>
      <c r="W8" s="70"/>
      <c r="X8" s="101">
        <f t="shared" si="0"/>
        <v>1910.62817</v>
      </c>
      <c r="Y8" s="84">
        <f t="shared" si="7"/>
        <v>463.416141294118</v>
      </c>
      <c r="Z8" s="84"/>
      <c r="AA8" s="84">
        <f t="shared" si="8"/>
        <v>2.29173352941176</v>
      </c>
      <c r="AB8" s="84">
        <f t="shared" si="1"/>
        <v>465.707874823529</v>
      </c>
      <c r="AC8" s="85">
        <v>7.18</v>
      </c>
      <c r="AD8" s="70">
        <f t="shared" si="2"/>
        <v>3343.78254123294</v>
      </c>
      <c r="AE8" s="70">
        <f t="shared" si="3"/>
        <v>5254.41071123294</v>
      </c>
      <c r="AF8" s="70">
        <f t="shared" si="4"/>
        <v>744.28928876706</v>
      </c>
    </row>
    <row r="9" s="2" customFormat="1" spans="1:32">
      <c r="A9" s="105"/>
      <c r="B9" s="105"/>
      <c r="C9" s="22">
        <v>240915000008</v>
      </c>
      <c r="D9" s="23">
        <v>45559</v>
      </c>
      <c r="E9" s="23" t="s">
        <v>66</v>
      </c>
      <c r="F9" s="47" t="s">
        <v>67</v>
      </c>
      <c r="G9" s="47" t="s">
        <v>124</v>
      </c>
      <c r="H9" s="91">
        <v>0.5143</v>
      </c>
      <c r="I9" s="91">
        <v>152</v>
      </c>
      <c r="J9" s="48"/>
      <c r="K9" s="97">
        <v>248724</v>
      </c>
      <c r="L9" s="92"/>
      <c r="M9" s="45">
        <f>SUM(K9/N9)</f>
        <v>1727.25</v>
      </c>
      <c r="N9" s="46">
        <v>144</v>
      </c>
      <c r="O9" s="47">
        <v>7.27</v>
      </c>
      <c r="P9" s="48">
        <f>SUM(N9*O9)</f>
        <v>1046.88</v>
      </c>
      <c r="Q9" s="102"/>
      <c r="R9" s="110"/>
      <c r="S9" s="70">
        <f t="shared" si="5"/>
        <v>323.477304558823</v>
      </c>
      <c r="T9" s="70"/>
      <c r="U9" s="70">
        <f t="shared" si="6"/>
        <v>11.3448529411765</v>
      </c>
      <c r="V9" s="70"/>
      <c r="W9" s="70"/>
      <c r="X9" s="101">
        <f t="shared" si="0"/>
        <v>334.8221575</v>
      </c>
      <c r="Y9" s="84">
        <f t="shared" si="7"/>
        <v>81.2099364411765</v>
      </c>
      <c r="Z9" s="84"/>
      <c r="AA9" s="84">
        <f t="shared" si="8"/>
        <v>0.401607794117647</v>
      </c>
      <c r="AB9" s="84">
        <f t="shared" si="1"/>
        <v>81.6115442352941</v>
      </c>
      <c r="AC9" s="85">
        <v>7.18</v>
      </c>
      <c r="AD9" s="70">
        <f t="shared" si="2"/>
        <v>585.970887609412</v>
      </c>
      <c r="AE9" s="70">
        <f t="shared" si="3"/>
        <v>920.793045109412</v>
      </c>
      <c r="AF9" s="70">
        <f t="shared" si="4"/>
        <v>126.086954890588</v>
      </c>
    </row>
    <row r="10" s="2" customFormat="1" spans="1:32">
      <c r="A10" s="105"/>
      <c r="B10" s="105"/>
      <c r="C10" s="22">
        <v>240921000018</v>
      </c>
      <c r="D10" s="23">
        <v>45559</v>
      </c>
      <c r="E10" s="23" t="s">
        <v>71</v>
      </c>
      <c r="F10" s="47" t="s">
        <v>72</v>
      </c>
      <c r="G10" s="47" t="s">
        <v>125</v>
      </c>
      <c r="H10" s="91">
        <v>3.6205</v>
      </c>
      <c r="I10" s="91">
        <v>786</v>
      </c>
      <c r="J10" s="42">
        <v>7297</v>
      </c>
      <c r="K10" s="85"/>
      <c r="L10" s="92"/>
      <c r="M10" s="45"/>
      <c r="N10" s="93"/>
      <c r="O10" s="47"/>
      <c r="P10" s="48">
        <f t="shared" ref="P10:P22" si="9">SUBTOTAL(9,J10)</f>
        <v>7297</v>
      </c>
      <c r="Q10" s="102"/>
      <c r="R10" s="110"/>
      <c r="S10" s="70">
        <f t="shared" si="5"/>
        <v>2277.17204191176</v>
      </c>
      <c r="T10" s="70"/>
      <c r="U10" s="70">
        <f t="shared" si="6"/>
        <v>79.8639705882353</v>
      </c>
      <c r="V10" s="70"/>
      <c r="W10" s="70"/>
      <c r="X10" s="101">
        <f t="shared" si="0"/>
        <v>2357.0360125</v>
      </c>
      <c r="Y10" s="84">
        <f t="shared" si="7"/>
        <v>571.690793088235</v>
      </c>
      <c r="Z10" s="84"/>
      <c r="AA10" s="84">
        <f t="shared" si="8"/>
        <v>2.82718455882353</v>
      </c>
      <c r="AB10" s="84">
        <f t="shared" si="1"/>
        <v>574.517977647059</v>
      </c>
      <c r="AC10" s="85">
        <v>7.18</v>
      </c>
      <c r="AD10" s="70">
        <f t="shared" si="2"/>
        <v>4125.03907950588</v>
      </c>
      <c r="AE10" s="70">
        <f t="shared" si="3"/>
        <v>6482.07509200588</v>
      </c>
      <c r="AF10" s="70">
        <f t="shared" si="4"/>
        <v>814.92490799412</v>
      </c>
    </row>
    <row r="11" s="2" customFormat="1" spans="1:32">
      <c r="A11" s="105"/>
      <c r="B11" s="105"/>
      <c r="C11" s="22">
        <v>240906000023</v>
      </c>
      <c r="D11" s="23">
        <v>45559</v>
      </c>
      <c r="E11" s="23" t="s">
        <v>59</v>
      </c>
      <c r="F11" s="47" t="s">
        <v>59</v>
      </c>
      <c r="G11" s="47" t="s">
        <v>126</v>
      </c>
      <c r="H11" s="91">
        <v>10.189</v>
      </c>
      <c r="I11" s="91">
        <v>4334</v>
      </c>
      <c r="J11" s="108">
        <v>20928</v>
      </c>
      <c r="K11" s="85"/>
      <c r="L11" s="92"/>
      <c r="M11" s="45"/>
      <c r="N11" s="93"/>
      <c r="O11" s="47"/>
      <c r="P11" s="48">
        <f t="shared" si="9"/>
        <v>20928</v>
      </c>
      <c r="Q11" s="102"/>
      <c r="R11" s="110"/>
      <c r="S11" s="70">
        <f t="shared" si="5"/>
        <v>6408.53637205882</v>
      </c>
      <c r="T11" s="70"/>
      <c r="U11" s="70">
        <f t="shared" si="6"/>
        <v>224.757352941176</v>
      </c>
      <c r="V11" s="70"/>
      <c r="W11" s="70"/>
      <c r="X11" s="101">
        <f t="shared" si="0"/>
        <v>6633.293725</v>
      </c>
      <c r="Y11" s="84">
        <f t="shared" si="7"/>
        <v>1608.88205794118</v>
      </c>
      <c r="Z11" s="84"/>
      <c r="AA11" s="84">
        <f t="shared" si="8"/>
        <v>7.95641029411765</v>
      </c>
      <c r="AB11" s="84">
        <f t="shared" si="1"/>
        <v>1616.83846823529</v>
      </c>
      <c r="AC11" s="85">
        <v>7.18</v>
      </c>
      <c r="AD11" s="70">
        <f t="shared" si="2"/>
        <v>11608.9002019294</v>
      </c>
      <c r="AE11" s="70">
        <f t="shared" si="3"/>
        <v>18242.1939269294</v>
      </c>
      <c r="AF11" s="70">
        <f t="shared" si="4"/>
        <v>2685.8060730706</v>
      </c>
    </row>
    <row r="12" s="2" customFormat="1" spans="1:32">
      <c r="A12" s="105"/>
      <c r="B12" s="105"/>
      <c r="C12" s="22">
        <v>240924000002</v>
      </c>
      <c r="D12" s="23">
        <v>45559</v>
      </c>
      <c r="E12" s="23" t="s">
        <v>59</v>
      </c>
      <c r="F12" s="47" t="s">
        <v>59</v>
      </c>
      <c r="G12" s="47" t="s">
        <v>110</v>
      </c>
      <c r="H12" s="91">
        <v>2.1628</v>
      </c>
      <c r="I12" s="91">
        <v>650</v>
      </c>
      <c r="J12" s="42">
        <v>4123.95</v>
      </c>
      <c r="K12" s="85"/>
      <c r="L12" s="92"/>
      <c r="M12" s="45"/>
      <c r="N12" s="93"/>
      <c r="O12" s="47"/>
      <c r="P12" s="48">
        <f t="shared" si="9"/>
        <v>4123.95</v>
      </c>
      <c r="Q12" s="102"/>
      <c r="R12" s="110"/>
      <c r="S12" s="70">
        <f t="shared" si="5"/>
        <v>1360.32804647059</v>
      </c>
      <c r="T12" s="70"/>
      <c r="U12" s="70">
        <f t="shared" si="6"/>
        <v>47.7088235294118</v>
      </c>
      <c r="V12" s="70"/>
      <c r="W12" s="70"/>
      <c r="X12" s="101">
        <f t="shared" si="0"/>
        <v>1408.03687</v>
      </c>
      <c r="Y12" s="84">
        <f t="shared" si="7"/>
        <v>341.514389529412</v>
      </c>
      <c r="Z12" s="84"/>
      <c r="AA12" s="84">
        <f t="shared" si="8"/>
        <v>1.68889235294118</v>
      </c>
      <c r="AB12" s="84">
        <f t="shared" si="1"/>
        <v>343.203281882353</v>
      </c>
      <c r="AC12" s="85">
        <v>7.18</v>
      </c>
      <c r="AD12" s="70">
        <f t="shared" si="2"/>
        <v>2464.19956391529</v>
      </c>
      <c r="AE12" s="70">
        <f t="shared" si="3"/>
        <v>3872.23643391529</v>
      </c>
      <c r="AF12" s="70">
        <f t="shared" si="4"/>
        <v>251.71356608471</v>
      </c>
    </row>
    <row r="13" s="2" customFormat="1" spans="1:32">
      <c r="A13" s="105"/>
      <c r="B13" s="105"/>
      <c r="C13" s="22">
        <v>240924000003</v>
      </c>
      <c r="D13" s="23">
        <v>45559</v>
      </c>
      <c r="E13" s="23" t="s">
        <v>59</v>
      </c>
      <c r="F13" s="47" t="s">
        <v>59</v>
      </c>
      <c r="G13" s="47" t="s">
        <v>110</v>
      </c>
      <c r="H13" s="91">
        <v>7.5034</v>
      </c>
      <c r="I13" s="91">
        <v>1232</v>
      </c>
      <c r="J13" s="42">
        <v>14307.08</v>
      </c>
      <c r="K13" s="85"/>
      <c r="L13" s="92"/>
      <c r="M13" s="45"/>
      <c r="N13" s="93"/>
      <c r="O13" s="47"/>
      <c r="P13" s="48">
        <f t="shared" si="9"/>
        <v>14307.08</v>
      </c>
      <c r="Q13" s="102"/>
      <c r="R13" s="110"/>
      <c r="S13" s="70">
        <f t="shared" si="5"/>
        <v>4719.38480852941</v>
      </c>
      <c r="T13" s="70"/>
      <c r="U13" s="70">
        <f t="shared" si="6"/>
        <v>165.516176470588</v>
      </c>
      <c r="V13" s="70"/>
      <c r="W13" s="70"/>
      <c r="X13" s="101">
        <f t="shared" si="0"/>
        <v>4884.900985</v>
      </c>
      <c r="Y13" s="84">
        <f t="shared" si="7"/>
        <v>1184.81554947059</v>
      </c>
      <c r="Z13" s="84"/>
      <c r="AA13" s="84">
        <f t="shared" si="8"/>
        <v>5.85927264705882</v>
      </c>
      <c r="AB13" s="84">
        <f t="shared" si="1"/>
        <v>1190.67482211765</v>
      </c>
      <c r="AC13" s="85">
        <v>7.18</v>
      </c>
      <c r="AD13" s="70">
        <f t="shared" si="2"/>
        <v>8549.0452228047</v>
      </c>
      <c r="AE13" s="70">
        <f t="shared" si="3"/>
        <v>13433.9462078047</v>
      </c>
      <c r="AF13" s="70">
        <f t="shared" si="4"/>
        <v>873.1337921953</v>
      </c>
    </row>
    <row r="14" s="2" customFormat="1" spans="1:32">
      <c r="A14" s="105"/>
      <c r="B14" s="105"/>
      <c r="C14" s="22">
        <v>240924000004</v>
      </c>
      <c r="D14" s="23">
        <v>45559</v>
      </c>
      <c r="E14" s="23" t="s">
        <v>59</v>
      </c>
      <c r="F14" s="47" t="s">
        <v>59</v>
      </c>
      <c r="G14" s="47" t="s">
        <v>110</v>
      </c>
      <c r="H14" s="91">
        <v>0.1491</v>
      </c>
      <c r="I14" s="91">
        <v>143</v>
      </c>
      <c r="J14" s="42">
        <v>284.49</v>
      </c>
      <c r="K14" s="85"/>
      <c r="L14" s="92"/>
      <c r="M14" s="45"/>
      <c r="N14" s="93"/>
      <c r="O14" s="47"/>
      <c r="P14" s="48">
        <f t="shared" si="9"/>
        <v>284.49</v>
      </c>
      <c r="Q14" s="102"/>
      <c r="R14" s="110"/>
      <c r="S14" s="70">
        <f t="shared" si="5"/>
        <v>93.7788569117647</v>
      </c>
      <c r="T14" s="70"/>
      <c r="U14" s="70">
        <f t="shared" si="6"/>
        <v>3.28897058823529</v>
      </c>
      <c r="V14" s="70"/>
      <c r="W14" s="70"/>
      <c r="X14" s="101">
        <f t="shared" si="0"/>
        <v>97.0678275</v>
      </c>
      <c r="Y14" s="84">
        <f t="shared" si="7"/>
        <v>23.5434600882353</v>
      </c>
      <c r="Z14" s="84"/>
      <c r="AA14" s="84">
        <f t="shared" si="8"/>
        <v>0.116429558823529</v>
      </c>
      <c r="AB14" s="84">
        <f t="shared" si="1"/>
        <v>23.6598896470588</v>
      </c>
      <c r="AC14" s="85">
        <v>7.18</v>
      </c>
      <c r="AD14" s="70">
        <f t="shared" si="2"/>
        <v>169.878007665882</v>
      </c>
      <c r="AE14" s="70">
        <f t="shared" si="3"/>
        <v>266.945835165882</v>
      </c>
      <c r="AF14" s="70">
        <f t="shared" si="4"/>
        <v>17.544164834118</v>
      </c>
    </row>
    <row r="15" s="2" customFormat="1" spans="1:32">
      <c r="A15" s="105"/>
      <c r="B15" s="105"/>
      <c r="C15" s="22">
        <v>240924000005</v>
      </c>
      <c r="D15" s="23">
        <v>45559</v>
      </c>
      <c r="E15" s="23" t="s">
        <v>59</v>
      </c>
      <c r="F15" s="47" t="s">
        <v>59</v>
      </c>
      <c r="G15" s="47" t="s">
        <v>110</v>
      </c>
      <c r="H15" s="106">
        <v>0.817</v>
      </c>
      <c r="I15" s="109">
        <v>358</v>
      </c>
      <c r="J15" s="42">
        <v>1558.03</v>
      </c>
      <c r="K15" s="85"/>
      <c r="L15" s="92"/>
      <c r="M15" s="45"/>
      <c r="N15" s="93"/>
      <c r="O15" s="47"/>
      <c r="P15" s="48">
        <f t="shared" si="9"/>
        <v>1558.03</v>
      </c>
      <c r="Q15" s="102"/>
      <c r="R15" s="110"/>
      <c r="S15" s="70">
        <f t="shared" si="5"/>
        <v>513.865366176471</v>
      </c>
      <c r="T15" s="70"/>
      <c r="U15" s="70">
        <f t="shared" si="6"/>
        <v>18.0220588235294</v>
      </c>
      <c r="V15" s="70"/>
      <c r="W15" s="70"/>
      <c r="X15" s="101">
        <f t="shared" si="0"/>
        <v>531.887425</v>
      </c>
      <c r="Y15" s="84">
        <f t="shared" si="7"/>
        <v>129.007423823529</v>
      </c>
      <c r="Z15" s="84"/>
      <c r="AA15" s="84">
        <f t="shared" si="8"/>
        <v>0.637980882352941</v>
      </c>
      <c r="AB15" s="84">
        <f t="shared" si="1"/>
        <v>129.645404705882</v>
      </c>
      <c r="AC15" s="85">
        <v>7.18</v>
      </c>
      <c r="AD15" s="70">
        <f t="shared" si="2"/>
        <v>930.854005788235</v>
      </c>
      <c r="AE15" s="70">
        <f t="shared" si="3"/>
        <v>1462.74143078823</v>
      </c>
      <c r="AF15" s="70">
        <f t="shared" si="4"/>
        <v>95.28856921177</v>
      </c>
    </row>
    <row r="16" s="2" customFormat="1" spans="1:32">
      <c r="A16" s="105"/>
      <c r="B16" s="105"/>
      <c r="C16" s="22">
        <v>240924000006</v>
      </c>
      <c r="D16" s="23">
        <v>45559</v>
      </c>
      <c r="E16" s="23" t="s">
        <v>59</v>
      </c>
      <c r="F16" s="47" t="s">
        <v>59</v>
      </c>
      <c r="G16" s="47" t="s">
        <v>110</v>
      </c>
      <c r="H16" s="91">
        <v>4.261</v>
      </c>
      <c r="I16" s="91">
        <v>638</v>
      </c>
      <c r="J16" s="42">
        <v>8122.76</v>
      </c>
      <c r="K16" s="85"/>
      <c r="L16" s="92"/>
      <c r="M16" s="45"/>
      <c r="N16" s="93"/>
      <c r="O16" s="47"/>
      <c r="P16" s="48">
        <f t="shared" si="9"/>
        <v>8122.76</v>
      </c>
      <c r="Q16" s="102"/>
      <c r="R16" s="110"/>
      <c r="S16" s="70">
        <f t="shared" si="5"/>
        <v>2680.02487794118</v>
      </c>
      <c r="T16" s="70"/>
      <c r="U16" s="70">
        <f t="shared" si="6"/>
        <v>93.9926470588235</v>
      </c>
      <c r="V16" s="70"/>
      <c r="W16" s="70"/>
      <c r="X16" s="101">
        <f t="shared" si="0"/>
        <v>2774.017525</v>
      </c>
      <c r="Y16" s="84">
        <f t="shared" si="7"/>
        <v>672.828192058823</v>
      </c>
      <c r="Z16" s="84"/>
      <c r="AA16" s="84">
        <f t="shared" si="8"/>
        <v>3.32733970588235</v>
      </c>
      <c r="AB16" s="84">
        <f t="shared" si="1"/>
        <v>676.155531764706</v>
      </c>
      <c r="AC16" s="85">
        <v>7.18</v>
      </c>
      <c r="AD16" s="70">
        <f t="shared" si="2"/>
        <v>4854.79671807059</v>
      </c>
      <c r="AE16" s="70">
        <f t="shared" si="3"/>
        <v>7628.81424307059</v>
      </c>
      <c r="AF16" s="70">
        <f t="shared" si="4"/>
        <v>493.94575692941</v>
      </c>
    </row>
    <row r="17" s="2" customFormat="1" spans="1:32">
      <c r="A17" s="105"/>
      <c r="B17" s="105"/>
      <c r="C17" s="22">
        <v>240924000007</v>
      </c>
      <c r="D17" s="23">
        <v>45559</v>
      </c>
      <c r="E17" s="23" t="s">
        <v>59</v>
      </c>
      <c r="F17" s="47" t="s">
        <v>59</v>
      </c>
      <c r="G17" s="47" t="s">
        <v>110</v>
      </c>
      <c r="H17" s="91">
        <v>3.099</v>
      </c>
      <c r="I17" s="91">
        <v>438</v>
      </c>
      <c r="J17" s="42">
        <v>5908.61</v>
      </c>
      <c r="K17" s="85"/>
      <c r="L17" s="92"/>
      <c r="M17" s="45"/>
      <c r="N17" s="93"/>
      <c r="O17" s="47"/>
      <c r="P17" s="48">
        <f t="shared" si="9"/>
        <v>5908.61</v>
      </c>
      <c r="Q17" s="102"/>
      <c r="R17" s="110"/>
      <c r="S17" s="70">
        <f t="shared" si="5"/>
        <v>1949.16618088235</v>
      </c>
      <c r="T17" s="70"/>
      <c r="U17" s="70">
        <f t="shared" si="6"/>
        <v>68.3602941176471</v>
      </c>
      <c r="V17" s="70"/>
      <c r="W17" s="70"/>
      <c r="X17" s="101">
        <f t="shared" si="0"/>
        <v>2017.526475</v>
      </c>
      <c r="Y17" s="84">
        <f t="shared" si="7"/>
        <v>489.343949117647</v>
      </c>
      <c r="Z17" s="84"/>
      <c r="AA17" s="84">
        <f t="shared" si="8"/>
        <v>2.41995441176471</v>
      </c>
      <c r="AB17" s="84">
        <f t="shared" si="1"/>
        <v>491.763903529412</v>
      </c>
      <c r="AC17" s="85">
        <v>7.18</v>
      </c>
      <c r="AD17" s="70">
        <f t="shared" si="2"/>
        <v>3530.86482734118</v>
      </c>
      <c r="AE17" s="70">
        <f t="shared" si="3"/>
        <v>5548.39130234118</v>
      </c>
      <c r="AF17" s="70">
        <f t="shared" si="4"/>
        <v>360.21869765882</v>
      </c>
    </row>
    <row r="18" s="2" customFormat="1" spans="1:32">
      <c r="A18" s="107"/>
      <c r="B18" s="107"/>
      <c r="C18" s="22">
        <v>240925000014</v>
      </c>
      <c r="D18" s="23">
        <v>45559</v>
      </c>
      <c r="E18" s="23" t="s">
        <v>127</v>
      </c>
      <c r="F18" s="47" t="s">
        <v>128</v>
      </c>
      <c r="G18" s="47" t="s">
        <v>110</v>
      </c>
      <c r="H18" s="91">
        <v>25.12</v>
      </c>
      <c r="I18" s="91">
        <v>4000</v>
      </c>
      <c r="J18" s="42">
        <v>47873.94</v>
      </c>
      <c r="K18" s="85"/>
      <c r="L18" s="92"/>
      <c r="M18" s="45"/>
      <c r="N18" s="93"/>
      <c r="O18" s="47"/>
      <c r="P18" s="48">
        <f t="shared" si="9"/>
        <v>47873.94</v>
      </c>
      <c r="Q18" s="103"/>
      <c r="R18" s="111"/>
      <c r="S18" s="70">
        <f t="shared" si="5"/>
        <v>15799.6303529412</v>
      </c>
      <c r="T18" s="70"/>
      <c r="U18" s="70">
        <f t="shared" si="6"/>
        <v>554.117647058824</v>
      </c>
      <c r="V18" s="70"/>
      <c r="W18" s="70"/>
      <c r="X18" s="101">
        <f t="shared" si="0"/>
        <v>16353.748</v>
      </c>
      <c r="Y18" s="84">
        <f t="shared" si="7"/>
        <v>3966.54404705882</v>
      </c>
      <c r="Z18" s="84"/>
      <c r="AA18" s="84">
        <f t="shared" si="8"/>
        <v>19.6157647058824</v>
      </c>
      <c r="AB18" s="84">
        <f t="shared" si="1"/>
        <v>3986.15981176471</v>
      </c>
      <c r="AC18" s="85">
        <v>7.18</v>
      </c>
      <c r="AD18" s="70">
        <f t="shared" si="2"/>
        <v>28620.6274484706</v>
      </c>
      <c r="AE18" s="70">
        <f t="shared" si="3"/>
        <v>44974.3754484706</v>
      </c>
      <c r="AF18" s="70">
        <f t="shared" si="4"/>
        <v>2899.5645515294</v>
      </c>
    </row>
    <row r="19" ht="15.75" spans="1:32">
      <c r="A19" s="25" t="s">
        <v>26</v>
      </c>
      <c r="B19" s="26"/>
      <c r="C19" s="26"/>
      <c r="D19" s="26"/>
      <c r="E19" s="26"/>
      <c r="F19" s="26"/>
      <c r="G19" s="26"/>
      <c r="H19" s="26"/>
      <c r="I19" s="49"/>
      <c r="J19" s="26">
        <f>SUM(J4:J4)</f>
        <v>0</v>
      </c>
      <c r="K19" s="50"/>
      <c r="L19" s="51"/>
      <c r="M19" s="50"/>
      <c r="N19" s="50">
        <f t="shared" ref="N19:Q19" si="10">SUM(N4:N4)</f>
        <v>0</v>
      </c>
      <c r="O19" s="26"/>
      <c r="P19" s="26">
        <f t="shared" si="10"/>
        <v>0</v>
      </c>
      <c r="Q19" s="26">
        <f t="shared" si="10"/>
        <v>0</v>
      </c>
      <c r="R19" s="26"/>
      <c r="S19" s="26"/>
      <c r="T19" s="26"/>
      <c r="U19" s="26"/>
      <c r="V19" s="26"/>
      <c r="W19" s="26"/>
      <c r="X19" s="72">
        <f>SUM(X4:X4)</f>
        <v>0</v>
      </c>
      <c r="Y19" s="51"/>
      <c r="Z19" s="51"/>
      <c r="AA19" s="51"/>
      <c r="AB19" s="51"/>
      <c r="AC19" s="50"/>
      <c r="AD19" s="26">
        <f>SUM(AD4:AD4)</f>
        <v>0</v>
      </c>
      <c r="AE19" s="26"/>
      <c r="AF19" s="86">
        <f>SUM(AF4:AF18)</f>
        <v>14960.7348388977</v>
      </c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  <row r="32" customFormat="1" spans="4:32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  <c r="AF32" s="8"/>
    </row>
    <row r="33" customFormat="1" spans="4:32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  <c r="AF33" s="8"/>
    </row>
    <row r="34" customFormat="1" spans="4:32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  <c r="AF34" s="8"/>
    </row>
    <row r="35" customFormat="1" spans="4:32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  <c r="AF35" s="8"/>
    </row>
  </sheetData>
  <autoFilter xmlns:etc="http://www.wps.cn/officeDocument/2017/etCustomData" ref="A3:AF19" etc:filterBottomFollowUsedRange="0">
    <extLst/>
  </autoFilter>
  <mergeCells count="21">
    <mergeCell ref="A1:AF1"/>
    <mergeCell ref="J3:P3"/>
    <mergeCell ref="R3:V3"/>
    <mergeCell ref="Y3:AD3"/>
    <mergeCell ref="A3:A4"/>
    <mergeCell ref="A5:A18"/>
    <mergeCell ref="B3:B4"/>
    <mergeCell ref="B5:B18"/>
    <mergeCell ref="C3:C4"/>
    <mergeCell ref="D3:D4"/>
    <mergeCell ref="E3:E4"/>
    <mergeCell ref="F3:F4"/>
    <mergeCell ref="G3:G4"/>
    <mergeCell ref="H3:H4"/>
    <mergeCell ref="I3:I4"/>
    <mergeCell ref="Q3:Q4"/>
    <mergeCell ref="Q5:Q18"/>
    <mergeCell ref="R5:R18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zoomScale="110" zoomScaleNormal="110" workbookViewId="0">
      <pane xSplit="8" ySplit="1" topLeftCell="I2" activePane="bottomRight" state="frozen"/>
      <selection/>
      <selection pane="topRight"/>
      <selection pane="bottomLeft"/>
      <selection pane="bottomRight" activeCell="K21" sqref="K21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customFormat="1" ht="31" customHeight="1" spans="1:32">
      <c r="A2" s="89" t="s">
        <v>137</v>
      </c>
      <c r="B2" s="89" t="s">
        <v>138</v>
      </c>
      <c r="C2" s="89">
        <v>80.6078</v>
      </c>
      <c r="D2" s="9"/>
      <c r="E2" s="9"/>
      <c r="F2" s="9"/>
      <c r="G2" s="9"/>
      <c r="H2" s="9"/>
      <c r="I2" s="9"/>
      <c r="J2" s="9"/>
      <c r="K2" s="27"/>
      <c r="L2" s="28"/>
      <c r="M2" s="27"/>
      <c r="N2" s="9"/>
      <c r="O2" s="29"/>
      <c r="P2" s="9"/>
      <c r="Q2" s="9"/>
      <c r="R2" s="9"/>
      <c r="S2" s="9"/>
      <c r="T2" s="52"/>
      <c r="U2" s="52"/>
      <c r="V2" s="53"/>
      <c r="W2" s="52"/>
      <c r="X2" s="54"/>
      <c r="Y2" s="28"/>
      <c r="Z2" s="28"/>
      <c r="AA2" s="28"/>
      <c r="AB2" s="28"/>
      <c r="AC2" s="27"/>
      <c r="AD2" s="28"/>
      <c r="AE2" s="9"/>
      <c r="AF2" s="9"/>
    </row>
    <row r="3" s="1" customFormat="1" ht="23" customHeight="1" spans="1:32">
      <c r="A3" s="10" t="s">
        <v>1</v>
      </c>
      <c r="B3" s="11" t="s">
        <v>2</v>
      </c>
      <c r="C3" s="12" t="s">
        <v>27</v>
      </c>
      <c r="D3" s="13" t="s">
        <v>28</v>
      </c>
      <c r="E3" s="14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30" t="s">
        <v>34</v>
      </c>
      <c r="K3" s="31"/>
      <c r="L3" s="32"/>
      <c r="M3" s="31"/>
      <c r="N3" s="32"/>
      <c r="O3" s="33"/>
      <c r="P3" s="34"/>
      <c r="Q3" s="55" t="s">
        <v>35</v>
      </c>
      <c r="R3" s="56" t="s">
        <v>36</v>
      </c>
      <c r="S3" s="57"/>
      <c r="T3" s="58"/>
      <c r="U3" s="59"/>
      <c r="V3" s="60"/>
      <c r="W3" s="61" t="s">
        <v>37</v>
      </c>
      <c r="X3" s="62" t="s">
        <v>38</v>
      </c>
      <c r="Y3" s="74" t="s">
        <v>39</v>
      </c>
      <c r="Z3" s="74"/>
      <c r="AA3" s="74"/>
      <c r="AB3" s="74"/>
      <c r="AC3" s="75"/>
      <c r="AD3" s="74"/>
      <c r="AE3" s="76" t="s">
        <v>40</v>
      </c>
      <c r="AF3" s="77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5"/>
      <c r="J4" s="36" t="s">
        <v>41</v>
      </c>
      <c r="K4" s="37" t="s">
        <v>42</v>
      </c>
      <c r="L4" s="38" t="s">
        <v>43</v>
      </c>
      <c r="M4" s="37" t="s">
        <v>44</v>
      </c>
      <c r="N4" s="39" t="s">
        <v>45</v>
      </c>
      <c r="O4" s="40" t="s">
        <v>46</v>
      </c>
      <c r="P4" s="41" t="s">
        <v>47</v>
      </c>
      <c r="Q4" s="63"/>
      <c r="R4" s="64" t="s">
        <v>48</v>
      </c>
      <c r="S4" s="65" t="s">
        <v>49</v>
      </c>
      <c r="T4" s="66" t="s">
        <v>50</v>
      </c>
      <c r="U4" s="67" t="s">
        <v>51</v>
      </c>
      <c r="V4" s="66" t="s">
        <v>52</v>
      </c>
      <c r="W4" s="68"/>
      <c r="X4" s="69"/>
      <c r="Y4" s="78" t="s">
        <v>53</v>
      </c>
      <c r="Z4" s="78" t="s">
        <v>54</v>
      </c>
      <c r="AA4" s="78" t="s">
        <v>55</v>
      </c>
      <c r="AB4" s="79" t="s">
        <v>56</v>
      </c>
      <c r="AC4" s="80" t="s">
        <v>57</v>
      </c>
      <c r="AD4" s="81" t="s">
        <v>47</v>
      </c>
      <c r="AE4" s="82" t="s">
        <v>58</v>
      </c>
      <c r="AF4" s="83"/>
    </row>
    <row r="5" s="2" customFormat="1" spans="1:32">
      <c r="A5" s="90" t="s">
        <v>20</v>
      </c>
      <c r="B5" s="47" t="s">
        <v>21</v>
      </c>
      <c r="C5" s="22">
        <v>240912000038</v>
      </c>
      <c r="D5" s="23">
        <v>45560</v>
      </c>
      <c r="E5" s="23" t="s">
        <v>78</v>
      </c>
      <c r="F5" s="47" t="s">
        <v>79</v>
      </c>
      <c r="G5" s="47" t="s">
        <v>121</v>
      </c>
      <c r="H5" s="91">
        <v>6.0188</v>
      </c>
      <c r="I5" s="91">
        <v>1018</v>
      </c>
      <c r="J5" s="42">
        <v>12660</v>
      </c>
      <c r="K5" s="85"/>
      <c r="L5" s="92"/>
      <c r="M5" s="45"/>
      <c r="N5" s="93"/>
      <c r="O5" s="47"/>
      <c r="P5" s="48">
        <f>SUBTOTAL(9,J5)</f>
        <v>12660</v>
      </c>
      <c r="Q5" s="99">
        <f>SUM(P5:P14)</f>
        <v>155300.8834</v>
      </c>
      <c r="R5" s="100" t="s">
        <v>129</v>
      </c>
      <c r="S5" s="70">
        <f>SUM(41943/68)*H5</f>
        <v>3712.44894705882</v>
      </c>
      <c r="T5" s="70"/>
      <c r="U5" s="70">
        <f>SUM(1300/68)*H5</f>
        <v>115.065294117647</v>
      </c>
      <c r="V5" s="70"/>
      <c r="W5" s="70"/>
      <c r="X5" s="101">
        <f t="shared" ref="X5:X16" si="0">SUM(S5:W5)</f>
        <v>3827.51424117647</v>
      </c>
      <c r="Y5" s="84">
        <f>SUM(10737.46/68)*H5</f>
        <v>950.391533058823</v>
      </c>
      <c r="Z5" s="84"/>
      <c r="AA5" s="84">
        <f>SUM(53.1/68)*H5</f>
        <v>4.69997470588235</v>
      </c>
      <c r="AB5" s="84">
        <f t="shared" ref="AB5:AB16" si="1">SUM(Y5:AA5)</f>
        <v>955.091507764706</v>
      </c>
      <c r="AC5" s="85">
        <v>7.18</v>
      </c>
      <c r="AD5" s="70">
        <f t="shared" ref="AD5:AD16" si="2">SUM(AB5*AC5)</f>
        <v>6857.55702575059</v>
      </c>
      <c r="AE5" s="70">
        <f t="shared" ref="AE5:AE16" si="3">SUM(X5+AD5)</f>
        <v>10685.0712669271</v>
      </c>
      <c r="AF5" s="70">
        <f t="shared" ref="AF5:AF14" si="4">SUM(P5-AE5)</f>
        <v>1974.92873307294</v>
      </c>
    </row>
    <row r="6" s="2" customFormat="1" spans="1:32">
      <c r="A6" s="90"/>
      <c r="B6" s="47"/>
      <c r="C6" s="22">
        <v>240914000053</v>
      </c>
      <c r="D6" s="23">
        <v>45560</v>
      </c>
      <c r="E6" s="23" t="s">
        <v>78</v>
      </c>
      <c r="F6" s="47" t="s">
        <v>79</v>
      </c>
      <c r="G6" s="47" t="s">
        <v>121</v>
      </c>
      <c r="H6" s="91">
        <v>0.3137</v>
      </c>
      <c r="I6" s="91">
        <v>144.5</v>
      </c>
      <c r="J6" s="94">
        <v>672.8</v>
      </c>
      <c r="K6" s="85"/>
      <c r="L6" s="92"/>
      <c r="M6" s="45"/>
      <c r="N6" s="95"/>
      <c r="O6" s="47"/>
      <c r="P6" s="48">
        <f>SUBTOTAL(9,J6)</f>
        <v>672.8</v>
      </c>
      <c r="Q6" s="99"/>
      <c r="R6" s="100"/>
      <c r="S6" s="70">
        <f t="shared" ref="S6:S14" si="5">SUM(41943/68)*H6</f>
        <v>193.492927941176</v>
      </c>
      <c r="T6" s="70"/>
      <c r="U6" s="70">
        <f t="shared" ref="U6:U14" si="6">SUM(1300/68)*H6</f>
        <v>5.99720588235294</v>
      </c>
      <c r="V6" s="70"/>
      <c r="W6" s="70"/>
      <c r="X6" s="101">
        <f t="shared" si="0"/>
        <v>199.490133823529</v>
      </c>
      <c r="Y6" s="84">
        <f t="shared" ref="Y6:Y14" si="7">SUM(10737.46/68)*H6</f>
        <v>49.5344294411765</v>
      </c>
      <c r="Z6" s="84"/>
      <c r="AA6" s="84">
        <f t="shared" ref="AA6:AA14" si="8">SUM(53.1/68)*H6</f>
        <v>0.244962794117647</v>
      </c>
      <c r="AB6" s="84">
        <f t="shared" si="1"/>
        <v>49.7793922352941</v>
      </c>
      <c r="AC6" s="85">
        <v>7.18</v>
      </c>
      <c r="AD6" s="70">
        <f t="shared" si="2"/>
        <v>357.416036249412</v>
      </c>
      <c r="AE6" s="70">
        <f t="shared" si="3"/>
        <v>556.906170072941</v>
      </c>
      <c r="AF6" s="70">
        <f t="shared" si="4"/>
        <v>115.893829927059</v>
      </c>
    </row>
    <row r="7" s="2" customFormat="1" spans="1:32">
      <c r="A7" s="90"/>
      <c r="B7" s="47"/>
      <c r="C7" s="22">
        <v>240923000035</v>
      </c>
      <c r="D7" s="23">
        <v>45547</v>
      </c>
      <c r="E7" s="23" t="s">
        <v>78</v>
      </c>
      <c r="F7" s="47" t="s">
        <v>79</v>
      </c>
      <c r="G7" s="47" t="s">
        <v>100</v>
      </c>
      <c r="H7" s="91">
        <v>0.7148</v>
      </c>
      <c r="I7" s="91">
        <v>310</v>
      </c>
      <c r="J7" s="42">
        <v>1406</v>
      </c>
      <c r="K7" s="85"/>
      <c r="L7" s="92"/>
      <c r="M7" s="45"/>
      <c r="N7" s="96"/>
      <c r="O7" s="47"/>
      <c r="P7" s="48">
        <f>SUBTOTAL(9,J7)</f>
        <v>1406</v>
      </c>
      <c r="Q7" s="102"/>
      <c r="R7" s="102"/>
      <c r="S7" s="70">
        <f t="shared" si="5"/>
        <v>440.894947058824</v>
      </c>
      <c r="T7" s="70"/>
      <c r="U7" s="70">
        <f t="shared" si="6"/>
        <v>13.6652941176471</v>
      </c>
      <c r="V7" s="70"/>
      <c r="W7" s="70"/>
      <c r="X7" s="101">
        <f t="shared" si="0"/>
        <v>454.560241176471</v>
      </c>
      <c r="Y7" s="84">
        <f t="shared" si="7"/>
        <v>112.869653058824</v>
      </c>
      <c r="Z7" s="84"/>
      <c r="AA7" s="84">
        <f t="shared" si="8"/>
        <v>0.558174705882353</v>
      </c>
      <c r="AB7" s="84">
        <f t="shared" si="1"/>
        <v>113.427827764706</v>
      </c>
      <c r="AC7" s="85">
        <v>7.18</v>
      </c>
      <c r="AD7" s="70">
        <f t="shared" si="2"/>
        <v>814.411803350588</v>
      </c>
      <c r="AE7" s="70">
        <f t="shared" si="3"/>
        <v>1268.97204452706</v>
      </c>
      <c r="AF7" s="70">
        <f t="shared" si="4"/>
        <v>137.027955472941</v>
      </c>
    </row>
    <row r="8" s="2" customFormat="1" spans="1:32">
      <c r="A8" s="90"/>
      <c r="B8" s="47"/>
      <c r="C8" s="22">
        <v>240912000064</v>
      </c>
      <c r="D8" s="23">
        <v>45560</v>
      </c>
      <c r="E8" s="23" t="s">
        <v>59</v>
      </c>
      <c r="F8" s="47" t="s">
        <v>59</v>
      </c>
      <c r="G8" s="47" t="s">
        <v>130</v>
      </c>
      <c r="H8" s="91">
        <v>5.0147</v>
      </c>
      <c r="I8" s="91">
        <v>766</v>
      </c>
      <c r="J8" s="42">
        <v>10109.64</v>
      </c>
      <c r="K8" s="85"/>
      <c r="L8" s="92"/>
      <c r="M8" s="45"/>
      <c r="N8" s="93"/>
      <c r="O8" s="47"/>
      <c r="P8" s="48">
        <f>SUBTOTAL(9,J8)</f>
        <v>10109.64</v>
      </c>
      <c r="Q8" s="102"/>
      <c r="R8" s="102"/>
      <c r="S8" s="70">
        <f t="shared" si="5"/>
        <v>3093.11120735294</v>
      </c>
      <c r="T8" s="70"/>
      <c r="U8" s="70">
        <f t="shared" si="6"/>
        <v>95.8692647058824</v>
      </c>
      <c r="V8" s="70"/>
      <c r="W8" s="70"/>
      <c r="X8" s="101">
        <f t="shared" si="0"/>
        <v>3188.98047205882</v>
      </c>
      <c r="Y8" s="84">
        <f t="shared" si="7"/>
        <v>791.840303852941</v>
      </c>
      <c r="Z8" s="84"/>
      <c r="AA8" s="84">
        <f t="shared" si="8"/>
        <v>3.91589073529412</v>
      </c>
      <c r="AB8" s="84">
        <f t="shared" si="1"/>
        <v>795.756194588235</v>
      </c>
      <c r="AC8" s="85">
        <v>7.18</v>
      </c>
      <c r="AD8" s="70">
        <f t="shared" si="2"/>
        <v>5713.52947714353</v>
      </c>
      <c r="AE8" s="70">
        <f t="shared" si="3"/>
        <v>8902.50994920235</v>
      </c>
      <c r="AF8" s="70">
        <f t="shared" si="4"/>
        <v>1207.13005079765</v>
      </c>
    </row>
    <row r="9" s="2" customFormat="1" spans="1:32">
      <c r="A9" s="90"/>
      <c r="B9" s="47"/>
      <c r="C9" s="22">
        <v>240918000030</v>
      </c>
      <c r="D9" s="23">
        <v>45560</v>
      </c>
      <c r="E9" s="23" t="s">
        <v>66</v>
      </c>
      <c r="F9" s="47" t="s">
        <v>67</v>
      </c>
      <c r="G9" s="47" t="s">
        <v>131</v>
      </c>
      <c r="H9" s="91">
        <v>6.4512</v>
      </c>
      <c r="I9" s="91">
        <v>2312</v>
      </c>
      <c r="J9" s="48"/>
      <c r="K9" s="97">
        <v>3152063.3</v>
      </c>
      <c r="L9" s="92"/>
      <c r="M9" s="45">
        <f>SUM(K9/N9)</f>
        <v>1745</v>
      </c>
      <c r="N9" s="98">
        <v>1806.34</v>
      </c>
      <c r="O9" s="47">
        <v>7.21</v>
      </c>
      <c r="P9" s="48">
        <f>SUM(N9*O9)</f>
        <v>13023.7114</v>
      </c>
      <c r="Q9" s="102"/>
      <c r="R9" s="102"/>
      <c r="S9" s="70">
        <f t="shared" si="5"/>
        <v>3979.15708235294</v>
      </c>
      <c r="T9" s="70"/>
      <c r="U9" s="70">
        <f t="shared" si="6"/>
        <v>123.331764705882</v>
      </c>
      <c r="V9" s="70"/>
      <c r="W9" s="70"/>
      <c r="X9" s="101">
        <f t="shared" si="0"/>
        <v>4102.48884705882</v>
      </c>
      <c r="Y9" s="84">
        <f t="shared" si="7"/>
        <v>1018.66914635294</v>
      </c>
      <c r="Z9" s="84"/>
      <c r="AA9" s="84">
        <f t="shared" si="8"/>
        <v>5.03762823529412</v>
      </c>
      <c r="AB9" s="84">
        <f t="shared" si="1"/>
        <v>1023.70677458824</v>
      </c>
      <c r="AC9" s="85">
        <v>7.18</v>
      </c>
      <c r="AD9" s="70">
        <f t="shared" si="2"/>
        <v>7350.21464154353</v>
      </c>
      <c r="AE9" s="70">
        <f t="shared" si="3"/>
        <v>11452.7034886024</v>
      </c>
      <c r="AF9" s="70">
        <f t="shared" si="4"/>
        <v>1571.00791139765</v>
      </c>
    </row>
    <row r="10" s="2" customFormat="1" spans="1:32">
      <c r="A10" s="90"/>
      <c r="B10" s="47"/>
      <c r="C10" s="22">
        <v>240924000002</v>
      </c>
      <c r="D10" s="23">
        <v>45560</v>
      </c>
      <c r="E10" s="23" t="s">
        <v>59</v>
      </c>
      <c r="F10" s="47" t="s">
        <v>59</v>
      </c>
      <c r="G10" s="47" t="s">
        <v>110</v>
      </c>
      <c r="H10" s="91">
        <v>1.6316</v>
      </c>
      <c r="I10" s="91">
        <v>279.5</v>
      </c>
      <c r="J10" s="42">
        <v>2779.87</v>
      </c>
      <c r="K10" s="85"/>
      <c r="L10" s="92"/>
      <c r="M10" s="45"/>
      <c r="N10" s="93"/>
      <c r="O10" s="47"/>
      <c r="P10" s="48">
        <f t="shared" ref="P10:P13" si="9">SUBTOTAL(9,J10)</f>
        <v>2779.87</v>
      </c>
      <c r="Q10" s="102"/>
      <c r="R10" s="102"/>
      <c r="S10" s="70">
        <f t="shared" si="5"/>
        <v>1006.38527647059</v>
      </c>
      <c r="T10" s="70"/>
      <c r="U10" s="70">
        <f t="shared" si="6"/>
        <v>31.1923529411765</v>
      </c>
      <c r="V10" s="70"/>
      <c r="W10" s="70"/>
      <c r="X10" s="101">
        <f t="shared" si="0"/>
        <v>1037.57762941176</v>
      </c>
      <c r="Y10" s="84">
        <f t="shared" si="7"/>
        <v>257.635878470588</v>
      </c>
      <c r="Z10" s="84"/>
      <c r="AA10" s="84">
        <f t="shared" si="8"/>
        <v>1.27408764705882</v>
      </c>
      <c r="AB10" s="84">
        <f t="shared" si="1"/>
        <v>258.909966117647</v>
      </c>
      <c r="AC10" s="85">
        <v>7.18</v>
      </c>
      <c r="AD10" s="70">
        <f t="shared" si="2"/>
        <v>1858.97355672471</v>
      </c>
      <c r="AE10" s="70">
        <f t="shared" si="3"/>
        <v>2896.55118613647</v>
      </c>
      <c r="AF10" s="70">
        <f t="shared" si="4"/>
        <v>-116.68118613647</v>
      </c>
    </row>
    <row r="11" s="2" customFormat="1" spans="1:32">
      <c r="A11" s="90"/>
      <c r="B11" s="47"/>
      <c r="C11" s="22">
        <v>240921000019</v>
      </c>
      <c r="D11" s="23">
        <v>45547</v>
      </c>
      <c r="E11" s="23" t="s">
        <v>81</v>
      </c>
      <c r="F11" s="47" t="s">
        <v>82</v>
      </c>
      <c r="G11" s="47" t="s">
        <v>86</v>
      </c>
      <c r="H11" s="91">
        <v>9.0628</v>
      </c>
      <c r="I11" s="91">
        <v>3434.65</v>
      </c>
      <c r="J11" s="42">
        <v>18527.4</v>
      </c>
      <c r="K11" s="85"/>
      <c r="L11" s="92"/>
      <c r="M11" s="45"/>
      <c r="N11" s="96"/>
      <c r="O11" s="47"/>
      <c r="P11" s="48">
        <f t="shared" si="9"/>
        <v>18527.4</v>
      </c>
      <c r="Q11" s="102"/>
      <c r="R11" s="102"/>
      <c r="S11" s="70">
        <f t="shared" si="5"/>
        <v>5590.01500588235</v>
      </c>
      <c r="T11" s="70"/>
      <c r="U11" s="70">
        <f t="shared" si="6"/>
        <v>173.259411764706</v>
      </c>
      <c r="V11" s="70"/>
      <c r="W11" s="70"/>
      <c r="X11" s="101">
        <f t="shared" si="0"/>
        <v>5763.27441764706</v>
      </c>
      <c r="Y11" s="84">
        <f t="shared" si="7"/>
        <v>1431.05077188235</v>
      </c>
      <c r="Z11" s="84"/>
      <c r="AA11" s="84">
        <f t="shared" si="8"/>
        <v>7.07698058823529</v>
      </c>
      <c r="AB11" s="84">
        <f t="shared" si="1"/>
        <v>1438.12775247059</v>
      </c>
      <c r="AC11" s="85">
        <v>7.18</v>
      </c>
      <c r="AD11" s="70">
        <f t="shared" si="2"/>
        <v>10325.7572627388</v>
      </c>
      <c r="AE11" s="70">
        <f t="shared" si="3"/>
        <v>16089.0316803859</v>
      </c>
      <c r="AF11" s="70">
        <f t="shared" si="4"/>
        <v>2438.36831961412</v>
      </c>
    </row>
    <row r="12" s="2" customFormat="1" spans="1:32">
      <c r="A12" s="90"/>
      <c r="B12" s="47"/>
      <c r="C12" s="22">
        <v>240924000001</v>
      </c>
      <c r="D12" s="23">
        <v>45560</v>
      </c>
      <c r="E12" s="23" t="s">
        <v>59</v>
      </c>
      <c r="F12" s="47" t="s">
        <v>59</v>
      </c>
      <c r="G12" s="47" t="s">
        <v>110</v>
      </c>
      <c r="H12" s="91">
        <v>29.32</v>
      </c>
      <c r="I12" s="91">
        <v>1291</v>
      </c>
      <c r="J12" s="42">
        <v>49953.95</v>
      </c>
      <c r="K12" s="85"/>
      <c r="L12" s="92"/>
      <c r="M12" s="45"/>
      <c r="N12" s="93"/>
      <c r="O12" s="47"/>
      <c r="P12" s="48">
        <f t="shared" si="9"/>
        <v>49953.95</v>
      </c>
      <c r="Q12" s="102"/>
      <c r="R12" s="102"/>
      <c r="S12" s="70">
        <f t="shared" si="5"/>
        <v>18084.8347058824</v>
      </c>
      <c r="T12" s="70"/>
      <c r="U12" s="70">
        <f t="shared" si="6"/>
        <v>560.529411764706</v>
      </c>
      <c r="V12" s="70"/>
      <c r="W12" s="70"/>
      <c r="X12" s="101">
        <f t="shared" si="0"/>
        <v>18645.3641176471</v>
      </c>
      <c r="Y12" s="84">
        <f t="shared" si="7"/>
        <v>4629.74010588235</v>
      </c>
      <c r="Z12" s="84"/>
      <c r="AA12" s="84">
        <f t="shared" si="8"/>
        <v>22.8954705882353</v>
      </c>
      <c r="AB12" s="84">
        <f t="shared" si="1"/>
        <v>4652.63557647059</v>
      </c>
      <c r="AC12" s="85">
        <v>7.18</v>
      </c>
      <c r="AD12" s="70">
        <f t="shared" si="2"/>
        <v>33405.9234390588</v>
      </c>
      <c r="AE12" s="70">
        <f t="shared" si="3"/>
        <v>52051.2875567059</v>
      </c>
      <c r="AF12" s="70">
        <f t="shared" si="4"/>
        <v>-2097.33755670588</v>
      </c>
    </row>
    <row r="13" s="2" customFormat="1" spans="1:32">
      <c r="A13" s="90"/>
      <c r="B13" s="47"/>
      <c r="C13" s="22">
        <v>240924000008</v>
      </c>
      <c r="D13" s="23">
        <v>45560</v>
      </c>
      <c r="E13" s="23" t="s">
        <v>59</v>
      </c>
      <c r="F13" s="47" t="s">
        <v>59</v>
      </c>
      <c r="G13" s="47" t="s">
        <v>110</v>
      </c>
      <c r="H13" s="91">
        <v>6.42</v>
      </c>
      <c r="I13" s="91">
        <v>1637</v>
      </c>
      <c r="J13" s="42">
        <v>11242.58</v>
      </c>
      <c r="K13" s="85"/>
      <c r="L13" s="92"/>
      <c r="M13" s="45"/>
      <c r="N13" s="93"/>
      <c r="O13" s="47"/>
      <c r="P13" s="48">
        <f t="shared" si="9"/>
        <v>11242.58</v>
      </c>
      <c r="Q13" s="102"/>
      <c r="R13" s="102"/>
      <c r="S13" s="70">
        <f t="shared" si="5"/>
        <v>3959.91264705882</v>
      </c>
      <c r="T13" s="70"/>
      <c r="U13" s="70">
        <f t="shared" si="6"/>
        <v>122.735294117647</v>
      </c>
      <c r="V13" s="70"/>
      <c r="W13" s="70"/>
      <c r="X13" s="101">
        <f t="shared" si="0"/>
        <v>4082.64794117647</v>
      </c>
      <c r="Y13" s="84">
        <f t="shared" si="7"/>
        <v>1013.74254705882</v>
      </c>
      <c r="Z13" s="84"/>
      <c r="AA13" s="84">
        <f t="shared" si="8"/>
        <v>5.01326470588235</v>
      </c>
      <c r="AB13" s="84">
        <f t="shared" si="1"/>
        <v>1018.75581176471</v>
      </c>
      <c r="AC13" s="85">
        <v>7.18</v>
      </c>
      <c r="AD13" s="70">
        <f t="shared" si="2"/>
        <v>7314.66672847059</v>
      </c>
      <c r="AE13" s="70">
        <f t="shared" si="3"/>
        <v>11397.3146696471</v>
      </c>
      <c r="AF13" s="70">
        <f t="shared" si="4"/>
        <v>-154.734669647056</v>
      </c>
    </row>
    <row r="14" s="2" customFormat="1" spans="1:32">
      <c r="A14" s="90"/>
      <c r="B14" s="47"/>
      <c r="C14" s="22">
        <v>240924000028</v>
      </c>
      <c r="D14" s="23">
        <v>45560</v>
      </c>
      <c r="E14" s="23" t="s">
        <v>59</v>
      </c>
      <c r="F14" s="47" t="s">
        <v>59</v>
      </c>
      <c r="G14" s="47" t="s">
        <v>132</v>
      </c>
      <c r="H14" s="91">
        <v>15.66</v>
      </c>
      <c r="I14" s="91">
        <v>10000</v>
      </c>
      <c r="J14" s="48"/>
      <c r="K14" s="97">
        <v>8627642.1</v>
      </c>
      <c r="L14" s="92"/>
      <c r="M14" s="45">
        <f>SUM(K14/N14)</f>
        <v>1749</v>
      </c>
      <c r="N14" s="46">
        <v>4932.9</v>
      </c>
      <c r="O14" s="47">
        <v>7.08</v>
      </c>
      <c r="P14" s="48">
        <f>SUM(N14*O14)</f>
        <v>34924.932</v>
      </c>
      <c r="Q14" s="103"/>
      <c r="R14" s="103"/>
      <c r="S14" s="70">
        <f t="shared" si="5"/>
        <v>9659.22617647059</v>
      </c>
      <c r="T14" s="70"/>
      <c r="U14" s="70">
        <f t="shared" si="6"/>
        <v>299.382352941176</v>
      </c>
      <c r="V14" s="70"/>
      <c r="W14" s="70"/>
      <c r="X14" s="101">
        <f t="shared" si="0"/>
        <v>9958.60852941176</v>
      </c>
      <c r="Y14" s="84">
        <f t="shared" si="7"/>
        <v>2472.77387647059</v>
      </c>
      <c r="Z14" s="84"/>
      <c r="AA14" s="84">
        <f t="shared" si="8"/>
        <v>12.2286176470588</v>
      </c>
      <c r="AB14" s="84">
        <f t="shared" si="1"/>
        <v>2485.00249411765</v>
      </c>
      <c r="AC14" s="85">
        <v>7.18</v>
      </c>
      <c r="AD14" s="70">
        <f t="shared" si="2"/>
        <v>17842.3179077647</v>
      </c>
      <c r="AE14" s="70">
        <f t="shared" si="3"/>
        <v>27800.9264371765</v>
      </c>
      <c r="AF14" s="70">
        <f t="shared" si="4"/>
        <v>7124.00556282354</v>
      </c>
    </row>
    <row r="15" ht="15.75" spans="1:32">
      <c r="A15" s="25" t="s">
        <v>26</v>
      </c>
      <c r="B15" s="26"/>
      <c r="C15" s="26"/>
      <c r="D15" s="26"/>
      <c r="E15" s="26"/>
      <c r="F15" s="26"/>
      <c r="G15" s="26"/>
      <c r="H15" s="26"/>
      <c r="I15" s="49"/>
      <c r="J15" s="26">
        <f>SUM(J4:J4)</f>
        <v>0</v>
      </c>
      <c r="K15" s="50"/>
      <c r="L15" s="51"/>
      <c r="M15" s="50"/>
      <c r="N15" s="50">
        <f t="shared" ref="N15:Q15" si="10">SUM(N4:N4)</f>
        <v>0</v>
      </c>
      <c r="O15" s="26"/>
      <c r="P15" s="26">
        <f t="shared" si="10"/>
        <v>0</v>
      </c>
      <c r="Q15" s="26">
        <f t="shared" si="10"/>
        <v>0</v>
      </c>
      <c r="R15" s="26"/>
      <c r="S15" s="26"/>
      <c r="T15" s="26"/>
      <c r="U15" s="26"/>
      <c r="V15" s="26"/>
      <c r="W15" s="26"/>
      <c r="X15" s="72">
        <f>SUM(X4:X4)</f>
        <v>0</v>
      </c>
      <c r="Y15" s="51"/>
      <c r="Z15" s="51"/>
      <c r="AA15" s="51"/>
      <c r="AB15" s="51"/>
      <c r="AC15" s="50"/>
      <c r="AD15" s="26">
        <f>SUM(AD4:AD4)</f>
        <v>0</v>
      </c>
      <c r="AE15" s="26"/>
      <c r="AF15" s="86">
        <f>SUM(AF4:AF14)</f>
        <v>12199.6089506165</v>
      </c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  <row r="22" customFormat="1" spans="4:32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  <c r="AF22" s="8"/>
    </row>
    <row r="23" customFormat="1" spans="4:32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  <c r="AF23" s="8"/>
    </row>
    <row r="24" customFormat="1" spans="4:32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  <c r="AF24" s="8"/>
    </row>
    <row r="25" customFormat="1" spans="4:32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  <c r="AF25" s="8"/>
    </row>
    <row r="26" customFormat="1" spans="4:32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  <c r="AF26" s="8"/>
    </row>
    <row r="27" customFormat="1" spans="4:32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  <c r="AF27" s="8"/>
    </row>
    <row r="28" customFormat="1" spans="4:32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  <c r="AF28" s="8"/>
    </row>
    <row r="29" customFormat="1" spans="4:32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  <c r="AF29" s="8"/>
    </row>
    <row r="30" customFormat="1" spans="4:32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  <c r="AF30" s="8"/>
    </row>
    <row r="31" customFormat="1" spans="4:32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  <c r="AF31" s="8"/>
    </row>
  </sheetData>
  <autoFilter xmlns:etc="http://www.wps.cn/officeDocument/2017/etCustomData" ref="A3:AF15" etc:filterBottomFollowUsedRange="0">
    <extLst/>
  </autoFilter>
  <mergeCells count="21">
    <mergeCell ref="A1:AF1"/>
    <mergeCell ref="J3:P3"/>
    <mergeCell ref="R3:V3"/>
    <mergeCell ref="Y3:AD3"/>
    <mergeCell ref="A3:A4"/>
    <mergeCell ref="A5:A14"/>
    <mergeCell ref="B3:B4"/>
    <mergeCell ref="B5:B14"/>
    <mergeCell ref="C3:C4"/>
    <mergeCell ref="D3:D4"/>
    <mergeCell ref="E3:E4"/>
    <mergeCell ref="F3:F4"/>
    <mergeCell ref="G3:G4"/>
    <mergeCell ref="H3:H4"/>
    <mergeCell ref="I3:I4"/>
    <mergeCell ref="Q3:Q4"/>
    <mergeCell ref="Q5:Q14"/>
    <mergeCell ref="R5:R1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C4" sqref="$A4:$XFD104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4" t="s">
        <v>39</v>
      </c>
      <c r="Z2" s="74"/>
      <c r="AA2" s="74"/>
      <c r="AB2" s="74"/>
      <c r="AC2" s="75"/>
      <c r="AD2" s="74"/>
      <c r="AE2" s="76" t="s">
        <v>40</v>
      </c>
      <c r="AF2" s="77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8" t="s">
        <v>53</v>
      </c>
      <c r="Z3" s="78" t="s">
        <v>54</v>
      </c>
      <c r="AA3" s="78" t="s">
        <v>55</v>
      </c>
      <c r="AB3" s="79" t="s">
        <v>56</v>
      </c>
      <c r="AC3" s="80" t="s">
        <v>57</v>
      </c>
      <c r="AD3" s="81" t="s">
        <v>47</v>
      </c>
      <c r="AE3" s="82" t="s">
        <v>58</v>
      </c>
      <c r="AF3" s="83"/>
    </row>
    <row r="4" s="2" customFormat="1" ht="67.5" spans="1:32">
      <c r="A4" s="20" t="s">
        <v>22</v>
      </c>
      <c r="B4" s="21" t="s">
        <v>23</v>
      </c>
      <c r="C4" s="22">
        <v>241018000035</v>
      </c>
      <c r="D4" s="23">
        <v>45551</v>
      </c>
      <c r="E4" s="23" t="s">
        <v>59</v>
      </c>
      <c r="F4" s="21" t="s">
        <v>59</v>
      </c>
      <c r="G4" s="21" t="s">
        <v>97</v>
      </c>
      <c r="H4" s="87">
        <v>68</v>
      </c>
      <c r="I4" s="87"/>
      <c r="J4" s="42">
        <v>51892</v>
      </c>
      <c r="K4" s="88">
        <v>21300000</v>
      </c>
      <c r="L4" s="44" t="s">
        <v>133</v>
      </c>
      <c r="M4" s="45">
        <f>SUM(K4/N4)</f>
        <v>1745.0005325119</v>
      </c>
      <c r="N4" s="46">
        <v>12206.3</v>
      </c>
      <c r="O4" s="47">
        <v>7.12</v>
      </c>
      <c r="P4" s="48">
        <f>SUM(N4*O4)+J4</f>
        <v>138800.856</v>
      </c>
      <c r="Q4" s="70">
        <f>SUM(P4)</f>
        <v>138800.856</v>
      </c>
      <c r="R4" s="71" t="s">
        <v>134</v>
      </c>
      <c r="S4" s="70">
        <v>45476</v>
      </c>
      <c r="T4" s="70"/>
      <c r="U4" s="70"/>
      <c r="V4" s="70"/>
      <c r="W4" s="70"/>
      <c r="X4" s="70">
        <f>SUM(S4:W4)</f>
        <v>45476</v>
      </c>
      <c r="Y4" s="84">
        <v>10888.25</v>
      </c>
      <c r="Z4" s="84"/>
      <c r="AA4" s="84"/>
      <c r="AB4" s="84">
        <f>SUM(Y4:AA4)</f>
        <v>10888.25</v>
      </c>
      <c r="AC4" s="85">
        <v>7.12</v>
      </c>
      <c r="AD4" s="70">
        <f>SUM(AB4*AC4)</f>
        <v>77524.34</v>
      </c>
      <c r="AE4" s="70">
        <f>SUM(X4+AD4)</f>
        <v>123000.34</v>
      </c>
      <c r="AF4" s="70">
        <f>SUM(Q4-AE4)</f>
        <v>15800.516</v>
      </c>
    </row>
    <row r="5" ht="15.75" spans="1:32">
      <c r="A5" s="25" t="s">
        <v>26</v>
      </c>
      <c r="B5" s="26"/>
      <c r="C5" s="26"/>
      <c r="D5" s="26"/>
      <c r="E5" s="26"/>
      <c r="F5" s="26"/>
      <c r="G5" s="26"/>
      <c r="H5" s="26"/>
      <c r="I5" s="49"/>
      <c r="J5" s="26">
        <f>SUM(J3:J3)</f>
        <v>0</v>
      </c>
      <c r="K5" s="50"/>
      <c r="L5" s="51"/>
      <c r="M5" s="50"/>
      <c r="N5" s="50">
        <f t="shared" ref="N5:Q5" si="0">SUM(N3:N3)</f>
        <v>0</v>
      </c>
      <c r="O5" s="26"/>
      <c r="P5" s="26">
        <f t="shared" si="0"/>
        <v>0</v>
      </c>
      <c r="Q5" s="26">
        <f t="shared" si="0"/>
        <v>0</v>
      </c>
      <c r="R5" s="26"/>
      <c r="S5" s="26"/>
      <c r="T5" s="26"/>
      <c r="U5" s="26"/>
      <c r="V5" s="26"/>
      <c r="W5" s="26"/>
      <c r="X5" s="72">
        <f>SUM(X3:X3)</f>
        <v>0</v>
      </c>
      <c r="Y5" s="51"/>
      <c r="Z5" s="51"/>
      <c r="AA5" s="51"/>
      <c r="AB5" s="51"/>
      <c r="AC5" s="50"/>
      <c r="AD5" s="26">
        <f>SUM(AD3:AD3)</f>
        <v>0</v>
      </c>
      <c r="AE5" s="26"/>
      <c r="AF5" s="86">
        <f>SUM(AF3:AF4)</f>
        <v>15800.516</v>
      </c>
    </row>
    <row r="6" customFormat="1" spans="4:32">
      <c r="D6" s="3"/>
      <c r="E6" s="3"/>
      <c r="K6" s="4"/>
      <c r="L6" s="5"/>
      <c r="M6" s="4"/>
      <c r="X6" s="7"/>
      <c r="Y6" s="5"/>
      <c r="Z6" s="5"/>
      <c r="AA6" s="5"/>
      <c r="AB6" s="5"/>
      <c r="AC6" s="4"/>
      <c r="AF6" s="8"/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</sheetData>
  <autoFilter xmlns:etc="http://www.wps.cn/officeDocument/2017/etCustomData" ref="A2:AF5" etc:filterBottomFollowUsedRange="0">
    <extLst/>
  </autoFilter>
  <mergeCells count="17">
    <mergeCell ref="A1:AF1"/>
    <mergeCell ref="J2:P2"/>
    <mergeCell ref="R2:V2"/>
    <mergeCell ref="Y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zoomScale="110" zoomScaleNormal="110" workbookViewId="0">
      <pane xSplit="2" ySplit="3" topLeftCell="S4" activePane="bottomRight" state="frozen"/>
      <selection/>
      <selection pane="topRight"/>
      <selection pane="bottomLeft"/>
      <selection pane="bottomRight" activeCell="A105" sqref="$A4:$XFD105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1" width="14.875"/>
    <col min="32" max="32" width="14.875" style="8"/>
  </cols>
  <sheetData>
    <row r="1" ht="31" customHeight="1" spans="1:3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27"/>
      <c r="L1" s="28"/>
      <c r="M1" s="27"/>
      <c r="N1" s="9"/>
      <c r="O1" s="29"/>
      <c r="P1" s="9"/>
      <c r="Q1" s="9"/>
      <c r="R1" s="9"/>
      <c r="S1" s="9"/>
      <c r="T1" s="52"/>
      <c r="U1" s="52"/>
      <c r="V1" s="53"/>
      <c r="W1" s="52"/>
      <c r="X1" s="54"/>
      <c r="Y1" s="28"/>
      <c r="Z1" s="28"/>
      <c r="AA1" s="28"/>
      <c r="AB1" s="28"/>
      <c r="AC1" s="27"/>
      <c r="AD1" s="28"/>
      <c r="AE1" s="9"/>
      <c r="AF1" s="73"/>
    </row>
    <row r="2" s="1" customFormat="1" ht="23" customHeight="1" spans="1:32">
      <c r="A2" s="10" t="s">
        <v>1</v>
      </c>
      <c r="B2" s="11" t="s">
        <v>2</v>
      </c>
      <c r="C2" s="12" t="s">
        <v>27</v>
      </c>
      <c r="D2" s="13" t="s">
        <v>28</v>
      </c>
      <c r="E2" s="14" t="s">
        <v>29</v>
      </c>
      <c r="F2" s="15" t="s">
        <v>30</v>
      </c>
      <c r="G2" s="15" t="s">
        <v>31</v>
      </c>
      <c r="H2" s="15" t="s">
        <v>32</v>
      </c>
      <c r="I2" s="15" t="s">
        <v>33</v>
      </c>
      <c r="J2" s="30" t="s">
        <v>34</v>
      </c>
      <c r="K2" s="31"/>
      <c r="L2" s="32"/>
      <c r="M2" s="31"/>
      <c r="N2" s="32"/>
      <c r="O2" s="33"/>
      <c r="P2" s="34"/>
      <c r="Q2" s="55" t="s">
        <v>35</v>
      </c>
      <c r="R2" s="56" t="s">
        <v>36</v>
      </c>
      <c r="S2" s="57"/>
      <c r="T2" s="58"/>
      <c r="U2" s="59"/>
      <c r="V2" s="60"/>
      <c r="W2" s="61" t="s">
        <v>37</v>
      </c>
      <c r="X2" s="62" t="s">
        <v>38</v>
      </c>
      <c r="Y2" s="74" t="s">
        <v>39</v>
      </c>
      <c r="Z2" s="74"/>
      <c r="AA2" s="74"/>
      <c r="AB2" s="74"/>
      <c r="AC2" s="75"/>
      <c r="AD2" s="74"/>
      <c r="AE2" s="76" t="s">
        <v>40</v>
      </c>
      <c r="AF2" s="77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5"/>
      <c r="J3" s="36" t="s">
        <v>41</v>
      </c>
      <c r="K3" s="37" t="s">
        <v>42</v>
      </c>
      <c r="L3" s="38" t="s">
        <v>43</v>
      </c>
      <c r="M3" s="37" t="s">
        <v>44</v>
      </c>
      <c r="N3" s="39" t="s">
        <v>45</v>
      </c>
      <c r="O3" s="40" t="s">
        <v>46</v>
      </c>
      <c r="P3" s="41" t="s">
        <v>47</v>
      </c>
      <c r="Q3" s="63"/>
      <c r="R3" s="64" t="s">
        <v>48</v>
      </c>
      <c r="S3" s="65" t="s">
        <v>49</v>
      </c>
      <c r="T3" s="66" t="s">
        <v>50</v>
      </c>
      <c r="U3" s="67" t="s">
        <v>51</v>
      </c>
      <c r="V3" s="66" t="s">
        <v>52</v>
      </c>
      <c r="W3" s="68"/>
      <c r="X3" s="69"/>
      <c r="Y3" s="78" t="s">
        <v>53</v>
      </c>
      <c r="Z3" s="78" t="s">
        <v>54</v>
      </c>
      <c r="AA3" s="78" t="s">
        <v>55</v>
      </c>
      <c r="AB3" s="79" t="s">
        <v>56</v>
      </c>
      <c r="AC3" s="80" t="s">
        <v>57</v>
      </c>
      <c r="AD3" s="81" t="s">
        <v>47</v>
      </c>
      <c r="AE3" s="82" t="s">
        <v>58</v>
      </c>
      <c r="AF3" s="83"/>
    </row>
    <row r="4" s="2" customFormat="1" ht="54" spans="1:32">
      <c r="A4" s="20" t="s">
        <v>24</v>
      </c>
      <c r="B4" s="21" t="s">
        <v>25</v>
      </c>
      <c r="C4" s="22">
        <v>241015000029</v>
      </c>
      <c r="D4" s="23">
        <v>45547</v>
      </c>
      <c r="E4" s="23" t="s">
        <v>62</v>
      </c>
      <c r="F4" s="21" t="s">
        <v>63</v>
      </c>
      <c r="G4" s="21" t="s">
        <v>135</v>
      </c>
      <c r="H4" s="24">
        <v>181.1178</v>
      </c>
      <c r="I4" s="24"/>
      <c r="J4" s="42">
        <v>257973.5</v>
      </c>
      <c r="K4" s="43">
        <v>60800000</v>
      </c>
      <c r="L4" s="44" t="s">
        <v>133</v>
      </c>
      <c r="M4" s="45">
        <f>SUM(K4/N4)</f>
        <v>1770.00012809211</v>
      </c>
      <c r="N4" s="46">
        <v>34350.28</v>
      </c>
      <c r="O4" s="47">
        <v>7.12</v>
      </c>
      <c r="P4" s="48">
        <f>SUM(N4*O4)+J4</f>
        <v>502547.4936</v>
      </c>
      <c r="Q4" s="70">
        <f>SUM(P4)</f>
        <v>502547.4936</v>
      </c>
      <c r="R4" s="71" t="s">
        <v>136</v>
      </c>
      <c r="S4" s="70">
        <v>246436.66</v>
      </c>
      <c r="T4" s="70"/>
      <c r="U4" s="70"/>
      <c r="V4" s="70"/>
      <c r="W4" s="70"/>
      <c r="X4" s="70">
        <f>SUM(S4:W4)</f>
        <v>246436.66</v>
      </c>
      <c r="Y4" s="84">
        <v>31498.56</v>
      </c>
      <c r="Z4" s="84"/>
      <c r="AA4" s="84"/>
      <c r="AB4" s="84">
        <f>SUM(Y4:AA4)</f>
        <v>31498.56</v>
      </c>
      <c r="AC4" s="85">
        <v>7.12</v>
      </c>
      <c r="AD4" s="70">
        <f>SUM(AB4*AC4)</f>
        <v>224269.7472</v>
      </c>
      <c r="AE4" s="70">
        <f>SUM(X4+AD4)</f>
        <v>470706.4072</v>
      </c>
      <c r="AF4" s="70">
        <f>SUM(Q4-AE4)</f>
        <v>31841.0864</v>
      </c>
    </row>
    <row r="5" ht="15.75" spans="1:32">
      <c r="A5" s="25" t="s">
        <v>26</v>
      </c>
      <c r="B5" s="26"/>
      <c r="C5" s="26"/>
      <c r="D5" s="26"/>
      <c r="E5" s="26"/>
      <c r="F5" s="26"/>
      <c r="G5" s="26"/>
      <c r="H5" s="26"/>
      <c r="I5" s="49"/>
      <c r="J5" s="26">
        <f>SUM(J3:J3)</f>
        <v>0</v>
      </c>
      <c r="K5" s="50"/>
      <c r="L5" s="51"/>
      <c r="M5" s="50"/>
      <c r="N5" s="50">
        <f t="shared" ref="N5:Q5" si="0">SUM(N3:N3)</f>
        <v>0</v>
      </c>
      <c r="O5" s="26"/>
      <c r="P5" s="26">
        <f t="shared" si="0"/>
        <v>0</v>
      </c>
      <c r="Q5" s="26">
        <f t="shared" si="0"/>
        <v>0</v>
      </c>
      <c r="R5" s="26"/>
      <c r="S5" s="26"/>
      <c r="T5" s="26"/>
      <c r="U5" s="26"/>
      <c r="V5" s="26"/>
      <c r="W5" s="26"/>
      <c r="X5" s="72">
        <f>SUM(X3:X3)</f>
        <v>0</v>
      </c>
      <c r="Y5" s="51"/>
      <c r="Z5" s="51"/>
      <c r="AA5" s="51"/>
      <c r="AB5" s="51"/>
      <c r="AC5" s="50"/>
      <c r="AD5" s="26">
        <f>SUM(AD3:AD3)</f>
        <v>0</v>
      </c>
      <c r="AE5" s="26"/>
      <c r="AF5" s="86">
        <f>SUM(AF3:AF4)</f>
        <v>31841.0864</v>
      </c>
    </row>
    <row r="6" customFormat="1" spans="4:32">
      <c r="D6" s="3"/>
      <c r="E6" s="3"/>
      <c r="K6" s="4"/>
      <c r="L6" s="5"/>
      <c r="M6" s="4"/>
      <c r="X6" s="7"/>
      <c r="Y6" s="5"/>
      <c r="Z6" s="5"/>
      <c r="AA6" s="5"/>
      <c r="AB6" s="5"/>
      <c r="AC6" s="4"/>
      <c r="AF6" s="8"/>
    </row>
    <row r="7" customFormat="1" spans="4:32">
      <c r="D7" s="3"/>
      <c r="E7" s="3"/>
      <c r="K7" s="4"/>
      <c r="L7" s="5"/>
      <c r="M7" s="4"/>
      <c r="X7" s="7"/>
      <c r="Y7" s="5"/>
      <c r="Z7" s="5"/>
      <c r="AA7" s="5"/>
      <c r="AB7" s="5"/>
      <c r="AC7" s="4"/>
      <c r="AF7" s="8"/>
    </row>
    <row r="8" customFormat="1" spans="4:32">
      <c r="D8" s="3"/>
      <c r="E8" s="3"/>
      <c r="K8" s="4"/>
      <c r="L8" s="5"/>
      <c r="M8" s="4"/>
      <c r="X8" s="7"/>
      <c r="Y8" s="5"/>
      <c r="Z8" s="5"/>
      <c r="AA8" s="5"/>
      <c r="AB8" s="5"/>
      <c r="AC8" s="4"/>
      <c r="AF8" s="8"/>
    </row>
    <row r="9" customFormat="1" spans="4:32">
      <c r="D9" s="3"/>
      <c r="E9" s="3"/>
      <c r="K9" s="4"/>
      <c r="L9" s="5"/>
      <c r="M9" s="4"/>
      <c r="X9" s="7"/>
      <c r="Y9" s="5"/>
      <c r="Z9" s="5"/>
      <c r="AA9" s="5"/>
      <c r="AB9" s="5"/>
      <c r="AC9" s="4"/>
      <c r="AF9" s="8"/>
    </row>
    <row r="10" customFormat="1" spans="4:32">
      <c r="D10" s="3"/>
      <c r="E10" s="3"/>
      <c r="K10" s="4"/>
      <c r="L10" s="5"/>
      <c r="M10" s="4"/>
      <c r="X10" s="7"/>
      <c r="Y10" s="5"/>
      <c r="Z10" s="5"/>
      <c r="AA10" s="5"/>
      <c r="AB10" s="5"/>
      <c r="AC10" s="4"/>
      <c r="AF10" s="8"/>
    </row>
    <row r="11" customFormat="1" spans="4:32">
      <c r="D11" s="3"/>
      <c r="E11" s="3"/>
      <c r="K11" s="4"/>
      <c r="L11" s="5"/>
      <c r="M11" s="4"/>
      <c r="X11" s="7"/>
      <c r="Y11" s="5"/>
      <c r="Z11" s="5"/>
      <c r="AA11" s="5"/>
      <c r="AB11" s="5"/>
      <c r="AC11" s="4"/>
      <c r="AF11" s="8"/>
    </row>
    <row r="12" customFormat="1" spans="4:32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  <c r="AF12" s="8"/>
    </row>
    <row r="13" customFormat="1" spans="4:32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  <c r="AF13" s="8"/>
    </row>
    <row r="14" customFormat="1" spans="4:32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  <c r="AF14" s="8"/>
    </row>
    <row r="15" customFormat="1" spans="4:32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  <c r="AF15" s="8"/>
    </row>
    <row r="16" customFormat="1" spans="4:32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  <c r="AF16" s="8"/>
    </row>
    <row r="17" customFormat="1" spans="4:32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  <c r="AF17" s="8"/>
    </row>
    <row r="18" customFormat="1" spans="4:32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  <c r="AF18" s="8"/>
    </row>
    <row r="19" customFormat="1" spans="4:32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  <c r="AF19" s="8"/>
    </row>
    <row r="20" customFormat="1" spans="4:32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  <c r="AF20" s="8"/>
    </row>
    <row r="21" customFormat="1" spans="4:32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  <c r="AF21" s="8"/>
    </row>
  </sheetData>
  <autoFilter xmlns:etc="http://www.wps.cn/officeDocument/2017/etCustomData" ref="A2:AF5" etc:filterBottomFollowUsedRange="0">
    <extLst/>
  </autoFilter>
  <mergeCells count="17">
    <mergeCell ref="A1:AF1"/>
    <mergeCell ref="J2:P2"/>
    <mergeCell ref="R2:V2"/>
    <mergeCell ref="Y2:A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总表 </vt:lpstr>
      <vt:lpstr>总表 (2)</vt:lpstr>
      <vt:lpstr>JOB090350</vt:lpstr>
      <vt:lpstr>JOB090351</vt:lpstr>
      <vt:lpstr>JOB090364</vt:lpstr>
      <vt:lpstr>JOB090366</vt:lpstr>
      <vt:lpstr>JOB090367</vt:lpstr>
      <vt:lpstr>JOB090368</vt:lpstr>
      <vt:lpstr>JOB090375</vt:lpstr>
      <vt:lpstr>JOB090387</vt:lpstr>
      <vt:lpstr>JOB090388</vt:lpstr>
      <vt:lpstr>JOB110331</vt:lpstr>
      <vt:lpstr>JOB100351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2025-07-29T03:25:47Z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