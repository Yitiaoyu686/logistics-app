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tabRatio="914" firstSheet="1"/>
  </bookViews>
  <sheets>
    <sheet name="2024" sheetId="24" r:id="rId1"/>
  </sheets>
  <definedNames>
    <definedName name="_xlnm._FilterDatabase" localSheetId="0" hidden="1">'2024'!$A$2:$AE$91</definedName>
    <definedName name="_xlnm.Print_Area" localSheetId="0">'2024'!$A$1:$AE$91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GreatWall</author>
  </authors>
  <commentList>
    <comment ref="E46" authorId="0">
      <text>
        <r>
          <rPr>
            <sz val="9"/>
            <rFont val="宋体"/>
            <charset val="134"/>
          </rPr>
          <t xml:space="preserve">
新机4800-回收旧机500=4300元
加铜管3米，360元
合计4660</t>
        </r>
      </text>
    </comment>
  </commentList>
</comments>
</file>

<file path=xl/sharedStrings.xml><?xml version="1.0" encoding="utf-8"?>
<sst xmlns="http://schemas.openxmlformats.org/spreadsheetml/2006/main" count="120" uniqueCount="110">
  <si>
    <t>24年固定资产计提折旧表</t>
  </si>
  <si>
    <t>时间</t>
  </si>
  <si>
    <t>品名</t>
  </si>
  <si>
    <t>账面数量</t>
  </si>
  <si>
    <t>单价</t>
  </si>
  <si>
    <t>账面金额</t>
  </si>
  <si>
    <t>预计残值5%</t>
  </si>
  <si>
    <t>计提
折旧额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</si>
  <si>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</si>
  <si>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</si>
  <si>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</si>
  <si>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</si>
  <si>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</si>
  <si>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</si>
  <si>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</si>
  <si>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</si>
  <si>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</si>
  <si>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</si>
  <si>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</si>
  <si>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</si>
  <si>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2017折旧合计</t>
  </si>
  <si>
    <t>2018折旧合计</t>
  </si>
  <si>
    <t>2019折旧合计</t>
  </si>
  <si>
    <t>2020折旧合计</t>
  </si>
  <si>
    <t>2021折旧合计</t>
  </si>
  <si>
    <t>2022折旧合计</t>
  </si>
  <si>
    <t>2023折旧合计</t>
  </si>
  <si>
    <t>2024折旧合计</t>
  </si>
  <si>
    <t>累计折旧</t>
  </si>
  <si>
    <t>净值</t>
  </si>
  <si>
    <t>盘点数量</t>
  </si>
  <si>
    <t>盘点金额</t>
  </si>
  <si>
    <t>办公桌</t>
  </si>
  <si>
    <t>电脑</t>
  </si>
  <si>
    <t>文件矮柜</t>
  </si>
  <si>
    <t>快递打印机</t>
  </si>
  <si>
    <r>
      <rPr>
        <b/>
        <sz val="12"/>
        <rFont val="宋体"/>
        <charset val="134"/>
      </rPr>
      <t>带称地牛
（</t>
    </r>
    <r>
      <rPr>
        <b/>
        <sz val="12"/>
        <color rgb="FFFF0000"/>
        <rFont val="宋体"/>
        <charset val="134"/>
      </rPr>
      <t>海运仓</t>
    </r>
    <r>
      <rPr>
        <b/>
        <sz val="12"/>
        <rFont val="宋体"/>
        <charset val="134"/>
      </rPr>
      <t>）</t>
    </r>
  </si>
  <si>
    <t>台称</t>
  </si>
  <si>
    <t>碎纸机</t>
  </si>
  <si>
    <t>茶吧</t>
  </si>
  <si>
    <t>物流托盘</t>
  </si>
  <si>
    <t>冲击钻</t>
  </si>
  <si>
    <t>打印机</t>
  </si>
  <si>
    <t>茶具</t>
  </si>
  <si>
    <t>手推车</t>
  </si>
  <si>
    <t>不锈钢台</t>
  </si>
  <si>
    <t>文件柜</t>
  </si>
  <si>
    <t>叉车升降机</t>
  </si>
  <si>
    <t>格力三匹柜机</t>
  </si>
  <si>
    <t>美的三匹柜机</t>
  </si>
  <si>
    <t>联想AIO 520一体机</t>
  </si>
  <si>
    <t>联想14英寸手提电脑</t>
  </si>
  <si>
    <t>手动液压叉车</t>
  </si>
  <si>
    <t>20伏锂电电锯</t>
  </si>
  <si>
    <t>电冰箱</t>
  </si>
  <si>
    <r>
      <rPr>
        <b/>
        <sz val="12"/>
        <rFont val="宋体"/>
        <charset val="134"/>
      </rPr>
      <t>办公桌椅</t>
    </r>
    <r>
      <rPr>
        <b/>
        <sz val="12"/>
        <color rgb="FFFF0000"/>
        <rFont val="宋体"/>
        <charset val="134"/>
      </rPr>
      <t>(LOS使用)</t>
    </r>
  </si>
  <si>
    <r>
      <rPr>
        <b/>
        <sz val="12"/>
        <rFont val="宋体"/>
        <charset val="134"/>
      </rPr>
      <t xml:space="preserve">手动液压叉车
</t>
    </r>
    <r>
      <rPr>
        <b/>
        <sz val="12"/>
        <color rgb="FFFF0000"/>
        <rFont val="宋体"/>
        <charset val="134"/>
      </rPr>
      <t>(LOS使用)</t>
    </r>
  </si>
  <si>
    <r>
      <rPr>
        <b/>
        <sz val="12"/>
        <rFont val="宋体"/>
        <charset val="134"/>
      </rPr>
      <t>手动液压车搬运车</t>
    </r>
    <r>
      <rPr>
        <b/>
        <sz val="12"/>
        <color rgb="FFFF0000"/>
        <rFont val="宋体"/>
        <charset val="134"/>
      </rPr>
      <t>(LOS使用)</t>
    </r>
  </si>
  <si>
    <r>
      <rPr>
        <b/>
        <sz val="12"/>
        <rFont val="宋体"/>
        <charset val="134"/>
      </rPr>
      <t xml:space="preserve">本田CRV 2006款 </t>
    </r>
    <r>
      <rPr>
        <b/>
        <sz val="12"/>
        <color rgb="FFFF0000"/>
        <rFont val="宋体"/>
        <charset val="134"/>
      </rPr>
      <t>(LOS使用)</t>
    </r>
  </si>
  <si>
    <t>佳能ts3180打印机</t>
  </si>
  <si>
    <t>蓝牙电子称</t>
  </si>
  <si>
    <t>扫描抢</t>
  </si>
  <si>
    <t>电子打印机</t>
  </si>
  <si>
    <r>
      <rPr>
        <b/>
        <sz val="12"/>
        <rFont val="宋体"/>
        <charset val="134"/>
      </rPr>
      <t xml:space="preserve">蓝牙电子称
</t>
    </r>
    <r>
      <rPr>
        <b/>
        <sz val="12"/>
        <color rgb="FFFF0000"/>
        <rFont val="宋体"/>
        <charset val="134"/>
      </rPr>
      <t>(LOS使用)</t>
    </r>
  </si>
  <si>
    <r>
      <rPr>
        <b/>
        <sz val="12"/>
        <rFont val="宋体"/>
        <charset val="134"/>
      </rPr>
      <t>发电机</t>
    </r>
    <r>
      <rPr>
        <b/>
        <sz val="12"/>
        <color rgb="FFFF0000"/>
        <rFont val="宋体"/>
        <charset val="134"/>
      </rPr>
      <t>(LOS使用)</t>
    </r>
  </si>
  <si>
    <t>Ucons超薄一体机</t>
  </si>
  <si>
    <t>惠普激光一体打印机</t>
  </si>
  <si>
    <t>发票专用打印机</t>
  </si>
  <si>
    <t>手机(LOS使用)</t>
  </si>
  <si>
    <t>电脑(LOS使用)</t>
  </si>
  <si>
    <t>台式格力空调</t>
  </si>
  <si>
    <t>本田牌商务车</t>
  </si>
  <si>
    <t>冠捷737一体机</t>
  </si>
  <si>
    <t>联想一体电脑机</t>
  </si>
  <si>
    <r>
      <rPr>
        <b/>
        <sz val="12"/>
        <rFont val="宋体"/>
        <charset val="134"/>
      </rPr>
      <t xml:space="preserve">笔记本电脑
</t>
    </r>
    <r>
      <rPr>
        <b/>
        <sz val="12"/>
        <color rgb="FFFF0000"/>
        <rFont val="宋体"/>
        <charset val="134"/>
      </rPr>
      <t>(LOS使用)</t>
    </r>
  </si>
  <si>
    <r>
      <rPr>
        <b/>
        <sz val="12"/>
        <rFont val="宋体"/>
        <charset val="134"/>
      </rPr>
      <t>空调</t>
    </r>
    <r>
      <rPr>
        <b/>
        <sz val="12"/>
        <color rgb="FFFF0000"/>
        <rFont val="宋体"/>
        <charset val="134"/>
      </rPr>
      <t>(LOS使用)</t>
    </r>
  </si>
  <si>
    <r>
      <rPr>
        <b/>
        <sz val="12"/>
        <rFont val="宋体"/>
        <charset val="134"/>
      </rPr>
      <t>电脑</t>
    </r>
    <r>
      <rPr>
        <b/>
        <sz val="12"/>
        <color rgb="FFFF0000"/>
        <rFont val="宋体"/>
        <charset val="134"/>
      </rPr>
      <t>（LOS使用)</t>
    </r>
  </si>
  <si>
    <t>购仓库叉车</t>
  </si>
  <si>
    <r>
      <rPr>
        <b/>
        <sz val="11"/>
        <rFont val="宋体"/>
        <charset val="134"/>
      </rPr>
      <t xml:space="preserve">采购仓库叉车
</t>
    </r>
    <r>
      <rPr>
        <b/>
        <sz val="11"/>
        <color rgb="FFFF0000"/>
        <rFont val="宋体"/>
        <charset val="134"/>
      </rPr>
      <t>（LOS使用）</t>
    </r>
  </si>
  <si>
    <r>
      <rPr>
        <b/>
        <sz val="11"/>
        <rFont val="宋体"/>
        <charset val="134"/>
      </rPr>
      <t xml:space="preserve">采购叉车费用
</t>
    </r>
    <r>
      <rPr>
        <b/>
        <sz val="11"/>
        <color rgb="FFFF0000"/>
        <rFont val="宋体"/>
        <charset val="134"/>
      </rPr>
      <t>（LOS使用）</t>
    </r>
  </si>
  <si>
    <t>采购沙发</t>
  </si>
  <si>
    <r>
      <rPr>
        <b/>
        <sz val="11"/>
        <rFont val="宋体"/>
        <charset val="134"/>
      </rPr>
      <t>叉车（14/4运到</t>
    </r>
    <r>
      <rPr>
        <b/>
        <sz val="11"/>
        <color rgb="FFFF0000"/>
        <rFont val="宋体"/>
        <charset val="134"/>
      </rPr>
      <t>LOS</t>
    </r>
    <r>
      <rPr>
        <b/>
        <sz val="11"/>
        <rFont val="宋体"/>
        <charset val="134"/>
      </rPr>
      <t>）</t>
    </r>
  </si>
  <si>
    <t>电脑（阿布贾）</t>
  </si>
  <si>
    <r>
      <rPr>
        <b/>
        <sz val="11"/>
        <rFont val="宋体"/>
        <charset val="134"/>
      </rPr>
      <t>苹果手机5000*6
（</t>
    </r>
    <r>
      <rPr>
        <b/>
        <sz val="11"/>
        <color rgb="FFFF0000"/>
        <rFont val="宋体"/>
        <charset val="134"/>
      </rPr>
      <t>1部LOS使用）</t>
    </r>
  </si>
  <si>
    <t>电脑4792.67*3</t>
  </si>
  <si>
    <r>
      <rPr>
        <b/>
        <sz val="11"/>
        <color theme="1"/>
        <rFont val="Tahoma"/>
        <charset val="134"/>
      </rPr>
      <t>5</t>
    </r>
    <r>
      <rPr>
        <b/>
        <sz val="11"/>
        <color theme="1"/>
        <rFont val="宋体"/>
        <charset val="134"/>
      </rPr>
      <t>台电脑及快充的费用</t>
    </r>
  </si>
  <si>
    <t>冰柜</t>
  </si>
  <si>
    <r>
      <rPr>
        <b/>
        <sz val="11"/>
        <rFont val="宋体"/>
        <charset val="134"/>
      </rPr>
      <t xml:space="preserve">老板办公桌
</t>
    </r>
    <r>
      <rPr>
        <b/>
        <sz val="11"/>
        <color rgb="FFFF0000"/>
        <rFont val="宋体"/>
        <charset val="134"/>
      </rPr>
      <t>（LOS使用）</t>
    </r>
  </si>
  <si>
    <r>
      <rPr>
        <b/>
        <sz val="11"/>
        <rFont val="宋体"/>
        <charset val="134"/>
      </rPr>
      <t>叉车费用（</t>
    </r>
    <r>
      <rPr>
        <b/>
        <sz val="11"/>
        <color rgb="FFFF0000"/>
        <rFont val="宋体"/>
        <charset val="134"/>
      </rPr>
      <t>LOS使用）</t>
    </r>
  </si>
  <si>
    <r>
      <rPr>
        <b/>
        <sz val="11"/>
        <rFont val="宋体"/>
        <charset val="134"/>
      </rPr>
      <t>托盘堆垛车
（</t>
    </r>
    <r>
      <rPr>
        <b/>
        <sz val="11"/>
        <color rgb="FFFF0000"/>
        <rFont val="宋体"/>
        <charset val="134"/>
      </rPr>
      <t>LOS使用）</t>
    </r>
  </si>
  <si>
    <r>
      <rPr>
        <b/>
        <sz val="11"/>
        <rFont val="宋体"/>
        <charset val="134"/>
      </rPr>
      <t xml:space="preserve">手动搬动车
</t>
    </r>
    <r>
      <rPr>
        <b/>
        <sz val="11"/>
        <color rgb="FFFF0000"/>
        <rFont val="宋体"/>
        <charset val="134"/>
      </rPr>
      <t>（LOS使用）</t>
    </r>
  </si>
  <si>
    <r>
      <rPr>
        <b/>
        <sz val="11"/>
        <rFont val="宋体"/>
        <charset val="134"/>
      </rPr>
      <t xml:space="preserve">手动擦动车
</t>
    </r>
    <r>
      <rPr>
        <b/>
        <sz val="11"/>
        <color rgb="FFFF0000"/>
        <rFont val="宋体"/>
        <charset val="134"/>
      </rPr>
      <t>（LOS使用）</t>
    </r>
  </si>
  <si>
    <t>1.5t 步行式电动搬运车</t>
  </si>
  <si>
    <r>
      <rPr>
        <b/>
        <sz val="11"/>
        <rFont val="宋体"/>
        <charset val="134"/>
      </rPr>
      <t xml:space="preserve">笔记本电脑
</t>
    </r>
    <r>
      <rPr>
        <b/>
        <sz val="11"/>
        <color rgb="FFFF0000"/>
        <rFont val="宋体"/>
        <charset val="134"/>
      </rPr>
      <t>(LOS使用)</t>
    </r>
  </si>
  <si>
    <t>笔记本电脑</t>
  </si>
  <si>
    <t>采购叉车</t>
  </si>
  <si>
    <t>海运仓采购电子秤</t>
  </si>
  <si>
    <t>锂电池平衡重式叉车</t>
  </si>
  <si>
    <t>3 吨 定制手动搬运车</t>
  </si>
  <si>
    <t>苹果13手机</t>
  </si>
  <si>
    <t>海运仓采购一体电脑</t>
  </si>
  <si>
    <r>
      <rPr>
        <b/>
        <sz val="11"/>
        <rFont val="宋体"/>
        <charset val="134"/>
      </rPr>
      <t>合力叉车（</t>
    </r>
    <r>
      <rPr>
        <b/>
        <sz val="11"/>
        <color rgb="FFFF0000"/>
        <rFont val="宋体"/>
        <charset val="134"/>
      </rPr>
      <t>海运仓</t>
    </r>
    <r>
      <rPr>
        <b/>
        <sz val="11"/>
        <color rgb="FFC00000"/>
        <rFont val="宋体"/>
        <charset val="134"/>
      </rPr>
      <t>)</t>
    </r>
  </si>
  <si>
    <t>手机</t>
  </si>
  <si>
    <r>
      <rPr>
        <b/>
        <sz val="11"/>
        <rFont val="宋体"/>
        <charset val="134"/>
      </rPr>
      <t>卡车(</t>
    </r>
    <r>
      <rPr>
        <b/>
        <sz val="11"/>
        <color rgb="FFFF0000"/>
        <rFont val="宋体"/>
        <charset val="134"/>
      </rPr>
      <t>LOS采购</t>
    </r>
    <r>
      <rPr>
        <b/>
        <sz val="11"/>
        <rFont val="宋体"/>
        <charset val="134"/>
      </rPr>
      <t>)</t>
    </r>
  </si>
  <si>
    <r>
      <rPr>
        <b/>
        <sz val="11"/>
        <rFont val="宋体"/>
        <charset val="134"/>
      </rPr>
      <t>冷冻柜(</t>
    </r>
    <r>
      <rPr>
        <b/>
        <sz val="11"/>
        <color rgb="FFFF0000"/>
        <rFont val="宋体"/>
        <charset val="134"/>
      </rPr>
      <t>LOS采购</t>
    </r>
    <r>
      <rPr>
        <b/>
        <sz val="11"/>
        <rFont val="宋体"/>
        <charset val="134"/>
      </rPr>
      <t>)</t>
    </r>
  </si>
  <si>
    <t>清理4月11日采购叉车</t>
  </si>
  <si>
    <t>柴油平衡重式叉车</t>
  </si>
  <si>
    <t>惠普星14笔记本电脑</t>
  </si>
  <si>
    <t>海运仓采购一地牛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</si>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</sst>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/mm\/dd"/>
    <numFmt numFmtId="177" formatCode="0.00_ "/>
    <numFmt numFmtId="178" formatCode="&quot;￥&quot;#,##0.00_);[Red]\(&quot;￥&quot;#,##0.00\)"/>
    <numFmt numFmtId="179" formatCode="yyyy/m/d;@"/>
  </numFmts>
  <fonts count="43">
    <font>
      <sz val="12"/>
      <name val="宋体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sz val="12"/>
      <name val="微软雅黑"/>
      <charset val="134"/>
    </font>
    <font>
      <b/>
      <sz val="36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theme="1"/>
      <name val="Tahoma"/>
      <charset val="134"/>
    </font>
    <font>
      <sz val="10"/>
      <color theme="1"/>
      <name val="Tahoma"/>
      <charset val="134"/>
    </font>
    <font>
      <sz val="10"/>
      <color rgb="FF002060"/>
      <name val="宋体"/>
      <charset val="134"/>
    </font>
    <font>
      <b/>
      <sz val="10"/>
      <color rgb="FFFF0000"/>
      <name val="宋体"/>
      <charset val="134"/>
    </font>
    <font>
      <b/>
      <sz val="11"/>
      <color rgb="FFFF0000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  <font>
      <b/>
      <sz val="11"/>
      <color rgb="FFC00000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4" borderId="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7" applyNumberFormat="0" applyAlignment="0" applyProtection="0">
      <alignment vertical="center"/>
    </xf>
    <xf numFmtId="0" fontId="30" fillId="6" borderId="8" applyNumberFormat="0" applyAlignment="0" applyProtection="0">
      <alignment vertical="center"/>
    </xf>
    <xf numFmtId="0" fontId="31" fillId="6" borderId="7" applyNumberFormat="0" applyAlignment="0" applyProtection="0">
      <alignment vertical="center"/>
    </xf>
    <xf numFmtId="0" fontId="32" fillId="7" borderId="9" applyNumberFormat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4" fontId="0" fillId="0" borderId="2" xfId="0" applyNumberFormat="1" applyFont="1" applyFill="1" applyBorder="1" applyAlignment="1">
      <alignment horizontal="center" vertical="center" wrapText="1"/>
    </xf>
    <xf numFmtId="177" fontId="0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178" fontId="7" fillId="0" borderId="2" xfId="0" applyNumberFormat="1" applyFont="1" applyFill="1" applyBorder="1" applyAlignment="1">
      <alignment horizontal="center" vertical="center"/>
    </xf>
    <xf numFmtId="176" fontId="8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178" fontId="9" fillId="0" borderId="2" xfId="0" applyNumberFormat="1" applyFont="1" applyFill="1" applyBorder="1" applyAlignment="1">
      <alignment horizontal="center" vertical="center" wrapText="1"/>
    </xf>
    <xf numFmtId="178" fontId="10" fillId="0" borderId="2" xfId="0" applyNumberFormat="1" applyFont="1" applyFill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/>
    </xf>
    <xf numFmtId="178" fontId="12" fillId="0" borderId="2" xfId="0" applyNumberFormat="1" applyFont="1" applyFill="1" applyBorder="1" applyAlignment="1">
      <alignment horizontal="center" vertical="center"/>
    </xf>
    <xf numFmtId="178" fontId="13" fillId="0" borderId="2" xfId="0" applyNumberFormat="1" applyFont="1" applyFill="1" applyBorder="1" applyAlignment="1">
      <alignment horizontal="center" vertical="center"/>
    </xf>
    <xf numFmtId="176" fontId="14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178" fontId="17" fillId="0" borderId="2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8" fontId="1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178" fontId="17" fillId="0" borderId="2" xfId="0" applyNumberFormat="1" applyFont="1" applyBorder="1" applyAlignment="1">
      <alignment horizontal="center" vertical="center" wrapText="1"/>
    </xf>
    <xf numFmtId="4" fontId="0" fillId="0" borderId="3" xfId="0" applyNumberFormat="1" applyFont="1" applyFill="1" applyBorder="1" applyAlignment="1">
      <alignment horizontal="center" vertical="center" wrapText="1"/>
    </xf>
    <xf numFmtId="176" fontId="0" fillId="2" borderId="2" xfId="0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center" vertical="center" wrapText="1"/>
    </xf>
    <xf numFmtId="177" fontId="0" fillId="2" borderId="2" xfId="0" applyNumberFormat="1" applyFont="1" applyFill="1" applyBorder="1" applyAlignment="1">
      <alignment horizontal="center" vertical="center" wrapText="1"/>
    </xf>
    <xf numFmtId="178" fontId="19" fillId="2" borderId="2" xfId="0" applyNumberFormat="1" applyFont="1" applyFill="1" applyBorder="1" applyAlignment="1">
      <alignment horizontal="center" vertical="center"/>
    </xf>
    <xf numFmtId="4" fontId="0" fillId="2" borderId="2" xfId="0" applyNumberFormat="1" applyFont="1" applyFill="1" applyBorder="1" applyAlignment="1">
      <alignment horizontal="center" vertical="center" wrapText="1"/>
    </xf>
    <xf numFmtId="179" fontId="3" fillId="0" borderId="2" xfId="0" applyNumberFormat="1" applyFont="1" applyFill="1" applyBorder="1" applyAlignment="1">
      <alignment horizontal="center" vertical="center" wrapText="1"/>
    </xf>
    <xf numFmtId="179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91"/>
  <sheetViews>
    <sheetView tabSelected="1" view="pageBreakPreview" zoomScale="82" zoomScaleNormal="85" workbookViewId="0">
      <pane xSplit="3" ySplit="2" topLeftCell="D71" activePane="bottomRight" state="frozen"/>
      <selection/>
      <selection pane="topRight"/>
      <selection pane="bottomLeft"/>
      <selection pane="bottomRight" activeCell="I79" sqref="I79"/>
    </sheetView>
  </sheetViews>
  <sheetFormatPr defaultColWidth="9" defaultRowHeight="14.25"/>
  <cols>
    <col min="1" max="1" width="13.9666666666667" style="1" customWidth="1"/>
    <col min="2" max="2" width="21.9416666666667" style="8" customWidth="1"/>
    <col min="3" max="3" width="5.625" style="1" customWidth="1"/>
    <col min="4" max="4" width="12.875" style="1" customWidth="1"/>
    <col min="5" max="5" width="13.4166666666667" style="9" customWidth="1"/>
    <col min="6" max="6" width="11.875" style="9" customWidth="1"/>
    <col min="7" max="7" width="11.5" style="9" customWidth="1"/>
    <col min="8" max="15" width="10.1416666666667" style="9" customWidth="1"/>
    <col min="16" max="16" width="10.4083333333333" style="9" customWidth="1"/>
    <col min="17" max="27" width="10.1416666666667" style="9" customWidth="1"/>
    <col min="28" max="28" width="11.8916666666667" style="9" customWidth="1"/>
    <col min="29" max="29" width="11.5" style="1" customWidth="1"/>
    <col min="30" max="30" width="5.625" style="1" customWidth="1"/>
    <col min="31" max="31" width="5.58333333333333" style="1" customWidth="1"/>
    <col min="32" max="16384" width="9" style="1"/>
  </cols>
  <sheetData>
    <row r="1" s="1" customFormat="1" ht="51" customHeight="1" spans="1:3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1"/>
    </row>
    <row r="2" s="2" customFormat="1" ht="28.5" spans="1:31">
      <c r="A2" s="12" t="s">
        <v>1</v>
      </c>
      <c r="B2" s="13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4" t="s">
        <v>20</v>
      </c>
      <c r="U2" s="14" t="s">
        <v>21</v>
      </c>
      <c r="V2" s="14" t="s">
        <v>22</v>
      </c>
      <c r="W2" s="14" t="s">
        <v>23</v>
      </c>
      <c r="X2" s="14" t="s">
        <v>24</v>
      </c>
      <c r="Y2" s="14" t="s">
        <v>25</v>
      </c>
      <c r="Z2" s="14" t="s">
        <v>26</v>
      </c>
      <c r="AA2" s="14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</row>
    <row r="3" s="3" customFormat="1" ht="25" customHeight="1" spans="1:31">
      <c r="A3" s="15">
        <v>43064</v>
      </c>
      <c r="B3" s="13" t="s">
        <v>32</v>
      </c>
      <c r="C3" s="16">
        <v>1</v>
      </c>
      <c r="D3" s="17">
        <v>2950</v>
      </c>
      <c r="E3" s="17">
        <v>2950</v>
      </c>
      <c r="F3" s="17">
        <v>2903.29</v>
      </c>
      <c r="G3" s="17">
        <f>SUM(T3:Z3)</f>
        <v>1829.2079808</v>
      </c>
      <c r="H3" s="17">
        <f t="shared" ref="H3:S3" si="0">$G$3/60</f>
        <v>30.48679968</v>
      </c>
      <c r="I3" s="17">
        <f t="shared" si="0"/>
        <v>30.48679968</v>
      </c>
      <c r="J3" s="17">
        <f t="shared" si="0"/>
        <v>30.48679968</v>
      </c>
      <c r="K3" s="17">
        <f t="shared" si="0"/>
        <v>30.48679968</v>
      </c>
      <c r="L3" s="17">
        <f t="shared" si="0"/>
        <v>30.48679968</v>
      </c>
      <c r="M3" s="17">
        <f t="shared" si="0"/>
        <v>30.48679968</v>
      </c>
      <c r="N3" s="17">
        <f t="shared" si="0"/>
        <v>30.48679968</v>
      </c>
      <c r="O3" s="17">
        <f t="shared" si="0"/>
        <v>30.48679968</v>
      </c>
      <c r="P3" s="17">
        <f t="shared" si="0"/>
        <v>30.48679968</v>
      </c>
      <c r="Q3" s="17">
        <f t="shared" si="0"/>
        <v>30.48679968</v>
      </c>
      <c r="R3" s="17">
        <f t="shared" si="0"/>
        <v>30.48679968</v>
      </c>
      <c r="S3" s="17">
        <f t="shared" si="0"/>
        <v>30.48679968</v>
      </c>
      <c r="T3" s="17">
        <v>46.71</v>
      </c>
      <c r="U3" s="17">
        <v>560.5</v>
      </c>
      <c r="V3" s="17">
        <v>121.442</v>
      </c>
      <c r="W3" s="17">
        <v>275.1389952</v>
      </c>
      <c r="X3" s="17">
        <v>275.1389952</v>
      </c>
      <c r="Y3" s="17">
        <v>275.1389952</v>
      </c>
      <c r="Z3" s="17">
        <v>275.1389952</v>
      </c>
      <c r="AA3" s="17">
        <f>SUM(H3:S3)</f>
        <v>365.84159616</v>
      </c>
      <c r="AB3" s="17">
        <f>SUM(T3:AA3)</f>
        <v>2195.04957696</v>
      </c>
      <c r="AC3" s="17">
        <f>SUM(E3-AB3)</f>
        <v>754.95042304</v>
      </c>
      <c r="AD3" s="16"/>
      <c r="AE3" s="17"/>
    </row>
    <row r="4" s="3" customFormat="1" ht="25" customHeight="1" spans="1:31">
      <c r="A4" s="15">
        <v>43064</v>
      </c>
      <c r="B4" s="13" t="s">
        <v>33</v>
      </c>
      <c r="C4" s="16">
        <v>7</v>
      </c>
      <c r="D4" s="17">
        <v>2399</v>
      </c>
      <c r="E4" s="17">
        <v>16793</v>
      </c>
      <c r="F4" s="17">
        <v>16527.11</v>
      </c>
      <c r="G4" s="17">
        <f t="shared" ref="G4:G35" si="1">SUM(T4:Z4)</f>
        <v>10412.8178688</v>
      </c>
      <c r="H4" s="17">
        <f t="shared" ref="H4:S4" si="2">$G$4/60</f>
        <v>173.54696448</v>
      </c>
      <c r="I4" s="17">
        <f t="shared" si="2"/>
        <v>173.54696448</v>
      </c>
      <c r="J4" s="17">
        <f t="shared" si="2"/>
        <v>173.54696448</v>
      </c>
      <c r="K4" s="17">
        <f t="shared" si="2"/>
        <v>173.54696448</v>
      </c>
      <c r="L4" s="17">
        <f t="shared" si="2"/>
        <v>173.54696448</v>
      </c>
      <c r="M4" s="17">
        <f t="shared" si="2"/>
        <v>173.54696448</v>
      </c>
      <c r="N4" s="17">
        <f t="shared" si="2"/>
        <v>173.54696448</v>
      </c>
      <c r="O4" s="17">
        <f t="shared" si="2"/>
        <v>173.54696448</v>
      </c>
      <c r="P4" s="17">
        <f t="shared" si="2"/>
        <v>173.54696448</v>
      </c>
      <c r="Q4" s="17">
        <f t="shared" si="2"/>
        <v>173.54696448</v>
      </c>
      <c r="R4" s="17">
        <f t="shared" si="2"/>
        <v>173.54696448</v>
      </c>
      <c r="S4" s="17">
        <f t="shared" si="2"/>
        <v>173.54696448</v>
      </c>
      <c r="T4" s="17">
        <v>265.89</v>
      </c>
      <c r="U4" s="17">
        <v>3190.67</v>
      </c>
      <c r="V4" s="17">
        <v>691.312</v>
      </c>
      <c r="W4" s="17">
        <v>1566.2364672</v>
      </c>
      <c r="X4" s="17">
        <v>1566.2364672</v>
      </c>
      <c r="Y4" s="17">
        <v>1566.2364672</v>
      </c>
      <c r="Z4" s="17">
        <v>1566.2364672</v>
      </c>
      <c r="AA4" s="17">
        <f t="shared" ref="AA4:AA35" si="3">SUM(H4:S4)</f>
        <v>2082.56357376</v>
      </c>
      <c r="AB4" s="17">
        <f t="shared" ref="AB4:AB35" si="4">SUM(T4:AA4)</f>
        <v>12495.38144256</v>
      </c>
      <c r="AC4" s="17">
        <f t="shared" ref="AC4:AC35" si="5">SUM(E4-AB4)</f>
        <v>4297.61855744</v>
      </c>
      <c r="AD4" s="16"/>
      <c r="AE4" s="17"/>
    </row>
    <row r="5" s="3" customFormat="1" ht="25" customHeight="1" spans="1:31">
      <c r="A5" s="15">
        <v>43064</v>
      </c>
      <c r="B5" s="13" t="s">
        <v>34</v>
      </c>
      <c r="C5" s="16">
        <v>1</v>
      </c>
      <c r="D5" s="17">
        <v>1478</v>
      </c>
      <c r="E5" s="17">
        <v>1478</v>
      </c>
      <c r="F5" s="17">
        <v>1454.6</v>
      </c>
      <c r="G5" s="17">
        <f t="shared" si="1"/>
        <v>916.4566656</v>
      </c>
      <c r="H5" s="17">
        <f t="shared" ref="H5:S5" si="6">$G$5/60</f>
        <v>15.27427776</v>
      </c>
      <c r="I5" s="17">
        <f t="shared" si="6"/>
        <v>15.27427776</v>
      </c>
      <c r="J5" s="17">
        <f t="shared" si="6"/>
        <v>15.27427776</v>
      </c>
      <c r="K5" s="17">
        <f t="shared" si="6"/>
        <v>15.27427776</v>
      </c>
      <c r="L5" s="17">
        <f t="shared" si="6"/>
        <v>15.27427776</v>
      </c>
      <c r="M5" s="17">
        <f t="shared" si="6"/>
        <v>15.27427776</v>
      </c>
      <c r="N5" s="17">
        <f t="shared" si="6"/>
        <v>15.27427776</v>
      </c>
      <c r="O5" s="17">
        <f t="shared" si="6"/>
        <v>15.27427776</v>
      </c>
      <c r="P5" s="17">
        <f t="shared" si="6"/>
        <v>15.27427776</v>
      </c>
      <c r="Q5" s="17">
        <f t="shared" si="6"/>
        <v>15.27427776</v>
      </c>
      <c r="R5" s="17">
        <f t="shared" si="6"/>
        <v>15.27427776</v>
      </c>
      <c r="S5" s="17">
        <f t="shared" si="6"/>
        <v>15.27427776</v>
      </c>
      <c r="T5" s="17">
        <v>23.4</v>
      </c>
      <c r="U5" s="17">
        <v>280.82</v>
      </c>
      <c r="V5" s="17">
        <v>60.844</v>
      </c>
      <c r="W5" s="17">
        <v>137.8481664</v>
      </c>
      <c r="X5" s="17">
        <v>137.8481664</v>
      </c>
      <c r="Y5" s="17">
        <v>137.8481664</v>
      </c>
      <c r="Z5" s="17">
        <v>137.8481664</v>
      </c>
      <c r="AA5" s="17">
        <f t="shared" si="3"/>
        <v>183.29133312</v>
      </c>
      <c r="AB5" s="17">
        <f t="shared" si="4"/>
        <v>1099.74799872</v>
      </c>
      <c r="AC5" s="17">
        <f t="shared" si="5"/>
        <v>378.25200128</v>
      </c>
      <c r="AD5" s="16"/>
      <c r="AE5" s="17"/>
    </row>
    <row r="6" s="3" customFormat="1" ht="25" customHeight="1" spans="1:31">
      <c r="A6" s="15">
        <v>43064</v>
      </c>
      <c r="B6" s="13" t="s">
        <v>35</v>
      </c>
      <c r="C6" s="16">
        <v>2</v>
      </c>
      <c r="D6" s="17">
        <v>474</v>
      </c>
      <c r="E6" s="17">
        <v>948</v>
      </c>
      <c r="F6" s="17">
        <v>932.99</v>
      </c>
      <c r="G6" s="17">
        <f t="shared" si="1"/>
        <v>587.8252224</v>
      </c>
      <c r="H6" s="17">
        <f t="shared" ref="H6:S6" si="7">$G$6/60</f>
        <v>9.79708704</v>
      </c>
      <c r="I6" s="17">
        <f t="shared" si="7"/>
        <v>9.79708704</v>
      </c>
      <c r="J6" s="17">
        <f t="shared" si="7"/>
        <v>9.79708704</v>
      </c>
      <c r="K6" s="17">
        <f t="shared" si="7"/>
        <v>9.79708704</v>
      </c>
      <c r="L6" s="17">
        <f t="shared" si="7"/>
        <v>9.79708704</v>
      </c>
      <c r="M6" s="17">
        <f t="shared" si="7"/>
        <v>9.79708704</v>
      </c>
      <c r="N6" s="17">
        <f t="shared" si="7"/>
        <v>9.79708704</v>
      </c>
      <c r="O6" s="17">
        <f t="shared" si="7"/>
        <v>9.79708704</v>
      </c>
      <c r="P6" s="17">
        <f t="shared" si="7"/>
        <v>9.79708704</v>
      </c>
      <c r="Q6" s="17">
        <f t="shared" si="7"/>
        <v>9.79708704</v>
      </c>
      <c r="R6" s="17">
        <f t="shared" si="7"/>
        <v>9.79708704</v>
      </c>
      <c r="S6" s="17">
        <f t="shared" si="7"/>
        <v>9.79708704</v>
      </c>
      <c r="T6" s="17">
        <v>15.01</v>
      </c>
      <c r="U6" s="17">
        <v>180.12</v>
      </c>
      <c r="V6" s="17">
        <v>39.026</v>
      </c>
      <c r="W6" s="17">
        <v>88.4173056</v>
      </c>
      <c r="X6" s="17">
        <v>88.4173056</v>
      </c>
      <c r="Y6" s="17">
        <v>88.4173056</v>
      </c>
      <c r="Z6" s="17">
        <v>88.4173056</v>
      </c>
      <c r="AA6" s="17">
        <f t="shared" si="3"/>
        <v>117.56504448</v>
      </c>
      <c r="AB6" s="17">
        <f t="shared" si="4"/>
        <v>705.39026688</v>
      </c>
      <c r="AC6" s="17">
        <f t="shared" si="5"/>
        <v>242.60973312</v>
      </c>
      <c r="AD6" s="16"/>
      <c r="AE6" s="17"/>
    </row>
    <row r="7" s="3" customFormat="1" ht="31" customHeight="1" spans="1:31">
      <c r="A7" s="15">
        <v>43064</v>
      </c>
      <c r="B7" s="13" t="s">
        <v>36</v>
      </c>
      <c r="C7" s="16">
        <v>1</v>
      </c>
      <c r="D7" s="17">
        <v>1980</v>
      </c>
      <c r="E7" s="17">
        <v>1980</v>
      </c>
      <c r="F7" s="17">
        <v>1948.65</v>
      </c>
      <c r="G7" s="17">
        <f t="shared" si="1"/>
        <v>1227.736224</v>
      </c>
      <c r="H7" s="17">
        <f t="shared" ref="H7:S7" si="8">$G$7/60</f>
        <v>20.4622704</v>
      </c>
      <c r="I7" s="17">
        <f t="shared" si="8"/>
        <v>20.4622704</v>
      </c>
      <c r="J7" s="17">
        <f t="shared" si="8"/>
        <v>20.4622704</v>
      </c>
      <c r="K7" s="17">
        <f t="shared" si="8"/>
        <v>20.4622704</v>
      </c>
      <c r="L7" s="17">
        <f t="shared" si="8"/>
        <v>20.4622704</v>
      </c>
      <c r="M7" s="17">
        <f t="shared" si="8"/>
        <v>20.4622704</v>
      </c>
      <c r="N7" s="17">
        <f t="shared" si="8"/>
        <v>20.4622704</v>
      </c>
      <c r="O7" s="17">
        <f t="shared" si="8"/>
        <v>20.4622704</v>
      </c>
      <c r="P7" s="17">
        <f t="shared" si="8"/>
        <v>20.4622704</v>
      </c>
      <c r="Q7" s="17">
        <f t="shared" si="8"/>
        <v>20.4622704</v>
      </c>
      <c r="R7" s="17">
        <f t="shared" si="8"/>
        <v>20.4622704</v>
      </c>
      <c r="S7" s="17">
        <f t="shared" si="8"/>
        <v>20.4622704</v>
      </c>
      <c r="T7" s="17">
        <v>31.35</v>
      </c>
      <c r="U7" s="17">
        <v>376.2</v>
      </c>
      <c r="V7" s="17">
        <v>81.51</v>
      </c>
      <c r="W7" s="17">
        <v>184.669056</v>
      </c>
      <c r="X7" s="17">
        <v>184.669056</v>
      </c>
      <c r="Y7" s="17">
        <v>184.669056</v>
      </c>
      <c r="Z7" s="17">
        <v>184.669056</v>
      </c>
      <c r="AA7" s="17">
        <f t="shared" si="3"/>
        <v>245.5472448</v>
      </c>
      <c r="AB7" s="17">
        <f t="shared" si="4"/>
        <v>1473.2834688</v>
      </c>
      <c r="AC7" s="17">
        <f t="shared" si="5"/>
        <v>506.7165312</v>
      </c>
      <c r="AD7" s="16"/>
      <c r="AE7" s="17"/>
    </row>
    <row r="8" s="3" customFormat="1" ht="22" customHeight="1" spans="1:31">
      <c r="A8" s="15">
        <v>43064</v>
      </c>
      <c r="B8" s="13" t="s">
        <v>37</v>
      </c>
      <c r="C8" s="16">
        <v>1</v>
      </c>
      <c r="D8" s="17">
        <v>520</v>
      </c>
      <c r="E8" s="17">
        <v>520</v>
      </c>
      <c r="F8" s="17">
        <v>511.77</v>
      </c>
      <c r="G8" s="17">
        <f t="shared" si="1"/>
        <v>322.4257344</v>
      </c>
      <c r="H8" s="17">
        <f t="shared" ref="H8:S8" si="9">$G$8/60</f>
        <v>5.37376224</v>
      </c>
      <c r="I8" s="17">
        <f t="shared" si="9"/>
        <v>5.37376224</v>
      </c>
      <c r="J8" s="17">
        <f t="shared" si="9"/>
        <v>5.37376224</v>
      </c>
      <c r="K8" s="17">
        <f t="shared" si="9"/>
        <v>5.37376224</v>
      </c>
      <c r="L8" s="17">
        <f t="shared" si="9"/>
        <v>5.37376224</v>
      </c>
      <c r="M8" s="17">
        <f t="shared" si="9"/>
        <v>5.37376224</v>
      </c>
      <c r="N8" s="17">
        <f t="shared" si="9"/>
        <v>5.37376224</v>
      </c>
      <c r="O8" s="17">
        <f t="shared" si="9"/>
        <v>5.37376224</v>
      </c>
      <c r="P8" s="17">
        <f t="shared" si="9"/>
        <v>5.37376224</v>
      </c>
      <c r="Q8" s="17">
        <f t="shared" si="9"/>
        <v>5.37376224</v>
      </c>
      <c r="R8" s="17">
        <f t="shared" si="9"/>
        <v>5.37376224</v>
      </c>
      <c r="S8" s="17">
        <f t="shared" si="9"/>
        <v>5.37376224</v>
      </c>
      <c r="T8" s="17">
        <v>8.23</v>
      </c>
      <c r="U8" s="17">
        <v>98.8</v>
      </c>
      <c r="V8" s="17">
        <v>21.406</v>
      </c>
      <c r="W8" s="17">
        <v>48.4974336</v>
      </c>
      <c r="X8" s="17">
        <v>48.4974336</v>
      </c>
      <c r="Y8" s="17">
        <v>48.4974336</v>
      </c>
      <c r="Z8" s="17">
        <v>48.4974336</v>
      </c>
      <c r="AA8" s="17">
        <f t="shared" si="3"/>
        <v>64.48514688</v>
      </c>
      <c r="AB8" s="17">
        <f t="shared" si="4"/>
        <v>386.91088128</v>
      </c>
      <c r="AC8" s="17">
        <f t="shared" si="5"/>
        <v>133.08911872</v>
      </c>
      <c r="AD8" s="16"/>
      <c r="AE8" s="17"/>
    </row>
    <row r="9" s="3" customFormat="1" ht="22" customHeight="1" spans="1:31">
      <c r="A9" s="15">
        <v>43064</v>
      </c>
      <c r="B9" s="13" t="s">
        <v>38</v>
      </c>
      <c r="C9" s="16">
        <v>1</v>
      </c>
      <c r="D9" s="17">
        <v>288</v>
      </c>
      <c r="E9" s="17">
        <v>288</v>
      </c>
      <c r="F9" s="17">
        <v>283.44</v>
      </c>
      <c r="G9" s="17">
        <f t="shared" si="1"/>
        <v>178.5798144</v>
      </c>
      <c r="H9" s="17">
        <f t="shared" ref="H9:S9" si="10">$G$9/60</f>
        <v>2.97633024</v>
      </c>
      <c r="I9" s="17">
        <f t="shared" si="10"/>
        <v>2.97633024</v>
      </c>
      <c r="J9" s="17">
        <f t="shared" si="10"/>
        <v>2.97633024</v>
      </c>
      <c r="K9" s="17">
        <f t="shared" si="10"/>
        <v>2.97633024</v>
      </c>
      <c r="L9" s="17">
        <f t="shared" si="10"/>
        <v>2.97633024</v>
      </c>
      <c r="M9" s="17">
        <f t="shared" si="10"/>
        <v>2.97633024</v>
      </c>
      <c r="N9" s="17">
        <f t="shared" si="10"/>
        <v>2.97633024</v>
      </c>
      <c r="O9" s="17">
        <f t="shared" si="10"/>
        <v>2.97633024</v>
      </c>
      <c r="P9" s="17">
        <f t="shared" si="10"/>
        <v>2.97633024</v>
      </c>
      <c r="Q9" s="17">
        <f t="shared" si="10"/>
        <v>2.97633024</v>
      </c>
      <c r="R9" s="17">
        <f t="shared" si="10"/>
        <v>2.97633024</v>
      </c>
      <c r="S9" s="17">
        <f t="shared" si="10"/>
        <v>2.97633024</v>
      </c>
      <c r="T9" s="17">
        <v>4.56</v>
      </c>
      <c r="U9" s="17">
        <v>54.72</v>
      </c>
      <c r="V9" s="17">
        <v>11.856</v>
      </c>
      <c r="W9" s="17">
        <v>26.8609536</v>
      </c>
      <c r="X9" s="17">
        <v>26.8609536</v>
      </c>
      <c r="Y9" s="17">
        <v>26.8609536</v>
      </c>
      <c r="Z9" s="17">
        <v>26.8609536</v>
      </c>
      <c r="AA9" s="17">
        <f t="shared" si="3"/>
        <v>35.71596288</v>
      </c>
      <c r="AB9" s="17">
        <f t="shared" si="4"/>
        <v>214.29577728</v>
      </c>
      <c r="AC9" s="17">
        <f t="shared" si="5"/>
        <v>73.70422272</v>
      </c>
      <c r="AD9" s="16"/>
      <c r="AE9" s="17"/>
    </row>
    <row r="10" s="3" customFormat="1" ht="22" customHeight="1" spans="1:31">
      <c r="A10" s="15">
        <v>43064</v>
      </c>
      <c r="B10" s="13" t="s">
        <v>39</v>
      </c>
      <c r="C10" s="16">
        <v>1</v>
      </c>
      <c r="D10" s="17">
        <v>299</v>
      </c>
      <c r="E10" s="17">
        <v>299</v>
      </c>
      <c r="F10" s="17">
        <v>294.27</v>
      </c>
      <c r="G10" s="17">
        <f t="shared" si="1"/>
        <v>185.3880192</v>
      </c>
      <c r="H10" s="17">
        <f t="shared" ref="H10:S10" si="11">$G$10/60</f>
        <v>3.08980032</v>
      </c>
      <c r="I10" s="17">
        <f t="shared" si="11"/>
        <v>3.08980032</v>
      </c>
      <c r="J10" s="17">
        <f t="shared" si="11"/>
        <v>3.08980032</v>
      </c>
      <c r="K10" s="17">
        <f t="shared" si="11"/>
        <v>3.08980032</v>
      </c>
      <c r="L10" s="17">
        <f t="shared" si="11"/>
        <v>3.08980032</v>
      </c>
      <c r="M10" s="17">
        <f t="shared" si="11"/>
        <v>3.08980032</v>
      </c>
      <c r="N10" s="17">
        <f t="shared" si="11"/>
        <v>3.08980032</v>
      </c>
      <c r="O10" s="17">
        <f t="shared" si="11"/>
        <v>3.08980032</v>
      </c>
      <c r="P10" s="17">
        <f t="shared" si="11"/>
        <v>3.08980032</v>
      </c>
      <c r="Q10" s="17">
        <f t="shared" si="11"/>
        <v>3.08980032</v>
      </c>
      <c r="R10" s="17">
        <f t="shared" si="11"/>
        <v>3.08980032</v>
      </c>
      <c r="S10" s="17">
        <f t="shared" si="11"/>
        <v>3.08980032</v>
      </c>
      <c r="T10" s="17">
        <v>4.73</v>
      </c>
      <c r="U10" s="17">
        <v>56.81</v>
      </c>
      <c r="V10" s="17">
        <v>12.308</v>
      </c>
      <c r="W10" s="17">
        <v>27.8850048</v>
      </c>
      <c r="X10" s="17">
        <v>27.8850048</v>
      </c>
      <c r="Y10" s="17">
        <v>27.8850048</v>
      </c>
      <c r="Z10" s="17">
        <v>27.8850048</v>
      </c>
      <c r="AA10" s="17">
        <f t="shared" si="3"/>
        <v>37.07760384</v>
      </c>
      <c r="AB10" s="17">
        <f t="shared" si="4"/>
        <v>222.46562304</v>
      </c>
      <c r="AC10" s="17">
        <f t="shared" si="5"/>
        <v>76.53437696</v>
      </c>
      <c r="AD10" s="16"/>
      <c r="AE10" s="17"/>
    </row>
    <row r="11" s="3" customFormat="1" ht="22" customHeight="1" spans="1:31">
      <c r="A11" s="15">
        <v>43064</v>
      </c>
      <c r="B11" s="13" t="s">
        <v>40</v>
      </c>
      <c r="C11" s="16">
        <v>5</v>
      </c>
      <c r="D11" s="17">
        <v>80</v>
      </c>
      <c r="E11" s="17">
        <v>400</v>
      </c>
      <c r="F11" s="17">
        <v>395.63</v>
      </c>
      <c r="G11" s="17">
        <f t="shared" si="1"/>
        <v>242.1130176</v>
      </c>
      <c r="H11" s="17">
        <f t="shared" ref="H11:S11" si="12">$G$11/60</f>
        <v>4.03521696</v>
      </c>
      <c r="I11" s="17">
        <f t="shared" si="12"/>
        <v>4.03521696</v>
      </c>
      <c r="J11" s="17">
        <f t="shared" si="12"/>
        <v>4.03521696</v>
      </c>
      <c r="K11" s="17">
        <f t="shared" si="12"/>
        <v>4.03521696</v>
      </c>
      <c r="L11" s="17">
        <f t="shared" si="12"/>
        <v>4.03521696</v>
      </c>
      <c r="M11" s="17">
        <f t="shared" si="12"/>
        <v>4.03521696</v>
      </c>
      <c r="N11" s="17">
        <f t="shared" si="12"/>
        <v>4.03521696</v>
      </c>
      <c r="O11" s="17">
        <f t="shared" si="12"/>
        <v>4.03521696</v>
      </c>
      <c r="P11" s="17">
        <f t="shared" si="12"/>
        <v>4.03521696</v>
      </c>
      <c r="Q11" s="17">
        <f t="shared" si="12"/>
        <v>4.03521696</v>
      </c>
      <c r="R11" s="17">
        <f t="shared" si="12"/>
        <v>4.03521696</v>
      </c>
      <c r="S11" s="17">
        <f t="shared" si="12"/>
        <v>4.03521696</v>
      </c>
      <c r="T11" s="17">
        <v>4.37</v>
      </c>
      <c r="U11" s="17">
        <v>76</v>
      </c>
      <c r="V11" s="17">
        <v>16.074</v>
      </c>
      <c r="W11" s="17">
        <v>36.4172544</v>
      </c>
      <c r="X11" s="17">
        <v>36.4172544</v>
      </c>
      <c r="Y11" s="17">
        <v>36.4172544</v>
      </c>
      <c r="Z11" s="17">
        <v>36.4172544</v>
      </c>
      <c r="AA11" s="17">
        <f t="shared" si="3"/>
        <v>48.42260352</v>
      </c>
      <c r="AB11" s="17">
        <f t="shared" si="4"/>
        <v>290.53562112</v>
      </c>
      <c r="AC11" s="17">
        <f t="shared" si="5"/>
        <v>109.46437888</v>
      </c>
      <c r="AD11" s="16"/>
      <c r="AE11" s="17"/>
    </row>
    <row r="12" s="3" customFormat="1" ht="22" customHeight="1" spans="1:31">
      <c r="A12" s="15">
        <v>43064</v>
      </c>
      <c r="B12" s="13" t="s">
        <v>41</v>
      </c>
      <c r="C12" s="16">
        <v>1</v>
      </c>
      <c r="D12" s="17">
        <v>135</v>
      </c>
      <c r="E12" s="17">
        <v>135</v>
      </c>
      <c r="F12" s="17">
        <v>132.86</v>
      </c>
      <c r="G12" s="17">
        <f t="shared" si="1"/>
        <v>83.7168192</v>
      </c>
      <c r="H12" s="17">
        <f t="shared" ref="H12:S12" si="13">$G$12/60</f>
        <v>1.39528032</v>
      </c>
      <c r="I12" s="17">
        <f t="shared" si="13"/>
        <v>1.39528032</v>
      </c>
      <c r="J12" s="17">
        <f t="shared" si="13"/>
        <v>1.39528032</v>
      </c>
      <c r="K12" s="17">
        <f t="shared" si="13"/>
        <v>1.39528032</v>
      </c>
      <c r="L12" s="17">
        <f t="shared" si="13"/>
        <v>1.39528032</v>
      </c>
      <c r="M12" s="17">
        <f t="shared" si="13"/>
        <v>1.39528032</v>
      </c>
      <c r="N12" s="17">
        <f t="shared" si="13"/>
        <v>1.39528032</v>
      </c>
      <c r="O12" s="17">
        <f t="shared" si="13"/>
        <v>1.39528032</v>
      </c>
      <c r="P12" s="17">
        <f t="shared" si="13"/>
        <v>1.39528032</v>
      </c>
      <c r="Q12" s="17">
        <f t="shared" si="13"/>
        <v>1.39528032</v>
      </c>
      <c r="R12" s="17">
        <f t="shared" si="13"/>
        <v>1.39528032</v>
      </c>
      <c r="S12" s="17">
        <f t="shared" si="13"/>
        <v>1.39528032</v>
      </c>
      <c r="T12" s="17">
        <v>2.14</v>
      </c>
      <c r="U12" s="17">
        <v>25.65</v>
      </c>
      <c r="V12" s="17">
        <v>5.558</v>
      </c>
      <c r="W12" s="17">
        <v>12.5922048</v>
      </c>
      <c r="X12" s="17">
        <v>12.5922048</v>
      </c>
      <c r="Y12" s="17">
        <v>12.5922048</v>
      </c>
      <c r="Z12" s="17">
        <v>12.5922048</v>
      </c>
      <c r="AA12" s="17">
        <f t="shared" si="3"/>
        <v>16.74336384</v>
      </c>
      <c r="AB12" s="17">
        <f t="shared" si="4"/>
        <v>100.46018304</v>
      </c>
      <c r="AC12" s="17">
        <f t="shared" si="5"/>
        <v>34.53981696</v>
      </c>
      <c r="AD12" s="16"/>
      <c r="AE12" s="17"/>
    </row>
    <row r="13" s="3" customFormat="1" ht="22" customHeight="1" spans="1:31">
      <c r="A13" s="15">
        <v>43064</v>
      </c>
      <c r="B13" s="13" t="s">
        <v>42</v>
      </c>
      <c r="C13" s="16">
        <v>1</v>
      </c>
      <c r="D13" s="17">
        <v>1699</v>
      </c>
      <c r="E13" s="17">
        <v>1699</v>
      </c>
      <c r="F13" s="17">
        <v>1672.1</v>
      </c>
      <c r="G13" s="17">
        <f t="shared" si="1"/>
        <v>113.45100096</v>
      </c>
      <c r="H13" s="17">
        <f t="shared" ref="H13:S13" si="14">$G$13/60</f>
        <v>1.890850016</v>
      </c>
      <c r="I13" s="17">
        <f t="shared" si="14"/>
        <v>1.890850016</v>
      </c>
      <c r="J13" s="17">
        <f t="shared" si="14"/>
        <v>1.890850016</v>
      </c>
      <c r="K13" s="17">
        <f t="shared" si="14"/>
        <v>1.890850016</v>
      </c>
      <c r="L13" s="17">
        <f t="shared" si="14"/>
        <v>1.890850016</v>
      </c>
      <c r="M13" s="17">
        <f t="shared" si="14"/>
        <v>1.890850016</v>
      </c>
      <c r="N13" s="17">
        <f t="shared" si="14"/>
        <v>1.890850016</v>
      </c>
      <c r="O13" s="17">
        <f t="shared" si="14"/>
        <v>1.890850016</v>
      </c>
      <c r="P13" s="17">
        <f t="shared" si="14"/>
        <v>1.890850016</v>
      </c>
      <c r="Q13" s="17">
        <f t="shared" si="14"/>
        <v>1.890850016</v>
      </c>
      <c r="R13" s="17">
        <f t="shared" si="14"/>
        <v>1.890850016</v>
      </c>
      <c r="S13" s="17">
        <f t="shared" si="14"/>
        <v>1.890850016</v>
      </c>
      <c r="T13" s="17">
        <v>26.9</v>
      </c>
      <c r="U13" s="17">
        <v>10.7603333333333</v>
      </c>
      <c r="V13" s="17">
        <v>7.53206666666666</v>
      </c>
      <c r="W13" s="17">
        <v>17.06465024</v>
      </c>
      <c r="X13" s="17">
        <v>17.06465024</v>
      </c>
      <c r="Y13" s="17">
        <v>17.06465024</v>
      </c>
      <c r="Z13" s="17">
        <v>17.06465024</v>
      </c>
      <c r="AA13" s="17">
        <f t="shared" si="3"/>
        <v>22.690200192</v>
      </c>
      <c r="AB13" s="17">
        <f t="shared" si="4"/>
        <v>136.141201152</v>
      </c>
      <c r="AC13" s="17">
        <f t="shared" si="5"/>
        <v>1562.858798848</v>
      </c>
      <c r="AD13" s="16"/>
      <c r="AE13" s="17"/>
    </row>
    <row r="14" s="3" customFormat="1" ht="22" customHeight="1" spans="1:31">
      <c r="A14" s="15">
        <v>43064</v>
      </c>
      <c r="B14" s="13" t="s">
        <v>43</v>
      </c>
      <c r="C14" s="16">
        <v>1</v>
      </c>
      <c r="D14" s="17">
        <v>587.477806788753</v>
      </c>
      <c r="E14" s="17">
        <v>587.477806788753</v>
      </c>
      <c r="F14" s="17">
        <v>512.1</v>
      </c>
      <c r="G14" s="17">
        <f t="shared" si="1"/>
        <v>91.31931456</v>
      </c>
      <c r="H14" s="17">
        <f t="shared" ref="H14:S14" si="15">$G$14/60</f>
        <v>1.521988576</v>
      </c>
      <c r="I14" s="17">
        <f t="shared" si="15"/>
        <v>1.521988576</v>
      </c>
      <c r="J14" s="17">
        <f t="shared" si="15"/>
        <v>1.521988576</v>
      </c>
      <c r="K14" s="17">
        <f t="shared" si="15"/>
        <v>1.521988576</v>
      </c>
      <c r="L14" s="17">
        <f t="shared" si="15"/>
        <v>1.521988576</v>
      </c>
      <c r="M14" s="17">
        <f t="shared" si="15"/>
        <v>1.521988576</v>
      </c>
      <c r="N14" s="17">
        <f t="shared" si="15"/>
        <v>1.521988576</v>
      </c>
      <c r="O14" s="17">
        <f t="shared" si="15"/>
        <v>1.521988576</v>
      </c>
      <c r="P14" s="17">
        <f t="shared" si="15"/>
        <v>1.521988576</v>
      </c>
      <c r="Q14" s="17">
        <f t="shared" si="15"/>
        <v>1.521988576</v>
      </c>
      <c r="R14" s="17">
        <f t="shared" si="15"/>
        <v>1.521988576</v>
      </c>
      <c r="S14" s="17">
        <f t="shared" si="15"/>
        <v>1.521988576</v>
      </c>
      <c r="T14" s="17">
        <v>26.9</v>
      </c>
      <c r="U14" s="17">
        <v>3.41366666666667</v>
      </c>
      <c r="V14" s="17">
        <v>6.06273333333334</v>
      </c>
      <c r="W14" s="17">
        <v>13.73572864</v>
      </c>
      <c r="X14" s="17">
        <v>13.73572864</v>
      </c>
      <c r="Y14" s="17">
        <v>13.73572864</v>
      </c>
      <c r="Z14" s="17">
        <v>13.73572864</v>
      </c>
      <c r="AA14" s="17">
        <f t="shared" si="3"/>
        <v>18.263862912</v>
      </c>
      <c r="AB14" s="17">
        <f t="shared" si="4"/>
        <v>109.583177472</v>
      </c>
      <c r="AC14" s="17">
        <f t="shared" si="5"/>
        <v>477.894629316753</v>
      </c>
      <c r="AD14" s="16"/>
      <c r="AE14" s="17"/>
    </row>
    <row r="15" s="3" customFormat="1" ht="22" customHeight="1" spans="1:31">
      <c r="A15" s="15">
        <v>43064</v>
      </c>
      <c r="B15" s="13" t="s">
        <v>44</v>
      </c>
      <c r="C15" s="16">
        <v>1</v>
      </c>
      <c r="D15" s="17">
        <v>255</v>
      </c>
      <c r="E15" s="17">
        <v>255</v>
      </c>
      <c r="F15" s="17">
        <v>250.96</v>
      </c>
      <c r="G15" s="17">
        <f t="shared" si="1"/>
        <v>158.1250752</v>
      </c>
      <c r="H15" s="17">
        <f t="shared" ref="H15:S15" si="16">$G$15/60</f>
        <v>2.63541792</v>
      </c>
      <c r="I15" s="17">
        <f t="shared" si="16"/>
        <v>2.63541792</v>
      </c>
      <c r="J15" s="17">
        <f t="shared" si="16"/>
        <v>2.63541792</v>
      </c>
      <c r="K15" s="17">
        <f t="shared" si="16"/>
        <v>2.63541792</v>
      </c>
      <c r="L15" s="17">
        <f t="shared" si="16"/>
        <v>2.63541792</v>
      </c>
      <c r="M15" s="17">
        <f t="shared" si="16"/>
        <v>2.63541792</v>
      </c>
      <c r="N15" s="17">
        <f t="shared" si="16"/>
        <v>2.63541792</v>
      </c>
      <c r="O15" s="17">
        <f t="shared" si="16"/>
        <v>2.63541792</v>
      </c>
      <c r="P15" s="17">
        <f t="shared" si="16"/>
        <v>2.63541792</v>
      </c>
      <c r="Q15" s="17">
        <f t="shared" si="16"/>
        <v>2.63541792</v>
      </c>
      <c r="R15" s="17">
        <f t="shared" si="16"/>
        <v>2.63541792</v>
      </c>
      <c r="S15" s="17">
        <f t="shared" si="16"/>
        <v>2.63541792</v>
      </c>
      <c r="T15" s="17">
        <v>4.04</v>
      </c>
      <c r="U15" s="17">
        <v>48.45</v>
      </c>
      <c r="V15" s="17">
        <v>10.498</v>
      </c>
      <c r="W15" s="17">
        <v>23.7842688</v>
      </c>
      <c r="X15" s="17">
        <v>23.7842688</v>
      </c>
      <c r="Y15" s="17">
        <v>23.7842688</v>
      </c>
      <c r="Z15" s="17">
        <v>23.7842688</v>
      </c>
      <c r="AA15" s="17">
        <f t="shared" si="3"/>
        <v>31.62501504</v>
      </c>
      <c r="AB15" s="17">
        <f t="shared" si="4"/>
        <v>189.75009024</v>
      </c>
      <c r="AC15" s="17">
        <f t="shared" si="5"/>
        <v>65.24990976</v>
      </c>
      <c r="AD15" s="16"/>
      <c r="AE15" s="17"/>
    </row>
    <row r="16" s="3" customFormat="1" ht="22" customHeight="1" spans="1:31">
      <c r="A16" s="15">
        <v>43064</v>
      </c>
      <c r="B16" s="13" t="s">
        <v>45</v>
      </c>
      <c r="C16" s="16">
        <v>1</v>
      </c>
      <c r="D16" s="17">
        <v>770</v>
      </c>
      <c r="E16" s="17">
        <v>770</v>
      </c>
      <c r="F16" s="17">
        <v>757.81</v>
      </c>
      <c r="G16" s="17">
        <f t="shared" si="1"/>
        <v>477.4479552</v>
      </c>
      <c r="H16" s="17">
        <f t="shared" ref="H16:S16" si="17">$G$16/60</f>
        <v>7.95746592</v>
      </c>
      <c r="I16" s="17">
        <f t="shared" si="17"/>
        <v>7.95746592</v>
      </c>
      <c r="J16" s="17">
        <f t="shared" si="17"/>
        <v>7.95746592</v>
      </c>
      <c r="K16" s="17">
        <f t="shared" si="17"/>
        <v>7.95746592</v>
      </c>
      <c r="L16" s="17">
        <f t="shared" si="17"/>
        <v>7.95746592</v>
      </c>
      <c r="M16" s="17">
        <f t="shared" si="17"/>
        <v>7.95746592</v>
      </c>
      <c r="N16" s="17">
        <f t="shared" si="17"/>
        <v>7.95746592</v>
      </c>
      <c r="O16" s="17">
        <f t="shared" si="17"/>
        <v>7.95746592</v>
      </c>
      <c r="P16" s="17">
        <f t="shared" si="17"/>
        <v>7.95746592</v>
      </c>
      <c r="Q16" s="17">
        <f t="shared" si="17"/>
        <v>7.95746592</v>
      </c>
      <c r="R16" s="17">
        <f t="shared" si="17"/>
        <v>7.95746592</v>
      </c>
      <c r="S16" s="17">
        <f t="shared" si="17"/>
        <v>7.95746592</v>
      </c>
      <c r="T16" s="17">
        <v>12.19</v>
      </c>
      <c r="U16" s="17">
        <v>146.3</v>
      </c>
      <c r="V16" s="17">
        <v>31.698</v>
      </c>
      <c r="W16" s="17">
        <v>71.8149888</v>
      </c>
      <c r="X16" s="17">
        <v>71.8149888</v>
      </c>
      <c r="Y16" s="17">
        <v>71.8149888</v>
      </c>
      <c r="Z16" s="17">
        <v>71.8149888</v>
      </c>
      <c r="AA16" s="17">
        <f t="shared" si="3"/>
        <v>95.48959104</v>
      </c>
      <c r="AB16" s="17">
        <f t="shared" si="4"/>
        <v>572.93754624</v>
      </c>
      <c r="AC16" s="17">
        <f t="shared" si="5"/>
        <v>197.06245376</v>
      </c>
      <c r="AD16" s="16"/>
      <c r="AE16" s="17"/>
    </row>
    <row r="17" s="3" customFormat="1" ht="22" customHeight="1" spans="1:31">
      <c r="A17" s="15">
        <v>43089</v>
      </c>
      <c r="B17" s="13" t="s">
        <v>46</v>
      </c>
      <c r="C17" s="16">
        <v>1</v>
      </c>
      <c r="D17" s="18">
        <v>999</v>
      </c>
      <c r="E17" s="17">
        <v>999</v>
      </c>
      <c r="F17" s="17">
        <v>49.95</v>
      </c>
      <c r="G17" s="17">
        <f t="shared" si="1"/>
        <v>571.7988288</v>
      </c>
      <c r="H17" s="17">
        <f t="shared" ref="H17:S17" si="18">$G$17/60</f>
        <v>9.52998048</v>
      </c>
      <c r="I17" s="17">
        <f t="shared" si="18"/>
        <v>9.52998048</v>
      </c>
      <c r="J17" s="17">
        <f t="shared" si="18"/>
        <v>9.52998048</v>
      </c>
      <c r="K17" s="17">
        <f t="shared" si="18"/>
        <v>9.52998048</v>
      </c>
      <c r="L17" s="17">
        <f t="shared" si="18"/>
        <v>9.52998048</v>
      </c>
      <c r="M17" s="17">
        <f t="shared" si="18"/>
        <v>9.52998048</v>
      </c>
      <c r="N17" s="17">
        <f t="shared" si="18"/>
        <v>9.52998048</v>
      </c>
      <c r="O17" s="17">
        <f t="shared" si="18"/>
        <v>9.52998048</v>
      </c>
      <c r="P17" s="17">
        <f t="shared" si="18"/>
        <v>9.52998048</v>
      </c>
      <c r="Q17" s="17">
        <f t="shared" si="18"/>
        <v>9.52998048</v>
      </c>
      <c r="R17" s="17">
        <f t="shared" si="18"/>
        <v>9.52998048</v>
      </c>
      <c r="S17" s="17">
        <f t="shared" si="18"/>
        <v>9.52998048</v>
      </c>
      <c r="T17" s="17"/>
      <c r="U17" s="17">
        <v>189.81</v>
      </c>
      <c r="V17" s="17">
        <v>37.962</v>
      </c>
      <c r="W17" s="17">
        <v>86.0067072</v>
      </c>
      <c r="X17" s="17">
        <v>86.0067072</v>
      </c>
      <c r="Y17" s="17">
        <v>86.0067072</v>
      </c>
      <c r="Z17" s="17">
        <v>86.0067072</v>
      </c>
      <c r="AA17" s="17">
        <f t="shared" si="3"/>
        <v>114.35976576</v>
      </c>
      <c r="AB17" s="17">
        <f t="shared" si="4"/>
        <v>686.15859456</v>
      </c>
      <c r="AC17" s="17">
        <f t="shared" si="5"/>
        <v>312.84140544</v>
      </c>
      <c r="AD17" s="16"/>
      <c r="AE17" s="17"/>
    </row>
    <row r="18" s="3" customFormat="1" ht="22" customHeight="1" spans="1:31">
      <c r="A18" s="15">
        <v>43159</v>
      </c>
      <c r="B18" s="13" t="s">
        <v>47</v>
      </c>
      <c r="C18" s="16">
        <v>1</v>
      </c>
      <c r="D18" s="18">
        <v>1268</v>
      </c>
      <c r="E18" s="17">
        <v>1268</v>
      </c>
      <c r="F18" s="17">
        <v>63.4</v>
      </c>
      <c r="G18" s="17">
        <f t="shared" si="1"/>
        <v>544.3250112</v>
      </c>
      <c r="H18" s="17">
        <f t="shared" ref="H18:S18" si="19">$G$18/60</f>
        <v>9.07208352</v>
      </c>
      <c r="I18" s="17">
        <f t="shared" si="19"/>
        <v>9.07208352</v>
      </c>
      <c r="J18" s="17">
        <f t="shared" si="19"/>
        <v>9.07208352</v>
      </c>
      <c r="K18" s="17">
        <f t="shared" si="19"/>
        <v>9.07208352</v>
      </c>
      <c r="L18" s="17">
        <f t="shared" si="19"/>
        <v>9.07208352</v>
      </c>
      <c r="M18" s="17">
        <f t="shared" si="19"/>
        <v>9.07208352</v>
      </c>
      <c r="N18" s="17">
        <f t="shared" si="19"/>
        <v>9.07208352</v>
      </c>
      <c r="O18" s="17">
        <f t="shared" si="19"/>
        <v>9.07208352</v>
      </c>
      <c r="P18" s="17">
        <f t="shared" si="19"/>
        <v>9.07208352</v>
      </c>
      <c r="Q18" s="17">
        <f t="shared" si="19"/>
        <v>9.07208352</v>
      </c>
      <c r="R18" s="17">
        <f t="shared" si="19"/>
        <v>9.07208352</v>
      </c>
      <c r="S18" s="17">
        <f t="shared" si="19"/>
        <v>9.07208352</v>
      </c>
      <c r="T18" s="17"/>
      <c r="U18" s="17">
        <v>180.69</v>
      </c>
      <c r="V18" s="17">
        <v>36.138</v>
      </c>
      <c r="W18" s="17">
        <v>81.8742528</v>
      </c>
      <c r="X18" s="17">
        <v>81.8742528</v>
      </c>
      <c r="Y18" s="17">
        <v>81.8742528</v>
      </c>
      <c r="Z18" s="17">
        <v>81.8742528</v>
      </c>
      <c r="AA18" s="17">
        <f t="shared" si="3"/>
        <v>108.86500224</v>
      </c>
      <c r="AB18" s="17">
        <f t="shared" si="4"/>
        <v>653.19001344</v>
      </c>
      <c r="AC18" s="17">
        <f t="shared" si="5"/>
        <v>614.80998656</v>
      </c>
      <c r="AD18" s="16"/>
      <c r="AE18" s="17"/>
    </row>
    <row r="19" s="3" customFormat="1" ht="22" customHeight="1" spans="1:31">
      <c r="A19" s="15">
        <v>43189</v>
      </c>
      <c r="B19" s="13" t="s">
        <v>48</v>
      </c>
      <c r="C19" s="16">
        <v>1</v>
      </c>
      <c r="D19" s="18">
        <v>3500</v>
      </c>
      <c r="E19" s="17">
        <v>3500</v>
      </c>
      <c r="F19" s="17">
        <v>175</v>
      </c>
      <c r="G19" s="17">
        <f t="shared" si="1"/>
        <v>1335.5328</v>
      </c>
      <c r="H19" s="17">
        <f t="shared" ref="H19:S19" si="20">$G$19/60</f>
        <v>22.25888</v>
      </c>
      <c r="I19" s="17">
        <f t="shared" si="20"/>
        <v>22.25888</v>
      </c>
      <c r="J19" s="17">
        <f t="shared" si="20"/>
        <v>22.25888</v>
      </c>
      <c r="K19" s="17">
        <f t="shared" si="20"/>
        <v>22.25888</v>
      </c>
      <c r="L19" s="17">
        <f t="shared" si="20"/>
        <v>22.25888</v>
      </c>
      <c r="M19" s="17">
        <f t="shared" si="20"/>
        <v>22.25888</v>
      </c>
      <c r="N19" s="17">
        <f t="shared" si="20"/>
        <v>22.25888</v>
      </c>
      <c r="O19" s="17">
        <f t="shared" si="20"/>
        <v>22.25888</v>
      </c>
      <c r="P19" s="17">
        <f t="shared" si="20"/>
        <v>22.25888</v>
      </c>
      <c r="Q19" s="17">
        <f t="shared" si="20"/>
        <v>22.25888</v>
      </c>
      <c r="R19" s="17">
        <f t="shared" si="20"/>
        <v>22.25888</v>
      </c>
      <c r="S19" s="17">
        <f t="shared" si="20"/>
        <v>22.25888</v>
      </c>
      <c r="T19" s="17"/>
      <c r="U19" s="17">
        <v>443.333333333333</v>
      </c>
      <c r="V19" s="17">
        <v>88.6666666666666</v>
      </c>
      <c r="W19" s="17">
        <v>200.8832</v>
      </c>
      <c r="X19" s="17">
        <v>200.8832</v>
      </c>
      <c r="Y19" s="17">
        <v>200.8832</v>
      </c>
      <c r="Z19" s="17">
        <v>200.8832</v>
      </c>
      <c r="AA19" s="17">
        <f t="shared" si="3"/>
        <v>267.10656</v>
      </c>
      <c r="AB19" s="17">
        <f t="shared" si="4"/>
        <v>1602.63936</v>
      </c>
      <c r="AC19" s="17">
        <f t="shared" si="5"/>
        <v>1897.36064</v>
      </c>
      <c r="AD19" s="16"/>
      <c r="AE19" s="17"/>
    </row>
    <row r="20" s="3" customFormat="1" ht="22" customHeight="1" spans="1:31">
      <c r="A20" s="15">
        <v>43189</v>
      </c>
      <c r="B20" s="13" t="s">
        <v>49</v>
      </c>
      <c r="C20" s="16">
        <v>1</v>
      </c>
      <c r="D20" s="18">
        <v>2600</v>
      </c>
      <c r="E20" s="17">
        <v>2600</v>
      </c>
      <c r="F20" s="17">
        <v>130</v>
      </c>
      <c r="G20" s="17">
        <f t="shared" si="1"/>
        <v>992.11008</v>
      </c>
      <c r="H20" s="17">
        <f t="shared" ref="H20:S20" si="21">$G$20/60</f>
        <v>16.535168</v>
      </c>
      <c r="I20" s="17">
        <f t="shared" si="21"/>
        <v>16.535168</v>
      </c>
      <c r="J20" s="17">
        <f t="shared" si="21"/>
        <v>16.535168</v>
      </c>
      <c r="K20" s="17">
        <f t="shared" si="21"/>
        <v>16.535168</v>
      </c>
      <c r="L20" s="17">
        <f t="shared" si="21"/>
        <v>16.535168</v>
      </c>
      <c r="M20" s="17">
        <f t="shared" si="21"/>
        <v>16.535168</v>
      </c>
      <c r="N20" s="17">
        <f t="shared" si="21"/>
        <v>16.535168</v>
      </c>
      <c r="O20" s="17">
        <f t="shared" si="21"/>
        <v>16.535168</v>
      </c>
      <c r="P20" s="17">
        <f t="shared" si="21"/>
        <v>16.535168</v>
      </c>
      <c r="Q20" s="17">
        <f t="shared" si="21"/>
        <v>16.535168</v>
      </c>
      <c r="R20" s="17">
        <f t="shared" si="21"/>
        <v>16.535168</v>
      </c>
      <c r="S20" s="17">
        <f t="shared" si="21"/>
        <v>16.535168</v>
      </c>
      <c r="T20" s="17"/>
      <c r="U20" s="17">
        <v>329.333333333333</v>
      </c>
      <c r="V20" s="17">
        <v>65.8666666666667</v>
      </c>
      <c r="W20" s="17">
        <v>149.22752</v>
      </c>
      <c r="X20" s="17">
        <v>149.22752</v>
      </c>
      <c r="Y20" s="17">
        <v>149.22752</v>
      </c>
      <c r="Z20" s="17">
        <v>149.22752</v>
      </c>
      <c r="AA20" s="17">
        <f t="shared" si="3"/>
        <v>198.422016</v>
      </c>
      <c r="AB20" s="17">
        <f t="shared" si="4"/>
        <v>1190.532096</v>
      </c>
      <c r="AC20" s="17">
        <f t="shared" si="5"/>
        <v>1409.467904</v>
      </c>
      <c r="AD20" s="16"/>
      <c r="AE20" s="17"/>
    </row>
    <row r="21" s="3" customFormat="1" ht="22" customHeight="1" spans="1:31">
      <c r="A21" s="15">
        <v>43204</v>
      </c>
      <c r="B21" s="13" t="s">
        <v>50</v>
      </c>
      <c r="C21" s="16">
        <v>1</v>
      </c>
      <c r="D21" s="18">
        <v>3799</v>
      </c>
      <c r="E21" s="17">
        <v>3799</v>
      </c>
      <c r="F21" s="17">
        <v>189.95</v>
      </c>
      <c r="G21" s="17">
        <f t="shared" si="1"/>
        <v>1268.4222768</v>
      </c>
      <c r="H21" s="17">
        <f t="shared" ref="H21:S21" si="22">$G$21/60</f>
        <v>21.14037128</v>
      </c>
      <c r="I21" s="17">
        <f t="shared" si="22"/>
        <v>21.14037128</v>
      </c>
      <c r="J21" s="17">
        <f t="shared" si="22"/>
        <v>21.14037128</v>
      </c>
      <c r="K21" s="17">
        <f t="shared" si="22"/>
        <v>21.14037128</v>
      </c>
      <c r="L21" s="17">
        <f t="shared" si="22"/>
        <v>21.14037128</v>
      </c>
      <c r="M21" s="17">
        <f t="shared" si="22"/>
        <v>21.14037128</v>
      </c>
      <c r="N21" s="17">
        <f t="shared" si="22"/>
        <v>21.14037128</v>
      </c>
      <c r="O21" s="17">
        <f t="shared" si="22"/>
        <v>21.14037128</v>
      </c>
      <c r="P21" s="17">
        <f t="shared" si="22"/>
        <v>21.14037128</v>
      </c>
      <c r="Q21" s="17">
        <f t="shared" si="22"/>
        <v>21.14037128</v>
      </c>
      <c r="R21" s="17">
        <f t="shared" si="22"/>
        <v>21.14037128</v>
      </c>
      <c r="S21" s="17">
        <f t="shared" si="22"/>
        <v>21.14037128</v>
      </c>
      <c r="T21" s="17"/>
      <c r="U21" s="17">
        <v>421.055833333333</v>
      </c>
      <c r="V21" s="17">
        <v>84.2111666666667</v>
      </c>
      <c r="W21" s="17">
        <v>190.7888192</v>
      </c>
      <c r="X21" s="17">
        <v>190.7888192</v>
      </c>
      <c r="Y21" s="17">
        <v>190.7888192</v>
      </c>
      <c r="Z21" s="17">
        <v>190.7888192</v>
      </c>
      <c r="AA21" s="17">
        <f t="shared" si="3"/>
        <v>253.68445536</v>
      </c>
      <c r="AB21" s="17">
        <f t="shared" si="4"/>
        <v>1522.10673216</v>
      </c>
      <c r="AC21" s="17">
        <f t="shared" si="5"/>
        <v>2276.89326784</v>
      </c>
      <c r="AD21" s="16"/>
      <c r="AE21" s="17"/>
    </row>
    <row r="22" s="3" customFormat="1" ht="22" customHeight="1" spans="1:31">
      <c r="A22" s="15">
        <v>43207</v>
      </c>
      <c r="B22" s="13" t="s">
        <v>51</v>
      </c>
      <c r="C22" s="16">
        <v>1</v>
      </c>
      <c r="D22" s="18">
        <v>6608</v>
      </c>
      <c r="E22" s="17">
        <v>6608</v>
      </c>
      <c r="F22" s="17">
        <v>330.4</v>
      </c>
      <c r="G22" s="17">
        <f t="shared" si="1"/>
        <v>2206.3001856</v>
      </c>
      <c r="H22" s="17">
        <f t="shared" ref="H22:S22" si="23">$G$22/60</f>
        <v>36.77166976</v>
      </c>
      <c r="I22" s="17">
        <f t="shared" si="23"/>
        <v>36.77166976</v>
      </c>
      <c r="J22" s="17">
        <f t="shared" si="23"/>
        <v>36.77166976</v>
      </c>
      <c r="K22" s="17">
        <f t="shared" si="23"/>
        <v>36.77166976</v>
      </c>
      <c r="L22" s="17">
        <f t="shared" si="23"/>
        <v>36.77166976</v>
      </c>
      <c r="M22" s="17">
        <f t="shared" si="23"/>
        <v>36.77166976</v>
      </c>
      <c r="N22" s="17">
        <f t="shared" si="23"/>
        <v>36.77166976</v>
      </c>
      <c r="O22" s="17">
        <f t="shared" si="23"/>
        <v>36.77166976</v>
      </c>
      <c r="P22" s="17">
        <f t="shared" si="23"/>
        <v>36.77166976</v>
      </c>
      <c r="Q22" s="17">
        <f t="shared" si="23"/>
        <v>36.77166976</v>
      </c>
      <c r="R22" s="17">
        <f t="shared" si="23"/>
        <v>36.77166976</v>
      </c>
      <c r="S22" s="17">
        <f t="shared" si="23"/>
        <v>36.77166976</v>
      </c>
      <c r="T22" s="17"/>
      <c r="U22" s="17">
        <v>732.386666666667</v>
      </c>
      <c r="V22" s="17">
        <v>146.477333333333</v>
      </c>
      <c r="W22" s="17">
        <v>331.8590464</v>
      </c>
      <c r="X22" s="17">
        <v>331.8590464</v>
      </c>
      <c r="Y22" s="17">
        <v>331.8590464</v>
      </c>
      <c r="Z22" s="17">
        <v>331.8590464</v>
      </c>
      <c r="AA22" s="17">
        <f t="shared" si="3"/>
        <v>441.26003712</v>
      </c>
      <c r="AB22" s="17">
        <f t="shared" si="4"/>
        <v>2647.56022272</v>
      </c>
      <c r="AC22" s="17">
        <f t="shared" si="5"/>
        <v>3960.43977728</v>
      </c>
      <c r="AD22" s="16"/>
      <c r="AE22" s="17"/>
    </row>
    <row r="23" s="3" customFormat="1" ht="22" customHeight="1" spans="1:31">
      <c r="A23" s="15">
        <v>43222</v>
      </c>
      <c r="B23" s="13" t="s">
        <v>52</v>
      </c>
      <c r="C23" s="16">
        <v>1</v>
      </c>
      <c r="D23" s="18">
        <v>1189</v>
      </c>
      <c r="E23" s="17">
        <v>1189</v>
      </c>
      <c r="F23" s="17">
        <v>59.45</v>
      </c>
      <c r="G23" s="17">
        <f t="shared" si="1"/>
        <v>340.2746784</v>
      </c>
      <c r="H23" s="17">
        <f t="shared" ref="H23:S23" si="24">$G$23/60</f>
        <v>5.67124464</v>
      </c>
      <c r="I23" s="17">
        <f t="shared" si="24"/>
        <v>5.67124464</v>
      </c>
      <c r="J23" s="17">
        <f t="shared" si="24"/>
        <v>5.67124464</v>
      </c>
      <c r="K23" s="17">
        <f t="shared" si="24"/>
        <v>5.67124464</v>
      </c>
      <c r="L23" s="17">
        <f t="shared" si="24"/>
        <v>5.67124464</v>
      </c>
      <c r="M23" s="17">
        <f t="shared" si="24"/>
        <v>5.67124464</v>
      </c>
      <c r="N23" s="17">
        <f t="shared" si="24"/>
        <v>5.67124464</v>
      </c>
      <c r="O23" s="17">
        <f t="shared" si="24"/>
        <v>5.67124464</v>
      </c>
      <c r="P23" s="17">
        <f t="shared" si="24"/>
        <v>5.67124464</v>
      </c>
      <c r="Q23" s="17">
        <f t="shared" si="24"/>
        <v>5.67124464</v>
      </c>
      <c r="R23" s="17">
        <f t="shared" si="24"/>
        <v>5.67124464</v>
      </c>
      <c r="S23" s="17">
        <f t="shared" si="24"/>
        <v>5.67124464</v>
      </c>
      <c r="T23" s="17"/>
      <c r="U23" s="17">
        <v>112.955</v>
      </c>
      <c r="V23" s="17">
        <v>22.591</v>
      </c>
      <c r="W23" s="17">
        <v>51.1821696</v>
      </c>
      <c r="X23" s="17">
        <v>51.1821696</v>
      </c>
      <c r="Y23" s="17">
        <v>51.1821696</v>
      </c>
      <c r="Z23" s="17">
        <v>51.1821696</v>
      </c>
      <c r="AA23" s="17">
        <f t="shared" si="3"/>
        <v>68.05493568</v>
      </c>
      <c r="AB23" s="17">
        <f t="shared" si="4"/>
        <v>408.32961408</v>
      </c>
      <c r="AC23" s="17">
        <f t="shared" si="5"/>
        <v>780.67038592</v>
      </c>
      <c r="AD23" s="16"/>
      <c r="AE23" s="17"/>
    </row>
    <row r="24" s="3" customFormat="1" ht="22" customHeight="1" spans="1:31">
      <c r="A24" s="15">
        <v>43235</v>
      </c>
      <c r="B24" s="13" t="s">
        <v>53</v>
      </c>
      <c r="C24" s="16">
        <v>1</v>
      </c>
      <c r="D24" s="18">
        <v>898</v>
      </c>
      <c r="E24" s="17">
        <v>898</v>
      </c>
      <c r="F24" s="17">
        <v>44.9</v>
      </c>
      <c r="G24" s="17">
        <f t="shared" si="1"/>
        <v>256.9946688</v>
      </c>
      <c r="H24" s="17">
        <f t="shared" ref="H24:S24" si="25">$G$24/60</f>
        <v>4.28324448</v>
      </c>
      <c r="I24" s="17">
        <f t="shared" si="25"/>
        <v>4.28324448</v>
      </c>
      <c r="J24" s="17">
        <f t="shared" si="25"/>
        <v>4.28324448</v>
      </c>
      <c r="K24" s="17">
        <f t="shared" si="25"/>
        <v>4.28324448</v>
      </c>
      <c r="L24" s="17">
        <f t="shared" si="25"/>
        <v>4.28324448</v>
      </c>
      <c r="M24" s="17">
        <f t="shared" si="25"/>
        <v>4.28324448</v>
      </c>
      <c r="N24" s="17">
        <f t="shared" si="25"/>
        <v>4.28324448</v>
      </c>
      <c r="O24" s="17">
        <f t="shared" si="25"/>
        <v>4.28324448</v>
      </c>
      <c r="P24" s="17">
        <f t="shared" si="25"/>
        <v>4.28324448</v>
      </c>
      <c r="Q24" s="17">
        <f t="shared" si="25"/>
        <v>4.28324448</v>
      </c>
      <c r="R24" s="17">
        <f t="shared" si="25"/>
        <v>4.28324448</v>
      </c>
      <c r="S24" s="17">
        <f t="shared" si="25"/>
        <v>4.28324448</v>
      </c>
      <c r="T24" s="17"/>
      <c r="U24" s="17">
        <v>85.31</v>
      </c>
      <c r="V24" s="17">
        <v>17.062</v>
      </c>
      <c r="W24" s="17">
        <v>38.6556672</v>
      </c>
      <c r="X24" s="17">
        <v>38.6556672</v>
      </c>
      <c r="Y24" s="17">
        <v>38.6556672</v>
      </c>
      <c r="Z24" s="17">
        <v>38.6556672</v>
      </c>
      <c r="AA24" s="17">
        <f t="shared" si="3"/>
        <v>51.39893376</v>
      </c>
      <c r="AB24" s="17">
        <f t="shared" si="4"/>
        <v>308.39360256</v>
      </c>
      <c r="AC24" s="17">
        <f t="shared" si="5"/>
        <v>589.60639744</v>
      </c>
      <c r="AD24" s="16"/>
      <c r="AE24" s="17"/>
    </row>
    <row r="25" s="3" customFormat="1" ht="22" customHeight="1" spans="1:31">
      <c r="A25" s="15">
        <v>43243</v>
      </c>
      <c r="B25" s="13" t="s">
        <v>54</v>
      </c>
      <c r="C25" s="16">
        <v>1</v>
      </c>
      <c r="D25" s="18">
        <v>1500</v>
      </c>
      <c r="E25" s="17">
        <v>1500</v>
      </c>
      <c r="F25" s="17">
        <v>75</v>
      </c>
      <c r="G25" s="17">
        <f t="shared" si="1"/>
        <v>429.2784</v>
      </c>
      <c r="H25" s="17">
        <f t="shared" ref="H25:S25" si="26">$G$25/60</f>
        <v>7.15464</v>
      </c>
      <c r="I25" s="17">
        <f t="shared" si="26"/>
        <v>7.15464</v>
      </c>
      <c r="J25" s="17">
        <f t="shared" si="26"/>
        <v>7.15464</v>
      </c>
      <c r="K25" s="17">
        <f t="shared" si="26"/>
        <v>7.15464</v>
      </c>
      <c r="L25" s="17">
        <f t="shared" si="26"/>
        <v>7.15464</v>
      </c>
      <c r="M25" s="17">
        <f t="shared" si="26"/>
        <v>7.15464</v>
      </c>
      <c r="N25" s="17">
        <f t="shared" si="26"/>
        <v>7.15464</v>
      </c>
      <c r="O25" s="17">
        <f t="shared" si="26"/>
        <v>7.15464</v>
      </c>
      <c r="P25" s="17">
        <f t="shared" si="26"/>
        <v>7.15464</v>
      </c>
      <c r="Q25" s="17">
        <f t="shared" si="26"/>
        <v>7.15464</v>
      </c>
      <c r="R25" s="17">
        <f t="shared" si="26"/>
        <v>7.15464</v>
      </c>
      <c r="S25" s="17">
        <f t="shared" si="26"/>
        <v>7.15464</v>
      </c>
      <c r="T25" s="17"/>
      <c r="U25" s="17">
        <v>142.5</v>
      </c>
      <c r="V25" s="17">
        <v>28.5</v>
      </c>
      <c r="W25" s="17">
        <v>64.5696</v>
      </c>
      <c r="X25" s="17">
        <v>64.5696</v>
      </c>
      <c r="Y25" s="17">
        <v>64.5696</v>
      </c>
      <c r="Z25" s="17">
        <v>64.5696</v>
      </c>
      <c r="AA25" s="17">
        <f t="shared" si="3"/>
        <v>85.85568</v>
      </c>
      <c r="AB25" s="17">
        <f t="shared" si="4"/>
        <v>515.13408</v>
      </c>
      <c r="AC25" s="17">
        <f t="shared" si="5"/>
        <v>984.86592</v>
      </c>
      <c r="AD25" s="16"/>
      <c r="AE25" s="17"/>
    </row>
    <row r="26" s="3" customFormat="1" ht="31" customHeight="1" spans="1:31">
      <c r="A26" s="15">
        <v>43291</v>
      </c>
      <c r="B26" s="13" t="s">
        <v>55</v>
      </c>
      <c r="C26" s="16">
        <v>1</v>
      </c>
      <c r="D26" s="18">
        <v>2436.36</v>
      </c>
      <c r="E26" s="17">
        <v>2436.36</v>
      </c>
      <c r="F26" s="17">
        <v>121.818</v>
      </c>
      <c r="G26" s="17">
        <f t="shared" si="1"/>
        <v>464.834098944</v>
      </c>
      <c r="H26" s="17">
        <f t="shared" ref="H26:S26" si="27">$G$26/60</f>
        <v>7.7472349824</v>
      </c>
      <c r="I26" s="17">
        <f t="shared" si="27"/>
        <v>7.7472349824</v>
      </c>
      <c r="J26" s="17">
        <f t="shared" si="27"/>
        <v>7.7472349824</v>
      </c>
      <c r="K26" s="17">
        <f t="shared" si="27"/>
        <v>7.7472349824</v>
      </c>
      <c r="L26" s="17">
        <f t="shared" si="27"/>
        <v>7.7472349824</v>
      </c>
      <c r="M26" s="17">
        <f t="shared" si="27"/>
        <v>7.7472349824</v>
      </c>
      <c r="N26" s="17">
        <f t="shared" si="27"/>
        <v>7.7472349824</v>
      </c>
      <c r="O26" s="17">
        <f t="shared" si="27"/>
        <v>7.7472349824</v>
      </c>
      <c r="P26" s="17">
        <f t="shared" si="27"/>
        <v>7.7472349824</v>
      </c>
      <c r="Q26" s="17">
        <f t="shared" si="27"/>
        <v>7.7472349824</v>
      </c>
      <c r="R26" s="17">
        <f t="shared" si="27"/>
        <v>7.7472349824</v>
      </c>
      <c r="S26" s="17">
        <f t="shared" si="27"/>
        <v>7.7472349824</v>
      </c>
      <c r="T26" s="17"/>
      <c r="U26" s="17">
        <v>154.3028</v>
      </c>
      <c r="V26" s="17">
        <v>30.86056</v>
      </c>
      <c r="W26" s="17">
        <v>69.917684736</v>
      </c>
      <c r="X26" s="17">
        <v>69.917684736</v>
      </c>
      <c r="Y26" s="17">
        <v>69.917684736</v>
      </c>
      <c r="Z26" s="17">
        <v>69.917684736</v>
      </c>
      <c r="AA26" s="17">
        <f t="shared" si="3"/>
        <v>92.9668197888</v>
      </c>
      <c r="AB26" s="17">
        <f t="shared" si="4"/>
        <v>557.8009187328</v>
      </c>
      <c r="AC26" s="17">
        <f t="shared" si="5"/>
        <v>1878.5590812672</v>
      </c>
      <c r="AD26" s="16"/>
      <c r="AE26" s="17"/>
    </row>
    <row r="27" s="3" customFormat="1" ht="31" customHeight="1" spans="1:31">
      <c r="A27" s="15">
        <v>43321</v>
      </c>
      <c r="B27" s="13" t="s">
        <v>56</v>
      </c>
      <c r="C27" s="16">
        <v>1</v>
      </c>
      <c r="D27" s="18">
        <v>1488</v>
      </c>
      <c r="E27" s="17">
        <v>1488</v>
      </c>
      <c r="F27" s="17">
        <v>74.4</v>
      </c>
      <c r="G27" s="17">
        <f t="shared" si="1"/>
        <v>212.9220864</v>
      </c>
      <c r="H27" s="17">
        <f t="shared" ref="H27:S27" si="28">$G$27/60</f>
        <v>3.54870144</v>
      </c>
      <c r="I27" s="17">
        <f t="shared" si="28"/>
        <v>3.54870144</v>
      </c>
      <c r="J27" s="17">
        <f t="shared" si="28"/>
        <v>3.54870144</v>
      </c>
      <c r="K27" s="17">
        <f t="shared" si="28"/>
        <v>3.54870144</v>
      </c>
      <c r="L27" s="17">
        <f t="shared" si="28"/>
        <v>3.54870144</v>
      </c>
      <c r="M27" s="17">
        <f t="shared" si="28"/>
        <v>3.54870144</v>
      </c>
      <c r="N27" s="17">
        <f t="shared" si="28"/>
        <v>3.54870144</v>
      </c>
      <c r="O27" s="17">
        <f t="shared" si="28"/>
        <v>3.54870144</v>
      </c>
      <c r="P27" s="17">
        <f t="shared" si="28"/>
        <v>3.54870144</v>
      </c>
      <c r="Q27" s="17">
        <f t="shared" si="28"/>
        <v>3.54870144</v>
      </c>
      <c r="R27" s="17">
        <f t="shared" si="28"/>
        <v>3.54870144</v>
      </c>
      <c r="S27" s="17">
        <f t="shared" si="28"/>
        <v>3.54870144</v>
      </c>
      <c r="T27" s="17"/>
      <c r="U27" s="17">
        <v>70.68</v>
      </c>
      <c r="V27" s="17">
        <v>14.136</v>
      </c>
      <c r="W27" s="17">
        <v>32.0265216</v>
      </c>
      <c r="X27" s="17">
        <v>32.0265216</v>
      </c>
      <c r="Y27" s="17">
        <v>32.0265216</v>
      </c>
      <c r="Z27" s="17">
        <v>32.0265216</v>
      </c>
      <c r="AA27" s="17">
        <f t="shared" si="3"/>
        <v>42.58441728</v>
      </c>
      <c r="AB27" s="17">
        <f t="shared" si="4"/>
        <v>255.50650368</v>
      </c>
      <c r="AC27" s="17">
        <f t="shared" si="5"/>
        <v>1232.49349632</v>
      </c>
      <c r="AD27" s="16"/>
      <c r="AE27" s="17"/>
    </row>
    <row r="28" s="3" customFormat="1" ht="31" customHeight="1" spans="1:31">
      <c r="A28" s="15">
        <v>43321</v>
      </c>
      <c r="B28" s="13" t="s">
        <v>57</v>
      </c>
      <c r="C28" s="16">
        <v>1</v>
      </c>
      <c r="D28" s="18">
        <v>1309</v>
      </c>
      <c r="E28" s="17">
        <v>1309</v>
      </c>
      <c r="F28" s="17">
        <v>65.45</v>
      </c>
      <c r="G28" s="17">
        <f t="shared" si="1"/>
        <v>187.3084752</v>
      </c>
      <c r="H28" s="17">
        <f t="shared" ref="H28:S28" si="29">$G$28/60</f>
        <v>3.12180792</v>
      </c>
      <c r="I28" s="17">
        <f t="shared" si="29"/>
        <v>3.12180792</v>
      </c>
      <c r="J28" s="17">
        <f t="shared" si="29"/>
        <v>3.12180792</v>
      </c>
      <c r="K28" s="17">
        <f t="shared" si="29"/>
        <v>3.12180792</v>
      </c>
      <c r="L28" s="17">
        <f t="shared" si="29"/>
        <v>3.12180792</v>
      </c>
      <c r="M28" s="17">
        <f t="shared" si="29"/>
        <v>3.12180792</v>
      </c>
      <c r="N28" s="17">
        <f t="shared" si="29"/>
        <v>3.12180792</v>
      </c>
      <c r="O28" s="17">
        <f t="shared" si="29"/>
        <v>3.12180792</v>
      </c>
      <c r="P28" s="17">
        <f t="shared" si="29"/>
        <v>3.12180792</v>
      </c>
      <c r="Q28" s="17">
        <f t="shared" si="29"/>
        <v>3.12180792</v>
      </c>
      <c r="R28" s="17">
        <f t="shared" si="29"/>
        <v>3.12180792</v>
      </c>
      <c r="S28" s="17">
        <f t="shared" si="29"/>
        <v>3.12180792</v>
      </c>
      <c r="T28" s="17"/>
      <c r="U28" s="17">
        <v>62.1775</v>
      </c>
      <c r="V28" s="17">
        <v>12.4355</v>
      </c>
      <c r="W28" s="17">
        <v>28.1738688</v>
      </c>
      <c r="X28" s="17">
        <v>28.1738688</v>
      </c>
      <c r="Y28" s="17">
        <v>28.1738688</v>
      </c>
      <c r="Z28" s="17">
        <v>28.1738688</v>
      </c>
      <c r="AA28" s="17">
        <f t="shared" si="3"/>
        <v>37.46169504</v>
      </c>
      <c r="AB28" s="17">
        <f t="shared" si="4"/>
        <v>224.77017024</v>
      </c>
      <c r="AC28" s="17">
        <f t="shared" si="5"/>
        <v>1084.22982976</v>
      </c>
      <c r="AD28" s="16"/>
      <c r="AE28" s="17"/>
    </row>
    <row r="29" s="3" customFormat="1" ht="31" customHeight="1" spans="1:31">
      <c r="A29" s="15">
        <v>43321</v>
      </c>
      <c r="B29" s="13" t="s">
        <v>58</v>
      </c>
      <c r="C29" s="16">
        <v>1</v>
      </c>
      <c r="D29" s="18">
        <v>38000</v>
      </c>
      <c r="E29" s="17">
        <v>38000</v>
      </c>
      <c r="F29" s="17">
        <v>1900</v>
      </c>
      <c r="G29" s="17">
        <f t="shared" si="1"/>
        <v>5437.5264</v>
      </c>
      <c r="H29" s="17">
        <f t="shared" ref="H29:S29" si="30">$G$29/60</f>
        <v>90.62544</v>
      </c>
      <c r="I29" s="17">
        <f t="shared" si="30"/>
        <v>90.62544</v>
      </c>
      <c r="J29" s="17">
        <f t="shared" si="30"/>
        <v>90.62544</v>
      </c>
      <c r="K29" s="17">
        <f t="shared" si="30"/>
        <v>90.62544</v>
      </c>
      <c r="L29" s="17">
        <f t="shared" si="30"/>
        <v>90.62544</v>
      </c>
      <c r="M29" s="17">
        <f t="shared" si="30"/>
        <v>90.62544</v>
      </c>
      <c r="N29" s="17">
        <f t="shared" si="30"/>
        <v>90.62544</v>
      </c>
      <c r="O29" s="17">
        <f t="shared" si="30"/>
        <v>90.62544</v>
      </c>
      <c r="P29" s="17">
        <f t="shared" si="30"/>
        <v>90.62544</v>
      </c>
      <c r="Q29" s="17">
        <f t="shared" si="30"/>
        <v>90.62544</v>
      </c>
      <c r="R29" s="17">
        <f t="shared" si="30"/>
        <v>90.62544</v>
      </c>
      <c r="S29" s="17">
        <f t="shared" si="30"/>
        <v>90.62544</v>
      </c>
      <c r="T29" s="17"/>
      <c r="U29" s="17">
        <v>1805</v>
      </c>
      <c r="V29" s="17">
        <v>361</v>
      </c>
      <c r="W29" s="17">
        <v>817.8816</v>
      </c>
      <c r="X29" s="17">
        <v>817.8816</v>
      </c>
      <c r="Y29" s="17">
        <v>817.8816</v>
      </c>
      <c r="Z29" s="17">
        <v>817.8816</v>
      </c>
      <c r="AA29" s="17">
        <f t="shared" si="3"/>
        <v>1087.50528</v>
      </c>
      <c r="AB29" s="17">
        <f t="shared" si="4"/>
        <v>6525.03168</v>
      </c>
      <c r="AC29" s="17">
        <f t="shared" si="5"/>
        <v>31474.96832</v>
      </c>
      <c r="AD29" s="16"/>
      <c r="AE29" s="17"/>
    </row>
    <row r="30" s="3" customFormat="1" ht="25" customHeight="1" spans="1:31">
      <c r="A30" s="15">
        <v>43343</v>
      </c>
      <c r="B30" s="13" t="s">
        <v>59</v>
      </c>
      <c r="C30" s="16">
        <v>1</v>
      </c>
      <c r="D30" s="18">
        <v>639</v>
      </c>
      <c r="E30" s="17">
        <v>639</v>
      </c>
      <c r="F30" s="17">
        <v>31.95</v>
      </c>
      <c r="G30" s="17">
        <f t="shared" si="1"/>
        <v>91.4362992</v>
      </c>
      <c r="H30" s="17">
        <f t="shared" ref="H30:S30" si="31">$G$30/60</f>
        <v>1.52393832</v>
      </c>
      <c r="I30" s="17">
        <f t="shared" si="31"/>
        <v>1.52393832</v>
      </c>
      <c r="J30" s="17">
        <f t="shared" si="31"/>
        <v>1.52393832</v>
      </c>
      <c r="K30" s="17">
        <f t="shared" si="31"/>
        <v>1.52393832</v>
      </c>
      <c r="L30" s="17">
        <f t="shared" si="31"/>
        <v>1.52393832</v>
      </c>
      <c r="M30" s="17">
        <f t="shared" si="31"/>
        <v>1.52393832</v>
      </c>
      <c r="N30" s="17">
        <f t="shared" si="31"/>
        <v>1.52393832</v>
      </c>
      <c r="O30" s="17">
        <f t="shared" si="31"/>
        <v>1.52393832</v>
      </c>
      <c r="P30" s="17">
        <f t="shared" si="31"/>
        <v>1.52393832</v>
      </c>
      <c r="Q30" s="17">
        <f t="shared" si="31"/>
        <v>1.52393832</v>
      </c>
      <c r="R30" s="17">
        <f t="shared" si="31"/>
        <v>1.52393832</v>
      </c>
      <c r="S30" s="17">
        <f t="shared" si="31"/>
        <v>1.52393832</v>
      </c>
      <c r="T30" s="17"/>
      <c r="U30" s="17">
        <v>30.3525</v>
      </c>
      <c r="V30" s="17">
        <v>6.0705</v>
      </c>
      <c r="W30" s="17">
        <v>13.7533248</v>
      </c>
      <c r="X30" s="17">
        <v>13.7533248</v>
      </c>
      <c r="Y30" s="17">
        <v>13.7533248</v>
      </c>
      <c r="Z30" s="17">
        <v>13.7533248</v>
      </c>
      <c r="AA30" s="17">
        <f t="shared" si="3"/>
        <v>18.28725984</v>
      </c>
      <c r="AB30" s="17">
        <f t="shared" si="4"/>
        <v>109.72355904</v>
      </c>
      <c r="AC30" s="17">
        <f t="shared" si="5"/>
        <v>529.27644096</v>
      </c>
      <c r="AD30" s="16"/>
      <c r="AE30" s="17"/>
    </row>
    <row r="31" s="3" customFormat="1" ht="25" customHeight="1" spans="1:31">
      <c r="A31" s="15">
        <v>43395</v>
      </c>
      <c r="B31" s="13" t="s">
        <v>60</v>
      </c>
      <c r="C31" s="16">
        <v>1</v>
      </c>
      <c r="D31" s="18">
        <v>670</v>
      </c>
      <c r="E31" s="17">
        <v>670</v>
      </c>
      <c r="F31" s="17">
        <v>33.5</v>
      </c>
      <c r="G31" s="17">
        <f t="shared" si="1"/>
        <v>63.914784</v>
      </c>
      <c r="H31" s="17">
        <f t="shared" ref="H31:S31" si="32">$G$31/60</f>
        <v>1.0652464</v>
      </c>
      <c r="I31" s="17">
        <f t="shared" si="32"/>
        <v>1.0652464</v>
      </c>
      <c r="J31" s="17">
        <f t="shared" si="32"/>
        <v>1.0652464</v>
      </c>
      <c r="K31" s="17">
        <f t="shared" si="32"/>
        <v>1.0652464</v>
      </c>
      <c r="L31" s="17">
        <f t="shared" si="32"/>
        <v>1.0652464</v>
      </c>
      <c r="M31" s="17">
        <f t="shared" si="32"/>
        <v>1.0652464</v>
      </c>
      <c r="N31" s="17">
        <f t="shared" si="32"/>
        <v>1.0652464</v>
      </c>
      <c r="O31" s="17">
        <f t="shared" si="32"/>
        <v>1.0652464</v>
      </c>
      <c r="P31" s="17">
        <f t="shared" si="32"/>
        <v>1.0652464</v>
      </c>
      <c r="Q31" s="17">
        <f t="shared" si="32"/>
        <v>1.0652464</v>
      </c>
      <c r="R31" s="17">
        <f t="shared" si="32"/>
        <v>1.0652464</v>
      </c>
      <c r="S31" s="17">
        <f t="shared" si="32"/>
        <v>1.0652464</v>
      </c>
      <c r="T31" s="17"/>
      <c r="U31" s="17">
        <v>21.2166666666667</v>
      </c>
      <c r="V31" s="17">
        <v>4.24333333333333</v>
      </c>
      <c r="W31" s="17">
        <v>9.613696</v>
      </c>
      <c r="X31" s="17">
        <v>9.613696</v>
      </c>
      <c r="Y31" s="17">
        <v>9.613696</v>
      </c>
      <c r="Z31" s="17">
        <v>9.613696</v>
      </c>
      <c r="AA31" s="17">
        <f t="shared" si="3"/>
        <v>12.7829568</v>
      </c>
      <c r="AB31" s="17">
        <f t="shared" si="4"/>
        <v>76.6977408</v>
      </c>
      <c r="AC31" s="17">
        <f t="shared" si="5"/>
        <v>593.3022592</v>
      </c>
      <c r="AD31" s="16"/>
      <c r="AE31" s="17"/>
    </row>
    <row r="32" s="3" customFormat="1" ht="25" customHeight="1" spans="1:31">
      <c r="A32" s="15">
        <v>43396</v>
      </c>
      <c r="B32" s="13" t="s">
        <v>61</v>
      </c>
      <c r="C32" s="16">
        <v>2</v>
      </c>
      <c r="D32" s="18">
        <v>484</v>
      </c>
      <c r="E32" s="17">
        <v>968</v>
      </c>
      <c r="F32" s="17">
        <v>48.4</v>
      </c>
      <c r="G32" s="17">
        <f t="shared" si="1"/>
        <v>92.3425536</v>
      </c>
      <c r="H32" s="17">
        <f t="shared" ref="H32:S32" si="33">$G$32/60</f>
        <v>1.53904256</v>
      </c>
      <c r="I32" s="17">
        <f t="shared" si="33"/>
        <v>1.53904256</v>
      </c>
      <c r="J32" s="17">
        <f t="shared" si="33"/>
        <v>1.53904256</v>
      </c>
      <c r="K32" s="17">
        <f t="shared" si="33"/>
        <v>1.53904256</v>
      </c>
      <c r="L32" s="17">
        <f t="shared" si="33"/>
        <v>1.53904256</v>
      </c>
      <c r="M32" s="17">
        <f t="shared" si="33"/>
        <v>1.53904256</v>
      </c>
      <c r="N32" s="17">
        <f t="shared" si="33"/>
        <v>1.53904256</v>
      </c>
      <c r="O32" s="17">
        <f t="shared" si="33"/>
        <v>1.53904256</v>
      </c>
      <c r="P32" s="17">
        <f t="shared" si="33"/>
        <v>1.53904256</v>
      </c>
      <c r="Q32" s="17">
        <f t="shared" si="33"/>
        <v>1.53904256</v>
      </c>
      <c r="R32" s="17">
        <f t="shared" si="33"/>
        <v>1.53904256</v>
      </c>
      <c r="S32" s="17">
        <f t="shared" si="33"/>
        <v>1.53904256</v>
      </c>
      <c r="T32" s="17"/>
      <c r="U32" s="17">
        <v>30.6533333333333</v>
      </c>
      <c r="V32" s="17">
        <v>6.13066666666667</v>
      </c>
      <c r="W32" s="17">
        <v>13.8896384</v>
      </c>
      <c r="X32" s="17">
        <v>13.8896384</v>
      </c>
      <c r="Y32" s="17">
        <v>13.8896384</v>
      </c>
      <c r="Z32" s="17">
        <v>13.8896384</v>
      </c>
      <c r="AA32" s="17">
        <f t="shared" si="3"/>
        <v>18.46851072</v>
      </c>
      <c r="AB32" s="17">
        <f t="shared" si="4"/>
        <v>110.81106432</v>
      </c>
      <c r="AC32" s="17">
        <f t="shared" si="5"/>
        <v>857.18893568</v>
      </c>
      <c r="AD32" s="16"/>
      <c r="AE32" s="17"/>
    </row>
    <row r="33" s="3" customFormat="1" ht="25" customHeight="1" spans="1:31">
      <c r="A33" s="15">
        <v>43433</v>
      </c>
      <c r="B33" s="13" t="s">
        <v>62</v>
      </c>
      <c r="C33" s="16">
        <v>1</v>
      </c>
      <c r="D33" s="18">
        <v>788</v>
      </c>
      <c r="E33" s="17">
        <v>788</v>
      </c>
      <c r="F33" s="17">
        <v>39.4</v>
      </c>
      <c r="G33" s="17">
        <f t="shared" si="1"/>
        <v>37.5857088</v>
      </c>
      <c r="H33" s="17">
        <f t="shared" ref="H33:S33" si="34">$G$33/60</f>
        <v>0.626428480000001</v>
      </c>
      <c r="I33" s="17">
        <f t="shared" si="34"/>
        <v>0.626428480000001</v>
      </c>
      <c r="J33" s="17">
        <f t="shared" si="34"/>
        <v>0.626428480000001</v>
      </c>
      <c r="K33" s="17">
        <f t="shared" si="34"/>
        <v>0.626428480000001</v>
      </c>
      <c r="L33" s="17">
        <f t="shared" si="34"/>
        <v>0.626428480000001</v>
      </c>
      <c r="M33" s="17">
        <f t="shared" si="34"/>
        <v>0.626428480000001</v>
      </c>
      <c r="N33" s="17">
        <f t="shared" si="34"/>
        <v>0.626428480000001</v>
      </c>
      <c r="O33" s="17">
        <f t="shared" si="34"/>
        <v>0.626428480000001</v>
      </c>
      <c r="P33" s="17">
        <f t="shared" si="34"/>
        <v>0.626428480000001</v>
      </c>
      <c r="Q33" s="17">
        <f t="shared" si="34"/>
        <v>0.626428480000001</v>
      </c>
      <c r="R33" s="17">
        <f t="shared" si="34"/>
        <v>0.626428480000001</v>
      </c>
      <c r="S33" s="17">
        <f t="shared" si="34"/>
        <v>0.626428480000001</v>
      </c>
      <c r="T33" s="17"/>
      <c r="U33" s="17">
        <v>12.4766666666667</v>
      </c>
      <c r="V33" s="17">
        <v>2.49533333333333</v>
      </c>
      <c r="W33" s="17">
        <v>5.6534272</v>
      </c>
      <c r="X33" s="17">
        <v>5.6534272</v>
      </c>
      <c r="Y33" s="17">
        <v>5.6534272</v>
      </c>
      <c r="Z33" s="17">
        <v>5.6534272</v>
      </c>
      <c r="AA33" s="17">
        <f t="shared" si="3"/>
        <v>7.51714176000001</v>
      </c>
      <c r="AB33" s="17">
        <f t="shared" si="4"/>
        <v>45.10285056</v>
      </c>
      <c r="AC33" s="17">
        <f t="shared" si="5"/>
        <v>742.89714944</v>
      </c>
      <c r="AD33" s="16"/>
      <c r="AE33" s="17"/>
    </row>
    <row r="34" s="3" customFormat="1" ht="25" customHeight="1" spans="1:31">
      <c r="A34" s="15">
        <v>43433</v>
      </c>
      <c r="B34" s="13" t="s">
        <v>60</v>
      </c>
      <c r="C34" s="16">
        <v>1</v>
      </c>
      <c r="D34" s="18">
        <v>1080</v>
      </c>
      <c r="E34" s="17">
        <v>1080</v>
      </c>
      <c r="F34" s="17">
        <v>54</v>
      </c>
      <c r="G34" s="17">
        <f t="shared" si="1"/>
        <v>51.513408</v>
      </c>
      <c r="H34" s="17">
        <f t="shared" ref="H34:S34" si="35">$G$34/60</f>
        <v>0.8585568</v>
      </c>
      <c r="I34" s="17">
        <f t="shared" si="35"/>
        <v>0.8585568</v>
      </c>
      <c r="J34" s="17">
        <f t="shared" si="35"/>
        <v>0.8585568</v>
      </c>
      <c r="K34" s="17">
        <f t="shared" si="35"/>
        <v>0.8585568</v>
      </c>
      <c r="L34" s="17">
        <f t="shared" si="35"/>
        <v>0.8585568</v>
      </c>
      <c r="M34" s="17">
        <f t="shared" si="35"/>
        <v>0.8585568</v>
      </c>
      <c r="N34" s="17">
        <f t="shared" si="35"/>
        <v>0.8585568</v>
      </c>
      <c r="O34" s="17">
        <f t="shared" si="35"/>
        <v>0.8585568</v>
      </c>
      <c r="P34" s="17">
        <f t="shared" si="35"/>
        <v>0.8585568</v>
      </c>
      <c r="Q34" s="17">
        <f t="shared" si="35"/>
        <v>0.8585568</v>
      </c>
      <c r="R34" s="17">
        <f t="shared" si="35"/>
        <v>0.8585568</v>
      </c>
      <c r="S34" s="17">
        <f t="shared" si="35"/>
        <v>0.8585568</v>
      </c>
      <c r="T34" s="17"/>
      <c r="U34" s="17">
        <v>17.1</v>
      </c>
      <c r="V34" s="17">
        <v>3.42</v>
      </c>
      <c r="W34" s="17">
        <v>7.748352</v>
      </c>
      <c r="X34" s="17">
        <v>7.748352</v>
      </c>
      <c r="Y34" s="17">
        <v>7.748352</v>
      </c>
      <c r="Z34" s="17">
        <v>7.748352</v>
      </c>
      <c r="AA34" s="17">
        <f t="shared" si="3"/>
        <v>10.3026816</v>
      </c>
      <c r="AB34" s="17">
        <f t="shared" si="4"/>
        <v>61.8160896</v>
      </c>
      <c r="AC34" s="17">
        <f t="shared" si="5"/>
        <v>1018.1839104</v>
      </c>
      <c r="AD34" s="16"/>
      <c r="AE34" s="17"/>
    </row>
    <row r="35" s="3" customFormat="1" ht="25" customHeight="1" spans="1:31">
      <c r="A35" s="15">
        <v>43433</v>
      </c>
      <c r="B35" s="13" t="s">
        <v>45</v>
      </c>
      <c r="C35" s="16">
        <v>2</v>
      </c>
      <c r="D35" s="18">
        <v>770</v>
      </c>
      <c r="E35" s="17">
        <v>1540</v>
      </c>
      <c r="F35" s="17">
        <v>77</v>
      </c>
      <c r="G35" s="17">
        <f t="shared" si="1"/>
        <v>803.591666666667</v>
      </c>
      <c r="H35" s="17">
        <v>13.19</v>
      </c>
      <c r="I35" s="17">
        <v>13.19</v>
      </c>
      <c r="J35" s="17">
        <v>13.19</v>
      </c>
      <c r="K35" s="17">
        <v>13.19</v>
      </c>
      <c r="L35" s="17">
        <v>13.19</v>
      </c>
      <c r="M35" s="17">
        <v>13.19</v>
      </c>
      <c r="N35" s="17">
        <v>13.19</v>
      </c>
      <c r="O35" s="17">
        <v>13.19</v>
      </c>
      <c r="P35" s="17">
        <v>13.19</v>
      </c>
      <c r="Q35" s="17">
        <v>13.19</v>
      </c>
      <c r="R35" s="17">
        <v>13.19</v>
      </c>
      <c r="S35" s="17">
        <v>13.19</v>
      </c>
      <c r="T35" s="17"/>
      <c r="U35" s="17">
        <v>12.1916666666667</v>
      </c>
      <c r="V35" s="17">
        <v>158.28</v>
      </c>
      <c r="W35" s="17">
        <v>158.28</v>
      </c>
      <c r="X35" s="17">
        <v>158.28</v>
      </c>
      <c r="Y35" s="17">
        <v>158.28</v>
      </c>
      <c r="Z35" s="17">
        <v>158.28</v>
      </c>
      <c r="AA35" s="17">
        <f t="shared" si="3"/>
        <v>158.28</v>
      </c>
      <c r="AB35" s="17">
        <f t="shared" si="4"/>
        <v>961.871666666667</v>
      </c>
      <c r="AC35" s="17">
        <f t="shared" si="5"/>
        <v>578.128333333333</v>
      </c>
      <c r="AD35" s="16"/>
      <c r="AE35" s="17"/>
    </row>
    <row r="36" s="3" customFormat="1" ht="31" customHeight="1" spans="1:31">
      <c r="A36" s="15">
        <v>43433</v>
      </c>
      <c r="B36" s="13" t="s">
        <v>63</v>
      </c>
      <c r="C36" s="16">
        <v>1</v>
      </c>
      <c r="D36" s="18">
        <v>1574.07</v>
      </c>
      <c r="E36" s="17">
        <v>1574.07</v>
      </c>
      <c r="F36" s="17">
        <v>78.7035</v>
      </c>
      <c r="G36" s="17">
        <f t="shared" ref="G36:G63" si="36">SUM(T36:Z36)</f>
        <v>1755.21815458333</v>
      </c>
      <c r="H36" s="17">
        <v>29.32</v>
      </c>
      <c r="I36" s="17">
        <v>29.32</v>
      </c>
      <c r="J36" s="17">
        <v>29.32</v>
      </c>
      <c r="K36" s="17">
        <v>29.32</v>
      </c>
      <c r="L36" s="17">
        <v>29.32</v>
      </c>
      <c r="M36" s="17">
        <v>29.32</v>
      </c>
      <c r="N36" s="17">
        <v>29.32</v>
      </c>
      <c r="O36" s="17">
        <v>29.32</v>
      </c>
      <c r="P36" s="17">
        <v>29.32</v>
      </c>
      <c r="Q36" s="17">
        <v>29.32</v>
      </c>
      <c r="R36" s="17">
        <v>29.32</v>
      </c>
      <c r="S36" s="17">
        <v>29.32</v>
      </c>
      <c r="T36" s="17"/>
      <c r="U36" s="17">
        <v>24.922775</v>
      </c>
      <c r="V36" s="17">
        <v>322.935379583333</v>
      </c>
      <c r="W36" s="17">
        <v>351.84</v>
      </c>
      <c r="X36" s="17">
        <v>351.84</v>
      </c>
      <c r="Y36" s="17">
        <v>351.84</v>
      </c>
      <c r="Z36" s="17">
        <v>351.84</v>
      </c>
      <c r="AA36" s="17">
        <f t="shared" ref="AA36:AA63" si="37">SUM(H36:S36)</f>
        <v>351.84</v>
      </c>
      <c r="AB36" s="17">
        <f t="shared" ref="AB36:AB70" si="38">SUM(T36:AA36)</f>
        <v>2107.05815458333</v>
      </c>
      <c r="AC36" s="17">
        <f t="shared" ref="AC36:AC70" si="39">SUM(E36-AB36)</f>
        <v>-532.988154583333</v>
      </c>
      <c r="AD36" s="16"/>
      <c r="AE36" s="17"/>
    </row>
    <row r="37" s="3" customFormat="1" ht="31" customHeight="1" spans="1:31">
      <c r="A37" s="15">
        <v>43433</v>
      </c>
      <c r="B37" s="13" t="s">
        <v>64</v>
      </c>
      <c r="C37" s="16">
        <v>1</v>
      </c>
      <c r="D37" s="18">
        <v>1851.85</v>
      </c>
      <c r="E37" s="17">
        <v>1851.85</v>
      </c>
      <c r="F37" s="17">
        <v>92.5925</v>
      </c>
      <c r="G37" s="17">
        <f t="shared" si="36"/>
        <v>1759.68964097222</v>
      </c>
      <c r="H37" s="17">
        <v>29.32</v>
      </c>
      <c r="I37" s="17">
        <v>29.32</v>
      </c>
      <c r="J37" s="17">
        <v>29.32</v>
      </c>
      <c r="K37" s="17">
        <v>29.32</v>
      </c>
      <c r="L37" s="17">
        <v>29.32</v>
      </c>
      <c r="M37" s="17">
        <v>29.32</v>
      </c>
      <c r="N37" s="17">
        <v>29.32</v>
      </c>
      <c r="O37" s="17">
        <v>29.32</v>
      </c>
      <c r="P37" s="17">
        <v>29.32</v>
      </c>
      <c r="Q37" s="17">
        <v>29.32</v>
      </c>
      <c r="R37" s="17">
        <v>29.32</v>
      </c>
      <c r="S37" s="17">
        <v>29.32</v>
      </c>
      <c r="T37" s="17"/>
      <c r="U37" s="17">
        <v>29.3209583333333</v>
      </c>
      <c r="V37" s="17">
        <v>323.008682638889</v>
      </c>
      <c r="W37" s="17">
        <v>351.84</v>
      </c>
      <c r="X37" s="17">
        <v>351.84</v>
      </c>
      <c r="Y37" s="17">
        <v>351.84</v>
      </c>
      <c r="Z37" s="17">
        <v>351.84</v>
      </c>
      <c r="AA37" s="17">
        <f t="shared" si="37"/>
        <v>351.84</v>
      </c>
      <c r="AB37" s="17">
        <f t="shared" si="38"/>
        <v>2111.52964097222</v>
      </c>
      <c r="AC37" s="17">
        <f t="shared" si="39"/>
        <v>-259.679640972222</v>
      </c>
      <c r="AD37" s="16"/>
      <c r="AE37" s="17"/>
    </row>
    <row r="38" s="3" customFormat="1" ht="25" customHeight="1" spans="1:31">
      <c r="A38" s="15">
        <v>43446</v>
      </c>
      <c r="B38" s="13" t="s">
        <v>65</v>
      </c>
      <c r="C38" s="16">
        <v>2</v>
      </c>
      <c r="D38" s="18">
        <v>1799</v>
      </c>
      <c r="E38" s="17">
        <v>3598</v>
      </c>
      <c r="F38" s="17">
        <v>179.9</v>
      </c>
      <c r="G38" s="17">
        <f t="shared" si="36"/>
        <v>1716.159648</v>
      </c>
      <c r="H38" s="17">
        <f t="shared" ref="H38:S38" si="40">$G$38/60</f>
        <v>28.6026608</v>
      </c>
      <c r="I38" s="17">
        <f t="shared" si="40"/>
        <v>28.6026608</v>
      </c>
      <c r="J38" s="17">
        <f t="shared" si="40"/>
        <v>28.6026608</v>
      </c>
      <c r="K38" s="17">
        <f t="shared" si="40"/>
        <v>28.6026608</v>
      </c>
      <c r="L38" s="17">
        <f t="shared" si="40"/>
        <v>28.6026608</v>
      </c>
      <c r="M38" s="17">
        <f t="shared" si="40"/>
        <v>28.6026608</v>
      </c>
      <c r="N38" s="17">
        <f t="shared" si="40"/>
        <v>28.6026608</v>
      </c>
      <c r="O38" s="17">
        <f t="shared" si="40"/>
        <v>28.6026608</v>
      </c>
      <c r="P38" s="17">
        <f t="shared" si="40"/>
        <v>28.6026608</v>
      </c>
      <c r="Q38" s="17">
        <f t="shared" si="40"/>
        <v>28.6026608</v>
      </c>
      <c r="R38" s="17">
        <f t="shared" si="40"/>
        <v>28.6026608</v>
      </c>
      <c r="S38" s="17">
        <f t="shared" si="40"/>
        <v>28.6026608</v>
      </c>
      <c r="T38" s="17"/>
      <c r="U38" s="17"/>
      <c r="V38" s="17">
        <v>683.62</v>
      </c>
      <c r="W38" s="17">
        <v>258.134912</v>
      </c>
      <c r="X38" s="17">
        <v>258.134912</v>
      </c>
      <c r="Y38" s="17">
        <v>258.134912</v>
      </c>
      <c r="Z38" s="17">
        <v>258.134912</v>
      </c>
      <c r="AA38" s="17">
        <f t="shared" si="37"/>
        <v>343.2319296</v>
      </c>
      <c r="AB38" s="17">
        <f t="shared" si="38"/>
        <v>2059.3915776</v>
      </c>
      <c r="AC38" s="17">
        <f t="shared" si="39"/>
        <v>1538.6084224</v>
      </c>
      <c r="AD38" s="16"/>
      <c r="AE38" s="17"/>
    </row>
    <row r="39" s="3" customFormat="1" ht="25" customHeight="1" spans="1:31">
      <c r="A39" s="15">
        <v>43557</v>
      </c>
      <c r="B39" s="13" t="s">
        <v>66</v>
      </c>
      <c r="C39" s="16">
        <v>1</v>
      </c>
      <c r="D39" s="18">
        <v>1979</v>
      </c>
      <c r="E39" s="17">
        <v>1979</v>
      </c>
      <c r="F39" s="17">
        <v>98.95</v>
      </c>
      <c r="G39" s="17">
        <f t="shared" si="36"/>
        <v>550.629044000001</v>
      </c>
      <c r="H39" s="17">
        <f t="shared" ref="H39:S39" si="41">$G$39/60</f>
        <v>9.17715073333334</v>
      </c>
      <c r="I39" s="17">
        <f t="shared" si="41"/>
        <v>9.17715073333334</v>
      </c>
      <c r="J39" s="17">
        <f t="shared" si="41"/>
        <v>9.17715073333334</v>
      </c>
      <c r="K39" s="17">
        <f t="shared" si="41"/>
        <v>9.17715073333334</v>
      </c>
      <c r="L39" s="17">
        <f t="shared" si="41"/>
        <v>9.17715073333334</v>
      </c>
      <c r="M39" s="17">
        <f t="shared" si="41"/>
        <v>9.17715073333334</v>
      </c>
      <c r="N39" s="17">
        <f t="shared" si="41"/>
        <v>9.17715073333334</v>
      </c>
      <c r="O39" s="17">
        <f t="shared" si="41"/>
        <v>9.17715073333334</v>
      </c>
      <c r="P39" s="17">
        <f t="shared" si="41"/>
        <v>9.17715073333334</v>
      </c>
      <c r="Q39" s="17">
        <f t="shared" si="41"/>
        <v>9.17715073333334</v>
      </c>
      <c r="R39" s="17">
        <f t="shared" si="41"/>
        <v>9.17715073333334</v>
      </c>
      <c r="S39" s="17">
        <f t="shared" si="41"/>
        <v>9.17715073333334</v>
      </c>
      <c r="T39" s="17"/>
      <c r="U39" s="17"/>
      <c r="V39" s="17">
        <v>219.339166666667</v>
      </c>
      <c r="W39" s="17">
        <v>82.8224693333334</v>
      </c>
      <c r="X39" s="17">
        <v>82.8224693333334</v>
      </c>
      <c r="Y39" s="17">
        <v>82.8224693333334</v>
      </c>
      <c r="Z39" s="17">
        <v>82.8224693333334</v>
      </c>
      <c r="AA39" s="17">
        <f t="shared" si="37"/>
        <v>110.1258088</v>
      </c>
      <c r="AB39" s="17">
        <f t="shared" si="38"/>
        <v>660.754852800001</v>
      </c>
      <c r="AC39" s="17">
        <f t="shared" si="39"/>
        <v>1318.2451472</v>
      </c>
      <c r="AD39" s="16"/>
      <c r="AE39" s="17"/>
    </row>
    <row r="40" s="3" customFormat="1" ht="25" customHeight="1" spans="1:31">
      <c r="A40" s="15">
        <v>43577</v>
      </c>
      <c r="B40" s="13" t="s">
        <v>67</v>
      </c>
      <c r="C40" s="16">
        <v>1</v>
      </c>
      <c r="D40" s="18">
        <v>1300</v>
      </c>
      <c r="E40" s="17">
        <v>1300</v>
      </c>
      <c r="F40" s="17">
        <v>65</v>
      </c>
      <c r="G40" s="17">
        <f t="shared" si="36"/>
        <v>361.706799999999</v>
      </c>
      <c r="H40" s="17">
        <f t="shared" ref="H40:S40" si="42">$G$40/60</f>
        <v>6.02844666666666</v>
      </c>
      <c r="I40" s="17">
        <f t="shared" si="42"/>
        <v>6.02844666666666</v>
      </c>
      <c r="J40" s="17">
        <f t="shared" si="42"/>
        <v>6.02844666666666</v>
      </c>
      <c r="K40" s="17">
        <f t="shared" si="42"/>
        <v>6.02844666666666</v>
      </c>
      <c r="L40" s="17">
        <f t="shared" si="42"/>
        <v>6.02844666666666</v>
      </c>
      <c r="M40" s="17">
        <f t="shared" si="42"/>
        <v>6.02844666666666</v>
      </c>
      <c r="N40" s="17">
        <f t="shared" si="42"/>
        <v>6.02844666666666</v>
      </c>
      <c r="O40" s="17">
        <f t="shared" si="42"/>
        <v>6.02844666666666</v>
      </c>
      <c r="P40" s="17">
        <f t="shared" si="42"/>
        <v>6.02844666666666</v>
      </c>
      <c r="Q40" s="17">
        <f t="shared" si="42"/>
        <v>6.02844666666666</v>
      </c>
      <c r="R40" s="17">
        <f t="shared" si="42"/>
        <v>6.02844666666666</v>
      </c>
      <c r="S40" s="17">
        <f t="shared" si="42"/>
        <v>6.02844666666666</v>
      </c>
      <c r="T40" s="17"/>
      <c r="U40" s="17"/>
      <c r="V40" s="17">
        <v>144.083333333333</v>
      </c>
      <c r="W40" s="17">
        <v>54.4058666666666</v>
      </c>
      <c r="X40" s="17">
        <v>54.4058666666666</v>
      </c>
      <c r="Y40" s="17">
        <v>54.4058666666666</v>
      </c>
      <c r="Z40" s="17">
        <v>54.4058666666666</v>
      </c>
      <c r="AA40" s="17">
        <f t="shared" si="37"/>
        <v>72.3413599999999</v>
      </c>
      <c r="AB40" s="17">
        <f t="shared" si="38"/>
        <v>434.048159999999</v>
      </c>
      <c r="AC40" s="17">
        <f t="shared" si="39"/>
        <v>865.951840000001</v>
      </c>
      <c r="AD40" s="16"/>
      <c r="AE40" s="17"/>
    </row>
    <row r="41" s="3" customFormat="1" ht="25" customHeight="1" spans="1:31">
      <c r="A41" s="15">
        <v>43635</v>
      </c>
      <c r="B41" s="13" t="s">
        <v>68</v>
      </c>
      <c r="C41" s="16">
        <v>3</v>
      </c>
      <c r="D41" s="18">
        <v>1200</v>
      </c>
      <c r="E41" s="17">
        <v>3600</v>
      </c>
      <c r="F41" s="17">
        <v>180</v>
      </c>
      <c r="G41" s="17">
        <f t="shared" si="36"/>
        <v>259.474944</v>
      </c>
      <c r="H41" s="17">
        <f t="shared" ref="H41:S41" si="43">$G$41/60</f>
        <v>4.3245824</v>
      </c>
      <c r="I41" s="17">
        <f t="shared" si="43"/>
        <v>4.3245824</v>
      </c>
      <c r="J41" s="17">
        <f t="shared" si="43"/>
        <v>4.3245824</v>
      </c>
      <c r="K41" s="17">
        <f t="shared" si="43"/>
        <v>4.3245824</v>
      </c>
      <c r="L41" s="17">
        <f t="shared" si="43"/>
        <v>4.3245824</v>
      </c>
      <c r="M41" s="17">
        <f t="shared" si="43"/>
        <v>4.3245824</v>
      </c>
      <c r="N41" s="17">
        <f t="shared" si="43"/>
        <v>4.3245824</v>
      </c>
      <c r="O41" s="17">
        <f t="shared" si="43"/>
        <v>4.3245824</v>
      </c>
      <c r="P41" s="17">
        <f t="shared" si="43"/>
        <v>4.3245824</v>
      </c>
      <c r="Q41" s="17">
        <f t="shared" si="43"/>
        <v>4.3245824</v>
      </c>
      <c r="R41" s="17">
        <f t="shared" si="43"/>
        <v>4.3245824</v>
      </c>
      <c r="S41" s="17">
        <f t="shared" si="43"/>
        <v>4.3245824</v>
      </c>
      <c r="T41" s="17"/>
      <c r="U41" s="17"/>
      <c r="V41" s="17">
        <v>103.36</v>
      </c>
      <c r="W41" s="17">
        <v>39.028736</v>
      </c>
      <c r="X41" s="17">
        <v>39.028736</v>
      </c>
      <c r="Y41" s="17">
        <v>39.028736</v>
      </c>
      <c r="Z41" s="17">
        <v>39.028736</v>
      </c>
      <c r="AA41" s="17">
        <f t="shared" si="37"/>
        <v>51.8949888</v>
      </c>
      <c r="AB41" s="17">
        <f t="shared" si="38"/>
        <v>311.3699328</v>
      </c>
      <c r="AC41" s="17">
        <f t="shared" si="39"/>
        <v>3288.6300672</v>
      </c>
      <c r="AD41" s="16"/>
      <c r="AE41" s="17"/>
    </row>
    <row r="42" s="3" customFormat="1" ht="25" customHeight="1" spans="1:31">
      <c r="A42" s="15">
        <v>43648</v>
      </c>
      <c r="B42" s="13" t="s">
        <v>69</v>
      </c>
      <c r="C42" s="16">
        <v>3</v>
      </c>
      <c r="D42" s="18">
        <v>3166.66</v>
      </c>
      <c r="E42" s="17">
        <v>9499.98</v>
      </c>
      <c r="F42" s="17">
        <v>474.999</v>
      </c>
      <c r="G42" s="17">
        <f t="shared" si="36"/>
        <v>715.464</v>
      </c>
      <c r="H42" s="17">
        <f t="shared" ref="H42:S42" si="44">$G$42/60</f>
        <v>11.9244</v>
      </c>
      <c r="I42" s="17">
        <f t="shared" si="44"/>
        <v>11.9244</v>
      </c>
      <c r="J42" s="17">
        <f t="shared" si="44"/>
        <v>11.9244</v>
      </c>
      <c r="K42" s="17">
        <f t="shared" si="44"/>
        <v>11.9244</v>
      </c>
      <c r="L42" s="17">
        <f t="shared" si="44"/>
        <v>11.9244</v>
      </c>
      <c r="M42" s="17">
        <f t="shared" si="44"/>
        <v>11.9244</v>
      </c>
      <c r="N42" s="17">
        <f t="shared" si="44"/>
        <v>11.9244</v>
      </c>
      <c r="O42" s="17">
        <f t="shared" si="44"/>
        <v>11.9244</v>
      </c>
      <c r="P42" s="17">
        <f t="shared" si="44"/>
        <v>11.9244</v>
      </c>
      <c r="Q42" s="17">
        <f t="shared" si="44"/>
        <v>11.9244</v>
      </c>
      <c r="R42" s="17">
        <f t="shared" si="44"/>
        <v>11.9244</v>
      </c>
      <c r="S42" s="17">
        <f t="shared" si="44"/>
        <v>11.9244</v>
      </c>
      <c r="T42" s="17"/>
      <c r="U42" s="17"/>
      <c r="V42" s="17">
        <v>285</v>
      </c>
      <c r="W42" s="17">
        <v>107.616</v>
      </c>
      <c r="X42" s="17">
        <v>107.616</v>
      </c>
      <c r="Y42" s="17">
        <v>107.616</v>
      </c>
      <c r="Z42" s="17">
        <v>107.616</v>
      </c>
      <c r="AA42" s="17">
        <f t="shared" si="37"/>
        <v>143.0928</v>
      </c>
      <c r="AB42" s="17">
        <f t="shared" si="38"/>
        <v>858.5568</v>
      </c>
      <c r="AC42" s="17">
        <f t="shared" si="39"/>
        <v>8641.4232</v>
      </c>
      <c r="AD42" s="16"/>
      <c r="AE42" s="17"/>
    </row>
    <row r="43" s="3" customFormat="1" ht="25" customHeight="1" spans="1:31">
      <c r="A43" s="15">
        <v>43943</v>
      </c>
      <c r="B43" s="19" t="s">
        <v>70</v>
      </c>
      <c r="C43" s="16">
        <v>1</v>
      </c>
      <c r="D43" s="20">
        <v>4850</v>
      </c>
      <c r="E43" s="17">
        <v>4850</v>
      </c>
      <c r="F43" s="17">
        <v>242.5</v>
      </c>
      <c r="G43" s="17">
        <f t="shared" si="36"/>
        <v>117.952</v>
      </c>
      <c r="H43" s="17">
        <f t="shared" ref="H43:S43" si="45">$G$43/60</f>
        <v>1.96586666666667</v>
      </c>
      <c r="I43" s="17">
        <f t="shared" si="45"/>
        <v>1.96586666666667</v>
      </c>
      <c r="J43" s="17">
        <f t="shared" si="45"/>
        <v>1.96586666666667</v>
      </c>
      <c r="K43" s="17">
        <f t="shared" si="45"/>
        <v>1.96586666666667</v>
      </c>
      <c r="L43" s="17">
        <f t="shared" si="45"/>
        <v>1.96586666666667</v>
      </c>
      <c r="M43" s="17">
        <f t="shared" si="45"/>
        <v>1.96586666666667</v>
      </c>
      <c r="N43" s="17">
        <f t="shared" si="45"/>
        <v>1.96586666666667</v>
      </c>
      <c r="O43" s="17">
        <f t="shared" si="45"/>
        <v>1.96586666666667</v>
      </c>
      <c r="P43" s="17">
        <f t="shared" si="45"/>
        <v>1.96586666666667</v>
      </c>
      <c r="Q43" s="17">
        <f t="shared" si="45"/>
        <v>1.96586666666667</v>
      </c>
      <c r="R43" s="17">
        <f t="shared" si="45"/>
        <v>1.96586666666667</v>
      </c>
      <c r="S43" s="17">
        <f t="shared" si="45"/>
        <v>1.96586666666667</v>
      </c>
      <c r="T43" s="17"/>
      <c r="U43" s="17"/>
      <c r="V43" s="17"/>
      <c r="W43" s="17">
        <v>29.488</v>
      </c>
      <c r="X43" s="17">
        <v>29.488</v>
      </c>
      <c r="Y43" s="17">
        <v>29.488</v>
      </c>
      <c r="Z43" s="17">
        <v>29.488</v>
      </c>
      <c r="AA43" s="17">
        <f t="shared" si="37"/>
        <v>23.5904</v>
      </c>
      <c r="AB43" s="17">
        <f t="shared" si="38"/>
        <v>141.5424</v>
      </c>
      <c r="AC43" s="17">
        <f t="shared" si="39"/>
        <v>4708.4576</v>
      </c>
      <c r="AD43" s="16"/>
      <c r="AE43" s="17"/>
    </row>
    <row r="44" s="3" customFormat="1" ht="25" customHeight="1" spans="1:31">
      <c r="A44" s="15">
        <v>43969</v>
      </c>
      <c r="B44" s="13" t="s">
        <v>71</v>
      </c>
      <c r="C44" s="16">
        <v>1</v>
      </c>
      <c r="D44" s="18">
        <v>324800</v>
      </c>
      <c r="E44" s="17">
        <v>324800</v>
      </c>
      <c r="F44" s="17">
        <v>16240</v>
      </c>
      <c r="G44" s="17">
        <f t="shared" si="36"/>
        <v>67965.4826666667</v>
      </c>
      <c r="H44" s="17">
        <f t="shared" ref="H44:S44" si="46">$G$44/60</f>
        <v>1132.75804444445</v>
      </c>
      <c r="I44" s="17">
        <f t="shared" si="46"/>
        <v>1132.75804444445</v>
      </c>
      <c r="J44" s="17">
        <f t="shared" si="46"/>
        <v>1132.75804444445</v>
      </c>
      <c r="K44" s="17">
        <f t="shared" si="46"/>
        <v>1132.75804444445</v>
      </c>
      <c r="L44" s="17">
        <f t="shared" si="46"/>
        <v>1132.75804444445</v>
      </c>
      <c r="M44" s="17">
        <f t="shared" si="46"/>
        <v>1132.75804444445</v>
      </c>
      <c r="N44" s="17">
        <f t="shared" si="46"/>
        <v>1132.75804444445</v>
      </c>
      <c r="O44" s="17">
        <f t="shared" si="46"/>
        <v>1132.75804444445</v>
      </c>
      <c r="P44" s="17">
        <f t="shared" si="46"/>
        <v>1132.75804444445</v>
      </c>
      <c r="Q44" s="17">
        <f t="shared" si="46"/>
        <v>1132.75804444445</v>
      </c>
      <c r="R44" s="17">
        <f t="shared" si="46"/>
        <v>1132.75804444445</v>
      </c>
      <c r="S44" s="17">
        <f t="shared" si="46"/>
        <v>1132.75804444445</v>
      </c>
      <c r="T44" s="17"/>
      <c r="U44" s="17"/>
      <c r="V44" s="17"/>
      <c r="W44" s="17">
        <v>35998.6666666667</v>
      </c>
      <c r="X44" s="17">
        <v>10655.6053333333</v>
      </c>
      <c r="Y44" s="17">
        <v>10655.6053333333</v>
      </c>
      <c r="Z44" s="17">
        <v>10655.6053333333</v>
      </c>
      <c r="AA44" s="17">
        <f t="shared" si="37"/>
        <v>13593.0965333334</v>
      </c>
      <c r="AB44" s="17">
        <f t="shared" si="38"/>
        <v>81558.5792</v>
      </c>
      <c r="AC44" s="17">
        <f t="shared" si="39"/>
        <v>243241.4208</v>
      </c>
      <c r="AD44" s="17"/>
      <c r="AE44" s="16"/>
    </row>
    <row r="45" s="3" customFormat="1" ht="25" customHeight="1" spans="1:31">
      <c r="A45" s="15">
        <v>44004</v>
      </c>
      <c r="B45" s="13" t="s">
        <v>72</v>
      </c>
      <c r="C45" s="16">
        <v>3</v>
      </c>
      <c r="D45" s="18">
        <v>2049</v>
      </c>
      <c r="E45" s="17">
        <v>6147</v>
      </c>
      <c r="F45" s="17">
        <v>307.35</v>
      </c>
      <c r="G45" s="17">
        <f t="shared" si="36"/>
        <v>112.12128</v>
      </c>
      <c r="H45" s="17">
        <f t="shared" ref="H45:S45" si="47">$G$45/60</f>
        <v>1.868688</v>
      </c>
      <c r="I45" s="17">
        <f t="shared" si="47"/>
        <v>1.868688</v>
      </c>
      <c r="J45" s="17">
        <f t="shared" si="47"/>
        <v>1.868688</v>
      </c>
      <c r="K45" s="17">
        <f t="shared" si="47"/>
        <v>1.868688</v>
      </c>
      <c r="L45" s="17">
        <f t="shared" si="47"/>
        <v>1.868688</v>
      </c>
      <c r="M45" s="17">
        <f t="shared" si="47"/>
        <v>1.868688</v>
      </c>
      <c r="N45" s="17">
        <f t="shared" si="47"/>
        <v>1.868688</v>
      </c>
      <c r="O45" s="17">
        <f t="shared" si="47"/>
        <v>1.868688</v>
      </c>
      <c r="P45" s="17">
        <f t="shared" si="47"/>
        <v>1.868688</v>
      </c>
      <c r="Q45" s="17">
        <f t="shared" si="47"/>
        <v>1.868688</v>
      </c>
      <c r="R45" s="17">
        <f t="shared" si="47"/>
        <v>1.868688</v>
      </c>
      <c r="S45" s="17">
        <f t="shared" si="47"/>
        <v>1.868688</v>
      </c>
      <c r="T45" s="17"/>
      <c r="U45" s="17"/>
      <c r="V45" s="17"/>
      <c r="W45" s="17">
        <v>28.03032</v>
      </c>
      <c r="X45" s="17">
        <v>28.03032</v>
      </c>
      <c r="Y45" s="17">
        <v>28.03032</v>
      </c>
      <c r="Z45" s="17">
        <v>28.03032</v>
      </c>
      <c r="AA45" s="17">
        <f t="shared" si="37"/>
        <v>22.424256</v>
      </c>
      <c r="AB45" s="17">
        <f t="shared" si="38"/>
        <v>134.545536</v>
      </c>
      <c r="AC45" s="17">
        <f t="shared" si="39"/>
        <v>6012.454464</v>
      </c>
      <c r="AD45" s="16"/>
      <c r="AE45" s="17"/>
    </row>
    <row r="46" s="3" customFormat="1" ht="25" customHeight="1" spans="1:31">
      <c r="A46" s="15">
        <v>44068</v>
      </c>
      <c r="B46" s="13" t="s">
        <v>49</v>
      </c>
      <c r="C46" s="16">
        <v>1</v>
      </c>
      <c r="D46" s="18">
        <v>4660</v>
      </c>
      <c r="E46" s="17">
        <v>4660</v>
      </c>
      <c r="F46" s="17">
        <v>233</v>
      </c>
      <c r="G46" s="17">
        <f t="shared" si="36"/>
        <v>56.6655999999998</v>
      </c>
      <c r="H46" s="17">
        <f t="shared" ref="H46:S46" si="48">$G$46/60</f>
        <v>0.944426666666664</v>
      </c>
      <c r="I46" s="17">
        <f t="shared" si="48"/>
        <v>0.944426666666664</v>
      </c>
      <c r="J46" s="17">
        <f t="shared" si="48"/>
        <v>0.944426666666664</v>
      </c>
      <c r="K46" s="17">
        <f t="shared" si="48"/>
        <v>0.944426666666664</v>
      </c>
      <c r="L46" s="17">
        <f t="shared" si="48"/>
        <v>0.944426666666664</v>
      </c>
      <c r="M46" s="17">
        <f t="shared" si="48"/>
        <v>0.944426666666664</v>
      </c>
      <c r="N46" s="17">
        <f t="shared" si="48"/>
        <v>0.944426666666664</v>
      </c>
      <c r="O46" s="17">
        <f t="shared" si="48"/>
        <v>0.944426666666664</v>
      </c>
      <c r="P46" s="17">
        <f t="shared" si="48"/>
        <v>0.944426666666664</v>
      </c>
      <c r="Q46" s="17">
        <f t="shared" si="48"/>
        <v>0.944426666666664</v>
      </c>
      <c r="R46" s="17">
        <f t="shared" si="48"/>
        <v>0.944426666666664</v>
      </c>
      <c r="S46" s="17">
        <f t="shared" si="48"/>
        <v>0.944426666666664</v>
      </c>
      <c r="T46" s="17"/>
      <c r="U46" s="17"/>
      <c r="V46" s="17"/>
      <c r="W46" s="17">
        <v>14.1664</v>
      </c>
      <c r="X46" s="17">
        <v>14.1664</v>
      </c>
      <c r="Y46" s="17">
        <v>14.1664</v>
      </c>
      <c r="Z46" s="17">
        <v>14.1664</v>
      </c>
      <c r="AA46" s="17">
        <f t="shared" si="37"/>
        <v>11.33312</v>
      </c>
      <c r="AB46" s="17">
        <f t="shared" si="38"/>
        <v>67.99872</v>
      </c>
      <c r="AC46" s="17">
        <f t="shared" si="39"/>
        <v>4592.00128</v>
      </c>
      <c r="AD46" s="16"/>
      <c r="AE46" s="17"/>
    </row>
    <row r="47" s="3" customFormat="1" ht="25" customHeight="1" spans="1:31">
      <c r="A47" s="15">
        <v>44082</v>
      </c>
      <c r="B47" s="13" t="s">
        <v>73</v>
      </c>
      <c r="C47" s="16">
        <v>1</v>
      </c>
      <c r="D47" s="18">
        <v>4738</v>
      </c>
      <c r="E47" s="17">
        <v>4738</v>
      </c>
      <c r="F47" s="17">
        <v>236.9</v>
      </c>
      <c r="G47" s="17">
        <f t="shared" si="36"/>
        <v>28.80704</v>
      </c>
      <c r="H47" s="17">
        <f t="shared" ref="H47:S47" si="49">$G$47/60</f>
        <v>0.480117333333333</v>
      </c>
      <c r="I47" s="17">
        <f t="shared" si="49"/>
        <v>0.480117333333333</v>
      </c>
      <c r="J47" s="17">
        <f t="shared" si="49"/>
        <v>0.480117333333333</v>
      </c>
      <c r="K47" s="17">
        <f t="shared" si="49"/>
        <v>0.480117333333333</v>
      </c>
      <c r="L47" s="17">
        <f t="shared" si="49"/>
        <v>0.480117333333333</v>
      </c>
      <c r="M47" s="17">
        <f t="shared" si="49"/>
        <v>0.480117333333333</v>
      </c>
      <c r="N47" s="17">
        <f t="shared" si="49"/>
        <v>0.480117333333333</v>
      </c>
      <c r="O47" s="17">
        <f t="shared" si="49"/>
        <v>0.480117333333333</v>
      </c>
      <c r="P47" s="17">
        <f t="shared" si="49"/>
        <v>0.480117333333333</v>
      </c>
      <c r="Q47" s="17">
        <f t="shared" si="49"/>
        <v>0.480117333333333</v>
      </c>
      <c r="R47" s="17">
        <f t="shared" si="49"/>
        <v>0.480117333333333</v>
      </c>
      <c r="S47" s="17">
        <f t="shared" si="49"/>
        <v>0.480117333333333</v>
      </c>
      <c r="T47" s="17"/>
      <c r="U47" s="17"/>
      <c r="V47" s="17"/>
      <c r="W47" s="17">
        <v>7.20176</v>
      </c>
      <c r="X47" s="17">
        <v>7.20176</v>
      </c>
      <c r="Y47" s="17">
        <v>7.20176</v>
      </c>
      <c r="Z47" s="17">
        <v>7.20176</v>
      </c>
      <c r="AA47" s="17">
        <f t="shared" si="37"/>
        <v>5.761408</v>
      </c>
      <c r="AB47" s="17">
        <f t="shared" si="38"/>
        <v>34.568448</v>
      </c>
      <c r="AC47" s="17">
        <f t="shared" si="39"/>
        <v>4703.431552</v>
      </c>
      <c r="AD47" s="16"/>
      <c r="AE47" s="17"/>
    </row>
    <row r="48" s="3" customFormat="1" ht="31" customHeight="1" spans="1:31">
      <c r="A48" s="15">
        <v>44177</v>
      </c>
      <c r="B48" s="13" t="s">
        <v>74</v>
      </c>
      <c r="C48" s="16">
        <v>2</v>
      </c>
      <c r="D48" s="18">
        <v>4099</v>
      </c>
      <c r="E48" s="17">
        <v>8198</v>
      </c>
      <c r="F48" s="17">
        <v>409.9</v>
      </c>
      <c r="G48" s="17">
        <f t="shared" si="36"/>
        <v>24.92192</v>
      </c>
      <c r="H48" s="17">
        <f t="shared" ref="H48:S48" si="50">$G$48/60</f>
        <v>0.415365333333333</v>
      </c>
      <c r="I48" s="17">
        <f t="shared" si="50"/>
        <v>0.415365333333333</v>
      </c>
      <c r="J48" s="17">
        <f t="shared" si="50"/>
        <v>0.415365333333333</v>
      </c>
      <c r="K48" s="17">
        <f t="shared" si="50"/>
        <v>0.415365333333333</v>
      </c>
      <c r="L48" s="17">
        <f t="shared" si="50"/>
        <v>0.415365333333333</v>
      </c>
      <c r="M48" s="17">
        <f t="shared" si="50"/>
        <v>0.415365333333333</v>
      </c>
      <c r="N48" s="17">
        <f t="shared" si="50"/>
        <v>0.415365333333333</v>
      </c>
      <c r="O48" s="17">
        <f t="shared" si="50"/>
        <v>0.415365333333333</v>
      </c>
      <c r="P48" s="17">
        <f t="shared" si="50"/>
        <v>0.415365333333333</v>
      </c>
      <c r="Q48" s="17">
        <f t="shared" si="50"/>
        <v>0.415365333333333</v>
      </c>
      <c r="R48" s="17">
        <f t="shared" si="50"/>
        <v>0.415365333333333</v>
      </c>
      <c r="S48" s="17">
        <f t="shared" si="50"/>
        <v>0.415365333333333</v>
      </c>
      <c r="T48" s="17"/>
      <c r="U48" s="17"/>
      <c r="V48" s="17"/>
      <c r="W48" s="17">
        <v>6.23048</v>
      </c>
      <c r="X48" s="17">
        <v>6.23048</v>
      </c>
      <c r="Y48" s="17">
        <v>6.23048</v>
      </c>
      <c r="Z48" s="17">
        <v>6.23048</v>
      </c>
      <c r="AA48" s="17">
        <f t="shared" si="37"/>
        <v>4.984384</v>
      </c>
      <c r="AB48" s="17">
        <f t="shared" si="38"/>
        <v>29.906304</v>
      </c>
      <c r="AC48" s="17">
        <f t="shared" si="39"/>
        <v>8168.093696</v>
      </c>
      <c r="AD48" s="16"/>
      <c r="AE48" s="17"/>
    </row>
    <row r="49" s="3" customFormat="1" ht="31" customHeight="1" spans="1:31">
      <c r="A49" s="15">
        <v>44235</v>
      </c>
      <c r="B49" s="13" t="s">
        <v>75</v>
      </c>
      <c r="C49" s="16">
        <v>1</v>
      </c>
      <c r="D49" s="18">
        <v>2892.72727272727</v>
      </c>
      <c r="E49" s="17">
        <v>2892.72727272727</v>
      </c>
      <c r="F49" s="17">
        <v>144.636363636363</v>
      </c>
      <c r="G49" s="17">
        <f t="shared" si="36"/>
        <v>659.541818181816</v>
      </c>
      <c r="H49" s="17">
        <f t="shared" ref="H49:S49" si="51">$G$49/60</f>
        <v>10.9923636363636</v>
      </c>
      <c r="I49" s="17">
        <f t="shared" si="51"/>
        <v>10.9923636363636</v>
      </c>
      <c r="J49" s="17">
        <f t="shared" si="51"/>
        <v>10.9923636363636</v>
      </c>
      <c r="K49" s="17">
        <f t="shared" si="51"/>
        <v>10.9923636363636</v>
      </c>
      <c r="L49" s="17">
        <f t="shared" si="51"/>
        <v>10.9923636363636</v>
      </c>
      <c r="M49" s="17">
        <f t="shared" si="51"/>
        <v>10.9923636363636</v>
      </c>
      <c r="N49" s="17">
        <f t="shared" si="51"/>
        <v>10.9923636363636</v>
      </c>
      <c r="O49" s="17">
        <f t="shared" si="51"/>
        <v>10.9923636363636</v>
      </c>
      <c r="P49" s="17">
        <f t="shared" si="51"/>
        <v>10.9923636363636</v>
      </c>
      <c r="Q49" s="17">
        <f t="shared" si="51"/>
        <v>10.9923636363636</v>
      </c>
      <c r="R49" s="17">
        <f t="shared" si="51"/>
        <v>10.9923636363636</v>
      </c>
      <c r="S49" s="17">
        <f t="shared" si="51"/>
        <v>10.9923636363636</v>
      </c>
      <c r="T49" s="17"/>
      <c r="U49" s="17"/>
      <c r="V49" s="17"/>
      <c r="W49" s="17"/>
      <c r="X49" s="17">
        <v>219.847272727272</v>
      </c>
      <c r="Y49" s="17">
        <v>219.847272727272</v>
      </c>
      <c r="Z49" s="17">
        <v>219.847272727272</v>
      </c>
      <c r="AA49" s="17">
        <f t="shared" si="37"/>
        <v>131.908363636363</v>
      </c>
      <c r="AB49" s="17">
        <f t="shared" si="38"/>
        <v>791.450181818179</v>
      </c>
      <c r="AC49" s="17">
        <f t="shared" si="39"/>
        <v>2101.27709090909</v>
      </c>
      <c r="AD49" s="16"/>
      <c r="AE49" s="17"/>
    </row>
    <row r="50" s="3" customFormat="1" ht="31" customHeight="1" spans="1:31">
      <c r="A50" s="15">
        <v>44268</v>
      </c>
      <c r="B50" s="13" t="s">
        <v>74</v>
      </c>
      <c r="C50" s="16">
        <v>2</v>
      </c>
      <c r="D50" s="18">
        <v>4130</v>
      </c>
      <c r="E50" s="17">
        <v>8260</v>
      </c>
      <c r="F50" s="17">
        <v>413</v>
      </c>
      <c r="G50" s="17">
        <f t="shared" si="36"/>
        <v>1883.28</v>
      </c>
      <c r="H50" s="17">
        <f t="shared" ref="H50:S50" si="52">$G$50/60</f>
        <v>31.388</v>
      </c>
      <c r="I50" s="17">
        <f t="shared" si="52"/>
        <v>31.388</v>
      </c>
      <c r="J50" s="17">
        <f t="shared" si="52"/>
        <v>31.388</v>
      </c>
      <c r="K50" s="17">
        <f t="shared" si="52"/>
        <v>31.388</v>
      </c>
      <c r="L50" s="17">
        <f t="shared" si="52"/>
        <v>31.388</v>
      </c>
      <c r="M50" s="17">
        <f t="shared" si="52"/>
        <v>31.388</v>
      </c>
      <c r="N50" s="17">
        <f t="shared" si="52"/>
        <v>31.388</v>
      </c>
      <c r="O50" s="17">
        <f t="shared" si="52"/>
        <v>31.388</v>
      </c>
      <c r="P50" s="17">
        <f t="shared" si="52"/>
        <v>31.388</v>
      </c>
      <c r="Q50" s="17">
        <f t="shared" si="52"/>
        <v>31.388</v>
      </c>
      <c r="R50" s="17">
        <f t="shared" si="52"/>
        <v>31.388</v>
      </c>
      <c r="S50" s="17">
        <f t="shared" si="52"/>
        <v>31.388</v>
      </c>
      <c r="T50" s="17"/>
      <c r="U50" s="17"/>
      <c r="V50" s="17"/>
      <c r="W50" s="17"/>
      <c r="X50" s="17">
        <v>627.76</v>
      </c>
      <c r="Y50" s="17">
        <v>627.76</v>
      </c>
      <c r="Z50" s="17">
        <v>627.76</v>
      </c>
      <c r="AA50" s="17">
        <f t="shared" si="37"/>
        <v>376.656</v>
      </c>
      <c r="AB50" s="17">
        <f t="shared" si="38"/>
        <v>2259.936</v>
      </c>
      <c r="AC50" s="17">
        <f t="shared" si="39"/>
        <v>6000.064</v>
      </c>
      <c r="AD50" s="16"/>
      <c r="AE50" s="17"/>
    </row>
    <row r="51" s="3" customFormat="1" ht="31" customHeight="1" spans="1:31">
      <c r="A51" s="15">
        <v>44386</v>
      </c>
      <c r="B51" s="13" t="s">
        <v>76</v>
      </c>
      <c r="C51" s="16">
        <v>1</v>
      </c>
      <c r="D51" s="18">
        <v>4769</v>
      </c>
      <c r="E51" s="17">
        <v>4769</v>
      </c>
      <c r="F51" s="17">
        <v>238.45</v>
      </c>
      <c r="G51" s="17">
        <f t="shared" si="36"/>
        <v>1087.332</v>
      </c>
      <c r="H51" s="17">
        <f t="shared" ref="H51:S51" si="53">$G$51/60</f>
        <v>18.1222</v>
      </c>
      <c r="I51" s="17">
        <f t="shared" si="53"/>
        <v>18.1222</v>
      </c>
      <c r="J51" s="17">
        <f t="shared" si="53"/>
        <v>18.1222</v>
      </c>
      <c r="K51" s="17">
        <f t="shared" si="53"/>
        <v>18.1222</v>
      </c>
      <c r="L51" s="17">
        <f t="shared" si="53"/>
        <v>18.1222</v>
      </c>
      <c r="M51" s="17">
        <f t="shared" si="53"/>
        <v>18.1222</v>
      </c>
      <c r="N51" s="17">
        <f t="shared" si="53"/>
        <v>18.1222</v>
      </c>
      <c r="O51" s="17">
        <f t="shared" si="53"/>
        <v>18.1222</v>
      </c>
      <c r="P51" s="17">
        <f t="shared" si="53"/>
        <v>18.1222</v>
      </c>
      <c r="Q51" s="17">
        <f t="shared" si="53"/>
        <v>18.1222</v>
      </c>
      <c r="R51" s="17">
        <f t="shared" si="53"/>
        <v>18.1222</v>
      </c>
      <c r="S51" s="17">
        <f t="shared" si="53"/>
        <v>18.1222</v>
      </c>
      <c r="T51" s="17"/>
      <c r="U51" s="17"/>
      <c r="V51" s="17"/>
      <c r="W51" s="17"/>
      <c r="X51" s="17">
        <v>362.444</v>
      </c>
      <c r="Y51" s="17">
        <v>362.444</v>
      </c>
      <c r="Z51" s="17">
        <v>362.444</v>
      </c>
      <c r="AA51" s="17">
        <f t="shared" si="37"/>
        <v>217.4664</v>
      </c>
      <c r="AB51" s="17">
        <f t="shared" si="38"/>
        <v>1304.7984</v>
      </c>
      <c r="AC51" s="17">
        <f t="shared" si="39"/>
        <v>3464.2016</v>
      </c>
      <c r="AD51" s="16"/>
      <c r="AE51" s="17"/>
    </row>
    <row r="52" s="3" customFormat="1" ht="31" customHeight="1" spans="1:31">
      <c r="A52" s="15">
        <v>44481</v>
      </c>
      <c r="B52" s="13" t="s">
        <v>77</v>
      </c>
      <c r="C52" s="16">
        <v>1</v>
      </c>
      <c r="D52" s="18">
        <v>2694.08</v>
      </c>
      <c r="E52" s="17">
        <v>2694.08</v>
      </c>
      <c r="F52" s="17">
        <v>134.704</v>
      </c>
      <c r="G52" s="17">
        <f t="shared" si="36"/>
        <v>614.25024</v>
      </c>
      <c r="H52" s="17">
        <f t="shared" ref="H52:S52" si="54">$G$52/60</f>
        <v>10.237504</v>
      </c>
      <c r="I52" s="17">
        <f t="shared" si="54"/>
        <v>10.237504</v>
      </c>
      <c r="J52" s="17">
        <f t="shared" si="54"/>
        <v>10.237504</v>
      </c>
      <c r="K52" s="17">
        <f t="shared" si="54"/>
        <v>10.237504</v>
      </c>
      <c r="L52" s="17">
        <f t="shared" si="54"/>
        <v>10.237504</v>
      </c>
      <c r="M52" s="17">
        <f t="shared" si="54"/>
        <v>10.237504</v>
      </c>
      <c r="N52" s="17">
        <f t="shared" si="54"/>
        <v>10.237504</v>
      </c>
      <c r="O52" s="17">
        <f t="shared" si="54"/>
        <v>10.237504</v>
      </c>
      <c r="P52" s="17">
        <f t="shared" si="54"/>
        <v>10.237504</v>
      </c>
      <c r="Q52" s="17">
        <f t="shared" si="54"/>
        <v>10.237504</v>
      </c>
      <c r="R52" s="17">
        <f t="shared" si="54"/>
        <v>10.237504</v>
      </c>
      <c r="S52" s="17">
        <f t="shared" si="54"/>
        <v>10.237504</v>
      </c>
      <c r="T52" s="17"/>
      <c r="U52" s="17"/>
      <c r="V52" s="17"/>
      <c r="W52" s="17"/>
      <c r="X52" s="17">
        <v>204.75008</v>
      </c>
      <c r="Y52" s="17">
        <v>204.75008</v>
      </c>
      <c r="Z52" s="17">
        <v>204.75008</v>
      </c>
      <c r="AA52" s="17">
        <f t="shared" si="37"/>
        <v>122.850048</v>
      </c>
      <c r="AB52" s="17">
        <f t="shared" si="38"/>
        <v>737.100288</v>
      </c>
      <c r="AC52" s="17">
        <f t="shared" si="39"/>
        <v>1956.979712</v>
      </c>
      <c r="AD52" s="16"/>
      <c r="AE52" s="17"/>
    </row>
    <row r="53" s="3" customFormat="1" ht="31" customHeight="1" spans="1:31">
      <c r="A53" s="21">
        <v>44557</v>
      </c>
      <c r="B53" s="22" t="s">
        <v>78</v>
      </c>
      <c r="C53" s="23">
        <v>2</v>
      </c>
      <c r="D53" s="24">
        <v>3620.44</v>
      </c>
      <c r="E53" s="17">
        <v>7240.88</v>
      </c>
      <c r="F53" s="17">
        <v>1137.544</v>
      </c>
      <c r="G53" s="17">
        <f t="shared" si="36"/>
        <v>1464.80064</v>
      </c>
      <c r="H53" s="17">
        <f t="shared" ref="H53:S53" si="55">$G$53/60</f>
        <v>24.413344</v>
      </c>
      <c r="I53" s="17">
        <f t="shared" si="55"/>
        <v>24.413344</v>
      </c>
      <c r="J53" s="17">
        <f t="shared" si="55"/>
        <v>24.413344</v>
      </c>
      <c r="K53" s="17">
        <f t="shared" si="55"/>
        <v>24.413344</v>
      </c>
      <c r="L53" s="17">
        <f t="shared" si="55"/>
        <v>24.413344</v>
      </c>
      <c r="M53" s="17">
        <f t="shared" si="55"/>
        <v>24.413344</v>
      </c>
      <c r="N53" s="17">
        <f t="shared" si="55"/>
        <v>24.413344</v>
      </c>
      <c r="O53" s="17">
        <f t="shared" si="55"/>
        <v>24.413344</v>
      </c>
      <c r="P53" s="17">
        <f t="shared" si="55"/>
        <v>24.413344</v>
      </c>
      <c r="Q53" s="17">
        <f t="shared" si="55"/>
        <v>24.413344</v>
      </c>
      <c r="R53" s="17">
        <f t="shared" si="55"/>
        <v>24.413344</v>
      </c>
      <c r="S53" s="17">
        <f t="shared" si="55"/>
        <v>24.413344</v>
      </c>
      <c r="T53" s="17"/>
      <c r="U53" s="17"/>
      <c r="V53" s="17"/>
      <c r="W53" s="17"/>
      <c r="X53" s="17">
        <v>488.26688</v>
      </c>
      <c r="Y53" s="17">
        <v>488.26688</v>
      </c>
      <c r="Z53" s="17">
        <v>488.26688</v>
      </c>
      <c r="AA53" s="17">
        <f t="shared" si="37"/>
        <v>292.960128</v>
      </c>
      <c r="AB53" s="17">
        <f t="shared" si="38"/>
        <v>1757.760768</v>
      </c>
      <c r="AC53" s="17">
        <f t="shared" si="39"/>
        <v>5483.119232</v>
      </c>
      <c r="AD53" s="16"/>
      <c r="AE53" s="16"/>
    </row>
    <row r="54" s="3" customFormat="1" ht="31" customHeight="1" spans="1:31">
      <c r="A54" s="21">
        <v>44561</v>
      </c>
      <c r="B54" s="22" t="s">
        <v>79</v>
      </c>
      <c r="C54" s="23">
        <v>2</v>
      </c>
      <c r="D54" s="25">
        <v>2755</v>
      </c>
      <c r="E54" s="17">
        <v>5510</v>
      </c>
      <c r="F54" s="17">
        <v>275.5</v>
      </c>
      <c r="G54" s="17">
        <f t="shared" si="36"/>
        <v>1256.28</v>
      </c>
      <c r="H54" s="17">
        <f t="shared" ref="H54:S54" si="56">$G$54/60</f>
        <v>20.938</v>
      </c>
      <c r="I54" s="17">
        <f t="shared" si="56"/>
        <v>20.938</v>
      </c>
      <c r="J54" s="17">
        <f t="shared" si="56"/>
        <v>20.938</v>
      </c>
      <c r="K54" s="17">
        <f t="shared" si="56"/>
        <v>20.938</v>
      </c>
      <c r="L54" s="17">
        <f t="shared" si="56"/>
        <v>20.938</v>
      </c>
      <c r="M54" s="17">
        <f t="shared" si="56"/>
        <v>20.938</v>
      </c>
      <c r="N54" s="17">
        <f t="shared" si="56"/>
        <v>20.938</v>
      </c>
      <c r="O54" s="17">
        <f t="shared" si="56"/>
        <v>20.938</v>
      </c>
      <c r="P54" s="17">
        <f t="shared" si="56"/>
        <v>20.938</v>
      </c>
      <c r="Q54" s="17">
        <f t="shared" si="56"/>
        <v>20.938</v>
      </c>
      <c r="R54" s="17">
        <f t="shared" si="56"/>
        <v>20.938</v>
      </c>
      <c r="S54" s="17">
        <f t="shared" si="56"/>
        <v>20.938</v>
      </c>
      <c r="T54" s="17"/>
      <c r="U54" s="17"/>
      <c r="V54" s="17"/>
      <c r="W54" s="17"/>
      <c r="X54" s="17">
        <v>418.76</v>
      </c>
      <c r="Y54" s="17">
        <v>418.76</v>
      </c>
      <c r="Z54" s="17">
        <v>418.76</v>
      </c>
      <c r="AA54" s="17">
        <f t="shared" si="37"/>
        <v>251.256</v>
      </c>
      <c r="AB54" s="17">
        <f t="shared" si="38"/>
        <v>1507.536</v>
      </c>
      <c r="AC54" s="17">
        <f t="shared" si="39"/>
        <v>4002.464</v>
      </c>
      <c r="AD54" s="16"/>
      <c r="AE54" s="16"/>
    </row>
    <row r="55" s="3" customFormat="1" ht="22" customHeight="1" spans="1:31">
      <c r="A55" s="21">
        <v>44547</v>
      </c>
      <c r="B55" s="22" t="s">
        <v>80</v>
      </c>
      <c r="C55" s="23">
        <v>1</v>
      </c>
      <c r="D55" s="24">
        <v>10000</v>
      </c>
      <c r="E55" s="17">
        <v>10000</v>
      </c>
      <c r="F55" s="17">
        <v>500</v>
      </c>
      <c r="G55" s="17">
        <f t="shared" si="36"/>
        <v>2280</v>
      </c>
      <c r="H55" s="17">
        <f t="shared" ref="H55:S55" si="57">$G$55/60</f>
        <v>38</v>
      </c>
      <c r="I55" s="17">
        <f t="shared" si="57"/>
        <v>38</v>
      </c>
      <c r="J55" s="17">
        <f t="shared" si="57"/>
        <v>38</v>
      </c>
      <c r="K55" s="17">
        <f t="shared" si="57"/>
        <v>38</v>
      </c>
      <c r="L55" s="17">
        <f t="shared" si="57"/>
        <v>38</v>
      </c>
      <c r="M55" s="17">
        <f t="shared" si="57"/>
        <v>38</v>
      </c>
      <c r="N55" s="17">
        <f t="shared" si="57"/>
        <v>38</v>
      </c>
      <c r="O55" s="17">
        <f t="shared" si="57"/>
        <v>38</v>
      </c>
      <c r="P55" s="17">
        <f t="shared" si="57"/>
        <v>38</v>
      </c>
      <c r="Q55" s="17">
        <f t="shared" si="57"/>
        <v>38</v>
      </c>
      <c r="R55" s="17">
        <f t="shared" si="57"/>
        <v>38</v>
      </c>
      <c r="S55" s="17">
        <f t="shared" si="57"/>
        <v>38</v>
      </c>
      <c r="T55" s="17"/>
      <c r="U55" s="17"/>
      <c r="V55" s="17"/>
      <c r="W55" s="17"/>
      <c r="X55" s="17">
        <v>760</v>
      </c>
      <c r="Y55" s="17">
        <v>760</v>
      </c>
      <c r="Z55" s="17">
        <v>760</v>
      </c>
      <c r="AA55" s="17">
        <f t="shared" si="37"/>
        <v>456</v>
      </c>
      <c r="AB55" s="17">
        <f t="shared" si="38"/>
        <v>2736</v>
      </c>
      <c r="AC55" s="17">
        <f t="shared" si="39"/>
        <v>7264</v>
      </c>
      <c r="AD55" s="16"/>
      <c r="AE55" s="16"/>
    </row>
    <row r="56" s="3" customFormat="1" ht="31" customHeight="1" spans="1:31">
      <c r="A56" s="21">
        <v>44572</v>
      </c>
      <c r="B56" s="22" t="s">
        <v>81</v>
      </c>
      <c r="C56" s="23">
        <v>1</v>
      </c>
      <c r="D56" s="24">
        <v>15000</v>
      </c>
      <c r="E56" s="17">
        <v>15000</v>
      </c>
      <c r="F56" s="17">
        <v>750</v>
      </c>
      <c r="G56" s="17">
        <f t="shared" si="36"/>
        <v>1045</v>
      </c>
      <c r="H56" s="17">
        <f t="shared" ref="H56:S56" si="58">$G$56/60</f>
        <v>17.4166666666667</v>
      </c>
      <c r="I56" s="17">
        <f t="shared" si="58"/>
        <v>17.4166666666667</v>
      </c>
      <c r="J56" s="17">
        <f t="shared" si="58"/>
        <v>17.4166666666667</v>
      </c>
      <c r="K56" s="17">
        <f t="shared" si="58"/>
        <v>17.4166666666667</v>
      </c>
      <c r="L56" s="17">
        <f t="shared" si="58"/>
        <v>17.4166666666667</v>
      </c>
      <c r="M56" s="17">
        <f t="shared" si="58"/>
        <v>17.4166666666667</v>
      </c>
      <c r="N56" s="17">
        <f t="shared" si="58"/>
        <v>17.4166666666667</v>
      </c>
      <c r="O56" s="17">
        <f t="shared" si="58"/>
        <v>17.4166666666667</v>
      </c>
      <c r="P56" s="17">
        <f t="shared" si="58"/>
        <v>17.4166666666667</v>
      </c>
      <c r="Q56" s="17">
        <f t="shared" si="58"/>
        <v>17.4166666666667</v>
      </c>
      <c r="R56" s="17">
        <f t="shared" si="58"/>
        <v>17.4166666666667</v>
      </c>
      <c r="S56" s="17">
        <f t="shared" si="58"/>
        <v>17.4166666666667</v>
      </c>
      <c r="T56" s="17"/>
      <c r="U56" s="17"/>
      <c r="V56" s="17"/>
      <c r="W56" s="17"/>
      <c r="X56" s="17"/>
      <c r="Y56" s="17">
        <v>522.5</v>
      </c>
      <c r="Z56" s="17">
        <v>522.5</v>
      </c>
      <c r="AA56" s="17">
        <f t="shared" si="37"/>
        <v>209</v>
      </c>
      <c r="AB56" s="17">
        <f t="shared" si="38"/>
        <v>1254</v>
      </c>
      <c r="AC56" s="17">
        <f t="shared" si="39"/>
        <v>13746</v>
      </c>
      <c r="AD56" s="16"/>
      <c r="AE56" s="17"/>
    </row>
    <row r="57" s="3" customFormat="1" ht="31" customHeight="1" spans="1:31">
      <c r="A57" s="21">
        <v>44574</v>
      </c>
      <c r="B57" s="22" t="s">
        <v>82</v>
      </c>
      <c r="C57" s="23">
        <v>1</v>
      </c>
      <c r="D57" s="24">
        <v>4599</v>
      </c>
      <c r="E57" s="17">
        <v>4599</v>
      </c>
      <c r="F57" s="17">
        <v>229.95</v>
      </c>
      <c r="G57" s="17">
        <f t="shared" si="36"/>
        <v>320.397</v>
      </c>
      <c r="H57" s="17">
        <f t="shared" ref="H57:S57" si="59">$G$57/60</f>
        <v>5.33995</v>
      </c>
      <c r="I57" s="17">
        <f t="shared" si="59"/>
        <v>5.33995</v>
      </c>
      <c r="J57" s="17">
        <f t="shared" si="59"/>
        <v>5.33995</v>
      </c>
      <c r="K57" s="17">
        <f t="shared" si="59"/>
        <v>5.33995</v>
      </c>
      <c r="L57" s="17">
        <f t="shared" si="59"/>
        <v>5.33995</v>
      </c>
      <c r="M57" s="17">
        <f t="shared" si="59"/>
        <v>5.33995</v>
      </c>
      <c r="N57" s="17">
        <f t="shared" si="59"/>
        <v>5.33995</v>
      </c>
      <c r="O57" s="17">
        <f t="shared" si="59"/>
        <v>5.33995</v>
      </c>
      <c r="P57" s="17">
        <f t="shared" si="59"/>
        <v>5.33995</v>
      </c>
      <c r="Q57" s="17">
        <f t="shared" si="59"/>
        <v>5.33995</v>
      </c>
      <c r="R57" s="17">
        <f t="shared" si="59"/>
        <v>5.33995</v>
      </c>
      <c r="S57" s="17">
        <f t="shared" si="59"/>
        <v>5.33995</v>
      </c>
      <c r="T57" s="17"/>
      <c r="U57" s="17"/>
      <c r="V57" s="17"/>
      <c r="W57" s="17"/>
      <c r="X57" s="17"/>
      <c r="Y57" s="17">
        <v>160.1985</v>
      </c>
      <c r="Z57" s="17">
        <v>160.1985</v>
      </c>
      <c r="AA57" s="17">
        <f t="shared" si="37"/>
        <v>64.0794</v>
      </c>
      <c r="AB57" s="17">
        <f t="shared" si="38"/>
        <v>384.4764</v>
      </c>
      <c r="AC57" s="17">
        <f t="shared" si="39"/>
        <v>4214.5236</v>
      </c>
      <c r="AD57" s="16"/>
      <c r="AE57" s="17"/>
    </row>
    <row r="58" s="4" customFormat="1" ht="31" customHeight="1" spans="1:31">
      <c r="A58" s="26">
        <v>44642</v>
      </c>
      <c r="B58" s="27" t="s">
        <v>83</v>
      </c>
      <c r="C58" s="28">
        <v>6</v>
      </c>
      <c r="D58" s="24">
        <v>5000</v>
      </c>
      <c r="E58" s="17">
        <v>30000</v>
      </c>
      <c r="F58" s="17">
        <v>1500</v>
      </c>
      <c r="G58" s="17">
        <f t="shared" si="36"/>
        <v>1710</v>
      </c>
      <c r="H58" s="17">
        <f t="shared" ref="H58:S58" si="60">$G$58/60</f>
        <v>28.5</v>
      </c>
      <c r="I58" s="17">
        <f t="shared" si="60"/>
        <v>28.5</v>
      </c>
      <c r="J58" s="17">
        <f t="shared" si="60"/>
        <v>28.5</v>
      </c>
      <c r="K58" s="17">
        <f t="shared" si="60"/>
        <v>28.5</v>
      </c>
      <c r="L58" s="17">
        <f t="shared" si="60"/>
        <v>28.5</v>
      </c>
      <c r="M58" s="17">
        <f t="shared" si="60"/>
        <v>28.5</v>
      </c>
      <c r="N58" s="17">
        <f t="shared" si="60"/>
        <v>28.5</v>
      </c>
      <c r="O58" s="17">
        <f t="shared" si="60"/>
        <v>28.5</v>
      </c>
      <c r="P58" s="17">
        <f t="shared" si="60"/>
        <v>28.5</v>
      </c>
      <c r="Q58" s="17">
        <f t="shared" si="60"/>
        <v>28.5</v>
      </c>
      <c r="R58" s="17">
        <f t="shared" si="60"/>
        <v>28.5</v>
      </c>
      <c r="S58" s="17">
        <f t="shared" si="60"/>
        <v>28.5</v>
      </c>
      <c r="T58" s="17"/>
      <c r="U58" s="17"/>
      <c r="V58" s="17"/>
      <c r="W58" s="17"/>
      <c r="X58" s="17"/>
      <c r="Y58" s="17">
        <v>855</v>
      </c>
      <c r="Z58" s="17">
        <v>855</v>
      </c>
      <c r="AA58" s="17">
        <f t="shared" si="37"/>
        <v>342</v>
      </c>
      <c r="AB58" s="17">
        <f t="shared" si="38"/>
        <v>2052</v>
      </c>
      <c r="AC58" s="17">
        <f t="shared" si="39"/>
        <v>27948</v>
      </c>
      <c r="AD58" s="29"/>
      <c r="AE58" s="17"/>
    </row>
    <row r="59" s="4" customFormat="1" ht="31" customHeight="1" spans="1:31">
      <c r="A59" s="26">
        <v>44642</v>
      </c>
      <c r="B59" s="27" t="s">
        <v>84</v>
      </c>
      <c r="C59" s="28">
        <v>3</v>
      </c>
      <c r="D59" s="24">
        <v>4792.67</v>
      </c>
      <c r="E59" s="17">
        <v>14378.01</v>
      </c>
      <c r="F59" s="17">
        <v>718.9005</v>
      </c>
      <c r="G59" s="17">
        <f t="shared" si="36"/>
        <v>819.54657</v>
      </c>
      <c r="H59" s="17">
        <f t="shared" ref="H59:S59" si="61">$G$59/60</f>
        <v>13.6591095</v>
      </c>
      <c r="I59" s="17">
        <f t="shared" si="61"/>
        <v>13.6591095</v>
      </c>
      <c r="J59" s="17">
        <f t="shared" si="61"/>
        <v>13.6591095</v>
      </c>
      <c r="K59" s="17">
        <f t="shared" si="61"/>
        <v>13.6591095</v>
      </c>
      <c r="L59" s="17">
        <f t="shared" si="61"/>
        <v>13.6591095</v>
      </c>
      <c r="M59" s="17">
        <f t="shared" si="61"/>
        <v>13.6591095</v>
      </c>
      <c r="N59" s="17">
        <f t="shared" si="61"/>
        <v>13.6591095</v>
      </c>
      <c r="O59" s="17">
        <f t="shared" si="61"/>
        <v>13.6591095</v>
      </c>
      <c r="P59" s="17">
        <f t="shared" si="61"/>
        <v>13.6591095</v>
      </c>
      <c r="Q59" s="17">
        <f t="shared" si="61"/>
        <v>13.6591095</v>
      </c>
      <c r="R59" s="17">
        <f t="shared" si="61"/>
        <v>13.6591095</v>
      </c>
      <c r="S59" s="17">
        <f t="shared" si="61"/>
        <v>13.6591095</v>
      </c>
      <c r="T59" s="17"/>
      <c r="U59" s="17"/>
      <c r="V59" s="17"/>
      <c r="W59" s="17"/>
      <c r="X59" s="17"/>
      <c r="Y59" s="17">
        <v>409.773285</v>
      </c>
      <c r="Z59" s="17">
        <v>409.773285</v>
      </c>
      <c r="AA59" s="17">
        <f t="shared" si="37"/>
        <v>163.909314</v>
      </c>
      <c r="AB59" s="17">
        <f t="shared" si="38"/>
        <v>983.455884</v>
      </c>
      <c r="AC59" s="17">
        <f t="shared" si="39"/>
        <v>13394.554116</v>
      </c>
      <c r="AD59" s="29"/>
      <c r="AE59" s="17"/>
    </row>
    <row r="60" s="4" customFormat="1" ht="31" customHeight="1" spans="1:31">
      <c r="A60" s="26">
        <v>44642</v>
      </c>
      <c r="B60" s="30" t="s">
        <v>85</v>
      </c>
      <c r="C60" s="28">
        <v>5</v>
      </c>
      <c r="D60" s="24">
        <v>4869.6</v>
      </c>
      <c r="E60" s="17">
        <v>24348</v>
      </c>
      <c r="F60" s="17">
        <v>1217.4</v>
      </c>
      <c r="G60" s="17">
        <f t="shared" si="36"/>
        <v>1387.836</v>
      </c>
      <c r="H60" s="17">
        <f t="shared" ref="H60:S60" si="62">$G$60/60</f>
        <v>23.1306</v>
      </c>
      <c r="I60" s="17">
        <f t="shared" si="62"/>
        <v>23.1306</v>
      </c>
      <c r="J60" s="17">
        <f t="shared" si="62"/>
        <v>23.1306</v>
      </c>
      <c r="K60" s="17">
        <f t="shared" si="62"/>
        <v>23.1306</v>
      </c>
      <c r="L60" s="17">
        <f t="shared" si="62"/>
        <v>23.1306</v>
      </c>
      <c r="M60" s="17">
        <f t="shared" si="62"/>
        <v>23.1306</v>
      </c>
      <c r="N60" s="17">
        <f t="shared" si="62"/>
        <v>23.1306</v>
      </c>
      <c r="O60" s="17">
        <f t="shared" si="62"/>
        <v>23.1306</v>
      </c>
      <c r="P60" s="17">
        <f t="shared" si="62"/>
        <v>23.1306</v>
      </c>
      <c r="Q60" s="17">
        <f t="shared" si="62"/>
        <v>23.1306</v>
      </c>
      <c r="R60" s="17">
        <f t="shared" si="62"/>
        <v>23.1306</v>
      </c>
      <c r="S60" s="17">
        <f t="shared" si="62"/>
        <v>23.1306</v>
      </c>
      <c r="T60" s="17"/>
      <c r="U60" s="17"/>
      <c r="V60" s="17"/>
      <c r="W60" s="17"/>
      <c r="X60" s="17"/>
      <c r="Y60" s="17">
        <v>693.918</v>
      </c>
      <c r="Z60" s="17">
        <v>693.918</v>
      </c>
      <c r="AA60" s="17">
        <f t="shared" si="37"/>
        <v>277.5672</v>
      </c>
      <c r="AB60" s="17">
        <f t="shared" si="38"/>
        <v>1665.4032</v>
      </c>
      <c r="AC60" s="17">
        <f t="shared" si="39"/>
        <v>22682.5968</v>
      </c>
      <c r="AD60" s="29"/>
      <c r="AE60" s="17"/>
    </row>
    <row r="61" s="4" customFormat="1" ht="31" customHeight="1" spans="1:31">
      <c r="A61" s="26">
        <v>44678</v>
      </c>
      <c r="B61" s="27" t="s">
        <v>86</v>
      </c>
      <c r="C61" s="28">
        <v>2</v>
      </c>
      <c r="D61" s="31">
        <v>2699</v>
      </c>
      <c r="E61" s="17">
        <v>5398</v>
      </c>
      <c r="F61" s="17">
        <v>269.9</v>
      </c>
      <c r="G61" s="17">
        <f t="shared" si="36"/>
        <v>273.498666666667</v>
      </c>
      <c r="H61" s="17">
        <f t="shared" ref="H61:S61" si="63">$G$61/60</f>
        <v>4.55831111111111</v>
      </c>
      <c r="I61" s="17">
        <f t="shared" si="63"/>
        <v>4.55831111111111</v>
      </c>
      <c r="J61" s="17">
        <f t="shared" si="63"/>
        <v>4.55831111111111</v>
      </c>
      <c r="K61" s="17">
        <f t="shared" si="63"/>
        <v>4.55831111111111</v>
      </c>
      <c r="L61" s="17">
        <f t="shared" si="63"/>
        <v>4.55831111111111</v>
      </c>
      <c r="M61" s="17">
        <f t="shared" si="63"/>
        <v>4.55831111111111</v>
      </c>
      <c r="N61" s="17">
        <f t="shared" si="63"/>
        <v>4.55831111111111</v>
      </c>
      <c r="O61" s="17">
        <f t="shared" si="63"/>
        <v>4.55831111111111</v>
      </c>
      <c r="P61" s="17">
        <f t="shared" si="63"/>
        <v>4.55831111111111</v>
      </c>
      <c r="Q61" s="17">
        <f t="shared" si="63"/>
        <v>4.55831111111111</v>
      </c>
      <c r="R61" s="17">
        <f t="shared" si="63"/>
        <v>4.55831111111111</v>
      </c>
      <c r="S61" s="17">
        <f t="shared" si="63"/>
        <v>4.55831111111111</v>
      </c>
      <c r="T61" s="17"/>
      <c r="U61" s="17"/>
      <c r="V61" s="17"/>
      <c r="W61" s="17"/>
      <c r="X61" s="17"/>
      <c r="Y61" s="17">
        <v>136.749333333333</v>
      </c>
      <c r="Z61" s="17">
        <v>136.749333333333</v>
      </c>
      <c r="AA61" s="17">
        <f t="shared" si="37"/>
        <v>54.6997333333333</v>
      </c>
      <c r="AB61" s="17">
        <f t="shared" si="38"/>
        <v>328.198399999999</v>
      </c>
      <c r="AC61" s="17">
        <f t="shared" si="39"/>
        <v>5069.8016</v>
      </c>
      <c r="AD61" s="29"/>
      <c r="AE61" s="17"/>
    </row>
    <row r="62" s="4" customFormat="1" ht="31" customHeight="1" spans="1:31">
      <c r="A62" s="26">
        <v>44727</v>
      </c>
      <c r="B62" s="27" t="s">
        <v>87</v>
      </c>
      <c r="C62" s="28">
        <v>1</v>
      </c>
      <c r="D62" s="32">
        <v>3306.63430420712</v>
      </c>
      <c r="E62" s="17">
        <f t="shared" ref="E62:E71" si="64">SUM(C62*D62)</f>
        <v>3306.63430420712</v>
      </c>
      <c r="F62" s="17">
        <f t="shared" ref="F62:F70" si="65">SUM(E62*5%)</f>
        <v>165.331715210356</v>
      </c>
      <c r="G62" s="17">
        <f t="shared" si="36"/>
        <v>125.65210355987</v>
      </c>
      <c r="H62" s="17">
        <f t="shared" ref="H62:S62" si="66">$G$62/60</f>
        <v>2.09420172599784</v>
      </c>
      <c r="I62" s="17">
        <f t="shared" si="66"/>
        <v>2.09420172599784</v>
      </c>
      <c r="J62" s="17">
        <f t="shared" si="66"/>
        <v>2.09420172599784</v>
      </c>
      <c r="K62" s="17">
        <f t="shared" si="66"/>
        <v>2.09420172599784</v>
      </c>
      <c r="L62" s="17">
        <f t="shared" si="66"/>
        <v>2.09420172599784</v>
      </c>
      <c r="M62" s="17">
        <f t="shared" si="66"/>
        <v>2.09420172599784</v>
      </c>
      <c r="N62" s="17">
        <f t="shared" si="66"/>
        <v>2.09420172599784</v>
      </c>
      <c r="O62" s="17">
        <f t="shared" si="66"/>
        <v>2.09420172599784</v>
      </c>
      <c r="P62" s="17">
        <f t="shared" si="66"/>
        <v>2.09420172599784</v>
      </c>
      <c r="Q62" s="17">
        <f t="shared" si="66"/>
        <v>2.09420172599784</v>
      </c>
      <c r="R62" s="17">
        <f t="shared" si="66"/>
        <v>2.09420172599784</v>
      </c>
      <c r="S62" s="17">
        <f t="shared" si="66"/>
        <v>2.09420172599784</v>
      </c>
      <c r="T62" s="17"/>
      <c r="U62" s="17"/>
      <c r="V62" s="17"/>
      <c r="W62" s="17"/>
      <c r="X62" s="17"/>
      <c r="Y62" s="17">
        <v>62.8260517799352</v>
      </c>
      <c r="Z62" s="17">
        <v>62.8260517799352</v>
      </c>
      <c r="AA62" s="17">
        <f t="shared" si="37"/>
        <v>25.1304207119741</v>
      </c>
      <c r="AB62" s="17">
        <f t="shared" si="38"/>
        <v>150.782524271844</v>
      </c>
      <c r="AC62" s="17">
        <f t="shared" si="39"/>
        <v>3155.85177993528</v>
      </c>
      <c r="AD62" s="29"/>
      <c r="AE62" s="17"/>
    </row>
    <row r="63" s="4" customFormat="1" ht="31" customHeight="1" spans="1:31">
      <c r="A63" s="26">
        <v>44963</v>
      </c>
      <c r="B63" s="27" t="s">
        <v>88</v>
      </c>
      <c r="C63" s="28">
        <v>1</v>
      </c>
      <c r="D63" s="32">
        <v>12600</v>
      </c>
      <c r="E63" s="17">
        <f t="shared" si="64"/>
        <v>12600</v>
      </c>
      <c r="F63" s="17">
        <f t="shared" si="65"/>
        <v>630</v>
      </c>
      <c r="G63" s="17">
        <f t="shared" si="36"/>
        <v>1995</v>
      </c>
      <c r="H63" s="17">
        <f>$G$63/60</f>
        <v>33.25</v>
      </c>
      <c r="I63" s="17">
        <f>$G$63/60</f>
        <v>33.25</v>
      </c>
      <c r="J63" s="17">
        <f t="shared" ref="J63:S63" si="67">SUM($G$63/60)</f>
        <v>33.25</v>
      </c>
      <c r="K63" s="17">
        <f t="shared" si="67"/>
        <v>33.25</v>
      </c>
      <c r="L63" s="17">
        <f t="shared" si="67"/>
        <v>33.25</v>
      </c>
      <c r="M63" s="17">
        <f t="shared" si="67"/>
        <v>33.25</v>
      </c>
      <c r="N63" s="17">
        <f t="shared" si="67"/>
        <v>33.25</v>
      </c>
      <c r="O63" s="17">
        <f t="shared" si="67"/>
        <v>33.25</v>
      </c>
      <c r="P63" s="17">
        <f t="shared" si="67"/>
        <v>33.25</v>
      </c>
      <c r="Q63" s="17">
        <f t="shared" si="67"/>
        <v>33.25</v>
      </c>
      <c r="R63" s="17">
        <f t="shared" si="67"/>
        <v>33.25</v>
      </c>
      <c r="S63" s="17">
        <f t="shared" si="67"/>
        <v>33.25</v>
      </c>
      <c r="T63" s="17"/>
      <c r="U63" s="17"/>
      <c r="V63" s="17"/>
      <c r="W63" s="17"/>
      <c r="X63" s="17"/>
      <c r="Y63" s="17"/>
      <c r="Z63" s="17">
        <v>1995</v>
      </c>
      <c r="AA63" s="17">
        <f t="shared" si="37"/>
        <v>399</v>
      </c>
      <c r="AB63" s="17">
        <f t="shared" si="38"/>
        <v>2394</v>
      </c>
      <c r="AC63" s="17">
        <f t="shared" si="39"/>
        <v>10206</v>
      </c>
      <c r="AD63" s="29"/>
      <c r="AE63" s="17"/>
    </row>
    <row r="64" s="4" customFormat="1" ht="31" customHeight="1" spans="1:31">
      <c r="A64" s="26">
        <v>45317</v>
      </c>
      <c r="B64" s="27" t="s">
        <v>89</v>
      </c>
      <c r="C64" s="28">
        <v>2</v>
      </c>
      <c r="D64" s="32">
        <v>11850</v>
      </c>
      <c r="E64" s="17">
        <f t="shared" si="64"/>
        <v>23700</v>
      </c>
      <c r="F64" s="17">
        <f t="shared" si="65"/>
        <v>1185</v>
      </c>
      <c r="G64" s="17">
        <f t="shared" ref="G64:G70" si="68">SUM(E64-F64)</f>
        <v>22515</v>
      </c>
      <c r="H64" s="17"/>
      <c r="I64" s="17">
        <f>$G$64/60</f>
        <v>375.25</v>
      </c>
      <c r="J64" s="17">
        <f t="shared" ref="J64:S64" si="69">$G$64/60</f>
        <v>375.25</v>
      </c>
      <c r="K64" s="17">
        <f t="shared" si="69"/>
        <v>375.25</v>
      </c>
      <c r="L64" s="17">
        <f t="shared" si="69"/>
        <v>375.25</v>
      </c>
      <c r="M64" s="17">
        <f t="shared" si="69"/>
        <v>375.25</v>
      </c>
      <c r="N64" s="17">
        <f t="shared" si="69"/>
        <v>375.25</v>
      </c>
      <c r="O64" s="17">
        <f t="shared" si="69"/>
        <v>375.25</v>
      </c>
      <c r="P64" s="17">
        <f t="shared" si="69"/>
        <v>375.25</v>
      </c>
      <c r="Q64" s="17">
        <f t="shared" si="69"/>
        <v>375.25</v>
      </c>
      <c r="R64" s="17">
        <f t="shared" si="69"/>
        <v>375.25</v>
      </c>
      <c r="S64" s="17">
        <f t="shared" si="69"/>
        <v>375.25</v>
      </c>
      <c r="T64" s="17"/>
      <c r="U64" s="17"/>
      <c r="V64" s="17"/>
      <c r="W64" s="17"/>
      <c r="X64" s="17"/>
      <c r="Y64" s="17"/>
      <c r="Z64" s="17"/>
      <c r="AA64" s="17">
        <f t="shared" ref="AA64:AA70" si="70">SUM(I64:S64)</f>
        <v>4127.75</v>
      </c>
      <c r="AB64" s="17">
        <f t="shared" si="38"/>
        <v>4127.75</v>
      </c>
      <c r="AC64" s="17">
        <f t="shared" si="39"/>
        <v>19572.25</v>
      </c>
      <c r="AD64" s="29"/>
      <c r="AE64" s="17"/>
    </row>
    <row r="65" s="4" customFormat="1" ht="31" customHeight="1" spans="1:31">
      <c r="A65" s="26">
        <v>45317</v>
      </c>
      <c r="B65" s="27" t="s">
        <v>90</v>
      </c>
      <c r="C65" s="28">
        <v>1</v>
      </c>
      <c r="D65" s="32">
        <v>1350</v>
      </c>
      <c r="E65" s="17">
        <f t="shared" si="64"/>
        <v>1350</v>
      </c>
      <c r="F65" s="17">
        <f t="shared" si="65"/>
        <v>67.5</v>
      </c>
      <c r="G65" s="17">
        <f t="shared" si="68"/>
        <v>1282.5</v>
      </c>
      <c r="H65" s="17"/>
      <c r="I65" s="17">
        <f>$G$65/60</f>
        <v>21.375</v>
      </c>
      <c r="J65" s="17">
        <f t="shared" ref="J65:S65" si="71">$G$65/60</f>
        <v>21.375</v>
      </c>
      <c r="K65" s="17">
        <f t="shared" si="71"/>
        <v>21.375</v>
      </c>
      <c r="L65" s="17">
        <f t="shared" si="71"/>
        <v>21.375</v>
      </c>
      <c r="M65" s="17">
        <f t="shared" si="71"/>
        <v>21.375</v>
      </c>
      <c r="N65" s="17">
        <f t="shared" si="71"/>
        <v>21.375</v>
      </c>
      <c r="O65" s="17">
        <f t="shared" si="71"/>
        <v>21.375</v>
      </c>
      <c r="P65" s="17">
        <f t="shared" si="71"/>
        <v>21.375</v>
      </c>
      <c r="Q65" s="17">
        <f t="shared" si="71"/>
        <v>21.375</v>
      </c>
      <c r="R65" s="17">
        <f t="shared" si="71"/>
        <v>21.375</v>
      </c>
      <c r="S65" s="17">
        <f t="shared" si="71"/>
        <v>21.375</v>
      </c>
      <c r="T65" s="17"/>
      <c r="U65" s="17"/>
      <c r="V65" s="17"/>
      <c r="W65" s="17"/>
      <c r="X65" s="17"/>
      <c r="Y65" s="17"/>
      <c r="Z65" s="17"/>
      <c r="AA65" s="17">
        <f t="shared" si="70"/>
        <v>235.125</v>
      </c>
      <c r="AB65" s="17">
        <f t="shared" si="38"/>
        <v>235.125</v>
      </c>
      <c r="AC65" s="17">
        <f t="shared" si="39"/>
        <v>1114.875</v>
      </c>
      <c r="AD65" s="29"/>
      <c r="AE65" s="17"/>
    </row>
    <row r="66" s="4" customFormat="1" ht="31" customHeight="1" spans="1:31">
      <c r="A66" s="26">
        <v>45317</v>
      </c>
      <c r="B66" s="27" t="s">
        <v>91</v>
      </c>
      <c r="C66" s="28">
        <v>1</v>
      </c>
      <c r="D66" s="32">
        <v>1450</v>
      </c>
      <c r="E66" s="17">
        <f t="shared" si="64"/>
        <v>1450</v>
      </c>
      <c r="F66" s="17">
        <f t="shared" si="65"/>
        <v>72.5</v>
      </c>
      <c r="G66" s="17">
        <f t="shared" si="68"/>
        <v>1377.5</v>
      </c>
      <c r="H66" s="17"/>
      <c r="I66" s="17">
        <f>$G$66/60</f>
        <v>22.9583333333333</v>
      </c>
      <c r="J66" s="17">
        <f t="shared" ref="J66:S66" si="72">$G$66/60</f>
        <v>22.9583333333333</v>
      </c>
      <c r="K66" s="17">
        <f t="shared" si="72"/>
        <v>22.9583333333333</v>
      </c>
      <c r="L66" s="17">
        <f t="shared" si="72"/>
        <v>22.9583333333333</v>
      </c>
      <c r="M66" s="17">
        <f t="shared" si="72"/>
        <v>22.9583333333333</v>
      </c>
      <c r="N66" s="17">
        <f t="shared" si="72"/>
        <v>22.9583333333333</v>
      </c>
      <c r="O66" s="17">
        <f t="shared" si="72"/>
        <v>22.9583333333333</v>
      </c>
      <c r="P66" s="17">
        <f t="shared" si="72"/>
        <v>22.9583333333333</v>
      </c>
      <c r="Q66" s="17">
        <f t="shared" si="72"/>
        <v>22.9583333333333</v>
      </c>
      <c r="R66" s="17">
        <f t="shared" si="72"/>
        <v>22.9583333333333</v>
      </c>
      <c r="S66" s="17">
        <f t="shared" si="72"/>
        <v>22.9583333333333</v>
      </c>
      <c r="T66" s="17"/>
      <c r="U66" s="17"/>
      <c r="V66" s="17"/>
      <c r="W66" s="17"/>
      <c r="X66" s="17"/>
      <c r="Y66" s="17"/>
      <c r="Z66" s="17"/>
      <c r="AA66" s="17">
        <f t="shared" si="70"/>
        <v>252.541666666667</v>
      </c>
      <c r="AB66" s="17">
        <f t="shared" si="38"/>
        <v>252.541666666667</v>
      </c>
      <c r="AC66" s="17">
        <f t="shared" si="39"/>
        <v>1197.45833333333</v>
      </c>
      <c r="AD66" s="29"/>
      <c r="AE66" s="17"/>
    </row>
    <row r="67" s="4" customFormat="1" ht="31" customHeight="1" spans="1:31">
      <c r="A67" s="26">
        <v>45317</v>
      </c>
      <c r="B67" s="27" t="s">
        <v>92</v>
      </c>
      <c r="C67" s="28">
        <v>1</v>
      </c>
      <c r="D67" s="32">
        <v>4750</v>
      </c>
      <c r="E67" s="17">
        <f t="shared" si="64"/>
        <v>4750</v>
      </c>
      <c r="F67" s="17">
        <f t="shared" si="65"/>
        <v>237.5</v>
      </c>
      <c r="G67" s="17">
        <f t="shared" si="68"/>
        <v>4512.5</v>
      </c>
      <c r="H67" s="17"/>
      <c r="I67" s="17">
        <f>$G$67/60</f>
        <v>75.2083333333333</v>
      </c>
      <c r="J67" s="17">
        <f t="shared" ref="J67:S67" si="73">$G$67/60</f>
        <v>75.2083333333333</v>
      </c>
      <c r="K67" s="17">
        <f t="shared" si="73"/>
        <v>75.2083333333333</v>
      </c>
      <c r="L67" s="17">
        <f t="shared" si="73"/>
        <v>75.2083333333333</v>
      </c>
      <c r="M67" s="17">
        <f t="shared" si="73"/>
        <v>75.2083333333333</v>
      </c>
      <c r="N67" s="17">
        <f t="shared" si="73"/>
        <v>75.2083333333333</v>
      </c>
      <c r="O67" s="17">
        <f t="shared" si="73"/>
        <v>75.2083333333333</v>
      </c>
      <c r="P67" s="17">
        <f t="shared" si="73"/>
        <v>75.2083333333333</v>
      </c>
      <c r="Q67" s="17">
        <f t="shared" si="73"/>
        <v>75.2083333333333</v>
      </c>
      <c r="R67" s="17">
        <f t="shared" si="73"/>
        <v>75.2083333333333</v>
      </c>
      <c r="S67" s="17">
        <f t="shared" si="73"/>
        <v>75.2083333333333</v>
      </c>
      <c r="T67" s="17"/>
      <c r="U67" s="17"/>
      <c r="V67" s="17"/>
      <c r="W67" s="17"/>
      <c r="X67" s="17"/>
      <c r="Y67" s="17"/>
      <c r="Z67" s="17"/>
      <c r="AA67" s="17">
        <f t="shared" si="70"/>
        <v>827.291666666667</v>
      </c>
      <c r="AB67" s="17">
        <f t="shared" si="38"/>
        <v>827.291666666667</v>
      </c>
      <c r="AC67" s="17">
        <f t="shared" si="39"/>
        <v>3922.70833333333</v>
      </c>
      <c r="AD67" s="29"/>
      <c r="AE67" s="17"/>
    </row>
    <row r="68" s="4" customFormat="1" ht="31" customHeight="1" spans="1:31">
      <c r="A68" s="26">
        <v>45344</v>
      </c>
      <c r="B68" s="27" t="s">
        <v>93</v>
      </c>
      <c r="C68" s="28">
        <v>2</v>
      </c>
      <c r="D68" s="32">
        <v>3299</v>
      </c>
      <c r="E68" s="17">
        <f t="shared" si="64"/>
        <v>6598</v>
      </c>
      <c r="F68" s="17">
        <f t="shared" si="65"/>
        <v>329.9</v>
      </c>
      <c r="G68" s="17">
        <f t="shared" si="68"/>
        <v>6268.1</v>
      </c>
      <c r="H68" s="17"/>
      <c r="I68" s="17"/>
      <c r="J68" s="17">
        <f>$G$68/60</f>
        <v>104.468333333333</v>
      </c>
      <c r="K68" s="17">
        <f t="shared" ref="K68:S68" si="74">$G$68/60</f>
        <v>104.468333333333</v>
      </c>
      <c r="L68" s="17">
        <f t="shared" si="74"/>
        <v>104.468333333333</v>
      </c>
      <c r="M68" s="17">
        <f t="shared" si="74"/>
        <v>104.468333333333</v>
      </c>
      <c r="N68" s="17">
        <f t="shared" si="74"/>
        <v>104.468333333333</v>
      </c>
      <c r="O68" s="17">
        <f t="shared" si="74"/>
        <v>104.468333333333</v>
      </c>
      <c r="P68" s="17">
        <f t="shared" si="74"/>
        <v>104.468333333333</v>
      </c>
      <c r="Q68" s="17">
        <f t="shared" si="74"/>
        <v>104.468333333333</v>
      </c>
      <c r="R68" s="17">
        <f t="shared" si="74"/>
        <v>104.468333333333</v>
      </c>
      <c r="S68" s="17">
        <f t="shared" si="74"/>
        <v>104.468333333333</v>
      </c>
      <c r="T68" s="17"/>
      <c r="U68" s="17"/>
      <c r="V68" s="17"/>
      <c r="W68" s="17"/>
      <c r="X68" s="17"/>
      <c r="Y68" s="17"/>
      <c r="Z68" s="17"/>
      <c r="AA68" s="17">
        <f t="shared" si="70"/>
        <v>1044.68333333333</v>
      </c>
      <c r="AB68" s="17">
        <f t="shared" si="38"/>
        <v>1044.68333333333</v>
      </c>
      <c r="AC68" s="17">
        <f t="shared" si="39"/>
        <v>5553.31666666667</v>
      </c>
      <c r="AD68" s="29"/>
      <c r="AE68" s="17"/>
    </row>
    <row r="69" s="4" customFormat="1" ht="22" customHeight="1" spans="1:31">
      <c r="A69" s="26">
        <v>45372</v>
      </c>
      <c r="B69" s="27" t="s">
        <v>94</v>
      </c>
      <c r="C69" s="28">
        <v>2</v>
      </c>
      <c r="D69" s="32">
        <v>3299</v>
      </c>
      <c r="E69" s="17">
        <f t="shared" si="64"/>
        <v>6598</v>
      </c>
      <c r="F69" s="17">
        <f t="shared" si="65"/>
        <v>329.9</v>
      </c>
      <c r="G69" s="17">
        <f t="shared" si="68"/>
        <v>6268.1</v>
      </c>
      <c r="H69" s="17"/>
      <c r="I69" s="17"/>
      <c r="J69" s="17"/>
      <c r="K69" s="17">
        <f>$G$69/60</f>
        <v>104.468333333333</v>
      </c>
      <c r="L69" s="17">
        <f t="shared" ref="L69:S69" si="75">$G$69/60</f>
        <v>104.468333333333</v>
      </c>
      <c r="M69" s="17">
        <f t="shared" si="75"/>
        <v>104.468333333333</v>
      </c>
      <c r="N69" s="17">
        <f t="shared" si="75"/>
        <v>104.468333333333</v>
      </c>
      <c r="O69" s="17">
        <f t="shared" si="75"/>
        <v>104.468333333333</v>
      </c>
      <c r="P69" s="17">
        <f t="shared" si="75"/>
        <v>104.468333333333</v>
      </c>
      <c r="Q69" s="17">
        <f t="shared" si="75"/>
        <v>104.468333333333</v>
      </c>
      <c r="R69" s="17">
        <f t="shared" si="75"/>
        <v>104.468333333333</v>
      </c>
      <c r="S69" s="17">
        <f t="shared" si="75"/>
        <v>104.468333333333</v>
      </c>
      <c r="T69" s="17"/>
      <c r="U69" s="17"/>
      <c r="V69" s="17"/>
      <c r="W69" s="17"/>
      <c r="X69" s="17"/>
      <c r="Y69" s="17"/>
      <c r="Z69" s="17"/>
      <c r="AA69" s="17">
        <f t="shared" si="70"/>
        <v>940.215</v>
      </c>
      <c r="AB69" s="17">
        <f t="shared" si="38"/>
        <v>940.215</v>
      </c>
      <c r="AC69" s="17">
        <f t="shared" si="39"/>
        <v>5657.785</v>
      </c>
      <c r="AD69" s="29"/>
      <c r="AE69" s="17"/>
    </row>
    <row r="70" s="5" customFormat="1" ht="22" customHeight="1" spans="1:31">
      <c r="A70" s="33">
        <v>45393</v>
      </c>
      <c r="B70" s="34" t="s">
        <v>95</v>
      </c>
      <c r="C70" s="35">
        <v>1</v>
      </c>
      <c r="D70" s="36">
        <v>21012</v>
      </c>
      <c r="E70" s="37">
        <f t="shared" si="64"/>
        <v>21012</v>
      </c>
      <c r="F70" s="37">
        <f t="shared" si="65"/>
        <v>1050.6</v>
      </c>
      <c r="G70" s="37">
        <f t="shared" si="68"/>
        <v>19961.4</v>
      </c>
      <c r="H70" s="37"/>
      <c r="I70" s="37"/>
      <c r="J70" s="37"/>
      <c r="K70" s="37"/>
      <c r="L70" s="37">
        <f>$G$70/60</f>
        <v>332.69</v>
      </c>
      <c r="M70" s="37">
        <f t="shared" ref="M70:S70" si="76">$G$70/60</f>
        <v>332.69</v>
      </c>
      <c r="N70" s="37">
        <f t="shared" si="76"/>
        <v>332.69</v>
      </c>
      <c r="O70" s="37">
        <f t="shared" si="76"/>
        <v>332.69</v>
      </c>
      <c r="P70" s="37">
        <f t="shared" si="76"/>
        <v>332.69</v>
      </c>
      <c r="Q70" s="37">
        <f t="shared" si="76"/>
        <v>332.69</v>
      </c>
      <c r="R70" s="37">
        <f t="shared" si="76"/>
        <v>332.69</v>
      </c>
      <c r="S70" s="37">
        <f t="shared" si="76"/>
        <v>332.69</v>
      </c>
      <c r="T70" s="37"/>
      <c r="U70" s="37"/>
      <c r="V70" s="37"/>
      <c r="W70" s="37"/>
      <c r="X70" s="37"/>
      <c r="Y70" s="37"/>
      <c r="Z70" s="37"/>
      <c r="AA70" s="37">
        <f t="shared" si="70"/>
        <v>2661.52</v>
      </c>
      <c r="AB70" s="37">
        <f t="shared" si="38"/>
        <v>2661.52</v>
      </c>
      <c r="AC70" s="37">
        <f t="shared" si="39"/>
        <v>18350.48</v>
      </c>
      <c r="AD70" s="38"/>
      <c r="AE70" s="37"/>
    </row>
    <row r="71" s="4" customFormat="1" ht="22" customHeight="1" spans="1:31">
      <c r="A71" s="26">
        <v>45420</v>
      </c>
      <c r="B71" s="27" t="s">
        <v>95</v>
      </c>
      <c r="C71" s="28">
        <v>1</v>
      </c>
      <c r="D71" s="32">
        <v>1200</v>
      </c>
      <c r="E71" s="17">
        <f t="shared" si="64"/>
        <v>1200</v>
      </c>
      <c r="F71" s="17">
        <f t="shared" ref="F71:F79" si="77">SUM(E71*5%)</f>
        <v>60</v>
      </c>
      <c r="G71" s="17">
        <f t="shared" ref="G71:G88" si="78">SUM(E71-F71)</f>
        <v>1140</v>
      </c>
      <c r="H71" s="17"/>
      <c r="I71" s="17"/>
      <c r="J71" s="17"/>
      <c r="K71" s="17"/>
      <c r="L71" s="17"/>
      <c r="M71" s="17">
        <f>$G$71/36</f>
        <v>31.6666666666667</v>
      </c>
      <c r="N71" s="17">
        <f t="shared" ref="N71:S71" si="79">$G$71/36</f>
        <v>31.6666666666667</v>
      </c>
      <c r="O71" s="17">
        <f t="shared" si="79"/>
        <v>31.6666666666667</v>
      </c>
      <c r="P71" s="17">
        <f t="shared" si="79"/>
        <v>31.6666666666667</v>
      </c>
      <c r="Q71" s="17">
        <f t="shared" si="79"/>
        <v>31.6666666666667</v>
      </c>
      <c r="R71" s="17">
        <f t="shared" si="79"/>
        <v>31.6666666666667</v>
      </c>
      <c r="S71" s="17">
        <f t="shared" si="79"/>
        <v>31.6666666666667</v>
      </c>
      <c r="T71" s="17"/>
      <c r="U71" s="17"/>
      <c r="V71" s="17"/>
      <c r="W71" s="29"/>
      <c r="X71" s="17"/>
      <c r="Y71" s="29"/>
      <c r="Z71" s="29"/>
      <c r="AA71" s="17">
        <f t="shared" ref="AA71:AA88" si="80">SUM(I71:S71)</f>
        <v>221.666666666667</v>
      </c>
      <c r="AB71" s="17">
        <f t="shared" ref="AB71:AB88" si="81">SUM(T71:AA71)</f>
        <v>221.666666666667</v>
      </c>
      <c r="AC71" s="17">
        <f t="shared" ref="AC71:AC88" si="82">SUM(E71-AB71)</f>
        <v>978.333333333333</v>
      </c>
      <c r="AD71" s="29"/>
      <c r="AE71" s="17"/>
    </row>
    <row r="72" s="4" customFormat="1" ht="22" customHeight="1" spans="1:31">
      <c r="A72" s="26">
        <v>45420</v>
      </c>
      <c r="B72" s="27" t="s">
        <v>96</v>
      </c>
      <c r="C72" s="28">
        <v>1</v>
      </c>
      <c r="D72" s="32">
        <v>5580</v>
      </c>
      <c r="E72" s="17">
        <v>5580</v>
      </c>
      <c r="F72" s="17">
        <f t="shared" ref="F72:F88" si="83">SUM(E72*5%)</f>
        <v>279</v>
      </c>
      <c r="G72" s="17">
        <f t="shared" si="78"/>
        <v>5301</v>
      </c>
      <c r="H72" s="17"/>
      <c r="I72" s="17"/>
      <c r="J72" s="17"/>
      <c r="K72" s="17"/>
      <c r="L72" s="17"/>
      <c r="M72" s="17">
        <f>$G$72/36</f>
        <v>147.25</v>
      </c>
      <c r="N72" s="17">
        <f t="shared" ref="N72:S72" si="84">$G$72/36</f>
        <v>147.25</v>
      </c>
      <c r="O72" s="17">
        <f t="shared" si="84"/>
        <v>147.25</v>
      </c>
      <c r="P72" s="17">
        <f t="shared" si="84"/>
        <v>147.25</v>
      </c>
      <c r="Q72" s="17">
        <f t="shared" si="84"/>
        <v>147.25</v>
      </c>
      <c r="R72" s="17">
        <f t="shared" si="84"/>
        <v>147.25</v>
      </c>
      <c r="S72" s="17">
        <f t="shared" si="84"/>
        <v>147.25</v>
      </c>
      <c r="T72" s="17"/>
      <c r="U72" s="17"/>
      <c r="V72" s="17"/>
      <c r="W72" s="29"/>
      <c r="X72" s="17"/>
      <c r="Y72" s="29"/>
      <c r="Z72" s="29"/>
      <c r="AA72" s="17">
        <f t="shared" si="80"/>
        <v>1030.75</v>
      </c>
      <c r="AB72" s="17">
        <f t="shared" si="81"/>
        <v>1030.75</v>
      </c>
      <c r="AC72" s="17">
        <f t="shared" si="82"/>
        <v>4549.25</v>
      </c>
      <c r="AD72" s="29"/>
      <c r="AE72" s="17"/>
    </row>
    <row r="73" s="4" customFormat="1" ht="22" customHeight="1" spans="1:31">
      <c r="A73" s="26">
        <v>45428</v>
      </c>
      <c r="B73" s="27" t="s">
        <v>97</v>
      </c>
      <c r="C73" s="29">
        <v>1</v>
      </c>
      <c r="D73" s="39">
        <v>88950</v>
      </c>
      <c r="E73" s="17">
        <v>88950</v>
      </c>
      <c r="F73" s="17">
        <f t="shared" si="83"/>
        <v>4447.5</v>
      </c>
      <c r="G73" s="17">
        <f t="shared" si="78"/>
        <v>84502.5</v>
      </c>
      <c r="H73" s="17"/>
      <c r="I73" s="17"/>
      <c r="J73" s="17"/>
      <c r="K73" s="17"/>
      <c r="L73" s="17"/>
      <c r="M73" s="17">
        <f>$G$73/60</f>
        <v>1408.375</v>
      </c>
      <c r="N73" s="17">
        <f t="shared" ref="N73:S73" si="85">$G$73/60</f>
        <v>1408.375</v>
      </c>
      <c r="O73" s="17">
        <f t="shared" si="85"/>
        <v>1408.375</v>
      </c>
      <c r="P73" s="17">
        <f t="shared" si="85"/>
        <v>1408.375</v>
      </c>
      <c r="Q73" s="17">
        <f t="shared" si="85"/>
        <v>1408.375</v>
      </c>
      <c r="R73" s="17">
        <f t="shared" si="85"/>
        <v>1408.375</v>
      </c>
      <c r="S73" s="17">
        <f t="shared" si="85"/>
        <v>1408.375</v>
      </c>
      <c r="T73" s="17"/>
      <c r="U73" s="17"/>
      <c r="V73" s="17"/>
      <c r="W73" s="17"/>
      <c r="X73" s="17"/>
      <c r="Y73" s="17"/>
      <c r="Z73" s="17"/>
      <c r="AA73" s="17">
        <f t="shared" si="80"/>
        <v>9858.625</v>
      </c>
      <c r="AB73" s="17">
        <f t="shared" si="81"/>
        <v>9858.625</v>
      </c>
      <c r="AC73" s="17">
        <f t="shared" si="82"/>
        <v>79091.375</v>
      </c>
      <c r="AD73" s="29"/>
      <c r="AE73" s="17"/>
    </row>
    <row r="74" s="4" customFormat="1" ht="22" customHeight="1" spans="1:31">
      <c r="A74" s="26">
        <v>45428</v>
      </c>
      <c r="B74" s="40" t="s">
        <v>92</v>
      </c>
      <c r="C74" s="29">
        <v>1</v>
      </c>
      <c r="D74" s="39">
        <v>4750</v>
      </c>
      <c r="E74" s="17">
        <v>4750</v>
      </c>
      <c r="F74" s="17">
        <f t="shared" si="83"/>
        <v>237.5</v>
      </c>
      <c r="G74" s="17">
        <f t="shared" si="78"/>
        <v>4512.5</v>
      </c>
      <c r="H74" s="17"/>
      <c r="I74" s="17"/>
      <c r="J74" s="17"/>
      <c r="K74" s="17"/>
      <c r="L74" s="17"/>
      <c r="M74" s="17">
        <f>$G$74/60</f>
        <v>75.2083333333333</v>
      </c>
      <c r="N74" s="17">
        <f t="shared" ref="N74:S74" si="86">$G$74/60</f>
        <v>75.2083333333333</v>
      </c>
      <c r="O74" s="17">
        <f t="shared" si="86"/>
        <v>75.2083333333333</v>
      </c>
      <c r="P74" s="17">
        <f t="shared" si="86"/>
        <v>75.2083333333333</v>
      </c>
      <c r="Q74" s="17">
        <f t="shared" si="86"/>
        <v>75.2083333333333</v>
      </c>
      <c r="R74" s="17">
        <f t="shared" si="86"/>
        <v>75.2083333333333</v>
      </c>
      <c r="S74" s="17">
        <f t="shared" si="86"/>
        <v>75.2083333333333</v>
      </c>
      <c r="T74" s="17"/>
      <c r="U74" s="17"/>
      <c r="V74" s="17"/>
      <c r="W74" s="17"/>
      <c r="X74" s="17"/>
      <c r="Y74" s="17"/>
      <c r="Z74" s="17"/>
      <c r="AA74" s="17">
        <f t="shared" si="80"/>
        <v>526.458333333333</v>
      </c>
      <c r="AB74" s="17">
        <f t="shared" si="81"/>
        <v>526.458333333333</v>
      </c>
      <c r="AC74" s="17">
        <f t="shared" si="82"/>
        <v>4223.54166666667</v>
      </c>
      <c r="AD74" s="29"/>
      <c r="AE74" s="17"/>
    </row>
    <row r="75" s="4" customFormat="1" ht="22" customHeight="1" spans="1:31">
      <c r="A75" s="26">
        <v>45428</v>
      </c>
      <c r="B75" s="27" t="s">
        <v>98</v>
      </c>
      <c r="C75" s="29">
        <v>1</v>
      </c>
      <c r="D75" s="39">
        <v>1930</v>
      </c>
      <c r="E75" s="17">
        <v>1930</v>
      </c>
      <c r="F75" s="17">
        <f t="shared" si="83"/>
        <v>96.5</v>
      </c>
      <c r="G75" s="17">
        <f t="shared" si="78"/>
        <v>1833.5</v>
      </c>
      <c r="H75" s="17"/>
      <c r="I75" s="17"/>
      <c r="J75" s="17"/>
      <c r="K75" s="17"/>
      <c r="L75" s="17"/>
      <c r="M75" s="17">
        <f>$G$75/60</f>
        <v>30.5583333333333</v>
      </c>
      <c r="N75" s="17">
        <f t="shared" ref="N75:S75" si="87">$G$75/60</f>
        <v>30.5583333333333</v>
      </c>
      <c r="O75" s="17">
        <f t="shared" si="87"/>
        <v>30.5583333333333</v>
      </c>
      <c r="P75" s="17">
        <f t="shared" si="87"/>
        <v>30.5583333333333</v>
      </c>
      <c r="Q75" s="17">
        <f t="shared" si="87"/>
        <v>30.5583333333333</v>
      </c>
      <c r="R75" s="17">
        <f t="shared" si="87"/>
        <v>30.5583333333333</v>
      </c>
      <c r="S75" s="17">
        <f t="shared" si="87"/>
        <v>30.5583333333333</v>
      </c>
      <c r="T75" s="17"/>
      <c r="U75" s="17"/>
      <c r="V75" s="17"/>
      <c r="W75" s="17"/>
      <c r="X75" s="17"/>
      <c r="Y75" s="17"/>
      <c r="Z75" s="17"/>
      <c r="AA75" s="17">
        <f t="shared" si="80"/>
        <v>213.908333333333</v>
      </c>
      <c r="AB75" s="17">
        <f t="shared" si="81"/>
        <v>213.908333333333</v>
      </c>
      <c r="AC75" s="17">
        <f t="shared" si="82"/>
        <v>1716.09166666667</v>
      </c>
      <c r="AD75" s="29"/>
      <c r="AE75" s="17"/>
    </row>
    <row r="76" s="4" customFormat="1" ht="22" customHeight="1" spans="1:31">
      <c r="A76" s="26">
        <v>45433</v>
      </c>
      <c r="B76" s="27" t="s">
        <v>99</v>
      </c>
      <c r="C76" s="29">
        <v>1</v>
      </c>
      <c r="D76" s="39">
        <v>4050</v>
      </c>
      <c r="E76" s="17">
        <v>4050</v>
      </c>
      <c r="F76" s="17">
        <f t="shared" si="83"/>
        <v>202.5</v>
      </c>
      <c r="G76" s="17">
        <f t="shared" si="78"/>
        <v>3847.5</v>
      </c>
      <c r="H76" s="17"/>
      <c r="I76" s="17"/>
      <c r="J76" s="17"/>
      <c r="K76" s="17"/>
      <c r="L76" s="17"/>
      <c r="M76" s="17">
        <f>$G$76/60</f>
        <v>64.125</v>
      </c>
      <c r="N76" s="17">
        <f t="shared" ref="N76:S76" si="88">$G$76/60</f>
        <v>64.125</v>
      </c>
      <c r="O76" s="17">
        <f t="shared" si="88"/>
        <v>64.125</v>
      </c>
      <c r="P76" s="17">
        <f t="shared" si="88"/>
        <v>64.125</v>
      </c>
      <c r="Q76" s="17">
        <f t="shared" si="88"/>
        <v>64.125</v>
      </c>
      <c r="R76" s="17">
        <f t="shared" si="88"/>
        <v>64.125</v>
      </c>
      <c r="S76" s="17">
        <f t="shared" si="88"/>
        <v>64.125</v>
      </c>
      <c r="T76" s="17"/>
      <c r="U76" s="17"/>
      <c r="V76" s="17"/>
      <c r="W76" s="17"/>
      <c r="X76" s="17"/>
      <c r="Y76" s="17"/>
      <c r="Z76" s="17"/>
      <c r="AA76" s="17">
        <f t="shared" si="80"/>
        <v>448.875</v>
      </c>
      <c r="AB76" s="17">
        <f t="shared" si="81"/>
        <v>448.875</v>
      </c>
      <c r="AC76" s="17">
        <f t="shared" si="82"/>
        <v>3601.125</v>
      </c>
      <c r="AD76" s="29"/>
      <c r="AE76" s="17"/>
    </row>
    <row r="77" s="4" customFormat="1" ht="22" customHeight="1" spans="1:31">
      <c r="A77" s="26">
        <v>45439</v>
      </c>
      <c r="B77" s="27" t="s">
        <v>100</v>
      </c>
      <c r="C77" s="28">
        <v>1</v>
      </c>
      <c r="D77" s="32">
        <v>3907.93</v>
      </c>
      <c r="E77" s="17">
        <v>3907.93</v>
      </c>
      <c r="F77" s="17">
        <f t="shared" si="83"/>
        <v>195.3965</v>
      </c>
      <c r="G77" s="17">
        <f t="shared" si="78"/>
        <v>3712.5335</v>
      </c>
      <c r="H77" s="17"/>
      <c r="I77" s="17"/>
      <c r="J77" s="17"/>
      <c r="K77" s="17"/>
      <c r="L77" s="17"/>
      <c r="M77" s="17">
        <f>$G$77/60</f>
        <v>61.8755583333333</v>
      </c>
      <c r="N77" s="17">
        <f t="shared" ref="N77:S77" si="89">$G$77/60</f>
        <v>61.8755583333333</v>
      </c>
      <c r="O77" s="17">
        <f t="shared" si="89"/>
        <v>61.8755583333333</v>
      </c>
      <c r="P77" s="17">
        <f t="shared" si="89"/>
        <v>61.8755583333333</v>
      </c>
      <c r="Q77" s="17">
        <f t="shared" si="89"/>
        <v>61.8755583333333</v>
      </c>
      <c r="R77" s="17">
        <f t="shared" si="89"/>
        <v>61.8755583333333</v>
      </c>
      <c r="S77" s="17">
        <f t="shared" si="89"/>
        <v>61.8755583333333</v>
      </c>
      <c r="T77" s="17"/>
      <c r="U77" s="17"/>
      <c r="V77" s="17"/>
      <c r="W77" s="29"/>
      <c r="X77" s="17"/>
      <c r="Y77" s="29"/>
      <c r="Z77" s="29"/>
      <c r="AA77" s="17">
        <f t="shared" si="80"/>
        <v>433.128908333333</v>
      </c>
      <c r="AB77" s="17">
        <f t="shared" si="81"/>
        <v>433.128908333333</v>
      </c>
      <c r="AC77" s="17">
        <f t="shared" si="82"/>
        <v>3474.80109166667</v>
      </c>
      <c r="AD77" s="29"/>
      <c r="AE77" s="29"/>
    </row>
    <row r="78" s="4" customFormat="1" ht="22" customHeight="1" spans="1:31">
      <c r="A78" s="26">
        <v>45440</v>
      </c>
      <c r="B78" s="27" t="s">
        <v>101</v>
      </c>
      <c r="C78" s="29">
        <v>1</v>
      </c>
      <c r="D78" s="39">
        <v>36000</v>
      </c>
      <c r="E78" s="17">
        <v>36000</v>
      </c>
      <c r="F78" s="17">
        <f t="shared" si="83"/>
        <v>1800</v>
      </c>
      <c r="G78" s="17">
        <f t="shared" si="78"/>
        <v>34200</v>
      </c>
      <c r="H78" s="17"/>
      <c r="I78" s="17"/>
      <c r="J78" s="17"/>
      <c r="K78" s="17"/>
      <c r="L78" s="17"/>
      <c r="M78" s="17">
        <f>$G$78/60</f>
        <v>570</v>
      </c>
      <c r="N78" s="17">
        <f t="shared" ref="N78:S78" si="90">$G$78/60</f>
        <v>570</v>
      </c>
      <c r="O78" s="17">
        <f t="shared" si="90"/>
        <v>570</v>
      </c>
      <c r="P78" s="17">
        <f t="shared" si="90"/>
        <v>570</v>
      </c>
      <c r="Q78" s="17">
        <f t="shared" si="90"/>
        <v>570</v>
      </c>
      <c r="R78" s="17">
        <f t="shared" si="90"/>
        <v>570</v>
      </c>
      <c r="S78" s="17">
        <f t="shared" si="90"/>
        <v>570</v>
      </c>
      <c r="T78" s="17"/>
      <c r="U78" s="17"/>
      <c r="V78" s="17"/>
      <c r="W78" s="17"/>
      <c r="X78" s="17"/>
      <c r="Y78" s="17"/>
      <c r="Z78" s="17"/>
      <c r="AA78" s="17">
        <f t="shared" si="80"/>
        <v>3990</v>
      </c>
      <c r="AB78" s="17">
        <f t="shared" si="81"/>
        <v>3990</v>
      </c>
      <c r="AC78" s="17">
        <f t="shared" si="82"/>
        <v>32010</v>
      </c>
      <c r="AD78" s="29"/>
      <c r="AE78" s="17"/>
    </row>
    <row r="79" s="4" customFormat="1" ht="22" customHeight="1" spans="1:31">
      <c r="A79" s="26">
        <v>45443</v>
      </c>
      <c r="B79" s="27" t="s">
        <v>102</v>
      </c>
      <c r="C79" s="29">
        <v>1</v>
      </c>
      <c r="D79" s="39">
        <v>3450</v>
      </c>
      <c r="E79" s="17">
        <v>3450</v>
      </c>
      <c r="F79" s="17">
        <f t="shared" si="83"/>
        <v>172.5</v>
      </c>
      <c r="G79" s="17">
        <f t="shared" si="78"/>
        <v>3277.5</v>
      </c>
      <c r="H79" s="17"/>
      <c r="I79" s="17"/>
      <c r="J79" s="17"/>
      <c r="K79" s="17"/>
      <c r="L79" s="17"/>
      <c r="M79" s="17">
        <f>$G$79/60</f>
        <v>54.625</v>
      </c>
      <c r="N79" s="17">
        <f t="shared" ref="N79:S79" si="91">$G$79/60</f>
        <v>54.625</v>
      </c>
      <c r="O79" s="17">
        <f t="shared" si="91"/>
        <v>54.625</v>
      </c>
      <c r="P79" s="17">
        <f t="shared" si="91"/>
        <v>54.625</v>
      </c>
      <c r="Q79" s="17">
        <f t="shared" si="91"/>
        <v>54.625</v>
      </c>
      <c r="R79" s="17">
        <f t="shared" si="91"/>
        <v>54.625</v>
      </c>
      <c r="S79" s="17">
        <f t="shared" si="91"/>
        <v>54.625</v>
      </c>
      <c r="T79" s="17"/>
      <c r="U79" s="17"/>
      <c r="V79" s="17"/>
      <c r="W79" s="17"/>
      <c r="X79" s="17"/>
      <c r="Y79" s="17"/>
      <c r="Z79" s="17"/>
      <c r="AA79" s="17">
        <f t="shared" si="80"/>
        <v>382.375</v>
      </c>
      <c r="AB79" s="17">
        <f t="shared" si="81"/>
        <v>382.375</v>
      </c>
      <c r="AC79" s="17">
        <f t="shared" si="82"/>
        <v>3067.625</v>
      </c>
      <c r="AD79" s="29"/>
      <c r="AE79" s="17"/>
    </row>
    <row r="80" s="4" customFormat="1" ht="22" customHeight="1" spans="1:31">
      <c r="A80" s="26">
        <v>45443</v>
      </c>
      <c r="B80" s="27" t="s">
        <v>102</v>
      </c>
      <c r="C80" s="29">
        <v>1</v>
      </c>
      <c r="D80" s="39">
        <v>3900</v>
      </c>
      <c r="E80" s="17">
        <v>3900</v>
      </c>
      <c r="F80" s="17">
        <f t="shared" si="83"/>
        <v>195</v>
      </c>
      <c r="G80" s="17">
        <f t="shared" si="78"/>
        <v>3705</v>
      </c>
      <c r="H80" s="17"/>
      <c r="I80" s="17"/>
      <c r="J80" s="17"/>
      <c r="K80" s="17"/>
      <c r="L80" s="17"/>
      <c r="M80" s="17">
        <f>$G$80/60</f>
        <v>61.75</v>
      </c>
      <c r="N80" s="17">
        <f t="shared" ref="N80:S80" si="92">$G$80/60</f>
        <v>61.75</v>
      </c>
      <c r="O80" s="17">
        <f t="shared" si="92"/>
        <v>61.75</v>
      </c>
      <c r="P80" s="17">
        <f t="shared" si="92"/>
        <v>61.75</v>
      </c>
      <c r="Q80" s="17">
        <f t="shared" si="92"/>
        <v>61.75</v>
      </c>
      <c r="R80" s="17">
        <f t="shared" si="92"/>
        <v>61.75</v>
      </c>
      <c r="S80" s="17">
        <f t="shared" si="92"/>
        <v>61.75</v>
      </c>
      <c r="T80" s="17"/>
      <c r="U80" s="17"/>
      <c r="V80" s="17"/>
      <c r="W80" s="17"/>
      <c r="X80" s="17"/>
      <c r="Y80" s="17"/>
      <c r="Z80" s="17"/>
      <c r="AA80" s="17">
        <f t="shared" si="80"/>
        <v>432.25</v>
      </c>
      <c r="AB80" s="17">
        <f t="shared" si="81"/>
        <v>432.25</v>
      </c>
      <c r="AC80" s="17">
        <f t="shared" si="82"/>
        <v>3467.75</v>
      </c>
      <c r="AD80" s="29"/>
      <c r="AE80" s="17"/>
    </row>
    <row r="81" s="4" customFormat="1" ht="22" customHeight="1" spans="1:32">
      <c r="A81" s="26">
        <v>45460</v>
      </c>
      <c r="B81" s="27" t="s">
        <v>33</v>
      </c>
      <c r="C81" s="29">
        <v>2</v>
      </c>
      <c r="D81" s="39">
        <v>6598</v>
      </c>
      <c r="E81" s="17">
        <f>SUM(D81)</f>
        <v>6598</v>
      </c>
      <c r="F81" s="17">
        <f t="shared" si="83"/>
        <v>329.9</v>
      </c>
      <c r="G81" s="17">
        <f t="shared" si="78"/>
        <v>6268.1</v>
      </c>
      <c r="H81" s="17"/>
      <c r="I81" s="17"/>
      <c r="J81" s="17"/>
      <c r="K81" s="17"/>
      <c r="L81" s="17"/>
      <c r="M81" s="17"/>
      <c r="N81" s="17">
        <f t="shared" ref="N81:S81" si="93">$G$81/60</f>
        <v>104.468333333333</v>
      </c>
      <c r="O81" s="17">
        <f t="shared" si="93"/>
        <v>104.468333333333</v>
      </c>
      <c r="P81" s="17">
        <f t="shared" si="93"/>
        <v>104.468333333333</v>
      </c>
      <c r="Q81" s="17">
        <f t="shared" si="93"/>
        <v>104.468333333333</v>
      </c>
      <c r="R81" s="17">
        <f t="shared" si="93"/>
        <v>104.468333333333</v>
      </c>
      <c r="S81" s="17">
        <f t="shared" si="93"/>
        <v>104.468333333333</v>
      </c>
      <c r="T81" s="17"/>
      <c r="U81" s="17"/>
      <c r="V81" s="17"/>
      <c r="W81" s="17"/>
      <c r="X81" s="17"/>
      <c r="Y81" s="17"/>
      <c r="Z81" s="17"/>
      <c r="AA81" s="17">
        <f t="shared" si="80"/>
        <v>626.809999999998</v>
      </c>
      <c r="AB81" s="17">
        <f t="shared" si="81"/>
        <v>626.809999999998</v>
      </c>
      <c r="AC81" s="17">
        <f t="shared" si="82"/>
        <v>5971.19</v>
      </c>
      <c r="AD81" s="29"/>
      <c r="AE81" s="17"/>
    </row>
    <row r="82" s="4" customFormat="1" ht="22" customHeight="1" spans="1:32">
      <c r="A82" s="26">
        <v>45461</v>
      </c>
      <c r="B82" s="27" t="s">
        <v>102</v>
      </c>
      <c r="C82" s="29">
        <v>2</v>
      </c>
      <c r="D82" s="39">
        <v>3800</v>
      </c>
      <c r="E82" s="17">
        <f>SUM(C82*D82)</f>
        <v>7600</v>
      </c>
      <c r="F82" s="17">
        <f t="shared" si="83"/>
        <v>380</v>
      </c>
      <c r="G82" s="17">
        <f t="shared" si="78"/>
        <v>7220</v>
      </c>
      <c r="H82" s="17"/>
      <c r="I82" s="17"/>
      <c r="J82" s="17"/>
      <c r="K82" s="17"/>
      <c r="L82" s="17"/>
      <c r="M82" s="17"/>
      <c r="N82" s="17">
        <f t="shared" ref="N82:S82" si="94">$G$82/60</f>
        <v>120.333333333333</v>
      </c>
      <c r="O82" s="17">
        <f t="shared" si="94"/>
        <v>120.333333333333</v>
      </c>
      <c r="P82" s="17">
        <f t="shared" si="94"/>
        <v>120.333333333333</v>
      </c>
      <c r="Q82" s="17">
        <f t="shared" si="94"/>
        <v>120.333333333333</v>
      </c>
      <c r="R82" s="17">
        <f t="shared" si="94"/>
        <v>120.333333333333</v>
      </c>
      <c r="S82" s="17">
        <f t="shared" si="94"/>
        <v>120.333333333333</v>
      </c>
      <c r="T82" s="17"/>
      <c r="U82" s="17"/>
      <c r="V82" s="17"/>
      <c r="W82" s="17"/>
      <c r="X82" s="17"/>
      <c r="Y82" s="17"/>
      <c r="Z82" s="17"/>
      <c r="AA82" s="17">
        <f t="shared" si="80"/>
        <v>721.999999999998</v>
      </c>
      <c r="AB82" s="17">
        <f t="shared" si="81"/>
        <v>721.999999999998</v>
      </c>
      <c r="AC82" s="17">
        <f t="shared" si="82"/>
        <v>6878</v>
      </c>
      <c r="AD82" s="29"/>
      <c r="AE82" s="17"/>
    </row>
    <row r="83" s="4" customFormat="1" ht="22" customHeight="1" spans="1:32">
      <c r="A83" s="26">
        <v>45461</v>
      </c>
      <c r="B83" s="27" t="s">
        <v>102</v>
      </c>
      <c r="C83" s="29">
        <v>2</v>
      </c>
      <c r="D83" s="39">
        <v>3000</v>
      </c>
      <c r="E83" s="17">
        <f>SUM(C83*D83)</f>
        <v>6000</v>
      </c>
      <c r="F83" s="17">
        <f t="shared" si="83"/>
        <v>300</v>
      </c>
      <c r="G83" s="17">
        <f t="shared" si="78"/>
        <v>5700</v>
      </c>
      <c r="H83" s="17"/>
      <c r="I83" s="17"/>
      <c r="J83" s="17"/>
      <c r="K83" s="17"/>
      <c r="L83" s="17"/>
      <c r="M83" s="17"/>
      <c r="N83" s="17">
        <f t="shared" ref="N83:S83" si="95">$G$83/60</f>
        <v>95</v>
      </c>
      <c r="O83" s="17">
        <f t="shared" si="95"/>
        <v>95</v>
      </c>
      <c r="P83" s="17">
        <f t="shared" si="95"/>
        <v>95</v>
      </c>
      <c r="Q83" s="17">
        <f t="shared" si="95"/>
        <v>95</v>
      </c>
      <c r="R83" s="17">
        <f t="shared" si="95"/>
        <v>95</v>
      </c>
      <c r="S83" s="17">
        <f t="shared" si="95"/>
        <v>95</v>
      </c>
      <c r="T83" s="17"/>
      <c r="U83" s="17"/>
      <c r="V83" s="17"/>
      <c r="W83" s="17"/>
      <c r="X83" s="17"/>
      <c r="Y83" s="17"/>
      <c r="Z83" s="17"/>
      <c r="AA83" s="17">
        <f t="shared" si="80"/>
        <v>570</v>
      </c>
      <c r="AB83" s="17">
        <f t="shared" si="81"/>
        <v>570</v>
      </c>
      <c r="AC83" s="17">
        <f t="shared" si="82"/>
        <v>5430</v>
      </c>
      <c r="AD83" s="29"/>
      <c r="AE83" s="17"/>
    </row>
    <row r="84" s="4" customFormat="1" ht="22" customHeight="1" spans="1:32">
      <c r="A84" s="26">
        <v>45467</v>
      </c>
      <c r="B84" s="27" t="s">
        <v>103</v>
      </c>
      <c r="C84" s="29">
        <v>1</v>
      </c>
      <c r="D84" s="39">
        <v>108374.38</v>
      </c>
      <c r="E84" s="17">
        <f>SUM(D84)</f>
        <v>108374.38</v>
      </c>
      <c r="F84" s="17">
        <f t="shared" si="83"/>
        <v>5418.719</v>
      </c>
      <c r="G84" s="17">
        <f t="shared" si="78"/>
        <v>102955.661</v>
      </c>
      <c r="H84" s="17"/>
      <c r="I84" s="17"/>
      <c r="J84" s="17"/>
      <c r="K84" s="17"/>
      <c r="L84" s="17"/>
      <c r="M84" s="17"/>
      <c r="N84" s="17">
        <f t="shared" ref="N84:S84" si="96">$G$84/60</f>
        <v>1715.92768333333</v>
      </c>
      <c r="O84" s="17">
        <f t="shared" si="96"/>
        <v>1715.92768333333</v>
      </c>
      <c r="P84" s="17">
        <f t="shared" si="96"/>
        <v>1715.92768333333</v>
      </c>
      <c r="Q84" s="17">
        <f t="shared" si="96"/>
        <v>1715.92768333333</v>
      </c>
      <c r="R84" s="17">
        <f t="shared" si="96"/>
        <v>1715.92768333333</v>
      </c>
      <c r="S84" s="17">
        <f t="shared" si="96"/>
        <v>1715.92768333333</v>
      </c>
      <c r="T84" s="17"/>
      <c r="U84" s="17"/>
      <c r="V84" s="17"/>
      <c r="W84" s="17"/>
      <c r="X84" s="17"/>
      <c r="Y84" s="17"/>
      <c r="Z84" s="17"/>
      <c r="AA84" s="17">
        <f t="shared" si="80"/>
        <v>10295.5661</v>
      </c>
      <c r="AB84" s="17">
        <f t="shared" si="81"/>
        <v>10295.5661</v>
      </c>
      <c r="AC84" s="17">
        <f t="shared" si="82"/>
        <v>98078.8139</v>
      </c>
      <c r="AD84" s="29"/>
      <c r="AE84" s="17"/>
    </row>
    <row r="85" s="4" customFormat="1" ht="22" customHeight="1" spans="1:32">
      <c r="A85" s="26">
        <v>45472</v>
      </c>
      <c r="B85" s="27" t="s">
        <v>104</v>
      </c>
      <c r="C85" s="29">
        <v>1</v>
      </c>
      <c r="D85" s="39">
        <v>2850.24</v>
      </c>
      <c r="E85" s="17">
        <f>SUM(D85)</f>
        <v>2850.24</v>
      </c>
      <c r="F85" s="17">
        <f t="shared" si="83"/>
        <v>142.512</v>
      </c>
      <c r="G85" s="17">
        <f t="shared" si="78"/>
        <v>2707.728</v>
      </c>
      <c r="H85" s="17"/>
      <c r="I85" s="17"/>
      <c r="J85" s="17"/>
      <c r="K85" s="17"/>
      <c r="L85" s="17"/>
      <c r="M85" s="17"/>
      <c r="N85" s="17">
        <f t="shared" ref="N85:S85" si="97">$G$85/60</f>
        <v>45.1288</v>
      </c>
      <c r="O85" s="17">
        <f t="shared" si="97"/>
        <v>45.1288</v>
      </c>
      <c r="P85" s="17">
        <f t="shared" si="97"/>
        <v>45.1288</v>
      </c>
      <c r="Q85" s="17">
        <f t="shared" si="97"/>
        <v>45.1288</v>
      </c>
      <c r="R85" s="17">
        <f t="shared" si="97"/>
        <v>45.1288</v>
      </c>
      <c r="S85" s="17">
        <f t="shared" si="97"/>
        <v>45.1288</v>
      </c>
      <c r="T85" s="17"/>
      <c r="U85" s="17"/>
      <c r="V85" s="17"/>
      <c r="W85" s="17"/>
      <c r="X85" s="17"/>
      <c r="Y85" s="17"/>
      <c r="Z85" s="17"/>
      <c r="AA85" s="17">
        <f t="shared" si="80"/>
        <v>270.7728</v>
      </c>
      <c r="AB85" s="17">
        <f t="shared" si="81"/>
        <v>270.7728</v>
      </c>
      <c r="AC85" s="17">
        <f t="shared" si="82"/>
        <v>2579.4672</v>
      </c>
      <c r="AD85" s="29"/>
      <c r="AE85" s="17"/>
    </row>
    <row r="86" s="4" customFormat="1" ht="22" customHeight="1" spans="1:32">
      <c r="A86" s="33">
        <v>45503</v>
      </c>
      <c r="B86" s="34" t="s">
        <v>105</v>
      </c>
      <c r="C86" s="38">
        <v>1</v>
      </c>
      <c r="D86" s="41">
        <v>-21012</v>
      </c>
      <c r="E86" s="37">
        <v>-21012</v>
      </c>
      <c r="F86" s="37">
        <v>-1050.6</v>
      </c>
      <c r="G86" s="37">
        <v>-19961.4</v>
      </c>
      <c r="H86" s="37"/>
      <c r="I86" s="37"/>
      <c r="J86" s="37"/>
      <c r="K86" s="37"/>
      <c r="L86" s="37"/>
      <c r="M86" s="37"/>
      <c r="N86" s="37"/>
      <c r="O86" s="37">
        <v>-332.69</v>
      </c>
      <c r="P86" s="37">
        <v>-332.69</v>
      </c>
      <c r="Q86" s="37">
        <v>-332.69</v>
      </c>
      <c r="R86" s="37">
        <v>-332.69</v>
      </c>
      <c r="S86" s="37">
        <v>-332.69</v>
      </c>
      <c r="T86" s="37"/>
      <c r="U86" s="37"/>
      <c r="V86" s="37"/>
      <c r="W86" s="37"/>
      <c r="X86" s="37"/>
      <c r="Y86" s="37"/>
      <c r="Z86" s="37"/>
      <c r="AA86" s="37">
        <v>2661.52</v>
      </c>
      <c r="AB86" s="37">
        <v>2661.52</v>
      </c>
      <c r="AC86" s="37">
        <v>18350.48</v>
      </c>
      <c r="AD86" s="29"/>
      <c r="AE86" s="17"/>
    </row>
    <row r="87" s="4" customFormat="1" ht="22" customHeight="1" spans="1:32">
      <c r="A87" s="26">
        <v>45504</v>
      </c>
      <c r="B87" s="27" t="s">
        <v>106</v>
      </c>
      <c r="C87" s="29">
        <v>1</v>
      </c>
      <c r="D87" s="39">
        <v>65300</v>
      </c>
      <c r="E87" s="17">
        <f>SUM(D87)</f>
        <v>65300</v>
      </c>
      <c r="F87" s="17">
        <f>SUM(E87*5%)</f>
        <v>3265</v>
      </c>
      <c r="G87" s="17">
        <f>SUM(E87-F87)</f>
        <v>62035</v>
      </c>
      <c r="H87" s="17"/>
      <c r="I87" s="17"/>
      <c r="J87" s="17"/>
      <c r="K87" s="17"/>
      <c r="L87" s="17"/>
      <c r="M87" s="17"/>
      <c r="N87" s="17"/>
      <c r="O87" s="17"/>
      <c r="P87" s="17">
        <f>$G$87/60</f>
        <v>1033.91666666667</v>
      </c>
      <c r="Q87" s="17">
        <f>$G$87/60</f>
        <v>1033.91666666667</v>
      </c>
      <c r="R87" s="17">
        <f>$G$87/60</f>
        <v>1033.91666666667</v>
      </c>
      <c r="S87" s="17">
        <f>$G$87/60</f>
        <v>1033.91666666667</v>
      </c>
      <c r="T87" s="17"/>
      <c r="U87" s="17"/>
      <c r="V87" s="17"/>
      <c r="W87" s="17"/>
      <c r="X87" s="17"/>
      <c r="Y87" s="17"/>
      <c r="Z87" s="17"/>
      <c r="AA87" s="17">
        <f>SUM(I87:S87)</f>
        <v>4135.66666666667</v>
      </c>
      <c r="AB87" s="17">
        <f>SUM(T87:AA87)</f>
        <v>4135.66666666667</v>
      </c>
      <c r="AC87" s="17">
        <f>SUM(E87-AB87)</f>
        <v>61164.3333333333</v>
      </c>
      <c r="AD87" s="17"/>
      <c r="AE87" s="29"/>
      <c r="AF87" s="42"/>
    </row>
    <row r="88" s="4" customFormat="1" ht="22" customHeight="1" spans="1:32">
      <c r="A88" s="26">
        <v>45582</v>
      </c>
      <c r="B88" s="27" t="s">
        <v>107</v>
      </c>
      <c r="C88" s="29">
        <v>1</v>
      </c>
      <c r="D88" s="39">
        <v>5496</v>
      </c>
      <c r="E88" s="17">
        <f>SUM(D88)</f>
        <v>5496</v>
      </c>
      <c r="F88" s="17">
        <f>SUM(E88*5%)</f>
        <v>274.8</v>
      </c>
      <c r="G88" s="17">
        <f>SUM(E88-F88)</f>
        <v>5221.2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>
        <f>$G$88/60</f>
        <v>87.02</v>
      </c>
      <c r="S88" s="17">
        <f>$G$88/60</f>
        <v>87.02</v>
      </c>
      <c r="T88" s="17"/>
      <c r="U88" s="17"/>
      <c r="V88" s="17"/>
      <c r="W88" s="17"/>
      <c r="X88" s="17"/>
      <c r="Y88" s="17"/>
      <c r="Z88" s="17"/>
      <c r="AA88" s="17">
        <f>SUM(I88:S88)</f>
        <v>174.04</v>
      </c>
      <c r="AB88" s="17">
        <f>SUM(T88:AA88)</f>
        <v>174.04</v>
      </c>
      <c r="AC88" s="17">
        <f>SUM(E88-AB88)</f>
        <v>5321.96</v>
      </c>
      <c r="AD88" s="29"/>
      <c r="AE88" s="17"/>
    </row>
    <row r="89" s="4" customFormat="1" ht="27" customHeight="1" spans="1:32">
      <c r="A89" s="26">
        <v>45631</v>
      </c>
      <c r="B89" s="27" t="s">
        <v>108</v>
      </c>
      <c r="C89" s="28">
        <v>1</v>
      </c>
      <c r="D89" s="32">
        <v>8850</v>
      </c>
      <c r="E89" s="17">
        <f>SUM(C89*D89)</f>
        <v>8850</v>
      </c>
      <c r="F89" s="17">
        <f>SUM(E89*5%)</f>
        <v>442.5</v>
      </c>
      <c r="G89" s="17">
        <f>SUM(E89-F89)</f>
        <v>8407.5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>
        <v>0</v>
      </c>
      <c r="T89" s="17"/>
      <c r="U89" s="17"/>
      <c r="V89" s="17"/>
      <c r="W89" s="29"/>
      <c r="X89" s="17"/>
      <c r="Y89" s="29"/>
      <c r="Z89" s="29"/>
      <c r="AA89" s="17">
        <f>SUM(I89:S89)</f>
        <v>0</v>
      </c>
      <c r="AB89" s="17">
        <f>SUM(T89:AA89)</f>
        <v>0</v>
      </c>
      <c r="AC89" s="17">
        <f>SUM(E89-AB89)</f>
        <v>8850</v>
      </c>
      <c r="AD89" s="29"/>
      <c r="AE89" s="29"/>
    </row>
    <row r="90" s="6" customFormat="1" ht="23" customHeight="1" spans="1:32">
      <c r="A90" s="43"/>
      <c r="B90" s="44"/>
      <c r="C90" s="45"/>
      <c r="D90" s="46"/>
      <c r="E90" s="47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5"/>
      <c r="AE90" s="48"/>
    </row>
    <row r="91" s="7" customFormat="1" ht="53" customHeight="1" spans="1:32">
      <c r="A91" s="49" t="s">
        <v>109</v>
      </c>
      <c r="B91" s="50"/>
      <c r="C91" s="51"/>
      <c r="D91" s="52"/>
      <c r="E91" s="53">
        <f>SUM(E3:E90)</f>
        <v>1037406.61938372</v>
      </c>
      <c r="F91" s="53">
        <f t="shared" ref="E91:M91" si="98">SUM(F3:F90)</f>
        <v>79768.2870788467</v>
      </c>
      <c r="G91" s="53">
        <f t="shared" si="98"/>
        <v>513332.253399361</v>
      </c>
      <c r="H91" s="53">
        <f t="shared" si="98"/>
        <v>2075.87719061899</v>
      </c>
      <c r="I91" s="53">
        <f t="shared" si="98"/>
        <v>2570.66885728566</v>
      </c>
      <c r="J91" s="53">
        <f t="shared" si="98"/>
        <v>2675.13719061899</v>
      </c>
      <c r="K91" s="53">
        <f t="shared" si="98"/>
        <v>2779.60552395232</v>
      </c>
      <c r="L91" s="53">
        <f t="shared" si="98"/>
        <v>3112.29552395232</v>
      </c>
      <c r="M91" s="53">
        <f t="shared" si="98"/>
        <v>5617.72941561899</v>
      </c>
      <c r="N91" s="53">
        <f t="shared" ref="N91:AE91" si="99">SUM(N3:N90)</f>
        <v>7698.58756561898</v>
      </c>
      <c r="O91" s="53">
        <f t="shared" si="99"/>
        <v>7365.89756561898</v>
      </c>
      <c r="P91" s="53">
        <f t="shared" si="99"/>
        <v>8399.81423228565</v>
      </c>
      <c r="Q91" s="53">
        <f t="shared" si="99"/>
        <v>8399.81423228565</v>
      </c>
      <c r="R91" s="53">
        <f t="shared" si="99"/>
        <v>8486.83423228566</v>
      </c>
      <c r="S91" s="53">
        <f t="shared" si="99"/>
        <v>8486.83423228566</v>
      </c>
      <c r="T91" s="53">
        <f t="shared" si="99"/>
        <v>476.42</v>
      </c>
      <c r="U91" s="53">
        <f t="shared" si="99"/>
        <v>10016.9830333333</v>
      </c>
      <c r="V91" s="53">
        <f t="shared" si="99"/>
        <v>4325.02008888889</v>
      </c>
      <c r="W91" s="53">
        <f t="shared" si="99"/>
        <v>42212.4191846827</v>
      </c>
      <c r="X91" s="53">
        <f t="shared" si="99"/>
        <v>19951.1860840766</v>
      </c>
      <c r="Y91" s="53">
        <f t="shared" si="99"/>
        <v>22792.1512541898</v>
      </c>
      <c r="Z91" s="53">
        <f t="shared" si="99"/>
        <v>24787.1512541898</v>
      </c>
      <c r="AA91" s="53">
        <f t="shared" si="99"/>
        <v>71994.0657624279</v>
      </c>
      <c r="AB91" s="53">
        <f t="shared" si="99"/>
        <v>196555.396661789</v>
      </c>
      <c r="AC91" s="53">
        <f t="shared" si="99"/>
        <v>882875.222721934</v>
      </c>
      <c r="AD91" s="53">
        <f t="shared" si="99"/>
        <v>0</v>
      </c>
      <c r="AE91" s="53">
        <f t="shared" si="99"/>
        <v>0</v>
      </c>
    </row>
  </sheetData>
  <autoFilter xmlns:etc="http://www.wps.cn/officeDocument/2017/etCustomData" ref="A2:AE91" etc:filterBottomFollowUsedRange="0">
    <extLst/>
  </autoFilter>
  <mergeCells count="2">
    <mergeCell ref="A1:AD1"/>
    <mergeCell ref="A91:B91"/>
  </mergeCells>
  <printOptions horizontalCentered="1"/>
  <pageMargins left="0.0784722222222222" right="0.432638888888889" top="0.275" bottom="0.314583333333333" header="0.275" footer="0.196527777777778"/>
  <pageSetup paperSize="9" scale="40" orientation="landscape" horizontalDpi="600"/>
  <headerFooter alignWithMargins="0">
    <oddFooter>&amp;C主管：             &amp;R盘点人：            </oddFooter>
  </headerFooter>
  <ignoredErrors>
    <ignoredError sqref="M73:S73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workgroup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DXW</dc:creator>
  <cp:lastModifiedBy>/mg</cp:lastModifiedBy>
  <dcterms:created xsi:type="dcterms:W3CDTF">2010-04-29T03:33:00Z</dcterms:created>
  <cp:lastPrinted>2010-05-05T08:48:00Z</cp:lastPrinted>
  <dcterms:modified xsi:type="dcterms:W3CDTF">2026-03-26T07:25:43Z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 linkTarget="0">
    <vt:lpwstr>14</vt:lpwstr>
  </property>
  <property fmtid="{D5CDD505-2E9C-101B-9397-08002B2CF9AE}" pid="4" name="ICV">
    <vt:lpwstr>C57AAA2D40B644E49F843B26454C8CBB_12</vt:lpwstr>
  </property>
  <property fmtid="{D5CDD505-2E9C-101B-9397-08002B2CF9AE}" pid="5" name="CalculationRule">
    <vt:i4>0</vt:i4>
  </property>
</Properties>
</file>