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30" windowHeight="12975"/>
  </bookViews>
  <sheets>
    <sheet name="Sheet1" sheetId="1" r:id="rId1"/>
  </sheets>
  <definedNames>
    <definedName name="_xlnm._FilterDatabase" localSheetId="0" hidden="1">Sheet1!$A$3:$Y$7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<sst xmlns="http://schemas.openxmlformats.org/spreadsheetml/2006/main" count="43" uniqueCount="40">
  <si>
    <t>2024年10月份ACC毛利表</t>
  </si>
  <si>
    <t>JOB</t>
  </si>
  <si>
    <t>集装编号 </t>
  </si>
  <si>
    <t>运单编号 </t>
  </si>
  <si>
    <t>日期</t>
  </si>
  <si>
    <t>业务</t>
  </si>
  <si>
    <t>发货人 </t>
  </si>
  <si>
    <t>收货人 </t>
  </si>
  <si>
    <t>计费重量 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</si>
  <si>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</si>
  <si>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</si>
  <si>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</si>
  <si>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</si>
  <si>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</si>
  <si>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</si>
  <si>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</si>
  <si>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</si>
  <si>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</si>
  <si>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应收USD</t>
  </si>
  <si>
    <t>汇率</t>
  </si>
  <si>
    <t>人民币</t>
  </si>
  <si>
    <t>代理商</t>
  </si>
  <si>
    <t>运费</t>
  </si>
  <si>
    <t>提货费</t>
  </si>
  <si>
    <t>送货费</t>
  </si>
  <si>
    <t>包装费</t>
  </si>
  <si>
    <t>清关费</t>
  </si>
  <si>
    <t>派送费</t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</si>
  <si>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</si>
  <si>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JOB100349</t>
  </si>
  <si>
    <t>COLL004215</t>
  </si>
  <si>
    <t>Sam.Pao</t>
  </si>
  <si>
    <t>ABC</t>
  </si>
  <si>
    <t>顶派</t>
  </si>
  <si>
    <t>JOB100355</t>
  </si>
  <si>
    <t>COLL004221</t>
  </si>
  <si>
    <t>黄颖</t>
  </si>
  <si>
    <t>ying</t>
  </si>
  <si>
    <t>Taotao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</si>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</sst>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US$&quot;#,##0.00;\-&quot;US$&quot;#,##0.00"/>
    <numFmt numFmtId="177" formatCode="0.00_ "/>
    <numFmt numFmtId="178" formatCode="&quot;JOB&quot;000000"/>
    <numFmt numFmtId="179" formatCode="000000"/>
    <numFmt numFmtId="180" formatCode="m&quot;月&quot;d&quot;日&quot;;@"/>
    <numFmt numFmtId="181" formatCode="0_ "/>
    <numFmt numFmtId="182" formatCode="&quot;￥&quot;#,##0.00_);[Red]\(&quot;￥&quot;#,##0.00\)"/>
    <numFmt numFmtId="183" formatCode="_ * #,##0.00_ ;_ * \-#,##0.00_ ;_ * &quot;-&quot;_ ;_ @_ "/>
  </numFmts>
  <fonts count="34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9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sz val="10"/>
      <color theme="1"/>
      <name val="Microsoft JhengHei"/>
      <charset val="134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10"/>
      <color rgb="FFFF0000"/>
      <name val="Microsoft JhengHei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color theme="1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15" applyNumberFormat="0" applyAlignment="0" applyProtection="0">
      <alignment vertical="center"/>
    </xf>
    <xf numFmtId="0" fontId="24" fillId="9" borderId="16" applyNumberFormat="0" applyAlignment="0" applyProtection="0">
      <alignment vertical="center"/>
    </xf>
    <xf numFmtId="0" fontId="25" fillId="9" borderId="15" applyNumberFormat="0" applyAlignment="0" applyProtection="0">
      <alignment vertical="center"/>
    </xf>
    <xf numFmtId="0" fontId="26" fillId="10" borderId="17" applyNumberFormat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9" fontId="3" fillId="2" borderId="1" xfId="1" applyNumberFormat="1" applyFont="1" applyFill="1" applyBorder="1" applyAlignment="1">
      <alignment horizontal="center" vertical="center"/>
    </xf>
    <xf numFmtId="180" fontId="4" fillId="2" borderId="1" xfId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181" fontId="6" fillId="0" borderId="1" xfId="0" applyNumberFormat="1" applyFont="1" applyFill="1" applyBorder="1">
      <alignment vertical="center"/>
    </xf>
    <xf numFmtId="58" fontId="7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182" fontId="8" fillId="3" borderId="2" xfId="0" applyNumberFormat="1" applyFont="1" applyFill="1" applyBorder="1" applyAlignment="1">
      <alignment horizontal="center" vertical="center"/>
    </xf>
    <xf numFmtId="176" fontId="8" fillId="3" borderId="3" xfId="0" applyNumberFormat="1" applyFont="1" applyFill="1" applyBorder="1" applyAlignment="1">
      <alignment horizontal="center" vertical="center"/>
    </xf>
    <xf numFmtId="0" fontId="8" fillId="3" borderId="3" xfId="0" applyNumberFormat="1" applyFont="1" applyFill="1" applyBorder="1" applyAlignment="1">
      <alignment horizontal="center" vertical="center"/>
    </xf>
    <xf numFmtId="182" fontId="8" fillId="3" borderId="4" xfId="0" applyNumberFormat="1" applyFont="1" applyFill="1" applyBorder="1" applyAlignment="1">
      <alignment horizontal="right" vertical="center"/>
    </xf>
    <xf numFmtId="182" fontId="8" fillId="4" borderId="5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82" fontId="2" fillId="5" borderId="1" xfId="0" applyNumberFormat="1" applyFont="1" applyFill="1" applyBorder="1" applyAlignment="1">
      <alignment horizontal="center" vertical="center"/>
    </xf>
    <xf numFmtId="182" fontId="2" fillId="3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9" fillId="3" borderId="1" xfId="0" applyNumberFormat="1" applyFont="1" applyFill="1" applyBorder="1" applyAlignment="1">
      <alignment horizontal="center" vertical="center"/>
    </xf>
    <xf numFmtId="182" fontId="9" fillId="3" borderId="1" xfId="0" applyNumberFormat="1" applyFont="1" applyFill="1" applyBorder="1" applyAlignment="1">
      <alignment horizontal="right" vertical="center"/>
    </xf>
    <xf numFmtId="182" fontId="8" fillId="4" borderId="6" xfId="0" applyNumberFormat="1" applyFont="1" applyFill="1" applyBorder="1" applyAlignment="1">
      <alignment horizontal="center" vertical="center"/>
    </xf>
    <xf numFmtId="183" fontId="10" fillId="5" borderId="1" xfId="4" applyNumberFormat="1" applyFont="1" applyFill="1" applyBorder="1" applyAlignment="1">
      <alignment horizontal="center" vertical="center"/>
    </xf>
    <xf numFmtId="182" fontId="10" fillId="5" borderId="1" xfId="4" applyNumberFormat="1" applyFont="1" applyFill="1" applyBorder="1" applyAlignment="1">
      <alignment horizontal="center" vertical="center"/>
    </xf>
    <xf numFmtId="182" fontId="11" fillId="2" borderId="1" xfId="0" applyNumberFormat="1" applyFont="1" applyFill="1" applyBorder="1">
      <alignment vertical="center"/>
    </xf>
    <xf numFmtId="182" fontId="5" fillId="2" borderId="1" xfId="0" applyNumberFormat="1" applyFont="1" applyFill="1" applyBorder="1">
      <alignment vertical="center"/>
    </xf>
    <xf numFmtId="182" fontId="5" fillId="2" borderId="1" xfId="0" applyNumberFormat="1" applyFont="1" applyFill="1" applyBorder="1" applyAlignment="1">
      <alignment horizontal="center" vertical="center"/>
    </xf>
    <xf numFmtId="182" fontId="12" fillId="0" borderId="1" xfId="0" applyNumberFormat="1" applyFont="1" applyBorder="1" applyAlignment="1">
      <alignment horizontal="center" vertical="center"/>
    </xf>
    <xf numFmtId="182" fontId="11" fillId="0" borderId="1" xfId="0" applyNumberFormat="1" applyFont="1" applyFill="1" applyBorder="1">
      <alignment vertical="center"/>
    </xf>
    <xf numFmtId="182" fontId="6" fillId="0" borderId="1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82" fontId="13" fillId="5" borderId="7" xfId="0" applyNumberFormat="1" applyFont="1" applyFill="1" applyBorder="1" applyAlignment="1">
      <alignment horizontal="center" vertical="center"/>
    </xf>
    <xf numFmtId="182" fontId="13" fillId="3" borderId="5" xfId="0" applyNumberFormat="1" applyFont="1" applyFill="1" applyBorder="1" applyAlignment="1">
      <alignment horizontal="center" vertical="center" wrapText="1"/>
    </xf>
    <xf numFmtId="176" fontId="9" fillId="3" borderId="7" xfId="0" applyNumberFormat="1" applyFont="1" applyFill="1" applyBorder="1" applyAlignment="1">
      <alignment horizontal="center" vertical="center"/>
    </xf>
    <xf numFmtId="177" fontId="9" fillId="3" borderId="8" xfId="0" applyNumberFormat="1" applyFont="1" applyFill="1" applyBorder="1" applyAlignment="1">
      <alignment horizontal="center" vertical="center"/>
    </xf>
    <xf numFmtId="182" fontId="9" fillId="3" borderId="9" xfId="0" applyNumberFormat="1" applyFont="1" applyFill="1" applyBorder="1" applyAlignment="1">
      <alignment horizontal="center" vertical="center"/>
    </xf>
    <xf numFmtId="182" fontId="9" fillId="4" borderId="5" xfId="0" applyNumberFormat="1" applyFont="1" applyFill="1" applyBorder="1" applyAlignment="1">
      <alignment horizontal="center" vertical="center"/>
    </xf>
    <xf numFmtId="182" fontId="14" fillId="5" borderId="10" xfId="0" applyNumberFormat="1" applyFont="1" applyFill="1" applyBorder="1" applyAlignment="1">
      <alignment horizontal="center" vertical="center"/>
    </xf>
    <xf numFmtId="182" fontId="13" fillId="3" borderId="6" xfId="0" applyNumberFormat="1" applyFont="1" applyFill="1" applyBorder="1" applyAlignment="1">
      <alignment horizontal="center" vertical="center" wrapText="1"/>
    </xf>
    <xf numFmtId="176" fontId="9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82" fontId="9" fillId="3" borderId="1" xfId="0" applyNumberFormat="1" applyFont="1" applyFill="1" applyBorder="1" applyAlignment="1">
      <alignment horizontal="center" vertical="center"/>
    </xf>
    <xf numFmtId="182" fontId="9" fillId="4" borderId="1" xfId="0" applyNumberFormat="1" applyFont="1" applyFill="1" applyBorder="1" applyAlignment="1">
      <alignment horizontal="center" vertical="center"/>
    </xf>
    <xf numFmtId="182" fontId="12" fillId="0" borderId="1" xfId="0" applyNumberFormat="1" applyFont="1" applyFill="1" applyBorder="1" applyAlignment="1">
      <alignment horizontal="center" vertical="center"/>
    </xf>
    <xf numFmtId="182" fontId="6" fillId="3" borderId="1" xfId="0" applyNumberFormat="1" applyFont="1" applyFill="1" applyBorder="1" applyAlignment="1">
      <alignment horizontal="center" vertical="center"/>
    </xf>
    <xf numFmtId="182" fontId="6" fillId="0" borderId="1" xfId="0" applyNumberFormat="1" applyFont="1" applyFill="1" applyBorder="1" applyAlignment="1">
      <alignment horizontal="center" vertical="center"/>
    </xf>
    <xf numFmtId="182" fontId="8" fillId="6" borderId="5" xfId="0" applyNumberFormat="1" applyFont="1" applyFill="1" applyBorder="1" applyAlignment="1">
      <alignment horizontal="center" vertical="center"/>
    </xf>
    <xf numFmtId="182" fontId="8" fillId="6" borderId="11" xfId="0" applyNumberFormat="1" applyFont="1" applyFill="1" applyBorder="1" applyAlignment="1">
      <alignment horizontal="center" vertical="center"/>
    </xf>
    <xf numFmtId="182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7"/>
  <sheetViews>
    <sheetView tabSelected="1" topLeftCell="I1" workbookViewId="0">
      <selection activeCell="P14" sqref="P14"/>
    </sheetView>
  </sheetViews>
  <sheetFormatPr defaultColWidth="9" defaultRowHeight="13.5" outlineLevelRow="6"/>
  <cols>
    <col min="3" max="3" width="14.125"/>
    <col min="8" max="8" width="11.5"/>
    <col min="9" max="9" width="13.5" customWidth="1"/>
    <col min="10" max="10" width="11.5"/>
    <col min="12" max="12" width="12.875"/>
    <col min="13" max="13" width="13.625" customWidth="1"/>
    <col min="14" max="14" width="16.75" customWidth="1"/>
    <col min="15" max="15" width="13.625" customWidth="1"/>
    <col min="16" max="17" width="10.125"/>
    <col min="18" max="18" width="9.125"/>
    <col min="20" max="20" width="15.75" customWidth="1"/>
    <col min="21" max="21" width="11.875" style="2" customWidth="1"/>
    <col min="22" max="22" width="9" style="3" customWidth="1"/>
    <col min="23" max="23" width="12.625"/>
    <col min="24" max="24" width="12.625" customWidth="1"/>
    <col min="25" max="25" width="14.375" customWidth="1"/>
  </cols>
  <sheetData>
    <row r="1" ht="31" customHeight="1" spans="1:3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34"/>
      <c r="V1" s="35"/>
      <c r="W1" s="4"/>
      <c r="X1" s="4"/>
      <c r="Y1" s="4"/>
      <c r="Z1" s="4"/>
      <c r="AA1" s="4"/>
      <c r="AB1" s="4"/>
      <c r="AC1" s="4"/>
      <c r="AD1" s="4"/>
    </row>
    <row r="3" s="1" customFormat="1" ht="20" customHeight="1" spans="1:25">
      <c r="A3" s="5" t="s">
        <v>1</v>
      </c>
      <c r="B3" s="6" t="s">
        <v>2</v>
      </c>
      <c r="C3" s="7" t="s">
        <v>3</v>
      </c>
      <c r="D3" s="8" t="s">
        <v>4</v>
      </c>
      <c r="E3" s="8" t="s">
        <v>5</v>
      </c>
      <c r="F3" s="6" t="s">
        <v>6</v>
      </c>
      <c r="G3" s="6" t="s">
        <v>7</v>
      </c>
      <c r="H3" s="6" t="s">
        <v>8</v>
      </c>
      <c r="I3" s="14" t="s">
        <v>9</v>
      </c>
      <c r="J3" s="15"/>
      <c r="K3" s="16"/>
      <c r="L3" s="17"/>
      <c r="M3" s="18" t="s">
        <v>10</v>
      </c>
      <c r="N3" s="19" t="s">
        <v>11</v>
      </c>
      <c r="O3" s="20"/>
      <c r="P3" s="20"/>
      <c r="Q3" s="20"/>
      <c r="R3" s="20"/>
      <c r="S3" s="36" t="s">
        <v>12</v>
      </c>
      <c r="T3" s="37" t="s">
        <v>13</v>
      </c>
      <c r="U3" s="38" t="s">
        <v>14</v>
      </c>
      <c r="V3" s="39"/>
      <c r="W3" s="40"/>
      <c r="X3" s="41" t="s">
        <v>15</v>
      </c>
      <c r="Y3" s="51" t="s">
        <v>16</v>
      </c>
    </row>
    <row r="4" s="1" customFormat="1" ht="20" customHeight="1" spans="1:25">
      <c r="A4" s="5"/>
      <c r="B4" s="6"/>
      <c r="C4" s="7"/>
      <c r="D4" s="8"/>
      <c r="E4" s="8"/>
      <c r="F4" s="6"/>
      <c r="G4" s="6"/>
      <c r="H4" s="6"/>
      <c r="I4" s="21" t="s">
        <v>17</v>
      </c>
      <c r="J4" s="22" t="s">
        <v>18</v>
      </c>
      <c r="K4" s="23" t="s">
        <v>19</v>
      </c>
      <c r="L4" s="24" t="s">
        <v>20</v>
      </c>
      <c r="M4" s="25"/>
      <c r="N4" s="26" t="s">
        <v>21</v>
      </c>
      <c r="O4" s="27" t="s">
        <v>22</v>
      </c>
      <c r="P4" s="27" t="s">
        <v>23</v>
      </c>
      <c r="Q4" s="27" t="s">
        <v>24</v>
      </c>
      <c r="R4" s="27" t="s">
        <v>25</v>
      </c>
      <c r="S4" s="42"/>
      <c r="T4" s="43"/>
      <c r="U4" s="44" t="s">
        <v>26</v>
      </c>
      <c r="V4" s="45" t="s">
        <v>27</v>
      </c>
      <c r="W4" s="46" t="s">
        <v>20</v>
      </c>
      <c r="X4" s="47" t="s">
        <v>28</v>
      </c>
      <c r="Y4" s="52"/>
    </row>
    <row r="5" customFormat="1" ht="21" customHeight="1" spans="1:25">
      <c r="A5" s="9" t="s">
        <v>29</v>
      </c>
      <c r="B5" s="10" t="s">
        <v>30</v>
      </c>
      <c r="C5" s="11">
        <v>241011000040</v>
      </c>
      <c r="D5" s="12">
        <v>45593</v>
      </c>
      <c r="E5" s="12" t="s">
        <v>31</v>
      </c>
      <c r="F5" s="10" t="s">
        <v>31</v>
      </c>
      <c r="G5" s="10" t="s">
        <v>32</v>
      </c>
      <c r="H5" s="10">
        <v>156</v>
      </c>
      <c r="I5" s="28">
        <v>18466</v>
      </c>
      <c r="J5" s="29"/>
      <c r="K5" s="29"/>
      <c r="L5" s="29">
        <f>SUM(I5)</f>
        <v>18466</v>
      </c>
      <c r="M5" s="29">
        <f>SUM(L5)</f>
        <v>18466</v>
      </c>
      <c r="N5" s="30" t="s">
        <v>33</v>
      </c>
      <c r="O5" s="31">
        <v>10626</v>
      </c>
      <c r="P5" s="31">
        <v>570</v>
      </c>
      <c r="Q5" s="31"/>
      <c r="R5" s="31"/>
      <c r="S5" s="31"/>
      <c r="T5" s="48">
        <f>SUM(O5:S5)</f>
        <v>11196</v>
      </c>
      <c r="U5" s="31">
        <v>3900</v>
      </c>
      <c r="V5" s="31"/>
      <c r="W5" s="48">
        <f>SUM(U5:V5)</f>
        <v>3900</v>
      </c>
      <c r="X5" s="31">
        <f>SUM(T5+W5)</f>
        <v>15096</v>
      </c>
      <c r="Y5" s="31">
        <f>SUM(M5-X5)</f>
        <v>3370</v>
      </c>
    </row>
    <row r="6" customFormat="1" ht="21" customHeight="1" spans="1:25">
      <c r="A6" s="9" t="s">
        <v>34</v>
      </c>
      <c r="B6" s="10" t="s">
        <v>35</v>
      </c>
      <c r="C6" s="11">
        <v>241024000021</v>
      </c>
      <c r="D6" s="12">
        <v>45595</v>
      </c>
      <c r="E6" s="12" t="s">
        <v>36</v>
      </c>
      <c r="F6" s="10" t="s">
        <v>37</v>
      </c>
      <c r="G6" s="10" t="s">
        <v>38</v>
      </c>
      <c r="H6" s="10">
        <v>434</v>
      </c>
      <c r="I6" s="32">
        <v>37190</v>
      </c>
      <c r="J6" s="29"/>
      <c r="K6" s="29"/>
      <c r="L6" s="29">
        <f>SUM(I6)</f>
        <v>37190</v>
      </c>
      <c r="M6" s="29">
        <f>SUM(L6)</f>
        <v>37190</v>
      </c>
      <c r="N6" s="30" t="s">
        <v>33</v>
      </c>
      <c r="O6" s="33">
        <v>22638</v>
      </c>
      <c r="P6" s="33"/>
      <c r="Q6" s="49">
        <v>119.15</v>
      </c>
      <c r="R6" s="33"/>
      <c r="S6" s="33"/>
      <c r="T6" s="50">
        <f>SUM(O6:S6)</f>
        <v>22757.15</v>
      </c>
      <c r="U6" s="33">
        <v>6780</v>
      </c>
      <c r="V6" s="33"/>
      <c r="W6" s="50">
        <f>SUM(U6:V6)</f>
        <v>6780</v>
      </c>
      <c r="X6" s="33">
        <f>SUM(T6+W6)</f>
        <v>29537.15</v>
      </c>
      <c r="Y6" s="33">
        <f>SUM(M6-X6)</f>
        <v>7652.85</v>
      </c>
    </row>
    <row r="7" ht="21" customHeight="1" spans="1:25">
      <c r="A7" s="13" t="s">
        <v>39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53">
        <f>SUM(Y5:Y6)</f>
        <v>11022.85</v>
      </c>
    </row>
  </sheetData>
  <autoFilter xmlns:etc="http://www.wps.cn/officeDocument/2017/etCustomData" ref="A3:Y7" etc:filterBottomFollowUsedRange="0">
    <extLst/>
  </autoFilter>
  <mergeCells count="15">
    <mergeCell ref="A1:Z1"/>
    <mergeCell ref="I3:L3"/>
    <mergeCell ref="U3:W3"/>
    <mergeCell ref="A3:A4"/>
    <mergeCell ref="B3:B4"/>
    <mergeCell ref="C3:C4"/>
    <mergeCell ref="D3:D4"/>
    <mergeCell ref="E3:E4"/>
    <mergeCell ref="F3:F4"/>
    <mergeCell ref="G3:G4"/>
    <mergeCell ref="H3:H4"/>
    <mergeCell ref="M3:M4"/>
    <mergeCell ref="S3:S4"/>
    <mergeCell ref="T3:T4"/>
    <mergeCell ref="Y3:Y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2020-12-22T03:25:00Z</dcterms:created>
  <dcterms:modified xsi:type="dcterms:W3CDTF">2025-02-27T06:55:48Z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56FC7B15CC344A57B35700787C6E07A0</vt:lpwstr>
  </property>
</Properties>
</file>