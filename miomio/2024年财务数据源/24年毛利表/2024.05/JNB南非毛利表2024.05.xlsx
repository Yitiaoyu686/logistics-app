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毛利表2023" sheetId="2" r:id="rId1"/>
  </sheets>
  <definedNames>
    <definedName name="_xlnm._FilterDatabase" localSheetId="0" hidden="1">毛利表2023!$B$3:$T$6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<sst xmlns="http://schemas.openxmlformats.org/spreadsheetml/2006/main" count="36" uniqueCount="35">
  <si>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JNB南非毛利表（5月）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</si>
  <si>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</si>
  <si>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</si>
  <si>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</si>
  <si>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</si>
  <si>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</si>
  <si>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</si>
  <si>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</si>
  <si>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</si>
  <si>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</si>
  <si>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</si>
  <si>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</si>
  <si>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</si>
  <si>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</si>
  <si>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</si>
  <si>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</si>
  <si>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</si>
  <si>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</si>
  <si>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</si>
  <si>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</si>
  <si>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</si>
  <si>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</si>
  <si>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</si>
  <si>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</si>
  <si>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</si>
  <si>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</si>
  <si>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</si>
  <si>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</si>
  <si>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</si>
  <si>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JOB050338</t>
  </si>
  <si>
    <t>COLL003943</t>
  </si>
  <si>
    <t>ying</t>
  </si>
  <si>
    <t>Karabo Moshoeshoe</t>
  </si>
  <si>
    <t>上海旨福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</si>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</sst>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2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2" fillId="4" borderId="1" xfId="4" applyNumberFormat="1" applyFont="1" applyFill="1" applyBorder="1" applyAlignment="1">
      <alignment horizontal="center" vertical="center"/>
    </xf>
    <xf numFmtId="179" fontId="12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9" fillId="0" borderId="1" xfId="0" applyNumberFormat="1" applyFont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3" fillId="4" borderId="7" xfId="0" applyNumberFormat="1" applyFont="1" applyFill="1" applyBorder="1" applyAlignment="1">
      <alignment horizontal="center" vertical="center"/>
    </xf>
    <xf numFmtId="179" fontId="13" fillId="0" borderId="5" xfId="0" applyNumberFormat="1" applyFont="1" applyFill="1" applyBorder="1" applyAlignment="1">
      <alignment horizontal="center" vertical="center" wrapText="1"/>
    </xf>
    <xf numFmtId="181" fontId="11" fillId="3" borderId="7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79" fontId="11" fillId="0" borderId="9" xfId="0" applyNumberFormat="1" applyFont="1" applyFill="1" applyBorder="1" applyAlignment="1">
      <alignment horizontal="center" vertical="center"/>
    </xf>
    <xf numFmtId="179" fontId="11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4" fillId="4" borderId="10" xfId="0" applyNumberFormat="1" applyFont="1" applyFill="1" applyBorder="1" applyAlignment="1">
      <alignment horizontal="center" vertical="center"/>
    </xf>
    <xf numFmtId="179" fontId="13" fillId="0" borderId="6" xfId="0" applyNumberFormat="1" applyFont="1" applyFill="1" applyBorder="1" applyAlignment="1">
      <alignment horizontal="center" vertical="center" wrapText="1"/>
    </xf>
    <xf numFmtId="181" fontId="11" fillId="3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79" fontId="11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0"/>
  <sheetViews>
    <sheetView tabSelected="1" topLeftCell="C1" workbookViewId="0">
      <pane ySplit="4" topLeftCell="A5" activePane="bottomLeft" state="frozen"/>
      <selection/>
      <selection pane="bottomLeft" activeCell="L11" sqref="L11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0"/>
      <c r="L2" s="20"/>
      <c r="M2" s="20"/>
      <c r="N2" s="20"/>
      <c r="O2" s="20"/>
      <c r="Q2" s="20"/>
      <c r="R2" s="20" t="s">
        <v>1</v>
      </c>
      <c r="S2" s="20"/>
      <c r="T2" s="20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1"/>
      <c r="J3" s="22"/>
      <c r="K3" s="23"/>
      <c r="L3" s="24" t="s">
        <v>10</v>
      </c>
      <c r="M3" s="25" t="s">
        <v>11</v>
      </c>
      <c r="N3" s="26"/>
      <c r="O3" s="26"/>
      <c r="P3" s="26"/>
      <c r="Q3" s="36"/>
      <c r="R3" s="37" t="s">
        <v>12</v>
      </c>
      <c r="S3" s="38" t="s">
        <v>13</v>
      </c>
      <c r="T3" s="39" t="s">
        <v>14</v>
      </c>
      <c r="U3" s="40"/>
      <c r="V3" s="41"/>
      <c r="W3" s="42" t="s">
        <v>15</v>
      </c>
      <c r="X3" s="43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27" t="s">
        <v>19</v>
      </c>
      <c r="K4" s="28" t="s">
        <v>20</v>
      </c>
      <c r="L4" s="29"/>
      <c r="M4" s="30" t="s">
        <v>21</v>
      </c>
      <c r="N4" s="31" t="s">
        <v>22</v>
      </c>
      <c r="O4" s="31" t="s">
        <v>23</v>
      </c>
      <c r="P4" s="31" t="s">
        <v>24</v>
      </c>
      <c r="Q4" s="31" t="s">
        <v>25</v>
      </c>
      <c r="R4" s="44"/>
      <c r="S4" s="45"/>
      <c r="T4" s="46" t="s">
        <v>26</v>
      </c>
      <c r="U4" s="11" t="s">
        <v>27</v>
      </c>
      <c r="V4" s="47" t="s">
        <v>20</v>
      </c>
      <c r="W4" s="48" t="s">
        <v>28</v>
      </c>
      <c r="X4" s="49"/>
    </row>
    <row r="5" s="1" customFormat="1" customHeight="1" spans="1:24">
      <c r="A5" s="12" t="s">
        <v>29</v>
      </c>
      <c r="B5" s="13" t="s">
        <v>30</v>
      </c>
      <c r="C5" s="14">
        <v>240507000016</v>
      </c>
      <c r="D5" s="15">
        <v>45427</v>
      </c>
      <c r="E5" s="13" t="s">
        <v>31</v>
      </c>
      <c r="F5" s="13" t="s">
        <v>32</v>
      </c>
      <c r="G5" s="13">
        <v>25.5</v>
      </c>
      <c r="H5" s="16">
        <v>2499</v>
      </c>
      <c r="I5" s="32"/>
      <c r="J5" s="32"/>
      <c r="K5" s="32">
        <f>SUM(H5)</f>
        <v>2499</v>
      </c>
      <c r="L5" s="32">
        <f>SUM(K5)</f>
        <v>2499</v>
      </c>
      <c r="M5" s="33" t="s">
        <v>33</v>
      </c>
      <c r="N5" s="33">
        <v>2091</v>
      </c>
      <c r="O5" s="33"/>
      <c r="P5" s="34">
        <v>75.01</v>
      </c>
      <c r="Q5" s="33"/>
      <c r="R5" s="33"/>
      <c r="S5" s="33">
        <f>SUM(N5:R5)</f>
        <v>2166.01</v>
      </c>
      <c r="T5" s="33"/>
      <c r="U5" s="33"/>
      <c r="V5" s="33">
        <v>0</v>
      </c>
      <c r="W5" s="33">
        <f>SUM(S5+V5)</f>
        <v>2166.01</v>
      </c>
      <c r="X5" s="33">
        <f>SUM(L5-W5)</f>
        <v>332.99</v>
      </c>
    </row>
    <row r="6" s="2" customFormat="1" ht="20" customHeight="1" spans="1:24">
      <c r="A6" s="17" t="s">
        <v>34</v>
      </c>
      <c r="B6" s="17"/>
      <c r="C6" s="18"/>
      <c r="D6" s="19"/>
      <c r="E6" s="19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50">
        <f>SUM(X5:X5)</f>
        <v>332.99</v>
      </c>
    </row>
    <row r="7" ht="14" customHeight="1"/>
    <row r="8" ht="14" customHeight="1" spans="11:17">
      <c r="K8" s="35"/>
      <c r="L8" s="35"/>
      <c r="M8" s="35"/>
      <c r="N8" s="35"/>
      <c r="O8" s="35"/>
      <c r="P8" s="35"/>
      <c r="Q8" s="35"/>
    </row>
    <row r="9" ht="14" customHeight="1"/>
    <row r="10" ht="14" customHeight="1"/>
  </sheetData>
  <autoFilter xmlns:etc="http://www.wps.cn/officeDocument/2017/etCustomData" ref="B3:T6" etc:filterBottomFollowUsedRange="0">
    <extLst/>
  </autoFilter>
  <mergeCells count="16">
    <mergeCell ref="B1:T1"/>
    <mergeCell ref="H3:K3"/>
    <mergeCell ref="M3:Q3"/>
    <mergeCell ref="T3:V3"/>
    <mergeCell ref="A6:B6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2018-03-09T08:26:00Z</dcterms:created>
  <dcterms:modified xsi:type="dcterms:W3CDTF">2024-08-20T08:55:17Z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