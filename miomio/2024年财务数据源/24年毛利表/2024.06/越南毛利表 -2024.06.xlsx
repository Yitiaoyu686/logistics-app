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24年" sheetId="6" r:id="rId1"/>
  </sheets>
  <definedNames>
    <definedName name="_xlnm._FilterDatabase" localSheetId="0" hidden="1">'24年'!#REF!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<sst xmlns="http://schemas.openxmlformats.org/spreadsheetml/2006/main" count="35" uniqueCount="34">
  <si>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越南毛利表2024.06</t>
  </si>
  <si>
    <t>JOB</t>
  </si>
  <si>
    <t>集装编号 </t>
  </si>
  <si>
    <t>运单编号 </t>
  </si>
  <si>
    <t>日期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</si>
  <si>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</si>
  <si>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</si>
  <si>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</si>
  <si>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</si>
  <si>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</si>
  <si>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</si>
  <si>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</si>
  <si>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</si>
  <si>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</si>
  <si>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</si>
  <si>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</si>
  <si>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</si>
  <si>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</si>
  <si>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</si>
  <si>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</si>
  <si>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</si>
  <si>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</si>
  <si>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</si>
  <si>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</si>
  <si>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</si>
  <si>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</si>
  <si>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</si>
  <si>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8"/>
        <color theme="1"/>
        <rFont val="宋体"/>
        <charset val="134"/>
      </rPr>
      <t>起运港</t>
    </r>
    <r>
      <rPr>
        <b/>
        <sz val="8"/>
        <color theme="1"/>
        <rFont val="Microsoft JhengHei"/>
        <charset val="134"/>
      </rPr>
      <t>+</t>
    </r>
    <r>
      <rPr>
        <b/>
        <sz val="8"/>
        <color theme="1"/>
        <rFont val="宋体"/>
        <charset val="134"/>
      </rPr>
      <t>目的港</t>
    </r>
  </si>
  <si>
    <t>JOB060373</t>
  </si>
  <si>
    <t>COLL004025</t>
  </si>
  <si>
    <t>Bella Chan</t>
  </si>
  <si>
    <t>Zou Qiyang</t>
  </si>
  <si>
    <t>越南同行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</si>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</sst>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&quot;JOB&quot;000000"/>
    <numFmt numFmtId="178" formatCode="m&quot;月&quot;d&quot;日&quot;;@"/>
    <numFmt numFmtId="179" formatCode="&quot;￥&quot;#,##0.00_);[Red]\(&quot;￥&quot;#,##0.00\)"/>
    <numFmt numFmtId="180" formatCode="0_ "/>
    <numFmt numFmtId="181" formatCode="&quot;US$&quot;#,##0.00;\-&quot;US$&quot;#,##0.00"/>
    <numFmt numFmtId="182" formatCode="_ * #,##0.00_ ;_ * \-#,##0.00_ ;_ * &quot;-&quot;_ ;_ @_ "/>
  </numFmts>
  <fonts count="40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name val="Microsoft JhengHei"/>
      <charset val="134"/>
    </font>
    <font>
      <sz val="10"/>
      <color theme="1"/>
      <name val="Microsoft JhengHei"/>
      <charset val="134"/>
    </font>
    <font>
      <sz val="10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8"/>
      <color theme="1"/>
      <name val="宋体"/>
      <charset val="134"/>
    </font>
    <font>
      <sz val="9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theme="1"/>
      <name val="Microsoft JhengHe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14" applyNumberFormat="0" applyAlignment="0" applyProtection="0">
      <alignment vertical="center"/>
    </xf>
    <xf numFmtId="0" fontId="29" fillId="9" borderId="15" applyNumberFormat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31" fillId="10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5" fillId="2" borderId="2" xfId="1" applyNumberFormat="1" applyFont="1" applyFill="1" applyBorder="1" applyAlignment="1">
      <alignment horizontal="center" vertical="center"/>
    </xf>
    <xf numFmtId="178" fontId="6" fillId="2" borderId="2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8" fontId="6" fillId="2" borderId="1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0" fontId="8" fillId="2" borderId="2" xfId="0" applyNumberFormat="1" applyFont="1" applyFill="1" applyBorder="1">
      <alignment vertical="center"/>
    </xf>
    <xf numFmtId="58" fontId="9" fillId="0" borderId="2" xfId="0" applyNumberFormat="1" applyFont="1" applyBorder="1" applyAlignment="1">
      <alignment horizontal="center" vertical="center"/>
    </xf>
    <xf numFmtId="179" fontId="10" fillId="2" borderId="2" xfId="0" applyNumberFormat="1" applyFont="1" applyFill="1" applyBorder="1">
      <alignment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176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1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79" fontId="1" fillId="3" borderId="6" xfId="0" applyNumberFormat="1" applyFont="1" applyFill="1" applyBorder="1" applyAlignment="1">
      <alignment horizontal="center" vertical="center"/>
    </xf>
    <xf numFmtId="179" fontId="1" fillId="4" borderId="1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81" fontId="4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/>
    </xf>
    <xf numFmtId="179" fontId="1" fillId="4" borderId="4" xfId="0" applyNumberFormat="1" applyFont="1" applyFill="1" applyBorder="1" applyAlignment="1">
      <alignment horizontal="center" vertical="center"/>
    </xf>
    <xf numFmtId="182" fontId="12" fillId="5" borderId="1" xfId="4" applyNumberFormat="1" applyFont="1" applyFill="1" applyBorder="1" applyAlignment="1">
      <alignment horizontal="center" vertical="center"/>
    </xf>
    <xf numFmtId="182" fontId="13" fillId="5" borderId="1" xfId="4" applyNumberFormat="1" applyFont="1" applyFill="1" applyBorder="1" applyAlignment="1">
      <alignment horizontal="center" vertical="center"/>
    </xf>
    <xf numFmtId="179" fontId="7" fillId="2" borderId="2" xfId="0" applyNumberFormat="1" applyFont="1" applyFill="1" applyBorder="1">
      <alignment vertical="center"/>
    </xf>
    <xf numFmtId="179" fontId="14" fillId="0" borderId="2" xfId="0" applyNumberFormat="1" applyFont="1" applyFill="1" applyBorder="1" applyAlignment="1">
      <alignment horizontal="right" vertical="center"/>
    </xf>
    <xf numFmtId="179" fontId="9" fillId="0" borderId="2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 wrapText="1"/>
    </xf>
    <xf numFmtId="179" fontId="16" fillId="3" borderId="1" xfId="0" applyNumberFormat="1" applyFont="1" applyFill="1" applyBorder="1" applyAlignment="1">
      <alignment horizontal="center" vertical="center" wrapText="1"/>
    </xf>
    <xf numFmtId="181" fontId="11" fillId="3" borderId="7" xfId="0" applyNumberFormat="1" applyFont="1" applyFill="1" applyBorder="1" applyAlignment="1">
      <alignment horizontal="center" vertical="center"/>
    </xf>
    <xf numFmtId="0" fontId="11" fillId="3" borderId="8" xfId="0" applyNumberFormat="1" applyFont="1" applyFill="1" applyBorder="1" applyAlignment="1">
      <alignment horizontal="center" vertical="center"/>
    </xf>
    <xf numFmtId="179" fontId="11" fillId="3" borderId="9" xfId="0" applyNumberFormat="1" applyFont="1" applyFill="1" applyBorder="1" applyAlignment="1">
      <alignment horizontal="center" vertical="center"/>
    </xf>
    <xf numFmtId="179" fontId="11" fillId="4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 wrapText="1"/>
    </xf>
    <xf numFmtId="179" fontId="16" fillId="3" borderId="4" xfId="0" applyNumberFormat="1" applyFont="1" applyFill="1" applyBorder="1" applyAlignment="1">
      <alignment horizontal="center" vertical="center" wrapText="1"/>
    </xf>
    <xf numFmtId="181" fontId="11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9" fontId="17" fillId="4" borderId="1" xfId="0" applyNumberFormat="1" applyFont="1" applyFill="1" applyBorder="1" applyAlignment="1">
      <alignment horizontal="center" vertical="center"/>
    </xf>
    <xf numFmtId="179" fontId="1" fillId="6" borderId="4" xfId="0" applyNumberFormat="1" applyFont="1" applyFill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"/>
  <sheetViews>
    <sheetView tabSelected="1" topLeftCell="H1" workbookViewId="0">
      <pane ySplit="4" topLeftCell="A5" activePane="bottomLeft" state="frozen"/>
      <selection/>
      <selection pane="bottomLeft" activeCell="P12" sqref="P12"/>
    </sheetView>
  </sheetViews>
  <sheetFormatPr defaultColWidth="9" defaultRowHeight="19" customHeight="1" outlineLevelRow="7"/>
  <cols>
    <col min="1" max="1" width="11" style="1" customWidth="1"/>
    <col min="2" max="2" width="11.875" style="1" customWidth="1"/>
    <col min="3" max="3" width="13.125" style="1" customWidth="1"/>
    <col min="4" max="4" width="7.25" style="1" customWidth="1"/>
    <col min="5" max="5" width="7.875" style="1" customWidth="1"/>
    <col min="6" max="6" width="5.375" style="1" customWidth="1"/>
    <col min="7" max="7" width="7.875" style="1" customWidth="1"/>
    <col min="8" max="8" width="12.375" style="1"/>
    <col min="9" max="9" width="12.125" style="1" customWidth="1"/>
    <col min="10" max="10" width="12" style="1" customWidth="1"/>
    <col min="11" max="11" width="11.125" style="1" customWidth="1"/>
    <col min="12" max="12" width="14.75" style="1"/>
    <col min="13" max="13" width="13.875" style="1" customWidth="1"/>
    <col min="14" max="14" width="14.75" style="1"/>
    <col min="15" max="15" width="9" style="1"/>
    <col min="16" max="16" width="10" style="1" customWidth="1"/>
    <col min="17" max="17" width="7.75" style="1" customWidth="1"/>
    <col min="18" max="18" width="9.25" style="1" customWidth="1"/>
    <col min="19" max="19" width="14.75" style="1"/>
    <col min="20" max="20" width="9" style="1"/>
    <col min="21" max="21" width="5.125" style="1" customWidth="1"/>
    <col min="22" max="22" width="13.625" style="1"/>
    <col min="23" max="24" width="14.75" style="1"/>
    <col min="25" max="16379" width="9" style="1"/>
  </cols>
  <sheetData>
    <row r="1" ht="20.25" customHeight="1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="1" customFormat="1" ht="21" customHeight="1" spans="1:18">
      <c r="A2" s="6"/>
      <c r="B2" s="6"/>
      <c r="C2" s="6"/>
      <c r="D2" s="6"/>
      <c r="E2" s="6"/>
      <c r="F2" s="6"/>
      <c r="G2" s="6"/>
      <c r="H2" s="6"/>
      <c r="I2" s="4"/>
      <c r="J2" s="27"/>
      <c r="K2" s="27"/>
      <c r="L2" s="27"/>
      <c r="M2" s="27"/>
      <c r="N2" s="27"/>
      <c r="P2" s="27"/>
      <c r="Q2" s="27"/>
      <c r="R2" s="27"/>
    </row>
    <row r="3" s="2" customFormat="1" ht="21" customHeight="1" spans="1:24">
      <c r="A3" s="7" t="s">
        <v>1</v>
      </c>
      <c r="B3" s="8" t="s">
        <v>2</v>
      </c>
      <c r="C3" s="9" t="s">
        <v>3</v>
      </c>
      <c r="D3" s="10" t="s">
        <v>4</v>
      </c>
      <c r="E3" s="11" t="s">
        <v>5</v>
      </c>
      <c r="F3" s="11" t="s">
        <v>6</v>
      </c>
      <c r="G3" s="11" t="s">
        <v>7</v>
      </c>
      <c r="H3" s="12" t="s">
        <v>8</v>
      </c>
      <c r="I3" s="33"/>
      <c r="J3" s="34"/>
      <c r="K3" s="35"/>
      <c r="L3" s="36" t="s">
        <v>9</v>
      </c>
      <c r="M3" s="37" t="s">
        <v>10</v>
      </c>
      <c r="N3" s="38"/>
      <c r="O3" s="38"/>
      <c r="P3" s="38"/>
      <c r="Q3" s="50"/>
      <c r="R3" s="51" t="s">
        <v>11</v>
      </c>
      <c r="S3" s="52" t="s">
        <v>12</v>
      </c>
      <c r="T3" s="53" t="s">
        <v>13</v>
      </c>
      <c r="U3" s="54"/>
      <c r="V3" s="55"/>
      <c r="W3" s="56" t="s">
        <v>14</v>
      </c>
      <c r="X3" s="57" t="s">
        <v>15</v>
      </c>
    </row>
    <row r="4" s="2" customFormat="1" ht="21" customHeight="1" spans="1:24">
      <c r="A4" s="13"/>
      <c r="B4" s="14"/>
      <c r="C4" s="15"/>
      <c r="D4" s="16"/>
      <c r="E4" s="17"/>
      <c r="F4" s="17"/>
      <c r="G4" s="17"/>
      <c r="H4" s="18" t="s">
        <v>16</v>
      </c>
      <c r="I4" s="39" t="s">
        <v>17</v>
      </c>
      <c r="J4" s="40" t="s">
        <v>18</v>
      </c>
      <c r="K4" s="41" t="s">
        <v>19</v>
      </c>
      <c r="L4" s="42"/>
      <c r="M4" s="43" t="s">
        <v>20</v>
      </c>
      <c r="N4" s="44" t="s">
        <v>21</v>
      </c>
      <c r="O4" s="44" t="s">
        <v>22</v>
      </c>
      <c r="P4" s="44" t="s">
        <v>23</v>
      </c>
      <c r="Q4" s="44" t="s">
        <v>24</v>
      </c>
      <c r="R4" s="58"/>
      <c r="S4" s="59"/>
      <c r="T4" s="60" t="s">
        <v>25</v>
      </c>
      <c r="U4" s="61" t="s">
        <v>26</v>
      </c>
      <c r="V4" s="41" t="s">
        <v>19</v>
      </c>
      <c r="W4" s="62" t="s">
        <v>27</v>
      </c>
      <c r="X4" s="63"/>
    </row>
    <row r="5" s="2" customFormat="1" customHeight="1" spans="1:16384">
      <c r="A5" s="19" t="s">
        <v>28</v>
      </c>
      <c r="B5" s="20" t="s">
        <v>29</v>
      </c>
      <c r="C5" s="21">
        <v>240607000033</v>
      </c>
      <c r="D5" s="22">
        <v>45467</v>
      </c>
      <c r="E5" s="20" t="s">
        <v>30</v>
      </c>
      <c r="F5" s="20" t="s">
        <v>31</v>
      </c>
      <c r="G5" s="20">
        <v>12</v>
      </c>
      <c r="H5" s="23">
        <v>540</v>
      </c>
      <c r="I5" s="45"/>
      <c r="J5" s="45"/>
      <c r="K5" s="45">
        <f>SUM(H5)</f>
        <v>540</v>
      </c>
      <c r="L5" s="45">
        <f>SUM(K5)</f>
        <v>540</v>
      </c>
      <c r="M5" s="46" t="s">
        <v>32</v>
      </c>
      <c r="N5" s="47">
        <v>360</v>
      </c>
      <c r="O5" s="47"/>
      <c r="P5" s="47"/>
      <c r="Q5" s="47"/>
      <c r="R5" s="47"/>
      <c r="S5" s="47">
        <f>SUM(N5:R5)</f>
        <v>360</v>
      </c>
      <c r="T5" s="47"/>
      <c r="U5" s="47"/>
      <c r="V5" s="47">
        <v>0</v>
      </c>
      <c r="W5" s="47">
        <f>SUM(S5+V5)</f>
        <v>360</v>
      </c>
      <c r="X5" s="47">
        <f>SUM(L5-W5)</f>
        <v>180</v>
      </c>
      <c r="XEZ5"/>
      <c r="XFA5"/>
      <c r="XFB5"/>
      <c r="XFC5"/>
      <c r="XFD5"/>
    </row>
    <row r="6" s="3" customFormat="1" ht="26" customHeight="1" spans="1:24">
      <c r="A6" s="24" t="s">
        <v>33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64">
        <f>SUM(X5:X5)</f>
        <v>180</v>
      </c>
    </row>
    <row r="7" s="4" customFormat="1" ht="11" customHeight="1" spans="1:18">
      <c r="A7" s="27"/>
      <c r="C7" s="28"/>
      <c r="H7" s="29"/>
      <c r="I7" s="48"/>
      <c r="Q7" s="65"/>
      <c r="R7" s="65"/>
    </row>
    <row r="8" ht="14" customHeight="1" spans="1:18">
      <c r="A8" s="30"/>
      <c r="C8" s="31"/>
      <c r="H8" s="32"/>
      <c r="J8" s="49"/>
      <c r="Q8" s="66"/>
      <c r="R8" s="66"/>
    </row>
  </sheetData>
  <mergeCells count="16">
    <mergeCell ref="A1:R1"/>
    <mergeCell ref="H3:K3"/>
    <mergeCell ref="M3:Q3"/>
    <mergeCell ref="T3:V3"/>
    <mergeCell ref="A6:B6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2018-03-09T08:26:00Z</dcterms:created>
  <dcterms:modified xsi:type="dcterms:W3CDTF">2024-09-05T03:27:01Z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KSORubyTemplateID" linkTarget="0">
    <vt:lpwstr>11</vt:lpwstr>
  </property>
  <property fmtid="{D5CDD505-2E9C-101B-9397-08002B2CF9AE}" pid="4" name="ICV">
    <vt:lpwstr>51227C1D9ECD49A39DCA2A7050A7D54D</vt:lpwstr>
  </property>
  <property fmtid="{D5CDD505-2E9C-101B-9397-08002B2CF9AE}" pid="5" name="commondata">
    <vt:lpwstr>eyJoZGlkIjoiYTYxNDVjYTE0NTdmMWZiNThiMzQ1NGY2ZWQwODMwZTQifQ==</vt:lpwstr>
  </property>
</Properties>
</file>