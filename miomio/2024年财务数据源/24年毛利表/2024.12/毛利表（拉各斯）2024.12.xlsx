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7" authorId="0">
      <text>
        <r>
          <rPr>
            <sz val="9"/>
            <rFont val="宋体"/>
            <charset val="134"/>
          </rPr>
          <t xml:space="preserve">预付340转USD47.22.
</t>
        </r>
      </text>
    </comment>
    <comment ref="I10" authorId="0">
      <text>
        <r>
          <rPr>
            <sz val="9"/>
            <rFont val="宋体"/>
            <charset val="134"/>
          </rPr>
          <t xml:space="preserve">到付USD49.99转预付360.
</t>
        </r>
      </text>
    </comment>
    <comment ref="M15" authorId="0">
      <text>
        <r>
          <rPr>
            <sz val="9"/>
            <rFont val="宋体"/>
            <charset val="134"/>
          </rPr>
          <t>预付230转到付31.94</t>
        </r>
      </text>
    </comment>
    <comment ref="M23" authorId="0">
      <text>
        <r>
          <rPr>
            <sz val="9"/>
            <rFont val="宋体"/>
            <charset val="134"/>
          </rPr>
          <t xml:space="preserve">预付2185转致命USD300.55.
</t>
        </r>
      </text>
    </comment>
    <comment ref="I29" authorId="0">
      <text>
        <r>
          <rPr>
            <sz val="9"/>
            <rFont val="宋体"/>
            <charset val="134"/>
          </rPr>
          <t xml:space="preserve">到付USD44转预付320
</t>
        </r>
      </text>
    </comment>
    <comment ref="M35" authorId="0">
      <text>
        <r>
          <rPr>
            <sz val="9"/>
            <rFont val="宋体"/>
            <charset val="134"/>
          </rPr>
          <t xml:space="preserve">预付1035转到付USD143.75.
</t>
        </r>
      </text>
    </comment>
    <comment ref="I42" authorId="0">
      <text>
        <r>
          <rPr>
            <sz val="9"/>
            <rFont val="宋体"/>
            <charset val="134"/>
          </rPr>
          <t xml:space="preserve">到付USD95.83转预付752.
</t>
        </r>
      </text>
    </comment>
    <comment ref="M48" authorId="0">
      <text>
        <r>
          <rPr>
            <sz val="9"/>
            <rFont val="宋体"/>
            <charset val="134"/>
          </rPr>
          <t>预付3737.5转到付USD519.09.</t>
        </r>
      </text>
    </comment>
    <comment ref="M53" authorId="0">
      <text>
        <r>
          <rPr>
            <sz val="9"/>
            <rFont val="宋体"/>
            <charset val="134"/>
          </rPr>
          <t xml:space="preserve">预付1334转到付USD185.27.
</t>
        </r>
      </text>
    </comment>
    <comment ref="M59" authorId="0">
      <text>
        <r>
          <rPr>
            <sz val="9"/>
            <rFont val="宋体"/>
            <charset val="134"/>
          </rPr>
          <t xml:space="preserve">预付625转到付USD86.8.
</t>
        </r>
      </text>
    </comment>
    <comment ref="M70" authorId="0">
      <text>
        <r>
          <rPr>
            <sz val="9"/>
            <rFont val="宋体"/>
            <charset val="134"/>
          </rPr>
          <t xml:space="preserve">预付176转到付一USD24.44.
</t>
        </r>
      </text>
    </comment>
    <comment ref="M86" authorId="0">
      <text>
        <r>
          <rPr>
            <sz val="9"/>
            <rFont val="宋体"/>
            <charset val="134"/>
          </rPr>
          <t xml:space="preserve">预付1221转到付USD169.58.
</t>
        </r>
      </text>
    </comment>
    <comment ref="M89" authorId="0">
      <text>
        <r>
          <rPr>
            <sz val="9"/>
            <rFont val="宋体"/>
            <charset val="134"/>
          </rPr>
          <t xml:space="preserve">预付2775转到付USD381.7.
</t>
        </r>
      </text>
    </comment>
    <comment ref="M94" authorId="0">
      <text>
        <r>
          <rPr>
            <sz val="9"/>
            <rFont val="宋体"/>
            <charset val="134"/>
          </rPr>
          <t xml:space="preserve">预付1912.5转到付USD263.06.
</t>
        </r>
      </text>
    </comment>
    <comment ref="M116" authorId="0">
      <text>
        <r>
          <rPr>
            <sz val="9"/>
            <rFont val="宋体"/>
            <charset val="134"/>
          </rPr>
          <t xml:space="preserve">预付3400转到付USD467.67.
</t>
        </r>
      </text>
    </comment>
    <comment ref="M121" authorId="0">
      <text>
        <r>
          <rPr>
            <sz val="9"/>
            <rFont val="宋体"/>
            <charset val="134"/>
          </rPr>
          <t xml:space="preserve">预付881转到付USD122.36
</t>
        </r>
      </text>
    </comment>
    <comment ref="M122" authorId="0">
      <text>
        <r>
          <rPr>
            <sz val="9"/>
            <rFont val="宋体"/>
            <charset val="134"/>
          </rPr>
          <t xml:space="preserve">预付5437.5转到付USD747.93
</t>
        </r>
      </text>
    </comment>
    <comment ref="M127" authorId="0">
      <text>
        <r>
          <rPr>
            <sz val="9"/>
            <rFont val="宋体"/>
            <charset val="134"/>
          </rPr>
          <t xml:space="preserve">预付836转到付USD116.11.
</t>
        </r>
      </text>
    </comment>
    <comment ref="M155" authorId="0">
      <text>
        <r>
          <rPr>
            <sz val="9"/>
            <rFont val="宋体"/>
            <charset val="134"/>
          </rPr>
          <t xml:space="preserve">预付871.5转到付USD121.04.
</t>
        </r>
      </text>
    </comment>
    <comment ref="M156" authorId="0">
      <text>
        <r>
          <rPr>
            <sz val="9"/>
            <rFont val="宋体"/>
            <charset val="134"/>
          </rPr>
          <t xml:space="preserve">预付2929.8转到付USD403.
</t>
        </r>
      </text>
    </comment>
    <comment ref="M172" authorId="0">
      <text>
        <r>
          <rPr>
            <sz val="9"/>
            <rFont val="宋体"/>
            <charset val="134"/>
          </rPr>
          <t xml:space="preserve">预付91.9转到付USD12.64.
</t>
        </r>
      </text>
    </comment>
    <comment ref="M175" authorId="0">
      <text>
        <r>
          <rPr>
            <sz val="9"/>
            <rFont val="宋体"/>
            <charset val="134"/>
          </rPr>
          <t xml:space="preserve">预付1012转到付USD140.55
</t>
        </r>
      </text>
    </comment>
    <comment ref="M178" authorId="0">
      <text>
        <r>
          <rPr>
            <sz val="9"/>
            <rFont val="宋体"/>
            <charset val="134"/>
          </rPr>
          <t xml:space="preserve">预付715转USD98.34
</t>
        </r>
      </text>
    </comment>
    <comment ref="M183" authorId="0">
      <text>
        <r>
          <rPr>
            <sz val="9"/>
            <rFont val="宋体"/>
            <charset val="134"/>
          </rPr>
          <t xml:space="preserve">预付283转到付USD39.3.
</t>
        </r>
      </text>
    </comment>
    <comment ref="M184" authorId="0">
      <text>
        <r>
          <rPr>
            <sz val="9"/>
            <rFont val="宋体"/>
            <charset val="134"/>
          </rPr>
          <t xml:space="preserve">预付91.3转到付USD12.55.
</t>
        </r>
      </text>
    </comment>
    <comment ref="M188" authorId="0">
      <text>
        <r>
          <rPr>
            <sz val="9"/>
            <rFont val="宋体"/>
            <charset val="134"/>
          </rPr>
          <t xml:space="preserve">预付149.3转到付USD20.53.
</t>
        </r>
      </text>
    </comment>
    <comment ref="M190" authorId="0">
      <text>
        <r>
          <rPr>
            <sz val="9"/>
            <rFont val="宋体"/>
            <charset val="134"/>
          </rPr>
          <t>预付2400转到付USD330.12.</t>
        </r>
      </text>
    </comment>
    <comment ref="M194" authorId="0">
      <text>
        <r>
          <rPr>
            <sz val="9"/>
            <rFont val="宋体"/>
            <charset val="134"/>
          </rPr>
          <t xml:space="preserve">预付355.3转到付SD49.34.
</t>
        </r>
      </text>
    </comment>
    <comment ref="I209" authorId="0">
      <text>
        <r>
          <rPr>
            <b/>
            <sz val="9"/>
            <rFont val="宋体"/>
            <charset val="134"/>
          </rPr>
          <t>27/1企业支付宝支付17871.45欠19564.8</t>
        </r>
        <r>
          <rPr>
            <sz val="9"/>
            <rFont val="宋体"/>
            <charset val="134"/>
          </rPr>
          <t xml:space="preserve">
.17/2结清.</t>
        </r>
      </text>
    </comment>
    <comment ref="I210" authorId="0">
      <text>
        <r>
          <rPr>
            <sz val="9"/>
            <rFont val="宋体"/>
            <charset val="134"/>
          </rPr>
          <t xml:space="preserve">到付71.53转预付522.
</t>
        </r>
      </text>
    </comment>
    <comment ref="M223" authorId="0">
      <text>
        <r>
          <rPr>
            <sz val="9"/>
            <rFont val="宋体"/>
            <charset val="134"/>
          </rPr>
          <t xml:space="preserve">预付125转到付USD17.36
</t>
        </r>
      </text>
    </comment>
    <comment ref="M226" authorId="0">
      <text>
        <r>
          <rPr>
            <sz val="9"/>
            <rFont val="宋体"/>
            <charset val="134"/>
          </rPr>
          <t xml:space="preserve">预付187.5转到付USD26.04
</t>
        </r>
      </text>
    </comment>
    <comment ref="M230" authorId="0">
      <text>
        <r>
          <rPr>
            <sz val="9"/>
            <rFont val="宋体"/>
            <charset val="134"/>
          </rPr>
          <t xml:space="preserve">预付187.5转到付USD26.04
</t>
        </r>
      </text>
    </comment>
    <comment ref="M231" authorId="0">
      <text>
        <r>
          <rPr>
            <sz val="9"/>
            <rFont val="宋体"/>
            <charset val="134"/>
          </rPr>
          <t xml:space="preserve">预付120转到付USD16.66.
</t>
        </r>
      </text>
    </comment>
    <comment ref="M234" authorId="0">
      <text>
        <r>
          <rPr>
            <sz val="9"/>
            <rFont val="宋体"/>
            <charset val="134"/>
          </rPr>
          <t xml:space="preserve">预付250转到付USD34.72.
</t>
        </r>
      </text>
    </comment>
    <comment ref="M235" authorId="0">
      <text>
        <r>
          <rPr>
            <sz val="9"/>
            <rFont val="宋体"/>
            <charset val="134"/>
          </rPr>
          <t xml:space="preserve">预付437.5转到付USD60.76
</t>
        </r>
      </text>
    </comment>
    <comment ref="I244" authorId="0">
      <text>
        <r>
          <rPr>
            <sz val="9"/>
            <rFont val="宋体"/>
            <charset val="134"/>
          </rPr>
          <t xml:space="preserve">宝马方向盘被扣。31/12微信赔偿客户1080元.
</t>
        </r>
      </text>
    </comment>
    <comment ref="M251" authorId="0">
      <text>
        <r>
          <rPr>
            <sz val="9"/>
            <rFont val="宋体"/>
            <charset val="134"/>
          </rPr>
          <t xml:space="preserve">预付375转到付USD52.08.
</t>
        </r>
      </text>
    </comment>
    <comment ref="M252" authorId="0">
      <text>
        <r>
          <rPr>
            <sz val="9"/>
            <rFont val="宋体"/>
            <charset val="134"/>
          </rPr>
          <t>预付812.5转到付USD111.76.</t>
        </r>
      </text>
    </comment>
    <comment ref="M266" authorId="0">
      <text>
        <r>
          <rPr>
            <sz val="9"/>
            <rFont val="宋体"/>
            <charset val="134"/>
          </rPr>
          <t xml:space="preserve">预付1353.5转到付USD186.17.
</t>
        </r>
      </text>
    </comment>
    <comment ref="M270" authorId="0">
      <text>
        <r>
          <rPr>
            <sz val="9"/>
            <rFont val="宋体"/>
            <charset val="134"/>
          </rPr>
          <t xml:space="preserve">预付560转到付USD77.02.
</t>
        </r>
      </text>
    </comment>
    <comment ref="I288" authorId="0">
      <text>
        <r>
          <rPr>
            <sz val="9"/>
            <rFont val="宋体"/>
            <charset val="134"/>
          </rPr>
          <t xml:space="preserve">到付USD344.41转预付2480.
</t>
        </r>
      </text>
    </comment>
    <comment ref="M289" authorId="0">
      <text>
        <r>
          <rPr>
            <sz val="9"/>
            <rFont val="宋体"/>
            <charset val="134"/>
          </rPr>
          <t xml:space="preserve">预付443转到付USD60.93
</t>
        </r>
      </text>
    </comment>
    <comment ref="M292" authorId="0">
      <text>
        <r>
          <rPr>
            <sz val="9"/>
            <rFont val="宋体"/>
            <charset val="134"/>
          </rPr>
          <t xml:space="preserve">预付1883转到付USD259.
</t>
        </r>
      </text>
    </comment>
    <comment ref="M296" authorId="0">
      <text>
        <r>
          <rPr>
            <sz val="9"/>
            <rFont val="宋体"/>
            <charset val="134"/>
          </rPr>
          <t xml:space="preserve">预付4320转到付USD594.22.
</t>
        </r>
      </text>
    </comment>
    <comment ref="M297" authorId="0">
      <text>
        <r>
          <rPr>
            <sz val="9"/>
            <rFont val="宋体"/>
            <charset val="134"/>
          </rPr>
          <t xml:space="preserve">预付3520转到付USD484.18.
</t>
        </r>
      </text>
    </comment>
    <comment ref="M308" authorId="0">
      <text>
        <r>
          <rPr>
            <sz val="9"/>
            <rFont val="宋体"/>
            <charset val="134"/>
          </rPr>
          <t xml:space="preserve">预付250转到付USD34.38.
</t>
        </r>
      </text>
    </comment>
    <comment ref="M311" authorId="0">
      <text>
        <r>
          <rPr>
            <sz val="9"/>
            <rFont val="宋体"/>
            <charset val="134"/>
          </rPr>
          <t xml:space="preserve">预付500转到付USD68.77.
</t>
        </r>
      </text>
    </comment>
    <comment ref="M312" authorId="0">
      <text>
        <r>
          <rPr>
            <sz val="9"/>
            <rFont val="宋体"/>
            <charset val="134"/>
          </rPr>
          <t xml:space="preserve">预付688转到付USD94.63.
</t>
        </r>
      </text>
    </comment>
    <comment ref="M318" authorId="0">
      <text>
        <r>
          <rPr>
            <sz val="9"/>
            <rFont val="宋体"/>
            <charset val="134"/>
          </rPr>
          <t xml:space="preserve">预付125转USD17.19.
</t>
        </r>
      </text>
    </comment>
    <comment ref="M324" authorId="0">
      <text>
        <r>
          <rPr>
            <sz val="9"/>
            <rFont val="宋体"/>
            <charset val="134"/>
          </rPr>
          <t>预付200转到付USD27.77.</t>
        </r>
      </text>
    </comment>
    <comment ref="M325" authorId="0">
      <text>
        <r>
          <rPr>
            <sz val="9"/>
            <rFont val="宋体"/>
            <charset val="134"/>
          </rPr>
          <t xml:space="preserve">预付1100转到付USD152.77.
</t>
        </r>
      </text>
    </comment>
    <comment ref="M326" authorId="0">
      <text>
        <r>
          <rPr>
            <sz val="9"/>
            <rFont val="宋体"/>
            <charset val="134"/>
          </rPr>
          <t>预付200转到付USD27.77.</t>
        </r>
      </text>
    </comment>
    <comment ref="M330" authorId="0">
      <text>
        <r>
          <rPr>
            <sz val="9"/>
            <rFont val="宋体"/>
            <charset val="134"/>
          </rPr>
          <t>预付130转到付SD18.05.</t>
        </r>
      </text>
    </comment>
    <comment ref="M333" authorId="0">
      <text>
        <r>
          <rPr>
            <sz val="9"/>
            <rFont val="宋体"/>
            <charset val="134"/>
          </rPr>
          <t>预付200转到付USD27.77.</t>
        </r>
      </text>
    </comment>
    <comment ref="M344" authorId="0">
      <text>
        <r>
          <rPr>
            <sz val="9"/>
            <rFont val="宋体"/>
            <charset val="134"/>
          </rPr>
          <t xml:space="preserve">预付1250转到付USD171.93.
</t>
        </r>
      </text>
    </comment>
    <comment ref="M357" authorId="0">
      <text>
        <r>
          <rPr>
            <sz val="9"/>
            <rFont val="宋体"/>
            <charset val="134"/>
          </rPr>
          <t xml:space="preserve">预付223转到付USD30.67.
</t>
        </r>
      </text>
    </comment>
    <comment ref="M359" authorId="0">
      <text>
        <r>
          <rPr>
            <sz val="9"/>
            <rFont val="宋体"/>
            <charset val="134"/>
          </rPr>
          <t xml:space="preserve">预付200转到付USD27.51.
</t>
        </r>
      </text>
    </comment>
    <comment ref="M372" authorId="0">
      <text>
        <r>
          <rPr>
            <sz val="9"/>
            <rFont val="宋体"/>
            <charset val="134"/>
          </rPr>
          <t>预付210.5转到USD28.95.</t>
        </r>
      </text>
    </comment>
    <comment ref="M378" authorId="0">
      <text>
        <r>
          <rPr>
            <sz val="9"/>
            <rFont val="宋体"/>
            <charset val="134"/>
          </rPr>
          <t>预付17132.5转到付USD2356.6</t>
        </r>
      </text>
    </comment>
    <comment ref="I384" authorId="0">
      <text>
        <r>
          <rPr>
            <sz val="9"/>
            <rFont val="宋体"/>
            <charset val="134"/>
          </rPr>
          <t>到付USD91.78转预付669.</t>
        </r>
      </text>
    </comment>
    <comment ref="M390" authorId="0">
      <text>
        <r>
          <rPr>
            <sz val="9"/>
            <rFont val="宋体"/>
            <charset val="134"/>
          </rPr>
          <t xml:space="preserve">预付625.85转到付USD86.08
</t>
        </r>
      </text>
    </comment>
    <comment ref="I394" authorId="0">
      <text>
        <r>
          <rPr>
            <b/>
            <sz val="9"/>
            <rFont val="宋体"/>
            <charset val="134"/>
          </rPr>
          <t>欠37元:</t>
        </r>
        <r>
          <rPr>
            <sz val="9"/>
            <rFont val="宋体"/>
            <charset val="134"/>
          </rPr>
          <t xml:space="preserve">
</t>
        </r>
      </text>
    </comment>
    <comment ref="M398" authorId="0">
      <text>
        <r>
          <rPr>
            <sz val="9"/>
            <rFont val="宋体"/>
            <charset val="134"/>
          </rPr>
          <t xml:space="preserve">预付2145转到付USD295.04.
</t>
        </r>
      </text>
    </comment>
    <comment ref="M417" authorId="0">
      <text>
        <r>
          <rPr>
            <sz val="9"/>
            <rFont val="宋体"/>
            <charset val="134"/>
          </rPr>
          <t xml:space="preserve">预付94转到付USD12.92.
</t>
        </r>
      </text>
    </comment>
    <comment ref="M429" authorId="0">
      <text>
        <r>
          <rPr>
            <sz val="9"/>
            <rFont val="宋体"/>
            <charset val="134"/>
          </rPr>
          <t xml:space="preserve">预付1237.5转到付USD170.22
</t>
        </r>
      </text>
    </comment>
    <comment ref="M433" authorId="0">
      <text>
        <r>
          <rPr>
            <sz val="9"/>
            <rFont val="宋体"/>
            <charset val="134"/>
          </rPr>
          <t xml:space="preserve">预付886转到付SD121.87.
</t>
        </r>
      </text>
    </comment>
    <comment ref="M437" authorId="0">
      <text>
        <r>
          <rPr>
            <sz val="9"/>
            <rFont val="宋体"/>
            <charset val="134"/>
          </rPr>
          <t xml:space="preserve">预付3900转到付USD536.45.
</t>
        </r>
      </text>
    </comment>
    <comment ref="M440" authorId="0">
      <text>
        <r>
          <rPr>
            <sz val="9"/>
            <rFont val="宋体"/>
            <charset val="134"/>
          </rPr>
          <t xml:space="preserve">预付622转到付USD86.38.
</t>
        </r>
      </text>
    </comment>
    <comment ref="M459" authorId="0">
      <text>
        <r>
          <rPr>
            <sz val="9"/>
            <rFont val="宋体"/>
            <charset val="134"/>
          </rPr>
          <t>预付1530转
到付USD210.45.</t>
        </r>
      </text>
    </comment>
    <comment ref="M476" authorId="0">
      <text>
        <r>
          <rPr>
            <sz val="9"/>
            <rFont val="宋体"/>
            <charset val="134"/>
          </rPr>
          <t xml:space="preserve">预付339.5转到付USD46.69.
</t>
        </r>
      </text>
    </comment>
    <comment ref="M478" authorId="0">
      <text>
        <r>
          <rPr>
            <sz val="9"/>
            <rFont val="宋体"/>
            <charset val="134"/>
          </rPr>
          <t xml:space="preserve">预付2775转到付USD381.7.
</t>
        </r>
      </text>
    </comment>
    <comment ref="M480" authorId="0">
      <text>
        <r>
          <rPr>
            <sz val="9"/>
            <rFont val="宋体"/>
            <charset val="134"/>
          </rPr>
          <t xml:space="preserve">预付1770.5转到付USD243.53.
</t>
        </r>
      </text>
    </comment>
    <comment ref="M481" authorId="0">
      <text>
        <r>
          <rPr>
            <sz val="9"/>
            <rFont val="宋体"/>
            <charset val="134"/>
          </rPr>
          <t xml:space="preserve">预付575转到付USD79.09.
</t>
        </r>
      </text>
    </comment>
    <comment ref="M499" authorId="0">
      <text>
        <r>
          <rPr>
            <sz val="9"/>
            <rFont val="宋体"/>
            <charset val="134"/>
          </rPr>
          <t>预付4160转到付USD572.21.</t>
        </r>
      </text>
    </comment>
    <comment ref="M525" authorId="0">
      <text>
        <r>
          <rPr>
            <sz val="9"/>
            <rFont val="宋体"/>
            <charset val="134"/>
          </rPr>
          <t xml:space="preserve">预付125转到付USD17.19.
</t>
        </r>
      </text>
    </comment>
    <comment ref="I535" authorId="0">
      <text>
        <r>
          <rPr>
            <b/>
            <sz val="9"/>
            <rFont val="宋体"/>
            <charset val="134"/>
          </rPr>
          <t>31/12微信赔偿</t>
        </r>
        <r>
          <rPr>
            <sz val="9"/>
            <rFont val="宋体"/>
            <charset val="134"/>
          </rPr>
          <t xml:space="preserve">货物破损赔偿费用202元.实收1110.50元.
</t>
        </r>
      </text>
    </comment>
    <comment ref="M540" authorId="0">
      <text>
        <r>
          <rPr>
            <sz val="9"/>
            <rFont val="宋体"/>
            <charset val="134"/>
          </rPr>
          <t xml:space="preserve">预付504转到付USD69.32
</t>
        </r>
      </text>
    </comment>
    <comment ref="M568" authorId="0">
      <text>
        <r>
          <rPr>
            <sz val="9"/>
            <rFont val="宋体"/>
            <charset val="134"/>
          </rPr>
          <t>预付350转到付USD48.14.</t>
        </r>
      </text>
    </comment>
    <comment ref="M569" authorId="0">
      <text>
        <r>
          <rPr>
            <sz val="9"/>
            <rFont val="宋体"/>
            <charset val="134"/>
          </rPr>
          <t xml:space="preserve">预付670转到付USD92.15.
</t>
        </r>
      </text>
    </comment>
    <comment ref="M575" authorId="0">
      <text>
        <r>
          <rPr>
            <sz val="9"/>
            <rFont val="宋体"/>
            <charset val="134"/>
          </rPr>
          <t xml:space="preserve">预付323转到付USD42.42
</t>
        </r>
      </text>
    </comment>
    <comment ref="M578" authorId="0">
      <text>
        <r>
          <rPr>
            <sz val="9"/>
            <rFont val="宋体"/>
            <charset val="134"/>
          </rPr>
          <t xml:space="preserve">预付280转到付USD38.51.
</t>
        </r>
      </text>
    </comment>
    <comment ref="M585" authorId="0">
      <text>
        <r>
          <rPr>
            <sz val="9"/>
            <rFont val="宋体"/>
            <charset val="134"/>
          </rPr>
          <t xml:space="preserve">预付1237.5转到付USD170.22.
</t>
        </r>
      </text>
    </comment>
    <comment ref="M617" authorId="0">
      <text>
        <r>
          <rPr>
            <sz val="9"/>
            <rFont val="宋体"/>
            <charset val="134"/>
          </rPr>
          <t xml:space="preserve">预付1275转到付USD175.37.
</t>
        </r>
      </text>
    </comment>
    <comment ref="M621" authorId="0">
      <text>
        <r>
          <rPr>
            <sz val="9"/>
            <rFont val="宋体"/>
            <charset val="134"/>
          </rPr>
          <t xml:space="preserve">预付1305.7转到付USD179.6.
</t>
        </r>
      </text>
    </comment>
    <comment ref="M627" authorId="0">
      <text>
        <r>
          <rPr>
            <sz val="9"/>
            <rFont val="宋体"/>
            <charset val="134"/>
          </rPr>
          <t xml:space="preserve">预付853.6转到付USD117.41
</t>
        </r>
      </text>
    </comment>
    <comment ref="M650" authorId="0">
      <text>
        <r>
          <rPr>
            <sz val="9"/>
            <rFont val="宋体"/>
            <charset val="134"/>
          </rPr>
          <t xml:space="preserve">预付1319.45转到付USD181.49.
</t>
        </r>
      </text>
    </comment>
    <comment ref="M667" authorId="0">
      <text>
        <r>
          <rPr>
            <sz val="9"/>
            <rFont val="宋体"/>
            <charset val="134"/>
          </rPr>
          <t xml:space="preserve">预付170转到付USD23.38.
</t>
        </r>
      </text>
    </comment>
    <comment ref="M669" authorId="0">
      <text>
        <r>
          <rPr>
            <sz val="9"/>
            <rFont val="宋体"/>
            <charset val="134"/>
          </rPr>
          <t xml:space="preserve">预付97.9转到付USD13.46.
</t>
        </r>
      </text>
    </comment>
    <comment ref="M670" authorId="0">
      <text>
        <r>
          <rPr>
            <sz val="9"/>
            <rFont val="宋体"/>
            <charset val="134"/>
          </rPr>
          <t xml:space="preserve">预付97.9转到付USD13.46.
</t>
        </r>
      </text>
    </comment>
    <comment ref="I671" authorId="0">
      <text>
        <r>
          <rPr>
            <sz val="9"/>
            <rFont val="宋体"/>
            <charset val="134"/>
          </rPr>
          <t xml:space="preserve">到付USD55.28转预付398.
</t>
        </r>
      </text>
    </comment>
    <comment ref="M679" authorId="0">
      <text>
        <r>
          <rPr>
            <sz val="9"/>
            <rFont val="宋体"/>
            <charset val="134"/>
          </rPr>
          <t xml:space="preserve">预付534转到付USD73.45
</t>
        </r>
      </text>
    </comment>
    <comment ref="M687" authorId="0">
      <text>
        <r>
          <rPr>
            <sz val="9"/>
            <rFont val="宋体"/>
            <charset val="134"/>
          </rPr>
          <t xml:space="preserve">预付220转到付USD30.26.
</t>
        </r>
      </text>
    </comment>
    <comment ref="M701" authorId="0">
      <text>
        <r>
          <rPr>
            <sz val="9"/>
            <rFont val="宋体"/>
            <charset val="134"/>
          </rPr>
          <t xml:space="preserve">预付465转到付USD63.96.
</t>
        </r>
      </text>
    </comment>
    <comment ref="M720" authorId="0">
      <text>
        <r>
          <rPr>
            <sz val="9"/>
            <rFont val="宋体"/>
            <charset val="134"/>
          </rPr>
          <t xml:space="preserve">预付403转到付USD55.43
</t>
        </r>
      </text>
    </comment>
    <comment ref="M725" authorId="0">
      <text>
        <r>
          <rPr>
            <sz val="9"/>
            <rFont val="宋体"/>
            <charset val="134"/>
          </rPr>
          <t>预付1826.5转到付USD251.23</t>
        </r>
      </text>
    </comment>
    <comment ref="I726" authorId="0">
      <text>
        <r>
          <rPr>
            <sz val="9"/>
            <rFont val="宋体"/>
            <charset val="134"/>
          </rPr>
          <t>到付USD177.37转预付1138.5.</t>
        </r>
      </text>
    </comment>
    <comment ref="M748" authorId="0">
      <text>
        <r>
          <rPr>
            <sz val="9"/>
            <rFont val="宋体"/>
            <charset val="134"/>
          </rPr>
          <t xml:space="preserve">预付7350转到付SD1011
</t>
        </r>
      </text>
    </comment>
    <comment ref="I766" authorId="0">
      <text>
        <r>
          <rPr>
            <sz val="9"/>
            <rFont val="宋体"/>
            <charset val="134"/>
          </rPr>
          <t xml:space="preserve">到付USD207.64转预付1495.0
</t>
        </r>
      </text>
    </comment>
    <comment ref="M772" authorId="0">
      <text>
        <r>
          <rPr>
            <sz val="9"/>
            <rFont val="宋体"/>
            <charset val="134"/>
          </rPr>
          <t xml:space="preserve">预付125转到付USD17.19.
</t>
        </r>
      </text>
    </comment>
    <comment ref="M800" authorId="0">
      <text>
        <r>
          <rPr>
            <sz val="9"/>
            <rFont val="宋体"/>
            <charset val="134"/>
          </rPr>
          <t xml:space="preserve">预付1875转 到付USD257.9.
</t>
        </r>
      </text>
    </comment>
    <comment ref="M805" authorId="0">
      <text>
        <r>
          <rPr>
            <sz val="9"/>
            <rFont val="宋体"/>
            <charset val="134"/>
          </rPr>
          <t xml:space="preserve">预付403转到付USD55.43.
</t>
        </r>
      </text>
    </comment>
    <comment ref="M808" authorId="0">
      <text>
        <r>
          <rPr>
            <sz val="9"/>
            <rFont val="宋体"/>
            <charset val="134"/>
          </rPr>
          <t xml:space="preserve">预付83转到付USD11.41.
</t>
        </r>
      </text>
    </comment>
    <comment ref="M813" authorId="0">
      <text>
        <r>
          <rPr>
            <sz val="9"/>
            <rFont val="宋体"/>
            <charset val="134"/>
          </rPr>
          <t xml:space="preserve">预付1084转到付USD149.1
</t>
        </r>
      </text>
    </comment>
    <comment ref="M814" authorId="0">
      <text>
        <r>
          <rPr>
            <sz val="9"/>
            <rFont val="宋体"/>
            <charset val="134"/>
          </rPr>
          <t xml:space="preserve">预付83转到付USD11.41.
</t>
        </r>
      </text>
    </comment>
    <comment ref="M833" authorId="0">
      <text>
        <r>
          <rPr>
            <sz val="9"/>
            <rFont val="宋体"/>
            <charset val="134"/>
          </rPr>
          <t xml:space="preserve">预付286转到付USD39.33
</t>
        </r>
      </text>
    </comment>
    <comment ref="M835" authorId="0">
      <text>
        <r>
          <rPr>
            <sz val="9"/>
            <rFont val="宋体"/>
            <charset val="134"/>
          </rPr>
          <t xml:space="preserve">预付583.5转到付USD80.26.
</t>
        </r>
      </text>
    </comment>
    <comment ref="M844" authorId="0">
      <text>
        <r>
          <rPr>
            <sz val="9"/>
            <rFont val="宋体"/>
            <charset val="134"/>
          </rPr>
          <t xml:space="preserve">预付520转到付USD71.52.
</t>
        </r>
      </text>
    </comment>
    <comment ref="M853" authorId="0">
      <text>
        <r>
          <rPr>
            <sz val="9"/>
            <rFont val="宋体"/>
            <charset val="134"/>
          </rPr>
          <t xml:space="preserve">预付9299.5转到付USD1269.53.
</t>
        </r>
      </text>
    </comment>
    <comment ref="M870" authorId="0">
      <text>
        <r>
          <rPr>
            <sz val="9"/>
            <rFont val="宋体"/>
            <charset val="134"/>
          </rPr>
          <t xml:space="preserve">预付124.6转到付USD17.13.
</t>
        </r>
      </text>
    </comment>
    <comment ref="M901" authorId="0">
      <text>
        <r>
          <rPr>
            <sz val="9"/>
            <rFont val="宋体"/>
            <charset val="134"/>
          </rPr>
          <t xml:space="preserve">预付341转到付USD46.9
</t>
        </r>
      </text>
    </comment>
    <comment ref="I911" authorId="0">
      <text>
        <r>
          <rPr>
            <b/>
            <sz val="9"/>
            <rFont val="宋体"/>
            <charset val="134"/>
          </rPr>
          <t>16/2企业支付宝支付16323.2欠22319.3</t>
        </r>
        <r>
          <rPr>
            <sz val="9"/>
            <rFont val="宋体"/>
            <charset val="134"/>
          </rPr>
          <t xml:space="preserve">
</t>
        </r>
      </text>
    </comment>
    <comment ref="M928" authorId="0">
      <text>
        <r>
          <rPr>
            <sz val="9"/>
            <rFont val="宋体"/>
            <charset val="134"/>
          </rPr>
          <t xml:space="preserve">预付73转到付USD10.04.
</t>
        </r>
      </text>
    </comment>
    <comment ref="M937" authorId="0">
      <text>
        <r>
          <rPr>
            <sz val="9"/>
            <rFont val="宋体"/>
            <charset val="134"/>
          </rPr>
          <t xml:space="preserve">预付346.5转到付USD47.66.
</t>
        </r>
      </text>
    </comment>
    <comment ref="M938" authorId="0">
      <text>
        <r>
          <rPr>
            <sz val="9"/>
            <rFont val="宋体"/>
            <charset val="134"/>
          </rPr>
          <t xml:space="preserve">预付1165.5转到付USD160.31.
</t>
        </r>
      </text>
    </comment>
    <comment ref="M940" authorId="0">
      <text>
        <r>
          <rPr>
            <sz val="9"/>
            <rFont val="宋体"/>
            <charset val="134"/>
          </rPr>
          <t xml:space="preserve">预付283转到付USD39.47.
</t>
        </r>
      </text>
    </comment>
    <comment ref="M941" authorId="0">
      <text>
        <r>
          <rPr>
            <sz val="9"/>
            <rFont val="宋体"/>
            <charset val="134"/>
          </rPr>
          <t xml:space="preserve">预付475转到付USD65.33
</t>
        </r>
      </text>
    </comment>
    <comment ref="M956" authorId="0">
      <text>
        <r>
          <rPr>
            <sz val="9"/>
            <rFont val="宋体"/>
            <charset val="134"/>
          </rPr>
          <t xml:space="preserve">预付315转USD43.32
</t>
        </r>
      </text>
    </comment>
    <comment ref="M974" authorId="0">
      <text>
        <r>
          <rPr>
            <sz val="9"/>
            <rFont val="宋体"/>
            <charset val="134"/>
          </rPr>
          <t xml:space="preserve">预付10415.83转到付USD1432.71.
</t>
        </r>
      </text>
    </comment>
    <comment ref="M989" authorId="0">
      <text>
        <r>
          <rPr>
            <sz val="9"/>
            <rFont val="宋体"/>
            <charset val="134"/>
          </rPr>
          <t xml:space="preserve">预付156转到付USD21.45.
</t>
        </r>
      </text>
    </comment>
    <comment ref="H1006" authorId="0">
      <text>
        <r>
          <rPr>
            <sz val="9"/>
            <rFont val="宋体"/>
            <charset val="134"/>
          </rPr>
          <t xml:space="preserve">加垫板重20KG
</t>
        </r>
      </text>
    </comment>
    <comment ref="M1007" authorId="0">
      <text>
        <r>
          <rPr>
            <sz val="9"/>
            <rFont val="宋体"/>
            <charset val="134"/>
          </rPr>
          <t xml:space="preserve">预付73转到付USD10.04.
</t>
        </r>
      </text>
    </comment>
    <comment ref="M1008" authorId="0">
      <text>
        <r>
          <rPr>
            <sz val="9"/>
            <rFont val="宋体"/>
            <charset val="134"/>
          </rPr>
          <t xml:space="preserve">预付4510转到付USD620.35.
</t>
        </r>
      </text>
    </comment>
  </commentList>
</comments>
</file>

<file path=xl/sharedStrings.xml><?xml version="1.0" encoding="utf-8"?>
<sst xmlns="http://schemas.openxmlformats.org/spreadsheetml/2006/main" count="3160" uniqueCount="590">
  <si>
    <t>2024年12月份LOS毛利表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</si>
  <si>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</si>
  <si>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</si>
  <si>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</si>
  <si>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</si>
  <si>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</si>
  <si>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</si>
  <si>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</si>
  <si>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</si>
  <si>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</si>
  <si>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</si>
  <si>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</si>
  <si>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</si>
  <si>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</si>
  <si>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</si>
  <si>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</si>
  <si>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</si>
  <si>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</si>
  <si>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</si>
  <si>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</si>
  <si>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</si>
  <si>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</si>
  <si>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</si>
  <si>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</si>
  <si>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</si>
  <si>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</si>
  <si>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</si>
  <si>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</si>
  <si>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</si>
  <si>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</si>
  <si>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</si>
  <si>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</si>
  <si>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</si>
  <si>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</si>
  <si>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</si>
  <si>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JOB120355</t>
  </si>
  <si>
    <t>COLL004274</t>
  </si>
  <si>
    <t>朱小飞</t>
  </si>
  <si>
    <t>Isabel Zhu</t>
  </si>
  <si>
    <t>Yang Xin Hui</t>
  </si>
  <si>
    <t>富姐</t>
  </si>
  <si>
    <t>苏慧琪</t>
  </si>
  <si>
    <t>KAY</t>
  </si>
  <si>
    <t>Liu</t>
  </si>
  <si>
    <t>吕沛霖</t>
  </si>
  <si>
    <t>喵喵速运-Layne</t>
  </si>
  <si>
    <t>Li Li</t>
  </si>
  <si>
    <t>Liu Yan</t>
  </si>
  <si>
    <t>Eric</t>
  </si>
  <si>
    <t>Liu Mao</t>
  </si>
  <si>
    <t>Ibrahim Abdullahi</t>
  </si>
  <si>
    <t>Wu Jiao Xing</t>
  </si>
  <si>
    <t>Ah Ming</t>
  </si>
  <si>
    <t>Ge Ge</t>
  </si>
  <si>
    <t>Bella</t>
  </si>
  <si>
    <t>Bella Chan</t>
  </si>
  <si>
    <t>Doris</t>
  </si>
  <si>
    <t xml:space="preserve">无人 </t>
  </si>
  <si>
    <t>Mailmail Abv sales person 1</t>
  </si>
  <si>
    <t>Fafunso</t>
  </si>
  <si>
    <t>Jimmy</t>
  </si>
  <si>
    <t>黄颖</t>
  </si>
  <si>
    <t>ying</t>
  </si>
  <si>
    <t>liangdawei</t>
  </si>
  <si>
    <t>Lin Qing Yuan</t>
  </si>
  <si>
    <t>AILI</t>
  </si>
  <si>
    <t>Pela</t>
  </si>
  <si>
    <t>Cathy Chiu</t>
  </si>
  <si>
    <t>JOB120356</t>
  </si>
  <si>
    <t>COLL004275</t>
  </si>
  <si>
    <t>Sam.Pao</t>
  </si>
  <si>
    <t>SAMPAO</t>
  </si>
  <si>
    <t>代清关</t>
  </si>
  <si>
    <t>JOB120357</t>
  </si>
  <si>
    <t>COLL004277</t>
  </si>
  <si>
    <t>JOB120358</t>
  </si>
  <si>
    <t>COLL004276</t>
  </si>
  <si>
    <t>Fareeda Aminu isah</t>
  </si>
  <si>
    <t>Oxford Niu</t>
  </si>
  <si>
    <t>fang ming</t>
  </si>
  <si>
    <t>chenxiaojie</t>
  </si>
  <si>
    <t>KANWUPING</t>
  </si>
  <si>
    <t>WEI PING</t>
  </si>
  <si>
    <t>LING</t>
  </si>
  <si>
    <t>罗伟健</t>
  </si>
  <si>
    <t>MailMail速运-演员</t>
  </si>
  <si>
    <t>陈 权</t>
  </si>
  <si>
    <t>dan dan</t>
  </si>
  <si>
    <t>JOB120369</t>
  </si>
  <si>
    <t>COLL004281</t>
  </si>
  <si>
    <t>Jerry Zhang</t>
  </si>
  <si>
    <t>LIANCHEN</t>
  </si>
  <si>
    <t>Mr</t>
  </si>
  <si>
    <t>Mrs</t>
  </si>
  <si>
    <t>Tony</t>
  </si>
  <si>
    <t>CHENYUNREN</t>
  </si>
  <si>
    <t>BOSS</t>
  </si>
  <si>
    <t>JOB120370</t>
  </si>
  <si>
    <t>COLL004282</t>
  </si>
  <si>
    <t>Wang Hui Feng</t>
  </si>
  <si>
    <t>YuShao</t>
  </si>
  <si>
    <t>CENTURY INDUSTRIAL FZE</t>
  </si>
  <si>
    <t>Kelly</t>
  </si>
  <si>
    <t>AKai</t>
  </si>
  <si>
    <t>huang peng</t>
  </si>
  <si>
    <t>Charles</t>
  </si>
  <si>
    <t>Tie fa</t>
  </si>
  <si>
    <t>huang zong</t>
  </si>
  <si>
    <t>Mr Zheng</t>
  </si>
  <si>
    <t>Julie LEE</t>
  </si>
  <si>
    <t>Julie lee</t>
  </si>
  <si>
    <t>Ayandeko Adeyemi</t>
  </si>
  <si>
    <t>JOB120371</t>
  </si>
  <si>
    <t>COLL004279</t>
  </si>
  <si>
    <t>方 丽 娟</t>
  </si>
  <si>
    <t>顶派=160594
广州通达=4895.6</t>
  </si>
  <si>
    <t>A YU</t>
  </si>
  <si>
    <t>Maureen Kingsley</t>
  </si>
  <si>
    <t>Mary Oyebade</t>
  </si>
  <si>
    <t>new hope 边鹏飞</t>
  </si>
  <si>
    <t>jiaqi huang</t>
  </si>
  <si>
    <t>Mark</t>
  </si>
  <si>
    <t>CHENFUDE</t>
  </si>
  <si>
    <t>Bubunmi</t>
  </si>
  <si>
    <t>zhang long ting</t>
  </si>
  <si>
    <t>li tao</t>
  </si>
  <si>
    <t>Grace Ordu</t>
  </si>
  <si>
    <t>Ope Olofinjana</t>
  </si>
  <si>
    <t>Mr Olatunde</t>
  </si>
  <si>
    <t>Wang Jian</t>
  </si>
  <si>
    <t>William Xu</t>
  </si>
  <si>
    <t>Ke Ren</t>
  </si>
  <si>
    <t>KELE</t>
  </si>
  <si>
    <t>无人</t>
  </si>
  <si>
    <t>javen</t>
  </si>
  <si>
    <t>LEO WEI</t>
  </si>
  <si>
    <t>chidi</t>
  </si>
  <si>
    <t>zhangjingcheng</t>
  </si>
  <si>
    <t>Olodeokuta Abiodun</t>
  </si>
  <si>
    <t>FRANK</t>
  </si>
  <si>
    <t>Landry</t>
  </si>
  <si>
    <t>jeason Cai</t>
  </si>
  <si>
    <t>wangyuanguo</t>
  </si>
  <si>
    <t>罗珮文</t>
  </si>
  <si>
    <t>Shirley</t>
  </si>
  <si>
    <t>Mr. Chen</t>
  </si>
  <si>
    <t>SF Jerry 顾</t>
  </si>
  <si>
    <t>dejare James</t>
  </si>
  <si>
    <t>James</t>
  </si>
  <si>
    <t>宋元明清</t>
  </si>
  <si>
    <t>TOYUN S.ADEKUNLE</t>
  </si>
  <si>
    <t>Ifeoluwa Ogunseye</t>
  </si>
  <si>
    <t>Mr Chen</t>
  </si>
  <si>
    <t>FENG LIANG</t>
  </si>
  <si>
    <t>Halifa Success</t>
  </si>
  <si>
    <t>Gbenga</t>
  </si>
  <si>
    <t>MaiKaiNian</t>
  </si>
  <si>
    <t>yangzeyu</t>
  </si>
  <si>
    <t>kola</t>
  </si>
  <si>
    <t>Mr.Bernie</t>
  </si>
  <si>
    <t>KE ZONG</t>
  </si>
  <si>
    <t>LI LING BO</t>
  </si>
  <si>
    <t>Hu Hai Liang</t>
  </si>
  <si>
    <t>Xu Hao ke</t>
  </si>
  <si>
    <t>QI ER DONG</t>
  </si>
  <si>
    <t>Ma Chao</t>
  </si>
  <si>
    <t>Echo</t>
  </si>
  <si>
    <t>Gao Yun</t>
  </si>
  <si>
    <t>SHI</t>
  </si>
  <si>
    <t>DAVID ZHAO</t>
  </si>
  <si>
    <t>REMI</t>
  </si>
  <si>
    <t>Tensam-谢</t>
  </si>
  <si>
    <t>Toyin Adekunle</t>
  </si>
  <si>
    <t>WISE-JOANNE</t>
  </si>
  <si>
    <t>yangweiqiang</t>
  </si>
  <si>
    <t>Jumoke</t>
  </si>
  <si>
    <t>Wilson Liang</t>
  </si>
  <si>
    <t>Engineer Abubakar</t>
  </si>
  <si>
    <t>MA ZONG</t>
  </si>
  <si>
    <t>JOB120372</t>
  </si>
  <si>
    <t>COLL004288</t>
  </si>
  <si>
    <t>ShanShan</t>
  </si>
  <si>
    <t>JOB120373</t>
  </si>
  <si>
    <t>COLL004283</t>
  </si>
  <si>
    <t>DengYaDi</t>
  </si>
  <si>
    <t>顶派</t>
  </si>
  <si>
    <t>haowangjun</t>
  </si>
  <si>
    <t>Xiao Hai Tun</t>
  </si>
  <si>
    <t>Zhang Xin Jian</t>
  </si>
  <si>
    <t>caozhijun</t>
  </si>
  <si>
    <t>XIAOSHUAI</t>
  </si>
  <si>
    <t>Huang peng</t>
  </si>
  <si>
    <t>fast hours DM NIGHT LED</t>
  </si>
  <si>
    <t>David</t>
  </si>
  <si>
    <t>Adesina Daniel</t>
  </si>
  <si>
    <t>LEE</t>
  </si>
  <si>
    <t>TOYIN S. ADEKUNLE</t>
  </si>
  <si>
    <t>Wang Xiao Yu</t>
  </si>
  <si>
    <t>lucky</t>
  </si>
  <si>
    <t>Raymond Cobham</t>
  </si>
  <si>
    <t>Edware</t>
  </si>
  <si>
    <t>Abbey</t>
  </si>
  <si>
    <t>Chen Chun Zhu</t>
  </si>
  <si>
    <t>NAN GUA</t>
  </si>
  <si>
    <t>YI YUE</t>
  </si>
  <si>
    <t>Kola Balogun</t>
  </si>
  <si>
    <t>Zhao Xin</t>
  </si>
  <si>
    <t>Alex</t>
  </si>
  <si>
    <t>William philip</t>
  </si>
  <si>
    <t>Scarlett</t>
  </si>
  <si>
    <t>zhang yong chong</t>
  </si>
  <si>
    <t>Lu Hu</t>
  </si>
  <si>
    <t>WUMA</t>
  </si>
  <si>
    <t>FLAVEE FOODS</t>
  </si>
  <si>
    <t>Nkechi</t>
  </si>
  <si>
    <t>Zhang</t>
  </si>
  <si>
    <t>Unique Desh logistics</t>
  </si>
  <si>
    <t>Mailmail/Taiwo</t>
  </si>
  <si>
    <t>Mr. Jiang</t>
  </si>
  <si>
    <t>CHENG ZHONG</t>
  </si>
  <si>
    <t>ZHUANGSIMING</t>
  </si>
  <si>
    <t>Mr ming</t>
  </si>
  <si>
    <t>Festac ShopRite Lee</t>
  </si>
  <si>
    <t>Zhang long ting</t>
  </si>
  <si>
    <t>Japhia 于佳慧</t>
  </si>
  <si>
    <t>GONG</t>
  </si>
  <si>
    <t>wangweijun</t>
  </si>
  <si>
    <t>shangyafei</t>
  </si>
  <si>
    <t>panda</t>
  </si>
  <si>
    <t>Dou Dou</t>
  </si>
  <si>
    <t>COD victor</t>
  </si>
  <si>
    <t>Beautiful Boss</t>
  </si>
  <si>
    <t>CJ</t>
  </si>
  <si>
    <t>A HUO</t>
  </si>
  <si>
    <t>SKY JET</t>
  </si>
  <si>
    <t>Adam e</t>
  </si>
  <si>
    <t>Arasi Ibrahim</t>
  </si>
  <si>
    <t>Honest new material</t>
  </si>
  <si>
    <t>Eva sule</t>
  </si>
  <si>
    <t>李澧</t>
  </si>
  <si>
    <t>zhang qing</t>
  </si>
  <si>
    <t>JOB120374</t>
  </si>
  <si>
    <t>COLL004285</t>
  </si>
  <si>
    <t>Jin Peng</t>
  </si>
  <si>
    <t>x现实人生</t>
  </si>
  <si>
    <t>ANQI</t>
  </si>
  <si>
    <t>Freeman Feng</t>
  </si>
  <si>
    <t>qiu min</t>
  </si>
  <si>
    <t>JiaFeng</t>
  </si>
  <si>
    <t>jiafeng</t>
  </si>
  <si>
    <t>Bello ye</t>
  </si>
  <si>
    <t>Long Er</t>
  </si>
  <si>
    <t>YEMI</t>
  </si>
  <si>
    <t>COLL004286</t>
  </si>
  <si>
    <t>Jason Zhou</t>
  </si>
  <si>
    <t>Hanzifa</t>
  </si>
  <si>
    <t>Joy</t>
  </si>
  <si>
    <t>BEIBEI</t>
  </si>
  <si>
    <t>Micheal（ 陈豪）</t>
  </si>
  <si>
    <t>abv林伟辉</t>
  </si>
  <si>
    <t>鸿</t>
  </si>
  <si>
    <t>Alice08105750388</t>
  </si>
  <si>
    <t>JOB120377</t>
  </si>
  <si>
    <t>COLL004292</t>
  </si>
  <si>
    <t>JOB120378</t>
  </si>
  <si>
    <t>COLL004293</t>
  </si>
  <si>
    <t>JOB120379</t>
  </si>
  <si>
    <t>COLL004284</t>
  </si>
  <si>
    <t>Mr Zhou Jia Liang</t>
  </si>
  <si>
    <t>Joseph</t>
  </si>
  <si>
    <t>春城</t>
  </si>
  <si>
    <t>David Lee</t>
  </si>
  <si>
    <t>;li tao</t>
  </si>
  <si>
    <t>Lisa</t>
  </si>
  <si>
    <t>Ka Ka 4分部</t>
  </si>
  <si>
    <t>CHIMEZIE MARTIN</t>
  </si>
  <si>
    <t>xujianyun</t>
  </si>
  <si>
    <t>Angel</t>
  </si>
  <si>
    <t>Mr Wen</t>
  </si>
  <si>
    <t>Li Shi Jiang</t>
  </si>
  <si>
    <t>Chukwudi Ibe</t>
  </si>
  <si>
    <t>Mr.Tabrat</t>
  </si>
  <si>
    <t>Odunlami</t>
  </si>
  <si>
    <t>Ibrahim Kankia</t>
  </si>
  <si>
    <t>Iletutu Awosika</t>
  </si>
  <si>
    <t>God win</t>
  </si>
  <si>
    <t>Ye Hui</t>
  </si>
  <si>
    <t>Yusky</t>
  </si>
  <si>
    <t>JOB120382</t>
  </si>
  <si>
    <t>COLL004294</t>
  </si>
  <si>
    <t>WANGJIE</t>
  </si>
  <si>
    <t>jason</t>
  </si>
  <si>
    <t>Han Ying Bin</t>
  </si>
  <si>
    <t>HU CHAO NAN</t>
  </si>
  <si>
    <t>zhaojiqiang</t>
  </si>
  <si>
    <t>songdianchen</t>
  </si>
  <si>
    <t>leoyang</t>
  </si>
  <si>
    <t>IVAN</t>
  </si>
  <si>
    <t>Han Zhenyu</t>
  </si>
  <si>
    <t>WANG RUI</t>
  </si>
  <si>
    <t>NINI</t>
  </si>
  <si>
    <t>Adonis kitchen</t>
  </si>
  <si>
    <t>Sue</t>
  </si>
  <si>
    <t>Mrs Williams （BEYOND Fitness</t>
  </si>
  <si>
    <t>JOB120383</t>
  </si>
  <si>
    <t>COLL004295</t>
  </si>
  <si>
    <t>V.C</t>
  </si>
  <si>
    <t>SHAEK</t>
  </si>
  <si>
    <t>东东</t>
  </si>
  <si>
    <t>Yang</t>
  </si>
  <si>
    <t>JOB120384</t>
  </si>
  <si>
    <t>COLL004299</t>
  </si>
  <si>
    <t>Miss Chen</t>
  </si>
  <si>
    <t>Yang Hua Qiao</t>
  </si>
  <si>
    <t>wang lin</t>
  </si>
  <si>
    <t>Wa Wa Jun</t>
  </si>
  <si>
    <t>lin wei hui</t>
  </si>
  <si>
    <t>JOB120385</t>
  </si>
  <si>
    <t>COLL004300</t>
  </si>
  <si>
    <t>Zhang Wen Hao</t>
  </si>
  <si>
    <t>xue yu hun</t>
  </si>
  <si>
    <t>zhouweiwei</t>
  </si>
  <si>
    <t>Cheng Zi</t>
  </si>
  <si>
    <t>Hong Yuan Yuan</t>
  </si>
  <si>
    <t>ss</t>
  </si>
  <si>
    <t>JOB120386</t>
  </si>
  <si>
    <t>COLL004289</t>
  </si>
  <si>
    <t>水 之 源</t>
  </si>
  <si>
    <t>Xiao Xiao</t>
  </si>
  <si>
    <t>Francis</t>
  </si>
  <si>
    <t>Hillter</t>
  </si>
  <si>
    <t>Nkiru</t>
  </si>
  <si>
    <t>matt</t>
  </si>
  <si>
    <t>chi de jian</t>
  </si>
  <si>
    <t>Mr. Jason</t>
  </si>
  <si>
    <t>HABIB MUHAMMAD MUSTAPHA</t>
  </si>
  <si>
    <t>Shen Yu</t>
  </si>
  <si>
    <t>New hope 边鹏飞</t>
  </si>
  <si>
    <t>zhouguojing</t>
  </si>
  <si>
    <t>Adeniyi</t>
  </si>
  <si>
    <t>yanjian</t>
  </si>
  <si>
    <t>Mr Andy</t>
  </si>
  <si>
    <t>Olushola Fanimi</t>
  </si>
  <si>
    <t>abu</t>
  </si>
  <si>
    <t>liangyu</t>
  </si>
  <si>
    <t>Mr Gbolahan</t>
  </si>
  <si>
    <t>Xiao Xiao 小小</t>
  </si>
  <si>
    <t>Frank</t>
  </si>
  <si>
    <t>Kalio Edith</t>
  </si>
  <si>
    <t>los徐周鹏</t>
  </si>
  <si>
    <t>Yang Xin Hua</t>
  </si>
  <si>
    <t>Jhon</t>
  </si>
  <si>
    <t>JOB120388</t>
  </si>
  <si>
    <t>COLL004302</t>
  </si>
  <si>
    <t>los 吴江斌</t>
  </si>
  <si>
    <t>qianqian</t>
  </si>
  <si>
    <t>Steve</t>
  </si>
  <si>
    <t>Xiang</t>
  </si>
  <si>
    <t>LAN LAN</t>
  </si>
  <si>
    <t>wangqingtao</t>
  </si>
  <si>
    <t>Simdi Ukoha</t>
  </si>
  <si>
    <t>JOB120389</t>
  </si>
  <si>
    <t>COLL004297</t>
  </si>
  <si>
    <t>Stova</t>
  </si>
  <si>
    <t>Cindy</t>
  </si>
  <si>
    <t>FENGPEIKUAN</t>
  </si>
  <si>
    <t>Jennifer</t>
  </si>
  <si>
    <t>yangxianwu</t>
  </si>
  <si>
    <t>zhi hui zhou</t>
  </si>
  <si>
    <t>ossy kaltungo</t>
  </si>
  <si>
    <t>wanghui</t>
  </si>
  <si>
    <t>Xiao XIng Jie</t>
  </si>
  <si>
    <t>Ajay Singh，</t>
  </si>
  <si>
    <t>Olatunde Mustapha</t>
  </si>
  <si>
    <t>weng zixian</t>
  </si>
  <si>
    <t>Castiel</t>
  </si>
  <si>
    <t>JAMES Felicity</t>
  </si>
  <si>
    <t>ChenBin</t>
  </si>
  <si>
    <t>wang zong</t>
  </si>
  <si>
    <t>JIANG CHUAN DAO</t>
  </si>
  <si>
    <t>Emmanuel Ochigbo</t>
  </si>
  <si>
    <t>los牛晨晖</t>
  </si>
  <si>
    <t>MU SHI SHI</t>
  </si>
  <si>
    <t>JOB120391</t>
  </si>
  <si>
    <t>COLL004306</t>
  </si>
  <si>
    <t>King sley</t>
  </si>
  <si>
    <t>JOB120392</t>
  </si>
  <si>
    <t>COLL004304</t>
  </si>
  <si>
    <t>QI YAN</t>
  </si>
  <si>
    <t>KeKe</t>
  </si>
  <si>
    <t>Tosin</t>
  </si>
  <si>
    <t>FanXiangGuo</t>
  </si>
  <si>
    <t>Joe</t>
  </si>
  <si>
    <t>JOB120393</t>
  </si>
  <si>
    <t>COLL004303</t>
  </si>
  <si>
    <t>Yang yinhua</t>
  </si>
  <si>
    <t>David Olawuyi</t>
  </si>
  <si>
    <t>FENG</t>
  </si>
  <si>
    <t>Atten Engr Kola Balogun</t>
  </si>
  <si>
    <t>Sofia</t>
  </si>
  <si>
    <t>Lilon</t>
  </si>
  <si>
    <t>Leo Liang</t>
  </si>
  <si>
    <t>Mr. Kola</t>
  </si>
  <si>
    <t>Bruce</t>
  </si>
  <si>
    <t>Alhaji</t>
  </si>
  <si>
    <t>UKET</t>
  </si>
  <si>
    <t>啃樱桃的小丸子</t>
  </si>
  <si>
    <t>Abdulhafiz Yesufu</t>
  </si>
  <si>
    <t>kennie</t>
  </si>
  <si>
    <t>Cheaf</t>
  </si>
  <si>
    <t>you ran</t>
  </si>
  <si>
    <t>Mr Wang</t>
  </si>
  <si>
    <t>YunLong Hu</t>
  </si>
  <si>
    <t>Diana</t>
  </si>
  <si>
    <t>Hubin</t>
  </si>
  <si>
    <t>YIYAO</t>
  </si>
  <si>
    <t>Maggie</t>
  </si>
  <si>
    <t>JOB120394</t>
  </si>
  <si>
    <t>COLL004309</t>
  </si>
  <si>
    <t>Mr Rell</t>
  </si>
  <si>
    <t>JOB120395</t>
  </si>
  <si>
    <t>COLL004296</t>
  </si>
  <si>
    <t>Jahnson</t>
  </si>
  <si>
    <t>CATHERINE</t>
  </si>
  <si>
    <t>Aisha Olabanji</t>
  </si>
  <si>
    <t>YU SHENG</t>
  </si>
  <si>
    <t>WEI</t>
  </si>
  <si>
    <t>xiao yu</t>
  </si>
  <si>
    <t>BEI SHAO</t>
  </si>
  <si>
    <t>Yang Peng Tao</t>
  </si>
  <si>
    <t>Mr.Yang</t>
  </si>
  <si>
    <t>YI CHEN</t>
  </si>
  <si>
    <t>小 蕊</t>
  </si>
  <si>
    <t>Jimmy 吉米</t>
  </si>
  <si>
    <t>Ling Chen</t>
  </si>
  <si>
    <t>san pao</t>
  </si>
  <si>
    <t>yuanbao元宝</t>
  </si>
  <si>
    <t>lucy</t>
  </si>
  <si>
    <t>Angelo biotech international (Nig) Ltd.</t>
  </si>
  <si>
    <t>huangjie</t>
  </si>
  <si>
    <t>XIAO K</t>
  </si>
  <si>
    <t>Tweleve</t>
  </si>
  <si>
    <t>Madam Zahra</t>
  </si>
  <si>
    <t>OLIVER</t>
  </si>
  <si>
    <t>Wang Xin Ling</t>
  </si>
  <si>
    <t>zhou ji kao rou</t>
  </si>
  <si>
    <t>TianRongLiang</t>
  </si>
  <si>
    <t> Kevin</t>
  </si>
  <si>
    <t>Bao Bao</t>
  </si>
  <si>
    <t>panda supermarket</t>
  </si>
  <si>
    <t>John</t>
  </si>
  <si>
    <t>ADEBOWALE DAMILARE</t>
  </si>
  <si>
    <t>zhangjianchao</t>
  </si>
  <si>
    <t>TANG TANG</t>
  </si>
  <si>
    <t>Zhang Wen Chuang</t>
  </si>
  <si>
    <t>MISS Huang</t>
  </si>
  <si>
    <t>Weiwei</t>
  </si>
  <si>
    <t>Shu He</t>
  </si>
  <si>
    <t>122286</t>
  </si>
  <si>
    <t>maggie</t>
  </si>
  <si>
    <t>Mike</t>
  </si>
  <si>
    <t>Eason Cai</t>
  </si>
  <si>
    <t>Liao HuaiXian</t>
  </si>
  <si>
    <t>You Qian Hua</t>
  </si>
  <si>
    <t>xiaozhiyuan</t>
  </si>
  <si>
    <t>nick.wang</t>
  </si>
  <si>
    <t>Paul</t>
  </si>
  <si>
    <t>cmi</t>
  </si>
  <si>
    <t>陆总</t>
  </si>
  <si>
    <t>陆梓龙</t>
  </si>
  <si>
    <t>luk</t>
  </si>
  <si>
    <t>袁安医生 Dr. Andy</t>
  </si>
  <si>
    <t>Andy Yuan</t>
  </si>
  <si>
    <t>xu ming</t>
  </si>
  <si>
    <t>Zou Qiyang</t>
  </si>
  <si>
    <t>Morireoluwa</t>
  </si>
  <si>
    <t>Sadiq bangaje</t>
  </si>
  <si>
    <t>JOB120396</t>
  </si>
  <si>
    <t>COLL004307</t>
  </si>
  <si>
    <t>Al Ameen Aminu</t>
  </si>
  <si>
    <t>zhounengquan</t>
  </si>
  <si>
    <t>Chukwudi Ananti</t>
  </si>
  <si>
    <t>Pang Xie</t>
  </si>
  <si>
    <t>Zhang Mei Li</t>
  </si>
  <si>
    <t>ABV 胡立新</t>
  </si>
  <si>
    <t>Jack</t>
  </si>
  <si>
    <t>Su Ming</t>
  </si>
  <si>
    <t>ZHANG XIAN DONG</t>
  </si>
  <si>
    <t>JOB120397</t>
  </si>
  <si>
    <t>COLL004314</t>
  </si>
  <si>
    <t>Mo Mo</t>
  </si>
  <si>
    <t>Feng Ying</t>
  </si>
  <si>
    <t>Ms</t>
  </si>
  <si>
    <t>YingYi</t>
  </si>
  <si>
    <t>BAI FEI GUO JI</t>
  </si>
  <si>
    <t>Lee Wen Wei</t>
  </si>
  <si>
    <t>Jianlin Yu</t>
  </si>
  <si>
    <t>JOB120398</t>
  </si>
  <si>
    <t>COLL004316</t>
  </si>
  <si>
    <t>JOB120400</t>
  </si>
  <si>
    <t>COLL004319</t>
  </si>
  <si>
    <t>adam</t>
  </si>
  <si>
    <t>XIANGMEI</t>
  </si>
  <si>
    <t>ola</t>
  </si>
  <si>
    <t>Henry</t>
  </si>
  <si>
    <t>Crystal</t>
  </si>
  <si>
    <t>JOB120403</t>
  </si>
  <si>
    <t>COLL004322</t>
  </si>
  <si>
    <t>Zhang Hao</t>
  </si>
  <si>
    <t>JIEKE</t>
  </si>
  <si>
    <t>JOB120405</t>
  </si>
  <si>
    <t>COLL004311</t>
  </si>
  <si>
    <t>顶派=119797.5
广州通达=13367.5</t>
  </si>
  <si>
    <t>Gao Tian</t>
  </si>
  <si>
    <t>MR.Lang</t>
  </si>
  <si>
    <t>Robin Tai</t>
  </si>
  <si>
    <t>Aunt Amina</t>
  </si>
  <si>
    <t>Alex Zhu</t>
  </si>
  <si>
    <t>Chimezie</t>
  </si>
  <si>
    <t>val</t>
  </si>
  <si>
    <t>Miss Nafsat</t>
  </si>
  <si>
    <t>fancy</t>
  </si>
  <si>
    <t>Zhou Ren Lun</t>
  </si>
  <si>
    <t>Chen Yi</t>
  </si>
  <si>
    <t>Yuan Shi Jin</t>
  </si>
  <si>
    <t>Medhat Ragaii</t>
  </si>
  <si>
    <t>chuks</t>
  </si>
  <si>
    <t>JOB120406</t>
  </si>
  <si>
    <t>COLL004317</t>
  </si>
  <si>
    <t>Meiqi</t>
  </si>
  <si>
    <t>Sun Ning</t>
  </si>
  <si>
    <t>Emmanuel</t>
  </si>
  <si>
    <t>xuejiajun</t>
  </si>
  <si>
    <t>Tom chen</t>
  </si>
  <si>
    <t>yinshaosen</t>
  </si>
  <si>
    <t>ROY</t>
  </si>
  <si>
    <t>xiaowu</t>
  </si>
  <si>
    <t>Abraham，Winter</t>
  </si>
  <si>
    <t>JIU YUE</t>
  </si>
  <si>
    <t>YAN YAN</t>
  </si>
  <si>
    <t>Obinna Peter</t>
  </si>
  <si>
    <t>Xie Chun Yang</t>
  </si>
  <si>
    <t>chenlu</t>
  </si>
  <si>
    <t>wangmeng</t>
  </si>
  <si>
    <t>Alice</t>
  </si>
  <si>
    <t>Derrick</t>
  </si>
  <si>
    <t>Tang Xuelin</t>
  </si>
  <si>
    <t>yakubu</t>
  </si>
  <si>
    <t>Mr.Chao</t>
  </si>
  <si>
    <t>Mr yakubu muktar</t>
  </si>
  <si>
    <t>Panda</t>
  </si>
  <si>
    <t>liu xiang rui</t>
  </si>
  <si>
    <t>Liu Ming Rui</t>
  </si>
  <si>
    <t>Iko Musa</t>
  </si>
  <si>
    <t>Chioma</t>
  </si>
  <si>
    <t>JOB120407</t>
  </si>
  <si>
    <t>COLL004318</t>
  </si>
  <si>
    <t>GUI JI</t>
  </si>
  <si>
    <t>UCHE</t>
  </si>
  <si>
    <t>OKESON</t>
  </si>
  <si>
    <t>duwei</t>
  </si>
  <si>
    <t>Akinwande Rahim</t>
  </si>
  <si>
    <t>Liu Xian He</t>
  </si>
  <si>
    <t>Qingqing Zhang</t>
  </si>
  <si>
    <t>Steven</t>
  </si>
  <si>
    <t>DUDUHE鹤</t>
  </si>
  <si>
    <t>SHAN NAN</t>
  </si>
  <si>
    <t>ERIC</t>
  </si>
  <si>
    <t>Henry Adelaye</t>
  </si>
  <si>
    <t>Sadiq</t>
  </si>
  <si>
    <t>Olufunmi</t>
  </si>
  <si>
    <t>SPLENDID ELECTRONICS INDUSTRIES FZE</t>
  </si>
  <si>
    <t>adeniyi</t>
  </si>
  <si>
    <t>Jane</t>
  </si>
  <si>
    <t>JOB120408</t>
  </si>
  <si>
    <t>COLL004329</t>
  </si>
  <si>
    <t>Usman</t>
  </si>
  <si>
    <t>Xie Yi</t>
  </si>
  <si>
    <t>JOB120409</t>
  </si>
  <si>
    <t>COLL004327</t>
  </si>
  <si>
    <t>Hao Pi Qi</t>
  </si>
  <si>
    <t>yan zi</t>
  </si>
  <si>
    <t>LII XING MAO</t>
  </si>
  <si>
    <t>Adaigbe precious</t>
  </si>
  <si>
    <t>zhanghui</t>
  </si>
  <si>
    <t>new hope边鹏飞</t>
  </si>
  <si>
    <t>Zhong Kai</t>
  </si>
  <si>
    <t>Zhao Fu Lai</t>
  </si>
  <si>
    <t>Zhang Xing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</si>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</sst>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3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10"/>
      <color rgb="FF00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9" borderId="14" applyNumberFormat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10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3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9" fontId="6" fillId="2" borderId="2" xfId="1" applyNumberFormat="1" applyFont="1" applyFill="1" applyBorder="1" applyAlignment="1">
      <alignment horizontal="center" vertical="center"/>
    </xf>
    <xf numFmtId="180" fontId="7" fillId="2" borderId="2" xfId="1" applyNumberFormat="1" applyFont="1" applyFill="1" applyBorder="1" applyAlignment="1">
      <alignment horizontal="center" vertical="center"/>
    </xf>
    <xf numFmtId="180" fontId="8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80" fontId="8" fillId="2" borderId="2" xfId="1" applyNumberFormat="1" applyFont="1" applyFill="1" applyBorder="1" applyAlignment="1">
      <alignment horizontal="center" vertical="center"/>
    </xf>
    <xf numFmtId="180" fontId="8" fillId="2" borderId="3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>
      <alignment vertical="center"/>
    </xf>
    <xf numFmtId="181" fontId="3" fillId="0" borderId="2" xfId="0" applyNumberFormat="1" applyFont="1" applyFill="1" applyBorder="1">
      <alignment vertical="center"/>
    </xf>
    <xf numFmtId="58" fontId="10" fillId="0" borderId="2" xfId="0" applyNumberFormat="1" applyFont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2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5" fillId="3" borderId="2" xfId="0" applyNumberFormat="1" applyFont="1" applyFill="1" applyBorder="1" applyAlignment="1">
      <alignment horizontal="right" vertical="center"/>
    </xf>
    <xf numFmtId="176" fontId="13" fillId="3" borderId="2" xfId="0" applyNumberFormat="1" applyFont="1" applyFill="1" applyBorder="1" applyAlignment="1">
      <alignment horizontal="center" vertical="center" wrapText="1"/>
    </xf>
    <xf numFmtId="177" fontId="13" fillId="3" borderId="2" xfId="0" applyNumberFormat="1" applyFont="1" applyFill="1" applyBorder="1" applyAlignment="1">
      <alignment horizontal="center" vertical="center" wrapText="1"/>
    </xf>
    <xf numFmtId="177" fontId="5" fillId="3" borderId="2" xfId="0" applyNumberFormat="1" applyFont="1" applyFill="1" applyBorder="1" applyAlignment="1">
      <alignment horizontal="center" vertical="center" wrapText="1"/>
    </xf>
    <xf numFmtId="0" fontId="14" fillId="3" borderId="2" xfId="0" applyNumberFormat="1" applyFont="1" applyFill="1" applyBorder="1" applyAlignment="1">
      <alignment horizontal="center" vertical="center"/>
    </xf>
    <xf numFmtId="182" fontId="15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16" fillId="0" borderId="2" xfId="0" applyNumberFormat="1" applyFont="1" applyFill="1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177" fontId="9" fillId="2" borderId="2" xfId="0" applyNumberFormat="1" applyFont="1" applyFill="1" applyBorder="1">
      <alignment vertical="center"/>
    </xf>
    <xf numFmtId="176" fontId="7" fillId="2" borderId="4" xfId="0" applyNumberFormat="1" applyFont="1" applyFill="1" applyBorder="1" applyAlignment="1">
      <alignment horizontal="center" vertical="center"/>
    </xf>
    <xf numFmtId="182" fontId="9" fillId="2" borderId="2" xfId="0" applyNumberFormat="1" applyFont="1" applyFill="1" applyBorder="1">
      <alignment vertical="center"/>
    </xf>
    <xf numFmtId="182" fontId="3" fillId="0" borderId="1" xfId="0" applyNumberFormat="1" applyFont="1" applyBorder="1" applyAlignment="1">
      <alignment horizontal="center" vertical="center"/>
    </xf>
    <xf numFmtId="182" fontId="3" fillId="0" borderId="3" xfId="0" applyNumberFormat="1" applyFont="1" applyBorder="1" applyAlignment="1">
      <alignment horizontal="center" vertical="center"/>
    </xf>
    <xf numFmtId="182" fontId="9" fillId="3" borderId="2" xfId="0" applyNumberFormat="1" applyFont="1" applyFill="1" applyBorder="1">
      <alignment vertical="center"/>
    </xf>
    <xf numFmtId="176" fontId="16" fillId="0" borderId="2" xfId="0" applyNumberFormat="1" applyFont="1" applyBorder="1" applyAlignment="1">
      <alignment horizontal="center" vertical="center"/>
    </xf>
    <xf numFmtId="176" fontId="16" fillId="3" borderId="2" xfId="0" applyNumberFormat="1" applyFont="1" applyFill="1" applyBorder="1" applyAlignment="1">
      <alignment horizontal="center" vertical="center"/>
    </xf>
    <xf numFmtId="177" fontId="16" fillId="2" borderId="2" xfId="0" applyNumberFormat="1" applyFont="1" applyFill="1" applyBorder="1">
      <alignment vertical="center"/>
    </xf>
    <xf numFmtId="182" fontId="16" fillId="2" borderId="2" xfId="0" applyNumberFormat="1" applyFont="1" applyFill="1" applyBorder="1">
      <alignment vertical="center"/>
    </xf>
    <xf numFmtId="182" fontId="3" fillId="0" borderId="7" xfId="0" applyNumberFormat="1" applyFont="1" applyBorder="1" applyAlignment="1">
      <alignment horizontal="center" vertical="center"/>
    </xf>
    <xf numFmtId="182" fontId="3" fillId="0" borderId="2" xfId="0" applyNumberFormat="1" applyFont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82" fontId="17" fillId="2" borderId="2" xfId="0" applyNumberFormat="1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7" fontId="18" fillId="0" borderId="0" xfId="0" applyNumberFormat="1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82" fontId="5" fillId="5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82" fontId="5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82" fontId="14" fillId="0" borderId="8" xfId="0" applyNumberFormat="1" applyFont="1" applyFill="1" applyBorder="1" applyAlignment="1">
      <alignment horizontal="center" vertical="center" wrapText="1"/>
    </xf>
    <xf numFmtId="7" fontId="18" fillId="3" borderId="1" xfId="0" applyNumberFormat="1" applyFont="1" applyFill="1" applyBorder="1" applyAlignment="1">
      <alignment horizontal="center" vertical="center" wrapText="1"/>
    </xf>
    <xf numFmtId="177" fontId="14" fillId="3" borderId="2" xfId="0" applyNumberFormat="1" applyFont="1" applyFill="1" applyBorder="1" applyAlignment="1">
      <alignment horizontal="center" vertical="center"/>
    </xf>
    <xf numFmtId="183" fontId="19" fillId="5" borderId="2" xfId="4" applyNumberFormat="1" applyFont="1" applyFill="1" applyBorder="1" applyAlignment="1">
      <alignment horizontal="center" vertical="center"/>
    </xf>
    <xf numFmtId="182" fontId="15" fillId="5" borderId="2" xfId="4" applyNumberFormat="1" applyFont="1" applyFill="1" applyBorder="1" applyAlignment="1">
      <alignment horizontal="center" vertical="center"/>
    </xf>
    <xf numFmtId="183" fontId="15" fillId="0" borderId="2" xfId="4" applyNumberFormat="1" applyFont="1" applyFill="1" applyBorder="1" applyAlignment="1">
      <alignment horizontal="center" vertical="center"/>
    </xf>
    <xf numFmtId="182" fontId="15" fillId="0" borderId="2" xfId="4" applyNumberFormat="1" applyFont="1" applyFill="1" applyBorder="1" applyAlignment="1">
      <alignment horizontal="center" vertical="center"/>
    </xf>
    <xf numFmtId="182" fontId="14" fillId="0" borderId="9" xfId="0" applyNumberFormat="1" applyFont="1" applyFill="1" applyBorder="1" applyAlignment="1">
      <alignment horizontal="center" vertical="center" wrapText="1"/>
    </xf>
    <xf numFmtId="7" fontId="18" fillId="3" borderId="3" xfId="0" applyNumberFormat="1" applyFont="1" applyFill="1" applyBorder="1" applyAlignment="1">
      <alignment horizontal="center" vertical="center" wrapText="1"/>
    </xf>
    <xf numFmtId="177" fontId="20" fillId="3" borderId="2" xfId="0" applyNumberFormat="1" applyFont="1" applyFill="1" applyBorder="1" applyAlignment="1">
      <alignment vertical="center" wrapText="1"/>
    </xf>
    <xf numFmtId="182" fontId="3" fillId="0" borderId="2" xfId="0" applyNumberFormat="1" applyFont="1" applyBorder="1" applyAlignment="1">
      <alignment vertical="center"/>
    </xf>
    <xf numFmtId="182" fontId="3" fillId="3" borderId="2" xfId="0" applyNumberFormat="1" applyFont="1" applyFill="1" applyBorder="1" applyAlignment="1">
      <alignment vertical="center"/>
    </xf>
    <xf numFmtId="177" fontId="3" fillId="0" borderId="2" xfId="0" applyNumberFormat="1" applyFont="1" applyBorder="1" applyAlignment="1">
      <alignment vertical="center"/>
    </xf>
    <xf numFmtId="182" fontId="3" fillId="0" borderId="2" xfId="0" applyNumberFormat="1" applyFont="1" applyBorder="1">
      <alignment vertical="center"/>
    </xf>
    <xf numFmtId="177" fontId="3" fillId="0" borderId="2" xfId="0" applyNumberFormat="1" applyFont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 wrapText="1"/>
    </xf>
    <xf numFmtId="176" fontId="14" fillId="3" borderId="2" xfId="0" applyNumberFormat="1" applyFont="1" applyFill="1" applyBorder="1" applyAlignment="1">
      <alignment horizontal="center" vertical="center"/>
    </xf>
    <xf numFmtId="182" fontId="14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7" fontId="14" fillId="3" borderId="2" xfId="0" applyNumberFormat="1" applyFont="1" applyFill="1" applyBorder="1" applyAlignment="1">
      <alignment horizontal="right" vertical="center"/>
    </xf>
    <xf numFmtId="176" fontId="18" fillId="3" borderId="2" xfId="0" applyNumberFormat="1" applyFont="1" applyFill="1" applyBorder="1" applyAlignment="1">
      <alignment horizontal="center" vertical="center"/>
    </xf>
    <xf numFmtId="182" fontId="14" fillId="3" borderId="2" xfId="0" applyNumberFormat="1" applyFont="1" applyFill="1" applyBorder="1" applyAlignment="1">
      <alignment horizontal="center" vertical="center"/>
    </xf>
    <xf numFmtId="182" fontId="14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vertical="center"/>
    </xf>
    <xf numFmtId="181" fontId="3" fillId="3" borderId="2" xfId="0" applyNumberFormat="1" applyFont="1" applyFill="1" applyBorder="1">
      <alignment vertical="center"/>
    </xf>
    <xf numFmtId="58" fontId="2" fillId="3" borderId="2" xfId="0" applyNumberFormat="1" applyFont="1" applyFill="1" applyBorder="1" applyAlignment="1">
      <alignment horizontal="center" vertical="center"/>
    </xf>
    <xf numFmtId="58" fontId="10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>
      <alignment vertical="center"/>
    </xf>
    <xf numFmtId="182" fontId="16" fillId="3" borderId="2" xfId="0" applyNumberFormat="1" applyFont="1" applyFill="1" applyBorder="1">
      <alignment vertical="center"/>
    </xf>
    <xf numFmtId="177" fontId="9" fillId="3" borderId="2" xfId="0" applyNumberFormat="1" applyFont="1" applyFill="1" applyBorder="1">
      <alignment vertical="center"/>
    </xf>
    <xf numFmtId="177" fontId="16" fillId="3" borderId="2" xfId="0" applyNumberFormat="1" applyFon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181" fontId="3" fillId="0" borderId="2" xfId="0" applyNumberFormat="1" applyFont="1" applyFill="1" applyBorder="1" applyAlignment="1">
      <alignment vertical="center"/>
    </xf>
    <xf numFmtId="58" fontId="2" fillId="0" borderId="2" xfId="0" applyNumberFormat="1" applyFont="1" applyFill="1" applyBorder="1" applyAlignment="1">
      <alignment horizontal="center" vertical="center"/>
    </xf>
    <xf numFmtId="182" fontId="16" fillId="0" borderId="1" xfId="0" applyNumberFormat="1" applyFont="1" applyFill="1" applyBorder="1" applyAlignment="1">
      <alignment vertical="center"/>
    </xf>
    <xf numFmtId="176" fontId="3" fillId="0" borderId="2" xfId="0" applyNumberFormat="1" applyFont="1" applyFill="1" applyBorder="1" applyAlignment="1">
      <alignment vertical="center"/>
    </xf>
    <xf numFmtId="177" fontId="9" fillId="2" borderId="2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177" fontId="9" fillId="2" borderId="1" xfId="0" applyNumberFormat="1" applyFont="1" applyFill="1" applyBorder="1" applyAlignment="1">
      <alignment vertical="center"/>
    </xf>
    <xf numFmtId="176" fontId="2" fillId="0" borderId="2" xfId="0" applyNumberFormat="1" applyFont="1" applyFill="1" applyBorder="1" applyAlignment="1">
      <alignment horizontal="center" vertical="center"/>
    </xf>
    <xf numFmtId="182" fontId="3" fillId="0" borderId="2" xfId="0" applyNumberFormat="1" applyFont="1" applyFill="1" applyBorder="1" applyAlignment="1">
      <alignment vertical="center"/>
    </xf>
    <xf numFmtId="182" fontId="3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vertical="center"/>
    </xf>
    <xf numFmtId="58" fontId="3" fillId="0" borderId="2" xfId="0" applyNumberFormat="1" applyFont="1" applyFill="1" applyBorder="1" applyAlignment="1">
      <alignment vertical="center"/>
    </xf>
    <xf numFmtId="0" fontId="9" fillId="2" borderId="1" xfId="0" applyFont="1" applyFill="1" applyBorder="1">
      <alignment vertical="center"/>
    </xf>
    <xf numFmtId="182" fontId="16" fillId="0" borderId="2" xfId="0" applyNumberFormat="1" applyFont="1" applyFill="1" applyBorder="1" applyAlignment="1">
      <alignment vertical="center"/>
    </xf>
    <xf numFmtId="182" fontId="9" fillId="2" borderId="2" xfId="0" applyNumberFormat="1" applyFont="1" applyFill="1" applyBorder="1" applyAlignment="1">
      <alignment vertical="center"/>
    </xf>
    <xf numFmtId="182" fontId="3" fillId="0" borderId="1" xfId="0" applyNumberFormat="1" applyFont="1" applyFill="1" applyBorder="1" applyAlignment="1">
      <alignment horizontal="center" vertical="center"/>
    </xf>
    <xf numFmtId="182" fontId="3" fillId="0" borderId="3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vertical="center"/>
    </xf>
    <xf numFmtId="176" fontId="16" fillId="0" borderId="2" xfId="0" applyNumberFormat="1" applyFont="1" applyFill="1" applyBorder="1" applyAlignment="1">
      <alignment vertical="center"/>
    </xf>
    <xf numFmtId="177" fontId="16" fillId="2" borderId="2" xfId="0" applyNumberFormat="1" applyFont="1" applyFill="1" applyBorder="1" applyAlignment="1">
      <alignment vertical="center"/>
    </xf>
    <xf numFmtId="182" fontId="3" fillId="0" borderId="7" xfId="0" applyNumberFormat="1" applyFont="1" applyFill="1" applyBorder="1" applyAlignment="1">
      <alignment horizontal="center" vertical="center"/>
    </xf>
    <xf numFmtId="182" fontId="9" fillId="2" borderId="1" xfId="0" applyNumberFormat="1" applyFont="1" applyFill="1" applyBorder="1">
      <alignment vertical="center"/>
    </xf>
    <xf numFmtId="177" fontId="16" fillId="2" borderId="1" xfId="0" applyNumberFormat="1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82" fontId="9" fillId="0" borderId="2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vertical="center"/>
    </xf>
    <xf numFmtId="176" fontId="16" fillId="0" borderId="2" xfId="0" applyNumberFormat="1" applyFont="1" applyFill="1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 wrapText="1"/>
    </xf>
    <xf numFmtId="58" fontId="3" fillId="0" borderId="2" xfId="0" applyNumberFormat="1" applyFont="1" applyBorder="1">
      <alignment vertical="center"/>
    </xf>
    <xf numFmtId="182" fontId="16" fillId="0" borderId="1" xfId="0" applyNumberFormat="1" applyFont="1" applyFill="1" applyBorder="1">
      <alignment vertical="center"/>
    </xf>
    <xf numFmtId="0" fontId="0" fillId="0" borderId="2" xfId="0" applyBorder="1">
      <alignment vertical="center"/>
    </xf>
    <xf numFmtId="177" fontId="9" fillId="2" borderId="1" xfId="0" applyNumberFormat="1" applyFont="1" applyFill="1" applyBorder="1">
      <alignment vertical="center"/>
    </xf>
    <xf numFmtId="176" fontId="9" fillId="2" borderId="2" xfId="0" applyNumberFormat="1" applyFont="1" applyFill="1" applyBorder="1" applyAlignment="1">
      <alignment horizontal="center" vertical="center"/>
    </xf>
    <xf numFmtId="176" fontId="21" fillId="2" borderId="2" xfId="0" applyNumberFormat="1" applyFont="1" applyFill="1" applyBorder="1" applyAlignment="1">
      <alignment horizontal="center" vertical="center"/>
    </xf>
    <xf numFmtId="58" fontId="10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182" fontId="9" fillId="0" borderId="2" xfId="0" applyNumberFormat="1" applyFont="1" applyFill="1" applyBorder="1">
      <alignment vertical="center"/>
    </xf>
    <xf numFmtId="182" fontId="0" fillId="0" borderId="2" xfId="0" applyNumberFormat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7" fontId="3" fillId="0" borderId="2" xfId="0" applyNumberFormat="1" applyFont="1" applyBorder="1" applyAlignment="1">
      <alignment vertical="center"/>
    </xf>
    <xf numFmtId="182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1034"/>
  <sheetViews>
    <sheetView tabSelected="1" zoomScale="110" zoomScaleNormal="110" workbookViewId="0">
      <selection activeCell="H1014" sqref="H1014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4" width="9" style="3"/>
    <col min="5" max="5" width="9" style="4"/>
    <col min="6" max="6" width="17.375" customWidth="1"/>
    <col min="7" max="8" width="11.5"/>
    <col min="9" max="9" width="17"/>
    <col min="10" max="10" width="15.125" style="5"/>
    <col min="11" max="11" width="15.125" style="6"/>
    <col min="12" max="12" width="13.875" style="5"/>
    <col min="13" max="13" width="13.625"/>
    <col min="14" max="14" width="13.75"/>
    <col min="15" max="15" width="17"/>
    <col min="16" max="16" width="18.8583333333333" customWidth="1"/>
    <col min="17" max="17" width="11.25" customWidth="1"/>
    <col min="18" max="18" width="16.125"/>
    <col min="19" max="19" width="11.25" style="7" customWidth="1"/>
    <col min="20" max="20" width="10.25" style="7"/>
    <col min="21" max="22" width="11.25" style="7"/>
    <col min="23" max="23" width="14.75" style="8"/>
    <col min="24" max="24" width="11.875" style="6" customWidth="1"/>
    <col min="25" max="25" width="11.125" style="6" customWidth="1"/>
    <col min="26" max="26" width="11.375" style="6"/>
    <col min="27" max="27" width="12.625" style="6"/>
    <col min="28" max="28" width="12" style="5"/>
    <col min="29" max="29" width="12.875"/>
    <col min="30" max="30" width="14.875"/>
    <col min="31" max="31" width="14.75"/>
  </cols>
  <sheetData>
    <row r="1" ht="31" customHeight="1" spans="1:31">
      <c r="A1" s="9" t="s">
        <v>0</v>
      </c>
      <c r="B1" s="9"/>
      <c r="C1" s="9"/>
      <c r="D1" s="10"/>
      <c r="E1" s="9"/>
      <c r="F1" s="9"/>
      <c r="G1" s="9"/>
      <c r="H1" s="9"/>
      <c r="I1" s="9"/>
      <c r="J1" s="27"/>
      <c r="K1" s="28"/>
      <c r="L1" s="27"/>
      <c r="M1" s="9"/>
      <c r="N1" s="29"/>
      <c r="O1" s="9"/>
      <c r="P1" s="9"/>
      <c r="Q1" s="9"/>
      <c r="R1" s="9"/>
      <c r="S1" s="59"/>
      <c r="T1" s="59"/>
      <c r="U1" s="60"/>
      <c r="V1" s="59"/>
      <c r="W1" s="61"/>
      <c r="X1" s="28"/>
      <c r="Y1" s="28"/>
      <c r="Z1" s="28"/>
      <c r="AA1" s="28"/>
      <c r="AB1" s="27"/>
      <c r="AC1" s="28"/>
      <c r="AD1" s="9"/>
      <c r="AE1" s="9"/>
    </row>
    <row r="2" s="1" customFormat="1" ht="23" customHeight="1" spans="1:31">
      <c r="A2" s="11" t="s">
        <v>1</v>
      </c>
      <c r="B2" s="12" t="s">
        <v>2</v>
      </c>
      <c r="C2" s="13" t="s">
        <v>3</v>
      </c>
      <c r="D2" s="14" t="s">
        <v>4</v>
      </c>
      <c r="E2" s="15" t="s">
        <v>5</v>
      </c>
      <c r="F2" s="16" t="s">
        <v>6</v>
      </c>
      <c r="G2" s="16" t="s">
        <v>7</v>
      </c>
      <c r="H2" s="16" t="s">
        <v>8</v>
      </c>
      <c r="I2" s="30" t="s">
        <v>9</v>
      </c>
      <c r="J2" s="31"/>
      <c r="K2" s="32"/>
      <c r="L2" s="31"/>
      <c r="M2" s="32"/>
      <c r="N2" s="33"/>
      <c r="O2" s="34"/>
      <c r="P2" s="35" t="s">
        <v>10</v>
      </c>
      <c r="Q2" s="62" t="s">
        <v>11</v>
      </c>
      <c r="R2" s="63"/>
      <c r="S2" s="64"/>
      <c r="T2" s="65"/>
      <c r="U2" s="66"/>
      <c r="V2" s="67" t="s">
        <v>12</v>
      </c>
      <c r="W2" s="68" t="s">
        <v>13</v>
      </c>
      <c r="X2" s="69" t="s">
        <v>14</v>
      </c>
      <c r="Y2" s="69"/>
      <c r="Z2" s="69"/>
      <c r="AA2" s="69"/>
      <c r="AB2" s="83"/>
      <c r="AC2" s="69"/>
      <c r="AD2" s="84" t="s">
        <v>15</v>
      </c>
      <c r="AE2" s="85" t="s">
        <v>16</v>
      </c>
    </row>
    <row r="3" s="1" customFormat="1" ht="27" customHeight="1" spans="1:31">
      <c r="A3" s="17"/>
      <c r="B3" s="18"/>
      <c r="C3" s="13"/>
      <c r="D3" s="19"/>
      <c r="E3" s="20"/>
      <c r="F3" s="21"/>
      <c r="G3" s="21"/>
      <c r="H3" s="21"/>
      <c r="I3" s="36" t="s">
        <v>17</v>
      </c>
      <c r="J3" s="37" t="s">
        <v>18</v>
      </c>
      <c r="K3" s="38" t="s">
        <v>19</v>
      </c>
      <c r="L3" s="37" t="s">
        <v>20</v>
      </c>
      <c r="M3" s="39" t="s">
        <v>21</v>
      </c>
      <c r="N3" s="40" t="s">
        <v>22</v>
      </c>
      <c r="O3" s="41" t="s">
        <v>23</v>
      </c>
      <c r="P3" s="42"/>
      <c r="Q3" s="70" t="s">
        <v>24</v>
      </c>
      <c r="R3" s="71" t="s">
        <v>25</v>
      </c>
      <c r="S3" s="72" t="s">
        <v>26</v>
      </c>
      <c r="T3" s="73" t="s">
        <v>27</v>
      </c>
      <c r="U3" s="72" t="s">
        <v>28</v>
      </c>
      <c r="V3" s="74"/>
      <c r="W3" s="75"/>
      <c r="X3" s="76" t="s">
        <v>29</v>
      </c>
      <c r="Y3" s="76" t="s">
        <v>30</v>
      </c>
      <c r="Z3" s="76" t="s">
        <v>31</v>
      </c>
      <c r="AA3" s="86" t="s">
        <v>32</v>
      </c>
      <c r="AB3" s="87" t="s">
        <v>33</v>
      </c>
      <c r="AC3" s="88" t="s">
        <v>23</v>
      </c>
      <c r="AD3" s="89" t="s">
        <v>34</v>
      </c>
      <c r="AE3" s="90"/>
    </row>
    <row r="4" customFormat="1" spans="1:31">
      <c r="A4" s="22" t="s">
        <v>35</v>
      </c>
      <c r="B4" s="23" t="s">
        <v>36</v>
      </c>
      <c r="C4" s="24">
        <v>241126000002</v>
      </c>
      <c r="D4" s="25">
        <v>45628</v>
      </c>
      <c r="E4" s="25" t="s">
        <v>37</v>
      </c>
      <c r="F4" s="23" t="s">
        <v>38</v>
      </c>
      <c r="G4" s="23" t="s">
        <v>39</v>
      </c>
      <c r="H4" s="23">
        <v>1.5</v>
      </c>
      <c r="I4" s="43">
        <v>180</v>
      </c>
      <c r="J4" s="44"/>
      <c r="K4" s="45"/>
      <c r="L4" s="23"/>
      <c r="M4" s="45"/>
      <c r="N4" s="46"/>
      <c r="O4" s="47">
        <f t="shared" ref="O4:O6" si="0">SUM(I4)</f>
        <v>180</v>
      </c>
      <c r="P4" s="48">
        <f>SUM(O4:O26)</f>
        <v>13623.49569273</v>
      </c>
      <c r="Q4" s="48" t="s">
        <v>40</v>
      </c>
      <c r="R4" s="77">
        <f>SUM(7740/96)*H4</f>
        <v>120.9375</v>
      </c>
      <c r="S4" s="77"/>
      <c r="T4" s="78">
        <f>SUM(70.98/96)*H4</f>
        <v>1.1090625</v>
      </c>
      <c r="U4" s="77"/>
      <c r="V4" s="77"/>
      <c r="W4" s="77">
        <f>SUM(R4:V4)</f>
        <v>122.0465625</v>
      </c>
      <c r="X4" s="79">
        <f>SUM(288.25/96)*H4</f>
        <v>4.50390625</v>
      </c>
      <c r="Y4" s="79"/>
      <c r="Z4" s="79"/>
      <c r="AA4" s="79">
        <f>SUM(X4:Z4)</f>
        <v>4.50390625</v>
      </c>
      <c r="AB4" s="91">
        <v>7.27</v>
      </c>
      <c r="AC4" s="77">
        <f>SUM(AA4*AB4)</f>
        <v>32.7433984375</v>
      </c>
      <c r="AD4" s="77">
        <f>SUM(W4+AC4)</f>
        <v>154.7899609375</v>
      </c>
      <c r="AE4" s="77">
        <f>SUM(O4-AD4)</f>
        <v>25.2100390625</v>
      </c>
    </row>
    <row r="5" customFormat="1" spans="1:31">
      <c r="A5" s="22"/>
      <c r="B5" s="23"/>
      <c r="C5" s="24">
        <v>241127000016</v>
      </c>
      <c r="D5" s="25">
        <v>45628</v>
      </c>
      <c r="E5" s="25" t="s">
        <v>41</v>
      </c>
      <c r="F5" s="23" t="s">
        <v>42</v>
      </c>
      <c r="G5" s="23" t="s">
        <v>43</v>
      </c>
      <c r="H5" s="23">
        <v>2</v>
      </c>
      <c r="I5" s="43">
        <v>230</v>
      </c>
      <c r="J5" s="44"/>
      <c r="K5" s="45"/>
      <c r="L5" s="23"/>
      <c r="M5" s="45"/>
      <c r="N5" s="46"/>
      <c r="O5" s="47">
        <f t="shared" si="0"/>
        <v>230</v>
      </c>
      <c r="P5" s="49"/>
      <c r="Q5" s="49"/>
      <c r="R5" s="77">
        <f t="shared" ref="R5:R26" si="1">SUM(7740/96)*H5</f>
        <v>161.25</v>
      </c>
      <c r="S5" s="77"/>
      <c r="T5" s="78">
        <f t="shared" ref="T5:T26" si="2">SUM(70.98/96)*H5</f>
        <v>1.47875</v>
      </c>
      <c r="U5" s="77"/>
      <c r="V5" s="77"/>
      <c r="W5" s="77">
        <f t="shared" ref="W5:W28" si="3">SUM(R5:V5)</f>
        <v>162.72875</v>
      </c>
      <c r="X5" s="79">
        <f t="shared" ref="X5:X26" si="4">SUM(288.25/96)*H5</f>
        <v>6.00520833333333</v>
      </c>
      <c r="Y5" s="79"/>
      <c r="Z5" s="79"/>
      <c r="AA5" s="79">
        <f t="shared" ref="AA5:AA28" si="5">SUM(X5:Z5)</f>
        <v>6.00520833333333</v>
      </c>
      <c r="AB5" s="91">
        <v>7.27</v>
      </c>
      <c r="AC5" s="77">
        <f t="shared" ref="AC5:AC28" si="6">SUM(AA5*AB5)</f>
        <v>43.6578645833333</v>
      </c>
      <c r="AD5" s="77">
        <f t="shared" ref="AD5:AD28" si="7">SUM(W5+AC5)</f>
        <v>206.386614583333</v>
      </c>
      <c r="AE5" s="77">
        <f t="shared" ref="AE5:AE28" si="8">SUM(O5-AD5)</f>
        <v>23.6133854166667</v>
      </c>
    </row>
    <row r="6" customFormat="1" spans="1:31">
      <c r="A6" s="22"/>
      <c r="B6" s="23"/>
      <c r="C6" s="24">
        <v>241127000018</v>
      </c>
      <c r="D6" s="25">
        <v>45628</v>
      </c>
      <c r="E6" s="25" t="s">
        <v>44</v>
      </c>
      <c r="F6" s="23" t="s">
        <v>45</v>
      </c>
      <c r="G6" s="23" t="s">
        <v>46</v>
      </c>
      <c r="H6" s="23">
        <v>1.5</v>
      </c>
      <c r="I6" s="43">
        <v>172.5</v>
      </c>
      <c r="J6" s="44"/>
      <c r="K6" s="45"/>
      <c r="L6" s="23"/>
      <c r="M6" s="45"/>
      <c r="N6" s="46"/>
      <c r="O6" s="47">
        <f t="shared" si="0"/>
        <v>172.5</v>
      </c>
      <c r="P6" s="49"/>
      <c r="Q6" s="49"/>
      <c r="R6" s="77">
        <f t="shared" si="1"/>
        <v>120.9375</v>
      </c>
      <c r="S6" s="77"/>
      <c r="T6" s="78">
        <f t="shared" si="2"/>
        <v>1.1090625</v>
      </c>
      <c r="U6" s="77"/>
      <c r="V6" s="77"/>
      <c r="W6" s="77">
        <f t="shared" si="3"/>
        <v>122.0465625</v>
      </c>
      <c r="X6" s="79">
        <f t="shared" si="4"/>
        <v>4.50390625</v>
      </c>
      <c r="Y6" s="79"/>
      <c r="Z6" s="79"/>
      <c r="AA6" s="79">
        <f t="shared" si="5"/>
        <v>4.50390625</v>
      </c>
      <c r="AB6" s="91">
        <v>7.27</v>
      </c>
      <c r="AC6" s="77">
        <f t="shared" si="6"/>
        <v>32.7433984375</v>
      </c>
      <c r="AD6" s="77">
        <f t="shared" si="7"/>
        <v>154.7899609375</v>
      </c>
      <c r="AE6" s="77">
        <f t="shared" si="8"/>
        <v>17.7100390625</v>
      </c>
    </row>
    <row r="7" customFormat="1" spans="1:31">
      <c r="A7" s="22"/>
      <c r="B7" s="23"/>
      <c r="C7" s="24">
        <v>241127000020</v>
      </c>
      <c r="D7" s="25">
        <v>45628</v>
      </c>
      <c r="E7" s="25" t="s">
        <v>44</v>
      </c>
      <c r="F7" s="23" t="s">
        <v>45</v>
      </c>
      <c r="G7" s="23" t="s">
        <v>47</v>
      </c>
      <c r="H7" s="23">
        <v>1.5</v>
      </c>
      <c r="I7" s="50"/>
      <c r="J7" s="51">
        <v>78880</v>
      </c>
      <c r="K7" s="45"/>
      <c r="L7" s="52">
        <f>SUM(J7/M7)</f>
        <v>1686.9118905047</v>
      </c>
      <c r="M7" s="53">
        <v>46.76</v>
      </c>
      <c r="N7" s="46">
        <v>7.27</v>
      </c>
      <c r="O7" s="47">
        <f>SUM(M7*N7)</f>
        <v>339.9452</v>
      </c>
      <c r="P7" s="49"/>
      <c r="Q7" s="49"/>
      <c r="R7" s="77">
        <f t="shared" si="1"/>
        <v>120.9375</v>
      </c>
      <c r="S7" s="77"/>
      <c r="T7" s="78">
        <f t="shared" si="2"/>
        <v>1.1090625</v>
      </c>
      <c r="U7" s="77"/>
      <c r="V7" s="77"/>
      <c r="W7" s="77">
        <f t="shared" si="3"/>
        <v>122.0465625</v>
      </c>
      <c r="X7" s="79">
        <f t="shared" si="4"/>
        <v>4.50390625</v>
      </c>
      <c r="Y7" s="79"/>
      <c r="Z7" s="79"/>
      <c r="AA7" s="79">
        <f t="shared" si="5"/>
        <v>4.50390625</v>
      </c>
      <c r="AB7" s="91">
        <v>7.27</v>
      </c>
      <c r="AC7" s="77">
        <f t="shared" si="6"/>
        <v>32.7433984375</v>
      </c>
      <c r="AD7" s="77">
        <f t="shared" si="7"/>
        <v>154.7899609375</v>
      </c>
      <c r="AE7" s="77">
        <f t="shared" si="8"/>
        <v>185.1552390625</v>
      </c>
    </row>
    <row r="8" customFormat="1" spans="1:31">
      <c r="A8" s="22"/>
      <c r="B8" s="23"/>
      <c r="C8" s="24">
        <v>241127000029</v>
      </c>
      <c r="D8" s="25">
        <v>45628</v>
      </c>
      <c r="E8" s="25" t="s">
        <v>37</v>
      </c>
      <c r="F8" s="23" t="s">
        <v>38</v>
      </c>
      <c r="G8" s="23" t="s">
        <v>48</v>
      </c>
      <c r="H8" s="23">
        <v>5</v>
      </c>
      <c r="I8" s="43">
        <v>575</v>
      </c>
      <c r="J8" s="44"/>
      <c r="K8" s="45"/>
      <c r="L8" s="23"/>
      <c r="M8" s="45"/>
      <c r="N8" s="46"/>
      <c r="O8" s="47">
        <f t="shared" ref="O8:O14" si="9">SUM(I8)</f>
        <v>575</v>
      </c>
      <c r="P8" s="49"/>
      <c r="Q8" s="49"/>
      <c r="R8" s="77">
        <f t="shared" si="1"/>
        <v>403.125</v>
      </c>
      <c r="S8" s="77"/>
      <c r="T8" s="78">
        <f t="shared" si="2"/>
        <v>3.696875</v>
      </c>
      <c r="U8" s="77"/>
      <c r="V8" s="77"/>
      <c r="W8" s="77">
        <f t="shared" si="3"/>
        <v>406.821875</v>
      </c>
      <c r="X8" s="79">
        <f t="shared" si="4"/>
        <v>15.0130208333333</v>
      </c>
      <c r="Y8" s="79"/>
      <c r="Z8" s="79"/>
      <c r="AA8" s="79">
        <f t="shared" si="5"/>
        <v>15.0130208333333</v>
      </c>
      <c r="AB8" s="91">
        <v>7.27</v>
      </c>
      <c r="AC8" s="77">
        <f t="shared" si="6"/>
        <v>109.144661458333</v>
      </c>
      <c r="AD8" s="77">
        <f t="shared" si="7"/>
        <v>515.966536458333</v>
      </c>
      <c r="AE8" s="77">
        <f t="shared" si="8"/>
        <v>59.0334635416667</v>
      </c>
    </row>
    <row r="9" customFormat="1" spans="1:31">
      <c r="A9" s="22"/>
      <c r="B9" s="23"/>
      <c r="C9" s="24">
        <v>241128000004</v>
      </c>
      <c r="D9" s="25">
        <v>45628</v>
      </c>
      <c r="E9" s="25" t="s">
        <v>37</v>
      </c>
      <c r="F9" s="23" t="s">
        <v>38</v>
      </c>
      <c r="G9" s="23" t="s">
        <v>49</v>
      </c>
      <c r="H9" s="23">
        <v>37.5</v>
      </c>
      <c r="I9" s="43">
        <v>4312</v>
      </c>
      <c r="J9" s="44"/>
      <c r="K9" s="45"/>
      <c r="L9" s="23"/>
      <c r="M9" s="45"/>
      <c r="N9" s="46"/>
      <c r="O9" s="47">
        <f t="shared" si="9"/>
        <v>4312</v>
      </c>
      <c r="P9" s="49"/>
      <c r="Q9" s="49"/>
      <c r="R9" s="77">
        <f t="shared" si="1"/>
        <v>3023.4375</v>
      </c>
      <c r="S9" s="77"/>
      <c r="T9" s="78">
        <f t="shared" si="2"/>
        <v>27.7265625</v>
      </c>
      <c r="U9" s="77"/>
      <c r="V9" s="77"/>
      <c r="W9" s="77">
        <f t="shared" si="3"/>
        <v>3051.1640625</v>
      </c>
      <c r="X9" s="79">
        <f t="shared" si="4"/>
        <v>112.59765625</v>
      </c>
      <c r="Y9" s="79"/>
      <c r="Z9" s="79"/>
      <c r="AA9" s="79">
        <f t="shared" si="5"/>
        <v>112.59765625</v>
      </c>
      <c r="AB9" s="91">
        <v>7.27</v>
      </c>
      <c r="AC9" s="77">
        <f t="shared" si="6"/>
        <v>818.5849609375</v>
      </c>
      <c r="AD9" s="77">
        <f t="shared" si="7"/>
        <v>3869.7490234375</v>
      </c>
      <c r="AE9" s="77">
        <f t="shared" si="8"/>
        <v>442.2509765625</v>
      </c>
    </row>
    <row r="10" customFormat="1" spans="1:31">
      <c r="A10" s="22"/>
      <c r="B10" s="23"/>
      <c r="C10" s="24">
        <v>241128000006</v>
      </c>
      <c r="D10" s="25">
        <v>45628</v>
      </c>
      <c r="E10" s="25" t="s">
        <v>37</v>
      </c>
      <c r="F10" s="23" t="s">
        <v>38</v>
      </c>
      <c r="G10" s="23" t="s">
        <v>50</v>
      </c>
      <c r="H10" s="23">
        <v>3</v>
      </c>
      <c r="I10" s="54">
        <v>360</v>
      </c>
      <c r="J10" s="44"/>
      <c r="K10" s="45"/>
      <c r="L10" s="23"/>
      <c r="M10" s="45"/>
      <c r="N10" s="46"/>
      <c r="O10" s="47">
        <f>SUBTOTAL(9,I10)</f>
        <v>360</v>
      </c>
      <c r="P10" s="49"/>
      <c r="Q10" s="49"/>
      <c r="R10" s="77">
        <f t="shared" si="1"/>
        <v>241.875</v>
      </c>
      <c r="S10" s="77"/>
      <c r="T10" s="78">
        <f t="shared" si="2"/>
        <v>2.218125</v>
      </c>
      <c r="U10" s="77"/>
      <c r="V10" s="77"/>
      <c r="W10" s="77">
        <f t="shared" si="3"/>
        <v>244.093125</v>
      </c>
      <c r="X10" s="79">
        <f t="shared" si="4"/>
        <v>9.0078125</v>
      </c>
      <c r="Y10" s="79"/>
      <c r="Z10" s="79"/>
      <c r="AA10" s="79">
        <f t="shared" si="5"/>
        <v>9.0078125</v>
      </c>
      <c r="AB10" s="91">
        <v>7.27</v>
      </c>
      <c r="AC10" s="77">
        <f t="shared" si="6"/>
        <v>65.486796875</v>
      </c>
      <c r="AD10" s="77">
        <f t="shared" si="7"/>
        <v>309.579921875</v>
      </c>
      <c r="AE10" s="77">
        <f t="shared" si="8"/>
        <v>50.420078125</v>
      </c>
    </row>
    <row r="11" customFormat="1" spans="1:31">
      <c r="A11" s="22"/>
      <c r="B11" s="23"/>
      <c r="C11" s="24">
        <v>241128000018</v>
      </c>
      <c r="D11" s="25">
        <v>45628</v>
      </c>
      <c r="E11" s="25" t="s">
        <v>37</v>
      </c>
      <c r="F11" s="23" t="s">
        <v>38</v>
      </c>
      <c r="G11" s="23" t="s">
        <v>51</v>
      </c>
      <c r="H11" s="23">
        <v>1.5</v>
      </c>
      <c r="I11" s="43">
        <v>172.5</v>
      </c>
      <c r="J11" s="44"/>
      <c r="K11" s="45"/>
      <c r="L11" s="23"/>
      <c r="M11" s="45"/>
      <c r="N11" s="46"/>
      <c r="O11" s="47">
        <f t="shared" si="9"/>
        <v>172.5</v>
      </c>
      <c r="P11" s="49"/>
      <c r="Q11" s="49"/>
      <c r="R11" s="77">
        <f t="shared" si="1"/>
        <v>120.9375</v>
      </c>
      <c r="S11" s="77"/>
      <c r="T11" s="78">
        <f t="shared" si="2"/>
        <v>1.1090625</v>
      </c>
      <c r="U11" s="77"/>
      <c r="V11" s="77"/>
      <c r="W11" s="77">
        <f t="shared" si="3"/>
        <v>122.0465625</v>
      </c>
      <c r="X11" s="79">
        <f t="shared" si="4"/>
        <v>4.50390625</v>
      </c>
      <c r="Y11" s="79"/>
      <c r="Z11" s="79"/>
      <c r="AA11" s="79">
        <f t="shared" si="5"/>
        <v>4.50390625</v>
      </c>
      <c r="AB11" s="91">
        <v>7.27</v>
      </c>
      <c r="AC11" s="77">
        <f t="shared" si="6"/>
        <v>32.7433984375</v>
      </c>
      <c r="AD11" s="77">
        <f t="shared" si="7"/>
        <v>154.7899609375</v>
      </c>
      <c r="AE11" s="77">
        <f t="shared" si="8"/>
        <v>17.7100390625</v>
      </c>
    </row>
    <row r="12" customFormat="1" spans="1:31">
      <c r="A12" s="22"/>
      <c r="B12" s="23"/>
      <c r="C12" s="24">
        <v>241128000032</v>
      </c>
      <c r="D12" s="25">
        <v>45628</v>
      </c>
      <c r="E12" s="25" t="s">
        <v>41</v>
      </c>
      <c r="F12" s="23" t="s">
        <v>42</v>
      </c>
      <c r="G12" s="23" t="s">
        <v>52</v>
      </c>
      <c r="H12" s="23">
        <v>2.5</v>
      </c>
      <c r="I12" s="43">
        <v>287.5</v>
      </c>
      <c r="J12" s="44"/>
      <c r="K12" s="45"/>
      <c r="L12" s="23"/>
      <c r="M12" s="45"/>
      <c r="N12" s="46"/>
      <c r="O12" s="47">
        <f t="shared" si="9"/>
        <v>287.5</v>
      </c>
      <c r="P12" s="49"/>
      <c r="Q12" s="49"/>
      <c r="R12" s="77">
        <f t="shared" si="1"/>
        <v>201.5625</v>
      </c>
      <c r="S12" s="77"/>
      <c r="T12" s="78">
        <f t="shared" si="2"/>
        <v>1.8484375</v>
      </c>
      <c r="U12" s="77"/>
      <c r="V12" s="77"/>
      <c r="W12" s="77">
        <f t="shared" si="3"/>
        <v>203.4109375</v>
      </c>
      <c r="X12" s="79">
        <f t="shared" si="4"/>
        <v>7.50651041666667</v>
      </c>
      <c r="Y12" s="79"/>
      <c r="Z12" s="79"/>
      <c r="AA12" s="79">
        <f t="shared" si="5"/>
        <v>7.50651041666667</v>
      </c>
      <c r="AB12" s="91">
        <v>7.27</v>
      </c>
      <c r="AC12" s="77">
        <f t="shared" si="6"/>
        <v>54.5723307291667</v>
      </c>
      <c r="AD12" s="77">
        <f t="shared" si="7"/>
        <v>257.983268229167</v>
      </c>
      <c r="AE12" s="77">
        <f t="shared" si="8"/>
        <v>29.5167317708334</v>
      </c>
    </row>
    <row r="13" customFormat="1" spans="1:31">
      <c r="A13" s="22"/>
      <c r="B13" s="23"/>
      <c r="C13" s="24">
        <v>241129000004</v>
      </c>
      <c r="D13" s="25">
        <v>45628</v>
      </c>
      <c r="E13" s="25" t="s">
        <v>37</v>
      </c>
      <c r="F13" s="23" t="s">
        <v>38</v>
      </c>
      <c r="G13" s="23" t="s">
        <v>53</v>
      </c>
      <c r="H13" s="23">
        <v>1.5</v>
      </c>
      <c r="I13" s="43">
        <v>373</v>
      </c>
      <c r="J13" s="44"/>
      <c r="K13" s="45"/>
      <c r="L13" s="23"/>
      <c r="M13" s="45"/>
      <c r="N13" s="46"/>
      <c r="O13" s="47">
        <f t="shared" si="9"/>
        <v>373</v>
      </c>
      <c r="P13" s="49"/>
      <c r="Q13" s="49"/>
      <c r="R13" s="77">
        <f t="shared" si="1"/>
        <v>120.9375</v>
      </c>
      <c r="S13" s="77"/>
      <c r="T13" s="78">
        <f t="shared" si="2"/>
        <v>1.1090625</v>
      </c>
      <c r="U13" s="77"/>
      <c r="V13" s="77"/>
      <c r="W13" s="77">
        <f t="shared" si="3"/>
        <v>122.0465625</v>
      </c>
      <c r="X13" s="79">
        <f t="shared" si="4"/>
        <v>4.50390625</v>
      </c>
      <c r="Y13" s="79"/>
      <c r="Z13" s="79"/>
      <c r="AA13" s="79">
        <f t="shared" si="5"/>
        <v>4.50390625</v>
      </c>
      <c r="AB13" s="91">
        <v>7.27</v>
      </c>
      <c r="AC13" s="77">
        <f t="shared" si="6"/>
        <v>32.7433984375</v>
      </c>
      <c r="AD13" s="77">
        <f t="shared" si="7"/>
        <v>154.7899609375</v>
      </c>
      <c r="AE13" s="77">
        <f t="shared" si="8"/>
        <v>218.2100390625</v>
      </c>
    </row>
    <row r="14" customFormat="1" spans="1:31">
      <c r="A14" s="22"/>
      <c r="B14" s="23"/>
      <c r="C14" s="24">
        <v>241129000007</v>
      </c>
      <c r="D14" s="25">
        <v>45628</v>
      </c>
      <c r="E14" s="25" t="s">
        <v>37</v>
      </c>
      <c r="F14" s="23" t="s">
        <v>38</v>
      </c>
      <c r="G14" s="23" t="s">
        <v>51</v>
      </c>
      <c r="H14" s="23">
        <v>3.5</v>
      </c>
      <c r="I14" s="43">
        <v>402.5</v>
      </c>
      <c r="J14" s="44"/>
      <c r="K14" s="45"/>
      <c r="L14" s="23"/>
      <c r="M14" s="45"/>
      <c r="N14" s="46"/>
      <c r="O14" s="47">
        <f t="shared" si="9"/>
        <v>402.5</v>
      </c>
      <c r="P14" s="49"/>
      <c r="Q14" s="49"/>
      <c r="R14" s="77">
        <f t="shared" si="1"/>
        <v>282.1875</v>
      </c>
      <c r="S14" s="77"/>
      <c r="T14" s="78">
        <f t="shared" si="2"/>
        <v>2.5878125</v>
      </c>
      <c r="U14" s="77"/>
      <c r="V14" s="77"/>
      <c r="W14" s="77">
        <f t="shared" si="3"/>
        <v>284.7753125</v>
      </c>
      <c r="X14" s="79">
        <f t="shared" si="4"/>
        <v>10.5091145833333</v>
      </c>
      <c r="Y14" s="79"/>
      <c r="Z14" s="79"/>
      <c r="AA14" s="79">
        <f t="shared" si="5"/>
        <v>10.5091145833333</v>
      </c>
      <c r="AB14" s="91">
        <v>7.27</v>
      </c>
      <c r="AC14" s="77">
        <f t="shared" si="6"/>
        <v>76.4012630208333</v>
      </c>
      <c r="AD14" s="77">
        <f t="shared" si="7"/>
        <v>361.176575520833</v>
      </c>
      <c r="AE14" s="77">
        <f t="shared" si="8"/>
        <v>41.3234244791667</v>
      </c>
    </row>
    <row r="15" customFormat="1" spans="1:31">
      <c r="A15" s="22"/>
      <c r="B15" s="23"/>
      <c r="C15" s="24">
        <v>241129000016</v>
      </c>
      <c r="D15" s="25">
        <v>45628</v>
      </c>
      <c r="E15" s="25" t="s">
        <v>54</v>
      </c>
      <c r="F15" s="23" t="s">
        <v>55</v>
      </c>
      <c r="G15" s="23" t="s">
        <v>56</v>
      </c>
      <c r="H15" s="23">
        <v>2</v>
      </c>
      <c r="I15" s="50"/>
      <c r="J15" s="51">
        <v>56350</v>
      </c>
      <c r="K15" s="45"/>
      <c r="L15" s="52">
        <f>SUM(J15/M15)</f>
        <v>1781.53651596586</v>
      </c>
      <c r="M15" s="53">
        <v>31.63</v>
      </c>
      <c r="N15" s="46">
        <v>7.27</v>
      </c>
      <c r="O15" s="47">
        <f>SUM(M15*N15)</f>
        <v>229.9501</v>
      </c>
      <c r="P15" s="49"/>
      <c r="Q15" s="49"/>
      <c r="R15" s="77">
        <f t="shared" si="1"/>
        <v>161.25</v>
      </c>
      <c r="S15" s="77"/>
      <c r="T15" s="78">
        <f t="shared" si="2"/>
        <v>1.47875</v>
      </c>
      <c r="U15" s="77"/>
      <c r="V15" s="77"/>
      <c r="W15" s="77">
        <f t="shared" si="3"/>
        <v>162.72875</v>
      </c>
      <c r="X15" s="79">
        <f t="shared" si="4"/>
        <v>6.00520833333333</v>
      </c>
      <c r="Y15" s="79"/>
      <c r="Z15" s="79"/>
      <c r="AA15" s="79">
        <f t="shared" si="5"/>
        <v>6.00520833333333</v>
      </c>
      <c r="AB15" s="91">
        <v>7.27</v>
      </c>
      <c r="AC15" s="77">
        <f t="shared" si="6"/>
        <v>43.6578645833333</v>
      </c>
      <c r="AD15" s="77">
        <f t="shared" si="7"/>
        <v>206.386614583333</v>
      </c>
      <c r="AE15" s="77">
        <f t="shared" si="8"/>
        <v>23.5634854166667</v>
      </c>
    </row>
    <row r="16" customFormat="1" spans="1:31">
      <c r="A16" s="22"/>
      <c r="B16" s="23"/>
      <c r="C16" s="24">
        <v>241129000030</v>
      </c>
      <c r="D16" s="26">
        <v>45628</v>
      </c>
      <c r="E16" s="25" t="s">
        <v>57</v>
      </c>
      <c r="F16" s="23" t="s">
        <v>58</v>
      </c>
      <c r="G16" s="23" t="s">
        <v>59</v>
      </c>
      <c r="H16" s="23">
        <v>0.1</v>
      </c>
      <c r="I16" s="47"/>
      <c r="J16" s="51">
        <v>27900</v>
      </c>
      <c r="K16" s="45"/>
      <c r="L16" s="52">
        <f>SUM(J16/M16)</f>
        <v>1747.02578253136</v>
      </c>
      <c r="M16" s="53">
        <v>15.969999</v>
      </c>
      <c r="N16" s="46">
        <v>7.27</v>
      </c>
      <c r="O16" s="47">
        <f>SUM(M16*N16)</f>
        <v>116.10189273</v>
      </c>
      <c r="P16" s="49"/>
      <c r="Q16" s="49"/>
      <c r="R16" s="77">
        <f t="shared" si="1"/>
        <v>8.0625</v>
      </c>
      <c r="S16" s="77"/>
      <c r="T16" s="78">
        <f t="shared" si="2"/>
        <v>0.0739375</v>
      </c>
      <c r="U16" s="77"/>
      <c r="V16" s="77"/>
      <c r="W16" s="77">
        <f t="shared" si="3"/>
        <v>8.1364375</v>
      </c>
      <c r="X16" s="79">
        <f t="shared" si="4"/>
        <v>0.300260416666667</v>
      </c>
      <c r="Y16" s="79"/>
      <c r="Z16" s="79"/>
      <c r="AA16" s="79">
        <f t="shared" si="5"/>
        <v>0.300260416666667</v>
      </c>
      <c r="AB16" s="91">
        <v>7.27</v>
      </c>
      <c r="AC16" s="77">
        <f t="shared" si="6"/>
        <v>2.18289322916667</v>
      </c>
      <c r="AD16" s="77">
        <f t="shared" si="7"/>
        <v>10.3193307291667</v>
      </c>
      <c r="AE16" s="77">
        <f t="shared" si="8"/>
        <v>105.782562000833</v>
      </c>
    </row>
    <row r="17" customFormat="1" spans="1:31">
      <c r="A17" s="22"/>
      <c r="B17" s="23"/>
      <c r="C17" s="24">
        <v>241129000032</v>
      </c>
      <c r="D17" s="25">
        <v>45628</v>
      </c>
      <c r="E17" s="25" t="s">
        <v>44</v>
      </c>
      <c r="F17" s="23" t="s">
        <v>45</v>
      </c>
      <c r="G17" s="23" t="s">
        <v>60</v>
      </c>
      <c r="H17" s="23">
        <v>2.5</v>
      </c>
      <c r="I17" s="43">
        <v>680</v>
      </c>
      <c r="J17" s="44"/>
      <c r="K17" s="45"/>
      <c r="L17" s="23"/>
      <c r="M17" s="45"/>
      <c r="N17" s="46"/>
      <c r="O17" s="47">
        <f t="shared" ref="O17:O22" si="10">SUM(I17)</f>
        <v>680</v>
      </c>
      <c r="P17" s="49"/>
      <c r="Q17" s="49"/>
      <c r="R17" s="77">
        <f t="shared" si="1"/>
        <v>201.5625</v>
      </c>
      <c r="S17" s="77"/>
      <c r="T17" s="78">
        <f t="shared" si="2"/>
        <v>1.8484375</v>
      </c>
      <c r="U17" s="77"/>
      <c r="V17" s="77"/>
      <c r="W17" s="77">
        <f t="shared" si="3"/>
        <v>203.4109375</v>
      </c>
      <c r="X17" s="79">
        <f t="shared" si="4"/>
        <v>7.50651041666667</v>
      </c>
      <c r="Y17" s="79"/>
      <c r="Z17" s="79"/>
      <c r="AA17" s="79">
        <f t="shared" si="5"/>
        <v>7.50651041666667</v>
      </c>
      <c r="AB17" s="91">
        <v>7.27</v>
      </c>
      <c r="AC17" s="77">
        <f t="shared" si="6"/>
        <v>54.5723307291667</v>
      </c>
      <c r="AD17" s="77">
        <f t="shared" si="7"/>
        <v>257.983268229167</v>
      </c>
      <c r="AE17" s="77">
        <f t="shared" si="8"/>
        <v>422.016731770833</v>
      </c>
    </row>
    <row r="18" customFormat="1" spans="1:31">
      <c r="A18" s="22"/>
      <c r="B18" s="23"/>
      <c r="C18" s="24">
        <v>241129000041</v>
      </c>
      <c r="D18" s="25">
        <v>45628</v>
      </c>
      <c r="E18" s="25" t="s">
        <v>37</v>
      </c>
      <c r="F18" s="23" t="s">
        <v>38</v>
      </c>
      <c r="G18" s="23" t="s">
        <v>49</v>
      </c>
      <c r="H18" s="23">
        <v>12.5</v>
      </c>
      <c r="I18" s="43">
        <v>1437.5</v>
      </c>
      <c r="J18" s="44"/>
      <c r="K18" s="45"/>
      <c r="L18" s="23"/>
      <c r="M18" s="45"/>
      <c r="N18" s="46"/>
      <c r="O18" s="47">
        <f t="shared" si="10"/>
        <v>1437.5</v>
      </c>
      <c r="P18" s="49"/>
      <c r="Q18" s="49"/>
      <c r="R18" s="77">
        <f t="shared" si="1"/>
        <v>1007.8125</v>
      </c>
      <c r="S18" s="77"/>
      <c r="T18" s="78">
        <f t="shared" si="2"/>
        <v>9.2421875</v>
      </c>
      <c r="U18" s="77"/>
      <c r="V18" s="77"/>
      <c r="W18" s="77">
        <f t="shared" si="3"/>
        <v>1017.0546875</v>
      </c>
      <c r="X18" s="79">
        <f t="shared" si="4"/>
        <v>37.5325520833333</v>
      </c>
      <c r="Y18" s="79"/>
      <c r="Z18" s="79"/>
      <c r="AA18" s="79">
        <f t="shared" si="5"/>
        <v>37.5325520833333</v>
      </c>
      <c r="AB18" s="91">
        <v>7.27</v>
      </c>
      <c r="AC18" s="77">
        <f t="shared" si="6"/>
        <v>272.861653645833</v>
      </c>
      <c r="AD18" s="77">
        <f t="shared" si="7"/>
        <v>1289.91634114583</v>
      </c>
      <c r="AE18" s="77">
        <f t="shared" si="8"/>
        <v>147.583658854167</v>
      </c>
    </row>
    <row r="19" customFormat="1" spans="1:31">
      <c r="A19" s="22"/>
      <c r="B19" s="23"/>
      <c r="C19" s="24">
        <v>241129000047</v>
      </c>
      <c r="D19" s="25">
        <v>45628</v>
      </c>
      <c r="E19" s="25" t="s">
        <v>61</v>
      </c>
      <c r="F19" s="23" t="s">
        <v>62</v>
      </c>
      <c r="G19" s="23" t="s">
        <v>63</v>
      </c>
      <c r="H19" s="23">
        <v>0.45</v>
      </c>
      <c r="I19" s="43">
        <v>150</v>
      </c>
      <c r="J19" s="44"/>
      <c r="K19" s="45"/>
      <c r="L19" s="23"/>
      <c r="M19" s="45"/>
      <c r="N19" s="46"/>
      <c r="O19" s="47">
        <f t="shared" si="10"/>
        <v>150</v>
      </c>
      <c r="P19" s="49"/>
      <c r="Q19" s="49"/>
      <c r="R19" s="77">
        <f t="shared" si="1"/>
        <v>36.28125</v>
      </c>
      <c r="S19" s="77"/>
      <c r="T19" s="78">
        <f t="shared" si="2"/>
        <v>0.33271875</v>
      </c>
      <c r="U19" s="77"/>
      <c r="V19" s="77"/>
      <c r="W19" s="77">
        <f t="shared" si="3"/>
        <v>36.61396875</v>
      </c>
      <c r="X19" s="79">
        <f t="shared" si="4"/>
        <v>1.351171875</v>
      </c>
      <c r="Y19" s="79">
        <v>4.86</v>
      </c>
      <c r="Z19" s="79"/>
      <c r="AA19" s="79">
        <f t="shared" si="5"/>
        <v>6.211171875</v>
      </c>
      <c r="AB19" s="91">
        <v>7.27</v>
      </c>
      <c r="AC19" s="77">
        <f t="shared" si="6"/>
        <v>45.15521953125</v>
      </c>
      <c r="AD19" s="77">
        <f t="shared" si="7"/>
        <v>81.76918828125</v>
      </c>
      <c r="AE19" s="77">
        <f t="shared" si="8"/>
        <v>68.23081171875</v>
      </c>
    </row>
    <row r="20" customFormat="1" spans="1:31">
      <c r="A20" s="22"/>
      <c r="B20" s="23"/>
      <c r="C20" s="24">
        <v>241129000048</v>
      </c>
      <c r="D20" s="25">
        <v>45628</v>
      </c>
      <c r="E20" s="25" t="s">
        <v>61</v>
      </c>
      <c r="F20" s="23" t="s">
        <v>62</v>
      </c>
      <c r="G20" s="23" t="s">
        <v>63</v>
      </c>
      <c r="H20" s="23">
        <v>0.56666666</v>
      </c>
      <c r="I20" s="43">
        <v>145</v>
      </c>
      <c r="J20" s="44"/>
      <c r="K20" s="45"/>
      <c r="L20" s="23"/>
      <c r="M20" s="45"/>
      <c r="N20" s="46"/>
      <c r="O20" s="47">
        <f t="shared" si="10"/>
        <v>145</v>
      </c>
      <c r="P20" s="49"/>
      <c r="Q20" s="49"/>
      <c r="R20" s="77">
        <f t="shared" si="1"/>
        <v>45.6874994625</v>
      </c>
      <c r="S20" s="77"/>
      <c r="T20" s="78">
        <f t="shared" si="2"/>
        <v>0.4189791617375</v>
      </c>
      <c r="U20" s="77"/>
      <c r="V20" s="77"/>
      <c r="W20" s="77">
        <f t="shared" si="3"/>
        <v>46.1064786242375</v>
      </c>
      <c r="X20" s="79">
        <f t="shared" si="4"/>
        <v>1.70147567442708</v>
      </c>
      <c r="Y20" s="79"/>
      <c r="Z20" s="79"/>
      <c r="AA20" s="79">
        <f t="shared" si="5"/>
        <v>1.70147567442708</v>
      </c>
      <c r="AB20" s="91">
        <v>7.27</v>
      </c>
      <c r="AC20" s="77">
        <f t="shared" si="6"/>
        <v>12.3697281530849</v>
      </c>
      <c r="AD20" s="77">
        <f t="shared" si="7"/>
        <v>58.4762067773224</v>
      </c>
      <c r="AE20" s="77">
        <f t="shared" si="8"/>
        <v>86.5237932226776</v>
      </c>
    </row>
    <row r="21" customFormat="1" spans="1:31">
      <c r="A21" s="22"/>
      <c r="B21" s="23"/>
      <c r="C21" s="24">
        <v>241129000049</v>
      </c>
      <c r="D21" s="25">
        <v>45628</v>
      </c>
      <c r="E21" s="25" t="s">
        <v>61</v>
      </c>
      <c r="F21" s="23" t="s">
        <v>62</v>
      </c>
      <c r="G21" s="23" t="s">
        <v>63</v>
      </c>
      <c r="H21" s="23">
        <v>0.38</v>
      </c>
      <c r="I21" s="43">
        <v>115</v>
      </c>
      <c r="J21" s="44"/>
      <c r="K21" s="45"/>
      <c r="L21" s="23"/>
      <c r="M21" s="45"/>
      <c r="N21" s="46"/>
      <c r="O21" s="47">
        <f t="shared" si="10"/>
        <v>115</v>
      </c>
      <c r="P21" s="49"/>
      <c r="Q21" s="49"/>
      <c r="R21" s="77">
        <f t="shared" si="1"/>
        <v>30.6375</v>
      </c>
      <c r="S21" s="77"/>
      <c r="T21" s="78">
        <f t="shared" si="2"/>
        <v>0.2809625</v>
      </c>
      <c r="U21" s="77"/>
      <c r="V21" s="77"/>
      <c r="W21" s="77">
        <f t="shared" si="3"/>
        <v>30.9184625</v>
      </c>
      <c r="X21" s="79">
        <f t="shared" si="4"/>
        <v>1.14098958333333</v>
      </c>
      <c r="Y21" s="79"/>
      <c r="Z21" s="79"/>
      <c r="AA21" s="79">
        <f t="shared" si="5"/>
        <v>1.14098958333333</v>
      </c>
      <c r="AB21" s="91">
        <v>7.27</v>
      </c>
      <c r="AC21" s="77">
        <f t="shared" si="6"/>
        <v>8.29499427083333</v>
      </c>
      <c r="AD21" s="77">
        <f t="shared" si="7"/>
        <v>39.2134567708333</v>
      </c>
      <c r="AE21" s="77">
        <f t="shared" si="8"/>
        <v>75.7865432291667</v>
      </c>
    </row>
    <row r="22" customFormat="1" spans="1:31">
      <c r="A22" s="22"/>
      <c r="B22" s="23"/>
      <c r="C22" s="24">
        <v>241129000050</v>
      </c>
      <c r="D22" s="25">
        <v>45628</v>
      </c>
      <c r="E22" s="25" t="s">
        <v>61</v>
      </c>
      <c r="F22" s="23" t="s">
        <v>62</v>
      </c>
      <c r="G22" s="23" t="s">
        <v>63</v>
      </c>
      <c r="H22" s="23">
        <v>1</v>
      </c>
      <c r="I22" s="43">
        <v>145</v>
      </c>
      <c r="J22" s="44"/>
      <c r="K22" s="45"/>
      <c r="L22" s="23"/>
      <c r="M22" s="45"/>
      <c r="N22" s="46"/>
      <c r="O22" s="47">
        <f t="shared" si="10"/>
        <v>145</v>
      </c>
      <c r="P22" s="49"/>
      <c r="Q22" s="49"/>
      <c r="R22" s="77">
        <f t="shared" si="1"/>
        <v>80.625</v>
      </c>
      <c r="S22" s="77"/>
      <c r="T22" s="78">
        <f t="shared" si="2"/>
        <v>0.739375</v>
      </c>
      <c r="U22" s="77"/>
      <c r="V22" s="77"/>
      <c r="W22" s="77">
        <f t="shared" si="3"/>
        <v>81.364375</v>
      </c>
      <c r="X22" s="79">
        <f t="shared" si="4"/>
        <v>3.00260416666667</v>
      </c>
      <c r="Y22" s="79"/>
      <c r="Z22" s="79"/>
      <c r="AA22" s="79">
        <f t="shared" si="5"/>
        <v>3.00260416666667</v>
      </c>
      <c r="AB22" s="91">
        <v>7.27</v>
      </c>
      <c r="AC22" s="77">
        <f t="shared" si="6"/>
        <v>21.8289322916667</v>
      </c>
      <c r="AD22" s="77">
        <f t="shared" si="7"/>
        <v>103.193307291667</v>
      </c>
      <c r="AE22" s="77">
        <f t="shared" si="8"/>
        <v>41.8066927083333</v>
      </c>
    </row>
    <row r="23" customFormat="1" spans="1:31">
      <c r="A23" s="22"/>
      <c r="B23" s="23"/>
      <c r="C23" s="24">
        <v>241129000055</v>
      </c>
      <c r="D23" s="25">
        <v>45628</v>
      </c>
      <c r="E23" s="25" t="s">
        <v>44</v>
      </c>
      <c r="F23" s="23" t="s">
        <v>45</v>
      </c>
      <c r="G23" s="23" t="s">
        <v>64</v>
      </c>
      <c r="H23" s="23">
        <v>19</v>
      </c>
      <c r="I23" s="50"/>
      <c r="J23" s="51">
        <v>502550</v>
      </c>
      <c r="K23" s="45"/>
      <c r="L23" s="52">
        <f>SUM(J23/M23)</f>
        <v>1672.10114789552</v>
      </c>
      <c r="M23" s="53">
        <v>300.55</v>
      </c>
      <c r="N23" s="46">
        <v>7.27</v>
      </c>
      <c r="O23" s="47">
        <f t="shared" ref="O23:O28" si="11">SUM(M23*N23)</f>
        <v>2184.9985</v>
      </c>
      <c r="P23" s="49"/>
      <c r="Q23" s="49"/>
      <c r="R23" s="77">
        <f t="shared" si="1"/>
        <v>1531.875</v>
      </c>
      <c r="S23" s="77"/>
      <c r="T23" s="78">
        <f t="shared" si="2"/>
        <v>14.048125</v>
      </c>
      <c r="U23" s="77"/>
      <c r="V23" s="77"/>
      <c r="W23" s="77">
        <f t="shared" si="3"/>
        <v>1545.923125</v>
      </c>
      <c r="X23" s="79">
        <f t="shared" si="4"/>
        <v>57.0494791666667</v>
      </c>
      <c r="Y23" s="79"/>
      <c r="Z23" s="79"/>
      <c r="AA23" s="79">
        <f t="shared" si="5"/>
        <v>57.0494791666667</v>
      </c>
      <c r="AB23" s="91">
        <v>7.27</v>
      </c>
      <c r="AC23" s="77">
        <f t="shared" si="6"/>
        <v>414.749713541667</v>
      </c>
      <c r="AD23" s="77">
        <f t="shared" si="7"/>
        <v>1960.67283854167</v>
      </c>
      <c r="AE23" s="77">
        <f t="shared" si="8"/>
        <v>224.325661458334</v>
      </c>
    </row>
    <row r="24" customFormat="1" spans="1:31">
      <c r="A24" s="22"/>
      <c r="B24" s="23"/>
      <c r="C24" s="24">
        <v>241130000026</v>
      </c>
      <c r="D24" s="25">
        <v>45628</v>
      </c>
      <c r="E24" s="25" t="s">
        <v>41</v>
      </c>
      <c r="F24" s="23" t="s">
        <v>42</v>
      </c>
      <c r="G24" s="23" t="s">
        <v>65</v>
      </c>
      <c r="H24" s="23">
        <v>0.5</v>
      </c>
      <c r="I24" s="43">
        <v>250</v>
      </c>
      <c r="J24" s="44"/>
      <c r="K24" s="45"/>
      <c r="L24" s="23"/>
      <c r="M24" s="45"/>
      <c r="N24" s="46"/>
      <c r="O24" s="47">
        <f t="shared" ref="O24:O26" si="12">SUM(I24)</f>
        <v>250</v>
      </c>
      <c r="P24" s="49"/>
      <c r="Q24" s="49"/>
      <c r="R24" s="77">
        <f t="shared" si="1"/>
        <v>40.3125</v>
      </c>
      <c r="S24" s="77"/>
      <c r="T24" s="78">
        <f t="shared" si="2"/>
        <v>0.3696875</v>
      </c>
      <c r="U24" s="77"/>
      <c r="V24" s="77"/>
      <c r="W24" s="77">
        <f t="shared" si="3"/>
        <v>40.6821875</v>
      </c>
      <c r="X24" s="79">
        <f t="shared" si="4"/>
        <v>1.50130208333333</v>
      </c>
      <c r="Y24" s="79"/>
      <c r="Z24" s="79"/>
      <c r="AA24" s="79">
        <f t="shared" si="5"/>
        <v>1.50130208333333</v>
      </c>
      <c r="AB24" s="91">
        <v>7.27</v>
      </c>
      <c r="AC24" s="77">
        <f t="shared" si="6"/>
        <v>10.9144661458333</v>
      </c>
      <c r="AD24" s="77">
        <f t="shared" si="7"/>
        <v>51.5966536458333</v>
      </c>
      <c r="AE24" s="77">
        <f t="shared" si="8"/>
        <v>198.403346354167</v>
      </c>
    </row>
    <row r="25" customFormat="1" spans="1:31">
      <c r="A25" s="22"/>
      <c r="B25" s="23"/>
      <c r="C25" s="24">
        <v>241130000027</v>
      </c>
      <c r="D25" s="25">
        <v>45628</v>
      </c>
      <c r="E25" s="25" t="s">
        <v>61</v>
      </c>
      <c r="F25" s="23" t="s">
        <v>62</v>
      </c>
      <c r="G25" s="23" t="s">
        <v>66</v>
      </c>
      <c r="H25" s="23">
        <v>3</v>
      </c>
      <c r="I25" s="43">
        <v>345</v>
      </c>
      <c r="J25" s="44"/>
      <c r="K25" s="45"/>
      <c r="L25" s="23"/>
      <c r="M25" s="45"/>
      <c r="N25" s="46"/>
      <c r="O25" s="47">
        <f t="shared" si="12"/>
        <v>345</v>
      </c>
      <c r="P25" s="49"/>
      <c r="Q25" s="49"/>
      <c r="R25" s="77">
        <f t="shared" si="1"/>
        <v>241.875</v>
      </c>
      <c r="S25" s="77"/>
      <c r="T25" s="78">
        <f t="shared" si="2"/>
        <v>2.218125</v>
      </c>
      <c r="U25" s="77"/>
      <c r="V25" s="77"/>
      <c r="W25" s="77">
        <f t="shared" si="3"/>
        <v>244.093125</v>
      </c>
      <c r="X25" s="79">
        <f t="shared" si="4"/>
        <v>9.0078125</v>
      </c>
      <c r="Y25" s="79"/>
      <c r="Z25" s="79"/>
      <c r="AA25" s="79">
        <f t="shared" si="5"/>
        <v>9.0078125</v>
      </c>
      <c r="AB25" s="91">
        <v>7.27</v>
      </c>
      <c r="AC25" s="77">
        <f t="shared" si="6"/>
        <v>65.486796875</v>
      </c>
      <c r="AD25" s="77">
        <f t="shared" si="7"/>
        <v>309.579921875</v>
      </c>
      <c r="AE25" s="77">
        <f t="shared" ref="AE25:AE40" si="13">SUM(O25-AD25)</f>
        <v>35.420078125</v>
      </c>
    </row>
    <row r="26" customFormat="1" spans="1:31">
      <c r="A26" s="22"/>
      <c r="B26" s="23"/>
      <c r="C26" s="24">
        <v>241201000006</v>
      </c>
      <c r="D26" s="25">
        <v>45628</v>
      </c>
      <c r="E26" s="25" t="s">
        <v>41</v>
      </c>
      <c r="F26" s="23" t="s">
        <v>42</v>
      </c>
      <c r="G26" s="23" t="s">
        <v>67</v>
      </c>
      <c r="H26" s="23">
        <v>3.5</v>
      </c>
      <c r="I26" s="43">
        <v>420</v>
      </c>
      <c r="J26" s="44"/>
      <c r="K26" s="45"/>
      <c r="L26" s="23"/>
      <c r="M26" s="45"/>
      <c r="N26" s="46"/>
      <c r="O26" s="47">
        <f t="shared" si="12"/>
        <v>420</v>
      </c>
      <c r="P26" s="55"/>
      <c r="Q26" s="55"/>
      <c r="R26" s="77">
        <f t="shared" si="1"/>
        <v>282.1875</v>
      </c>
      <c r="S26" s="77"/>
      <c r="T26" s="78">
        <f t="shared" si="2"/>
        <v>2.5878125</v>
      </c>
      <c r="U26" s="77"/>
      <c r="V26" s="77"/>
      <c r="W26" s="77">
        <f t="shared" ref="W26:W40" si="14">SUM(R26:V26)</f>
        <v>284.7753125</v>
      </c>
      <c r="X26" s="79">
        <f t="shared" si="4"/>
        <v>10.5091145833333</v>
      </c>
      <c r="Y26" s="79"/>
      <c r="Z26" s="79"/>
      <c r="AA26" s="79">
        <f t="shared" si="5"/>
        <v>10.5091145833333</v>
      </c>
      <c r="AB26" s="91">
        <v>7.27</v>
      </c>
      <c r="AC26" s="77">
        <f t="shared" si="6"/>
        <v>76.4012630208333</v>
      </c>
      <c r="AD26" s="77">
        <f t="shared" ref="AD26:AD40" si="15">SUM(W26+AC26)</f>
        <v>361.176575520833</v>
      </c>
      <c r="AE26" s="77">
        <f t="shared" si="13"/>
        <v>58.8234244791667</v>
      </c>
    </row>
    <row r="27" customFormat="1" spans="1:31">
      <c r="A27" s="22" t="s">
        <v>68</v>
      </c>
      <c r="B27" s="23" t="s">
        <v>69</v>
      </c>
      <c r="C27" s="24">
        <v>241202000032</v>
      </c>
      <c r="D27" s="26">
        <v>45993</v>
      </c>
      <c r="E27" s="25" t="s">
        <v>70</v>
      </c>
      <c r="F27" s="23" t="s">
        <v>70</v>
      </c>
      <c r="G27" s="23" t="s">
        <v>71</v>
      </c>
      <c r="H27" s="23">
        <v>1040</v>
      </c>
      <c r="I27" s="23"/>
      <c r="J27" s="51">
        <v>1149500</v>
      </c>
      <c r="K27" s="23"/>
      <c r="L27" s="52">
        <f>SUM(J27/M27)</f>
        <v>1672</v>
      </c>
      <c r="M27" s="53">
        <v>687.5</v>
      </c>
      <c r="N27" s="46">
        <v>7.27</v>
      </c>
      <c r="O27" s="47">
        <f t="shared" si="11"/>
        <v>4998.125</v>
      </c>
      <c r="P27" s="56">
        <f>SUM(O27)</f>
        <v>4998.125</v>
      </c>
      <c r="Q27" s="56" t="s">
        <v>72</v>
      </c>
      <c r="R27" s="80">
        <v>0</v>
      </c>
      <c r="S27" s="80"/>
      <c r="T27" s="56"/>
      <c r="U27" s="80"/>
      <c r="V27" s="80"/>
      <c r="W27" s="77">
        <f t="shared" si="14"/>
        <v>0</v>
      </c>
      <c r="X27" s="81">
        <v>714.37</v>
      </c>
      <c r="Y27" s="81"/>
      <c r="Z27" s="81"/>
      <c r="AA27" s="79">
        <f t="shared" si="5"/>
        <v>714.37</v>
      </c>
      <c r="AB27" s="91">
        <v>7.27</v>
      </c>
      <c r="AC27" s="77">
        <f t="shared" si="6"/>
        <v>5193.4699</v>
      </c>
      <c r="AD27" s="77">
        <f t="shared" si="15"/>
        <v>5193.4699</v>
      </c>
      <c r="AE27" s="77">
        <f t="shared" si="13"/>
        <v>-195.3449</v>
      </c>
    </row>
    <row r="28" customFormat="1" spans="1:31">
      <c r="A28" s="22" t="s">
        <v>73</v>
      </c>
      <c r="B28" s="23" t="s">
        <v>74</v>
      </c>
      <c r="C28" s="24">
        <v>241202000033</v>
      </c>
      <c r="D28" s="26">
        <v>45993</v>
      </c>
      <c r="E28" s="25" t="s">
        <v>70</v>
      </c>
      <c r="F28" s="23" t="s">
        <v>70</v>
      </c>
      <c r="G28" s="23" t="s">
        <v>71</v>
      </c>
      <c r="H28" s="23">
        <v>1140</v>
      </c>
      <c r="I28" s="23"/>
      <c r="J28" s="51">
        <v>727100</v>
      </c>
      <c r="K28" s="23"/>
      <c r="L28" s="52">
        <f>SUM(J28/M28)</f>
        <v>1672.03237823667</v>
      </c>
      <c r="M28" s="53">
        <v>434.86</v>
      </c>
      <c r="N28" s="46">
        <v>7.27</v>
      </c>
      <c r="O28" s="47">
        <f t="shared" si="11"/>
        <v>3161.4322</v>
      </c>
      <c r="P28" s="56">
        <f>SUM(O28)</f>
        <v>3161.4322</v>
      </c>
      <c r="Q28" s="56" t="s">
        <v>72</v>
      </c>
      <c r="R28" s="80">
        <v>0</v>
      </c>
      <c r="S28" s="80"/>
      <c r="T28" s="56"/>
      <c r="U28" s="80"/>
      <c r="V28" s="80"/>
      <c r="W28" s="77">
        <f t="shared" si="14"/>
        <v>0</v>
      </c>
      <c r="X28" s="81">
        <v>767.66</v>
      </c>
      <c r="Y28" s="81"/>
      <c r="Z28" s="81"/>
      <c r="AA28" s="79">
        <f t="shared" ref="AA28:AA40" si="16">SUM(X28:Z28)</f>
        <v>767.66</v>
      </c>
      <c r="AB28" s="91">
        <v>7.27</v>
      </c>
      <c r="AC28" s="77">
        <f t="shared" ref="AC28:AC40" si="17">SUM(AA28*AB28)</f>
        <v>5580.8882</v>
      </c>
      <c r="AD28" s="77">
        <f t="shared" si="15"/>
        <v>5580.8882</v>
      </c>
      <c r="AE28" s="77">
        <f t="shared" si="13"/>
        <v>-2419.456</v>
      </c>
    </row>
    <row r="29" customFormat="1" spans="1:31">
      <c r="A29" s="22" t="s">
        <v>75</v>
      </c>
      <c r="B29" s="23" t="s">
        <v>76</v>
      </c>
      <c r="C29" s="24">
        <v>241129000033</v>
      </c>
      <c r="D29" s="25">
        <v>45630</v>
      </c>
      <c r="E29" s="25" t="s">
        <v>37</v>
      </c>
      <c r="F29" s="23" t="s">
        <v>38</v>
      </c>
      <c r="G29" s="23" t="s">
        <v>77</v>
      </c>
      <c r="H29" s="23">
        <v>2</v>
      </c>
      <c r="I29" s="54">
        <v>320</v>
      </c>
      <c r="J29" s="44"/>
      <c r="K29" s="45"/>
      <c r="L29" s="23"/>
      <c r="M29" s="45"/>
      <c r="N29" s="57"/>
      <c r="O29" s="58">
        <f>SUBTOTAL(9,I29)</f>
        <v>320</v>
      </c>
      <c r="P29" s="48">
        <f>SUM(O29:O40)</f>
        <v>16142.4572</v>
      </c>
      <c r="Q29" s="48" t="s">
        <v>40</v>
      </c>
      <c r="R29" s="77">
        <f>SUM(9600/128)*H29</f>
        <v>150</v>
      </c>
      <c r="S29" s="77"/>
      <c r="T29" s="78">
        <f>SUM(121.96/128)*H29</f>
        <v>1.905625</v>
      </c>
      <c r="U29" s="77"/>
      <c r="V29" s="77"/>
      <c r="W29" s="77">
        <f t="shared" si="14"/>
        <v>151.905625</v>
      </c>
      <c r="X29" s="79">
        <f>SUM(251.95/128)*H29</f>
        <v>3.93671875</v>
      </c>
      <c r="Y29" s="79"/>
      <c r="Z29" s="79"/>
      <c r="AA29" s="79">
        <f t="shared" si="16"/>
        <v>3.93671875</v>
      </c>
      <c r="AB29" s="91">
        <v>7.27</v>
      </c>
      <c r="AC29" s="77">
        <f t="shared" si="17"/>
        <v>28.6199453125</v>
      </c>
      <c r="AD29" s="77">
        <f t="shared" si="15"/>
        <v>180.5255703125</v>
      </c>
      <c r="AE29" s="77">
        <f t="shared" si="13"/>
        <v>139.4744296875</v>
      </c>
    </row>
    <row r="30" customFormat="1" spans="1:31">
      <c r="A30" s="22"/>
      <c r="B30" s="23"/>
      <c r="C30" s="24">
        <v>241129000042</v>
      </c>
      <c r="D30" s="25">
        <v>45630</v>
      </c>
      <c r="E30" s="25" t="s">
        <v>37</v>
      </c>
      <c r="F30" s="23" t="s">
        <v>38</v>
      </c>
      <c r="G30" s="23" t="s">
        <v>49</v>
      </c>
      <c r="H30" s="23">
        <v>42</v>
      </c>
      <c r="I30" s="43">
        <v>5250</v>
      </c>
      <c r="J30" s="44"/>
      <c r="K30" s="45"/>
      <c r="L30" s="23"/>
      <c r="M30" s="45"/>
      <c r="N30" s="57"/>
      <c r="O30" s="47">
        <f t="shared" ref="O30:O34" si="18">SUM(I30)</f>
        <v>5250</v>
      </c>
      <c r="P30" s="49"/>
      <c r="Q30" s="49"/>
      <c r="R30" s="77">
        <f t="shared" ref="R30:R40" si="19">SUM(9600/128)*H30</f>
        <v>3150</v>
      </c>
      <c r="S30" s="77"/>
      <c r="T30" s="78">
        <f t="shared" ref="T30:T40" si="20">SUM(121.96/128)*H30</f>
        <v>40.018125</v>
      </c>
      <c r="U30" s="77"/>
      <c r="V30" s="77"/>
      <c r="W30" s="77">
        <f t="shared" si="14"/>
        <v>3190.018125</v>
      </c>
      <c r="X30" s="79">
        <f t="shared" ref="X30:X40" si="21">SUM(251.95/128)*H30</f>
        <v>82.67109375</v>
      </c>
      <c r="Y30" s="79"/>
      <c r="Z30" s="79"/>
      <c r="AA30" s="79">
        <f t="shared" si="16"/>
        <v>82.67109375</v>
      </c>
      <c r="AB30" s="91">
        <v>7.27</v>
      </c>
      <c r="AC30" s="77">
        <f t="shared" si="17"/>
        <v>601.0188515625</v>
      </c>
      <c r="AD30" s="77">
        <f t="shared" si="15"/>
        <v>3791.0369765625</v>
      </c>
      <c r="AE30" s="77">
        <f t="shared" si="13"/>
        <v>1458.9630234375</v>
      </c>
    </row>
    <row r="31" customFormat="1" spans="1:31">
      <c r="A31" s="22"/>
      <c r="B31" s="23"/>
      <c r="C31" s="24">
        <v>241130000006</v>
      </c>
      <c r="D31" s="25">
        <v>45630</v>
      </c>
      <c r="E31" s="25" t="s">
        <v>37</v>
      </c>
      <c r="F31" s="23" t="s">
        <v>38</v>
      </c>
      <c r="G31" s="23" t="s">
        <v>51</v>
      </c>
      <c r="H31" s="23">
        <v>0.28</v>
      </c>
      <c r="I31" s="43">
        <v>115</v>
      </c>
      <c r="J31" s="44"/>
      <c r="K31" s="45"/>
      <c r="L31" s="23"/>
      <c r="M31" s="45"/>
      <c r="N31" s="57"/>
      <c r="O31" s="47">
        <f t="shared" si="18"/>
        <v>115</v>
      </c>
      <c r="P31" s="49"/>
      <c r="Q31" s="49"/>
      <c r="R31" s="77">
        <f t="shared" si="19"/>
        <v>21</v>
      </c>
      <c r="S31" s="77"/>
      <c r="T31" s="78">
        <f t="shared" si="20"/>
        <v>0.2667875</v>
      </c>
      <c r="U31" s="77"/>
      <c r="V31" s="77"/>
      <c r="W31" s="77">
        <f t="shared" si="14"/>
        <v>21.2667875</v>
      </c>
      <c r="X31" s="79">
        <f t="shared" si="21"/>
        <v>0.551140625</v>
      </c>
      <c r="Y31" s="79"/>
      <c r="Z31" s="79"/>
      <c r="AA31" s="79">
        <f t="shared" si="16"/>
        <v>0.551140625</v>
      </c>
      <c r="AB31" s="91">
        <v>7.27</v>
      </c>
      <c r="AC31" s="77">
        <f t="shared" si="17"/>
        <v>4.00679234375</v>
      </c>
      <c r="AD31" s="77">
        <f t="shared" si="15"/>
        <v>25.27357984375</v>
      </c>
      <c r="AE31" s="77">
        <f t="shared" si="13"/>
        <v>89.72642015625</v>
      </c>
    </row>
    <row r="32" customFormat="1" spans="1:31">
      <c r="A32" s="22"/>
      <c r="B32" s="23"/>
      <c r="C32" s="24">
        <v>241130000010</v>
      </c>
      <c r="D32" s="26">
        <v>45630</v>
      </c>
      <c r="E32" s="25" t="s">
        <v>70</v>
      </c>
      <c r="F32" s="23" t="s">
        <v>70</v>
      </c>
      <c r="G32" s="23" t="s">
        <v>78</v>
      </c>
      <c r="H32" s="23">
        <v>24</v>
      </c>
      <c r="I32" s="43">
        <v>2760</v>
      </c>
      <c r="J32" s="44"/>
      <c r="K32" s="45"/>
      <c r="L32" s="23"/>
      <c r="M32" s="45"/>
      <c r="N32" s="57"/>
      <c r="O32" s="47">
        <f t="shared" si="18"/>
        <v>2760</v>
      </c>
      <c r="P32" s="49"/>
      <c r="Q32" s="49"/>
      <c r="R32" s="77">
        <f t="shared" si="19"/>
        <v>1800</v>
      </c>
      <c r="S32" s="77"/>
      <c r="T32" s="78">
        <f t="shared" si="20"/>
        <v>22.8675</v>
      </c>
      <c r="U32" s="77"/>
      <c r="V32" s="77"/>
      <c r="W32" s="77">
        <f t="shared" si="14"/>
        <v>1822.8675</v>
      </c>
      <c r="X32" s="79">
        <f t="shared" si="21"/>
        <v>47.240625</v>
      </c>
      <c r="Y32" s="79"/>
      <c r="Z32" s="79"/>
      <c r="AA32" s="79">
        <f t="shared" si="16"/>
        <v>47.240625</v>
      </c>
      <c r="AB32" s="91">
        <v>7.27</v>
      </c>
      <c r="AC32" s="77">
        <f t="shared" si="17"/>
        <v>343.43934375</v>
      </c>
      <c r="AD32" s="77">
        <f t="shared" si="15"/>
        <v>2166.30684375</v>
      </c>
      <c r="AE32" s="77">
        <f t="shared" si="13"/>
        <v>593.69315625</v>
      </c>
    </row>
    <row r="33" customFormat="1" spans="1:31">
      <c r="A33" s="22"/>
      <c r="B33" s="23"/>
      <c r="C33" s="24">
        <v>241130000011</v>
      </c>
      <c r="D33" s="25">
        <v>45630</v>
      </c>
      <c r="E33" s="25" t="s">
        <v>54</v>
      </c>
      <c r="F33" s="23" t="s">
        <v>55</v>
      </c>
      <c r="G33" s="23" t="s">
        <v>79</v>
      </c>
      <c r="H33" s="23">
        <v>19</v>
      </c>
      <c r="I33" s="43">
        <v>2280</v>
      </c>
      <c r="J33" s="44"/>
      <c r="K33" s="45"/>
      <c r="L33" s="23"/>
      <c r="M33" s="45"/>
      <c r="N33" s="57"/>
      <c r="O33" s="47">
        <f t="shared" si="18"/>
        <v>2280</v>
      </c>
      <c r="P33" s="49"/>
      <c r="Q33" s="49"/>
      <c r="R33" s="77">
        <f t="shared" si="19"/>
        <v>1425</v>
      </c>
      <c r="S33" s="77"/>
      <c r="T33" s="78">
        <f t="shared" si="20"/>
        <v>18.1034375</v>
      </c>
      <c r="U33" s="77"/>
      <c r="V33" s="77"/>
      <c r="W33" s="77">
        <f t="shared" si="14"/>
        <v>1443.1034375</v>
      </c>
      <c r="X33" s="79">
        <f t="shared" si="21"/>
        <v>37.398828125</v>
      </c>
      <c r="Y33" s="79"/>
      <c r="Z33" s="79"/>
      <c r="AA33" s="79">
        <f t="shared" si="16"/>
        <v>37.398828125</v>
      </c>
      <c r="AB33" s="91">
        <v>7.27</v>
      </c>
      <c r="AC33" s="77">
        <f t="shared" si="17"/>
        <v>271.88948046875</v>
      </c>
      <c r="AD33" s="77">
        <f t="shared" si="15"/>
        <v>1714.99291796875</v>
      </c>
      <c r="AE33" s="77">
        <f t="shared" si="13"/>
        <v>565.00708203125</v>
      </c>
    </row>
    <row r="34" customFormat="1" spans="1:31">
      <c r="A34" s="22"/>
      <c r="B34" s="23"/>
      <c r="C34" s="24">
        <v>241130000016</v>
      </c>
      <c r="D34" s="25">
        <v>45630</v>
      </c>
      <c r="E34" s="25" t="s">
        <v>37</v>
      </c>
      <c r="F34" s="23" t="s">
        <v>38</v>
      </c>
      <c r="G34" s="23" t="s">
        <v>51</v>
      </c>
      <c r="H34" s="23">
        <v>6</v>
      </c>
      <c r="I34" s="43">
        <v>690</v>
      </c>
      <c r="J34" s="44"/>
      <c r="K34" s="45"/>
      <c r="L34" s="23"/>
      <c r="M34" s="45"/>
      <c r="N34" s="57"/>
      <c r="O34" s="47">
        <f t="shared" si="18"/>
        <v>690</v>
      </c>
      <c r="P34" s="49"/>
      <c r="Q34" s="49"/>
      <c r="R34" s="77">
        <f t="shared" si="19"/>
        <v>450</v>
      </c>
      <c r="S34" s="77"/>
      <c r="T34" s="78">
        <f t="shared" si="20"/>
        <v>5.716875</v>
      </c>
      <c r="U34" s="77"/>
      <c r="V34" s="77"/>
      <c r="W34" s="77">
        <f t="shared" si="14"/>
        <v>455.716875</v>
      </c>
      <c r="X34" s="79">
        <f t="shared" si="21"/>
        <v>11.81015625</v>
      </c>
      <c r="Y34" s="79"/>
      <c r="Z34" s="79"/>
      <c r="AA34" s="79">
        <f t="shared" si="16"/>
        <v>11.81015625</v>
      </c>
      <c r="AB34" s="91">
        <v>7.27</v>
      </c>
      <c r="AC34" s="77">
        <f t="shared" si="17"/>
        <v>85.8598359375</v>
      </c>
      <c r="AD34" s="77">
        <f t="shared" si="15"/>
        <v>541.5767109375</v>
      </c>
      <c r="AE34" s="77">
        <f t="shared" si="13"/>
        <v>148.4232890625</v>
      </c>
    </row>
    <row r="35" customFormat="1" spans="1:31">
      <c r="A35" s="22"/>
      <c r="B35" s="23"/>
      <c r="C35" s="24">
        <v>241130000023</v>
      </c>
      <c r="D35" s="25">
        <v>45630</v>
      </c>
      <c r="E35" s="25" t="s">
        <v>61</v>
      </c>
      <c r="F35" s="23" t="s">
        <v>62</v>
      </c>
      <c r="G35" s="23" t="s">
        <v>80</v>
      </c>
      <c r="H35" s="23">
        <v>9</v>
      </c>
      <c r="I35" s="50"/>
      <c r="J35" s="51">
        <v>240120</v>
      </c>
      <c r="K35" s="45"/>
      <c r="L35" s="52">
        <f>SUM(J35/M35)</f>
        <v>1686.70974992976</v>
      </c>
      <c r="M35" s="53">
        <v>142.36</v>
      </c>
      <c r="N35" s="57">
        <v>7.27</v>
      </c>
      <c r="O35" s="58">
        <f>SUM(M35*N35)</f>
        <v>1034.9572</v>
      </c>
      <c r="P35" s="49"/>
      <c r="Q35" s="49"/>
      <c r="R35" s="77">
        <f t="shared" si="19"/>
        <v>675</v>
      </c>
      <c r="S35" s="77"/>
      <c r="T35" s="78">
        <f t="shared" si="20"/>
        <v>8.5753125</v>
      </c>
      <c r="U35" s="77"/>
      <c r="V35" s="78">
        <v>76</v>
      </c>
      <c r="W35" s="77">
        <f t="shared" si="14"/>
        <v>759.5753125</v>
      </c>
      <c r="X35" s="79">
        <f t="shared" si="21"/>
        <v>17.715234375</v>
      </c>
      <c r="Y35" s="79"/>
      <c r="Z35" s="79"/>
      <c r="AA35" s="79">
        <f t="shared" si="16"/>
        <v>17.715234375</v>
      </c>
      <c r="AB35" s="91">
        <v>7.27</v>
      </c>
      <c r="AC35" s="77">
        <f t="shared" si="17"/>
        <v>128.78975390625</v>
      </c>
      <c r="AD35" s="77">
        <f t="shared" si="15"/>
        <v>888.36506640625</v>
      </c>
      <c r="AE35" s="77">
        <f t="shared" si="13"/>
        <v>146.59213359375</v>
      </c>
    </row>
    <row r="36" customFormat="1" spans="1:31">
      <c r="A36" s="22"/>
      <c r="B36" s="23"/>
      <c r="C36" s="24">
        <v>241130000025</v>
      </c>
      <c r="D36" s="25">
        <v>45630</v>
      </c>
      <c r="E36" s="25" t="s">
        <v>41</v>
      </c>
      <c r="F36" s="23" t="s">
        <v>42</v>
      </c>
      <c r="G36" s="23" t="s">
        <v>81</v>
      </c>
      <c r="H36" s="23">
        <v>1.5</v>
      </c>
      <c r="I36" s="43">
        <v>180</v>
      </c>
      <c r="J36" s="44"/>
      <c r="K36" s="45"/>
      <c r="L36" s="23"/>
      <c r="M36" s="45"/>
      <c r="N36" s="57"/>
      <c r="O36" s="47">
        <f t="shared" ref="O36:O41" si="22">SUM(I36)</f>
        <v>180</v>
      </c>
      <c r="P36" s="49"/>
      <c r="Q36" s="49"/>
      <c r="R36" s="77">
        <f t="shared" si="19"/>
        <v>112.5</v>
      </c>
      <c r="S36" s="77"/>
      <c r="T36" s="78">
        <f t="shared" si="20"/>
        <v>1.42921875</v>
      </c>
      <c r="U36" s="77"/>
      <c r="V36" s="77"/>
      <c r="W36" s="77">
        <f t="shared" si="14"/>
        <v>113.92921875</v>
      </c>
      <c r="X36" s="79">
        <f t="shared" si="21"/>
        <v>2.9525390625</v>
      </c>
      <c r="Y36" s="79"/>
      <c r="Z36" s="79"/>
      <c r="AA36" s="79">
        <f t="shared" si="16"/>
        <v>2.9525390625</v>
      </c>
      <c r="AB36" s="91">
        <v>7.27</v>
      </c>
      <c r="AC36" s="77">
        <f t="shared" si="17"/>
        <v>21.464958984375</v>
      </c>
      <c r="AD36" s="77">
        <f t="shared" si="15"/>
        <v>135.394177734375</v>
      </c>
      <c r="AE36" s="77">
        <f t="shared" si="13"/>
        <v>44.605822265625</v>
      </c>
    </row>
    <row r="37" customFormat="1" spans="1:31">
      <c r="A37" s="22"/>
      <c r="B37" s="23"/>
      <c r="C37" s="24">
        <v>241201000001</v>
      </c>
      <c r="D37" s="25">
        <v>45630</v>
      </c>
      <c r="E37" s="25" t="s">
        <v>44</v>
      </c>
      <c r="F37" s="23" t="s">
        <v>45</v>
      </c>
      <c r="G37" s="23" t="s">
        <v>82</v>
      </c>
      <c r="H37" s="23">
        <v>12</v>
      </c>
      <c r="I37" s="43">
        <v>1437.5</v>
      </c>
      <c r="J37" s="44"/>
      <c r="K37" s="45"/>
      <c r="L37" s="23"/>
      <c r="M37" s="45"/>
      <c r="N37" s="57"/>
      <c r="O37" s="47">
        <f t="shared" si="22"/>
        <v>1437.5</v>
      </c>
      <c r="P37" s="49"/>
      <c r="Q37" s="49"/>
      <c r="R37" s="77">
        <f t="shared" si="19"/>
        <v>900</v>
      </c>
      <c r="S37" s="77"/>
      <c r="T37" s="78">
        <f t="shared" si="20"/>
        <v>11.43375</v>
      </c>
      <c r="U37" s="77"/>
      <c r="V37" s="77"/>
      <c r="W37" s="77">
        <f t="shared" si="14"/>
        <v>911.43375</v>
      </c>
      <c r="X37" s="79">
        <f t="shared" si="21"/>
        <v>23.6203125</v>
      </c>
      <c r="Y37" s="79"/>
      <c r="Z37" s="79"/>
      <c r="AA37" s="79">
        <f t="shared" si="16"/>
        <v>23.6203125</v>
      </c>
      <c r="AB37" s="91">
        <v>7.27</v>
      </c>
      <c r="AC37" s="77">
        <f t="shared" si="17"/>
        <v>171.719671875</v>
      </c>
      <c r="AD37" s="77">
        <f t="shared" si="15"/>
        <v>1083.153421875</v>
      </c>
      <c r="AE37" s="77">
        <f t="shared" si="13"/>
        <v>354.346578125</v>
      </c>
    </row>
    <row r="38" customFormat="1" spans="1:31">
      <c r="A38" s="22"/>
      <c r="B38" s="23"/>
      <c r="C38" s="24">
        <v>241201000004</v>
      </c>
      <c r="D38" s="25">
        <v>45630</v>
      </c>
      <c r="E38" s="25" t="s">
        <v>44</v>
      </c>
      <c r="F38" s="23" t="s">
        <v>45</v>
      </c>
      <c r="G38" s="23" t="s">
        <v>83</v>
      </c>
      <c r="H38" s="23">
        <v>0.96</v>
      </c>
      <c r="I38" s="43">
        <v>340</v>
      </c>
      <c r="J38" s="44"/>
      <c r="K38" s="45"/>
      <c r="L38" s="23"/>
      <c r="M38" s="45"/>
      <c r="N38" s="57"/>
      <c r="O38" s="47">
        <f t="shared" si="22"/>
        <v>340</v>
      </c>
      <c r="P38" s="49"/>
      <c r="Q38" s="49"/>
      <c r="R38" s="77">
        <f t="shared" si="19"/>
        <v>72</v>
      </c>
      <c r="S38" s="77"/>
      <c r="T38" s="78">
        <f t="shared" si="20"/>
        <v>0.9147</v>
      </c>
      <c r="U38" s="77"/>
      <c r="V38" s="77"/>
      <c r="W38" s="77">
        <f t="shared" si="14"/>
        <v>72.9147</v>
      </c>
      <c r="X38" s="79">
        <f t="shared" si="21"/>
        <v>1.889625</v>
      </c>
      <c r="Y38" s="79"/>
      <c r="Z38" s="79"/>
      <c r="AA38" s="79">
        <f t="shared" si="16"/>
        <v>1.889625</v>
      </c>
      <c r="AB38" s="91">
        <v>7.27</v>
      </c>
      <c r="AC38" s="77">
        <f t="shared" si="17"/>
        <v>13.73757375</v>
      </c>
      <c r="AD38" s="77">
        <f t="shared" ref="AD38:AD47" si="23">SUM(W38+AC38)</f>
        <v>86.65227375</v>
      </c>
      <c r="AE38" s="77">
        <f t="shared" si="13"/>
        <v>253.34772625</v>
      </c>
    </row>
    <row r="39" customFormat="1" spans="1:31">
      <c r="A39" s="22"/>
      <c r="B39" s="23"/>
      <c r="C39" s="24">
        <v>241202000001</v>
      </c>
      <c r="D39" s="25">
        <v>45630</v>
      </c>
      <c r="E39" s="25" t="s">
        <v>84</v>
      </c>
      <c r="F39" s="23" t="s">
        <v>85</v>
      </c>
      <c r="G39" s="23" t="s">
        <v>86</v>
      </c>
      <c r="H39" s="23">
        <v>0.9</v>
      </c>
      <c r="I39" s="43">
        <v>115</v>
      </c>
      <c r="J39" s="44"/>
      <c r="K39" s="45"/>
      <c r="L39" s="23"/>
      <c r="M39" s="45"/>
      <c r="N39" s="57"/>
      <c r="O39" s="47">
        <f t="shared" si="22"/>
        <v>115</v>
      </c>
      <c r="P39" s="49"/>
      <c r="Q39" s="49"/>
      <c r="R39" s="77">
        <f t="shared" si="19"/>
        <v>67.5</v>
      </c>
      <c r="S39" s="77"/>
      <c r="T39" s="78">
        <f t="shared" si="20"/>
        <v>0.85753125</v>
      </c>
      <c r="U39" s="77"/>
      <c r="V39" s="77"/>
      <c r="W39" s="77">
        <f t="shared" ref="W39:W47" si="24">SUM(R39:V39)</f>
        <v>68.35753125</v>
      </c>
      <c r="X39" s="79">
        <f t="shared" si="21"/>
        <v>1.7715234375</v>
      </c>
      <c r="Y39" s="79"/>
      <c r="Z39" s="79"/>
      <c r="AA39" s="79">
        <f t="shared" si="16"/>
        <v>1.7715234375</v>
      </c>
      <c r="AB39" s="91">
        <v>7.27</v>
      </c>
      <c r="AC39" s="77">
        <f t="shared" ref="AC39:AC47" si="25">SUM(AA39*AB39)</f>
        <v>12.878975390625</v>
      </c>
      <c r="AD39" s="77">
        <f t="shared" si="23"/>
        <v>81.236506640625</v>
      </c>
      <c r="AE39" s="77">
        <f t="shared" ref="AE39:AE47" si="26">SUM(O39-AD39)</f>
        <v>33.763493359375</v>
      </c>
    </row>
    <row r="40" customFormat="1" spans="1:31">
      <c r="A40" s="22"/>
      <c r="B40" s="23"/>
      <c r="C40" s="24">
        <v>241202000020</v>
      </c>
      <c r="D40" s="25">
        <v>45630</v>
      </c>
      <c r="E40" s="25" t="s">
        <v>54</v>
      </c>
      <c r="F40" s="23" t="s">
        <v>55</v>
      </c>
      <c r="G40" s="23" t="s">
        <v>87</v>
      </c>
      <c r="H40" s="23">
        <v>13.5</v>
      </c>
      <c r="I40" s="43">
        <v>1620</v>
      </c>
      <c r="J40" s="44"/>
      <c r="K40" s="45"/>
      <c r="L40" s="23"/>
      <c r="M40" s="45"/>
      <c r="N40" s="57"/>
      <c r="O40" s="47">
        <f t="shared" si="22"/>
        <v>1620</v>
      </c>
      <c r="P40" s="55"/>
      <c r="Q40" s="55"/>
      <c r="R40" s="77">
        <f t="shared" si="19"/>
        <v>1012.5</v>
      </c>
      <c r="S40" s="77"/>
      <c r="T40" s="78">
        <f t="shared" si="20"/>
        <v>12.86296875</v>
      </c>
      <c r="U40" s="77"/>
      <c r="V40" s="77"/>
      <c r="W40" s="77">
        <f t="shared" si="24"/>
        <v>1025.36296875</v>
      </c>
      <c r="X40" s="79">
        <f t="shared" si="21"/>
        <v>26.5728515625</v>
      </c>
      <c r="Y40" s="79"/>
      <c r="Z40" s="79"/>
      <c r="AA40" s="79">
        <f t="shared" ref="AA40:AA47" si="27">SUM(X40:Z40)</f>
        <v>26.5728515625</v>
      </c>
      <c r="AB40" s="91">
        <v>7.27</v>
      </c>
      <c r="AC40" s="77">
        <f t="shared" si="25"/>
        <v>193.184630859375</v>
      </c>
      <c r="AD40" s="77">
        <f t="shared" si="23"/>
        <v>1218.54759960937</v>
      </c>
      <c r="AE40" s="77">
        <f t="shared" si="26"/>
        <v>401.452400390625</v>
      </c>
    </row>
    <row r="41" customFormat="1" spans="1:31">
      <c r="A41" s="22" t="s">
        <v>88</v>
      </c>
      <c r="B41" s="23" t="s">
        <v>89</v>
      </c>
      <c r="C41" s="24">
        <v>241201000011</v>
      </c>
      <c r="D41" s="25">
        <v>45631</v>
      </c>
      <c r="E41" s="25" t="s">
        <v>44</v>
      </c>
      <c r="F41" s="23" t="s">
        <v>45</v>
      </c>
      <c r="G41" s="23" t="s">
        <v>90</v>
      </c>
      <c r="H41" s="23">
        <v>13.5</v>
      </c>
      <c r="I41" s="43">
        <v>1687.5</v>
      </c>
      <c r="J41" s="44"/>
      <c r="K41" s="45"/>
      <c r="L41" s="23"/>
      <c r="M41" s="45"/>
      <c r="N41" s="57"/>
      <c r="O41" s="47">
        <f t="shared" si="22"/>
        <v>1687.5</v>
      </c>
      <c r="P41" s="48">
        <f>SUM(O41:O47)</f>
        <v>4494.5</v>
      </c>
      <c r="Q41" s="48" t="s">
        <v>40</v>
      </c>
      <c r="R41" s="77">
        <f>SUM(2400/32)*H41</f>
        <v>1012.5</v>
      </c>
      <c r="S41" s="77"/>
      <c r="T41" s="77">
        <v>0</v>
      </c>
      <c r="U41" s="77"/>
      <c r="V41" s="77"/>
      <c r="W41" s="77">
        <f t="shared" si="24"/>
        <v>1012.5</v>
      </c>
      <c r="X41" s="79">
        <f>SUM(78.44/32)*H41</f>
        <v>33.091875</v>
      </c>
      <c r="Y41" s="79"/>
      <c r="Z41" s="79"/>
      <c r="AA41" s="79">
        <f t="shared" si="27"/>
        <v>33.091875</v>
      </c>
      <c r="AB41" s="91">
        <v>7.27</v>
      </c>
      <c r="AC41" s="77">
        <f t="shared" si="25"/>
        <v>240.57793125</v>
      </c>
      <c r="AD41" s="77">
        <f t="shared" si="23"/>
        <v>1253.07793125</v>
      </c>
      <c r="AE41" s="77">
        <f t="shared" si="26"/>
        <v>434.42206875</v>
      </c>
    </row>
    <row r="42" customFormat="1" spans="1:31">
      <c r="A42" s="22"/>
      <c r="B42" s="23"/>
      <c r="C42" s="24">
        <v>241201000012</v>
      </c>
      <c r="D42" s="25">
        <v>45631</v>
      </c>
      <c r="E42" s="25" t="s">
        <v>41</v>
      </c>
      <c r="F42" s="23" t="s">
        <v>42</v>
      </c>
      <c r="G42" s="23" t="s">
        <v>91</v>
      </c>
      <c r="H42" s="23">
        <v>6</v>
      </c>
      <c r="I42" s="54">
        <v>752</v>
      </c>
      <c r="J42" s="44"/>
      <c r="K42" s="45"/>
      <c r="L42" s="23"/>
      <c r="M42" s="45"/>
      <c r="N42" s="57"/>
      <c r="O42" s="58">
        <f>SUBTOTAL(9,I42)</f>
        <v>752</v>
      </c>
      <c r="P42" s="49"/>
      <c r="Q42" s="49"/>
      <c r="R42" s="77">
        <f t="shared" ref="R42:R47" si="28">SUM(2400/32)*H42</f>
        <v>450</v>
      </c>
      <c r="S42" s="77"/>
      <c r="T42" s="77">
        <v>0</v>
      </c>
      <c r="U42" s="77"/>
      <c r="V42" s="77"/>
      <c r="W42" s="77">
        <f t="shared" si="24"/>
        <v>450</v>
      </c>
      <c r="X42" s="79">
        <f t="shared" ref="X42:X47" si="29">SUM(78.44/32)*H42</f>
        <v>14.7075</v>
      </c>
      <c r="Y42" s="79"/>
      <c r="Z42" s="79"/>
      <c r="AA42" s="79">
        <f t="shared" si="27"/>
        <v>14.7075</v>
      </c>
      <c r="AB42" s="91">
        <v>7.27</v>
      </c>
      <c r="AC42" s="77">
        <f t="shared" si="25"/>
        <v>106.923525</v>
      </c>
      <c r="AD42" s="77">
        <f t="shared" si="23"/>
        <v>556.923525</v>
      </c>
      <c r="AE42" s="77">
        <f t="shared" si="26"/>
        <v>195.076475</v>
      </c>
    </row>
    <row r="43" customFormat="1" spans="1:31">
      <c r="A43" s="22"/>
      <c r="B43" s="23"/>
      <c r="C43" s="24">
        <v>241202000017</v>
      </c>
      <c r="D43" s="25">
        <v>45631</v>
      </c>
      <c r="E43" s="25" t="s">
        <v>61</v>
      </c>
      <c r="F43" s="23" t="s">
        <v>62</v>
      </c>
      <c r="G43" s="23" t="s">
        <v>92</v>
      </c>
      <c r="H43" s="23">
        <v>13.5</v>
      </c>
      <c r="I43" s="43">
        <v>1500</v>
      </c>
      <c r="J43" s="44"/>
      <c r="K43" s="45"/>
      <c r="L43" s="23"/>
      <c r="M43" s="45"/>
      <c r="N43" s="57"/>
      <c r="O43" s="47">
        <f t="shared" ref="O43:O47" si="30">SUM(I43)</f>
        <v>1500</v>
      </c>
      <c r="P43" s="49"/>
      <c r="Q43" s="49"/>
      <c r="R43" s="77">
        <f t="shared" si="28"/>
        <v>1012.5</v>
      </c>
      <c r="S43" s="77"/>
      <c r="T43" s="77">
        <v>0</v>
      </c>
      <c r="U43" s="77"/>
      <c r="V43" s="77"/>
      <c r="W43" s="77">
        <f t="shared" si="24"/>
        <v>1012.5</v>
      </c>
      <c r="X43" s="79">
        <f t="shared" si="29"/>
        <v>33.091875</v>
      </c>
      <c r="Y43" s="79"/>
      <c r="Z43" s="79"/>
      <c r="AA43" s="79">
        <f t="shared" si="27"/>
        <v>33.091875</v>
      </c>
      <c r="AB43" s="91">
        <v>7.27</v>
      </c>
      <c r="AC43" s="77">
        <f t="shared" si="25"/>
        <v>240.57793125</v>
      </c>
      <c r="AD43" s="77">
        <f t="shared" si="23"/>
        <v>1253.07793125</v>
      </c>
      <c r="AE43" s="77">
        <f t="shared" si="26"/>
        <v>246.92206875</v>
      </c>
    </row>
    <row r="44" customFormat="1" spans="1:31">
      <c r="A44" s="22"/>
      <c r="B44" s="23"/>
      <c r="C44" s="24">
        <v>241202000023</v>
      </c>
      <c r="D44" s="25">
        <v>45631</v>
      </c>
      <c r="E44" s="25" t="s">
        <v>61</v>
      </c>
      <c r="F44" s="23" t="s">
        <v>62</v>
      </c>
      <c r="G44" s="23" t="s">
        <v>93</v>
      </c>
      <c r="H44" s="23">
        <v>0.24</v>
      </c>
      <c r="I44" s="43">
        <v>125</v>
      </c>
      <c r="J44" s="44"/>
      <c r="K44" s="45"/>
      <c r="L44" s="23"/>
      <c r="M44" s="45"/>
      <c r="N44" s="57"/>
      <c r="O44" s="47">
        <f t="shared" si="30"/>
        <v>125</v>
      </c>
      <c r="P44" s="49"/>
      <c r="Q44" s="49"/>
      <c r="R44" s="77">
        <f t="shared" si="28"/>
        <v>18</v>
      </c>
      <c r="S44" s="77"/>
      <c r="T44" s="77">
        <v>0</v>
      </c>
      <c r="U44" s="77"/>
      <c r="V44" s="77"/>
      <c r="W44" s="77">
        <f t="shared" si="24"/>
        <v>18</v>
      </c>
      <c r="X44" s="79">
        <f t="shared" si="29"/>
        <v>0.5883</v>
      </c>
      <c r="Y44" s="79"/>
      <c r="Z44" s="79"/>
      <c r="AA44" s="79">
        <f t="shared" si="27"/>
        <v>0.5883</v>
      </c>
      <c r="AB44" s="91">
        <v>7.27</v>
      </c>
      <c r="AC44" s="77">
        <f t="shared" si="25"/>
        <v>4.276941</v>
      </c>
      <c r="AD44" s="77">
        <f t="shared" si="23"/>
        <v>22.276941</v>
      </c>
      <c r="AE44" s="77">
        <f t="shared" si="26"/>
        <v>102.723059</v>
      </c>
    </row>
    <row r="45" customFormat="1" spans="1:31">
      <c r="A45" s="22"/>
      <c r="B45" s="23"/>
      <c r="C45" s="24">
        <v>241203000004</v>
      </c>
      <c r="D45" s="25">
        <v>45631</v>
      </c>
      <c r="E45" s="25" t="s">
        <v>37</v>
      </c>
      <c r="F45" s="23" t="s">
        <v>38</v>
      </c>
      <c r="G45" s="23" t="s">
        <v>94</v>
      </c>
      <c r="H45" s="23">
        <v>0.8</v>
      </c>
      <c r="I45" s="43">
        <v>130</v>
      </c>
      <c r="J45" s="44"/>
      <c r="K45" s="45"/>
      <c r="L45" s="23"/>
      <c r="M45" s="45"/>
      <c r="N45" s="57"/>
      <c r="O45" s="47">
        <f t="shared" si="30"/>
        <v>130</v>
      </c>
      <c r="P45" s="49"/>
      <c r="Q45" s="49"/>
      <c r="R45" s="77">
        <f t="shared" si="28"/>
        <v>60</v>
      </c>
      <c r="S45" s="77"/>
      <c r="T45" s="77">
        <v>0</v>
      </c>
      <c r="U45" s="77"/>
      <c r="V45" s="77"/>
      <c r="W45" s="77">
        <f t="shared" si="24"/>
        <v>60</v>
      </c>
      <c r="X45" s="79">
        <f t="shared" si="29"/>
        <v>1.961</v>
      </c>
      <c r="Y45" s="79"/>
      <c r="Z45" s="79"/>
      <c r="AA45" s="79">
        <f t="shared" si="27"/>
        <v>1.961</v>
      </c>
      <c r="AB45" s="91">
        <v>7.27</v>
      </c>
      <c r="AC45" s="77">
        <f t="shared" si="25"/>
        <v>14.25647</v>
      </c>
      <c r="AD45" s="77">
        <f t="shared" si="23"/>
        <v>74.25647</v>
      </c>
      <c r="AE45" s="77">
        <f t="shared" si="26"/>
        <v>55.74353</v>
      </c>
    </row>
    <row r="46" customFormat="1" spans="1:31">
      <c r="A46" s="22"/>
      <c r="B46" s="23"/>
      <c r="C46" s="24">
        <v>241203000007</v>
      </c>
      <c r="D46" s="25">
        <v>45631</v>
      </c>
      <c r="E46" s="25" t="s">
        <v>41</v>
      </c>
      <c r="F46" s="23" t="s">
        <v>42</v>
      </c>
      <c r="G46" s="23" t="s">
        <v>95</v>
      </c>
      <c r="H46" s="23">
        <v>0.5</v>
      </c>
      <c r="I46" s="43">
        <v>115</v>
      </c>
      <c r="J46" s="44"/>
      <c r="K46" s="45"/>
      <c r="L46" s="23"/>
      <c r="M46" s="45"/>
      <c r="N46" s="57"/>
      <c r="O46" s="47">
        <f t="shared" si="30"/>
        <v>115</v>
      </c>
      <c r="P46" s="49"/>
      <c r="Q46" s="49"/>
      <c r="R46" s="77">
        <f t="shared" si="28"/>
        <v>37.5</v>
      </c>
      <c r="S46" s="77"/>
      <c r="T46" s="77">
        <v>0</v>
      </c>
      <c r="U46" s="77"/>
      <c r="V46" s="77"/>
      <c r="W46" s="77">
        <f t="shared" ref="W46:W63" si="31">SUM(R46:V46)</f>
        <v>37.5</v>
      </c>
      <c r="X46" s="79">
        <f t="shared" si="29"/>
        <v>1.225625</v>
      </c>
      <c r="Y46" s="79"/>
      <c r="Z46" s="79"/>
      <c r="AA46" s="79">
        <f t="shared" si="27"/>
        <v>1.225625</v>
      </c>
      <c r="AB46" s="91">
        <v>7.27</v>
      </c>
      <c r="AC46" s="77">
        <f t="shared" ref="AC46:AC63" si="32">SUM(AA46*AB46)</f>
        <v>8.91029375</v>
      </c>
      <c r="AD46" s="77">
        <f t="shared" si="23"/>
        <v>46.41029375</v>
      </c>
      <c r="AE46" s="77">
        <f t="shared" si="26"/>
        <v>68.58970625</v>
      </c>
    </row>
    <row r="47" customFormat="1" spans="1:31">
      <c r="A47" s="22"/>
      <c r="B47" s="23"/>
      <c r="C47" s="24">
        <v>241203000040</v>
      </c>
      <c r="D47" s="25">
        <v>45631</v>
      </c>
      <c r="E47" s="25" t="s">
        <v>84</v>
      </c>
      <c r="F47" s="23" t="s">
        <v>85</v>
      </c>
      <c r="G47" s="23" t="s">
        <v>96</v>
      </c>
      <c r="H47" s="23">
        <v>0.72</v>
      </c>
      <c r="I47" s="43">
        <v>185</v>
      </c>
      <c r="J47" s="44"/>
      <c r="K47" s="45"/>
      <c r="L47" s="23"/>
      <c r="M47" s="45"/>
      <c r="N47" s="57"/>
      <c r="O47" s="47">
        <f t="shared" si="30"/>
        <v>185</v>
      </c>
      <c r="P47" s="55"/>
      <c r="Q47" s="55"/>
      <c r="R47" s="77">
        <f t="shared" si="28"/>
        <v>54</v>
      </c>
      <c r="S47" s="77"/>
      <c r="T47" s="77">
        <v>0</v>
      </c>
      <c r="U47" s="77"/>
      <c r="V47" s="77"/>
      <c r="W47" s="77">
        <f t="shared" si="31"/>
        <v>54</v>
      </c>
      <c r="X47" s="79">
        <f t="shared" si="29"/>
        <v>1.7649</v>
      </c>
      <c r="Y47" s="79">
        <v>4.16</v>
      </c>
      <c r="Z47" s="79"/>
      <c r="AA47" s="79">
        <f t="shared" ref="AA47:AA63" si="33">SUM(X47:Z47)</f>
        <v>5.9249</v>
      </c>
      <c r="AB47" s="91">
        <v>7.27</v>
      </c>
      <c r="AC47" s="77">
        <f t="shared" si="32"/>
        <v>43.074023</v>
      </c>
      <c r="AD47" s="77">
        <f t="shared" ref="AD47:AD63" si="34">SUM(W47+AC47)</f>
        <v>97.074023</v>
      </c>
      <c r="AE47" s="77">
        <f t="shared" ref="AE47:AE63" si="35">SUM(O47-AD47)</f>
        <v>87.925977</v>
      </c>
    </row>
    <row r="48" customFormat="1" spans="1:31">
      <c r="A48" s="22" t="s">
        <v>97</v>
      </c>
      <c r="B48" s="23" t="s">
        <v>98</v>
      </c>
      <c r="C48" s="24">
        <v>241130000008</v>
      </c>
      <c r="D48" s="25">
        <v>45632</v>
      </c>
      <c r="E48" s="25" t="s">
        <v>37</v>
      </c>
      <c r="F48" s="23" t="s">
        <v>38</v>
      </c>
      <c r="G48" s="23" t="s">
        <v>99</v>
      </c>
      <c r="H48" s="23">
        <v>32.5</v>
      </c>
      <c r="I48" s="50"/>
      <c r="J48" s="51">
        <v>840937.5</v>
      </c>
      <c r="K48" s="45"/>
      <c r="L48" s="52">
        <f>SUM(J48/M48)</f>
        <v>1635.77875469276</v>
      </c>
      <c r="M48" s="53">
        <v>514.09</v>
      </c>
      <c r="N48" s="57">
        <v>7.27</v>
      </c>
      <c r="O48" s="58">
        <f>SUM(M48*N48)</f>
        <v>3737.4343</v>
      </c>
      <c r="P48" s="48">
        <f>SUM(O48:O63)</f>
        <v>12527.7095</v>
      </c>
      <c r="Q48" s="48" t="s">
        <v>40</v>
      </c>
      <c r="R48" s="77">
        <f>SUM(8540/96)*H48</f>
        <v>2891.14583333333</v>
      </c>
      <c r="S48" s="77"/>
      <c r="T48" s="78">
        <f>SUM(60.98/96)*H48</f>
        <v>20.6442708333333</v>
      </c>
      <c r="U48" s="77"/>
      <c r="V48" s="77"/>
      <c r="W48" s="77">
        <f t="shared" si="31"/>
        <v>2911.79010416667</v>
      </c>
      <c r="X48" s="79">
        <f>SUM(122.16/96)*H48</f>
        <v>41.35625</v>
      </c>
      <c r="Y48" s="79"/>
      <c r="Z48" s="79"/>
      <c r="AA48" s="79">
        <f t="shared" si="33"/>
        <v>41.35625</v>
      </c>
      <c r="AB48" s="91">
        <v>7.27</v>
      </c>
      <c r="AC48" s="77">
        <f t="shared" si="32"/>
        <v>300.6599375</v>
      </c>
      <c r="AD48" s="77">
        <f t="shared" si="34"/>
        <v>3212.45004166667</v>
      </c>
      <c r="AE48" s="77">
        <f t="shared" si="35"/>
        <v>524.984258333333</v>
      </c>
    </row>
    <row r="49" customFormat="1" spans="1:31">
      <c r="A49" s="22"/>
      <c r="B49" s="23"/>
      <c r="C49" s="24">
        <v>241130000009</v>
      </c>
      <c r="D49" s="26">
        <v>45632</v>
      </c>
      <c r="E49" s="25" t="s">
        <v>70</v>
      </c>
      <c r="F49" s="23" t="s">
        <v>70</v>
      </c>
      <c r="G49" s="23" t="s">
        <v>100</v>
      </c>
      <c r="H49" s="23">
        <v>4</v>
      </c>
      <c r="I49" s="43">
        <v>500</v>
      </c>
      <c r="J49" s="44"/>
      <c r="K49" s="45"/>
      <c r="L49" s="23"/>
      <c r="M49" s="45"/>
      <c r="N49" s="57"/>
      <c r="O49" s="47">
        <f t="shared" ref="O49:O52" si="36">SUM(I49)</f>
        <v>500</v>
      </c>
      <c r="P49" s="49"/>
      <c r="Q49" s="49"/>
      <c r="R49" s="77">
        <f t="shared" ref="R49:R63" si="37">SUM(8540/96)*H49</f>
        <v>355.833333333333</v>
      </c>
      <c r="S49" s="77"/>
      <c r="T49" s="78">
        <f t="shared" ref="T49:T63" si="38">SUM(60.98/96)*H49</f>
        <v>2.54083333333333</v>
      </c>
      <c r="U49" s="77"/>
      <c r="V49" s="77"/>
      <c r="W49" s="77">
        <f t="shared" si="31"/>
        <v>358.374166666667</v>
      </c>
      <c r="X49" s="79">
        <f t="shared" ref="X49:X63" si="39">SUM(122.16/96)*H49</f>
        <v>5.09</v>
      </c>
      <c r="Y49" s="79"/>
      <c r="Z49" s="79"/>
      <c r="AA49" s="79">
        <f t="shared" si="33"/>
        <v>5.09</v>
      </c>
      <c r="AB49" s="91">
        <v>7.27</v>
      </c>
      <c r="AC49" s="77">
        <f t="shared" si="32"/>
        <v>37.0043</v>
      </c>
      <c r="AD49" s="77">
        <f t="shared" si="34"/>
        <v>395.378466666667</v>
      </c>
      <c r="AE49" s="77">
        <f t="shared" si="35"/>
        <v>104.621533333333</v>
      </c>
    </row>
    <row r="50" customFormat="1" spans="1:31">
      <c r="A50" s="22"/>
      <c r="B50" s="23"/>
      <c r="C50" s="24">
        <v>241130000013</v>
      </c>
      <c r="D50" s="25">
        <v>45632</v>
      </c>
      <c r="E50" s="25" t="s">
        <v>37</v>
      </c>
      <c r="F50" s="23" t="s">
        <v>38</v>
      </c>
      <c r="G50" s="23" t="s">
        <v>51</v>
      </c>
      <c r="H50" s="23">
        <v>0.576</v>
      </c>
      <c r="I50" s="43">
        <v>125</v>
      </c>
      <c r="J50" s="44"/>
      <c r="K50" s="45"/>
      <c r="L50" s="23"/>
      <c r="M50" s="45"/>
      <c r="N50" s="57"/>
      <c r="O50" s="47">
        <f t="shared" si="36"/>
        <v>125</v>
      </c>
      <c r="P50" s="49"/>
      <c r="Q50" s="49"/>
      <c r="R50" s="77">
        <f t="shared" si="37"/>
        <v>51.24</v>
      </c>
      <c r="S50" s="77"/>
      <c r="T50" s="78">
        <f t="shared" si="38"/>
        <v>0.36588</v>
      </c>
      <c r="U50" s="77"/>
      <c r="V50" s="77"/>
      <c r="W50" s="77">
        <f t="shared" si="31"/>
        <v>51.60588</v>
      </c>
      <c r="X50" s="79">
        <f t="shared" si="39"/>
        <v>0.73296</v>
      </c>
      <c r="Y50" s="79"/>
      <c r="Z50" s="79"/>
      <c r="AA50" s="79">
        <f t="shared" si="33"/>
        <v>0.73296</v>
      </c>
      <c r="AB50" s="91">
        <v>7.27</v>
      </c>
      <c r="AC50" s="77">
        <f t="shared" si="32"/>
        <v>5.3286192</v>
      </c>
      <c r="AD50" s="77">
        <f t="shared" si="34"/>
        <v>56.9344992</v>
      </c>
      <c r="AE50" s="77">
        <f t="shared" si="35"/>
        <v>68.0655008</v>
      </c>
    </row>
    <row r="51" customFormat="1" spans="1:31">
      <c r="A51" s="22"/>
      <c r="B51" s="23"/>
      <c r="C51" s="24">
        <v>241130000015</v>
      </c>
      <c r="D51" s="25">
        <v>45632</v>
      </c>
      <c r="E51" s="25" t="s">
        <v>37</v>
      </c>
      <c r="F51" s="23" t="s">
        <v>38</v>
      </c>
      <c r="G51" s="23" t="s">
        <v>51</v>
      </c>
      <c r="H51" s="23">
        <v>4</v>
      </c>
      <c r="I51" s="43">
        <v>460</v>
      </c>
      <c r="J51" s="44"/>
      <c r="K51" s="45"/>
      <c r="L51" s="23"/>
      <c r="M51" s="45"/>
      <c r="N51" s="57"/>
      <c r="O51" s="47">
        <f t="shared" si="36"/>
        <v>460</v>
      </c>
      <c r="P51" s="49"/>
      <c r="Q51" s="49"/>
      <c r="R51" s="77">
        <f t="shared" si="37"/>
        <v>355.833333333333</v>
      </c>
      <c r="S51" s="77"/>
      <c r="T51" s="78">
        <f t="shared" si="38"/>
        <v>2.54083333333333</v>
      </c>
      <c r="U51" s="77"/>
      <c r="V51" s="77"/>
      <c r="W51" s="77">
        <f t="shared" si="31"/>
        <v>358.374166666667</v>
      </c>
      <c r="X51" s="79">
        <f t="shared" si="39"/>
        <v>5.09</v>
      </c>
      <c r="Y51" s="79"/>
      <c r="Z51" s="79"/>
      <c r="AA51" s="79">
        <f t="shared" si="33"/>
        <v>5.09</v>
      </c>
      <c r="AB51" s="91">
        <v>7.27</v>
      </c>
      <c r="AC51" s="77">
        <f t="shared" si="32"/>
        <v>37.0043</v>
      </c>
      <c r="AD51" s="77">
        <f t="shared" si="34"/>
        <v>395.378466666667</v>
      </c>
      <c r="AE51" s="77">
        <f t="shared" si="35"/>
        <v>64.6215333333333</v>
      </c>
    </row>
    <row r="52" customFormat="1" spans="1:31">
      <c r="A52" s="22"/>
      <c r="B52" s="23"/>
      <c r="C52" s="24">
        <v>241130000017</v>
      </c>
      <c r="D52" s="25">
        <v>45632</v>
      </c>
      <c r="E52" s="25" t="s">
        <v>37</v>
      </c>
      <c r="F52" s="23" t="s">
        <v>38</v>
      </c>
      <c r="G52" s="23" t="s">
        <v>51</v>
      </c>
      <c r="H52" s="23">
        <v>9</v>
      </c>
      <c r="I52" s="43">
        <v>1125</v>
      </c>
      <c r="J52" s="44"/>
      <c r="K52" s="45"/>
      <c r="L52" s="23"/>
      <c r="M52" s="45"/>
      <c r="N52" s="57"/>
      <c r="O52" s="47">
        <f t="shared" si="36"/>
        <v>1125</v>
      </c>
      <c r="P52" s="49"/>
      <c r="Q52" s="49"/>
      <c r="R52" s="77">
        <f t="shared" si="37"/>
        <v>800.625</v>
      </c>
      <c r="S52" s="77"/>
      <c r="T52" s="78">
        <f t="shared" si="38"/>
        <v>5.716875</v>
      </c>
      <c r="U52" s="77"/>
      <c r="V52" s="77"/>
      <c r="W52" s="77">
        <f t="shared" si="31"/>
        <v>806.341875</v>
      </c>
      <c r="X52" s="79">
        <f t="shared" si="39"/>
        <v>11.4525</v>
      </c>
      <c r="Y52" s="79"/>
      <c r="Z52" s="79"/>
      <c r="AA52" s="79">
        <f t="shared" si="33"/>
        <v>11.4525</v>
      </c>
      <c r="AB52" s="91">
        <v>7.27</v>
      </c>
      <c r="AC52" s="77">
        <f t="shared" si="32"/>
        <v>83.259675</v>
      </c>
      <c r="AD52" s="77">
        <f t="shared" si="34"/>
        <v>889.60155</v>
      </c>
      <c r="AE52" s="77">
        <f t="shared" si="35"/>
        <v>235.39845</v>
      </c>
    </row>
    <row r="53" customFormat="1" spans="1:31">
      <c r="A53" s="22"/>
      <c r="B53" s="23"/>
      <c r="C53" s="24">
        <v>241202000045</v>
      </c>
      <c r="D53" s="25">
        <v>45632</v>
      </c>
      <c r="E53" s="25" t="s">
        <v>44</v>
      </c>
      <c r="F53" s="23" t="s">
        <v>45</v>
      </c>
      <c r="G53" s="23" t="s">
        <v>101</v>
      </c>
      <c r="H53" s="23">
        <v>11</v>
      </c>
      <c r="I53" s="50"/>
      <c r="J53" s="51">
        <v>313490</v>
      </c>
      <c r="K53" s="45"/>
      <c r="L53" s="52">
        <f>SUM(J53/M53)</f>
        <v>1708.48547604774</v>
      </c>
      <c r="M53" s="53">
        <v>183.49</v>
      </c>
      <c r="N53" s="57">
        <v>7.27</v>
      </c>
      <c r="O53" s="58">
        <f>SUM(M53*N53)</f>
        <v>1333.9723</v>
      </c>
      <c r="P53" s="49"/>
      <c r="Q53" s="49"/>
      <c r="R53" s="77">
        <f t="shared" si="37"/>
        <v>978.541666666667</v>
      </c>
      <c r="S53" s="77"/>
      <c r="T53" s="78">
        <f t="shared" si="38"/>
        <v>6.98729166666667</v>
      </c>
      <c r="U53" s="77"/>
      <c r="V53" s="78">
        <v>14</v>
      </c>
      <c r="W53" s="77">
        <f t="shared" si="31"/>
        <v>999.528958333333</v>
      </c>
      <c r="X53" s="79">
        <f t="shared" si="39"/>
        <v>13.9975</v>
      </c>
      <c r="Y53" s="79"/>
      <c r="Z53" s="79"/>
      <c r="AA53" s="79">
        <f t="shared" si="33"/>
        <v>13.9975</v>
      </c>
      <c r="AB53" s="91">
        <v>7.27</v>
      </c>
      <c r="AC53" s="77">
        <f t="shared" si="32"/>
        <v>101.761825</v>
      </c>
      <c r="AD53" s="77">
        <f t="shared" si="34"/>
        <v>1101.29078333333</v>
      </c>
      <c r="AE53" s="77">
        <f t="shared" si="35"/>
        <v>232.681516666667</v>
      </c>
    </row>
    <row r="54" customFormat="1" spans="1:31">
      <c r="A54" s="22"/>
      <c r="B54" s="23"/>
      <c r="C54" s="24">
        <v>241203000001</v>
      </c>
      <c r="D54" s="26">
        <v>45632</v>
      </c>
      <c r="E54" s="25" t="s">
        <v>44</v>
      </c>
      <c r="F54" s="23" t="s">
        <v>102</v>
      </c>
      <c r="G54" s="23" t="s">
        <v>103</v>
      </c>
      <c r="H54" s="23">
        <v>7.5</v>
      </c>
      <c r="I54" s="47"/>
      <c r="J54" s="51">
        <v>200049.3</v>
      </c>
      <c r="K54" s="45"/>
      <c r="L54" s="52">
        <f>SUM(J54/M54)</f>
        <v>1670</v>
      </c>
      <c r="M54" s="53">
        <v>119.79</v>
      </c>
      <c r="N54" s="57">
        <v>7.27</v>
      </c>
      <c r="O54" s="58">
        <f>SUM(M54*N54)</f>
        <v>870.8733</v>
      </c>
      <c r="P54" s="49"/>
      <c r="Q54" s="49"/>
      <c r="R54" s="77">
        <f t="shared" si="37"/>
        <v>667.1875</v>
      </c>
      <c r="S54" s="77"/>
      <c r="T54" s="78">
        <f t="shared" si="38"/>
        <v>4.7640625</v>
      </c>
      <c r="U54" s="77"/>
      <c r="V54" s="77"/>
      <c r="W54" s="77">
        <f t="shared" si="31"/>
        <v>671.9515625</v>
      </c>
      <c r="X54" s="79">
        <f t="shared" si="39"/>
        <v>9.54375</v>
      </c>
      <c r="Y54" s="79"/>
      <c r="Z54" s="79"/>
      <c r="AA54" s="79">
        <f t="shared" si="33"/>
        <v>9.54375</v>
      </c>
      <c r="AB54" s="91">
        <v>7.27</v>
      </c>
      <c r="AC54" s="77">
        <f t="shared" si="32"/>
        <v>69.3830625</v>
      </c>
      <c r="AD54" s="77">
        <f t="shared" si="34"/>
        <v>741.334625</v>
      </c>
      <c r="AE54" s="77">
        <f t="shared" si="35"/>
        <v>129.538675</v>
      </c>
    </row>
    <row r="55" customFormat="1" spans="1:31">
      <c r="A55" s="22"/>
      <c r="B55" s="23"/>
      <c r="C55" s="24">
        <v>241203000008</v>
      </c>
      <c r="D55" s="25">
        <v>45632</v>
      </c>
      <c r="E55" s="25" t="s">
        <v>54</v>
      </c>
      <c r="F55" s="23" t="s">
        <v>55</v>
      </c>
      <c r="G55" s="23" t="s">
        <v>104</v>
      </c>
      <c r="H55" s="23">
        <v>7</v>
      </c>
      <c r="I55" s="43">
        <v>875</v>
      </c>
      <c r="J55" s="44"/>
      <c r="K55" s="45"/>
      <c r="L55" s="23"/>
      <c r="M55" s="45"/>
      <c r="N55" s="57"/>
      <c r="O55" s="47">
        <f t="shared" ref="O55:O58" si="40">SUM(I55)</f>
        <v>875</v>
      </c>
      <c r="P55" s="49"/>
      <c r="Q55" s="49"/>
      <c r="R55" s="77">
        <f t="shared" si="37"/>
        <v>622.708333333333</v>
      </c>
      <c r="S55" s="77"/>
      <c r="T55" s="78">
        <f t="shared" si="38"/>
        <v>4.44645833333333</v>
      </c>
      <c r="U55" s="77"/>
      <c r="V55" s="77"/>
      <c r="W55" s="77">
        <f t="shared" si="31"/>
        <v>627.154791666667</v>
      </c>
      <c r="X55" s="79">
        <f t="shared" si="39"/>
        <v>8.9075</v>
      </c>
      <c r="Y55" s="79"/>
      <c r="Z55" s="79"/>
      <c r="AA55" s="79">
        <f t="shared" si="33"/>
        <v>8.9075</v>
      </c>
      <c r="AB55" s="91">
        <v>7.27</v>
      </c>
      <c r="AC55" s="77">
        <f t="shared" si="32"/>
        <v>64.757525</v>
      </c>
      <c r="AD55" s="77">
        <f t="shared" si="34"/>
        <v>691.912316666667</v>
      </c>
      <c r="AE55" s="77">
        <f t="shared" si="35"/>
        <v>183.087683333333</v>
      </c>
    </row>
    <row r="56" customFormat="1" spans="1:31">
      <c r="A56" s="22"/>
      <c r="B56" s="23"/>
      <c r="C56" s="24">
        <v>241203000028</v>
      </c>
      <c r="D56" s="25">
        <v>45632</v>
      </c>
      <c r="E56" s="25" t="s">
        <v>44</v>
      </c>
      <c r="F56" s="23" t="s">
        <v>45</v>
      </c>
      <c r="G56" s="23" t="s">
        <v>82</v>
      </c>
      <c r="H56" s="23">
        <v>0.84</v>
      </c>
      <c r="I56" s="43">
        <v>249</v>
      </c>
      <c r="J56" s="44"/>
      <c r="K56" s="45"/>
      <c r="L56" s="23"/>
      <c r="M56" s="45"/>
      <c r="N56" s="57"/>
      <c r="O56" s="47">
        <f t="shared" si="40"/>
        <v>249</v>
      </c>
      <c r="P56" s="49"/>
      <c r="Q56" s="49"/>
      <c r="R56" s="77">
        <f t="shared" si="37"/>
        <v>74.725</v>
      </c>
      <c r="S56" s="77"/>
      <c r="T56" s="78">
        <f t="shared" si="38"/>
        <v>0.533575</v>
      </c>
      <c r="U56" s="77"/>
      <c r="V56" s="77"/>
      <c r="W56" s="77">
        <f t="shared" si="31"/>
        <v>75.258575</v>
      </c>
      <c r="X56" s="79">
        <f t="shared" si="39"/>
        <v>1.0689</v>
      </c>
      <c r="Y56" s="79"/>
      <c r="Z56" s="79"/>
      <c r="AA56" s="79">
        <f t="shared" si="33"/>
        <v>1.0689</v>
      </c>
      <c r="AB56" s="91">
        <v>7.27</v>
      </c>
      <c r="AC56" s="77">
        <f t="shared" si="32"/>
        <v>7.770903</v>
      </c>
      <c r="AD56" s="77">
        <f t="shared" si="34"/>
        <v>83.029478</v>
      </c>
      <c r="AE56" s="77">
        <f t="shared" si="35"/>
        <v>165.970522</v>
      </c>
    </row>
    <row r="57" customFormat="1" spans="1:31">
      <c r="A57" s="22"/>
      <c r="B57" s="23"/>
      <c r="C57" s="24">
        <v>241203000042</v>
      </c>
      <c r="D57" s="25">
        <v>45632</v>
      </c>
      <c r="E57" s="25" t="s">
        <v>41</v>
      </c>
      <c r="F57" s="23" t="s">
        <v>42</v>
      </c>
      <c r="G57" s="23" t="s">
        <v>43</v>
      </c>
      <c r="H57" s="23">
        <v>0.58</v>
      </c>
      <c r="I57" s="43">
        <v>125</v>
      </c>
      <c r="J57" s="44"/>
      <c r="K57" s="45"/>
      <c r="L57" s="23"/>
      <c r="M57" s="45"/>
      <c r="N57" s="57"/>
      <c r="O57" s="47">
        <f t="shared" si="40"/>
        <v>125</v>
      </c>
      <c r="P57" s="49"/>
      <c r="Q57" s="49"/>
      <c r="R57" s="77">
        <f t="shared" si="37"/>
        <v>51.5958333333333</v>
      </c>
      <c r="S57" s="77"/>
      <c r="T57" s="78">
        <f t="shared" si="38"/>
        <v>0.368420833333333</v>
      </c>
      <c r="U57" s="77"/>
      <c r="V57" s="77"/>
      <c r="W57" s="77">
        <f t="shared" si="31"/>
        <v>51.9642541666667</v>
      </c>
      <c r="X57" s="79">
        <f t="shared" si="39"/>
        <v>0.73805</v>
      </c>
      <c r="Y57" s="79"/>
      <c r="Z57" s="79"/>
      <c r="AA57" s="79">
        <f t="shared" si="33"/>
        <v>0.73805</v>
      </c>
      <c r="AB57" s="91">
        <v>7.27</v>
      </c>
      <c r="AC57" s="77">
        <f t="shared" si="32"/>
        <v>5.3656235</v>
      </c>
      <c r="AD57" s="77">
        <f t="shared" si="34"/>
        <v>57.3298776666667</v>
      </c>
      <c r="AE57" s="77">
        <f t="shared" si="35"/>
        <v>67.6701223333334</v>
      </c>
    </row>
    <row r="58" customFormat="1" spans="1:31">
      <c r="A58" s="22"/>
      <c r="B58" s="23"/>
      <c r="C58" s="24">
        <v>241203000052</v>
      </c>
      <c r="D58" s="25">
        <v>45632</v>
      </c>
      <c r="E58" s="25" t="s">
        <v>61</v>
      </c>
      <c r="F58" s="23" t="s">
        <v>62</v>
      </c>
      <c r="G58" s="23" t="s">
        <v>105</v>
      </c>
      <c r="H58" s="23">
        <v>0.53</v>
      </c>
      <c r="I58" s="43">
        <v>125</v>
      </c>
      <c r="J58" s="44"/>
      <c r="K58" s="45"/>
      <c r="L58" s="23"/>
      <c r="M58" s="45"/>
      <c r="N58" s="57"/>
      <c r="O58" s="47">
        <f t="shared" si="40"/>
        <v>125</v>
      </c>
      <c r="P58" s="49"/>
      <c r="Q58" s="49"/>
      <c r="R58" s="77">
        <f t="shared" si="37"/>
        <v>47.1479166666667</v>
      </c>
      <c r="S58" s="77"/>
      <c r="T58" s="78">
        <f t="shared" si="38"/>
        <v>0.336660416666667</v>
      </c>
      <c r="U58" s="77"/>
      <c r="V58" s="77"/>
      <c r="W58" s="77">
        <f t="shared" si="31"/>
        <v>47.4845770833333</v>
      </c>
      <c r="X58" s="79">
        <f t="shared" si="39"/>
        <v>0.674425</v>
      </c>
      <c r="Y58" s="79"/>
      <c r="Z58" s="79"/>
      <c r="AA58" s="79">
        <f t="shared" si="33"/>
        <v>0.674425</v>
      </c>
      <c r="AB58" s="91">
        <v>7.27</v>
      </c>
      <c r="AC58" s="77">
        <f t="shared" si="32"/>
        <v>4.90306975</v>
      </c>
      <c r="AD58" s="77">
        <f t="shared" si="34"/>
        <v>52.3876468333333</v>
      </c>
      <c r="AE58" s="77">
        <f t="shared" si="35"/>
        <v>72.6123531666667</v>
      </c>
    </row>
    <row r="59" customFormat="1" spans="1:31">
      <c r="A59" s="22"/>
      <c r="B59" s="23"/>
      <c r="C59" s="24">
        <v>241204000007</v>
      </c>
      <c r="D59" s="25">
        <v>45632</v>
      </c>
      <c r="E59" s="25" t="s">
        <v>41</v>
      </c>
      <c r="F59" s="23" t="s">
        <v>42</v>
      </c>
      <c r="G59" s="23" t="s">
        <v>106</v>
      </c>
      <c r="H59" s="23">
        <v>5</v>
      </c>
      <c r="I59" s="50"/>
      <c r="J59" s="51">
        <v>151875</v>
      </c>
      <c r="K59" s="45"/>
      <c r="L59" s="52">
        <f>SUM(J59/M59)</f>
        <v>1766.81014425314</v>
      </c>
      <c r="M59" s="53">
        <v>85.96</v>
      </c>
      <c r="N59" s="57">
        <v>7.27</v>
      </c>
      <c r="O59" s="58">
        <f>SUM(M59*N59)</f>
        <v>624.9292</v>
      </c>
      <c r="P59" s="49"/>
      <c r="Q59" s="49"/>
      <c r="R59" s="77">
        <f t="shared" si="37"/>
        <v>444.791666666667</v>
      </c>
      <c r="S59" s="77"/>
      <c r="T59" s="78">
        <f t="shared" si="38"/>
        <v>3.17604166666667</v>
      </c>
      <c r="U59" s="77"/>
      <c r="V59" s="77"/>
      <c r="W59" s="77">
        <f t="shared" si="31"/>
        <v>447.967708333333</v>
      </c>
      <c r="X59" s="79">
        <f t="shared" si="39"/>
        <v>6.3625</v>
      </c>
      <c r="Y59" s="79"/>
      <c r="Z59" s="79"/>
      <c r="AA59" s="79">
        <f t="shared" si="33"/>
        <v>6.3625</v>
      </c>
      <c r="AB59" s="91">
        <v>7.27</v>
      </c>
      <c r="AC59" s="77">
        <f t="shared" si="32"/>
        <v>46.255375</v>
      </c>
      <c r="AD59" s="77">
        <f t="shared" si="34"/>
        <v>494.223083333333</v>
      </c>
      <c r="AE59" s="77">
        <f t="shared" si="35"/>
        <v>130.706116666667</v>
      </c>
    </row>
    <row r="60" customFormat="1" spans="1:31">
      <c r="A60" s="22"/>
      <c r="B60" s="23"/>
      <c r="C60" s="24">
        <v>241204000009</v>
      </c>
      <c r="D60" s="25">
        <v>45632</v>
      </c>
      <c r="E60" s="25" t="s">
        <v>54</v>
      </c>
      <c r="F60" s="23" t="s">
        <v>55</v>
      </c>
      <c r="G60" s="23" t="s">
        <v>107</v>
      </c>
      <c r="H60" s="23">
        <v>3</v>
      </c>
      <c r="I60" s="43">
        <v>375</v>
      </c>
      <c r="J60" s="44"/>
      <c r="K60" s="45"/>
      <c r="L60" s="23"/>
      <c r="M60" s="45"/>
      <c r="N60" s="57"/>
      <c r="O60" s="47">
        <f t="shared" ref="O60:O62" si="41">SUM(I60)</f>
        <v>375</v>
      </c>
      <c r="P60" s="49"/>
      <c r="Q60" s="49"/>
      <c r="R60" s="77">
        <f t="shared" si="37"/>
        <v>266.875</v>
      </c>
      <c r="S60" s="77"/>
      <c r="T60" s="78">
        <f t="shared" si="38"/>
        <v>1.905625</v>
      </c>
      <c r="U60" s="77"/>
      <c r="V60" s="77"/>
      <c r="W60" s="77">
        <f t="shared" si="31"/>
        <v>268.780625</v>
      </c>
      <c r="X60" s="79">
        <f t="shared" si="39"/>
        <v>3.8175</v>
      </c>
      <c r="Y60" s="79"/>
      <c r="Z60" s="79"/>
      <c r="AA60" s="79">
        <f t="shared" si="33"/>
        <v>3.8175</v>
      </c>
      <c r="AB60" s="91">
        <v>7.27</v>
      </c>
      <c r="AC60" s="77">
        <f t="shared" si="32"/>
        <v>27.753225</v>
      </c>
      <c r="AD60" s="77">
        <f t="shared" si="34"/>
        <v>296.53385</v>
      </c>
      <c r="AE60" s="77">
        <f t="shared" si="35"/>
        <v>78.46615</v>
      </c>
    </row>
    <row r="61" customFormat="1" spans="1:31">
      <c r="A61" s="22"/>
      <c r="B61" s="23"/>
      <c r="C61" s="24">
        <v>241204000015</v>
      </c>
      <c r="D61" s="25">
        <v>45632</v>
      </c>
      <c r="E61" s="25" t="s">
        <v>37</v>
      </c>
      <c r="F61" s="23" t="s">
        <v>38</v>
      </c>
      <c r="G61" s="23" t="s">
        <v>108</v>
      </c>
      <c r="H61" s="23">
        <v>4</v>
      </c>
      <c r="I61" s="43">
        <v>566</v>
      </c>
      <c r="J61" s="44"/>
      <c r="K61" s="45"/>
      <c r="L61" s="23"/>
      <c r="M61" s="45"/>
      <c r="N61" s="57"/>
      <c r="O61" s="47">
        <f t="shared" si="41"/>
        <v>566</v>
      </c>
      <c r="P61" s="49"/>
      <c r="Q61" s="49"/>
      <c r="R61" s="77">
        <f t="shared" si="37"/>
        <v>355.833333333333</v>
      </c>
      <c r="S61" s="77"/>
      <c r="T61" s="78">
        <f t="shared" si="38"/>
        <v>2.54083333333333</v>
      </c>
      <c r="U61" s="77"/>
      <c r="V61" s="78">
        <v>66</v>
      </c>
      <c r="W61" s="77">
        <f t="shared" si="31"/>
        <v>424.374166666667</v>
      </c>
      <c r="X61" s="79">
        <f t="shared" si="39"/>
        <v>5.09</v>
      </c>
      <c r="Y61" s="79"/>
      <c r="Z61" s="79"/>
      <c r="AA61" s="79">
        <f t="shared" si="33"/>
        <v>5.09</v>
      </c>
      <c r="AB61" s="91">
        <v>7.27</v>
      </c>
      <c r="AC61" s="77">
        <f t="shared" si="32"/>
        <v>37.0043</v>
      </c>
      <c r="AD61" s="77">
        <f t="shared" si="34"/>
        <v>461.378466666667</v>
      </c>
      <c r="AE61" s="77">
        <f t="shared" si="35"/>
        <v>104.621533333333</v>
      </c>
    </row>
    <row r="62" customFormat="1" spans="1:31">
      <c r="A62" s="22"/>
      <c r="B62" s="23"/>
      <c r="C62" s="24">
        <v>241204000080</v>
      </c>
      <c r="D62" s="26">
        <v>45632</v>
      </c>
      <c r="E62" s="25" t="s">
        <v>70</v>
      </c>
      <c r="F62" s="23" t="s">
        <v>109</v>
      </c>
      <c r="G62" s="23" t="s">
        <v>110</v>
      </c>
      <c r="H62" s="23">
        <v>9</v>
      </c>
      <c r="I62" s="43">
        <v>1170</v>
      </c>
      <c r="J62" s="44"/>
      <c r="K62" s="45"/>
      <c r="L62" s="23"/>
      <c r="M62" s="45"/>
      <c r="N62" s="57"/>
      <c r="O62" s="47">
        <f t="shared" si="41"/>
        <v>1170</v>
      </c>
      <c r="P62" s="49"/>
      <c r="Q62" s="49"/>
      <c r="R62" s="77">
        <f t="shared" si="37"/>
        <v>800.625</v>
      </c>
      <c r="S62" s="77"/>
      <c r="T62" s="78">
        <f t="shared" si="38"/>
        <v>5.716875</v>
      </c>
      <c r="U62" s="77"/>
      <c r="V62" s="77"/>
      <c r="W62" s="77">
        <f t="shared" si="31"/>
        <v>806.341875</v>
      </c>
      <c r="X62" s="79">
        <f t="shared" si="39"/>
        <v>11.4525</v>
      </c>
      <c r="Y62" s="79"/>
      <c r="Z62" s="79"/>
      <c r="AA62" s="79">
        <f t="shared" si="33"/>
        <v>11.4525</v>
      </c>
      <c r="AB62" s="91">
        <v>7.27</v>
      </c>
      <c r="AC62" s="77">
        <f t="shared" si="32"/>
        <v>83.259675</v>
      </c>
      <c r="AD62" s="77">
        <f t="shared" ref="AD62:AD93" si="42">SUM(W62+AC62)</f>
        <v>889.60155</v>
      </c>
      <c r="AE62" s="77">
        <f t="shared" si="35"/>
        <v>280.39845</v>
      </c>
    </row>
    <row r="63" customFormat="1" spans="1:31">
      <c r="A63" s="22"/>
      <c r="B63" s="23"/>
      <c r="C63" s="24">
        <v>241205000006</v>
      </c>
      <c r="D63" s="25">
        <v>45632</v>
      </c>
      <c r="E63" s="25" t="s">
        <v>54</v>
      </c>
      <c r="F63" s="23" t="s">
        <v>55</v>
      </c>
      <c r="G63" s="23" t="s">
        <v>111</v>
      </c>
      <c r="H63" s="23">
        <v>2</v>
      </c>
      <c r="I63" s="47"/>
      <c r="J63" s="51">
        <v>63728</v>
      </c>
      <c r="K63" s="45"/>
      <c r="L63" s="52">
        <f>SUM(J63/M63)</f>
        <v>1745.01642935378</v>
      </c>
      <c r="M63" s="53">
        <v>36.52</v>
      </c>
      <c r="N63" s="57">
        <v>7.27</v>
      </c>
      <c r="O63" s="58">
        <f t="shared" ref="O63:O68" si="43">SUM(M63*N63)</f>
        <v>265.5004</v>
      </c>
      <c r="P63" s="55"/>
      <c r="Q63" s="55"/>
      <c r="R63" s="77">
        <f t="shared" si="37"/>
        <v>177.916666666667</v>
      </c>
      <c r="S63" s="77"/>
      <c r="T63" s="78">
        <f t="shared" si="38"/>
        <v>1.27041666666667</v>
      </c>
      <c r="U63" s="77"/>
      <c r="V63" s="78">
        <v>13</v>
      </c>
      <c r="W63" s="77">
        <f t="shared" si="31"/>
        <v>192.187083333333</v>
      </c>
      <c r="X63" s="79">
        <f t="shared" si="39"/>
        <v>2.545</v>
      </c>
      <c r="Y63" s="79"/>
      <c r="Z63" s="79"/>
      <c r="AA63" s="79">
        <f t="shared" ref="AA63:AA94" si="44">SUM(X63:Z63)</f>
        <v>2.545</v>
      </c>
      <c r="AB63" s="91">
        <v>7.27</v>
      </c>
      <c r="AC63" s="77">
        <f t="shared" ref="AC63:AC94" si="45">SUM(AA63*AB63)</f>
        <v>18.50215</v>
      </c>
      <c r="AD63" s="77">
        <f t="shared" si="42"/>
        <v>210.689233333333</v>
      </c>
      <c r="AE63" s="77">
        <f t="shared" ref="AE63:AE94" si="46">SUM(O63-AD63)</f>
        <v>54.8111666666667</v>
      </c>
    </row>
    <row r="64" customFormat="1" spans="1:31">
      <c r="A64" s="22" t="s">
        <v>112</v>
      </c>
      <c r="B64" s="23" t="s">
        <v>113</v>
      </c>
      <c r="C64" s="24">
        <v>241031000020</v>
      </c>
      <c r="D64" s="25">
        <v>45633</v>
      </c>
      <c r="E64" s="25" t="s">
        <v>84</v>
      </c>
      <c r="F64" s="23" t="s">
        <v>85</v>
      </c>
      <c r="G64" s="23" t="s">
        <v>114</v>
      </c>
      <c r="H64" s="23">
        <v>21.5</v>
      </c>
      <c r="I64" s="43">
        <v>1570</v>
      </c>
      <c r="J64" s="44"/>
      <c r="K64" s="45"/>
      <c r="L64" s="23"/>
      <c r="M64" s="45"/>
      <c r="N64" s="57"/>
      <c r="O64" s="47">
        <f t="shared" ref="O64:O69" si="47">SUM(I64)</f>
        <v>1570</v>
      </c>
      <c r="P64" s="48">
        <f>SUM(O64:O134)</f>
        <v>199734.1201908</v>
      </c>
      <c r="Q64" s="82" t="s">
        <v>115</v>
      </c>
      <c r="R64" s="77">
        <f>SUM(165489.6/2507)*H64</f>
        <v>1419.23669724771</v>
      </c>
      <c r="S64" s="77"/>
      <c r="T64" s="78">
        <f>SUM(162.75/2507)*H64</f>
        <v>1.39574192261667</v>
      </c>
      <c r="U64" s="77"/>
      <c r="V64" s="77"/>
      <c r="W64" s="77">
        <f t="shared" ref="W64:W95" si="48">SUM(R64:V64)</f>
        <v>1420.63243917032</v>
      </c>
      <c r="X64" s="79">
        <f>SUM(2133.11/2507)*H64</f>
        <v>18.2935241324292</v>
      </c>
      <c r="Y64" s="79"/>
      <c r="Z64" s="79"/>
      <c r="AA64" s="79">
        <f t="shared" si="44"/>
        <v>18.2935241324292</v>
      </c>
      <c r="AB64" s="91">
        <v>7.27</v>
      </c>
      <c r="AC64" s="77">
        <f t="shared" si="45"/>
        <v>132.99392044276</v>
      </c>
      <c r="AD64" s="77">
        <f t="shared" si="42"/>
        <v>1553.62635961308</v>
      </c>
      <c r="AE64" s="77">
        <f t="shared" si="46"/>
        <v>16.3736403869166</v>
      </c>
    </row>
    <row r="65" customFormat="1" spans="1:31">
      <c r="A65" s="22"/>
      <c r="B65" s="23"/>
      <c r="C65" s="24">
        <v>241125000003</v>
      </c>
      <c r="D65" s="25">
        <v>45633</v>
      </c>
      <c r="E65" s="25" t="s">
        <v>44</v>
      </c>
      <c r="F65" s="23" t="s">
        <v>45</v>
      </c>
      <c r="G65" s="23" t="s">
        <v>116</v>
      </c>
      <c r="H65" s="23">
        <v>0.26</v>
      </c>
      <c r="I65" s="43">
        <v>80</v>
      </c>
      <c r="J65" s="44"/>
      <c r="K65" s="45"/>
      <c r="L65" s="23"/>
      <c r="M65" s="45"/>
      <c r="N65" s="57"/>
      <c r="O65" s="47">
        <f t="shared" si="47"/>
        <v>80</v>
      </c>
      <c r="P65" s="49"/>
      <c r="Q65" s="49"/>
      <c r="R65" s="77">
        <f t="shared" ref="R65:R96" si="49">SUM(165489.6/2507)*H65</f>
        <v>17.1628623853211</v>
      </c>
      <c r="S65" s="77"/>
      <c r="T65" s="78">
        <f t="shared" ref="T65:T96" si="50">SUM(162.75/2507)*H65</f>
        <v>0.0168787395293179</v>
      </c>
      <c r="U65" s="77"/>
      <c r="V65" s="77"/>
      <c r="W65" s="77">
        <f t="shared" si="48"/>
        <v>17.1797411248504</v>
      </c>
      <c r="X65" s="79">
        <f t="shared" ref="X65:X96" si="51">SUM(2133.11/2507)*H65</f>
        <v>0.22122401276426</v>
      </c>
      <c r="Y65" s="79"/>
      <c r="Z65" s="79"/>
      <c r="AA65" s="79">
        <f t="shared" si="44"/>
        <v>0.22122401276426</v>
      </c>
      <c r="AB65" s="91">
        <v>7.27</v>
      </c>
      <c r="AC65" s="77">
        <f t="shared" si="45"/>
        <v>1.60829857279617</v>
      </c>
      <c r="AD65" s="77">
        <f t="shared" si="42"/>
        <v>18.7880396976466</v>
      </c>
      <c r="AE65" s="77">
        <f t="shared" si="46"/>
        <v>61.2119603023534</v>
      </c>
    </row>
    <row r="66" customFormat="1" spans="1:31">
      <c r="A66" s="22"/>
      <c r="B66" s="23"/>
      <c r="C66" s="24">
        <v>241127000009</v>
      </c>
      <c r="D66" s="25">
        <v>45633</v>
      </c>
      <c r="E66" s="25" t="s">
        <v>37</v>
      </c>
      <c r="F66" s="23" t="s">
        <v>38</v>
      </c>
      <c r="G66" s="23" t="s">
        <v>117</v>
      </c>
      <c r="H66" s="23">
        <v>31</v>
      </c>
      <c r="I66" s="47"/>
      <c r="J66" s="51">
        <v>540295.1</v>
      </c>
      <c r="K66" s="45"/>
      <c r="L66" s="52">
        <f t="shared" ref="L66:L68" si="52">SUM(J66/M66)</f>
        <v>1670</v>
      </c>
      <c r="M66" s="53">
        <v>323.53</v>
      </c>
      <c r="N66" s="57">
        <v>7.27</v>
      </c>
      <c r="O66" s="47">
        <f t="shared" si="43"/>
        <v>2352.0631</v>
      </c>
      <c r="P66" s="49"/>
      <c r="Q66" s="49"/>
      <c r="R66" s="77">
        <f t="shared" si="49"/>
        <v>2046.34128440367</v>
      </c>
      <c r="S66" s="77"/>
      <c r="T66" s="78">
        <f t="shared" si="50"/>
        <v>2.01246509772637</v>
      </c>
      <c r="U66" s="77"/>
      <c r="V66" s="77"/>
      <c r="W66" s="77">
        <f t="shared" si="48"/>
        <v>2048.3537495014</v>
      </c>
      <c r="X66" s="79">
        <f t="shared" si="51"/>
        <v>26.3767092142002</v>
      </c>
      <c r="Y66" s="79"/>
      <c r="Z66" s="79"/>
      <c r="AA66" s="79">
        <f t="shared" si="44"/>
        <v>26.3767092142002</v>
      </c>
      <c r="AB66" s="91">
        <v>7.27</v>
      </c>
      <c r="AC66" s="77">
        <f t="shared" si="45"/>
        <v>191.758675987236</v>
      </c>
      <c r="AD66" s="77">
        <f t="shared" si="42"/>
        <v>2240.11242548863</v>
      </c>
      <c r="AE66" s="77">
        <f t="shared" si="46"/>
        <v>111.950674511368</v>
      </c>
    </row>
    <row r="67" customFormat="1" spans="1:31">
      <c r="A67" s="22"/>
      <c r="B67" s="23"/>
      <c r="C67" s="24">
        <v>241128000024</v>
      </c>
      <c r="D67" s="25">
        <v>45633</v>
      </c>
      <c r="E67" s="25" t="s">
        <v>54</v>
      </c>
      <c r="F67" s="23" t="s">
        <v>55</v>
      </c>
      <c r="G67" s="23" t="s">
        <v>118</v>
      </c>
      <c r="H67" s="23">
        <v>70</v>
      </c>
      <c r="I67" s="47"/>
      <c r="J67" s="51">
        <v>1217647.1</v>
      </c>
      <c r="K67" s="45"/>
      <c r="L67" s="52">
        <f t="shared" si="52"/>
        <v>1670</v>
      </c>
      <c r="M67" s="53">
        <v>729.13</v>
      </c>
      <c r="N67" s="57">
        <v>7.27</v>
      </c>
      <c r="O67" s="47">
        <f t="shared" si="43"/>
        <v>5300.7751</v>
      </c>
      <c r="P67" s="49"/>
      <c r="Q67" s="49"/>
      <c r="R67" s="77">
        <f t="shared" si="49"/>
        <v>4620.77064220183</v>
      </c>
      <c r="S67" s="77"/>
      <c r="T67" s="78">
        <f t="shared" si="50"/>
        <v>4.54427602712405</v>
      </c>
      <c r="U67" s="77"/>
      <c r="V67" s="77"/>
      <c r="W67" s="77">
        <f t="shared" si="48"/>
        <v>4625.31491822896</v>
      </c>
      <c r="X67" s="79">
        <f t="shared" si="51"/>
        <v>59.5603111288393</v>
      </c>
      <c r="Y67" s="79"/>
      <c r="Z67" s="79"/>
      <c r="AA67" s="79">
        <f t="shared" si="44"/>
        <v>59.5603111288393</v>
      </c>
      <c r="AB67" s="91">
        <v>7.27</v>
      </c>
      <c r="AC67" s="77">
        <f t="shared" si="45"/>
        <v>433.003461906661</v>
      </c>
      <c r="AD67" s="77">
        <f t="shared" si="42"/>
        <v>5058.31838013562</v>
      </c>
      <c r="AE67" s="77">
        <f t="shared" si="46"/>
        <v>242.456719864379</v>
      </c>
    </row>
    <row r="68" customFormat="1" spans="1:31">
      <c r="A68" s="22"/>
      <c r="B68" s="23"/>
      <c r="C68" s="24">
        <v>241129000014</v>
      </c>
      <c r="D68" s="25">
        <v>45633</v>
      </c>
      <c r="E68" s="25" t="s">
        <v>54</v>
      </c>
      <c r="F68" s="23" t="s">
        <v>55</v>
      </c>
      <c r="G68" s="23" t="s">
        <v>119</v>
      </c>
      <c r="H68" s="23">
        <v>3.5</v>
      </c>
      <c r="I68" s="47"/>
      <c r="J68" s="51">
        <v>74218.6</v>
      </c>
      <c r="K68" s="45"/>
      <c r="L68" s="52">
        <f t="shared" si="52"/>
        <v>1668.58363309353</v>
      </c>
      <c r="M68" s="53">
        <v>44.48</v>
      </c>
      <c r="N68" s="57">
        <v>7.27</v>
      </c>
      <c r="O68" s="47">
        <f t="shared" si="43"/>
        <v>323.3696</v>
      </c>
      <c r="P68" s="49"/>
      <c r="Q68" s="49"/>
      <c r="R68" s="77">
        <f t="shared" si="49"/>
        <v>231.038532110092</v>
      </c>
      <c r="S68" s="77"/>
      <c r="T68" s="78">
        <f t="shared" si="50"/>
        <v>0.227213801356203</v>
      </c>
      <c r="U68" s="77"/>
      <c r="V68" s="77"/>
      <c r="W68" s="77">
        <f t="shared" si="48"/>
        <v>231.265745911448</v>
      </c>
      <c r="X68" s="79">
        <f t="shared" si="51"/>
        <v>2.97801555644196</v>
      </c>
      <c r="Y68" s="79"/>
      <c r="Z68" s="79"/>
      <c r="AA68" s="79">
        <f t="shared" si="44"/>
        <v>2.97801555644196</v>
      </c>
      <c r="AB68" s="91">
        <v>7.27</v>
      </c>
      <c r="AC68" s="77">
        <f t="shared" si="45"/>
        <v>21.6501730953331</v>
      </c>
      <c r="AD68" s="77">
        <f t="shared" si="42"/>
        <v>252.915919006781</v>
      </c>
      <c r="AE68" s="77">
        <f t="shared" si="46"/>
        <v>70.453680993219</v>
      </c>
    </row>
    <row r="69" customFormat="1" spans="1:31">
      <c r="A69" s="22"/>
      <c r="B69" s="23"/>
      <c r="C69" s="24">
        <v>241129000024</v>
      </c>
      <c r="D69" s="25">
        <v>45633</v>
      </c>
      <c r="E69" s="25" t="s">
        <v>61</v>
      </c>
      <c r="F69" s="23" t="s">
        <v>62</v>
      </c>
      <c r="G69" s="23" t="s">
        <v>120</v>
      </c>
      <c r="H69" s="23">
        <v>14.5</v>
      </c>
      <c r="I69" s="43">
        <v>1087.5</v>
      </c>
      <c r="J69" s="44"/>
      <c r="K69" s="45"/>
      <c r="L69" s="23"/>
      <c r="M69" s="45"/>
      <c r="N69" s="57"/>
      <c r="O69" s="47">
        <f t="shared" si="47"/>
        <v>1087.5</v>
      </c>
      <c r="P69" s="49"/>
      <c r="Q69" s="49"/>
      <c r="R69" s="77">
        <f t="shared" si="49"/>
        <v>957.159633027523</v>
      </c>
      <c r="S69" s="77"/>
      <c r="T69" s="78">
        <f t="shared" si="50"/>
        <v>0.941314319904268</v>
      </c>
      <c r="U69" s="77"/>
      <c r="V69" s="77"/>
      <c r="W69" s="77">
        <f t="shared" si="48"/>
        <v>958.100947347427</v>
      </c>
      <c r="X69" s="79">
        <f t="shared" si="51"/>
        <v>12.3374930195453</v>
      </c>
      <c r="Y69" s="79"/>
      <c r="Z69" s="79"/>
      <c r="AA69" s="79">
        <f t="shared" si="44"/>
        <v>12.3374930195453</v>
      </c>
      <c r="AB69" s="91">
        <v>7.27</v>
      </c>
      <c r="AC69" s="77">
        <f t="shared" si="45"/>
        <v>89.6935742520941</v>
      </c>
      <c r="AD69" s="77">
        <f t="shared" si="42"/>
        <v>1047.79452159952</v>
      </c>
      <c r="AE69" s="77">
        <f t="shared" si="46"/>
        <v>39.7054784004788</v>
      </c>
    </row>
    <row r="70" customFormat="1" spans="1:31">
      <c r="A70" s="22"/>
      <c r="B70" s="23"/>
      <c r="C70" s="24">
        <v>241129000034</v>
      </c>
      <c r="D70" s="25">
        <v>45633</v>
      </c>
      <c r="E70" s="25" t="s">
        <v>61</v>
      </c>
      <c r="F70" s="23" t="s">
        <v>62</v>
      </c>
      <c r="G70" s="23" t="s">
        <v>121</v>
      </c>
      <c r="H70" s="23">
        <v>2</v>
      </c>
      <c r="I70" s="50"/>
      <c r="J70" s="51">
        <v>40490</v>
      </c>
      <c r="K70" s="45"/>
      <c r="L70" s="52">
        <f>SUM(J70/M70)</f>
        <v>1673.14049586777</v>
      </c>
      <c r="M70" s="53">
        <v>24.2</v>
      </c>
      <c r="N70" s="57">
        <v>7.27</v>
      </c>
      <c r="O70" s="47">
        <f>SUM(M70*N70)</f>
        <v>175.934</v>
      </c>
      <c r="P70" s="49"/>
      <c r="Q70" s="49"/>
      <c r="R70" s="77">
        <f t="shared" si="49"/>
        <v>132.022018348624</v>
      </c>
      <c r="S70" s="77"/>
      <c r="T70" s="78">
        <f t="shared" si="50"/>
        <v>0.12983645791783</v>
      </c>
      <c r="U70" s="77"/>
      <c r="V70" s="77"/>
      <c r="W70" s="77">
        <f t="shared" si="48"/>
        <v>132.151854806542</v>
      </c>
      <c r="X70" s="79">
        <f t="shared" si="51"/>
        <v>1.70172317510969</v>
      </c>
      <c r="Y70" s="79"/>
      <c r="Z70" s="79"/>
      <c r="AA70" s="79">
        <f t="shared" si="44"/>
        <v>1.70172317510969</v>
      </c>
      <c r="AB70" s="91">
        <v>7.27</v>
      </c>
      <c r="AC70" s="77">
        <f t="shared" si="45"/>
        <v>12.3715274830475</v>
      </c>
      <c r="AD70" s="77">
        <f t="shared" si="42"/>
        <v>144.523382289589</v>
      </c>
      <c r="AE70" s="77">
        <f t="shared" si="46"/>
        <v>31.4106177104109</v>
      </c>
    </row>
    <row r="71" customFormat="1" spans="1:31">
      <c r="A71" s="22"/>
      <c r="B71" s="23"/>
      <c r="C71" s="24">
        <v>241129000040</v>
      </c>
      <c r="D71" s="25">
        <v>45633</v>
      </c>
      <c r="E71" s="25" t="s">
        <v>54</v>
      </c>
      <c r="F71" s="23" t="s">
        <v>55</v>
      </c>
      <c r="G71" s="23" t="s">
        <v>119</v>
      </c>
      <c r="H71" s="23">
        <v>8</v>
      </c>
      <c r="I71" s="47"/>
      <c r="J71" s="51">
        <v>144338.1</v>
      </c>
      <c r="K71" s="45"/>
      <c r="L71" s="52">
        <f>SUM(J71/M71)</f>
        <v>1670</v>
      </c>
      <c r="M71" s="53">
        <v>86.43</v>
      </c>
      <c r="N71" s="57">
        <v>7.27</v>
      </c>
      <c r="O71" s="47">
        <f>SUM(M71*N71)</f>
        <v>628.3461</v>
      </c>
      <c r="P71" s="49"/>
      <c r="Q71" s="49"/>
      <c r="R71" s="77">
        <f t="shared" si="49"/>
        <v>528.088073394495</v>
      </c>
      <c r="S71" s="77"/>
      <c r="T71" s="78">
        <f t="shared" si="50"/>
        <v>0.51934583167132</v>
      </c>
      <c r="U71" s="77"/>
      <c r="V71" s="77"/>
      <c r="W71" s="77">
        <f t="shared" si="48"/>
        <v>528.607419226167</v>
      </c>
      <c r="X71" s="79">
        <f t="shared" si="51"/>
        <v>6.80689270043877</v>
      </c>
      <c r="Y71" s="79"/>
      <c r="Z71" s="79"/>
      <c r="AA71" s="79">
        <f t="shared" si="44"/>
        <v>6.80689270043877</v>
      </c>
      <c r="AB71" s="91">
        <v>7.27</v>
      </c>
      <c r="AC71" s="77">
        <f t="shared" si="45"/>
        <v>49.4861099321899</v>
      </c>
      <c r="AD71" s="77">
        <f t="shared" si="42"/>
        <v>578.093529158357</v>
      </c>
      <c r="AE71" s="77">
        <f t="shared" si="46"/>
        <v>50.2525708416434</v>
      </c>
    </row>
    <row r="72" customFormat="1" spans="1:31">
      <c r="A72" s="22"/>
      <c r="B72" s="23"/>
      <c r="C72" s="24">
        <v>241129000044</v>
      </c>
      <c r="D72" s="25">
        <v>45633</v>
      </c>
      <c r="E72" s="25" t="s">
        <v>41</v>
      </c>
      <c r="F72" s="23" t="s">
        <v>42</v>
      </c>
      <c r="G72" s="23" t="s">
        <v>122</v>
      </c>
      <c r="H72" s="23">
        <v>2</v>
      </c>
      <c r="I72" s="43">
        <v>171</v>
      </c>
      <c r="J72" s="44"/>
      <c r="K72" s="45"/>
      <c r="L72" s="23"/>
      <c r="M72" s="45"/>
      <c r="N72" s="57"/>
      <c r="O72" s="47">
        <f t="shared" ref="O72:O75" si="53">SUM(I72)</f>
        <v>171</v>
      </c>
      <c r="P72" s="49"/>
      <c r="Q72" s="49"/>
      <c r="R72" s="77">
        <f t="shared" si="49"/>
        <v>132.022018348624</v>
      </c>
      <c r="S72" s="77"/>
      <c r="T72" s="78">
        <f t="shared" si="50"/>
        <v>0.12983645791783</v>
      </c>
      <c r="U72" s="77"/>
      <c r="V72" s="77"/>
      <c r="W72" s="77">
        <f t="shared" si="48"/>
        <v>132.151854806542</v>
      </c>
      <c r="X72" s="79">
        <f t="shared" si="51"/>
        <v>1.70172317510969</v>
      </c>
      <c r="Y72" s="79"/>
      <c r="Z72" s="79"/>
      <c r="AA72" s="79">
        <f t="shared" si="44"/>
        <v>1.70172317510969</v>
      </c>
      <c r="AB72" s="91">
        <v>7.27</v>
      </c>
      <c r="AC72" s="77">
        <f t="shared" si="45"/>
        <v>12.3715274830475</v>
      </c>
      <c r="AD72" s="77">
        <f t="shared" si="42"/>
        <v>144.523382289589</v>
      </c>
      <c r="AE72" s="77">
        <f t="shared" si="46"/>
        <v>26.4766177104109</v>
      </c>
    </row>
    <row r="73" customFormat="1" spans="1:31">
      <c r="A73" s="22"/>
      <c r="B73" s="23"/>
      <c r="C73" s="24">
        <v>241129000046</v>
      </c>
      <c r="D73" s="25">
        <v>45633</v>
      </c>
      <c r="E73" s="25" t="s">
        <v>61</v>
      </c>
      <c r="F73" s="23" t="s">
        <v>62</v>
      </c>
      <c r="G73" s="23" t="s">
        <v>123</v>
      </c>
      <c r="H73" s="23">
        <v>131</v>
      </c>
      <c r="I73" s="43">
        <v>10087</v>
      </c>
      <c r="J73" s="44"/>
      <c r="K73" s="45"/>
      <c r="L73" s="23"/>
      <c r="M73" s="45"/>
      <c r="N73" s="57"/>
      <c r="O73" s="47">
        <f t="shared" si="53"/>
        <v>10087</v>
      </c>
      <c r="P73" s="49"/>
      <c r="Q73" s="49"/>
      <c r="R73" s="77">
        <f t="shared" si="49"/>
        <v>8647.44220183486</v>
      </c>
      <c r="S73" s="77"/>
      <c r="T73" s="78">
        <f t="shared" si="50"/>
        <v>8.50428799361787</v>
      </c>
      <c r="U73" s="77"/>
      <c r="V73" s="77"/>
      <c r="W73" s="77">
        <f t="shared" si="48"/>
        <v>8655.94648982848</v>
      </c>
      <c r="X73" s="79">
        <f t="shared" si="51"/>
        <v>111.462867969685</v>
      </c>
      <c r="Y73" s="79"/>
      <c r="Z73" s="79"/>
      <c r="AA73" s="79">
        <f t="shared" si="44"/>
        <v>111.462867969685</v>
      </c>
      <c r="AB73" s="91">
        <v>7.27</v>
      </c>
      <c r="AC73" s="77">
        <f t="shared" si="45"/>
        <v>810.335050139609</v>
      </c>
      <c r="AD73" s="77">
        <f t="shared" si="42"/>
        <v>9466.28153996809</v>
      </c>
      <c r="AE73" s="77">
        <f t="shared" si="46"/>
        <v>620.718460031912</v>
      </c>
    </row>
    <row r="74" customFormat="1" spans="1:31">
      <c r="A74" s="22"/>
      <c r="B74" s="23"/>
      <c r="C74" s="24">
        <v>241130000002</v>
      </c>
      <c r="D74" s="25">
        <v>45633</v>
      </c>
      <c r="E74" s="25" t="s">
        <v>54</v>
      </c>
      <c r="F74" s="23" t="s">
        <v>55</v>
      </c>
      <c r="G74" s="23" t="s">
        <v>124</v>
      </c>
      <c r="H74" s="23">
        <v>10</v>
      </c>
      <c r="I74" s="43">
        <v>776</v>
      </c>
      <c r="J74" s="44"/>
      <c r="K74" s="45"/>
      <c r="L74" s="23"/>
      <c r="M74" s="45"/>
      <c r="N74" s="57"/>
      <c r="O74" s="47">
        <f t="shared" si="53"/>
        <v>776</v>
      </c>
      <c r="P74" s="49"/>
      <c r="Q74" s="49"/>
      <c r="R74" s="77">
        <f t="shared" si="49"/>
        <v>660.110091743119</v>
      </c>
      <c r="S74" s="77"/>
      <c r="T74" s="78">
        <f t="shared" si="50"/>
        <v>0.64918228958915</v>
      </c>
      <c r="U74" s="77"/>
      <c r="V74" s="77"/>
      <c r="W74" s="77">
        <f t="shared" si="48"/>
        <v>660.759274032708</v>
      </c>
      <c r="X74" s="79">
        <f t="shared" si="51"/>
        <v>8.50861587554846</v>
      </c>
      <c r="Y74" s="79"/>
      <c r="Z74" s="79"/>
      <c r="AA74" s="79">
        <f t="shared" si="44"/>
        <v>8.50861587554846</v>
      </c>
      <c r="AB74" s="91">
        <v>7.27</v>
      </c>
      <c r="AC74" s="77">
        <f t="shared" si="45"/>
        <v>61.8576374152373</v>
      </c>
      <c r="AD74" s="77">
        <f t="shared" si="42"/>
        <v>722.616911447946</v>
      </c>
      <c r="AE74" s="77">
        <f t="shared" si="46"/>
        <v>53.3830885520542</v>
      </c>
    </row>
    <row r="75" customFormat="1" spans="1:31">
      <c r="A75" s="22"/>
      <c r="B75" s="23"/>
      <c r="C75" s="24">
        <v>241130000003</v>
      </c>
      <c r="D75" s="25">
        <v>45633</v>
      </c>
      <c r="E75" s="25" t="s">
        <v>54</v>
      </c>
      <c r="F75" s="23" t="s">
        <v>55</v>
      </c>
      <c r="G75" s="23" t="s">
        <v>125</v>
      </c>
      <c r="H75" s="23">
        <v>6.5</v>
      </c>
      <c r="I75" s="43">
        <v>506.5</v>
      </c>
      <c r="J75" s="44"/>
      <c r="K75" s="45"/>
      <c r="L75" s="23"/>
      <c r="M75" s="45"/>
      <c r="N75" s="57"/>
      <c r="O75" s="47">
        <f t="shared" si="53"/>
        <v>506.5</v>
      </c>
      <c r="P75" s="49"/>
      <c r="Q75" s="49"/>
      <c r="R75" s="77">
        <f t="shared" si="49"/>
        <v>429.071559633028</v>
      </c>
      <c r="S75" s="77"/>
      <c r="T75" s="78">
        <f t="shared" si="50"/>
        <v>0.421968488232948</v>
      </c>
      <c r="U75" s="77"/>
      <c r="V75" s="77"/>
      <c r="W75" s="77">
        <f t="shared" si="48"/>
        <v>429.49352812126</v>
      </c>
      <c r="X75" s="79">
        <f t="shared" si="51"/>
        <v>5.5306003191065</v>
      </c>
      <c r="Y75" s="79"/>
      <c r="Z75" s="79"/>
      <c r="AA75" s="79">
        <f t="shared" si="44"/>
        <v>5.5306003191065</v>
      </c>
      <c r="AB75" s="91">
        <v>7.27</v>
      </c>
      <c r="AC75" s="77">
        <f t="shared" si="45"/>
        <v>40.2074643199043</v>
      </c>
      <c r="AD75" s="77">
        <f t="shared" si="42"/>
        <v>469.700992441165</v>
      </c>
      <c r="AE75" s="77">
        <f t="shared" si="46"/>
        <v>36.7990075588353</v>
      </c>
    </row>
    <row r="76" customFormat="1" spans="1:31">
      <c r="A76" s="22"/>
      <c r="B76" s="23"/>
      <c r="C76" s="24">
        <v>241130000004</v>
      </c>
      <c r="D76" s="25">
        <v>45633</v>
      </c>
      <c r="E76" s="25" t="s">
        <v>37</v>
      </c>
      <c r="F76" s="23" t="s">
        <v>38</v>
      </c>
      <c r="G76" s="23" t="s">
        <v>126</v>
      </c>
      <c r="H76" s="23">
        <v>10.5</v>
      </c>
      <c r="I76" s="47"/>
      <c r="J76" s="51">
        <v>187624.5</v>
      </c>
      <c r="K76" s="45"/>
      <c r="L76" s="52">
        <f t="shared" ref="L76:L80" si="54">SUM(J76/M76)</f>
        <v>1670</v>
      </c>
      <c r="M76" s="53">
        <v>112.35</v>
      </c>
      <c r="N76" s="57">
        <v>7.27</v>
      </c>
      <c r="O76" s="47">
        <f t="shared" ref="O76:O80" si="55">SUM(M76*N76)</f>
        <v>816.7845</v>
      </c>
      <c r="P76" s="49"/>
      <c r="Q76" s="49"/>
      <c r="R76" s="77">
        <f t="shared" si="49"/>
        <v>693.115596330275</v>
      </c>
      <c r="S76" s="77"/>
      <c r="T76" s="78">
        <f t="shared" si="50"/>
        <v>0.681641404068608</v>
      </c>
      <c r="U76" s="77"/>
      <c r="V76" s="77"/>
      <c r="W76" s="77">
        <f t="shared" si="48"/>
        <v>693.797237734344</v>
      </c>
      <c r="X76" s="79">
        <f t="shared" si="51"/>
        <v>8.93404666932589</v>
      </c>
      <c r="Y76" s="79"/>
      <c r="Z76" s="79"/>
      <c r="AA76" s="79">
        <f t="shared" si="44"/>
        <v>8.93404666932589</v>
      </c>
      <c r="AB76" s="91">
        <v>7.27</v>
      </c>
      <c r="AC76" s="77">
        <f t="shared" si="45"/>
        <v>64.9505192859992</v>
      </c>
      <c r="AD76" s="77">
        <f t="shared" si="42"/>
        <v>758.747757020343</v>
      </c>
      <c r="AE76" s="77">
        <f t="shared" si="46"/>
        <v>58.036742979657</v>
      </c>
    </row>
    <row r="77" customFormat="1" spans="1:31">
      <c r="A77" s="22"/>
      <c r="B77" s="23"/>
      <c r="C77" s="24">
        <v>241130000005</v>
      </c>
      <c r="D77" s="25">
        <v>45633</v>
      </c>
      <c r="E77" s="25" t="s">
        <v>37</v>
      </c>
      <c r="F77" s="23" t="s">
        <v>38</v>
      </c>
      <c r="G77" s="23" t="s">
        <v>127</v>
      </c>
      <c r="H77" s="23">
        <v>0.51</v>
      </c>
      <c r="I77" s="47"/>
      <c r="J77" s="51">
        <v>19255</v>
      </c>
      <c r="K77" s="45"/>
      <c r="L77" s="52">
        <f t="shared" si="54"/>
        <v>1669.99132697311</v>
      </c>
      <c r="M77" s="53">
        <v>11.53</v>
      </c>
      <c r="N77" s="57">
        <v>7.27</v>
      </c>
      <c r="O77" s="47">
        <f t="shared" si="55"/>
        <v>83.8231</v>
      </c>
      <c r="P77" s="49"/>
      <c r="Q77" s="49"/>
      <c r="R77" s="77">
        <f t="shared" si="49"/>
        <v>33.6656146788991</v>
      </c>
      <c r="S77" s="77"/>
      <c r="T77" s="78">
        <f t="shared" si="50"/>
        <v>0.0331082967690467</v>
      </c>
      <c r="U77" s="77"/>
      <c r="V77" s="77"/>
      <c r="W77" s="77">
        <f t="shared" si="48"/>
        <v>33.6987229756681</v>
      </c>
      <c r="X77" s="79">
        <f t="shared" si="51"/>
        <v>0.433939409652972</v>
      </c>
      <c r="Y77" s="79"/>
      <c r="Z77" s="79"/>
      <c r="AA77" s="79">
        <f t="shared" si="44"/>
        <v>0.433939409652972</v>
      </c>
      <c r="AB77" s="91">
        <v>7.27</v>
      </c>
      <c r="AC77" s="77">
        <f t="shared" si="45"/>
        <v>3.1547395081771</v>
      </c>
      <c r="AD77" s="77">
        <f t="shared" si="42"/>
        <v>36.8534624838452</v>
      </c>
      <c r="AE77" s="77">
        <f t="shared" si="46"/>
        <v>46.9696375161548</v>
      </c>
    </row>
    <row r="78" customFormat="1" spans="1:31">
      <c r="A78" s="22"/>
      <c r="B78" s="23"/>
      <c r="C78" s="24">
        <v>241130000018</v>
      </c>
      <c r="D78" s="25">
        <v>45633</v>
      </c>
      <c r="E78" s="25" t="s">
        <v>54</v>
      </c>
      <c r="F78" s="23" t="s">
        <v>55</v>
      </c>
      <c r="G78" s="23" t="s">
        <v>125</v>
      </c>
      <c r="H78" s="23">
        <v>4</v>
      </c>
      <c r="I78" s="43">
        <v>323</v>
      </c>
      <c r="J78" s="44"/>
      <c r="K78" s="45"/>
      <c r="L78" s="23"/>
      <c r="M78" s="45"/>
      <c r="N78" s="57"/>
      <c r="O78" s="47">
        <f t="shared" ref="O78:O81" si="56">SUM(I78)</f>
        <v>323</v>
      </c>
      <c r="P78" s="49"/>
      <c r="Q78" s="49"/>
      <c r="R78" s="77">
        <f t="shared" si="49"/>
        <v>264.044036697248</v>
      </c>
      <c r="S78" s="77"/>
      <c r="T78" s="78">
        <f t="shared" si="50"/>
        <v>0.25967291583566</v>
      </c>
      <c r="U78" s="77"/>
      <c r="V78" s="77"/>
      <c r="W78" s="77">
        <f t="shared" si="48"/>
        <v>264.303709613083</v>
      </c>
      <c r="X78" s="79">
        <f t="shared" si="51"/>
        <v>3.40344635021939</v>
      </c>
      <c r="Y78" s="79"/>
      <c r="Z78" s="79"/>
      <c r="AA78" s="79">
        <f t="shared" si="44"/>
        <v>3.40344635021939</v>
      </c>
      <c r="AB78" s="91">
        <v>7.27</v>
      </c>
      <c r="AC78" s="77">
        <f t="shared" si="45"/>
        <v>24.7430549660949</v>
      </c>
      <c r="AD78" s="77">
        <f t="shared" si="42"/>
        <v>289.046764579178</v>
      </c>
      <c r="AE78" s="77">
        <f t="shared" si="46"/>
        <v>33.9532354208217</v>
      </c>
    </row>
    <row r="79" customFormat="1" spans="1:31">
      <c r="A79" s="22"/>
      <c r="B79" s="23"/>
      <c r="C79" s="24">
        <v>241130000019</v>
      </c>
      <c r="D79" s="25">
        <v>45633</v>
      </c>
      <c r="E79" s="25" t="s">
        <v>54</v>
      </c>
      <c r="F79" s="23" t="s">
        <v>55</v>
      </c>
      <c r="G79" s="23" t="s">
        <v>125</v>
      </c>
      <c r="H79" s="23">
        <v>4</v>
      </c>
      <c r="I79" s="43">
        <v>323</v>
      </c>
      <c r="J79" s="44"/>
      <c r="K79" s="45"/>
      <c r="L79" s="23"/>
      <c r="M79" s="45"/>
      <c r="N79" s="57"/>
      <c r="O79" s="47">
        <f t="shared" si="56"/>
        <v>323</v>
      </c>
      <c r="P79" s="49"/>
      <c r="Q79" s="49"/>
      <c r="R79" s="77">
        <f t="shared" si="49"/>
        <v>264.044036697248</v>
      </c>
      <c r="S79" s="77"/>
      <c r="T79" s="78">
        <f t="shared" si="50"/>
        <v>0.25967291583566</v>
      </c>
      <c r="U79" s="77"/>
      <c r="V79" s="77"/>
      <c r="W79" s="77">
        <f t="shared" si="48"/>
        <v>264.303709613083</v>
      </c>
      <c r="X79" s="79">
        <f t="shared" si="51"/>
        <v>3.40344635021939</v>
      </c>
      <c r="Y79" s="79"/>
      <c r="Z79" s="79"/>
      <c r="AA79" s="79">
        <f t="shared" si="44"/>
        <v>3.40344635021939</v>
      </c>
      <c r="AB79" s="91">
        <v>7.27</v>
      </c>
      <c r="AC79" s="77">
        <f t="shared" si="45"/>
        <v>24.7430549660949</v>
      </c>
      <c r="AD79" s="77">
        <f t="shared" si="42"/>
        <v>289.046764579178</v>
      </c>
      <c r="AE79" s="77">
        <f t="shared" si="46"/>
        <v>33.9532354208217</v>
      </c>
    </row>
    <row r="80" customFormat="1" spans="1:31">
      <c r="A80" s="22"/>
      <c r="B80" s="23"/>
      <c r="C80" s="24">
        <v>241130000020</v>
      </c>
      <c r="D80" s="26">
        <v>45633</v>
      </c>
      <c r="E80" s="25" t="s">
        <v>57</v>
      </c>
      <c r="F80" s="23" t="s">
        <v>58</v>
      </c>
      <c r="G80" s="23" t="s">
        <v>128</v>
      </c>
      <c r="H80" s="23">
        <v>2.5</v>
      </c>
      <c r="I80" s="47"/>
      <c r="J80" s="51">
        <v>47111</v>
      </c>
      <c r="K80" s="45"/>
      <c r="L80" s="52">
        <f t="shared" si="54"/>
        <v>1670.01063452676</v>
      </c>
      <c r="M80" s="53">
        <v>28.21</v>
      </c>
      <c r="N80" s="57">
        <v>7.27</v>
      </c>
      <c r="O80" s="47">
        <f t="shared" si="55"/>
        <v>205.0867</v>
      </c>
      <c r="P80" s="49"/>
      <c r="Q80" s="49"/>
      <c r="R80" s="77">
        <f t="shared" si="49"/>
        <v>165.02752293578</v>
      </c>
      <c r="S80" s="77"/>
      <c r="T80" s="78">
        <f t="shared" si="50"/>
        <v>0.162295572397288</v>
      </c>
      <c r="U80" s="77"/>
      <c r="V80" s="77"/>
      <c r="W80" s="77">
        <f t="shared" si="48"/>
        <v>165.189818508177</v>
      </c>
      <c r="X80" s="79">
        <f t="shared" si="51"/>
        <v>2.12715396888712</v>
      </c>
      <c r="Y80" s="79"/>
      <c r="Z80" s="79"/>
      <c r="AA80" s="79">
        <f t="shared" si="44"/>
        <v>2.12715396888712</v>
      </c>
      <c r="AB80" s="91">
        <v>7.27</v>
      </c>
      <c r="AC80" s="77">
        <f t="shared" si="45"/>
        <v>15.4644093538093</v>
      </c>
      <c r="AD80" s="77">
        <f t="shared" si="42"/>
        <v>180.654227861986</v>
      </c>
      <c r="AE80" s="77">
        <f t="shared" si="46"/>
        <v>24.4324721380136</v>
      </c>
    </row>
    <row r="81" customFormat="1" spans="1:31">
      <c r="A81" s="22"/>
      <c r="B81" s="23"/>
      <c r="C81" s="24">
        <v>241201000003</v>
      </c>
      <c r="D81" s="25">
        <v>45633</v>
      </c>
      <c r="E81" s="25" t="s">
        <v>44</v>
      </c>
      <c r="F81" s="23" t="s">
        <v>45</v>
      </c>
      <c r="G81" s="23" t="s">
        <v>129</v>
      </c>
      <c r="H81" s="23">
        <v>2</v>
      </c>
      <c r="I81" s="43">
        <v>246</v>
      </c>
      <c r="J81" s="44"/>
      <c r="K81" s="45"/>
      <c r="L81" s="23"/>
      <c r="M81" s="45"/>
      <c r="N81" s="57"/>
      <c r="O81" s="47">
        <f t="shared" si="56"/>
        <v>246</v>
      </c>
      <c r="P81" s="49"/>
      <c r="Q81" s="49"/>
      <c r="R81" s="77">
        <f t="shared" si="49"/>
        <v>132.022018348624</v>
      </c>
      <c r="S81" s="77"/>
      <c r="T81" s="78">
        <f t="shared" si="50"/>
        <v>0.12983645791783</v>
      </c>
      <c r="U81" s="77"/>
      <c r="V81" s="77"/>
      <c r="W81" s="77">
        <f t="shared" si="48"/>
        <v>132.151854806542</v>
      </c>
      <c r="X81" s="79">
        <f t="shared" si="51"/>
        <v>1.70172317510969</v>
      </c>
      <c r="Y81" s="79">
        <v>11.41</v>
      </c>
      <c r="Z81" s="79"/>
      <c r="AA81" s="79">
        <f t="shared" si="44"/>
        <v>13.1117231751097</v>
      </c>
      <c r="AB81" s="91">
        <v>7.27</v>
      </c>
      <c r="AC81" s="77">
        <f t="shared" si="45"/>
        <v>95.3222274830475</v>
      </c>
      <c r="AD81" s="77">
        <f t="shared" si="42"/>
        <v>227.474082289589</v>
      </c>
      <c r="AE81" s="77">
        <f t="shared" si="46"/>
        <v>18.5259177104109</v>
      </c>
    </row>
    <row r="82" customFormat="1" ht="14" customHeight="1" spans="1:31">
      <c r="A82" s="22"/>
      <c r="B82" s="23"/>
      <c r="C82" s="24">
        <v>241201000008</v>
      </c>
      <c r="D82" s="25">
        <v>45633</v>
      </c>
      <c r="E82" s="25" t="s">
        <v>44</v>
      </c>
      <c r="F82" s="23" t="s">
        <v>45</v>
      </c>
      <c r="G82" s="23" t="s">
        <v>130</v>
      </c>
      <c r="H82" s="23">
        <v>133</v>
      </c>
      <c r="I82" s="96"/>
      <c r="J82" s="51">
        <v>2484440</v>
      </c>
      <c r="K82" s="45"/>
      <c r="L82" s="52">
        <f t="shared" ref="L82:L87" si="57">SUM(J82/M82)</f>
        <v>1697.55524276754</v>
      </c>
      <c r="M82" s="53">
        <v>1463.54</v>
      </c>
      <c r="N82" s="57">
        <v>7.27</v>
      </c>
      <c r="O82" s="47">
        <f t="shared" ref="O82:O87" si="58">SUM(M82*N82)</f>
        <v>10639.9358</v>
      </c>
      <c r="P82" s="49"/>
      <c r="Q82" s="49"/>
      <c r="R82" s="77">
        <f t="shared" si="49"/>
        <v>8779.46422018348</v>
      </c>
      <c r="S82" s="77"/>
      <c r="T82" s="78">
        <f t="shared" si="50"/>
        <v>8.6341244515357</v>
      </c>
      <c r="U82" s="77"/>
      <c r="V82" s="77"/>
      <c r="W82" s="77">
        <f t="shared" si="48"/>
        <v>8788.09834463502</v>
      </c>
      <c r="X82" s="79">
        <f t="shared" si="51"/>
        <v>113.164591144795</v>
      </c>
      <c r="Y82" s="79"/>
      <c r="Z82" s="79"/>
      <c r="AA82" s="79">
        <f t="shared" si="44"/>
        <v>113.164591144795</v>
      </c>
      <c r="AB82" s="91">
        <v>7.27</v>
      </c>
      <c r="AC82" s="77">
        <f t="shared" si="45"/>
        <v>822.706577622657</v>
      </c>
      <c r="AD82" s="77">
        <f t="shared" si="42"/>
        <v>9610.80492225768</v>
      </c>
      <c r="AE82" s="77">
        <f t="shared" si="46"/>
        <v>1029.13087774232</v>
      </c>
    </row>
    <row r="83" customFormat="1" spans="1:31">
      <c r="A83" s="22"/>
      <c r="B83" s="23"/>
      <c r="C83" s="24">
        <v>241201000009</v>
      </c>
      <c r="D83" s="25">
        <v>45633</v>
      </c>
      <c r="E83" s="25" t="s">
        <v>44</v>
      </c>
      <c r="F83" s="23" t="s">
        <v>45</v>
      </c>
      <c r="G83" s="23" t="s">
        <v>130</v>
      </c>
      <c r="H83" s="23">
        <v>227.5</v>
      </c>
      <c r="I83" s="96"/>
      <c r="J83" s="51">
        <v>4249700</v>
      </c>
      <c r="K83" s="45"/>
      <c r="L83" s="52">
        <f t="shared" si="57"/>
        <v>1697.55096008277</v>
      </c>
      <c r="M83" s="53">
        <v>2503.43</v>
      </c>
      <c r="N83" s="57">
        <v>7.27</v>
      </c>
      <c r="O83" s="47">
        <f t="shared" si="58"/>
        <v>18199.9361</v>
      </c>
      <c r="P83" s="49"/>
      <c r="Q83" s="49"/>
      <c r="R83" s="77">
        <f t="shared" si="49"/>
        <v>15017.504587156</v>
      </c>
      <c r="S83" s="77"/>
      <c r="T83" s="78">
        <f t="shared" si="50"/>
        <v>14.7688970881532</v>
      </c>
      <c r="U83" s="77"/>
      <c r="V83" s="77"/>
      <c r="W83" s="77">
        <f t="shared" si="48"/>
        <v>15032.2734842441</v>
      </c>
      <c r="X83" s="79">
        <f t="shared" si="51"/>
        <v>193.571011168728</v>
      </c>
      <c r="Y83" s="79"/>
      <c r="Z83" s="79"/>
      <c r="AA83" s="79">
        <f t="shared" si="44"/>
        <v>193.571011168728</v>
      </c>
      <c r="AB83" s="91">
        <v>7.27</v>
      </c>
      <c r="AC83" s="77">
        <f t="shared" si="45"/>
        <v>1407.26125119665</v>
      </c>
      <c r="AD83" s="77">
        <f t="shared" si="42"/>
        <v>16439.5347354408</v>
      </c>
      <c r="AE83" s="77">
        <f t="shared" si="46"/>
        <v>1760.40136455923</v>
      </c>
    </row>
    <row r="84" customFormat="1" spans="1:31">
      <c r="A84" s="22"/>
      <c r="B84" s="23"/>
      <c r="C84" s="24">
        <v>241201000010</v>
      </c>
      <c r="D84" s="25">
        <v>45633</v>
      </c>
      <c r="E84" s="25" t="s">
        <v>44</v>
      </c>
      <c r="F84" s="23" t="s">
        <v>45</v>
      </c>
      <c r="G84" s="23" t="s">
        <v>131</v>
      </c>
      <c r="H84" s="23">
        <v>0.57</v>
      </c>
      <c r="I84" s="43">
        <v>83</v>
      </c>
      <c r="J84" s="44"/>
      <c r="K84" s="45"/>
      <c r="L84" s="23"/>
      <c r="M84" s="45"/>
      <c r="N84" s="57"/>
      <c r="O84" s="47">
        <f t="shared" ref="O84:O88" si="59">SUM(I84)</f>
        <v>83</v>
      </c>
      <c r="P84" s="49"/>
      <c r="Q84" s="49"/>
      <c r="R84" s="77">
        <f t="shared" si="49"/>
        <v>37.6262752293578</v>
      </c>
      <c r="S84" s="77"/>
      <c r="T84" s="78">
        <f t="shared" si="50"/>
        <v>0.0370033905065816</v>
      </c>
      <c r="U84" s="77"/>
      <c r="V84" s="77"/>
      <c r="W84" s="77">
        <f t="shared" si="48"/>
        <v>37.6632786198644</v>
      </c>
      <c r="X84" s="79">
        <f t="shared" si="51"/>
        <v>0.484991104906262</v>
      </c>
      <c r="Y84" s="79"/>
      <c r="Z84" s="79"/>
      <c r="AA84" s="79">
        <f t="shared" si="44"/>
        <v>0.484991104906262</v>
      </c>
      <c r="AB84" s="91">
        <v>7.27</v>
      </c>
      <c r="AC84" s="77">
        <f t="shared" si="45"/>
        <v>3.52588533266853</v>
      </c>
      <c r="AD84" s="77">
        <f t="shared" si="42"/>
        <v>41.1891639525329</v>
      </c>
      <c r="AE84" s="77">
        <f t="shared" si="46"/>
        <v>41.8108360474671</v>
      </c>
    </row>
    <row r="85" customFormat="1" spans="1:31">
      <c r="A85" s="22"/>
      <c r="B85" s="23"/>
      <c r="C85" s="24">
        <v>241201000013</v>
      </c>
      <c r="D85" s="25">
        <v>45633</v>
      </c>
      <c r="E85" s="25" t="s">
        <v>54</v>
      </c>
      <c r="F85" s="23" t="s">
        <v>55</v>
      </c>
      <c r="G85" s="23" t="s">
        <v>125</v>
      </c>
      <c r="H85" s="23">
        <v>5.5</v>
      </c>
      <c r="I85" s="43">
        <v>443</v>
      </c>
      <c r="J85" s="44"/>
      <c r="K85" s="45"/>
      <c r="L85" s="23"/>
      <c r="M85" s="45"/>
      <c r="N85" s="57"/>
      <c r="O85" s="47">
        <f t="shared" si="59"/>
        <v>443</v>
      </c>
      <c r="P85" s="49"/>
      <c r="Q85" s="49"/>
      <c r="R85" s="77">
        <f t="shared" si="49"/>
        <v>363.060550458716</v>
      </c>
      <c r="S85" s="77"/>
      <c r="T85" s="78">
        <f t="shared" si="50"/>
        <v>0.357050259274033</v>
      </c>
      <c r="U85" s="77"/>
      <c r="V85" s="77"/>
      <c r="W85" s="77">
        <f t="shared" si="48"/>
        <v>363.41760071799</v>
      </c>
      <c r="X85" s="79">
        <f t="shared" si="51"/>
        <v>4.67973873155166</v>
      </c>
      <c r="Y85" s="79"/>
      <c r="Z85" s="79"/>
      <c r="AA85" s="79">
        <f t="shared" si="44"/>
        <v>4.67973873155166</v>
      </c>
      <c r="AB85" s="91">
        <v>7.27</v>
      </c>
      <c r="AC85" s="77">
        <f t="shared" si="45"/>
        <v>34.0217005783805</v>
      </c>
      <c r="AD85" s="77">
        <f t="shared" si="42"/>
        <v>397.43930129637</v>
      </c>
      <c r="AE85" s="77">
        <f t="shared" si="46"/>
        <v>45.5606987036298</v>
      </c>
    </row>
    <row r="86" customFormat="1" spans="1:31">
      <c r="A86" s="22"/>
      <c r="B86" s="23"/>
      <c r="C86" s="24">
        <v>241201000014</v>
      </c>
      <c r="D86" s="25">
        <v>45633</v>
      </c>
      <c r="E86" s="25" t="s">
        <v>41</v>
      </c>
      <c r="F86" s="23" t="s">
        <v>42</v>
      </c>
      <c r="G86" s="23" t="s">
        <v>132</v>
      </c>
      <c r="H86" s="23">
        <v>14.5</v>
      </c>
      <c r="I86" s="50"/>
      <c r="J86" s="51">
        <v>280830</v>
      </c>
      <c r="K86" s="45"/>
      <c r="L86" s="52">
        <f t="shared" si="57"/>
        <v>1672.10479309318</v>
      </c>
      <c r="M86" s="53">
        <v>167.95</v>
      </c>
      <c r="N86" s="57">
        <v>7.27</v>
      </c>
      <c r="O86" s="47">
        <f t="shared" si="58"/>
        <v>1220.9965</v>
      </c>
      <c r="P86" s="49"/>
      <c r="Q86" s="49"/>
      <c r="R86" s="77">
        <f t="shared" si="49"/>
        <v>957.159633027523</v>
      </c>
      <c r="S86" s="77"/>
      <c r="T86" s="78">
        <f t="shared" si="50"/>
        <v>0.941314319904268</v>
      </c>
      <c r="U86" s="77"/>
      <c r="V86" s="77"/>
      <c r="W86" s="77">
        <f t="shared" si="48"/>
        <v>958.100947347427</v>
      </c>
      <c r="X86" s="79">
        <f t="shared" si="51"/>
        <v>12.3374930195453</v>
      </c>
      <c r="Y86" s="79"/>
      <c r="Z86" s="79"/>
      <c r="AA86" s="79">
        <f t="shared" si="44"/>
        <v>12.3374930195453</v>
      </c>
      <c r="AB86" s="91">
        <v>7.27</v>
      </c>
      <c r="AC86" s="77">
        <f t="shared" si="45"/>
        <v>89.6935742520941</v>
      </c>
      <c r="AD86" s="77">
        <f t="shared" si="42"/>
        <v>1047.79452159952</v>
      </c>
      <c r="AE86" s="77">
        <f t="shared" si="46"/>
        <v>173.201978400479</v>
      </c>
    </row>
    <row r="87" customFormat="1" spans="1:31">
      <c r="A87" s="22"/>
      <c r="B87" s="23"/>
      <c r="C87" s="92">
        <v>241201000015</v>
      </c>
      <c r="D87" s="93">
        <v>45633</v>
      </c>
      <c r="E87" s="94" t="s">
        <v>133</v>
      </c>
      <c r="F87" s="95"/>
      <c r="G87" s="95" t="s">
        <v>134</v>
      </c>
      <c r="H87" s="95">
        <v>0.4</v>
      </c>
      <c r="I87" s="50"/>
      <c r="J87" s="52">
        <v>19250</v>
      </c>
      <c r="K87" s="97"/>
      <c r="L87" s="52">
        <f t="shared" si="57"/>
        <v>1669.55767562879</v>
      </c>
      <c r="M87" s="98">
        <v>11.53</v>
      </c>
      <c r="N87" s="57">
        <v>7.27</v>
      </c>
      <c r="O87" s="47">
        <f t="shared" si="58"/>
        <v>83.8231</v>
      </c>
      <c r="P87" s="49"/>
      <c r="Q87" s="49"/>
      <c r="R87" s="77">
        <f t="shared" si="49"/>
        <v>26.4044036697248</v>
      </c>
      <c r="S87" s="77"/>
      <c r="T87" s="78">
        <f t="shared" si="50"/>
        <v>0.025967291583566</v>
      </c>
      <c r="U87" s="77"/>
      <c r="V87" s="77"/>
      <c r="W87" s="77">
        <f t="shared" si="48"/>
        <v>26.4303709613083</v>
      </c>
      <c r="X87" s="79">
        <f t="shared" si="51"/>
        <v>0.340344635021939</v>
      </c>
      <c r="Y87" s="79"/>
      <c r="Z87" s="79"/>
      <c r="AA87" s="79">
        <f t="shared" si="44"/>
        <v>0.340344635021939</v>
      </c>
      <c r="AB87" s="91">
        <v>7.27</v>
      </c>
      <c r="AC87" s="77">
        <f t="shared" si="45"/>
        <v>2.47430549660949</v>
      </c>
      <c r="AD87" s="77">
        <f t="shared" si="42"/>
        <v>28.9046764579178</v>
      </c>
      <c r="AE87" s="77">
        <f t="shared" si="46"/>
        <v>54.9184235420822</v>
      </c>
    </row>
    <row r="88" customFormat="1" spans="1:31">
      <c r="A88" s="22"/>
      <c r="B88" s="23"/>
      <c r="C88" s="24">
        <v>241202000003</v>
      </c>
      <c r="D88" s="25">
        <v>45633</v>
      </c>
      <c r="E88" s="25" t="s">
        <v>37</v>
      </c>
      <c r="F88" s="23" t="s">
        <v>38</v>
      </c>
      <c r="G88" s="23" t="s">
        <v>51</v>
      </c>
      <c r="H88" s="23">
        <v>14</v>
      </c>
      <c r="I88" s="43">
        <v>1084</v>
      </c>
      <c r="J88" s="44"/>
      <c r="K88" s="45"/>
      <c r="L88" s="23"/>
      <c r="M88" s="45"/>
      <c r="N88" s="57"/>
      <c r="O88" s="47">
        <f t="shared" si="59"/>
        <v>1084</v>
      </c>
      <c r="P88" s="49"/>
      <c r="Q88" s="49"/>
      <c r="R88" s="77">
        <f t="shared" si="49"/>
        <v>924.154128440367</v>
      </c>
      <c r="S88" s="77"/>
      <c r="T88" s="78">
        <f t="shared" si="50"/>
        <v>0.908855205424811</v>
      </c>
      <c r="U88" s="77"/>
      <c r="V88" s="77"/>
      <c r="W88" s="77">
        <f t="shared" si="48"/>
        <v>925.062983645792</v>
      </c>
      <c r="X88" s="79">
        <f t="shared" si="51"/>
        <v>11.9120622257679</v>
      </c>
      <c r="Y88" s="79"/>
      <c r="Z88" s="79"/>
      <c r="AA88" s="79">
        <f t="shared" si="44"/>
        <v>11.9120622257679</v>
      </c>
      <c r="AB88" s="91">
        <v>7.27</v>
      </c>
      <c r="AC88" s="77">
        <f t="shared" si="45"/>
        <v>86.6006923813323</v>
      </c>
      <c r="AD88" s="77">
        <f t="shared" si="42"/>
        <v>1011.66367602712</v>
      </c>
      <c r="AE88" s="77">
        <f t="shared" si="46"/>
        <v>72.336323972876</v>
      </c>
    </row>
    <row r="89" customFormat="1" spans="1:31">
      <c r="A89" s="22"/>
      <c r="B89" s="23"/>
      <c r="C89" s="24">
        <v>241202000006</v>
      </c>
      <c r="D89" s="25">
        <v>45633</v>
      </c>
      <c r="E89" s="25" t="s">
        <v>44</v>
      </c>
      <c r="F89" s="23" t="s">
        <v>45</v>
      </c>
      <c r="G89" s="23" t="s">
        <v>135</v>
      </c>
      <c r="H89" s="23">
        <v>37</v>
      </c>
      <c r="I89" s="50"/>
      <c r="J89" s="51">
        <v>643800</v>
      </c>
      <c r="K89" s="45"/>
      <c r="L89" s="52">
        <f t="shared" ref="L89:L94" si="60">SUM(J89/M89)</f>
        <v>1686.66492009431</v>
      </c>
      <c r="M89" s="53">
        <v>381.7</v>
      </c>
      <c r="N89" s="57">
        <v>7.27</v>
      </c>
      <c r="O89" s="47">
        <f t="shared" ref="O89:O94" si="61">SUM(M89*N89)</f>
        <v>2774.959</v>
      </c>
      <c r="P89" s="49"/>
      <c r="Q89" s="49"/>
      <c r="R89" s="77">
        <f t="shared" si="49"/>
        <v>2442.40733944954</v>
      </c>
      <c r="S89" s="77"/>
      <c r="T89" s="78">
        <f t="shared" si="50"/>
        <v>2.40197447147986</v>
      </c>
      <c r="U89" s="77"/>
      <c r="V89" s="77"/>
      <c r="W89" s="77">
        <f t="shared" si="48"/>
        <v>2444.80931392102</v>
      </c>
      <c r="X89" s="79">
        <f t="shared" si="51"/>
        <v>31.4818787395293</v>
      </c>
      <c r="Y89" s="79"/>
      <c r="Z89" s="79"/>
      <c r="AA89" s="79">
        <f t="shared" si="44"/>
        <v>31.4818787395293</v>
      </c>
      <c r="AB89" s="91">
        <v>7.27</v>
      </c>
      <c r="AC89" s="77">
        <f t="shared" si="45"/>
        <v>228.873258436378</v>
      </c>
      <c r="AD89" s="77">
        <f t="shared" si="42"/>
        <v>2673.6825723574</v>
      </c>
      <c r="AE89" s="77">
        <f t="shared" si="46"/>
        <v>101.276427642601</v>
      </c>
    </row>
    <row r="90" customFormat="1" spans="1:31">
      <c r="A90" s="22"/>
      <c r="B90" s="23"/>
      <c r="C90" s="24">
        <v>241202000009</v>
      </c>
      <c r="D90" s="25">
        <v>45633</v>
      </c>
      <c r="E90" s="25" t="s">
        <v>61</v>
      </c>
      <c r="F90" s="23" t="s">
        <v>62</v>
      </c>
      <c r="G90" s="23" t="s">
        <v>123</v>
      </c>
      <c r="H90" s="23">
        <v>73</v>
      </c>
      <c r="I90" s="43">
        <v>5475</v>
      </c>
      <c r="J90" s="44"/>
      <c r="K90" s="45"/>
      <c r="L90" s="23"/>
      <c r="M90" s="45"/>
      <c r="N90" s="57"/>
      <c r="O90" s="47">
        <f t="shared" ref="O90:O98" si="62">SUM(I90)</f>
        <v>5475</v>
      </c>
      <c r="P90" s="49"/>
      <c r="Q90" s="49"/>
      <c r="R90" s="77">
        <f t="shared" si="49"/>
        <v>4818.80366972477</v>
      </c>
      <c r="S90" s="77"/>
      <c r="T90" s="78">
        <f t="shared" si="50"/>
        <v>4.7390307140008</v>
      </c>
      <c r="U90" s="77"/>
      <c r="V90" s="77"/>
      <c r="W90" s="77">
        <f t="shared" si="48"/>
        <v>4823.54270043877</v>
      </c>
      <c r="X90" s="79">
        <f t="shared" si="51"/>
        <v>62.1128958915038</v>
      </c>
      <c r="Y90" s="79"/>
      <c r="Z90" s="79"/>
      <c r="AA90" s="79">
        <f t="shared" si="44"/>
        <v>62.1128958915038</v>
      </c>
      <c r="AB90" s="91">
        <v>7.27</v>
      </c>
      <c r="AC90" s="77">
        <f t="shared" si="45"/>
        <v>451.560753131233</v>
      </c>
      <c r="AD90" s="77">
        <f t="shared" si="42"/>
        <v>5275.10345357</v>
      </c>
      <c r="AE90" s="77">
        <f t="shared" si="46"/>
        <v>199.896546429996</v>
      </c>
    </row>
    <row r="91" customFormat="1" spans="1:31">
      <c r="A91" s="22"/>
      <c r="B91" s="23"/>
      <c r="C91" s="24">
        <v>241202000018</v>
      </c>
      <c r="D91" s="25">
        <v>45633</v>
      </c>
      <c r="E91" s="25" t="s">
        <v>54</v>
      </c>
      <c r="F91" s="23" t="s">
        <v>55</v>
      </c>
      <c r="G91" s="23" t="s">
        <v>136</v>
      </c>
      <c r="H91" s="23">
        <v>6</v>
      </c>
      <c r="I91" s="47"/>
      <c r="J91" s="51">
        <v>108600</v>
      </c>
      <c r="K91" s="45"/>
      <c r="L91" s="52">
        <f>SUM(J91/M91)</f>
        <v>1669.99846224819</v>
      </c>
      <c r="M91" s="53">
        <v>65.03</v>
      </c>
      <c r="N91" s="57">
        <v>7.27</v>
      </c>
      <c r="O91" s="47">
        <f t="shared" si="61"/>
        <v>472.7681</v>
      </c>
      <c r="P91" s="49"/>
      <c r="Q91" s="49"/>
      <c r="R91" s="77">
        <f t="shared" si="49"/>
        <v>396.066055045872</v>
      </c>
      <c r="S91" s="77"/>
      <c r="T91" s="78">
        <f t="shared" si="50"/>
        <v>0.38950937375349</v>
      </c>
      <c r="U91" s="77"/>
      <c r="V91" s="77"/>
      <c r="W91" s="77">
        <f t="shared" si="48"/>
        <v>396.455564419625</v>
      </c>
      <c r="X91" s="79">
        <f t="shared" si="51"/>
        <v>5.10516952532908</v>
      </c>
      <c r="Y91" s="79"/>
      <c r="Z91" s="79"/>
      <c r="AA91" s="79">
        <f t="shared" si="44"/>
        <v>5.10516952532908</v>
      </c>
      <c r="AB91" s="91">
        <v>7.27</v>
      </c>
      <c r="AC91" s="77">
        <f t="shared" si="45"/>
        <v>37.1145824491424</v>
      </c>
      <c r="AD91" s="77">
        <f t="shared" si="42"/>
        <v>433.570146868767</v>
      </c>
      <c r="AE91" s="77">
        <f t="shared" si="46"/>
        <v>39.1979531312326</v>
      </c>
    </row>
    <row r="92" customFormat="1" spans="1:31">
      <c r="A92" s="22"/>
      <c r="B92" s="23"/>
      <c r="C92" s="24">
        <v>241202000022</v>
      </c>
      <c r="D92" s="25">
        <v>45633</v>
      </c>
      <c r="E92" s="25" t="s">
        <v>61</v>
      </c>
      <c r="F92" s="23" t="s">
        <v>62</v>
      </c>
      <c r="G92" s="23" t="s">
        <v>137</v>
      </c>
      <c r="H92" s="23">
        <v>10</v>
      </c>
      <c r="I92" s="43">
        <v>776</v>
      </c>
      <c r="J92" s="44"/>
      <c r="K92" s="45"/>
      <c r="L92" s="23"/>
      <c r="M92" s="45"/>
      <c r="N92" s="57"/>
      <c r="O92" s="47">
        <f t="shared" si="62"/>
        <v>776</v>
      </c>
      <c r="P92" s="49"/>
      <c r="Q92" s="49"/>
      <c r="R92" s="77">
        <f t="shared" si="49"/>
        <v>660.110091743119</v>
      </c>
      <c r="S92" s="77"/>
      <c r="T92" s="78">
        <f t="shared" si="50"/>
        <v>0.64918228958915</v>
      </c>
      <c r="U92" s="77"/>
      <c r="V92" s="77"/>
      <c r="W92" s="77">
        <f t="shared" si="48"/>
        <v>660.759274032708</v>
      </c>
      <c r="X92" s="79">
        <f t="shared" si="51"/>
        <v>8.50861587554846</v>
      </c>
      <c r="Y92" s="79"/>
      <c r="Z92" s="79"/>
      <c r="AA92" s="79">
        <f t="shared" si="44"/>
        <v>8.50861587554846</v>
      </c>
      <c r="AB92" s="91">
        <v>7.27</v>
      </c>
      <c r="AC92" s="77">
        <f t="shared" si="45"/>
        <v>61.8576374152373</v>
      </c>
      <c r="AD92" s="77">
        <f t="shared" si="42"/>
        <v>722.616911447946</v>
      </c>
      <c r="AE92" s="77">
        <f t="shared" si="46"/>
        <v>53.3830885520542</v>
      </c>
    </row>
    <row r="93" customFormat="1" spans="1:31">
      <c r="A93" s="22"/>
      <c r="B93" s="23"/>
      <c r="C93" s="24">
        <v>241202000027</v>
      </c>
      <c r="D93" s="26">
        <v>45633</v>
      </c>
      <c r="E93" s="25" t="s">
        <v>70</v>
      </c>
      <c r="F93" s="23" t="s">
        <v>70</v>
      </c>
      <c r="G93" s="23" t="s">
        <v>138</v>
      </c>
      <c r="H93" s="23">
        <v>203.5</v>
      </c>
      <c r="I93" s="47"/>
      <c r="J93" s="51">
        <v>3652239.9</v>
      </c>
      <c r="K93" s="45"/>
      <c r="L93" s="52">
        <f t="shared" si="60"/>
        <v>1670</v>
      </c>
      <c r="M93" s="53">
        <v>2186.97</v>
      </c>
      <c r="N93" s="57">
        <v>7.27</v>
      </c>
      <c r="O93" s="47">
        <f t="shared" si="61"/>
        <v>15899.2719</v>
      </c>
      <c r="P93" s="49"/>
      <c r="Q93" s="49"/>
      <c r="R93" s="77">
        <f t="shared" si="49"/>
        <v>13433.2403669725</v>
      </c>
      <c r="S93" s="77"/>
      <c r="T93" s="78">
        <f t="shared" si="50"/>
        <v>13.2108595931392</v>
      </c>
      <c r="U93" s="77"/>
      <c r="V93" s="77"/>
      <c r="W93" s="77">
        <f t="shared" si="48"/>
        <v>13446.4512265656</v>
      </c>
      <c r="X93" s="79">
        <f t="shared" si="51"/>
        <v>173.150333067411</v>
      </c>
      <c r="Y93" s="79"/>
      <c r="Z93" s="79"/>
      <c r="AA93" s="79">
        <f t="shared" si="44"/>
        <v>173.150333067411</v>
      </c>
      <c r="AB93" s="91">
        <v>7.27</v>
      </c>
      <c r="AC93" s="77">
        <f t="shared" si="45"/>
        <v>1258.80292140008</v>
      </c>
      <c r="AD93" s="77">
        <f t="shared" si="42"/>
        <v>14705.2541479657</v>
      </c>
      <c r="AE93" s="77">
        <f t="shared" si="46"/>
        <v>1194.01775203431</v>
      </c>
    </row>
    <row r="94" customFormat="1" spans="1:31">
      <c r="A94" s="22"/>
      <c r="B94" s="23"/>
      <c r="C94" s="24">
        <v>241202000028</v>
      </c>
      <c r="D94" s="25">
        <v>45633</v>
      </c>
      <c r="E94" s="25" t="s">
        <v>44</v>
      </c>
      <c r="F94" s="23" t="s">
        <v>45</v>
      </c>
      <c r="G94" s="23" t="s">
        <v>139</v>
      </c>
      <c r="H94" s="23">
        <v>23.5</v>
      </c>
      <c r="I94" s="50"/>
      <c r="J94" s="51">
        <v>468400</v>
      </c>
      <c r="K94" s="45"/>
      <c r="L94" s="52">
        <f t="shared" si="60"/>
        <v>1780.58237664411</v>
      </c>
      <c r="M94" s="53">
        <v>263.06</v>
      </c>
      <c r="N94" s="57">
        <v>7.27</v>
      </c>
      <c r="O94" s="47">
        <f t="shared" si="61"/>
        <v>1912.4462</v>
      </c>
      <c r="P94" s="49"/>
      <c r="Q94" s="49"/>
      <c r="R94" s="77">
        <f t="shared" si="49"/>
        <v>1551.25871559633</v>
      </c>
      <c r="S94" s="77"/>
      <c r="T94" s="78">
        <f t="shared" si="50"/>
        <v>1.5255783805345</v>
      </c>
      <c r="U94" s="77"/>
      <c r="V94" s="78">
        <v>150</v>
      </c>
      <c r="W94" s="77">
        <f t="shared" si="48"/>
        <v>1702.78429397686</v>
      </c>
      <c r="X94" s="79">
        <f t="shared" si="51"/>
        <v>19.9952473075389</v>
      </c>
      <c r="Y94" s="79"/>
      <c r="Z94" s="79"/>
      <c r="AA94" s="79">
        <f t="shared" si="44"/>
        <v>19.9952473075389</v>
      </c>
      <c r="AB94" s="91">
        <v>7.27</v>
      </c>
      <c r="AC94" s="77">
        <f t="shared" si="45"/>
        <v>145.365447925808</v>
      </c>
      <c r="AD94" s="77">
        <f t="shared" ref="AD94:AD133" si="63">SUM(W94+AC94)</f>
        <v>1848.14974190267</v>
      </c>
      <c r="AE94" s="77">
        <f t="shared" si="46"/>
        <v>64.2964580973278</v>
      </c>
    </row>
    <row r="95" customFormat="1" spans="1:31">
      <c r="A95" s="22"/>
      <c r="B95" s="23"/>
      <c r="C95" s="24">
        <v>241202000035</v>
      </c>
      <c r="D95" s="25">
        <v>45633</v>
      </c>
      <c r="E95" s="25" t="s">
        <v>61</v>
      </c>
      <c r="F95" s="23" t="s">
        <v>62</v>
      </c>
      <c r="G95" s="23" t="s">
        <v>140</v>
      </c>
      <c r="H95" s="23">
        <v>226.5</v>
      </c>
      <c r="I95" s="43">
        <v>20590</v>
      </c>
      <c r="J95" s="44"/>
      <c r="K95" s="45"/>
      <c r="L95" s="23"/>
      <c r="M95" s="45"/>
      <c r="N95" s="57"/>
      <c r="O95" s="47">
        <f t="shared" si="62"/>
        <v>20590</v>
      </c>
      <c r="P95" s="49"/>
      <c r="Q95" s="49"/>
      <c r="R95" s="77">
        <f t="shared" si="49"/>
        <v>14951.4935779816</v>
      </c>
      <c r="S95" s="77"/>
      <c r="T95" s="78">
        <f t="shared" si="50"/>
        <v>14.7039788591943</v>
      </c>
      <c r="U95" s="78">
        <v>350</v>
      </c>
      <c r="V95" s="77"/>
      <c r="W95" s="77">
        <f t="shared" si="48"/>
        <v>15316.1975568408</v>
      </c>
      <c r="X95" s="79">
        <f t="shared" si="51"/>
        <v>192.720149581173</v>
      </c>
      <c r="Y95" s="79"/>
      <c r="Z95" s="79"/>
      <c r="AA95" s="79">
        <f t="shared" ref="AA95:AA134" si="64">SUM(X95:Z95)</f>
        <v>192.720149581173</v>
      </c>
      <c r="AB95" s="91">
        <v>7.27</v>
      </c>
      <c r="AC95" s="77">
        <f t="shared" ref="AC95:AC134" si="65">SUM(AA95*AB95)</f>
        <v>1401.07548745513</v>
      </c>
      <c r="AD95" s="77">
        <f t="shared" si="63"/>
        <v>16717.273044296</v>
      </c>
      <c r="AE95" s="77">
        <f t="shared" ref="AE95:AE133" si="66">SUM(O95-AD95)</f>
        <v>3872.72695570403</v>
      </c>
    </row>
    <row r="96" customFormat="1" spans="1:31">
      <c r="A96" s="22"/>
      <c r="B96" s="23"/>
      <c r="C96" s="24">
        <v>241202000037</v>
      </c>
      <c r="D96" s="25">
        <v>45633</v>
      </c>
      <c r="E96" s="25" t="s">
        <v>44</v>
      </c>
      <c r="F96" s="23" t="s">
        <v>45</v>
      </c>
      <c r="G96" s="23" t="s">
        <v>141</v>
      </c>
      <c r="H96" s="23">
        <v>16</v>
      </c>
      <c r="I96" s="43">
        <v>1462.5</v>
      </c>
      <c r="J96" s="44"/>
      <c r="K96" s="45"/>
      <c r="L96" s="23"/>
      <c r="M96" s="45"/>
      <c r="N96" s="57"/>
      <c r="O96" s="47">
        <f t="shared" si="62"/>
        <v>1462.5</v>
      </c>
      <c r="P96" s="49"/>
      <c r="Q96" s="49"/>
      <c r="R96" s="77">
        <f t="shared" si="49"/>
        <v>1056.17614678899</v>
      </c>
      <c r="S96" s="77"/>
      <c r="T96" s="78">
        <f t="shared" si="50"/>
        <v>1.03869166334264</v>
      </c>
      <c r="U96" s="77"/>
      <c r="V96" s="77"/>
      <c r="W96" s="77">
        <f t="shared" ref="W96:W134" si="67">SUM(R96:V96)</f>
        <v>1057.21483845233</v>
      </c>
      <c r="X96" s="79">
        <f t="shared" si="51"/>
        <v>13.6137854008775</v>
      </c>
      <c r="Y96" s="79"/>
      <c r="Z96" s="79"/>
      <c r="AA96" s="79">
        <f t="shared" si="64"/>
        <v>13.6137854008775</v>
      </c>
      <c r="AB96" s="91">
        <v>7.27</v>
      </c>
      <c r="AC96" s="77">
        <f t="shared" si="65"/>
        <v>98.9722198643797</v>
      </c>
      <c r="AD96" s="77">
        <f t="shared" si="63"/>
        <v>1156.18705831671</v>
      </c>
      <c r="AE96" s="77">
        <f t="shared" si="66"/>
        <v>306.312941683287</v>
      </c>
    </row>
    <row r="97" customFormat="1" spans="1:31">
      <c r="A97" s="22"/>
      <c r="B97" s="23"/>
      <c r="C97" s="24">
        <v>241202000038</v>
      </c>
      <c r="D97" s="25">
        <v>45633</v>
      </c>
      <c r="E97" s="25" t="s">
        <v>61</v>
      </c>
      <c r="F97" s="23" t="s">
        <v>62</v>
      </c>
      <c r="G97" s="23" t="s">
        <v>142</v>
      </c>
      <c r="H97" s="23">
        <v>4</v>
      </c>
      <c r="I97" s="43">
        <v>545</v>
      </c>
      <c r="J97" s="44"/>
      <c r="K97" s="45"/>
      <c r="L97" s="23"/>
      <c r="M97" s="45"/>
      <c r="N97" s="57"/>
      <c r="O97" s="47">
        <f t="shared" si="62"/>
        <v>545</v>
      </c>
      <c r="P97" s="49"/>
      <c r="Q97" s="49"/>
      <c r="R97" s="77">
        <f t="shared" ref="R97:R134" si="68">SUM(165489.6/2507)*H97</f>
        <v>264.044036697248</v>
      </c>
      <c r="S97" s="77"/>
      <c r="T97" s="78">
        <f t="shared" ref="T97:T134" si="69">SUM(162.75/2507)*H97</f>
        <v>0.25967291583566</v>
      </c>
      <c r="U97" s="77"/>
      <c r="V97" s="77"/>
      <c r="W97" s="77">
        <f t="shared" si="67"/>
        <v>264.303709613083</v>
      </c>
      <c r="X97" s="79">
        <f t="shared" ref="X97:X134" si="70">SUM(2133.11/2507)*H97</f>
        <v>3.40344635021939</v>
      </c>
      <c r="Y97" s="79"/>
      <c r="Z97" s="79"/>
      <c r="AA97" s="79">
        <f t="shared" si="64"/>
        <v>3.40344635021939</v>
      </c>
      <c r="AB97" s="91">
        <v>7.27</v>
      </c>
      <c r="AC97" s="77">
        <f t="shared" si="65"/>
        <v>24.7430549660949</v>
      </c>
      <c r="AD97" s="77">
        <f t="shared" si="63"/>
        <v>289.046764579178</v>
      </c>
      <c r="AE97" s="77">
        <f t="shared" si="66"/>
        <v>255.953235420822</v>
      </c>
    </row>
    <row r="98" customFormat="1" spans="1:31">
      <c r="A98" s="22"/>
      <c r="B98" s="23"/>
      <c r="C98" s="24">
        <v>241202000046</v>
      </c>
      <c r="D98" s="26">
        <v>45633</v>
      </c>
      <c r="E98" s="25" t="s">
        <v>143</v>
      </c>
      <c r="F98" s="23" t="s">
        <v>144</v>
      </c>
      <c r="G98" s="23" t="s">
        <v>145</v>
      </c>
      <c r="H98" s="23">
        <v>2.5</v>
      </c>
      <c r="I98" s="43">
        <v>203</v>
      </c>
      <c r="J98" s="44"/>
      <c r="K98" s="45"/>
      <c r="L98" s="23"/>
      <c r="M98" s="45"/>
      <c r="N98" s="57"/>
      <c r="O98" s="47">
        <f t="shared" si="62"/>
        <v>203</v>
      </c>
      <c r="P98" s="49"/>
      <c r="Q98" s="49"/>
      <c r="R98" s="77">
        <f t="shared" si="68"/>
        <v>165.02752293578</v>
      </c>
      <c r="S98" s="77"/>
      <c r="T98" s="78">
        <f t="shared" si="69"/>
        <v>0.162295572397288</v>
      </c>
      <c r="U98" s="77"/>
      <c r="V98" s="77"/>
      <c r="W98" s="77">
        <f t="shared" si="67"/>
        <v>165.189818508177</v>
      </c>
      <c r="X98" s="79">
        <f t="shared" si="70"/>
        <v>2.12715396888712</v>
      </c>
      <c r="Y98" s="79"/>
      <c r="Z98" s="79"/>
      <c r="AA98" s="79">
        <f t="shared" si="64"/>
        <v>2.12715396888712</v>
      </c>
      <c r="AB98" s="91">
        <v>7.27</v>
      </c>
      <c r="AC98" s="77">
        <f t="shared" si="65"/>
        <v>15.4644093538093</v>
      </c>
      <c r="AD98" s="77">
        <f t="shared" si="63"/>
        <v>180.654227861986</v>
      </c>
      <c r="AE98" s="77">
        <f t="shared" si="66"/>
        <v>22.3457721380136</v>
      </c>
    </row>
    <row r="99" customFormat="1" spans="1:31">
      <c r="A99" s="22"/>
      <c r="B99" s="23"/>
      <c r="C99" s="24">
        <v>241202000047</v>
      </c>
      <c r="D99" s="25">
        <v>45633</v>
      </c>
      <c r="E99" s="25" t="s">
        <v>44</v>
      </c>
      <c r="F99" s="23" t="s">
        <v>45</v>
      </c>
      <c r="G99" s="23" t="s">
        <v>146</v>
      </c>
      <c r="H99" s="23">
        <v>154</v>
      </c>
      <c r="I99" s="50"/>
      <c r="J99" s="51">
        <v>2603370</v>
      </c>
      <c r="K99" s="45"/>
      <c r="L99" s="52">
        <f>SUM(J99/M99)</f>
        <v>1672.10682492582</v>
      </c>
      <c r="M99" s="53">
        <v>1556.94</v>
      </c>
      <c r="N99" s="57">
        <v>7.27</v>
      </c>
      <c r="O99" s="47">
        <f t="shared" ref="O99:O102" si="71">SUM(M99*N99)</f>
        <v>11318.9538</v>
      </c>
      <c r="P99" s="49"/>
      <c r="Q99" s="49"/>
      <c r="R99" s="77">
        <f t="shared" si="68"/>
        <v>10165.695412844</v>
      </c>
      <c r="S99" s="77"/>
      <c r="T99" s="78">
        <f t="shared" si="69"/>
        <v>9.99740725967292</v>
      </c>
      <c r="U99" s="77"/>
      <c r="V99" s="77"/>
      <c r="W99" s="77">
        <f t="shared" si="67"/>
        <v>10175.6928201037</v>
      </c>
      <c r="X99" s="79">
        <f t="shared" si="70"/>
        <v>131.032684483446</v>
      </c>
      <c r="Y99" s="79"/>
      <c r="Z99" s="79"/>
      <c r="AA99" s="79">
        <f t="shared" si="64"/>
        <v>131.032684483446</v>
      </c>
      <c r="AB99" s="91">
        <v>7.27</v>
      </c>
      <c r="AC99" s="77">
        <f t="shared" si="65"/>
        <v>952.607616194655</v>
      </c>
      <c r="AD99" s="77">
        <f t="shared" si="63"/>
        <v>11128.3004362984</v>
      </c>
      <c r="AE99" s="77">
        <f t="shared" si="66"/>
        <v>190.653363701636</v>
      </c>
    </row>
    <row r="100" customFormat="1" spans="1:31">
      <c r="A100" s="22"/>
      <c r="B100" s="23"/>
      <c r="C100" s="24">
        <v>241202000048</v>
      </c>
      <c r="D100" s="26">
        <v>45633</v>
      </c>
      <c r="E100" s="25" t="s">
        <v>133</v>
      </c>
      <c r="F100" s="23" t="s">
        <v>147</v>
      </c>
      <c r="G100" s="23" t="s">
        <v>148</v>
      </c>
      <c r="H100" s="23">
        <v>5.5</v>
      </c>
      <c r="I100" s="47"/>
      <c r="J100" s="51">
        <v>100482</v>
      </c>
      <c r="K100" s="45"/>
      <c r="L100" s="52">
        <f>SUM(J100/M100)</f>
        <v>1631.99610199773</v>
      </c>
      <c r="M100" s="53">
        <v>61.57</v>
      </c>
      <c r="N100" s="57">
        <v>7.27</v>
      </c>
      <c r="O100" s="47">
        <f t="shared" si="71"/>
        <v>447.6139</v>
      </c>
      <c r="P100" s="49"/>
      <c r="Q100" s="49"/>
      <c r="R100" s="77">
        <f t="shared" si="68"/>
        <v>363.060550458716</v>
      </c>
      <c r="S100" s="77"/>
      <c r="T100" s="78">
        <f t="shared" si="69"/>
        <v>0.357050259274033</v>
      </c>
      <c r="U100" s="77"/>
      <c r="V100" s="77"/>
      <c r="W100" s="77">
        <f t="shared" si="67"/>
        <v>363.41760071799</v>
      </c>
      <c r="X100" s="79">
        <f t="shared" si="70"/>
        <v>4.67973873155166</v>
      </c>
      <c r="Y100" s="79"/>
      <c r="Z100" s="79"/>
      <c r="AA100" s="79">
        <f t="shared" si="64"/>
        <v>4.67973873155166</v>
      </c>
      <c r="AB100" s="91">
        <v>7.27</v>
      </c>
      <c r="AC100" s="77">
        <f t="shared" si="65"/>
        <v>34.0217005783805</v>
      </c>
      <c r="AD100" s="77">
        <f t="shared" si="63"/>
        <v>397.43930129637</v>
      </c>
      <c r="AE100" s="77">
        <f t="shared" si="66"/>
        <v>50.1745987036298</v>
      </c>
    </row>
    <row r="101" customFormat="1" spans="1:31">
      <c r="A101" s="22"/>
      <c r="B101" s="23"/>
      <c r="C101" s="24">
        <v>241203000002</v>
      </c>
      <c r="D101" s="26">
        <v>45633</v>
      </c>
      <c r="E101" s="25" t="s">
        <v>133</v>
      </c>
      <c r="F101" s="23" t="s">
        <v>149</v>
      </c>
      <c r="G101" s="23" t="s">
        <v>150</v>
      </c>
      <c r="H101" s="23">
        <v>3.5</v>
      </c>
      <c r="I101" s="43">
        <v>283</v>
      </c>
      <c r="J101" s="44"/>
      <c r="K101" s="45"/>
      <c r="L101" s="23"/>
      <c r="M101" s="45"/>
      <c r="N101" s="57"/>
      <c r="O101" s="47">
        <f t="shared" ref="O101:O105" si="72">SUM(I101)</f>
        <v>283</v>
      </c>
      <c r="P101" s="49"/>
      <c r="Q101" s="49"/>
      <c r="R101" s="77">
        <f t="shared" si="68"/>
        <v>231.038532110092</v>
      </c>
      <c r="S101" s="77"/>
      <c r="T101" s="78">
        <f t="shared" si="69"/>
        <v>0.227213801356203</v>
      </c>
      <c r="U101" s="77"/>
      <c r="V101" s="77"/>
      <c r="W101" s="77">
        <f t="shared" si="67"/>
        <v>231.265745911448</v>
      </c>
      <c r="X101" s="79">
        <f t="shared" si="70"/>
        <v>2.97801555644196</v>
      </c>
      <c r="Y101" s="79"/>
      <c r="Z101" s="79"/>
      <c r="AA101" s="79">
        <f t="shared" si="64"/>
        <v>2.97801555644196</v>
      </c>
      <c r="AB101" s="91">
        <v>7.27</v>
      </c>
      <c r="AC101" s="77">
        <f t="shared" si="65"/>
        <v>21.6501730953331</v>
      </c>
      <c r="AD101" s="77">
        <f t="shared" si="63"/>
        <v>252.915919006781</v>
      </c>
      <c r="AE101" s="77">
        <f t="shared" si="66"/>
        <v>30.084080993219</v>
      </c>
    </row>
    <row r="102" customFormat="1" spans="1:31">
      <c r="A102" s="22"/>
      <c r="B102" s="23"/>
      <c r="C102" s="24">
        <v>241203000003</v>
      </c>
      <c r="D102" s="25">
        <v>45633</v>
      </c>
      <c r="E102" s="25" t="s">
        <v>37</v>
      </c>
      <c r="F102" s="23" t="s">
        <v>38</v>
      </c>
      <c r="G102" s="23" t="s">
        <v>151</v>
      </c>
      <c r="H102" s="23">
        <v>34.5</v>
      </c>
      <c r="I102" s="47"/>
      <c r="J102" s="51">
        <v>599196</v>
      </c>
      <c r="K102" s="45"/>
      <c r="L102" s="52">
        <f>SUM(J102/M102)</f>
        <v>1670</v>
      </c>
      <c r="M102" s="53">
        <v>358.8</v>
      </c>
      <c r="N102" s="57">
        <v>7.27</v>
      </c>
      <c r="O102" s="47">
        <f t="shared" si="71"/>
        <v>2608.476</v>
      </c>
      <c r="P102" s="49"/>
      <c r="Q102" s="49"/>
      <c r="R102" s="77">
        <f t="shared" si="68"/>
        <v>2277.37981651376</v>
      </c>
      <c r="S102" s="77"/>
      <c r="T102" s="78">
        <f t="shared" si="69"/>
        <v>2.23967889908257</v>
      </c>
      <c r="U102" s="77"/>
      <c r="V102" s="77"/>
      <c r="W102" s="77">
        <f t="shared" si="67"/>
        <v>2279.61949541284</v>
      </c>
      <c r="X102" s="79">
        <f t="shared" si="70"/>
        <v>29.3547247706422</v>
      </c>
      <c r="Y102" s="79"/>
      <c r="Z102" s="79"/>
      <c r="AA102" s="79">
        <f t="shared" si="64"/>
        <v>29.3547247706422</v>
      </c>
      <c r="AB102" s="91">
        <v>7.27</v>
      </c>
      <c r="AC102" s="77">
        <f t="shared" si="65"/>
        <v>213.408849082569</v>
      </c>
      <c r="AD102" s="77">
        <f t="shared" si="63"/>
        <v>2493.02834449541</v>
      </c>
      <c r="AE102" s="77">
        <f t="shared" si="66"/>
        <v>115.447655504587</v>
      </c>
    </row>
    <row r="103" customFormat="1" spans="1:31">
      <c r="A103" s="22"/>
      <c r="B103" s="23"/>
      <c r="C103" s="24">
        <v>241203000006</v>
      </c>
      <c r="D103" s="25">
        <v>45633</v>
      </c>
      <c r="E103" s="25" t="s">
        <v>37</v>
      </c>
      <c r="F103" s="23" t="s">
        <v>38</v>
      </c>
      <c r="G103" s="23" t="s">
        <v>152</v>
      </c>
      <c r="H103" s="23">
        <v>267.5</v>
      </c>
      <c r="I103" s="43">
        <v>20362</v>
      </c>
      <c r="J103" s="44"/>
      <c r="K103" s="45"/>
      <c r="L103" s="23"/>
      <c r="M103" s="45"/>
      <c r="N103" s="57"/>
      <c r="O103" s="47">
        <f t="shared" si="72"/>
        <v>20362</v>
      </c>
      <c r="P103" s="49"/>
      <c r="Q103" s="49"/>
      <c r="R103" s="77">
        <f t="shared" si="68"/>
        <v>17657.9449541284</v>
      </c>
      <c r="S103" s="77"/>
      <c r="T103" s="78">
        <f t="shared" si="69"/>
        <v>17.3656262465098</v>
      </c>
      <c r="U103" s="77"/>
      <c r="V103" s="77"/>
      <c r="W103" s="77">
        <f t="shared" si="67"/>
        <v>17675.3105803749</v>
      </c>
      <c r="X103" s="79">
        <f t="shared" si="70"/>
        <v>227.605474670921</v>
      </c>
      <c r="Y103" s="79"/>
      <c r="Z103" s="79"/>
      <c r="AA103" s="79">
        <f t="shared" si="64"/>
        <v>227.605474670921</v>
      </c>
      <c r="AB103" s="91">
        <v>7.27</v>
      </c>
      <c r="AC103" s="77">
        <f t="shared" si="65"/>
        <v>1654.6918008576</v>
      </c>
      <c r="AD103" s="77">
        <f t="shared" si="63"/>
        <v>19330.0023812325</v>
      </c>
      <c r="AE103" s="77">
        <f t="shared" si="66"/>
        <v>1031.99761876745</v>
      </c>
    </row>
    <row r="104" customFormat="1" spans="1:31">
      <c r="A104" s="22"/>
      <c r="B104" s="23"/>
      <c r="C104" s="24">
        <v>241203000016</v>
      </c>
      <c r="D104" s="25">
        <v>45633</v>
      </c>
      <c r="E104" s="25" t="s">
        <v>61</v>
      </c>
      <c r="F104" s="23" t="s">
        <v>62</v>
      </c>
      <c r="G104" s="23" t="s">
        <v>153</v>
      </c>
      <c r="H104" s="23">
        <v>1.5</v>
      </c>
      <c r="I104" s="43">
        <v>132.5</v>
      </c>
      <c r="J104" s="44"/>
      <c r="K104" s="45"/>
      <c r="L104" s="23"/>
      <c r="M104" s="45"/>
      <c r="N104" s="57"/>
      <c r="O104" s="47">
        <f t="shared" si="72"/>
        <v>132.5</v>
      </c>
      <c r="P104" s="49"/>
      <c r="Q104" s="49"/>
      <c r="R104" s="77">
        <f t="shared" si="68"/>
        <v>99.0165137614679</v>
      </c>
      <c r="S104" s="77"/>
      <c r="T104" s="78">
        <f t="shared" si="69"/>
        <v>0.0973773434383726</v>
      </c>
      <c r="U104" s="77"/>
      <c r="V104" s="77"/>
      <c r="W104" s="77">
        <f t="shared" si="67"/>
        <v>99.1138911049062</v>
      </c>
      <c r="X104" s="79">
        <f t="shared" si="70"/>
        <v>1.27629238133227</v>
      </c>
      <c r="Y104" s="79"/>
      <c r="Z104" s="79"/>
      <c r="AA104" s="79">
        <f t="shared" si="64"/>
        <v>1.27629238133227</v>
      </c>
      <c r="AB104" s="91">
        <v>7.27</v>
      </c>
      <c r="AC104" s="77">
        <f t="shared" si="65"/>
        <v>9.2786456122856</v>
      </c>
      <c r="AD104" s="77">
        <f t="shared" si="63"/>
        <v>108.392536717192</v>
      </c>
      <c r="AE104" s="77">
        <f t="shared" si="66"/>
        <v>24.1074632828082</v>
      </c>
    </row>
    <row r="105" customFormat="1" spans="1:31">
      <c r="A105" s="22"/>
      <c r="B105" s="23"/>
      <c r="C105" s="24">
        <v>241203000018</v>
      </c>
      <c r="D105" s="25">
        <v>45633</v>
      </c>
      <c r="E105" s="25" t="s">
        <v>37</v>
      </c>
      <c r="F105" s="23" t="s">
        <v>38</v>
      </c>
      <c r="G105" s="23" t="s">
        <v>154</v>
      </c>
      <c r="H105" s="23">
        <v>3</v>
      </c>
      <c r="I105" s="43">
        <v>251.1</v>
      </c>
      <c r="J105" s="44"/>
      <c r="K105" s="45"/>
      <c r="L105" s="23"/>
      <c r="M105" s="45"/>
      <c r="N105" s="57"/>
      <c r="O105" s="47">
        <f t="shared" si="72"/>
        <v>251.1</v>
      </c>
      <c r="P105" s="49"/>
      <c r="Q105" s="49"/>
      <c r="R105" s="77">
        <f t="shared" si="68"/>
        <v>198.033027522936</v>
      </c>
      <c r="S105" s="77"/>
      <c r="T105" s="78">
        <f t="shared" si="69"/>
        <v>0.194754686876745</v>
      </c>
      <c r="U105" s="77"/>
      <c r="V105" s="77"/>
      <c r="W105" s="77">
        <f t="shared" si="67"/>
        <v>198.227782209812</v>
      </c>
      <c r="X105" s="79">
        <f t="shared" si="70"/>
        <v>2.55258476266454</v>
      </c>
      <c r="Y105" s="79"/>
      <c r="Z105" s="79"/>
      <c r="AA105" s="79">
        <f t="shared" si="64"/>
        <v>2.55258476266454</v>
      </c>
      <c r="AB105" s="91">
        <v>7.27</v>
      </c>
      <c r="AC105" s="77">
        <f t="shared" si="65"/>
        <v>18.5572912245712</v>
      </c>
      <c r="AD105" s="77">
        <f t="shared" si="63"/>
        <v>216.785073434384</v>
      </c>
      <c r="AE105" s="77">
        <f t="shared" si="66"/>
        <v>34.3149265656163</v>
      </c>
    </row>
    <row r="106" customFormat="1" spans="1:31">
      <c r="A106" s="22"/>
      <c r="B106" s="23"/>
      <c r="C106" s="24">
        <v>241203000019</v>
      </c>
      <c r="D106" s="25">
        <v>45633</v>
      </c>
      <c r="E106" s="25" t="s">
        <v>37</v>
      </c>
      <c r="F106" s="23" t="s">
        <v>38</v>
      </c>
      <c r="G106" s="23" t="s">
        <v>155</v>
      </c>
      <c r="H106" s="23">
        <v>7</v>
      </c>
      <c r="I106" s="47"/>
      <c r="J106" s="51">
        <v>126451</v>
      </c>
      <c r="K106" s="45"/>
      <c r="L106" s="52">
        <f t="shared" ref="L106:L111" si="73">SUM(J106/M106)</f>
        <v>1669.98151082937</v>
      </c>
      <c r="M106" s="53">
        <v>75.72</v>
      </c>
      <c r="N106" s="57">
        <v>7.27</v>
      </c>
      <c r="O106" s="47">
        <f t="shared" ref="O106:O111" si="74">SUM(M106*N106)</f>
        <v>550.4844</v>
      </c>
      <c r="P106" s="49"/>
      <c r="Q106" s="49"/>
      <c r="R106" s="77">
        <f t="shared" si="68"/>
        <v>462.077064220183</v>
      </c>
      <c r="S106" s="77"/>
      <c r="T106" s="78">
        <f t="shared" si="69"/>
        <v>0.454427602712405</v>
      </c>
      <c r="U106" s="77"/>
      <c r="V106" s="77"/>
      <c r="W106" s="77">
        <f t="shared" si="67"/>
        <v>462.531491822896</v>
      </c>
      <c r="X106" s="79">
        <f t="shared" si="70"/>
        <v>5.95603111288393</v>
      </c>
      <c r="Y106" s="79"/>
      <c r="Z106" s="79"/>
      <c r="AA106" s="79">
        <f t="shared" si="64"/>
        <v>5.95603111288393</v>
      </c>
      <c r="AB106" s="91">
        <v>7.27</v>
      </c>
      <c r="AC106" s="77">
        <f t="shared" si="65"/>
        <v>43.3003461906661</v>
      </c>
      <c r="AD106" s="77">
        <f t="shared" si="63"/>
        <v>505.831838013562</v>
      </c>
      <c r="AE106" s="77">
        <f t="shared" si="66"/>
        <v>44.6525619864381</v>
      </c>
    </row>
    <row r="107" customFormat="1" spans="1:31">
      <c r="A107" s="22"/>
      <c r="B107" s="23"/>
      <c r="C107" s="24">
        <v>241203000020</v>
      </c>
      <c r="D107" s="26">
        <v>45633</v>
      </c>
      <c r="E107" s="25" t="s">
        <v>70</v>
      </c>
      <c r="F107" s="23" t="s">
        <v>70</v>
      </c>
      <c r="G107" s="23" t="s">
        <v>156</v>
      </c>
      <c r="H107" s="23">
        <v>36</v>
      </c>
      <c r="I107" s="43">
        <v>2708</v>
      </c>
      <c r="J107" s="44"/>
      <c r="K107" s="45"/>
      <c r="L107" s="23"/>
      <c r="M107" s="45"/>
      <c r="N107" s="57"/>
      <c r="O107" s="47">
        <f t="shared" ref="O107:O110" si="75">SUM(I107)</f>
        <v>2708</v>
      </c>
      <c r="P107" s="49"/>
      <c r="Q107" s="49"/>
      <c r="R107" s="77">
        <f t="shared" si="68"/>
        <v>2376.39633027523</v>
      </c>
      <c r="S107" s="77"/>
      <c r="T107" s="78">
        <f t="shared" si="69"/>
        <v>2.33705624252094</v>
      </c>
      <c r="U107" s="77"/>
      <c r="V107" s="77"/>
      <c r="W107" s="77">
        <f t="shared" si="67"/>
        <v>2378.73338651775</v>
      </c>
      <c r="X107" s="79">
        <f t="shared" si="70"/>
        <v>30.6310171519745</v>
      </c>
      <c r="Y107" s="79"/>
      <c r="Z107" s="79"/>
      <c r="AA107" s="79">
        <f t="shared" si="64"/>
        <v>30.6310171519745</v>
      </c>
      <c r="AB107" s="91">
        <v>7.27</v>
      </c>
      <c r="AC107" s="77">
        <f t="shared" si="65"/>
        <v>222.687494694854</v>
      </c>
      <c r="AD107" s="77">
        <f t="shared" si="63"/>
        <v>2601.4208812126</v>
      </c>
      <c r="AE107" s="77">
        <f t="shared" si="66"/>
        <v>106.579118787396</v>
      </c>
    </row>
    <row r="108" customFormat="1" spans="1:31">
      <c r="A108" s="22"/>
      <c r="B108" s="23"/>
      <c r="C108" s="24">
        <v>241203000024</v>
      </c>
      <c r="D108" s="25">
        <v>45633</v>
      </c>
      <c r="E108" s="25" t="s">
        <v>37</v>
      </c>
      <c r="F108" s="23" t="s">
        <v>38</v>
      </c>
      <c r="G108" s="23" t="s">
        <v>127</v>
      </c>
      <c r="H108" s="23">
        <v>0.36</v>
      </c>
      <c r="I108" s="47"/>
      <c r="J108" s="51">
        <v>19255.1</v>
      </c>
      <c r="K108" s="45"/>
      <c r="L108" s="52">
        <f t="shared" si="73"/>
        <v>1670</v>
      </c>
      <c r="M108" s="53">
        <v>11.53</v>
      </c>
      <c r="N108" s="57">
        <v>7.27</v>
      </c>
      <c r="O108" s="47">
        <f t="shared" si="74"/>
        <v>83.8231</v>
      </c>
      <c r="P108" s="49"/>
      <c r="Q108" s="49"/>
      <c r="R108" s="77">
        <f t="shared" si="68"/>
        <v>23.7639633027523</v>
      </c>
      <c r="S108" s="77"/>
      <c r="T108" s="78">
        <f t="shared" si="69"/>
        <v>0.0233705624252094</v>
      </c>
      <c r="U108" s="77"/>
      <c r="V108" s="77"/>
      <c r="W108" s="77">
        <f t="shared" si="67"/>
        <v>23.7873338651775</v>
      </c>
      <c r="X108" s="79">
        <f t="shared" si="70"/>
        <v>0.306310171519745</v>
      </c>
      <c r="Y108" s="79"/>
      <c r="Z108" s="79"/>
      <c r="AA108" s="79">
        <f t="shared" si="64"/>
        <v>0.306310171519745</v>
      </c>
      <c r="AB108" s="91">
        <v>7.27</v>
      </c>
      <c r="AC108" s="77">
        <f t="shared" si="65"/>
        <v>2.22687494694854</v>
      </c>
      <c r="AD108" s="77">
        <f t="shared" si="63"/>
        <v>26.014208812126</v>
      </c>
      <c r="AE108" s="77">
        <f t="shared" si="66"/>
        <v>57.808891187874</v>
      </c>
    </row>
    <row r="109" customFormat="1" spans="1:31">
      <c r="A109" s="22"/>
      <c r="B109" s="23"/>
      <c r="C109" s="24">
        <v>241203000025</v>
      </c>
      <c r="D109" s="25">
        <v>45633</v>
      </c>
      <c r="E109" s="25" t="s">
        <v>61</v>
      </c>
      <c r="F109" s="23" t="s">
        <v>62</v>
      </c>
      <c r="G109" s="23" t="s">
        <v>157</v>
      </c>
      <c r="H109" s="23">
        <v>3</v>
      </c>
      <c r="I109" s="43">
        <v>243</v>
      </c>
      <c r="J109" s="44"/>
      <c r="K109" s="45"/>
      <c r="L109" s="23"/>
      <c r="M109" s="45"/>
      <c r="N109" s="57"/>
      <c r="O109" s="47">
        <f t="shared" si="75"/>
        <v>243</v>
      </c>
      <c r="P109" s="49"/>
      <c r="Q109" s="49"/>
      <c r="R109" s="77">
        <f t="shared" si="68"/>
        <v>198.033027522936</v>
      </c>
      <c r="S109" s="77"/>
      <c r="T109" s="78">
        <f t="shared" si="69"/>
        <v>0.194754686876745</v>
      </c>
      <c r="U109" s="77"/>
      <c r="V109" s="77"/>
      <c r="W109" s="77">
        <f t="shared" si="67"/>
        <v>198.227782209812</v>
      </c>
      <c r="X109" s="79">
        <f t="shared" si="70"/>
        <v>2.55258476266454</v>
      </c>
      <c r="Y109" s="79"/>
      <c r="Z109" s="79"/>
      <c r="AA109" s="79">
        <f t="shared" si="64"/>
        <v>2.55258476266454</v>
      </c>
      <c r="AB109" s="91">
        <v>7.27</v>
      </c>
      <c r="AC109" s="77">
        <f t="shared" si="65"/>
        <v>18.5572912245712</v>
      </c>
      <c r="AD109" s="77">
        <f t="shared" si="63"/>
        <v>216.785073434384</v>
      </c>
      <c r="AE109" s="77">
        <f t="shared" si="66"/>
        <v>26.2149265656163</v>
      </c>
    </row>
    <row r="110" customFormat="1" spans="1:31">
      <c r="A110" s="22"/>
      <c r="B110" s="23"/>
      <c r="C110" s="24">
        <v>241203000026</v>
      </c>
      <c r="D110" s="25">
        <v>45633</v>
      </c>
      <c r="E110" s="25" t="s">
        <v>61</v>
      </c>
      <c r="F110" s="23" t="s">
        <v>62</v>
      </c>
      <c r="G110" s="23" t="s">
        <v>158</v>
      </c>
      <c r="H110" s="23">
        <v>19.5</v>
      </c>
      <c r="I110" s="43">
        <v>1501.5</v>
      </c>
      <c r="J110" s="44"/>
      <c r="K110" s="45"/>
      <c r="L110" s="23"/>
      <c r="M110" s="45"/>
      <c r="N110" s="57"/>
      <c r="O110" s="47">
        <f t="shared" si="75"/>
        <v>1501.5</v>
      </c>
      <c r="P110" s="49"/>
      <c r="Q110" s="49"/>
      <c r="R110" s="77">
        <f t="shared" si="68"/>
        <v>1287.21467889908</v>
      </c>
      <c r="S110" s="77"/>
      <c r="T110" s="78">
        <f t="shared" si="69"/>
        <v>1.26590546469884</v>
      </c>
      <c r="U110" s="77"/>
      <c r="V110" s="77"/>
      <c r="W110" s="77">
        <f t="shared" si="67"/>
        <v>1288.48058436378</v>
      </c>
      <c r="X110" s="79">
        <f t="shared" si="70"/>
        <v>16.5918009573195</v>
      </c>
      <c r="Y110" s="79"/>
      <c r="Z110" s="79"/>
      <c r="AA110" s="79">
        <f t="shared" si="64"/>
        <v>16.5918009573195</v>
      </c>
      <c r="AB110" s="91">
        <v>7.27</v>
      </c>
      <c r="AC110" s="77">
        <f t="shared" si="65"/>
        <v>120.622392959713</v>
      </c>
      <c r="AD110" s="77">
        <f t="shared" si="63"/>
        <v>1409.10297732349</v>
      </c>
      <c r="AE110" s="77">
        <f t="shared" si="66"/>
        <v>92.3970226765059</v>
      </c>
    </row>
    <row r="111" customFormat="1" spans="1:31">
      <c r="A111" s="22"/>
      <c r="B111" s="23"/>
      <c r="C111" s="92">
        <v>241203000030</v>
      </c>
      <c r="D111" s="94">
        <v>45633</v>
      </c>
      <c r="E111" s="25" t="s">
        <v>44</v>
      </c>
      <c r="F111" s="95" t="s">
        <v>45</v>
      </c>
      <c r="G111" s="95" t="s">
        <v>159</v>
      </c>
      <c r="H111" s="95">
        <v>12</v>
      </c>
      <c r="I111" s="96"/>
      <c r="J111" s="51">
        <v>218436</v>
      </c>
      <c r="K111" s="45"/>
      <c r="L111" s="52">
        <f t="shared" si="73"/>
        <v>1584.93687418372</v>
      </c>
      <c r="M111" s="53">
        <v>137.82</v>
      </c>
      <c r="N111" s="57">
        <v>7.27</v>
      </c>
      <c r="O111" s="47">
        <f t="shared" si="74"/>
        <v>1001.9514</v>
      </c>
      <c r="P111" s="49"/>
      <c r="Q111" s="49"/>
      <c r="R111" s="77">
        <f t="shared" si="68"/>
        <v>792.132110091743</v>
      </c>
      <c r="S111" s="77"/>
      <c r="T111" s="78">
        <f t="shared" si="69"/>
        <v>0.779018747506981</v>
      </c>
      <c r="U111" s="77"/>
      <c r="V111" s="77"/>
      <c r="W111" s="77">
        <f t="shared" si="67"/>
        <v>792.91112883925</v>
      </c>
      <c r="X111" s="79">
        <f t="shared" si="70"/>
        <v>10.2103390506582</v>
      </c>
      <c r="Y111" s="79"/>
      <c r="Z111" s="79"/>
      <c r="AA111" s="79">
        <f t="shared" si="64"/>
        <v>10.2103390506582</v>
      </c>
      <c r="AB111" s="91">
        <v>7.27</v>
      </c>
      <c r="AC111" s="77">
        <f t="shared" si="65"/>
        <v>74.2291648982848</v>
      </c>
      <c r="AD111" s="77">
        <f t="shared" si="63"/>
        <v>867.140293737535</v>
      </c>
      <c r="AE111" s="77">
        <f t="shared" si="66"/>
        <v>134.811106262465</v>
      </c>
    </row>
    <row r="112" customFormat="1" spans="1:31">
      <c r="A112" s="22"/>
      <c r="B112" s="23"/>
      <c r="C112" s="24">
        <v>241203000032</v>
      </c>
      <c r="D112" s="25">
        <v>45633</v>
      </c>
      <c r="E112" s="25" t="s">
        <v>44</v>
      </c>
      <c r="F112" s="23" t="s">
        <v>45</v>
      </c>
      <c r="G112" s="23" t="s">
        <v>160</v>
      </c>
      <c r="H112" s="23">
        <v>24</v>
      </c>
      <c r="I112" s="43">
        <v>1800</v>
      </c>
      <c r="J112" s="44"/>
      <c r="K112" s="45"/>
      <c r="L112" s="23"/>
      <c r="M112" s="45"/>
      <c r="N112" s="57"/>
      <c r="O112" s="47">
        <f t="shared" ref="O112:O115" si="76">SUM(I112)</f>
        <v>1800</v>
      </c>
      <c r="P112" s="49"/>
      <c r="Q112" s="49"/>
      <c r="R112" s="77">
        <f t="shared" si="68"/>
        <v>1584.26422018349</v>
      </c>
      <c r="S112" s="77"/>
      <c r="T112" s="78">
        <f t="shared" si="69"/>
        <v>1.55803749501396</v>
      </c>
      <c r="U112" s="77"/>
      <c r="V112" s="77"/>
      <c r="W112" s="77">
        <f t="shared" si="67"/>
        <v>1585.8222576785</v>
      </c>
      <c r="X112" s="79">
        <f t="shared" si="70"/>
        <v>20.4206781013163</v>
      </c>
      <c r="Y112" s="79"/>
      <c r="Z112" s="79"/>
      <c r="AA112" s="79">
        <f t="shared" si="64"/>
        <v>20.4206781013163</v>
      </c>
      <c r="AB112" s="91">
        <v>7.27</v>
      </c>
      <c r="AC112" s="77">
        <f t="shared" si="65"/>
        <v>148.45832979657</v>
      </c>
      <c r="AD112" s="77">
        <f t="shared" si="63"/>
        <v>1734.28058747507</v>
      </c>
      <c r="AE112" s="77">
        <f t="shared" si="66"/>
        <v>65.7194125249305</v>
      </c>
    </row>
    <row r="113" customFormat="1" spans="1:31">
      <c r="A113" s="22"/>
      <c r="B113" s="23"/>
      <c r="C113" s="24">
        <v>241203000033</v>
      </c>
      <c r="D113" s="25">
        <v>45633</v>
      </c>
      <c r="E113" s="25" t="s">
        <v>44</v>
      </c>
      <c r="F113" s="23" t="s">
        <v>45</v>
      </c>
      <c r="G113" s="23" t="s">
        <v>161</v>
      </c>
      <c r="H113" s="23">
        <v>8</v>
      </c>
      <c r="I113" s="43">
        <v>616</v>
      </c>
      <c r="J113" s="44"/>
      <c r="K113" s="45"/>
      <c r="L113" s="23"/>
      <c r="M113" s="45"/>
      <c r="N113" s="57"/>
      <c r="O113" s="47">
        <f t="shared" si="76"/>
        <v>616</v>
      </c>
      <c r="P113" s="49"/>
      <c r="Q113" s="49"/>
      <c r="R113" s="77">
        <f t="shared" si="68"/>
        <v>528.088073394495</v>
      </c>
      <c r="S113" s="77"/>
      <c r="T113" s="78">
        <f t="shared" si="69"/>
        <v>0.51934583167132</v>
      </c>
      <c r="U113" s="77"/>
      <c r="V113" s="77"/>
      <c r="W113" s="77">
        <f t="shared" si="67"/>
        <v>528.607419226167</v>
      </c>
      <c r="X113" s="79">
        <f t="shared" si="70"/>
        <v>6.80689270043877</v>
      </c>
      <c r="Y113" s="79"/>
      <c r="Z113" s="79"/>
      <c r="AA113" s="79">
        <f t="shared" si="64"/>
        <v>6.80689270043877</v>
      </c>
      <c r="AB113" s="91">
        <v>7.27</v>
      </c>
      <c r="AC113" s="77">
        <f t="shared" si="65"/>
        <v>49.4861099321899</v>
      </c>
      <c r="AD113" s="77">
        <f t="shared" si="63"/>
        <v>578.093529158357</v>
      </c>
      <c r="AE113" s="77">
        <f t="shared" si="66"/>
        <v>37.9064708416435</v>
      </c>
    </row>
    <row r="114" customFormat="1" spans="1:31">
      <c r="A114" s="22"/>
      <c r="B114" s="23"/>
      <c r="C114" s="24">
        <v>241203000035</v>
      </c>
      <c r="D114" s="25">
        <v>45633</v>
      </c>
      <c r="E114" s="25" t="s">
        <v>84</v>
      </c>
      <c r="F114" s="23" t="s">
        <v>85</v>
      </c>
      <c r="G114" s="23" t="s">
        <v>86</v>
      </c>
      <c r="H114" s="23">
        <v>0.48</v>
      </c>
      <c r="I114" s="43">
        <v>83</v>
      </c>
      <c r="J114" s="44"/>
      <c r="K114" s="45"/>
      <c r="L114" s="23"/>
      <c r="M114" s="45"/>
      <c r="N114" s="57"/>
      <c r="O114" s="47">
        <f t="shared" si="76"/>
        <v>83</v>
      </c>
      <c r="P114" s="49"/>
      <c r="Q114" s="49"/>
      <c r="R114" s="77">
        <f t="shared" si="68"/>
        <v>31.6852844036697</v>
      </c>
      <c r="S114" s="77"/>
      <c r="T114" s="78">
        <f t="shared" si="69"/>
        <v>0.0311607499002792</v>
      </c>
      <c r="U114" s="77"/>
      <c r="V114" s="77"/>
      <c r="W114" s="77">
        <f t="shared" si="67"/>
        <v>31.71644515357</v>
      </c>
      <c r="X114" s="79">
        <f t="shared" si="70"/>
        <v>0.408413562026326</v>
      </c>
      <c r="Y114" s="79"/>
      <c r="Z114" s="79"/>
      <c r="AA114" s="79">
        <f t="shared" si="64"/>
        <v>0.408413562026326</v>
      </c>
      <c r="AB114" s="91">
        <v>7.27</v>
      </c>
      <c r="AC114" s="77">
        <f t="shared" si="65"/>
        <v>2.96916659593139</v>
      </c>
      <c r="AD114" s="77">
        <f t="shared" si="63"/>
        <v>34.6856117495014</v>
      </c>
      <c r="AE114" s="77">
        <f t="shared" si="66"/>
        <v>48.3143882504986</v>
      </c>
    </row>
    <row r="115" customFormat="1" spans="1:31">
      <c r="A115" s="22"/>
      <c r="B115" s="23"/>
      <c r="C115" s="24">
        <v>241203000037</v>
      </c>
      <c r="D115" s="25">
        <v>45633</v>
      </c>
      <c r="E115" s="25" t="s">
        <v>44</v>
      </c>
      <c r="F115" s="23" t="s">
        <v>45</v>
      </c>
      <c r="G115" s="23" t="s">
        <v>162</v>
      </c>
      <c r="H115" s="23">
        <v>2.5</v>
      </c>
      <c r="I115" s="43">
        <v>187.5</v>
      </c>
      <c r="J115" s="44"/>
      <c r="K115" s="45"/>
      <c r="L115" s="23"/>
      <c r="M115" s="45"/>
      <c r="N115" s="57"/>
      <c r="O115" s="47">
        <f t="shared" si="76"/>
        <v>187.5</v>
      </c>
      <c r="P115" s="49"/>
      <c r="Q115" s="49"/>
      <c r="R115" s="77">
        <f t="shared" si="68"/>
        <v>165.02752293578</v>
      </c>
      <c r="S115" s="77"/>
      <c r="T115" s="78">
        <f t="shared" si="69"/>
        <v>0.162295572397288</v>
      </c>
      <c r="U115" s="77"/>
      <c r="V115" s="77"/>
      <c r="W115" s="77">
        <f t="shared" si="67"/>
        <v>165.189818508177</v>
      </c>
      <c r="X115" s="79">
        <f t="shared" si="70"/>
        <v>2.12715396888712</v>
      </c>
      <c r="Y115" s="79"/>
      <c r="Z115" s="79"/>
      <c r="AA115" s="79">
        <f t="shared" si="64"/>
        <v>2.12715396888712</v>
      </c>
      <c r="AB115" s="91">
        <v>7.27</v>
      </c>
      <c r="AC115" s="77">
        <f t="shared" si="65"/>
        <v>15.4644093538093</v>
      </c>
      <c r="AD115" s="77">
        <f t="shared" si="63"/>
        <v>180.654227861986</v>
      </c>
      <c r="AE115" s="77">
        <f t="shared" si="66"/>
        <v>6.84577213801356</v>
      </c>
    </row>
    <row r="116" customFormat="1" spans="1:31">
      <c r="A116" s="22"/>
      <c r="B116" s="23"/>
      <c r="C116" s="24">
        <v>241203000038</v>
      </c>
      <c r="D116" s="25">
        <v>45633</v>
      </c>
      <c r="E116" s="25" t="s">
        <v>44</v>
      </c>
      <c r="F116" s="23" t="s">
        <v>45</v>
      </c>
      <c r="G116" s="23" t="s">
        <v>163</v>
      </c>
      <c r="H116" s="23">
        <v>42.5</v>
      </c>
      <c r="I116" s="50"/>
      <c r="J116" s="51">
        <v>792200</v>
      </c>
      <c r="K116" s="45"/>
      <c r="L116" s="52">
        <f t="shared" ref="L116:L119" si="77">SUM(J116/M116)</f>
        <v>1693.92948018902</v>
      </c>
      <c r="M116" s="53">
        <v>467.67</v>
      </c>
      <c r="N116" s="57">
        <v>7.27</v>
      </c>
      <c r="O116" s="47">
        <f t="shared" ref="O116:O119" si="78">SUM(M116*N116)</f>
        <v>3399.9609</v>
      </c>
      <c r="P116" s="49"/>
      <c r="Q116" s="49"/>
      <c r="R116" s="77">
        <f t="shared" si="68"/>
        <v>2805.46788990826</v>
      </c>
      <c r="S116" s="77"/>
      <c r="T116" s="78">
        <f t="shared" si="69"/>
        <v>2.75902473075389</v>
      </c>
      <c r="U116" s="77"/>
      <c r="V116" s="77"/>
      <c r="W116" s="77">
        <f t="shared" si="67"/>
        <v>2808.22691463901</v>
      </c>
      <c r="X116" s="79">
        <f t="shared" si="70"/>
        <v>36.161617471081</v>
      </c>
      <c r="Y116" s="79"/>
      <c r="Z116" s="79"/>
      <c r="AA116" s="79">
        <f t="shared" si="64"/>
        <v>36.161617471081</v>
      </c>
      <c r="AB116" s="91">
        <v>7.27</v>
      </c>
      <c r="AC116" s="77">
        <f t="shared" si="65"/>
        <v>262.894959014759</v>
      </c>
      <c r="AD116" s="77">
        <f t="shared" si="63"/>
        <v>3071.12187365377</v>
      </c>
      <c r="AE116" s="77">
        <f t="shared" si="66"/>
        <v>328.839026346231</v>
      </c>
    </row>
    <row r="117" customFormat="1" spans="1:31">
      <c r="A117" s="22"/>
      <c r="B117" s="23"/>
      <c r="C117" s="24">
        <v>241203000046</v>
      </c>
      <c r="D117" s="25">
        <v>45633</v>
      </c>
      <c r="E117" s="25" t="s">
        <v>44</v>
      </c>
      <c r="F117" s="23" t="s">
        <v>45</v>
      </c>
      <c r="G117" s="23" t="s">
        <v>159</v>
      </c>
      <c r="H117" s="23">
        <v>2</v>
      </c>
      <c r="I117" s="96"/>
      <c r="J117" s="51">
        <v>38368</v>
      </c>
      <c r="K117" s="45"/>
      <c r="L117" s="52">
        <f t="shared" si="77"/>
        <v>1585.45454545455</v>
      </c>
      <c r="M117" s="53">
        <v>24.2</v>
      </c>
      <c r="N117" s="57">
        <v>7.27</v>
      </c>
      <c r="O117" s="47">
        <f t="shared" si="78"/>
        <v>175.934</v>
      </c>
      <c r="P117" s="49"/>
      <c r="Q117" s="49"/>
      <c r="R117" s="77">
        <f t="shared" si="68"/>
        <v>132.022018348624</v>
      </c>
      <c r="S117" s="77"/>
      <c r="T117" s="78">
        <f t="shared" si="69"/>
        <v>0.12983645791783</v>
      </c>
      <c r="U117" s="77"/>
      <c r="V117" s="77"/>
      <c r="W117" s="77">
        <f t="shared" si="67"/>
        <v>132.151854806542</v>
      </c>
      <c r="X117" s="79">
        <f t="shared" si="70"/>
        <v>1.70172317510969</v>
      </c>
      <c r="Y117" s="79"/>
      <c r="Z117" s="79"/>
      <c r="AA117" s="79">
        <f t="shared" si="64"/>
        <v>1.70172317510969</v>
      </c>
      <c r="AB117" s="91">
        <v>7.27</v>
      </c>
      <c r="AC117" s="77">
        <f t="shared" si="65"/>
        <v>12.3715274830475</v>
      </c>
      <c r="AD117" s="77">
        <f t="shared" si="63"/>
        <v>144.523382289589</v>
      </c>
      <c r="AE117" s="77">
        <f t="shared" si="66"/>
        <v>31.4106177104109</v>
      </c>
    </row>
    <row r="118" customFormat="1" spans="1:31">
      <c r="A118" s="22"/>
      <c r="B118" s="23"/>
      <c r="C118" s="24">
        <v>241203000047</v>
      </c>
      <c r="D118" s="25">
        <v>45633</v>
      </c>
      <c r="E118" s="25" t="s">
        <v>44</v>
      </c>
      <c r="F118" s="23" t="s">
        <v>45</v>
      </c>
      <c r="G118" s="23" t="s">
        <v>164</v>
      </c>
      <c r="H118" s="23">
        <v>3</v>
      </c>
      <c r="I118" s="50"/>
      <c r="J118" s="51">
        <v>84366</v>
      </c>
      <c r="K118" s="53"/>
      <c r="L118" s="52">
        <f t="shared" si="77"/>
        <v>1584.9333082848</v>
      </c>
      <c r="M118" s="53">
        <v>53.23</v>
      </c>
      <c r="N118" s="57">
        <v>7.27</v>
      </c>
      <c r="O118" s="47">
        <f t="shared" si="78"/>
        <v>386.9821</v>
      </c>
      <c r="P118" s="49"/>
      <c r="Q118" s="49"/>
      <c r="R118" s="77">
        <f t="shared" si="68"/>
        <v>198.033027522936</v>
      </c>
      <c r="S118" s="77"/>
      <c r="T118" s="78">
        <f t="shared" si="69"/>
        <v>0.194754686876745</v>
      </c>
      <c r="U118" s="77"/>
      <c r="V118" s="77"/>
      <c r="W118" s="77">
        <f t="shared" si="67"/>
        <v>198.227782209812</v>
      </c>
      <c r="X118" s="79">
        <f t="shared" si="70"/>
        <v>2.55258476266454</v>
      </c>
      <c r="Y118" s="79"/>
      <c r="Z118" s="79"/>
      <c r="AA118" s="79">
        <f t="shared" si="64"/>
        <v>2.55258476266454</v>
      </c>
      <c r="AB118" s="91">
        <v>7.27</v>
      </c>
      <c r="AC118" s="77">
        <f t="shared" si="65"/>
        <v>18.5572912245712</v>
      </c>
      <c r="AD118" s="77">
        <f t="shared" si="63"/>
        <v>216.785073434384</v>
      </c>
      <c r="AE118" s="77">
        <f t="shared" si="66"/>
        <v>170.197026565616</v>
      </c>
    </row>
    <row r="119" customFormat="1" spans="1:31">
      <c r="A119" s="22"/>
      <c r="B119" s="23"/>
      <c r="C119" s="24">
        <v>241203000048</v>
      </c>
      <c r="D119" s="25">
        <v>45633</v>
      </c>
      <c r="E119" s="25" t="s">
        <v>54</v>
      </c>
      <c r="F119" s="23" t="s">
        <v>55</v>
      </c>
      <c r="G119" s="23" t="s">
        <v>119</v>
      </c>
      <c r="H119" s="23">
        <v>2</v>
      </c>
      <c r="I119" s="47"/>
      <c r="J119" s="51">
        <v>47294.4</v>
      </c>
      <c r="K119" s="45"/>
      <c r="L119" s="52">
        <f t="shared" si="77"/>
        <v>1670</v>
      </c>
      <c r="M119" s="53">
        <v>28.32</v>
      </c>
      <c r="N119" s="57">
        <v>7.27</v>
      </c>
      <c r="O119" s="47">
        <f t="shared" si="78"/>
        <v>205.8864</v>
      </c>
      <c r="P119" s="49"/>
      <c r="Q119" s="49"/>
      <c r="R119" s="77">
        <f t="shared" si="68"/>
        <v>132.022018348624</v>
      </c>
      <c r="S119" s="77"/>
      <c r="T119" s="78">
        <f t="shared" si="69"/>
        <v>0.12983645791783</v>
      </c>
      <c r="U119" s="77"/>
      <c r="V119" s="77"/>
      <c r="W119" s="77">
        <f t="shared" si="67"/>
        <v>132.151854806542</v>
      </c>
      <c r="X119" s="79">
        <f t="shared" si="70"/>
        <v>1.70172317510969</v>
      </c>
      <c r="Y119" s="79"/>
      <c r="Z119" s="79"/>
      <c r="AA119" s="79">
        <f t="shared" si="64"/>
        <v>1.70172317510969</v>
      </c>
      <c r="AB119" s="91">
        <v>7.27</v>
      </c>
      <c r="AC119" s="77">
        <f t="shared" si="65"/>
        <v>12.3715274830475</v>
      </c>
      <c r="AD119" s="77">
        <f t="shared" si="63"/>
        <v>144.523382289589</v>
      </c>
      <c r="AE119" s="77">
        <f t="shared" si="66"/>
        <v>61.3630177104109</v>
      </c>
    </row>
    <row r="120" customFormat="1" spans="1:31">
      <c r="A120" s="22"/>
      <c r="B120" s="23"/>
      <c r="C120" s="24">
        <v>241204000001</v>
      </c>
      <c r="D120" s="25">
        <v>45633</v>
      </c>
      <c r="E120" s="25" t="s">
        <v>37</v>
      </c>
      <c r="F120" s="23" t="s">
        <v>38</v>
      </c>
      <c r="G120" s="23" t="s">
        <v>165</v>
      </c>
      <c r="H120" s="23">
        <v>3.5</v>
      </c>
      <c r="I120" s="43">
        <v>306</v>
      </c>
      <c r="J120" s="44"/>
      <c r="K120" s="45"/>
      <c r="L120" s="23"/>
      <c r="M120" s="45"/>
      <c r="N120" s="57"/>
      <c r="O120" s="47">
        <f t="shared" ref="O120:O124" si="79">SUM(I120)</f>
        <v>306</v>
      </c>
      <c r="P120" s="49"/>
      <c r="Q120" s="49"/>
      <c r="R120" s="77">
        <f t="shared" si="68"/>
        <v>231.038532110092</v>
      </c>
      <c r="S120" s="77"/>
      <c r="T120" s="78">
        <f t="shared" si="69"/>
        <v>0.227213801356203</v>
      </c>
      <c r="U120" s="77"/>
      <c r="V120" s="77"/>
      <c r="W120" s="77">
        <f t="shared" si="67"/>
        <v>231.265745911448</v>
      </c>
      <c r="X120" s="79">
        <f t="shared" si="70"/>
        <v>2.97801555644196</v>
      </c>
      <c r="Y120" s="79"/>
      <c r="Z120" s="79"/>
      <c r="AA120" s="79">
        <f t="shared" si="64"/>
        <v>2.97801555644196</v>
      </c>
      <c r="AB120" s="91">
        <v>7.27</v>
      </c>
      <c r="AC120" s="77">
        <f t="shared" si="65"/>
        <v>21.6501730953331</v>
      </c>
      <c r="AD120" s="77">
        <f t="shared" si="63"/>
        <v>252.915919006781</v>
      </c>
      <c r="AE120" s="77">
        <f t="shared" si="66"/>
        <v>53.084080993219</v>
      </c>
    </row>
    <row r="121" customFormat="1" spans="1:31">
      <c r="A121" s="22"/>
      <c r="B121" s="23"/>
      <c r="C121" s="24">
        <v>241204000013</v>
      </c>
      <c r="D121" s="25">
        <v>45633</v>
      </c>
      <c r="E121" s="25" t="s">
        <v>37</v>
      </c>
      <c r="F121" s="23" t="s">
        <v>38</v>
      </c>
      <c r="G121" s="23" t="s">
        <v>166</v>
      </c>
      <c r="H121" s="23">
        <v>9.5</v>
      </c>
      <c r="I121" s="50"/>
      <c r="J121" s="51">
        <v>202630</v>
      </c>
      <c r="K121" s="45"/>
      <c r="L121" s="52">
        <f t="shared" ref="L121:L125" si="80">SUM(J121/M121)</f>
        <v>1672.14061726357</v>
      </c>
      <c r="M121" s="53">
        <v>121.18</v>
      </c>
      <c r="N121" s="57">
        <v>7.27</v>
      </c>
      <c r="O121" s="47">
        <f t="shared" ref="O121:O125" si="81">SUM(M121*N121)</f>
        <v>880.9786</v>
      </c>
      <c r="P121" s="49"/>
      <c r="Q121" s="49"/>
      <c r="R121" s="77">
        <f t="shared" si="68"/>
        <v>627.104587155963</v>
      </c>
      <c r="S121" s="77"/>
      <c r="T121" s="78">
        <f t="shared" si="69"/>
        <v>0.616723175109693</v>
      </c>
      <c r="U121" s="77"/>
      <c r="V121" s="77"/>
      <c r="W121" s="77">
        <f t="shared" si="67"/>
        <v>627.721310331073</v>
      </c>
      <c r="X121" s="79">
        <f t="shared" si="70"/>
        <v>8.08318508177104</v>
      </c>
      <c r="Y121" s="79"/>
      <c r="Z121" s="79"/>
      <c r="AA121" s="79">
        <f t="shared" si="64"/>
        <v>8.08318508177104</v>
      </c>
      <c r="AB121" s="91">
        <v>7.27</v>
      </c>
      <c r="AC121" s="77">
        <f t="shared" si="65"/>
        <v>58.7647555444755</v>
      </c>
      <c r="AD121" s="77">
        <f t="shared" si="63"/>
        <v>686.486065875548</v>
      </c>
      <c r="AE121" s="77">
        <f t="shared" si="66"/>
        <v>194.492534124452</v>
      </c>
    </row>
    <row r="122" customFormat="1" spans="1:31">
      <c r="A122" s="22"/>
      <c r="B122" s="23"/>
      <c r="C122" s="24">
        <v>241204000027</v>
      </c>
      <c r="D122" s="25">
        <v>45633</v>
      </c>
      <c r="E122" s="25" t="s">
        <v>44</v>
      </c>
      <c r="F122" s="23" t="s">
        <v>45</v>
      </c>
      <c r="G122" s="23" t="s">
        <v>167</v>
      </c>
      <c r="H122" s="23">
        <v>72.5</v>
      </c>
      <c r="I122" s="50"/>
      <c r="J122" s="51">
        <v>1250625</v>
      </c>
      <c r="K122" s="45"/>
      <c r="L122" s="52">
        <f t="shared" si="80"/>
        <v>1672.11503750351</v>
      </c>
      <c r="M122" s="53">
        <v>747.93</v>
      </c>
      <c r="N122" s="57">
        <v>7.27</v>
      </c>
      <c r="O122" s="47">
        <f t="shared" si="81"/>
        <v>5437.4511</v>
      </c>
      <c r="P122" s="49"/>
      <c r="Q122" s="49"/>
      <c r="R122" s="77">
        <f t="shared" si="68"/>
        <v>4785.79816513761</v>
      </c>
      <c r="S122" s="77"/>
      <c r="T122" s="78">
        <f t="shared" si="69"/>
        <v>4.70657159952134</v>
      </c>
      <c r="U122" s="77"/>
      <c r="V122" s="77"/>
      <c r="W122" s="77">
        <f t="shared" si="67"/>
        <v>4790.50473673714</v>
      </c>
      <c r="X122" s="79">
        <f t="shared" si="70"/>
        <v>61.6874650977264</v>
      </c>
      <c r="Y122" s="79"/>
      <c r="Z122" s="79"/>
      <c r="AA122" s="79">
        <f t="shared" si="64"/>
        <v>61.6874650977264</v>
      </c>
      <c r="AB122" s="91">
        <v>7.27</v>
      </c>
      <c r="AC122" s="77">
        <f t="shared" si="65"/>
        <v>448.467871260471</v>
      </c>
      <c r="AD122" s="77">
        <f t="shared" si="63"/>
        <v>5238.97260799761</v>
      </c>
      <c r="AE122" s="77">
        <f t="shared" si="66"/>
        <v>198.478492002394</v>
      </c>
    </row>
    <row r="123" customFormat="1" spans="1:31">
      <c r="A123" s="22"/>
      <c r="B123" s="23"/>
      <c r="C123" s="24">
        <v>241204000033</v>
      </c>
      <c r="D123" s="26">
        <v>45633</v>
      </c>
      <c r="E123" s="25" t="s">
        <v>70</v>
      </c>
      <c r="F123" s="23" t="s">
        <v>70</v>
      </c>
      <c r="G123" s="23" t="s">
        <v>168</v>
      </c>
      <c r="H123" s="23">
        <v>7</v>
      </c>
      <c r="I123" s="43">
        <v>617</v>
      </c>
      <c r="J123" s="44"/>
      <c r="K123" s="45"/>
      <c r="L123" s="23"/>
      <c r="M123" s="45"/>
      <c r="N123" s="57"/>
      <c r="O123" s="47">
        <f t="shared" si="79"/>
        <v>617</v>
      </c>
      <c r="P123" s="49"/>
      <c r="Q123" s="49"/>
      <c r="R123" s="77">
        <f t="shared" si="68"/>
        <v>462.077064220183</v>
      </c>
      <c r="S123" s="77"/>
      <c r="T123" s="78">
        <f t="shared" si="69"/>
        <v>0.454427602712405</v>
      </c>
      <c r="U123" s="77">
        <v>30</v>
      </c>
      <c r="V123" s="77"/>
      <c r="W123" s="77">
        <f t="shared" si="67"/>
        <v>492.531491822896</v>
      </c>
      <c r="X123" s="79">
        <f t="shared" si="70"/>
        <v>5.95603111288393</v>
      </c>
      <c r="Y123" s="79"/>
      <c r="Z123" s="79"/>
      <c r="AA123" s="79">
        <f t="shared" si="64"/>
        <v>5.95603111288393</v>
      </c>
      <c r="AB123" s="91">
        <v>7.27</v>
      </c>
      <c r="AC123" s="77">
        <f t="shared" si="65"/>
        <v>43.3003461906661</v>
      </c>
      <c r="AD123" s="77">
        <f t="shared" si="63"/>
        <v>535.831838013562</v>
      </c>
      <c r="AE123" s="77">
        <f t="shared" si="66"/>
        <v>81.168161986438</v>
      </c>
    </row>
    <row r="124" customFormat="1" spans="1:31">
      <c r="A124" s="22"/>
      <c r="B124" s="23"/>
      <c r="C124" s="24">
        <v>241204000034</v>
      </c>
      <c r="D124" s="26">
        <v>45633</v>
      </c>
      <c r="E124" s="25" t="s">
        <v>70</v>
      </c>
      <c r="F124" s="23" t="s">
        <v>70</v>
      </c>
      <c r="G124" s="23" t="s">
        <v>169</v>
      </c>
      <c r="H124" s="23">
        <v>80</v>
      </c>
      <c r="I124" s="43">
        <v>6160</v>
      </c>
      <c r="J124" s="44"/>
      <c r="K124" s="45"/>
      <c r="L124" s="23"/>
      <c r="M124" s="45"/>
      <c r="N124" s="57"/>
      <c r="O124" s="47">
        <f t="shared" si="79"/>
        <v>6160</v>
      </c>
      <c r="P124" s="49"/>
      <c r="Q124" s="49"/>
      <c r="R124" s="77">
        <f t="shared" si="68"/>
        <v>5280.88073394495</v>
      </c>
      <c r="S124" s="77"/>
      <c r="T124" s="78">
        <f t="shared" si="69"/>
        <v>5.1934583167132</v>
      </c>
      <c r="U124" s="77"/>
      <c r="V124" s="77"/>
      <c r="W124" s="77">
        <f t="shared" si="67"/>
        <v>5286.07419226167</v>
      </c>
      <c r="X124" s="79">
        <f t="shared" si="70"/>
        <v>68.0689270043877</v>
      </c>
      <c r="Y124" s="79"/>
      <c r="Z124" s="79"/>
      <c r="AA124" s="79">
        <f t="shared" si="64"/>
        <v>68.0689270043877</v>
      </c>
      <c r="AB124" s="91">
        <v>7.27</v>
      </c>
      <c r="AC124" s="77">
        <f t="shared" si="65"/>
        <v>494.861099321899</v>
      </c>
      <c r="AD124" s="77">
        <f t="shared" si="63"/>
        <v>5780.93529158357</v>
      </c>
      <c r="AE124" s="77">
        <f t="shared" si="66"/>
        <v>379.064708416434</v>
      </c>
    </row>
    <row r="125" customFormat="1" spans="1:31">
      <c r="A125" s="22"/>
      <c r="B125" s="23"/>
      <c r="C125" s="24">
        <v>241204000037</v>
      </c>
      <c r="D125" s="25">
        <v>45633</v>
      </c>
      <c r="E125" s="25" t="s">
        <v>44</v>
      </c>
      <c r="F125" s="23" t="s">
        <v>45</v>
      </c>
      <c r="G125" s="23" t="s">
        <v>170</v>
      </c>
      <c r="H125" s="23">
        <v>12</v>
      </c>
      <c r="I125" s="50"/>
      <c r="J125" s="51">
        <v>224250</v>
      </c>
      <c r="K125" s="45"/>
      <c r="L125" s="52">
        <f t="shared" si="80"/>
        <v>1672.13481470435</v>
      </c>
      <c r="M125" s="53">
        <v>134.11</v>
      </c>
      <c r="N125" s="57">
        <v>7.27</v>
      </c>
      <c r="O125" s="47">
        <f t="shared" si="81"/>
        <v>974.9797</v>
      </c>
      <c r="P125" s="49"/>
      <c r="Q125" s="49"/>
      <c r="R125" s="77">
        <f t="shared" si="68"/>
        <v>792.132110091743</v>
      </c>
      <c r="S125" s="77"/>
      <c r="T125" s="78">
        <f t="shared" si="69"/>
        <v>0.779018747506981</v>
      </c>
      <c r="U125" s="77"/>
      <c r="V125" s="78">
        <f>SUM(28+52)</f>
        <v>80</v>
      </c>
      <c r="W125" s="77">
        <f t="shared" si="67"/>
        <v>872.91112883925</v>
      </c>
      <c r="X125" s="79">
        <f t="shared" si="70"/>
        <v>10.2103390506582</v>
      </c>
      <c r="Y125" s="79"/>
      <c r="Z125" s="79"/>
      <c r="AA125" s="79">
        <f t="shared" si="64"/>
        <v>10.2103390506582</v>
      </c>
      <c r="AB125" s="91">
        <v>7.27</v>
      </c>
      <c r="AC125" s="77">
        <f t="shared" si="65"/>
        <v>74.2291648982848</v>
      </c>
      <c r="AD125" s="77">
        <f t="shared" si="63"/>
        <v>947.140293737535</v>
      </c>
      <c r="AE125" s="77">
        <f t="shared" si="66"/>
        <v>27.8394062624652</v>
      </c>
    </row>
    <row r="126" customFormat="1" spans="1:31">
      <c r="A126" s="22"/>
      <c r="B126" s="23"/>
      <c r="C126" s="24">
        <v>241204000040</v>
      </c>
      <c r="D126" s="26">
        <v>45633</v>
      </c>
      <c r="E126" s="25" t="s">
        <v>54</v>
      </c>
      <c r="F126" s="23" t="s">
        <v>171</v>
      </c>
      <c r="G126" s="23" t="s">
        <v>172</v>
      </c>
      <c r="H126" s="23">
        <v>59.5</v>
      </c>
      <c r="I126" s="43">
        <v>5533.5</v>
      </c>
      <c r="J126" s="44"/>
      <c r="K126" s="45"/>
      <c r="L126" s="23"/>
      <c r="M126" s="45"/>
      <c r="N126" s="57"/>
      <c r="O126" s="47">
        <f t="shared" ref="O126:O131" si="82">SUM(I126)</f>
        <v>5533.5</v>
      </c>
      <c r="P126" s="49"/>
      <c r="Q126" s="49"/>
      <c r="R126" s="77">
        <f t="shared" si="68"/>
        <v>3927.65504587156</v>
      </c>
      <c r="S126" s="77"/>
      <c r="T126" s="78">
        <f t="shared" si="69"/>
        <v>3.86263462305544</v>
      </c>
      <c r="U126" s="77"/>
      <c r="V126" s="77"/>
      <c r="W126" s="77">
        <f t="shared" si="67"/>
        <v>3931.51768049461</v>
      </c>
      <c r="X126" s="79">
        <f t="shared" si="70"/>
        <v>50.6262644595134</v>
      </c>
      <c r="Y126" s="79"/>
      <c r="Z126" s="79"/>
      <c r="AA126" s="79">
        <f t="shared" si="64"/>
        <v>50.6262644595134</v>
      </c>
      <c r="AB126" s="91">
        <v>7.27</v>
      </c>
      <c r="AC126" s="77">
        <f t="shared" si="65"/>
        <v>368.052942620662</v>
      </c>
      <c r="AD126" s="77">
        <f t="shared" si="63"/>
        <v>4299.57062311528</v>
      </c>
      <c r="AE126" s="77">
        <f t="shared" si="66"/>
        <v>1233.92937688472</v>
      </c>
    </row>
    <row r="127" customFormat="1" spans="1:31">
      <c r="A127" s="22"/>
      <c r="B127" s="23"/>
      <c r="C127" s="24">
        <v>241204000041</v>
      </c>
      <c r="D127" s="25">
        <v>45633</v>
      </c>
      <c r="E127" s="25" t="s">
        <v>41</v>
      </c>
      <c r="F127" s="23" t="s">
        <v>42</v>
      </c>
      <c r="G127" s="23" t="s">
        <v>173</v>
      </c>
      <c r="H127" s="23">
        <v>10</v>
      </c>
      <c r="I127" s="50"/>
      <c r="J127" s="51">
        <v>200640</v>
      </c>
      <c r="K127" s="45"/>
      <c r="L127" s="52">
        <f>SUM(J127/M127)</f>
        <v>1744.84737803287</v>
      </c>
      <c r="M127" s="53">
        <v>114.99</v>
      </c>
      <c r="N127" s="57">
        <v>7.27</v>
      </c>
      <c r="O127" s="47">
        <f>SUM(M127*N127)</f>
        <v>835.9773</v>
      </c>
      <c r="P127" s="49"/>
      <c r="Q127" s="49"/>
      <c r="R127" s="77">
        <f t="shared" si="68"/>
        <v>660.110091743119</v>
      </c>
      <c r="S127" s="77"/>
      <c r="T127" s="78">
        <f t="shared" si="69"/>
        <v>0.64918228958915</v>
      </c>
      <c r="U127" s="77"/>
      <c r="V127" s="77"/>
      <c r="W127" s="77">
        <f t="shared" si="67"/>
        <v>660.759274032708</v>
      </c>
      <c r="X127" s="79">
        <f t="shared" si="70"/>
        <v>8.50861587554846</v>
      </c>
      <c r="Y127" s="79"/>
      <c r="Z127" s="79"/>
      <c r="AA127" s="79">
        <f t="shared" si="64"/>
        <v>8.50861587554846</v>
      </c>
      <c r="AB127" s="91">
        <v>7.27</v>
      </c>
      <c r="AC127" s="77">
        <f t="shared" si="65"/>
        <v>61.8576374152373</v>
      </c>
      <c r="AD127" s="77">
        <f t="shared" si="63"/>
        <v>722.616911447946</v>
      </c>
      <c r="AE127" s="77">
        <f t="shared" si="66"/>
        <v>113.360388552054</v>
      </c>
    </row>
    <row r="128" customFormat="1" spans="1:31">
      <c r="A128" s="22"/>
      <c r="B128" s="23"/>
      <c r="C128" s="24">
        <v>241204000054</v>
      </c>
      <c r="D128" s="25">
        <v>45633</v>
      </c>
      <c r="E128" s="25" t="s">
        <v>61</v>
      </c>
      <c r="F128" s="23" t="s">
        <v>62</v>
      </c>
      <c r="G128" s="23" t="s">
        <v>174</v>
      </c>
      <c r="H128" s="23">
        <v>8</v>
      </c>
      <c r="I128" s="43">
        <v>592</v>
      </c>
      <c r="J128" s="44"/>
      <c r="K128" s="45"/>
      <c r="L128" s="23"/>
      <c r="M128" s="45"/>
      <c r="N128" s="57"/>
      <c r="O128" s="47">
        <f t="shared" si="82"/>
        <v>592</v>
      </c>
      <c r="P128" s="49"/>
      <c r="Q128" s="49"/>
      <c r="R128" s="77">
        <f t="shared" si="68"/>
        <v>528.088073394495</v>
      </c>
      <c r="S128" s="77"/>
      <c r="T128" s="78">
        <f t="shared" si="69"/>
        <v>0.51934583167132</v>
      </c>
      <c r="U128" s="77"/>
      <c r="V128" s="77"/>
      <c r="W128" s="77">
        <f t="shared" si="67"/>
        <v>528.607419226167</v>
      </c>
      <c r="X128" s="79">
        <f t="shared" si="70"/>
        <v>6.80689270043877</v>
      </c>
      <c r="Y128" s="79"/>
      <c r="Z128" s="79"/>
      <c r="AA128" s="79">
        <f t="shared" si="64"/>
        <v>6.80689270043877</v>
      </c>
      <c r="AB128" s="91">
        <v>7.27</v>
      </c>
      <c r="AC128" s="77">
        <f t="shared" si="65"/>
        <v>49.4861099321899</v>
      </c>
      <c r="AD128" s="77">
        <f t="shared" si="63"/>
        <v>578.093529158357</v>
      </c>
      <c r="AE128" s="77">
        <f t="shared" si="66"/>
        <v>13.9064708416435</v>
      </c>
    </row>
    <row r="129" customFormat="1" spans="1:31">
      <c r="A129" s="22"/>
      <c r="B129" s="23"/>
      <c r="C129" s="24">
        <v>241204000056</v>
      </c>
      <c r="D129" s="25">
        <v>45633</v>
      </c>
      <c r="E129" s="25" t="s">
        <v>61</v>
      </c>
      <c r="F129" s="23" t="s">
        <v>62</v>
      </c>
      <c r="G129" s="23" t="s">
        <v>174</v>
      </c>
      <c r="H129" s="23">
        <v>4.5</v>
      </c>
      <c r="I129" s="43">
        <v>333</v>
      </c>
      <c r="J129" s="44"/>
      <c r="K129" s="45"/>
      <c r="L129" s="23"/>
      <c r="M129" s="45"/>
      <c r="N129" s="57"/>
      <c r="O129" s="47">
        <f t="shared" si="82"/>
        <v>333</v>
      </c>
      <c r="P129" s="49"/>
      <c r="Q129" s="49"/>
      <c r="R129" s="77">
        <f t="shared" si="68"/>
        <v>297.049541284404</v>
      </c>
      <c r="S129" s="77"/>
      <c r="T129" s="78">
        <f t="shared" si="69"/>
        <v>0.292132030315118</v>
      </c>
      <c r="U129" s="77"/>
      <c r="V129" s="77"/>
      <c r="W129" s="77">
        <f t="shared" si="67"/>
        <v>297.341673314719</v>
      </c>
      <c r="X129" s="79">
        <f t="shared" si="70"/>
        <v>3.82887714399681</v>
      </c>
      <c r="Y129" s="79"/>
      <c r="Z129" s="79"/>
      <c r="AA129" s="79">
        <f t="shared" si="64"/>
        <v>3.82887714399681</v>
      </c>
      <c r="AB129" s="91">
        <v>7.27</v>
      </c>
      <c r="AC129" s="77">
        <f t="shared" si="65"/>
        <v>27.8359368368568</v>
      </c>
      <c r="AD129" s="77">
        <f t="shared" si="63"/>
        <v>325.177610151576</v>
      </c>
      <c r="AE129" s="77">
        <f t="shared" si="66"/>
        <v>7.82238984842445</v>
      </c>
    </row>
    <row r="130" customFormat="1" spans="1:31">
      <c r="A130" s="22"/>
      <c r="B130" s="23"/>
      <c r="C130" s="24">
        <v>241204000058</v>
      </c>
      <c r="D130" s="25">
        <v>45633</v>
      </c>
      <c r="E130" s="25" t="s">
        <v>61</v>
      </c>
      <c r="F130" s="23" t="s">
        <v>62</v>
      </c>
      <c r="G130" s="23" t="s">
        <v>174</v>
      </c>
      <c r="H130" s="23">
        <v>28.5</v>
      </c>
      <c r="I130" s="43">
        <v>2166</v>
      </c>
      <c r="J130" s="44"/>
      <c r="K130" s="45"/>
      <c r="L130" s="23"/>
      <c r="M130" s="45"/>
      <c r="N130" s="57"/>
      <c r="O130" s="47">
        <f t="shared" si="82"/>
        <v>2166</v>
      </c>
      <c r="P130" s="49"/>
      <c r="Q130" s="49"/>
      <c r="R130" s="77">
        <f t="shared" si="68"/>
        <v>1881.31376146789</v>
      </c>
      <c r="S130" s="77"/>
      <c r="T130" s="78">
        <f t="shared" si="69"/>
        <v>1.85016952532908</v>
      </c>
      <c r="U130" s="77"/>
      <c r="V130" s="77"/>
      <c r="W130" s="77">
        <f t="shared" si="67"/>
        <v>1883.16393099322</v>
      </c>
      <c r="X130" s="79">
        <f t="shared" si="70"/>
        <v>24.2495552453131</v>
      </c>
      <c r="Y130" s="79"/>
      <c r="Z130" s="79"/>
      <c r="AA130" s="79">
        <f t="shared" si="64"/>
        <v>24.2495552453131</v>
      </c>
      <c r="AB130" s="91">
        <v>7.27</v>
      </c>
      <c r="AC130" s="77">
        <f t="shared" si="65"/>
        <v>176.294266633426</v>
      </c>
      <c r="AD130" s="77">
        <f t="shared" si="63"/>
        <v>2059.45819762665</v>
      </c>
      <c r="AE130" s="77">
        <f t="shared" si="66"/>
        <v>106.541802373355</v>
      </c>
    </row>
    <row r="131" customFormat="1" spans="1:31">
      <c r="A131" s="22"/>
      <c r="B131" s="23"/>
      <c r="C131" s="24">
        <v>241204000062</v>
      </c>
      <c r="D131" s="25">
        <v>45633</v>
      </c>
      <c r="E131" s="25" t="s">
        <v>37</v>
      </c>
      <c r="F131" s="23" t="s">
        <v>38</v>
      </c>
      <c r="G131" s="23" t="s">
        <v>175</v>
      </c>
      <c r="H131" s="23">
        <v>25</v>
      </c>
      <c r="I131" s="43">
        <v>1915</v>
      </c>
      <c r="J131" s="44"/>
      <c r="K131" s="45"/>
      <c r="L131" s="23"/>
      <c r="M131" s="45"/>
      <c r="N131" s="57"/>
      <c r="O131" s="47">
        <f t="shared" si="82"/>
        <v>1915</v>
      </c>
      <c r="P131" s="49"/>
      <c r="Q131" s="49"/>
      <c r="R131" s="77">
        <f t="shared" si="68"/>
        <v>1650.2752293578</v>
      </c>
      <c r="S131" s="77"/>
      <c r="T131" s="78">
        <f t="shared" si="69"/>
        <v>1.62295572397288</v>
      </c>
      <c r="U131" s="77"/>
      <c r="V131" s="77"/>
      <c r="W131" s="77">
        <f t="shared" si="67"/>
        <v>1651.89818508177</v>
      </c>
      <c r="X131" s="79">
        <f t="shared" si="70"/>
        <v>21.2715396888712</v>
      </c>
      <c r="Y131" s="79"/>
      <c r="Z131" s="79"/>
      <c r="AA131" s="79">
        <f t="shared" si="64"/>
        <v>21.2715396888712</v>
      </c>
      <c r="AB131" s="91">
        <v>7.27</v>
      </c>
      <c r="AC131" s="77">
        <f t="shared" si="65"/>
        <v>154.644093538093</v>
      </c>
      <c r="AD131" s="77">
        <f t="shared" si="63"/>
        <v>1806.54227861986</v>
      </c>
      <c r="AE131" s="77">
        <f t="shared" si="66"/>
        <v>108.457721380136</v>
      </c>
    </row>
    <row r="132" customFormat="1" spans="1:31">
      <c r="A132" s="22"/>
      <c r="B132" s="23"/>
      <c r="C132" s="24">
        <v>241204000071</v>
      </c>
      <c r="D132" s="26">
        <v>45633</v>
      </c>
      <c r="E132" s="25" t="s">
        <v>70</v>
      </c>
      <c r="F132" s="23" t="s">
        <v>70</v>
      </c>
      <c r="G132" s="23" t="s">
        <v>176</v>
      </c>
      <c r="H132" s="23">
        <v>80</v>
      </c>
      <c r="I132" s="47"/>
      <c r="J132" s="51">
        <v>1548040</v>
      </c>
      <c r="K132" s="45"/>
      <c r="L132" s="52">
        <f>SUM(J132/M132)</f>
        <v>1660.47038322967</v>
      </c>
      <c r="M132" s="53">
        <v>932.29004</v>
      </c>
      <c r="N132" s="57">
        <v>7.27</v>
      </c>
      <c r="O132" s="47">
        <f>SUM(M132*N132)</f>
        <v>6777.7485908</v>
      </c>
      <c r="P132" s="49"/>
      <c r="Q132" s="49"/>
      <c r="R132" s="77">
        <f t="shared" si="68"/>
        <v>5280.88073394495</v>
      </c>
      <c r="S132" s="77"/>
      <c r="T132" s="78">
        <f t="shared" si="69"/>
        <v>5.1934583167132</v>
      </c>
      <c r="U132" s="77"/>
      <c r="V132" s="77"/>
      <c r="W132" s="77">
        <f t="shared" si="67"/>
        <v>5286.07419226167</v>
      </c>
      <c r="X132" s="79">
        <f t="shared" si="70"/>
        <v>68.0689270043877</v>
      </c>
      <c r="Y132" s="79"/>
      <c r="Z132" s="79"/>
      <c r="AA132" s="79">
        <f t="shared" si="64"/>
        <v>68.0689270043877</v>
      </c>
      <c r="AB132" s="91">
        <v>7.27</v>
      </c>
      <c r="AC132" s="77">
        <f t="shared" si="65"/>
        <v>494.861099321899</v>
      </c>
      <c r="AD132" s="77">
        <f t="shared" si="63"/>
        <v>5780.93529158357</v>
      </c>
      <c r="AE132" s="77">
        <f t="shared" si="66"/>
        <v>996.813299216434</v>
      </c>
    </row>
    <row r="133" customFormat="1" spans="1:31">
      <c r="A133" s="22"/>
      <c r="B133" s="23"/>
      <c r="C133" s="24">
        <v>241204000077</v>
      </c>
      <c r="D133" s="25">
        <v>45633</v>
      </c>
      <c r="E133" s="25" t="s">
        <v>44</v>
      </c>
      <c r="F133" s="23" t="s">
        <v>45</v>
      </c>
      <c r="G133" s="23" t="s">
        <v>177</v>
      </c>
      <c r="H133" s="23">
        <v>53</v>
      </c>
      <c r="I133" s="43">
        <v>3975</v>
      </c>
      <c r="J133" s="44"/>
      <c r="K133" s="45"/>
      <c r="L133" s="23"/>
      <c r="M133" s="45"/>
      <c r="N133" s="57"/>
      <c r="O133" s="47">
        <f t="shared" ref="O133:O154" si="83">SUM(I133)</f>
        <v>3975</v>
      </c>
      <c r="P133" s="49"/>
      <c r="Q133" s="49"/>
      <c r="R133" s="77">
        <f t="shared" si="68"/>
        <v>3498.58348623853</v>
      </c>
      <c r="S133" s="77"/>
      <c r="T133" s="78">
        <f t="shared" si="69"/>
        <v>3.4406661348225</v>
      </c>
      <c r="U133" s="77"/>
      <c r="V133" s="77"/>
      <c r="W133" s="77">
        <f t="shared" si="67"/>
        <v>3502.02415237335</v>
      </c>
      <c r="X133" s="79">
        <f t="shared" si="70"/>
        <v>45.0956641404069</v>
      </c>
      <c r="Y133" s="79"/>
      <c r="Z133" s="79"/>
      <c r="AA133" s="79">
        <f t="shared" si="64"/>
        <v>45.0956641404069</v>
      </c>
      <c r="AB133" s="91">
        <v>7.27</v>
      </c>
      <c r="AC133" s="77">
        <f t="shared" si="65"/>
        <v>327.845478300758</v>
      </c>
      <c r="AD133" s="77">
        <f t="shared" si="63"/>
        <v>3829.86963067411</v>
      </c>
      <c r="AE133" s="77">
        <f t="shared" si="66"/>
        <v>145.130369325888</v>
      </c>
    </row>
    <row r="134" customFormat="1" spans="1:31">
      <c r="A134" s="22"/>
      <c r="B134" s="23"/>
      <c r="C134" s="24">
        <v>241204000078</v>
      </c>
      <c r="D134" s="25">
        <v>45633</v>
      </c>
      <c r="E134" s="25" t="s">
        <v>44</v>
      </c>
      <c r="F134" s="23" t="s">
        <v>45</v>
      </c>
      <c r="G134" s="23" t="s">
        <v>178</v>
      </c>
      <c r="H134" s="23">
        <v>99.5</v>
      </c>
      <c r="I134" s="43">
        <v>7960</v>
      </c>
      <c r="J134" s="44"/>
      <c r="K134" s="45"/>
      <c r="L134" s="23"/>
      <c r="M134" s="45"/>
      <c r="N134" s="57"/>
      <c r="O134" s="47">
        <f t="shared" si="83"/>
        <v>7960</v>
      </c>
      <c r="P134" s="55"/>
      <c r="Q134" s="55"/>
      <c r="R134" s="77">
        <f t="shared" si="68"/>
        <v>6568.09541284404</v>
      </c>
      <c r="S134" s="77"/>
      <c r="T134" s="78">
        <f t="shared" si="69"/>
        <v>6.45936378141205</v>
      </c>
      <c r="U134" s="77"/>
      <c r="V134" s="77"/>
      <c r="W134" s="77">
        <f t="shared" si="67"/>
        <v>6574.55477662545</v>
      </c>
      <c r="X134" s="79">
        <f t="shared" si="70"/>
        <v>84.6607279617072</v>
      </c>
      <c r="Y134" s="79"/>
      <c r="Z134" s="79"/>
      <c r="AA134" s="79">
        <f t="shared" si="64"/>
        <v>84.6607279617072</v>
      </c>
      <c r="AB134" s="91">
        <v>7.27</v>
      </c>
      <c r="AC134" s="77">
        <f t="shared" si="65"/>
        <v>615.483492281611</v>
      </c>
      <c r="AD134" s="77">
        <f t="shared" ref="AD134:AD165" si="84">SUM(W134+AC134)</f>
        <v>7190.03826890706</v>
      </c>
      <c r="AE134" s="77">
        <f t="shared" ref="AE134:AE165" si="85">SUM(O134-AD134)</f>
        <v>769.96173109294</v>
      </c>
    </row>
    <row r="135" s="2" customFormat="1" spans="1:31">
      <c r="A135" s="99" t="s">
        <v>179</v>
      </c>
      <c r="B135" s="100" t="s">
        <v>180</v>
      </c>
      <c r="C135" s="101">
        <v>241208000005</v>
      </c>
      <c r="D135" s="102">
        <v>45635</v>
      </c>
      <c r="E135" s="25" t="s">
        <v>70</v>
      </c>
      <c r="F135" s="100" t="s">
        <v>70</v>
      </c>
      <c r="G135" s="100" t="s">
        <v>181</v>
      </c>
      <c r="H135" s="100">
        <v>22</v>
      </c>
      <c r="I135" s="103">
        <v>2908.84</v>
      </c>
      <c r="J135" s="104"/>
      <c r="K135" s="105"/>
      <c r="L135" s="106"/>
      <c r="M135" s="107"/>
      <c r="N135" s="108"/>
      <c r="O135" s="109">
        <f t="shared" si="83"/>
        <v>2908.84</v>
      </c>
      <c r="P135" s="109">
        <f>SUM(O135)</f>
        <v>2908.84</v>
      </c>
      <c r="Q135" s="110" t="s">
        <v>40</v>
      </c>
      <c r="R135" s="109">
        <v>2600</v>
      </c>
      <c r="S135" s="109"/>
      <c r="T135" s="109">
        <v>0</v>
      </c>
      <c r="U135" s="109"/>
      <c r="V135" s="78">
        <v>48.84</v>
      </c>
      <c r="W135" s="77">
        <f t="shared" ref="W135:W166" si="86">SUM(R135:V135)</f>
        <v>2648.84</v>
      </c>
      <c r="X135" s="111">
        <v>47.78</v>
      </c>
      <c r="Y135" s="111"/>
      <c r="Z135" s="111"/>
      <c r="AA135" s="79">
        <f t="shared" ref="AA135:AA166" si="87">SUM(X135:Z135)</f>
        <v>47.78</v>
      </c>
      <c r="AB135" s="91">
        <v>7.27</v>
      </c>
      <c r="AC135" s="77">
        <f t="shared" ref="AC135:AC166" si="88">SUM(AA135*AB135)</f>
        <v>347.3606</v>
      </c>
      <c r="AD135" s="77">
        <f t="shared" si="84"/>
        <v>2996.2006</v>
      </c>
      <c r="AE135" s="77">
        <f t="shared" si="85"/>
        <v>-87.3606</v>
      </c>
    </row>
    <row r="136" customFormat="1" spans="1:31">
      <c r="A136" s="22" t="s">
        <v>182</v>
      </c>
      <c r="B136" s="23" t="s">
        <v>183</v>
      </c>
      <c r="C136" s="24">
        <v>241125000055</v>
      </c>
      <c r="D136" s="26">
        <v>45636</v>
      </c>
      <c r="E136" s="25" t="s">
        <v>70</v>
      </c>
      <c r="F136" s="23" t="s">
        <v>70</v>
      </c>
      <c r="G136" s="23" t="s">
        <v>184</v>
      </c>
      <c r="H136" s="23">
        <v>17.5</v>
      </c>
      <c r="I136" s="43">
        <v>1488.85</v>
      </c>
      <c r="J136" s="44"/>
      <c r="K136" s="45"/>
      <c r="L136" s="23"/>
      <c r="M136" s="45"/>
      <c r="N136" s="57"/>
      <c r="O136" s="47">
        <f t="shared" si="83"/>
        <v>1488.85</v>
      </c>
      <c r="P136" s="48">
        <f>SUM(O136:O217)</f>
        <v>236943.4695273</v>
      </c>
      <c r="Q136" s="48" t="s">
        <v>185</v>
      </c>
      <c r="R136" s="77">
        <f>SUM(194369/2866)*H136</f>
        <v>1186.83094905792</v>
      </c>
      <c r="S136" s="77"/>
      <c r="T136" s="78">
        <f>SUM(212.2/2866)*H136</f>
        <v>1.2957083042568</v>
      </c>
      <c r="U136" s="77"/>
      <c r="V136" s="77"/>
      <c r="W136" s="77">
        <f t="shared" si="86"/>
        <v>1188.12665736218</v>
      </c>
      <c r="X136" s="79">
        <f>SUM(1861.48/2866)*H136</f>
        <v>11.3663293789253</v>
      </c>
      <c r="Y136" s="79"/>
      <c r="Z136" s="79"/>
      <c r="AA136" s="79">
        <f t="shared" si="87"/>
        <v>11.3663293789253</v>
      </c>
      <c r="AB136" s="91">
        <v>7.27</v>
      </c>
      <c r="AC136" s="77">
        <f t="shared" si="88"/>
        <v>82.6332145847872</v>
      </c>
      <c r="AD136" s="77">
        <f t="shared" si="84"/>
        <v>1270.75987194696</v>
      </c>
      <c r="AE136" s="77">
        <f t="shared" si="85"/>
        <v>218.090128053036</v>
      </c>
    </row>
    <row r="137" customFormat="1" spans="1:31">
      <c r="A137" s="22"/>
      <c r="B137" s="23"/>
      <c r="C137" s="24">
        <v>241127000043</v>
      </c>
      <c r="D137" s="25">
        <v>45636</v>
      </c>
      <c r="E137" s="25" t="s">
        <v>61</v>
      </c>
      <c r="F137" s="23" t="s">
        <v>62</v>
      </c>
      <c r="G137" s="23" t="s">
        <v>186</v>
      </c>
      <c r="H137" s="23">
        <v>4</v>
      </c>
      <c r="I137" s="43">
        <v>452.2</v>
      </c>
      <c r="J137" s="44"/>
      <c r="K137" s="45"/>
      <c r="L137" s="23"/>
      <c r="M137" s="45"/>
      <c r="N137" s="57"/>
      <c r="O137" s="47">
        <f t="shared" si="83"/>
        <v>452.2</v>
      </c>
      <c r="P137" s="49"/>
      <c r="Q137" s="49"/>
      <c r="R137" s="77">
        <f t="shared" ref="R137:R168" si="89">SUM(194369/2866)*H137</f>
        <v>271.275645498953</v>
      </c>
      <c r="S137" s="77"/>
      <c r="T137" s="78">
        <f t="shared" ref="T137:T168" si="90">SUM(212.2/2866)*H137</f>
        <v>0.296161898115841</v>
      </c>
      <c r="U137" s="77"/>
      <c r="V137" s="77"/>
      <c r="W137" s="77">
        <f t="shared" si="86"/>
        <v>271.571807397069</v>
      </c>
      <c r="X137" s="79">
        <f t="shared" ref="X137:X168" si="91">SUM(1861.48/2866)*H137</f>
        <v>2.59801814375436</v>
      </c>
      <c r="Y137" s="79"/>
      <c r="Z137" s="79"/>
      <c r="AA137" s="79">
        <f t="shared" si="87"/>
        <v>2.59801814375436</v>
      </c>
      <c r="AB137" s="91">
        <v>7.27</v>
      </c>
      <c r="AC137" s="77">
        <f t="shared" si="88"/>
        <v>18.8875919050942</v>
      </c>
      <c r="AD137" s="77">
        <f t="shared" si="84"/>
        <v>290.459399302163</v>
      </c>
      <c r="AE137" s="77">
        <f t="shared" si="85"/>
        <v>161.740600697837</v>
      </c>
    </row>
    <row r="138" customFormat="1" spans="1:31">
      <c r="A138" s="22"/>
      <c r="B138" s="23"/>
      <c r="C138" s="24">
        <v>241128000019</v>
      </c>
      <c r="D138" s="25">
        <v>45636</v>
      </c>
      <c r="E138" s="25" t="s">
        <v>44</v>
      </c>
      <c r="F138" s="23" t="s">
        <v>45</v>
      </c>
      <c r="G138" s="23" t="s">
        <v>187</v>
      </c>
      <c r="H138" s="23">
        <v>7</v>
      </c>
      <c r="I138" s="43">
        <v>630</v>
      </c>
      <c r="J138" s="44"/>
      <c r="K138" s="45"/>
      <c r="L138" s="23"/>
      <c r="M138" s="45"/>
      <c r="N138" s="57"/>
      <c r="O138" s="47">
        <f t="shared" si="83"/>
        <v>630</v>
      </c>
      <c r="P138" s="49"/>
      <c r="Q138" s="49"/>
      <c r="R138" s="77">
        <f t="shared" si="89"/>
        <v>474.732379623168</v>
      </c>
      <c r="S138" s="77"/>
      <c r="T138" s="78">
        <f t="shared" si="90"/>
        <v>0.518283321702722</v>
      </c>
      <c r="U138" s="77"/>
      <c r="V138" s="77"/>
      <c r="W138" s="77">
        <f t="shared" si="86"/>
        <v>475.250662944871</v>
      </c>
      <c r="X138" s="79">
        <f t="shared" si="91"/>
        <v>4.54653175157013</v>
      </c>
      <c r="Y138" s="79"/>
      <c r="Z138" s="79"/>
      <c r="AA138" s="79">
        <f t="shared" si="87"/>
        <v>4.54653175157013</v>
      </c>
      <c r="AB138" s="91">
        <v>7.27</v>
      </c>
      <c r="AC138" s="77">
        <f t="shared" si="88"/>
        <v>33.0532858339149</v>
      </c>
      <c r="AD138" s="77">
        <f t="shared" si="84"/>
        <v>508.303948778786</v>
      </c>
      <c r="AE138" s="77">
        <f t="shared" si="85"/>
        <v>121.696051221214</v>
      </c>
    </row>
    <row r="139" customFormat="1" spans="1:31">
      <c r="A139" s="22"/>
      <c r="B139" s="23"/>
      <c r="C139" s="24">
        <v>241128000029</v>
      </c>
      <c r="D139" s="25">
        <v>45636</v>
      </c>
      <c r="E139" s="25" t="s">
        <v>44</v>
      </c>
      <c r="F139" s="23" t="s">
        <v>45</v>
      </c>
      <c r="G139" s="23" t="s">
        <v>188</v>
      </c>
      <c r="H139" s="23">
        <v>43.5</v>
      </c>
      <c r="I139" s="43">
        <v>3610.5</v>
      </c>
      <c r="J139" s="44"/>
      <c r="K139" s="45"/>
      <c r="L139" s="23"/>
      <c r="M139" s="45"/>
      <c r="N139" s="57"/>
      <c r="O139" s="47">
        <f t="shared" si="83"/>
        <v>3610.5</v>
      </c>
      <c r="P139" s="49"/>
      <c r="Q139" s="49"/>
      <c r="R139" s="77">
        <f t="shared" si="89"/>
        <v>2950.12264480112</v>
      </c>
      <c r="S139" s="77"/>
      <c r="T139" s="78">
        <f t="shared" si="90"/>
        <v>3.22076064200977</v>
      </c>
      <c r="U139" s="77"/>
      <c r="V139" s="77"/>
      <c r="W139" s="77">
        <f t="shared" si="86"/>
        <v>2953.34340544313</v>
      </c>
      <c r="X139" s="79">
        <f t="shared" si="91"/>
        <v>28.2534473133287</v>
      </c>
      <c r="Y139" s="79"/>
      <c r="Z139" s="79"/>
      <c r="AA139" s="79">
        <f t="shared" si="87"/>
        <v>28.2534473133287</v>
      </c>
      <c r="AB139" s="91">
        <v>7.27</v>
      </c>
      <c r="AC139" s="77">
        <f t="shared" si="88"/>
        <v>205.4025619679</v>
      </c>
      <c r="AD139" s="77">
        <f t="shared" si="84"/>
        <v>3158.74596741103</v>
      </c>
      <c r="AE139" s="77">
        <f t="shared" si="85"/>
        <v>451.754032588974</v>
      </c>
    </row>
    <row r="140" customFormat="1" spans="1:31">
      <c r="A140" s="22"/>
      <c r="B140" s="23"/>
      <c r="C140" s="24">
        <v>241128000038</v>
      </c>
      <c r="D140" s="25">
        <v>45636</v>
      </c>
      <c r="E140" s="25" t="s">
        <v>61</v>
      </c>
      <c r="F140" s="23" t="s">
        <v>62</v>
      </c>
      <c r="G140" s="23" t="s">
        <v>186</v>
      </c>
      <c r="H140" s="23">
        <v>0.33</v>
      </c>
      <c r="I140" s="43">
        <v>91.3</v>
      </c>
      <c r="J140" s="44"/>
      <c r="K140" s="45"/>
      <c r="L140" s="23"/>
      <c r="M140" s="45"/>
      <c r="N140" s="57"/>
      <c r="O140" s="47">
        <f t="shared" si="83"/>
        <v>91.3</v>
      </c>
      <c r="P140" s="49"/>
      <c r="Q140" s="49"/>
      <c r="R140" s="77">
        <f t="shared" si="89"/>
        <v>22.3802407536636</v>
      </c>
      <c r="S140" s="77"/>
      <c r="T140" s="78">
        <f t="shared" si="90"/>
        <v>0.0244333565945569</v>
      </c>
      <c r="U140" s="77"/>
      <c r="V140" s="77"/>
      <c r="W140" s="77">
        <f t="shared" si="86"/>
        <v>22.4046741102582</v>
      </c>
      <c r="X140" s="79">
        <f t="shared" si="91"/>
        <v>0.214336496859735</v>
      </c>
      <c r="Y140" s="79"/>
      <c r="Z140" s="79"/>
      <c r="AA140" s="79">
        <f t="shared" si="87"/>
        <v>0.214336496859735</v>
      </c>
      <c r="AB140" s="91">
        <v>7.27</v>
      </c>
      <c r="AC140" s="77">
        <f t="shared" si="88"/>
        <v>1.55822633217027</v>
      </c>
      <c r="AD140" s="77">
        <f t="shared" si="84"/>
        <v>23.9629004424285</v>
      </c>
      <c r="AE140" s="77">
        <f t="shared" si="85"/>
        <v>67.3370995575715</v>
      </c>
    </row>
    <row r="141" customFormat="1" spans="1:31">
      <c r="A141" s="22"/>
      <c r="B141" s="23"/>
      <c r="C141" s="24">
        <v>241128000042</v>
      </c>
      <c r="D141" s="25">
        <v>45636</v>
      </c>
      <c r="E141" s="25" t="s">
        <v>61</v>
      </c>
      <c r="F141" s="23" t="s">
        <v>62</v>
      </c>
      <c r="G141" s="23" t="s">
        <v>189</v>
      </c>
      <c r="H141" s="23">
        <v>0.96</v>
      </c>
      <c r="I141" s="43">
        <v>97.9</v>
      </c>
      <c r="J141" s="44"/>
      <c r="K141" s="45"/>
      <c r="L141" s="23"/>
      <c r="M141" s="45"/>
      <c r="N141" s="57"/>
      <c r="O141" s="47">
        <f t="shared" si="83"/>
        <v>97.9</v>
      </c>
      <c r="P141" s="49"/>
      <c r="Q141" s="49"/>
      <c r="R141" s="77">
        <f t="shared" si="89"/>
        <v>65.1061549197488</v>
      </c>
      <c r="S141" s="77"/>
      <c r="T141" s="78">
        <f t="shared" si="90"/>
        <v>0.0710788555478018</v>
      </c>
      <c r="U141" s="77"/>
      <c r="V141" s="77"/>
      <c r="W141" s="77">
        <f t="shared" si="86"/>
        <v>65.1772337752966</v>
      </c>
      <c r="X141" s="79">
        <f t="shared" si="91"/>
        <v>0.623524354501047</v>
      </c>
      <c r="Y141" s="79"/>
      <c r="Z141" s="79"/>
      <c r="AA141" s="79">
        <f t="shared" si="87"/>
        <v>0.623524354501047</v>
      </c>
      <c r="AB141" s="91">
        <v>7.27</v>
      </c>
      <c r="AC141" s="77">
        <f t="shared" si="88"/>
        <v>4.53302205722261</v>
      </c>
      <c r="AD141" s="77">
        <f t="shared" si="84"/>
        <v>69.7102558325192</v>
      </c>
      <c r="AE141" s="77">
        <f t="shared" si="85"/>
        <v>28.1897441674808</v>
      </c>
    </row>
    <row r="142" customFormat="1" spans="1:31">
      <c r="A142" s="22"/>
      <c r="B142" s="23"/>
      <c r="C142" s="24">
        <v>241128000044</v>
      </c>
      <c r="D142" s="25">
        <v>45636</v>
      </c>
      <c r="E142" s="25" t="s">
        <v>41</v>
      </c>
      <c r="F142" s="23" t="s">
        <v>42</v>
      </c>
      <c r="G142" s="23" t="s">
        <v>190</v>
      </c>
      <c r="H142" s="23">
        <v>2.5</v>
      </c>
      <c r="I142" s="43">
        <v>223.3</v>
      </c>
      <c r="J142" s="44"/>
      <c r="K142" s="45"/>
      <c r="L142" s="23"/>
      <c r="M142" s="45"/>
      <c r="N142" s="57"/>
      <c r="O142" s="47">
        <f t="shared" si="83"/>
        <v>223.3</v>
      </c>
      <c r="P142" s="49"/>
      <c r="Q142" s="49"/>
      <c r="R142" s="77">
        <f t="shared" si="89"/>
        <v>169.547278436846</v>
      </c>
      <c r="S142" s="77"/>
      <c r="T142" s="78">
        <f t="shared" si="90"/>
        <v>0.185101186322401</v>
      </c>
      <c r="U142" s="77"/>
      <c r="V142" s="77"/>
      <c r="W142" s="77">
        <f t="shared" si="86"/>
        <v>169.732379623168</v>
      </c>
      <c r="X142" s="79">
        <f t="shared" si="91"/>
        <v>1.62376133984648</v>
      </c>
      <c r="Y142" s="79"/>
      <c r="Z142" s="79"/>
      <c r="AA142" s="79">
        <f t="shared" si="87"/>
        <v>1.62376133984648</v>
      </c>
      <c r="AB142" s="91">
        <v>7.27</v>
      </c>
      <c r="AC142" s="77">
        <f t="shared" si="88"/>
        <v>11.8047449406839</v>
      </c>
      <c r="AD142" s="77">
        <f t="shared" si="84"/>
        <v>181.537124563852</v>
      </c>
      <c r="AE142" s="77">
        <f t="shared" si="85"/>
        <v>41.7628754361479</v>
      </c>
    </row>
    <row r="143" customFormat="1" spans="1:31">
      <c r="A143" s="22"/>
      <c r="B143" s="23"/>
      <c r="C143" s="24">
        <v>241129000002</v>
      </c>
      <c r="D143" s="25">
        <v>45636</v>
      </c>
      <c r="E143" s="25" t="s">
        <v>37</v>
      </c>
      <c r="F143" s="23" t="s">
        <v>38</v>
      </c>
      <c r="G143" s="23" t="s">
        <v>154</v>
      </c>
      <c r="H143" s="23">
        <v>2.5</v>
      </c>
      <c r="I143" s="43">
        <v>301.75</v>
      </c>
      <c r="J143" s="44"/>
      <c r="K143" s="45"/>
      <c r="L143" s="23"/>
      <c r="M143" s="45"/>
      <c r="N143" s="57"/>
      <c r="O143" s="47">
        <f t="shared" si="83"/>
        <v>301.75</v>
      </c>
      <c r="P143" s="49"/>
      <c r="Q143" s="49"/>
      <c r="R143" s="77">
        <f t="shared" si="89"/>
        <v>169.547278436846</v>
      </c>
      <c r="S143" s="77"/>
      <c r="T143" s="78">
        <f t="shared" si="90"/>
        <v>0.185101186322401</v>
      </c>
      <c r="U143" s="77"/>
      <c r="V143" s="77"/>
      <c r="W143" s="77">
        <f t="shared" si="86"/>
        <v>169.732379623168</v>
      </c>
      <c r="X143" s="79">
        <f t="shared" si="91"/>
        <v>1.62376133984648</v>
      </c>
      <c r="Y143" s="79"/>
      <c r="Z143" s="79"/>
      <c r="AA143" s="79">
        <f t="shared" si="87"/>
        <v>1.62376133984648</v>
      </c>
      <c r="AB143" s="91">
        <v>7.27</v>
      </c>
      <c r="AC143" s="77">
        <f t="shared" si="88"/>
        <v>11.8047449406839</v>
      </c>
      <c r="AD143" s="77">
        <f t="shared" si="84"/>
        <v>181.537124563852</v>
      </c>
      <c r="AE143" s="77">
        <f t="shared" si="85"/>
        <v>120.212875436148</v>
      </c>
    </row>
    <row r="144" customFormat="1" spans="1:31">
      <c r="A144" s="22"/>
      <c r="B144" s="23"/>
      <c r="C144" s="24">
        <v>241129000013</v>
      </c>
      <c r="D144" s="25">
        <v>45636</v>
      </c>
      <c r="E144" s="25" t="s">
        <v>54</v>
      </c>
      <c r="F144" s="23" t="s">
        <v>55</v>
      </c>
      <c r="G144" s="23" t="s">
        <v>191</v>
      </c>
      <c r="H144" s="23">
        <v>1</v>
      </c>
      <c r="I144" s="43">
        <v>115</v>
      </c>
      <c r="J144" s="44"/>
      <c r="K144" s="45"/>
      <c r="L144" s="23"/>
      <c r="M144" s="45"/>
      <c r="N144" s="57"/>
      <c r="O144" s="47">
        <f t="shared" si="83"/>
        <v>115</v>
      </c>
      <c r="P144" s="49"/>
      <c r="Q144" s="49"/>
      <c r="R144" s="77">
        <f t="shared" si="89"/>
        <v>67.8189113747383</v>
      </c>
      <c r="S144" s="77"/>
      <c r="T144" s="78">
        <f t="shared" si="90"/>
        <v>0.0740404745289602</v>
      </c>
      <c r="U144" s="77"/>
      <c r="V144" s="77"/>
      <c r="W144" s="77">
        <f t="shared" si="86"/>
        <v>67.8929518492673</v>
      </c>
      <c r="X144" s="79">
        <f t="shared" si="91"/>
        <v>0.64950453593859</v>
      </c>
      <c r="Y144" s="79"/>
      <c r="Z144" s="79"/>
      <c r="AA144" s="79">
        <f t="shared" si="87"/>
        <v>0.64950453593859</v>
      </c>
      <c r="AB144" s="91">
        <v>7.27</v>
      </c>
      <c r="AC144" s="77">
        <f t="shared" si="88"/>
        <v>4.72189797627355</v>
      </c>
      <c r="AD144" s="77">
        <f t="shared" si="84"/>
        <v>72.6148498255408</v>
      </c>
      <c r="AE144" s="77">
        <f t="shared" si="85"/>
        <v>42.3851501744592</v>
      </c>
    </row>
    <row r="145" customFormat="1" spans="1:31">
      <c r="A145" s="22"/>
      <c r="B145" s="23"/>
      <c r="C145" s="24">
        <v>241129000018</v>
      </c>
      <c r="D145" s="25">
        <v>45636</v>
      </c>
      <c r="E145" s="25" t="s">
        <v>44</v>
      </c>
      <c r="F145" s="23" t="s">
        <v>45</v>
      </c>
      <c r="G145" s="23" t="s">
        <v>192</v>
      </c>
      <c r="H145" s="23">
        <v>1.5</v>
      </c>
      <c r="I145" s="43">
        <v>135</v>
      </c>
      <c r="J145" s="44"/>
      <c r="K145" s="45"/>
      <c r="L145" s="23"/>
      <c r="M145" s="45"/>
      <c r="N145" s="57"/>
      <c r="O145" s="47">
        <f t="shared" si="83"/>
        <v>135</v>
      </c>
      <c r="P145" s="49"/>
      <c r="Q145" s="49"/>
      <c r="R145" s="77">
        <f t="shared" si="89"/>
        <v>101.728367062107</v>
      </c>
      <c r="S145" s="77"/>
      <c r="T145" s="78">
        <f t="shared" si="90"/>
        <v>0.11106071179344</v>
      </c>
      <c r="U145" s="77"/>
      <c r="V145" s="77"/>
      <c r="W145" s="77">
        <f t="shared" si="86"/>
        <v>101.839427773901</v>
      </c>
      <c r="X145" s="79">
        <f t="shared" si="91"/>
        <v>0.974256803907886</v>
      </c>
      <c r="Y145" s="79"/>
      <c r="Z145" s="79"/>
      <c r="AA145" s="79">
        <f t="shared" si="87"/>
        <v>0.974256803907886</v>
      </c>
      <c r="AB145" s="91">
        <v>7.27</v>
      </c>
      <c r="AC145" s="77">
        <f t="shared" si="88"/>
        <v>7.08284696441033</v>
      </c>
      <c r="AD145" s="77">
        <f t="shared" si="84"/>
        <v>108.922274738311</v>
      </c>
      <c r="AE145" s="77">
        <f t="shared" si="85"/>
        <v>26.0777252616888</v>
      </c>
    </row>
    <row r="146" customFormat="1" spans="1:31">
      <c r="A146" s="22"/>
      <c r="B146" s="23"/>
      <c r="C146" s="24">
        <v>241129000020</v>
      </c>
      <c r="D146" s="25">
        <v>45636</v>
      </c>
      <c r="E146" s="25" t="s">
        <v>61</v>
      </c>
      <c r="F146" s="23" t="s">
        <v>62</v>
      </c>
      <c r="G146" s="23" t="s">
        <v>186</v>
      </c>
      <c r="H146" s="23">
        <v>3</v>
      </c>
      <c r="I146" s="43">
        <v>340.2</v>
      </c>
      <c r="J146" s="44"/>
      <c r="K146" s="45"/>
      <c r="L146" s="23"/>
      <c r="M146" s="45"/>
      <c r="N146" s="57"/>
      <c r="O146" s="47">
        <f t="shared" si="83"/>
        <v>340.2</v>
      </c>
      <c r="P146" s="49"/>
      <c r="Q146" s="49"/>
      <c r="R146" s="77">
        <f t="shared" si="89"/>
        <v>203.456734124215</v>
      </c>
      <c r="S146" s="77"/>
      <c r="T146" s="78">
        <f t="shared" si="90"/>
        <v>0.222121423586881</v>
      </c>
      <c r="U146" s="77"/>
      <c r="V146" s="77"/>
      <c r="W146" s="77">
        <f t="shared" si="86"/>
        <v>203.678855547802</v>
      </c>
      <c r="X146" s="79">
        <f t="shared" si="91"/>
        <v>1.94851360781577</v>
      </c>
      <c r="Y146" s="79"/>
      <c r="Z146" s="79"/>
      <c r="AA146" s="79">
        <f t="shared" si="87"/>
        <v>1.94851360781577</v>
      </c>
      <c r="AB146" s="91">
        <v>7.27</v>
      </c>
      <c r="AC146" s="77">
        <f t="shared" si="88"/>
        <v>14.1656939288207</v>
      </c>
      <c r="AD146" s="77">
        <f t="shared" si="84"/>
        <v>217.844549476622</v>
      </c>
      <c r="AE146" s="77">
        <f t="shared" si="85"/>
        <v>122.355450523378</v>
      </c>
    </row>
    <row r="147" customFormat="1" spans="1:31">
      <c r="A147" s="22"/>
      <c r="B147" s="23"/>
      <c r="C147" s="24">
        <v>241129000021</v>
      </c>
      <c r="D147" s="25">
        <v>45636</v>
      </c>
      <c r="E147" s="25" t="s">
        <v>84</v>
      </c>
      <c r="F147" s="23" t="s">
        <v>85</v>
      </c>
      <c r="G147" s="23" t="s">
        <v>193</v>
      </c>
      <c r="H147" s="23">
        <v>3.5</v>
      </c>
      <c r="I147" s="43">
        <v>342.3</v>
      </c>
      <c r="J147" s="44"/>
      <c r="K147" s="45"/>
      <c r="L147" s="23"/>
      <c r="M147" s="45"/>
      <c r="N147" s="57"/>
      <c r="O147" s="47">
        <f t="shared" si="83"/>
        <v>342.3</v>
      </c>
      <c r="P147" s="49"/>
      <c r="Q147" s="49"/>
      <c r="R147" s="77">
        <f t="shared" si="89"/>
        <v>237.366189811584</v>
      </c>
      <c r="S147" s="77"/>
      <c r="T147" s="78">
        <f t="shared" si="90"/>
        <v>0.259141660851361</v>
      </c>
      <c r="U147" s="77"/>
      <c r="V147" s="77"/>
      <c r="W147" s="77">
        <f t="shared" si="86"/>
        <v>237.625331472435</v>
      </c>
      <c r="X147" s="79">
        <f t="shared" si="91"/>
        <v>2.27326587578507</v>
      </c>
      <c r="Y147" s="79">
        <v>4.16</v>
      </c>
      <c r="Z147" s="79"/>
      <c r="AA147" s="79">
        <f t="shared" si="87"/>
        <v>6.43326587578507</v>
      </c>
      <c r="AB147" s="91">
        <v>7.27</v>
      </c>
      <c r="AC147" s="77">
        <f t="shared" si="88"/>
        <v>46.7698429169574</v>
      </c>
      <c r="AD147" s="77">
        <f t="shared" si="84"/>
        <v>284.395174389393</v>
      </c>
      <c r="AE147" s="77">
        <f t="shared" si="85"/>
        <v>57.9048256106071</v>
      </c>
    </row>
    <row r="148" customFormat="1" spans="1:31">
      <c r="A148" s="22"/>
      <c r="B148" s="23"/>
      <c r="C148" s="24">
        <v>241129000025</v>
      </c>
      <c r="D148" s="25">
        <v>45636</v>
      </c>
      <c r="E148" s="25" t="s">
        <v>61</v>
      </c>
      <c r="F148" s="23" t="s">
        <v>62</v>
      </c>
      <c r="G148" s="23" t="s">
        <v>194</v>
      </c>
      <c r="H148" s="23">
        <v>23.5</v>
      </c>
      <c r="I148" s="43">
        <v>1992.55</v>
      </c>
      <c r="J148" s="44"/>
      <c r="K148" s="45"/>
      <c r="L148" s="23"/>
      <c r="M148" s="45"/>
      <c r="N148" s="57"/>
      <c r="O148" s="47">
        <f t="shared" si="83"/>
        <v>1992.55</v>
      </c>
      <c r="P148" s="49"/>
      <c r="Q148" s="49"/>
      <c r="R148" s="77">
        <f t="shared" si="89"/>
        <v>1593.74441730635</v>
      </c>
      <c r="S148" s="77"/>
      <c r="T148" s="78">
        <f t="shared" si="90"/>
        <v>1.73995115143057</v>
      </c>
      <c r="U148" s="77"/>
      <c r="V148" s="77"/>
      <c r="W148" s="77">
        <f t="shared" si="86"/>
        <v>1595.48436845778</v>
      </c>
      <c r="X148" s="79">
        <f t="shared" si="91"/>
        <v>15.2633565945569</v>
      </c>
      <c r="Y148" s="79"/>
      <c r="Z148" s="79"/>
      <c r="AA148" s="79">
        <f t="shared" si="87"/>
        <v>15.2633565945569</v>
      </c>
      <c r="AB148" s="91">
        <v>7.27</v>
      </c>
      <c r="AC148" s="77">
        <f t="shared" si="88"/>
        <v>110.964602442428</v>
      </c>
      <c r="AD148" s="77">
        <f t="shared" si="84"/>
        <v>1706.44897090021</v>
      </c>
      <c r="AE148" s="77">
        <f t="shared" si="85"/>
        <v>286.101029099791</v>
      </c>
    </row>
    <row r="149" customFormat="1" spans="1:31">
      <c r="A149" s="22"/>
      <c r="B149" s="23"/>
      <c r="C149" s="24">
        <v>241129000039</v>
      </c>
      <c r="D149" s="26">
        <v>45636</v>
      </c>
      <c r="E149" s="25" t="s">
        <v>54</v>
      </c>
      <c r="F149" s="23" t="s">
        <v>195</v>
      </c>
      <c r="G149" s="23" t="s">
        <v>196</v>
      </c>
      <c r="H149" s="23">
        <v>3</v>
      </c>
      <c r="I149" s="43">
        <v>340.2</v>
      </c>
      <c r="J149" s="44"/>
      <c r="K149" s="45"/>
      <c r="L149" s="23"/>
      <c r="M149" s="45"/>
      <c r="N149" s="57"/>
      <c r="O149" s="47">
        <f t="shared" si="83"/>
        <v>340.2</v>
      </c>
      <c r="P149" s="49"/>
      <c r="Q149" s="49"/>
      <c r="R149" s="77">
        <f t="shared" si="89"/>
        <v>203.456734124215</v>
      </c>
      <c r="S149" s="77"/>
      <c r="T149" s="78">
        <f t="shared" si="90"/>
        <v>0.222121423586881</v>
      </c>
      <c r="U149" s="77"/>
      <c r="V149" s="77"/>
      <c r="W149" s="77">
        <f t="shared" si="86"/>
        <v>203.678855547802</v>
      </c>
      <c r="X149" s="79">
        <f t="shared" si="91"/>
        <v>1.94851360781577</v>
      </c>
      <c r="Y149" s="79"/>
      <c r="Z149" s="79"/>
      <c r="AA149" s="79">
        <f t="shared" si="87"/>
        <v>1.94851360781577</v>
      </c>
      <c r="AB149" s="91">
        <v>7.27</v>
      </c>
      <c r="AC149" s="77">
        <f t="shared" si="88"/>
        <v>14.1656939288207</v>
      </c>
      <c r="AD149" s="77">
        <f t="shared" si="84"/>
        <v>217.844549476622</v>
      </c>
      <c r="AE149" s="77">
        <f t="shared" si="85"/>
        <v>122.355450523378</v>
      </c>
    </row>
    <row r="150" customFormat="1" spans="1:31">
      <c r="A150" s="22"/>
      <c r="B150" s="23"/>
      <c r="C150" s="24">
        <v>241129000043</v>
      </c>
      <c r="D150" s="25">
        <v>45636</v>
      </c>
      <c r="E150" s="25" t="s">
        <v>37</v>
      </c>
      <c r="F150" s="23" t="s">
        <v>38</v>
      </c>
      <c r="G150" s="23" t="s">
        <v>197</v>
      </c>
      <c r="H150" s="23">
        <v>13</v>
      </c>
      <c r="I150" s="43">
        <v>1193</v>
      </c>
      <c r="J150" s="44"/>
      <c r="K150" s="45"/>
      <c r="L150" s="23"/>
      <c r="M150" s="45"/>
      <c r="N150" s="57"/>
      <c r="O150" s="47">
        <f t="shared" si="83"/>
        <v>1193</v>
      </c>
      <c r="P150" s="49"/>
      <c r="Q150" s="49"/>
      <c r="R150" s="77">
        <f t="shared" si="89"/>
        <v>881.645847871598</v>
      </c>
      <c r="S150" s="77"/>
      <c r="T150" s="78">
        <f t="shared" si="90"/>
        <v>0.962526168876483</v>
      </c>
      <c r="U150" s="77"/>
      <c r="V150" s="77"/>
      <c r="W150" s="77">
        <f t="shared" si="86"/>
        <v>882.608374040474</v>
      </c>
      <c r="X150" s="79">
        <f t="shared" si="91"/>
        <v>8.44355896720167</v>
      </c>
      <c r="Y150" s="79"/>
      <c r="Z150" s="79"/>
      <c r="AA150" s="79">
        <f t="shared" si="87"/>
        <v>8.44355896720167</v>
      </c>
      <c r="AB150" s="91">
        <v>7.27</v>
      </c>
      <c r="AC150" s="77">
        <f t="shared" si="88"/>
        <v>61.3846736915562</v>
      </c>
      <c r="AD150" s="77">
        <f t="shared" si="84"/>
        <v>943.993047732031</v>
      </c>
      <c r="AE150" s="77">
        <f t="shared" si="85"/>
        <v>249.006952267969</v>
      </c>
    </row>
    <row r="151" customFormat="1" spans="1:31">
      <c r="A151" s="22"/>
      <c r="B151" s="23"/>
      <c r="C151" s="24">
        <v>241129000045</v>
      </c>
      <c r="D151" s="25">
        <v>45636</v>
      </c>
      <c r="E151" s="25" t="s">
        <v>61</v>
      </c>
      <c r="F151" s="23" t="s">
        <v>62</v>
      </c>
      <c r="G151" s="23" t="s">
        <v>198</v>
      </c>
      <c r="H151" s="23">
        <v>16.5</v>
      </c>
      <c r="I151" s="43">
        <v>1464.15</v>
      </c>
      <c r="J151" s="44"/>
      <c r="K151" s="45"/>
      <c r="L151" s="23"/>
      <c r="M151" s="45"/>
      <c r="N151" s="57"/>
      <c r="O151" s="47">
        <f t="shared" si="83"/>
        <v>1464.15</v>
      </c>
      <c r="P151" s="49"/>
      <c r="Q151" s="49"/>
      <c r="R151" s="77">
        <f t="shared" si="89"/>
        <v>1119.01203768318</v>
      </c>
      <c r="S151" s="77"/>
      <c r="T151" s="78">
        <f t="shared" si="90"/>
        <v>1.22166782972784</v>
      </c>
      <c r="U151" s="77"/>
      <c r="V151" s="77"/>
      <c r="W151" s="77">
        <f t="shared" si="86"/>
        <v>1120.23370551291</v>
      </c>
      <c r="X151" s="79">
        <f t="shared" si="91"/>
        <v>10.7168248429867</v>
      </c>
      <c r="Y151" s="79">
        <v>8.33</v>
      </c>
      <c r="Z151" s="79"/>
      <c r="AA151" s="79">
        <f t="shared" si="87"/>
        <v>19.0468248429867</v>
      </c>
      <c r="AB151" s="91">
        <v>7.27</v>
      </c>
      <c r="AC151" s="77">
        <f t="shared" si="88"/>
        <v>138.470416608514</v>
      </c>
      <c r="AD151" s="77">
        <f t="shared" si="84"/>
        <v>1258.70412212142</v>
      </c>
      <c r="AE151" s="77">
        <f t="shared" si="85"/>
        <v>205.445877878576</v>
      </c>
    </row>
    <row r="152" customFormat="1" spans="1:31">
      <c r="A152" s="22"/>
      <c r="B152" s="23"/>
      <c r="C152" s="24">
        <v>241129000051</v>
      </c>
      <c r="D152" s="25">
        <v>45636</v>
      </c>
      <c r="E152" s="25" t="s">
        <v>61</v>
      </c>
      <c r="F152" s="23" t="s">
        <v>62</v>
      </c>
      <c r="G152" s="23" t="s">
        <v>199</v>
      </c>
      <c r="H152" s="23">
        <v>2.5</v>
      </c>
      <c r="I152" s="43">
        <v>262.5</v>
      </c>
      <c r="J152" s="44"/>
      <c r="K152" s="45"/>
      <c r="L152" s="23"/>
      <c r="M152" s="45"/>
      <c r="N152" s="57"/>
      <c r="O152" s="47">
        <f t="shared" si="83"/>
        <v>262.5</v>
      </c>
      <c r="P152" s="49"/>
      <c r="Q152" s="49"/>
      <c r="R152" s="77">
        <f t="shared" si="89"/>
        <v>169.547278436846</v>
      </c>
      <c r="S152" s="77"/>
      <c r="T152" s="78">
        <f t="shared" si="90"/>
        <v>0.185101186322401</v>
      </c>
      <c r="U152" s="77"/>
      <c r="V152" s="77"/>
      <c r="W152" s="77">
        <f t="shared" si="86"/>
        <v>169.732379623168</v>
      </c>
      <c r="X152" s="79">
        <f t="shared" si="91"/>
        <v>1.62376133984648</v>
      </c>
      <c r="Y152" s="79">
        <v>3.43</v>
      </c>
      <c r="Z152" s="79"/>
      <c r="AA152" s="79">
        <f t="shared" si="87"/>
        <v>5.05376133984648</v>
      </c>
      <c r="AB152" s="91">
        <v>7.27</v>
      </c>
      <c r="AC152" s="77">
        <f t="shared" si="88"/>
        <v>36.7408449406839</v>
      </c>
      <c r="AD152" s="77">
        <f t="shared" si="84"/>
        <v>206.473224563852</v>
      </c>
      <c r="AE152" s="77">
        <f t="shared" si="85"/>
        <v>56.0267754361479</v>
      </c>
    </row>
    <row r="153" customFormat="1" spans="1:31">
      <c r="A153" s="22"/>
      <c r="B153" s="23"/>
      <c r="C153" s="24">
        <v>241129000052</v>
      </c>
      <c r="D153" s="25">
        <v>45636</v>
      </c>
      <c r="E153" s="25" t="s">
        <v>44</v>
      </c>
      <c r="F153" s="23" t="s">
        <v>45</v>
      </c>
      <c r="G153" s="23" t="s">
        <v>200</v>
      </c>
      <c r="H153" s="23">
        <v>4</v>
      </c>
      <c r="I153" s="43">
        <v>507</v>
      </c>
      <c r="J153" s="44"/>
      <c r="K153" s="45"/>
      <c r="L153" s="23"/>
      <c r="M153" s="45"/>
      <c r="N153" s="57"/>
      <c r="O153" s="47">
        <f t="shared" si="83"/>
        <v>507</v>
      </c>
      <c r="P153" s="49"/>
      <c r="Q153" s="49"/>
      <c r="R153" s="77">
        <f t="shared" si="89"/>
        <v>271.275645498953</v>
      </c>
      <c r="S153" s="77"/>
      <c r="T153" s="78">
        <f t="shared" si="90"/>
        <v>0.296161898115841</v>
      </c>
      <c r="U153" s="77"/>
      <c r="V153" s="77"/>
      <c r="W153" s="77">
        <f t="shared" si="86"/>
        <v>271.571807397069</v>
      </c>
      <c r="X153" s="79">
        <f t="shared" si="91"/>
        <v>2.59801814375436</v>
      </c>
      <c r="Y153" s="79"/>
      <c r="Z153" s="79"/>
      <c r="AA153" s="79">
        <f t="shared" si="87"/>
        <v>2.59801814375436</v>
      </c>
      <c r="AB153" s="91">
        <v>7.27</v>
      </c>
      <c r="AC153" s="77">
        <f t="shared" si="88"/>
        <v>18.8875919050942</v>
      </c>
      <c r="AD153" s="77">
        <f t="shared" si="84"/>
        <v>290.459399302163</v>
      </c>
      <c r="AE153" s="77">
        <f t="shared" si="85"/>
        <v>216.540600697837</v>
      </c>
    </row>
    <row r="154" customFormat="1" spans="1:31">
      <c r="A154" s="22"/>
      <c r="B154" s="23"/>
      <c r="C154" s="24">
        <v>241129000053</v>
      </c>
      <c r="D154" s="25">
        <v>45636</v>
      </c>
      <c r="E154" s="25" t="s">
        <v>44</v>
      </c>
      <c r="F154" s="23" t="s">
        <v>45</v>
      </c>
      <c r="G154" s="23" t="s">
        <v>201</v>
      </c>
      <c r="H154" s="23">
        <v>3.5</v>
      </c>
      <c r="I154" s="43">
        <v>587</v>
      </c>
      <c r="J154" s="44"/>
      <c r="K154" s="45"/>
      <c r="L154" s="23"/>
      <c r="M154" s="45"/>
      <c r="N154" s="57"/>
      <c r="O154" s="47">
        <f t="shared" si="83"/>
        <v>587</v>
      </c>
      <c r="P154" s="49"/>
      <c r="Q154" s="49"/>
      <c r="R154" s="77">
        <f t="shared" si="89"/>
        <v>237.366189811584</v>
      </c>
      <c r="S154" s="77"/>
      <c r="T154" s="78">
        <f t="shared" si="90"/>
        <v>0.259141660851361</v>
      </c>
      <c r="U154" s="77"/>
      <c r="V154" s="77"/>
      <c r="W154" s="77">
        <f t="shared" si="86"/>
        <v>237.625331472435</v>
      </c>
      <c r="X154" s="79">
        <f t="shared" si="91"/>
        <v>2.27326587578507</v>
      </c>
      <c r="Y154" s="79"/>
      <c r="Z154" s="79"/>
      <c r="AA154" s="79">
        <f t="shared" si="87"/>
        <v>2.27326587578507</v>
      </c>
      <c r="AB154" s="91">
        <v>7.27</v>
      </c>
      <c r="AC154" s="77">
        <f t="shared" si="88"/>
        <v>16.5266429169574</v>
      </c>
      <c r="AD154" s="77">
        <f t="shared" si="84"/>
        <v>254.151974389393</v>
      </c>
      <c r="AE154" s="77">
        <f t="shared" si="85"/>
        <v>332.848025610607</v>
      </c>
    </row>
    <row r="155" customFormat="1" spans="1:31">
      <c r="A155" s="22"/>
      <c r="B155" s="23"/>
      <c r="C155" s="24">
        <v>241129000054</v>
      </c>
      <c r="D155" s="25">
        <v>45636</v>
      </c>
      <c r="E155" s="25" t="s">
        <v>44</v>
      </c>
      <c r="F155" s="23" t="s">
        <v>45</v>
      </c>
      <c r="G155" s="23" t="s">
        <v>148</v>
      </c>
      <c r="H155" s="23">
        <v>10.5</v>
      </c>
      <c r="I155" s="50"/>
      <c r="J155" s="51">
        <v>203060</v>
      </c>
      <c r="K155" s="45"/>
      <c r="L155" s="52">
        <f>SUM(J155/M155)</f>
        <v>1694.0018353216</v>
      </c>
      <c r="M155" s="53">
        <v>119.87</v>
      </c>
      <c r="N155" s="57">
        <v>7.27</v>
      </c>
      <c r="O155" s="47">
        <f>SUM(M155*N155)</f>
        <v>871.4549</v>
      </c>
      <c r="P155" s="49"/>
      <c r="Q155" s="49"/>
      <c r="R155" s="77">
        <f t="shared" si="89"/>
        <v>712.098569434752</v>
      </c>
      <c r="S155" s="77"/>
      <c r="T155" s="78">
        <f t="shared" si="90"/>
        <v>0.777424982554082</v>
      </c>
      <c r="U155" s="77"/>
      <c r="V155" s="77"/>
      <c r="W155" s="77">
        <f t="shared" si="86"/>
        <v>712.875994417306</v>
      </c>
      <c r="X155" s="79">
        <f t="shared" si="91"/>
        <v>6.8197976273552</v>
      </c>
      <c r="Y155" s="79"/>
      <c r="Z155" s="79"/>
      <c r="AA155" s="79">
        <f t="shared" si="87"/>
        <v>6.8197976273552</v>
      </c>
      <c r="AB155" s="91">
        <v>7.27</v>
      </c>
      <c r="AC155" s="77">
        <f t="shared" si="88"/>
        <v>49.5799287508723</v>
      </c>
      <c r="AD155" s="77">
        <f t="shared" si="84"/>
        <v>762.455923168179</v>
      </c>
      <c r="AE155" s="77">
        <f t="shared" si="85"/>
        <v>108.998976831821</v>
      </c>
    </row>
    <row r="156" customFormat="1" spans="1:31">
      <c r="A156" s="22"/>
      <c r="B156" s="23"/>
      <c r="C156" s="24">
        <v>241129000056</v>
      </c>
      <c r="D156" s="25">
        <v>45636</v>
      </c>
      <c r="E156" s="25" t="s">
        <v>44</v>
      </c>
      <c r="F156" s="23" t="s">
        <v>45</v>
      </c>
      <c r="G156" s="23" t="s">
        <v>202</v>
      </c>
      <c r="H156" s="23">
        <v>33</v>
      </c>
      <c r="I156" s="96"/>
      <c r="J156" s="51">
        <v>682643.4</v>
      </c>
      <c r="K156" s="45"/>
      <c r="L156" s="52">
        <f>SUM(J156/M156)</f>
        <v>1693.90421836228</v>
      </c>
      <c r="M156" s="53">
        <v>403</v>
      </c>
      <c r="N156" s="57">
        <v>7.27</v>
      </c>
      <c r="O156" s="47">
        <f>SUM(M156*N156)</f>
        <v>2929.81</v>
      </c>
      <c r="P156" s="49"/>
      <c r="Q156" s="49"/>
      <c r="R156" s="77">
        <f t="shared" si="89"/>
        <v>2238.02407536636</v>
      </c>
      <c r="S156" s="77"/>
      <c r="T156" s="78">
        <f t="shared" si="90"/>
        <v>2.44333565945569</v>
      </c>
      <c r="U156" s="77"/>
      <c r="V156" s="77"/>
      <c r="W156" s="77">
        <f t="shared" si="86"/>
        <v>2240.46741102582</v>
      </c>
      <c r="X156" s="79">
        <f t="shared" si="91"/>
        <v>21.4336496859735</v>
      </c>
      <c r="Y156" s="79"/>
      <c r="Z156" s="79"/>
      <c r="AA156" s="79">
        <f t="shared" si="87"/>
        <v>21.4336496859735</v>
      </c>
      <c r="AB156" s="91">
        <v>7.27</v>
      </c>
      <c r="AC156" s="77">
        <f t="shared" si="88"/>
        <v>155.822633217027</v>
      </c>
      <c r="AD156" s="77">
        <f t="shared" si="84"/>
        <v>2396.29004424285</v>
      </c>
      <c r="AE156" s="77">
        <f t="shared" si="85"/>
        <v>533.519955757153</v>
      </c>
    </row>
    <row r="157" customFormat="1" spans="1:31">
      <c r="A157" s="22"/>
      <c r="B157" s="23"/>
      <c r="C157" s="92">
        <v>241129000058</v>
      </c>
      <c r="D157" s="94">
        <v>45636</v>
      </c>
      <c r="E157" s="25" t="s">
        <v>44</v>
      </c>
      <c r="F157" s="95" t="s">
        <v>45</v>
      </c>
      <c r="G157" s="95" t="s">
        <v>203</v>
      </c>
      <c r="H157" s="95">
        <v>4</v>
      </c>
      <c r="I157" s="43">
        <v>385</v>
      </c>
      <c r="J157" s="44"/>
      <c r="K157" s="45"/>
      <c r="L157" s="23"/>
      <c r="M157" s="45"/>
      <c r="N157" s="57"/>
      <c r="O157" s="47">
        <f t="shared" ref="O157:O167" si="92">SUM(I157)</f>
        <v>385</v>
      </c>
      <c r="P157" s="49"/>
      <c r="Q157" s="49"/>
      <c r="R157" s="77">
        <f t="shared" si="89"/>
        <v>271.275645498953</v>
      </c>
      <c r="S157" s="77"/>
      <c r="T157" s="78">
        <f t="shared" si="90"/>
        <v>0.296161898115841</v>
      </c>
      <c r="U157" s="77"/>
      <c r="V157" s="77"/>
      <c r="W157" s="77">
        <f t="shared" si="86"/>
        <v>271.571807397069</v>
      </c>
      <c r="X157" s="79">
        <f t="shared" si="91"/>
        <v>2.59801814375436</v>
      </c>
      <c r="Y157" s="79"/>
      <c r="Z157" s="79"/>
      <c r="AA157" s="79">
        <f t="shared" si="87"/>
        <v>2.59801814375436</v>
      </c>
      <c r="AB157" s="91">
        <v>7.27</v>
      </c>
      <c r="AC157" s="77">
        <f t="shared" si="88"/>
        <v>18.8875919050942</v>
      </c>
      <c r="AD157" s="77">
        <f t="shared" si="84"/>
        <v>290.459399302163</v>
      </c>
      <c r="AE157" s="77">
        <f t="shared" si="85"/>
        <v>94.5406006978367</v>
      </c>
    </row>
    <row r="158" customFormat="1" spans="1:31">
      <c r="A158" s="22"/>
      <c r="B158" s="23"/>
      <c r="C158" s="24">
        <v>241129000059</v>
      </c>
      <c r="D158" s="25">
        <v>45636</v>
      </c>
      <c r="E158" s="25" t="s">
        <v>44</v>
      </c>
      <c r="F158" s="23" t="s">
        <v>45</v>
      </c>
      <c r="G158" s="23" t="s">
        <v>204</v>
      </c>
      <c r="H158" s="23">
        <v>14</v>
      </c>
      <c r="I158" s="43">
        <v>1423</v>
      </c>
      <c r="J158" s="44"/>
      <c r="K158" s="45"/>
      <c r="L158" s="23"/>
      <c r="M158" s="45"/>
      <c r="N158" s="57"/>
      <c r="O158" s="47">
        <f t="shared" si="92"/>
        <v>1423</v>
      </c>
      <c r="P158" s="49"/>
      <c r="Q158" s="49"/>
      <c r="R158" s="77">
        <f t="shared" si="89"/>
        <v>949.464759246336</v>
      </c>
      <c r="S158" s="77"/>
      <c r="T158" s="78">
        <f t="shared" si="90"/>
        <v>1.03656664340544</v>
      </c>
      <c r="U158" s="77"/>
      <c r="V158" s="77"/>
      <c r="W158" s="77">
        <f t="shared" si="86"/>
        <v>950.501325889742</v>
      </c>
      <c r="X158" s="79">
        <f t="shared" si="91"/>
        <v>9.09306350314026</v>
      </c>
      <c r="Y158" s="79"/>
      <c r="Z158" s="79"/>
      <c r="AA158" s="79">
        <f t="shared" si="87"/>
        <v>9.09306350314026</v>
      </c>
      <c r="AB158" s="91">
        <v>7.27</v>
      </c>
      <c r="AC158" s="77">
        <f t="shared" si="88"/>
        <v>66.1065716678297</v>
      </c>
      <c r="AD158" s="77">
        <f t="shared" si="84"/>
        <v>1016.60789755757</v>
      </c>
      <c r="AE158" s="77">
        <f t="shared" si="85"/>
        <v>406.392102442429</v>
      </c>
    </row>
    <row r="159" customFormat="1" spans="1:31">
      <c r="A159" s="22"/>
      <c r="B159" s="23"/>
      <c r="C159" s="24">
        <v>241130000007</v>
      </c>
      <c r="D159" s="25">
        <v>45636</v>
      </c>
      <c r="E159" s="25" t="s">
        <v>54</v>
      </c>
      <c r="F159" s="23" t="s">
        <v>55</v>
      </c>
      <c r="G159" s="23" t="s">
        <v>125</v>
      </c>
      <c r="H159" s="23">
        <v>0.54</v>
      </c>
      <c r="I159" s="43">
        <v>91.3</v>
      </c>
      <c r="J159" s="44"/>
      <c r="K159" s="45"/>
      <c r="L159" s="23"/>
      <c r="M159" s="45"/>
      <c r="N159" s="57"/>
      <c r="O159" s="47">
        <f t="shared" si="92"/>
        <v>91.3</v>
      </c>
      <c r="P159" s="49"/>
      <c r="Q159" s="49"/>
      <c r="R159" s="77">
        <f t="shared" si="89"/>
        <v>36.6222121423587</v>
      </c>
      <c r="S159" s="77"/>
      <c r="T159" s="78">
        <f t="shared" si="90"/>
        <v>0.0399818562456385</v>
      </c>
      <c r="U159" s="77"/>
      <c r="V159" s="77"/>
      <c r="W159" s="77">
        <f t="shared" si="86"/>
        <v>36.6621939986043</v>
      </c>
      <c r="X159" s="79">
        <f t="shared" si="91"/>
        <v>0.350732449406839</v>
      </c>
      <c r="Y159" s="79"/>
      <c r="Z159" s="79"/>
      <c r="AA159" s="79">
        <f t="shared" si="87"/>
        <v>0.350732449406839</v>
      </c>
      <c r="AB159" s="91">
        <v>7.27</v>
      </c>
      <c r="AC159" s="77">
        <f t="shared" si="88"/>
        <v>2.54982490718772</v>
      </c>
      <c r="AD159" s="77">
        <f t="shared" si="84"/>
        <v>39.212018905792</v>
      </c>
      <c r="AE159" s="77">
        <f t="shared" si="85"/>
        <v>52.087981094208</v>
      </c>
    </row>
    <row r="160" customFormat="1" spans="1:31">
      <c r="A160" s="22"/>
      <c r="B160" s="23"/>
      <c r="C160" s="24">
        <v>241130000022</v>
      </c>
      <c r="D160" s="25">
        <v>45636</v>
      </c>
      <c r="E160" s="25" t="s">
        <v>61</v>
      </c>
      <c r="F160" s="23" t="s">
        <v>62</v>
      </c>
      <c r="G160" s="23" t="s">
        <v>205</v>
      </c>
      <c r="H160" s="23">
        <v>27</v>
      </c>
      <c r="I160" s="43">
        <v>2311.3</v>
      </c>
      <c r="J160" s="44"/>
      <c r="K160" s="45"/>
      <c r="L160" s="23"/>
      <c r="M160" s="45"/>
      <c r="N160" s="57"/>
      <c r="O160" s="47">
        <f t="shared" si="92"/>
        <v>2311.3</v>
      </c>
      <c r="P160" s="49"/>
      <c r="Q160" s="49"/>
      <c r="R160" s="77">
        <f t="shared" si="89"/>
        <v>1831.11060711793</v>
      </c>
      <c r="S160" s="77"/>
      <c r="T160" s="78">
        <f t="shared" si="90"/>
        <v>1.99909281228193</v>
      </c>
      <c r="U160" s="77"/>
      <c r="V160" s="77"/>
      <c r="W160" s="77">
        <f t="shared" si="86"/>
        <v>1833.10969993022</v>
      </c>
      <c r="X160" s="79">
        <f t="shared" si="91"/>
        <v>17.5366224703419</v>
      </c>
      <c r="Y160" s="79"/>
      <c r="Z160" s="79"/>
      <c r="AA160" s="79">
        <f t="shared" si="87"/>
        <v>17.5366224703419</v>
      </c>
      <c r="AB160" s="91">
        <v>7.27</v>
      </c>
      <c r="AC160" s="77">
        <f t="shared" si="88"/>
        <v>127.491245359386</v>
      </c>
      <c r="AD160" s="77">
        <f t="shared" si="84"/>
        <v>1960.6009452896</v>
      </c>
      <c r="AE160" s="77">
        <f t="shared" si="85"/>
        <v>350.699054710398</v>
      </c>
    </row>
    <row r="161" customFormat="1" spans="1:31">
      <c r="A161" s="22"/>
      <c r="B161" s="23"/>
      <c r="C161" s="24">
        <v>241130000028</v>
      </c>
      <c r="D161" s="25">
        <v>45636</v>
      </c>
      <c r="E161" s="25" t="s">
        <v>41</v>
      </c>
      <c r="F161" s="23" t="s">
        <v>42</v>
      </c>
      <c r="G161" s="23" t="s">
        <v>190</v>
      </c>
      <c r="H161" s="23">
        <v>6.5</v>
      </c>
      <c r="I161" s="50">
        <v>557.15</v>
      </c>
      <c r="J161" s="44"/>
      <c r="K161" s="45"/>
      <c r="L161" s="23"/>
      <c r="M161" s="45"/>
      <c r="N161" s="57"/>
      <c r="O161" s="47">
        <f t="shared" si="92"/>
        <v>557.15</v>
      </c>
      <c r="P161" s="49"/>
      <c r="Q161" s="49"/>
      <c r="R161" s="77">
        <f t="shared" si="89"/>
        <v>440.822923935799</v>
      </c>
      <c r="S161" s="77"/>
      <c r="T161" s="78">
        <f t="shared" si="90"/>
        <v>0.481263084438241</v>
      </c>
      <c r="U161" s="77"/>
      <c r="V161" s="77"/>
      <c r="W161" s="77">
        <f t="shared" si="86"/>
        <v>441.304187020237</v>
      </c>
      <c r="X161" s="79">
        <f t="shared" si="91"/>
        <v>4.22177948360084</v>
      </c>
      <c r="Y161" s="79"/>
      <c r="Z161" s="79"/>
      <c r="AA161" s="79">
        <f t="shared" si="87"/>
        <v>4.22177948360084</v>
      </c>
      <c r="AB161" s="91">
        <v>7.27</v>
      </c>
      <c r="AC161" s="77">
        <f t="shared" si="88"/>
        <v>30.6923368457781</v>
      </c>
      <c r="AD161" s="77">
        <f t="shared" si="84"/>
        <v>471.996523866015</v>
      </c>
      <c r="AE161" s="77">
        <f t="shared" si="85"/>
        <v>85.1534761339847</v>
      </c>
    </row>
    <row r="162" customFormat="1" spans="1:31">
      <c r="A162" s="22"/>
      <c r="B162" s="23"/>
      <c r="C162" s="24">
        <v>241201000005</v>
      </c>
      <c r="D162" s="25">
        <v>45636</v>
      </c>
      <c r="E162" s="25" t="s">
        <v>44</v>
      </c>
      <c r="F162" s="23" t="s">
        <v>45</v>
      </c>
      <c r="G162" s="23" t="s">
        <v>192</v>
      </c>
      <c r="H162" s="23">
        <v>5.5</v>
      </c>
      <c r="I162" s="43">
        <v>484</v>
      </c>
      <c r="J162" s="44"/>
      <c r="K162" s="45"/>
      <c r="L162" s="23"/>
      <c r="M162" s="45"/>
      <c r="N162" s="57"/>
      <c r="O162" s="47">
        <f t="shared" si="92"/>
        <v>484</v>
      </c>
      <c r="P162" s="49"/>
      <c r="Q162" s="49"/>
      <c r="R162" s="77">
        <f t="shared" si="89"/>
        <v>373.004012561061</v>
      </c>
      <c r="S162" s="77"/>
      <c r="T162" s="78">
        <f t="shared" si="90"/>
        <v>0.407222609909281</v>
      </c>
      <c r="U162" s="77"/>
      <c r="V162" s="77"/>
      <c r="W162" s="77">
        <f t="shared" si="86"/>
        <v>373.41123517097</v>
      </c>
      <c r="X162" s="79">
        <f t="shared" si="91"/>
        <v>3.57227494766225</v>
      </c>
      <c r="Y162" s="79"/>
      <c r="Z162" s="79"/>
      <c r="AA162" s="79">
        <f t="shared" si="87"/>
        <v>3.57227494766225</v>
      </c>
      <c r="AB162" s="91">
        <v>7.27</v>
      </c>
      <c r="AC162" s="77">
        <f t="shared" si="88"/>
        <v>25.9704388695045</v>
      </c>
      <c r="AD162" s="77">
        <f t="shared" si="84"/>
        <v>399.381674040475</v>
      </c>
      <c r="AE162" s="77">
        <f t="shared" si="85"/>
        <v>84.6183259595255</v>
      </c>
    </row>
    <row r="163" customFormat="1" spans="1:31">
      <c r="A163" s="22"/>
      <c r="B163" s="23"/>
      <c r="C163" s="24">
        <v>241201000007</v>
      </c>
      <c r="D163" s="25">
        <v>45636</v>
      </c>
      <c r="E163" s="25" t="s">
        <v>44</v>
      </c>
      <c r="F163" s="23" t="s">
        <v>45</v>
      </c>
      <c r="G163" s="23" t="s">
        <v>206</v>
      </c>
      <c r="H163" s="23">
        <v>4</v>
      </c>
      <c r="I163" s="43">
        <v>385</v>
      </c>
      <c r="J163" s="44"/>
      <c r="K163" s="45"/>
      <c r="L163" s="23"/>
      <c r="M163" s="45"/>
      <c r="N163" s="57"/>
      <c r="O163" s="47">
        <f t="shared" si="92"/>
        <v>385</v>
      </c>
      <c r="P163" s="49"/>
      <c r="Q163" s="49"/>
      <c r="R163" s="77">
        <f t="shared" si="89"/>
        <v>271.275645498953</v>
      </c>
      <c r="S163" s="77"/>
      <c r="T163" s="78">
        <f t="shared" si="90"/>
        <v>0.296161898115841</v>
      </c>
      <c r="U163" s="77"/>
      <c r="V163" s="77"/>
      <c r="W163" s="77">
        <f t="shared" si="86"/>
        <v>271.571807397069</v>
      </c>
      <c r="X163" s="79">
        <f t="shared" si="91"/>
        <v>2.59801814375436</v>
      </c>
      <c r="Y163" s="79"/>
      <c r="Z163" s="79"/>
      <c r="AA163" s="79">
        <f t="shared" si="87"/>
        <v>2.59801814375436</v>
      </c>
      <c r="AB163" s="91">
        <v>7.27</v>
      </c>
      <c r="AC163" s="77">
        <f t="shared" si="88"/>
        <v>18.8875919050942</v>
      </c>
      <c r="AD163" s="77">
        <f t="shared" si="84"/>
        <v>290.459399302163</v>
      </c>
      <c r="AE163" s="77">
        <f t="shared" si="85"/>
        <v>94.5406006978367</v>
      </c>
    </row>
    <row r="164" customFormat="1" spans="1:31">
      <c r="A164" s="22"/>
      <c r="B164" s="23"/>
      <c r="C164" s="24">
        <v>241202000008</v>
      </c>
      <c r="D164" s="25">
        <v>45636</v>
      </c>
      <c r="E164" s="25" t="s">
        <v>37</v>
      </c>
      <c r="F164" s="23" t="s">
        <v>38</v>
      </c>
      <c r="G164" s="23" t="s">
        <v>154</v>
      </c>
      <c r="H164" s="23">
        <v>9</v>
      </c>
      <c r="I164" s="43">
        <v>833.85</v>
      </c>
      <c r="J164" s="44"/>
      <c r="K164" s="45"/>
      <c r="L164" s="23"/>
      <c r="M164" s="45"/>
      <c r="N164" s="57"/>
      <c r="O164" s="47">
        <f t="shared" si="92"/>
        <v>833.85</v>
      </c>
      <c r="P164" s="49"/>
      <c r="Q164" s="49"/>
      <c r="R164" s="77">
        <f t="shared" si="89"/>
        <v>610.370202372645</v>
      </c>
      <c r="S164" s="77"/>
      <c r="T164" s="78">
        <f t="shared" si="90"/>
        <v>0.666364270760642</v>
      </c>
      <c r="U164" s="77"/>
      <c r="V164" s="77"/>
      <c r="W164" s="77">
        <f t="shared" si="86"/>
        <v>611.036566643405</v>
      </c>
      <c r="X164" s="79">
        <f t="shared" si="91"/>
        <v>5.84554082344731</v>
      </c>
      <c r="Y164" s="79"/>
      <c r="Z164" s="79"/>
      <c r="AA164" s="79">
        <f t="shared" si="87"/>
        <v>5.84554082344731</v>
      </c>
      <c r="AB164" s="91">
        <v>7.27</v>
      </c>
      <c r="AC164" s="77">
        <f t="shared" si="88"/>
        <v>42.497081786462</v>
      </c>
      <c r="AD164" s="77">
        <f t="shared" si="84"/>
        <v>653.533648429867</v>
      </c>
      <c r="AE164" s="77">
        <f t="shared" si="85"/>
        <v>180.316351570133</v>
      </c>
    </row>
    <row r="165" customFormat="1" spans="1:31">
      <c r="A165" s="22"/>
      <c r="B165" s="23"/>
      <c r="C165" s="24">
        <v>241202000012</v>
      </c>
      <c r="D165" s="25">
        <v>45636</v>
      </c>
      <c r="E165" s="25" t="s">
        <v>61</v>
      </c>
      <c r="F165" s="23" t="s">
        <v>62</v>
      </c>
      <c r="G165" s="23" t="s">
        <v>207</v>
      </c>
      <c r="H165" s="23">
        <v>6</v>
      </c>
      <c r="I165" s="43">
        <v>554.4</v>
      </c>
      <c r="J165" s="44"/>
      <c r="K165" s="45"/>
      <c r="L165" s="23"/>
      <c r="M165" s="45"/>
      <c r="N165" s="57"/>
      <c r="O165" s="47">
        <f t="shared" si="92"/>
        <v>554.4</v>
      </c>
      <c r="P165" s="49"/>
      <c r="Q165" s="49"/>
      <c r="R165" s="77">
        <f t="shared" si="89"/>
        <v>406.91346824843</v>
      </c>
      <c r="S165" s="77"/>
      <c r="T165" s="78">
        <f t="shared" si="90"/>
        <v>0.444242847173761</v>
      </c>
      <c r="U165" s="77"/>
      <c r="V165" s="77"/>
      <c r="W165" s="77">
        <f t="shared" si="86"/>
        <v>407.357711095604</v>
      </c>
      <c r="X165" s="79">
        <f t="shared" si="91"/>
        <v>3.89702721563154</v>
      </c>
      <c r="Y165" s="79"/>
      <c r="Z165" s="79"/>
      <c r="AA165" s="79">
        <f t="shared" si="87"/>
        <v>3.89702721563154</v>
      </c>
      <c r="AB165" s="91">
        <v>7.27</v>
      </c>
      <c r="AC165" s="77">
        <f t="shared" si="88"/>
        <v>28.3313878576413</v>
      </c>
      <c r="AD165" s="77">
        <f t="shared" si="84"/>
        <v>435.689098953245</v>
      </c>
      <c r="AE165" s="77">
        <f t="shared" si="85"/>
        <v>118.710901046755</v>
      </c>
    </row>
    <row r="166" customFormat="1" spans="1:31">
      <c r="A166" s="22"/>
      <c r="B166" s="23"/>
      <c r="C166" s="24">
        <v>241202000014</v>
      </c>
      <c r="D166" s="25">
        <v>45636</v>
      </c>
      <c r="E166" s="25" t="s">
        <v>61</v>
      </c>
      <c r="F166" s="23" t="s">
        <v>62</v>
      </c>
      <c r="G166" s="23" t="s">
        <v>208</v>
      </c>
      <c r="H166" s="23">
        <v>6</v>
      </c>
      <c r="I166" s="43">
        <v>806.4</v>
      </c>
      <c r="J166" s="44"/>
      <c r="K166" s="45"/>
      <c r="L166" s="23"/>
      <c r="M166" s="45"/>
      <c r="N166" s="57"/>
      <c r="O166" s="47">
        <f t="shared" si="92"/>
        <v>806.4</v>
      </c>
      <c r="P166" s="49"/>
      <c r="Q166" s="49"/>
      <c r="R166" s="77">
        <f t="shared" si="89"/>
        <v>406.91346824843</v>
      </c>
      <c r="S166" s="77"/>
      <c r="T166" s="78">
        <f t="shared" si="90"/>
        <v>0.444242847173761</v>
      </c>
      <c r="U166" s="77"/>
      <c r="V166" s="77"/>
      <c r="W166" s="77">
        <f t="shared" si="86"/>
        <v>407.357711095604</v>
      </c>
      <c r="X166" s="79">
        <f t="shared" si="91"/>
        <v>3.89702721563154</v>
      </c>
      <c r="Y166" s="79"/>
      <c r="Z166" s="79"/>
      <c r="AA166" s="79">
        <f t="shared" si="87"/>
        <v>3.89702721563154</v>
      </c>
      <c r="AB166" s="91">
        <v>7.27</v>
      </c>
      <c r="AC166" s="77">
        <f t="shared" si="88"/>
        <v>28.3313878576413</v>
      </c>
      <c r="AD166" s="77">
        <f t="shared" ref="AD166:AD197" si="93">SUM(W166+AC166)</f>
        <v>435.689098953245</v>
      </c>
      <c r="AE166" s="77">
        <f t="shared" ref="AE166:AE197" si="94">SUM(O166-AD166)</f>
        <v>370.710901046755</v>
      </c>
    </row>
    <row r="167" customFormat="1" spans="1:31">
      <c r="A167" s="22"/>
      <c r="B167" s="23"/>
      <c r="C167" s="24">
        <v>241202000016</v>
      </c>
      <c r="D167" s="25">
        <v>45636</v>
      </c>
      <c r="E167" s="25" t="s">
        <v>54</v>
      </c>
      <c r="F167" s="23" t="s">
        <v>55</v>
      </c>
      <c r="G167" s="23" t="s">
        <v>209</v>
      </c>
      <c r="H167" s="23">
        <v>20</v>
      </c>
      <c r="I167" s="43">
        <v>2277</v>
      </c>
      <c r="J167" s="44"/>
      <c r="K167" s="45"/>
      <c r="L167" s="23"/>
      <c r="M167" s="45"/>
      <c r="N167" s="57"/>
      <c r="O167" s="47">
        <f t="shared" si="92"/>
        <v>2277</v>
      </c>
      <c r="P167" s="49"/>
      <c r="Q167" s="49"/>
      <c r="R167" s="77">
        <f t="shared" si="89"/>
        <v>1356.37822749477</v>
      </c>
      <c r="S167" s="77"/>
      <c r="T167" s="78">
        <f t="shared" si="90"/>
        <v>1.4808094905792</v>
      </c>
      <c r="U167" s="77"/>
      <c r="V167" s="77"/>
      <c r="W167" s="77">
        <f t="shared" ref="W167:W198" si="95">SUM(R167:V167)</f>
        <v>1357.85903698535</v>
      </c>
      <c r="X167" s="79">
        <f t="shared" si="91"/>
        <v>12.9900907187718</v>
      </c>
      <c r="Y167" s="79"/>
      <c r="Z167" s="79"/>
      <c r="AA167" s="79">
        <f t="shared" ref="AA167:AA198" si="96">SUM(X167:Z167)</f>
        <v>12.9900907187718</v>
      </c>
      <c r="AB167" s="91">
        <v>7.27</v>
      </c>
      <c r="AC167" s="77">
        <f t="shared" ref="AC167:AC198" si="97">SUM(AA167*AB167)</f>
        <v>94.437959525471</v>
      </c>
      <c r="AD167" s="77">
        <f t="shared" si="93"/>
        <v>1452.29699651082</v>
      </c>
      <c r="AE167" s="77">
        <f t="shared" si="94"/>
        <v>824.703003489183</v>
      </c>
    </row>
    <row r="168" customFormat="1" spans="1:31">
      <c r="A168" s="22"/>
      <c r="B168" s="23"/>
      <c r="C168" s="24">
        <v>241202000019</v>
      </c>
      <c r="D168" s="25">
        <v>45636</v>
      </c>
      <c r="E168" s="25" t="s">
        <v>54</v>
      </c>
      <c r="F168" s="23" t="s">
        <v>55</v>
      </c>
      <c r="G168" s="23" t="s">
        <v>210</v>
      </c>
      <c r="H168" s="23">
        <v>14</v>
      </c>
      <c r="I168" s="47"/>
      <c r="J168" s="51">
        <v>273372</v>
      </c>
      <c r="K168" s="45"/>
      <c r="L168" s="52">
        <f t="shared" ref="L168:L172" si="98">SUM(J168/M168)</f>
        <v>1650</v>
      </c>
      <c r="M168" s="53">
        <v>165.68</v>
      </c>
      <c r="N168" s="57">
        <v>7.27</v>
      </c>
      <c r="O168" s="47">
        <f t="shared" ref="O168:O172" si="99">SUM(M168*N168)</f>
        <v>1204.4936</v>
      </c>
      <c r="P168" s="49"/>
      <c r="Q168" s="49"/>
      <c r="R168" s="77">
        <f t="shared" si="89"/>
        <v>949.464759246336</v>
      </c>
      <c r="S168" s="77"/>
      <c r="T168" s="78">
        <f t="shared" si="90"/>
        <v>1.03656664340544</v>
      </c>
      <c r="U168" s="77"/>
      <c r="V168" s="77"/>
      <c r="W168" s="77">
        <f t="shared" si="95"/>
        <v>950.501325889742</v>
      </c>
      <c r="X168" s="79">
        <f t="shared" si="91"/>
        <v>9.09306350314026</v>
      </c>
      <c r="Y168" s="79"/>
      <c r="Z168" s="79"/>
      <c r="AA168" s="79">
        <f t="shared" si="96"/>
        <v>9.09306350314026</v>
      </c>
      <c r="AB168" s="91">
        <v>7.27</v>
      </c>
      <c r="AC168" s="77">
        <f t="shared" si="97"/>
        <v>66.1065716678297</v>
      </c>
      <c r="AD168" s="77">
        <f t="shared" si="93"/>
        <v>1016.60789755757</v>
      </c>
      <c r="AE168" s="77">
        <f t="shared" si="94"/>
        <v>187.885702442429</v>
      </c>
    </row>
    <row r="169" customFormat="1" spans="1:31">
      <c r="A169" s="22"/>
      <c r="B169" s="23"/>
      <c r="C169" s="24">
        <v>241202000024</v>
      </c>
      <c r="D169" s="25">
        <v>45636</v>
      </c>
      <c r="E169" s="25" t="s">
        <v>54</v>
      </c>
      <c r="F169" s="23" t="s">
        <v>55</v>
      </c>
      <c r="G169" s="23" t="s">
        <v>79</v>
      </c>
      <c r="H169" s="23">
        <v>0.47</v>
      </c>
      <c r="I169" s="43">
        <v>85</v>
      </c>
      <c r="J169" s="44"/>
      <c r="K169" s="45"/>
      <c r="L169" s="23"/>
      <c r="M169" s="45"/>
      <c r="N169" s="57"/>
      <c r="O169" s="47">
        <f t="shared" ref="O169:O174" si="100">SUM(I169)</f>
        <v>85</v>
      </c>
      <c r="P169" s="49"/>
      <c r="Q169" s="49"/>
      <c r="R169" s="77">
        <f t="shared" ref="R169:R200" si="101">SUM(194369/2866)*H169</f>
        <v>31.874888346127</v>
      </c>
      <c r="S169" s="77"/>
      <c r="T169" s="78">
        <f t="shared" ref="T169:T200" si="102">SUM(212.2/2866)*H169</f>
        <v>0.0347990230286113</v>
      </c>
      <c r="U169" s="77"/>
      <c r="V169" s="77"/>
      <c r="W169" s="77">
        <f t="shared" si="95"/>
        <v>31.9096873691556</v>
      </c>
      <c r="X169" s="79">
        <f t="shared" ref="X169:X200" si="103">SUM(1861.48/2866)*H169</f>
        <v>0.305267131891137</v>
      </c>
      <c r="Y169" s="79"/>
      <c r="Z169" s="79"/>
      <c r="AA169" s="79">
        <f t="shared" si="96"/>
        <v>0.305267131891137</v>
      </c>
      <c r="AB169" s="91">
        <v>7.27</v>
      </c>
      <c r="AC169" s="77">
        <f t="shared" si="97"/>
        <v>2.21929204884857</v>
      </c>
      <c r="AD169" s="77">
        <f t="shared" si="93"/>
        <v>34.1289794180042</v>
      </c>
      <c r="AE169" s="77">
        <f t="shared" si="94"/>
        <v>50.8710205819958</v>
      </c>
    </row>
    <row r="170" customFormat="1" spans="1:31">
      <c r="A170" s="22"/>
      <c r="B170" s="23"/>
      <c r="C170" s="24">
        <v>241202000025</v>
      </c>
      <c r="D170" s="25">
        <v>45636</v>
      </c>
      <c r="E170" s="25" t="s">
        <v>44</v>
      </c>
      <c r="F170" s="23" t="s">
        <v>45</v>
      </c>
      <c r="G170" s="23" t="s">
        <v>211</v>
      </c>
      <c r="H170" s="23">
        <v>2</v>
      </c>
      <c r="I170" s="43">
        <v>156</v>
      </c>
      <c r="J170" s="44"/>
      <c r="K170" s="45"/>
      <c r="L170" s="23"/>
      <c r="M170" s="45"/>
      <c r="N170" s="57"/>
      <c r="O170" s="47">
        <f t="shared" si="100"/>
        <v>156</v>
      </c>
      <c r="P170" s="49"/>
      <c r="Q170" s="49"/>
      <c r="R170" s="77">
        <f t="shared" si="101"/>
        <v>135.637822749477</v>
      </c>
      <c r="S170" s="77"/>
      <c r="T170" s="78">
        <f t="shared" si="102"/>
        <v>0.14808094905792</v>
      </c>
      <c r="U170" s="77"/>
      <c r="V170" s="77"/>
      <c r="W170" s="77">
        <f t="shared" si="95"/>
        <v>135.785903698535</v>
      </c>
      <c r="X170" s="79">
        <f t="shared" si="103"/>
        <v>1.29900907187718</v>
      </c>
      <c r="Y170" s="79"/>
      <c r="Z170" s="79"/>
      <c r="AA170" s="79">
        <f t="shared" si="96"/>
        <v>1.29900907187718</v>
      </c>
      <c r="AB170" s="91">
        <v>7.27</v>
      </c>
      <c r="AC170" s="77">
        <f t="shared" si="97"/>
        <v>9.4437959525471</v>
      </c>
      <c r="AD170" s="77">
        <f t="shared" si="93"/>
        <v>145.229699651082</v>
      </c>
      <c r="AE170" s="77">
        <f t="shared" si="94"/>
        <v>10.7703003489184</v>
      </c>
    </row>
    <row r="171" customFormat="1" spans="1:31">
      <c r="A171" s="22"/>
      <c r="B171" s="23"/>
      <c r="C171" s="24">
        <v>241202000026</v>
      </c>
      <c r="D171" s="26">
        <v>45636</v>
      </c>
      <c r="E171" s="25" t="s">
        <v>70</v>
      </c>
      <c r="F171" s="23" t="s">
        <v>70</v>
      </c>
      <c r="G171" s="23" t="s">
        <v>138</v>
      </c>
      <c r="H171" s="23">
        <v>44.5</v>
      </c>
      <c r="I171" s="47"/>
      <c r="J171" s="51">
        <v>886425.84</v>
      </c>
      <c r="K171" s="45"/>
      <c r="L171" s="52">
        <f t="shared" si="98"/>
        <v>1737</v>
      </c>
      <c r="M171" s="53">
        <v>510.32</v>
      </c>
      <c r="N171" s="57">
        <v>7.27</v>
      </c>
      <c r="O171" s="47">
        <f t="shared" si="99"/>
        <v>3710.0264</v>
      </c>
      <c r="P171" s="49"/>
      <c r="Q171" s="49"/>
      <c r="R171" s="77">
        <f t="shared" si="101"/>
        <v>3017.94155617585</v>
      </c>
      <c r="S171" s="77"/>
      <c r="T171" s="78">
        <f t="shared" si="102"/>
        <v>3.29480111653873</v>
      </c>
      <c r="U171" s="77"/>
      <c r="V171" s="77"/>
      <c r="W171" s="77">
        <f t="shared" si="95"/>
        <v>3021.23635729239</v>
      </c>
      <c r="X171" s="79">
        <f t="shared" si="103"/>
        <v>28.9029518492673</v>
      </c>
      <c r="Y171" s="79"/>
      <c r="Z171" s="79"/>
      <c r="AA171" s="79">
        <f t="shared" si="96"/>
        <v>28.9029518492673</v>
      </c>
      <c r="AB171" s="91">
        <v>7.27</v>
      </c>
      <c r="AC171" s="77">
        <f t="shared" si="97"/>
        <v>210.124459944173</v>
      </c>
      <c r="AD171" s="77">
        <f t="shared" si="93"/>
        <v>3231.36081723657</v>
      </c>
      <c r="AE171" s="77">
        <f t="shared" si="94"/>
        <v>478.665582763434</v>
      </c>
    </row>
    <row r="172" customFormat="1" spans="1:31">
      <c r="A172" s="22"/>
      <c r="B172" s="23"/>
      <c r="C172" s="24">
        <v>241202000039</v>
      </c>
      <c r="D172" s="25">
        <v>45636</v>
      </c>
      <c r="E172" s="25" t="s">
        <v>37</v>
      </c>
      <c r="F172" s="23" t="s">
        <v>38</v>
      </c>
      <c r="G172" s="23" t="s">
        <v>51</v>
      </c>
      <c r="H172" s="23">
        <v>0.6</v>
      </c>
      <c r="I172" s="50"/>
      <c r="J172" s="51">
        <v>20976</v>
      </c>
      <c r="K172" s="45"/>
      <c r="L172" s="52">
        <f t="shared" si="98"/>
        <v>1659.49367088608</v>
      </c>
      <c r="M172" s="53">
        <v>12.64</v>
      </c>
      <c r="N172" s="57">
        <v>7.27</v>
      </c>
      <c r="O172" s="47">
        <f t="shared" si="99"/>
        <v>91.8928</v>
      </c>
      <c r="P172" s="49"/>
      <c r="Q172" s="49"/>
      <c r="R172" s="77">
        <f t="shared" si="101"/>
        <v>40.691346824843</v>
      </c>
      <c r="S172" s="77"/>
      <c r="T172" s="78">
        <f t="shared" si="102"/>
        <v>0.0444242847173761</v>
      </c>
      <c r="U172" s="77"/>
      <c r="V172" s="77"/>
      <c r="W172" s="77">
        <f t="shared" si="95"/>
        <v>40.7357711095604</v>
      </c>
      <c r="X172" s="79">
        <f t="shared" si="103"/>
        <v>0.389702721563154</v>
      </c>
      <c r="Y172" s="79"/>
      <c r="Z172" s="79"/>
      <c r="AA172" s="79">
        <f t="shared" si="96"/>
        <v>0.389702721563154</v>
      </c>
      <c r="AB172" s="91">
        <v>7.27</v>
      </c>
      <c r="AC172" s="77">
        <f t="shared" si="97"/>
        <v>2.83313878576413</v>
      </c>
      <c r="AD172" s="77">
        <f t="shared" si="93"/>
        <v>43.5689098953245</v>
      </c>
      <c r="AE172" s="77">
        <f t="shared" si="94"/>
        <v>48.3238901046755</v>
      </c>
    </row>
    <row r="173" customFormat="1" spans="1:31">
      <c r="A173" s="22"/>
      <c r="B173" s="23"/>
      <c r="C173" s="24">
        <v>241202000040</v>
      </c>
      <c r="D173" s="25">
        <v>45636</v>
      </c>
      <c r="E173" s="25" t="s">
        <v>61</v>
      </c>
      <c r="F173" s="23" t="s">
        <v>62</v>
      </c>
      <c r="G173" s="23" t="s">
        <v>63</v>
      </c>
      <c r="H173" s="23">
        <v>20.5</v>
      </c>
      <c r="I173" s="43">
        <v>1743</v>
      </c>
      <c r="J173" s="44"/>
      <c r="K173" s="45"/>
      <c r="L173" s="23"/>
      <c r="M173" s="45"/>
      <c r="N173" s="57"/>
      <c r="O173" s="47">
        <f t="shared" si="100"/>
        <v>1743</v>
      </c>
      <c r="P173" s="49"/>
      <c r="Q173" s="49"/>
      <c r="R173" s="77">
        <f t="shared" si="101"/>
        <v>1390.28768318214</v>
      </c>
      <c r="S173" s="77"/>
      <c r="T173" s="78">
        <f t="shared" si="102"/>
        <v>1.51782972784368</v>
      </c>
      <c r="U173" s="77"/>
      <c r="V173" s="77"/>
      <c r="W173" s="77">
        <f t="shared" si="95"/>
        <v>1391.80551290998</v>
      </c>
      <c r="X173" s="79">
        <f t="shared" si="103"/>
        <v>13.3148429867411</v>
      </c>
      <c r="Y173" s="79"/>
      <c r="Z173" s="79"/>
      <c r="AA173" s="79">
        <f t="shared" si="96"/>
        <v>13.3148429867411</v>
      </c>
      <c r="AB173" s="91">
        <v>7.27</v>
      </c>
      <c r="AC173" s="77">
        <f t="shared" si="97"/>
        <v>96.7989085136078</v>
      </c>
      <c r="AD173" s="77">
        <f t="shared" si="93"/>
        <v>1488.60442142359</v>
      </c>
      <c r="AE173" s="77">
        <f t="shared" si="94"/>
        <v>254.395578576413</v>
      </c>
    </row>
    <row r="174" customFormat="1" spans="1:31">
      <c r="A174" s="22"/>
      <c r="B174" s="23"/>
      <c r="C174" s="24">
        <v>241202000041</v>
      </c>
      <c r="D174" s="25">
        <v>45636</v>
      </c>
      <c r="E174" s="25" t="s">
        <v>41</v>
      </c>
      <c r="F174" s="23" t="s">
        <v>42</v>
      </c>
      <c r="G174" s="23" t="s">
        <v>212</v>
      </c>
      <c r="H174" s="23">
        <v>87</v>
      </c>
      <c r="I174" s="43">
        <v>7800</v>
      </c>
      <c r="J174" s="44"/>
      <c r="K174" s="45"/>
      <c r="L174" s="23"/>
      <c r="M174" s="45"/>
      <c r="N174" s="57"/>
      <c r="O174" s="47">
        <f t="shared" si="100"/>
        <v>7800</v>
      </c>
      <c r="P174" s="49"/>
      <c r="Q174" s="49"/>
      <c r="R174" s="77">
        <f t="shared" si="101"/>
        <v>5900.24528960223</v>
      </c>
      <c r="S174" s="77"/>
      <c r="T174" s="78">
        <f t="shared" si="102"/>
        <v>6.44152128401954</v>
      </c>
      <c r="U174" s="78">
        <v>140</v>
      </c>
      <c r="V174" s="77"/>
      <c r="W174" s="77">
        <f t="shared" si="95"/>
        <v>6046.68681088625</v>
      </c>
      <c r="X174" s="79">
        <f t="shared" si="103"/>
        <v>56.5068946266574</v>
      </c>
      <c r="Y174" s="79"/>
      <c r="Z174" s="79"/>
      <c r="AA174" s="79">
        <f t="shared" si="96"/>
        <v>56.5068946266574</v>
      </c>
      <c r="AB174" s="91">
        <v>7.27</v>
      </c>
      <c r="AC174" s="77">
        <f t="shared" si="97"/>
        <v>410.805123935799</v>
      </c>
      <c r="AD174" s="77">
        <f t="shared" si="93"/>
        <v>6457.49193482205</v>
      </c>
      <c r="AE174" s="77">
        <f t="shared" si="94"/>
        <v>1342.50806517795</v>
      </c>
    </row>
    <row r="175" customFormat="1" spans="1:31">
      <c r="A175" s="22"/>
      <c r="B175" s="23"/>
      <c r="C175" s="24">
        <v>241202000050</v>
      </c>
      <c r="D175" s="25">
        <v>45636</v>
      </c>
      <c r="E175" s="25" t="s">
        <v>44</v>
      </c>
      <c r="F175" s="23" t="s">
        <v>45</v>
      </c>
      <c r="G175" s="23" t="s">
        <v>213</v>
      </c>
      <c r="H175" s="23">
        <v>11.5</v>
      </c>
      <c r="I175" s="50"/>
      <c r="J175" s="51">
        <v>233772</v>
      </c>
      <c r="K175" s="45"/>
      <c r="L175" s="52">
        <f>SUM(J175/M175)</f>
        <v>1679.39655172414</v>
      </c>
      <c r="M175" s="53">
        <v>139.2</v>
      </c>
      <c r="N175" s="57">
        <v>7.27</v>
      </c>
      <c r="O175" s="47">
        <f t="shared" ref="O175:O180" si="104">SUM(M175*N175)</f>
        <v>1011.984</v>
      </c>
      <c r="P175" s="49"/>
      <c r="Q175" s="49"/>
      <c r="R175" s="77">
        <f t="shared" si="101"/>
        <v>779.91748080949</v>
      </c>
      <c r="S175" s="77"/>
      <c r="T175" s="78">
        <f t="shared" si="102"/>
        <v>0.851465457083043</v>
      </c>
      <c r="U175" s="77"/>
      <c r="V175" s="77"/>
      <c r="W175" s="77">
        <f t="shared" si="95"/>
        <v>780.768946266573</v>
      </c>
      <c r="X175" s="79">
        <f t="shared" si="103"/>
        <v>7.46930216329379</v>
      </c>
      <c r="Y175" s="79"/>
      <c r="Z175" s="79"/>
      <c r="AA175" s="79">
        <f t="shared" si="96"/>
        <v>7.46930216329379</v>
      </c>
      <c r="AB175" s="91">
        <v>7.27</v>
      </c>
      <c r="AC175" s="77">
        <f t="shared" si="97"/>
        <v>54.3018267271458</v>
      </c>
      <c r="AD175" s="77">
        <f t="shared" si="93"/>
        <v>835.070772993719</v>
      </c>
      <c r="AE175" s="77">
        <f t="shared" si="94"/>
        <v>176.913227006281</v>
      </c>
    </row>
    <row r="176" customFormat="1" spans="1:31">
      <c r="A176" s="22"/>
      <c r="B176" s="23"/>
      <c r="C176" s="24">
        <v>241202000051</v>
      </c>
      <c r="D176" s="25">
        <v>45636</v>
      </c>
      <c r="E176" s="25" t="s">
        <v>61</v>
      </c>
      <c r="F176" s="23" t="s">
        <v>62</v>
      </c>
      <c r="G176" s="23" t="s">
        <v>208</v>
      </c>
      <c r="H176" s="23">
        <v>1.5</v>
      </c>
      <c r="I176" s="43">
        <v>212</v>
      </c>
      <c r="J176" s="44"/>
      <c r="K176" s="45"/>
      <c r="L176" s="23"/>
      <c r="M176" s="45"/>
      <c r="N176" s="57"/>
      <c r="O176" s="47">
        <f t="shared" ref="O176:O181" si="105">SUM(I176)</f>
        <v>212</v>
      </c>
      <c r="P176" s="49"/>
      <c r="Q176" s="49"/>
      <c r="R176" s="77">
        <f t="shared" si="101"/>
        <v>101.728367062107</v>
      </c>
      <c r="S176" s="77"/>
      <c r="T176" s="78">
        <f t="shared" si="102"/>
        <v>0.11106071179344</v>
      </c>
      <c r="U176" s="77"/>
      <c r="V176" s="77"/>
      <c r="W176" s="77">
        <f t="shared" si="95"/>
        <v>101.839427773901</v>
      </c>
      <c r="X176" s="79">
        <f t="shared" si="103"/>
        <v>0.974256803907886</v>
      </c>
      <c r="Y176" s="79"/>
      <c r="Z176" s="79"/>
      <c r="AA176" s="79">
        <f t="shared" si="96"/>
        <v>0.974256803907886</v>
      </c>
      <c r="AB176" s="91">
        <v>7.27</v>
      </c>
      <c r="AC176" s="77">
        <f t="shared" si="97"/>
        <v>7.08284696441033</v>
      </c>
      <c r="AD176" s="77">
        <f t="shared" si="93"/>
        <v>108.922274738311</v>
      </c>
      <c r="AE176" s="77">
        <f t="shared" si="94"/>
        <v>103.077725261689</v>
      </c>
    </row>
    <row r="177" customFormat="1" spans="1:31">
      <c r="A177" s="22"/>
      <c r="B177" s="23"/>
      <c r="C177" s="24">
        <v>241203000009</v>
      </c>
      <c r="D177" s="26">
        <v>45636</v>
      </c>
      <c r="E177" s="25" t="s">
        <v>143</v>
      </c>
      <c r="F177" s="23" t="s">
        <v>144</v>
      </c>
      <c r="G177" s="23" t="s">
        <v>214</v>
      </c>
      <c r="H177" s="23">
        <v>371</v>
      </c>
      <c r="I177" s="43">
        <v>28424.5</v>
      </c>
      <c r="J177" s="44"/>
      <c r="K177" s="45"/>
      <c r="L177" s="23"/>
      <c r="M177" s="45"/>
      <c r="N177" s="57"/>
      <c r="O177" s="47">
        <f t="shared" si="105"/>
        <v>28424.5</v>
      </c>
      <c r="P177" s="49"/>
      <c r="Q177" s="49"/>
      <c r="R177" s="77">
        <f t="shared" si="101"/>
        <v>25160.8161200279</v>
      </c>
      <c r="S177" s="77"/>
      <c r="T177" s="78">
        <f t="shared" si="102"/>
        <v>27.4690160502442</v>
      </c>
      <c r="U177" s="77"/>
      <c r="V177" s="77"/>
      <c r="W177" s="77">
        <f t="shared" si="95"/>
        <v>25188.2851360782</v>
      </c>
      <c r="X177" s="79">
        <f t="shared" si="103"/>
        <v>240.966182833217</v>
      </c>
      <c r="Y177" s="79"/>
      <c r="Z177" s="79"/>
      <c r="AA177" s="79">
        <f t="shared" si="96"/>
        <v>240.966182833217</v>
      </c>
      <c r="AB177" s="91">
        <v>7.27</v>
      </c>
      <c r="AC177" s="77">
        <f t="shared" si="97"/>
        <v>1751.82414919749</v>
      </c>
      <c r="AD177" s="77">
        <f t="shared" si="93"/>
        <v>26940.1092852756</v>
      </c>
      <c r="AE177" s="77">
        <f t="shared" si="94"/>
        <v>1484.39071472436</v>
      </c>
    </row>
    <row r="178" customFormat="1" spans="1:31">
      <c r="A178" s="22"/>
      <c r="B178" s="23"/>
      <c r="C178" s="24">
        <v>241203000017</v>
      </c>
      <c r="D178" s="26">
        <v>45636</v>
      </c>
      <c r="E178" s="25" t="s">
        <v>70</v>
      </c>
      <c r="F178" s="23" t="s">
        <v>70</v>
      </c>
      <c r="G178" s="23" t="s">
        <v>215</v>
      </c>
      <c r="H178" s="23">
        <v>8</v>
      </c>
      <c r="I178" s="50"/>
      <c r="J178" s="51">
        <v>164450</v>
      </c>
      <c r="K178" s="45"/>
      <c r="L178" s="52">
        <f t="shared" ref="L178:L184" si="106">SUM(J178/M178)</f>
        <v>1672.25950782998</v>
      </c>
      <c r="M178" s="53">
        <v>98.34</v>
      </c>
      <c r="N178" s="57">
        <v>7.27</v>
      </c>
      <c r="O178" s="47">
        <f t="shared" si="104"/>
        <v>714.9318</v>
      </c>
      <c r="P178" s="49"/>
      <c r="Q178" s="49"/>
      <c r="R178" s="77">
        <f t="shared" si="101"/>
        <v>542.551290997906</v>
      </c>
      <c r="S178" s="77"/>
      <c r="T178" s="78">
        <f t="shared" si="102"/>
        <v>0.592323796231682</v>
      </c>
      <c r="U178" s="77"/>
      <c r="V178" s="77"/>
      <c r="W178" s="77">
        <f t="shared" si="95"/>
        <v>543.143614794138</v>
      </c>
      <c r="X178" s="79">
        <f t="shared" si="103"/>
        <v>5.19603628750872</v>
      </c>
      <c r="Y178" s="79"/>
      <c r="Z178" s="79"/>
      <c r="AA178" s="79">
        <f t="shared" si="96"/>
        <v>5.19603628750872</v>
      </c>
      <c r="AB178" s="91">
        <v>7.27</v>
      </c>
      <c r="AC178" s="77">
        <f t="shared" si="97"/>
        <v>37.7751838101884</v>
      </c>
      <c r="AD178" s="77">
        <f t="shared" si="93"/>
        <v>580.918798604327</v>
      </c>
      <c r="AE178" s="77">
        <f t="shared" si="94"/>
        <v>134.013001395673</v>
      </c>
    </row>
    <row r="179" customFormat="1" spans="1:31">
      <c r="A179" s="22"/>
      <c r="B179" s="23"/>
      <c r="C179" s="92">
        <v>241203000022</v>
      </c>
      <c r="D179" s="93">
        <v>45636</v>
      </c>
      <c r="E179" s="94" t="s">
        <v>133</v>
      </c>
      <c r="F179" s="95" t="s">
        <v>216</v>
      </c>
      <c r="G179" s="95" t="s">
        <v>217</v>
      </c>
      <c r="H179" s="95">
        <v>10.5</v>
      </c>
      <c r="I179" s="50"/>
      <c r="J179" s="52">
        <v>216240</v>
      </c>
      <c r="K179" s="97"/>
      <c r="L179" s="95"/>
      <c r="M179" s="98">
        <v>124.49</v>
      </c>
      <c r="N179" s="57">
        <v>7.27</v>
      </c>
      <c r="O179" s="47">
        <f t="shared" si="104"/>
        <v>905.0423</v>
      </c>
      <c r="P179" s="49"/>
      <c r="Q179" s="49"/>
      <c r="R179" s="77">
        <f t="shared" si="101"/>
        <v>712.098569434752</v>
      </c>
      <c r="S179" s="77"/>
      <c r="T179" s="78">
        <f t="shared" si="102"/>
        <v>0.777424982554082</v>
      </c>
      <c r="U179" s="77"/>
      <c r="V179" s="77"/>
      <c r="W179" s="77">
        <f t="shared" si="95"/>
        <v>712.875994417306</v>
      </c>
      <c r="X179" s="79">
        <f t="shared" si="103"/>
        <v>6.8197976273552</v>
      </c>
      <c r="Y179" s="79"/>
      <c r="Z179" s="79"/>
      <c r="AA179" s="79">
        <f t="shared" si="96"/>
        <v>6.8197976273552</v>
      </c>
      <c r="AB179" s="91">
        <v>7.27</v>
      </c>
      <c r="AC179" s="77">
        <f t="shared" si="97"/>
        <v>49.5799287508723</v>
      </c>
      <c r="AD179" s="77">
        <f t="shared" si="93"/>
        <v>762.455923168179</v>
      </c>
      <c r="AE179" s="77">
        <f t="shared" si="94"/>
        <v>142.586376831821</v>
      </c>
    </row>
    <row r="180" customFormat="1" spans="1:31">
      <c r="A180" s="22"/>
      <c r="B180" s="23"/>
      <c r="C180" s="24">
        <v>241203000023</v>
      </c>
      <c r="D180" s="26">
        <v>45636</v>
      </c>
      <c r="E180" s="25" t="s">
        <v>57</v>
      </c>
      <c r="F180" s="23" t="s">
        <v>58</v>
      </c>
      <c r="G180" s="23" t="s">
        <v>128</v>
      </c>
      <c r="H180" s="23">
        <v>3</v>
      </c>
      <c r="I180" s="47"/>
      <c r="J180" s="44"/>
      <c r="K180" s="45"/>
      <c r="L180" s="23"/>
      <c r="M180" s="45">
        <v>37.14</v>
      </c>
      <c r="N180" s="57">
        <v>7.27</v>
      </c>
      <c r="O180" s="47">
        <f t="shared" si="104"/>
        <v>270.0078</v>
      </c>
      <c r="P180" s="49"/>
      <c r="Q180" s="49"/>
      <c r="R180" s="77">
        <f t="shared" si="101"/>
        <v>203.456734124215</v>
      </c>
      <c r="S180" s="77"/>
      <c r="T180" s="78">
        <f t="shared" si="102"/>
        <v>0.222121423586881</v>
      </c>
      <c r="U180" s="77"/>
      <c r="V180" s="77"/>
      <c r="W180" s="77">
        <f t="shared" si="95"/>
        <v>203.678855547802</v>
      </c>
      <c r="X180" s="79">
        <f t="shared" si="103"/>
        <v>1.94851360781577</v>
      </c>
      <c r="Y180" s="79"/>
      <c r="Z180" s="79"/>
      <c r="AA180" s="79">
        <f t="shared" si="96"/>
        <v>1.94851360781577</v>
      </c>
      <c r="AB180" s="91">
        <v>7.27</v>
      </c>
      <c r="AC180" s="77">
        <f t="shared" si="97"/>
        <v>14.1656939288207</v>
      </c>
      <c r="AD180" s="77">
        <f t="shared" si="93"/>
        <v>217.844549476622</v>
      </c>
      <c r="AE180" s="77">
        <f t="shared" si="94"/>
        <v>52.1632505233775</v>
      </c>
    </row>
    <row r="181" customFormat="1" spans="1:31">
      <c r="A181" s="22"/>
      <c r="B181" s="23"/>
      <c r="C181" s="24">
        <v>241203000027</v>
      </c>
      <c r="D181" s="26">
        <v>45636</v>
      </c>
      <c r="E181" s="25" t="s">
        <v>70</v>
      </c>
      <c r="F181" s="23" t="s">
        <v>70</v>
      </c>
      <c r="G181" s="23" t="s">
        <v>218</v>
      </c>
      <c r="H181" s="23">
        <v>138.5</v>
      </c>
      <c r="I181" s="43">
        <v>14922.5</v>
      </c>
      <c r="J181" s="44"/>
      <c r="K181" s="45"/>
      <c r="L181" s="23"/>
      <c r="M181" s="45"/>
      <c r="N181" s="57"/>
      <c r="O181" s="47">
        <f t="shared" si="105"/>
        <v>14922.5</v>
      </c>
      <c r="P181" s="49"/>
      <c r="Q181" s="49"/>
      <c r="R181" s="77">
        <f t="shared" si="101"/>
        <v>9392.91922540126</v>
      </c>
      <c r="S181" s="77"/>
      <c r="T181" s="78">
        <f t="shared" si="102"/>
        <v>10.254605722261</v>
      </c>
      <c r="U181" s="77"/>
      <c r="V181" s="77"/>
      <c r="W181" s="77">
        <f t="shared" si="95"/>
        <v>9403.17383112352</v>
      </c>
      <c r="X181" s="79">
        <f t="shared" si="103"/>
        <v>89.9563782274948</v>
      </c>
      <c r="Y181" s="79"/>
      <c r="Z181" s="79"/>
      <c r="AA181" s="79">
        <f t="shared" si="96"/>
        <v>89.9563782274948</v>
      </c>
      <c r="AB181" s="91">
        <v>7.27</v>
      </c>
      <c r="AC181" s="77">
        <f t="shared" si="97"/>
        <v>653.982869713887</v>
      </c>
      <c r="AD181" s="77">
        <f t="shared" si="93"/>
        <v>10057.1567008374</v>
      </c>
      <c r="AE181" s="77">
        <f t="shared" si="94"/>
        <v>4865.3432991626</v>
      </c>
    </row>
    <row r="182" customFormat="1" spans="1:31">
      <c r="A182" s="22"/>
      <c r="B182" s="23"/>
      <c r="C182" s="24">
        <v>241203000029</v>
      </c>
      <c r="D182" s="25">
        <v>45636</v>
      </c>
      <c r="E182" s="25" t="s">
        <v>44</v>
      </c>
      <c r="F182" s="23" t="s">
        <v>45</v>
      </c>
      <c r="G182" s="23" t="s">
        <v>159</v>
      </c>
      <c r="H182" s="23">
        <v>11</v>
      </c>
      <c r="I182" s="50"/>
      <c r="J182" s="51">
        <v>211024</v>
      </c>
      <c r="K182" s="45"/>
      <c r="L182" s="52">
        <f t="shared" si="106"/>
        <v>1584.9782184167</v>
      </c>
      <c r="M182" s="53">
        <v>133.14</v>
      </c>
      <c r="N182" s="57">
        <v>7.27</v>
      </c>
      <c r="O182" s="47">
        <f t="shared" ref="O182:O184" si="107">SUM(M182*N182)</f>
        <v>967.9278</v>
      </c>
      <c r="P182" s="49"/>
      <c r="Q182" s="49"/>
      <c r="R182" s="77">
        <f t="shared" si="101"/>
        <v>746.008025122121</v>
      </c>
      <c r="S182" s="77"/>
      <c r="T182" s="78">
        <f t="shared" si="102"/>
        <v>0.814445219818562</v>
      </c>
      <c r="U182" s="77"/>
      <c r="V182" s="77"/>
      <c r="W182" s="77">
        <f t="shared" si="95"/>
        <v>746.82247034194</v>
      </c>
      <c r="X182" s="79">
        <f t="shared" si="103"/>
        <v>7.14454989532449</v>
      </c>
      <c r="Y182" s="79"/>
      <c r="Z182" s="79"/>
      <c r="AA182" s="79">
        <f t="shared" si="96"/>
        <v>7.14454989532449</v>
      </c>
      <c r="AB182" s="91">
        <v>7.27</v>
      </c>
      <c r="AC182" s="77">
        <f t="shared" si="97"/>
        <v>51.9408777390091</v>
      </c>
      <c r="AD182" s="77">
        <f t="shared" si="93"/>
        <v>798.763348080949</v>
      </c>
      <c r="AE182" s="77">
        <f t="shared" si="94"/>
        <v>169.164451919051</v>
      </c>
    </row>
    <row r="183" customFormat="1" spans="1:31">
      <c r="A183" s="22"/>
      <c r="B183" s="23"/>
      <c r="C183" s="24">
        <v>241203000036</v>
      </c>
      <c r="D183" s="25">
        <v>45636</v>
      </c>
      <c r="E183" s="25" t="s">
        <v>61</v>
      </c>
      <c r="F183" s="23" t="s">
        <v>62</v>
      </c>
      <c r="G183" s="23" t="s">
        <v>219</v>
      </c>
      <c r="H183" s="23">
        <v>3.5</v>
      </c>
      <c r="I183" s="50"/>
      <c r="J183" s="51">
        <v>65939</v>
      </c>
      <c r="K183" s="45"/>
      <c r="L183" s="52">
        <f t="shared" si="106"/>
        <v>1694.21891058582</v>
      </c>
      <c r="M183" s="53">
        <v>38.92</v>
      </c>
      <c r="N183" s="57">
        <v>7.27</v>
      </c>
      <c r="O183" s="47">
        <f t="shared" si="107"/>
        <v>282.9484</v>
      </c>
      <c r="P183" s="49"/>
      <c r="Q183" s="49"/>
      <c r="R183" s="77">
        <f t="shared" si="101"/>
        <v>237.366189811584</v>
      </c>
      <c r="S183" s="77"/>
      <c r="T183" s="78">
        <f t="shared" si="102"/>
        <v>0.259141660851361</v>
      </c>
      <c r="U183" s="77"/>
      <c r="V183" s="77"/>
      <c r="W183" s="77">
        <f t="shared" si="95"/>
        <v>237.625331472435</v>
      </c>
      <c r="X183" s="79">
        <f t="shared" si="103"/>
        <v>2.27326587578507</v>
      </c>
      <c r="Y183" s="79"/>
      <c r="Z183" s="79"/>
      <c r="AA183" s="79">
        <f t="shared" si="96"/>
        <v>2.27326587578507</v>
      </c>
      <c r="AB183" s="91">
        <v>7.27</v>
      </c>
      <c r="AC183" s="77">
        <f t="shared" si="97"/>
        <v>16.5266429169574</v>
      </c>
      <c r="AD183" s="77">
        <f t="shared" si="93"/>
        <v>254.151974389393</v>
      </c>
      <c r="AE183" s="77">
        <f t="shared" si="94"/>
        <v>28.7964256106071</v>
      </c>
    </row>
    <row r="184" customFormat="1" spans="1:31">
      <c r="A184" s="22"/>
      <c r="B184" s="23"/>
      <c r="C184" s="24">
        <v>241203000041</v>
      </c>
      <c r="D184" s="25">
        <v>45636</v>
      </c>
      <c r="E184" s="25" t="s">
        <v>37</v>
      </c>
      <c r="F184" s="23" t="s">
        <v>38</v>
      </c>
      <c r="G184" s="23" t="s">
        <v>51</v>
      </c>
      <c r="H184" s="23">
        <v>0.26</v>
      </c>
      <c r="I184" s="50"/>
      <c r="J184" s="51">
        <v>20748</v>
      </c>
      <c r="K184" s="45"/>
      <c r="L184" s="52">
        <f t="shared" si="106"/>
        <v>1653.22709163347</v>
      </c>
      <c r="M184" s="53">
        <v>12.55</v>
      </c>
      <c r="N184" s="57">
        <v>7.27</v>
      </c>
      <c r="O184" s="47">
        <f t="shared" si="107"/>
        <v>91.2385</v>
      </c>
      <c r="P184" s="49"/>
      <c r="Q184" s="49"/>
      <c r="R184" s="77">
        <f t="shared" si="101"/>
        <v>17.632916957432</v>
      </c>
      <c r="S184" s="77"/>
      <c r="T184" s="78">
        <f t="shared" si="102"/>
        <v>0.0192505233775297</v>
      </c>
      <c r="U184" s="77"/>
      <c r="V184" s="77"/>
      <c r="W184" s="77">
        <f t="shared" si="95"/>
        <v>17.6521674808095</v>
      </c>
      <c r="X184" s="79">
        <f t="shared" si="103"/>
        <v>0.168871179344034</v>
      </c>
      <c r="Y184" s="79"/>
      <c r="Z184" s="79"/>
      <c r="AA184" s="79">
        <f t="shared" si="96"/>
        <v>0.168871179344034</v>
      </c>
      <c r="AB184" s="91">
        <v>7.27</v>
      </c>
      <c r="AC184" s="77">
        <f t="shared" si="97"/>
        <v>1.22769347383112</v>
      </c>
      <c r="AD184" s="77">
        <f t="shared" si="93"/>
        <v>18.8798609546406</v>
      </c>
      <c r="AE184" s="77">
        <f t="shared" si="94"/>
        <v>72.3586390453594</v>
      </c>
    </row>
    <row r="185" customFormat="1" spans="1:31">
      <c r="A185" s="22"/>
      <c r="B185" s="23"/>
      <c r="C185" s="24">
        <v>241203000051</v>
      </c>
      <c r="D185" s="25">
        <v>45636</v>
      </c>
      <c r="E185" s="25" t="s">
        <v>41</v>
      </c>
      <c r="F185" s="23" t="s">
        <v>42</v>
      </c>
      <c r="G185" s="23" t="s">
        <v>220</v>
      </c>
      <c r="H185" s="23">
        <v>23</v>
      </c>
      <c r="I185" s="43">
        <v>1971.3</v>
      </c>
      <c r="J185" s="44"/>
      <c r="K185" s="45"/>
      <c r="L185" s="23"/>
      <c r="M185" s="45"/>
      <c r="N185" s="57"/>
      <c r="O185" s="47">
        <f t="shared" ref="O185:O187" si="108">SUM(I185)</f>
        <v>1971.3</v>
      </c>
      <c r="P185" s="49"/>
      <c r="Q185" s="49"/>
      <c r="R185" s="77">
        <f t="shared" si="101"/>
        <v>1559.83496161898</v>
      </c>
      <c r="S185" s="77"/>
      <c r="T185" s="78">
        <f t="shared" si="102"/>
        <v>1.70293091416609</v>
      </c>
      <c r="U185" s="78">
        <v>65</v>
      </c>
      <c r="V185" s="77"/>
      <c r="W185" s="77">
        <f t="shared" si="95"/>
        <v>1626.53789253315</v>
      </c>
      <c r="X185" s="79">
        <f t="shared" si="103"/>
        <v>14.9386043265876</v>
      </c>
      <c r="Y185" s="79"/>
      <c r="Z185" s="79"/>
      <c r="AA185" s="79">
        <f t="shared" si="96"/>
        <v>14.9386043265876</v>
      </c>
      <c r="AB185" s="91">
        <v>7.27</v>
      </c>
      <c r="AC185" s="77">
        <f t="shared" si="97"/>
        <v>108.603653454292</v>
      </c>
      <c r="AD185" s="77">
        <f t="shared" si="93"/>
        <v>1735.14154598744</v>
      </c>
      <c r="AE185" s="77">
        <f t="shared" si="94"/>
        <v>236.158454012561</v>
      </c>
    </row>
    <row r="186" customFormat="1" spans="1:31">
      <c r="A186" s="22"/>
      <c r="B186" s="23"/>
      <c r="C186" s="24">
        <v>241203000053</v>
      </c>
      <c r="D186" s="25">
        <v>45636</v>
      </c>
      <c r="E186" s="25" t="s">
        <v>61</v>
      </c>
      <c r="F186" s="23" t="s">
        <v>62</v>
      </c>
      <c r="G186" s="23" t="s">
        <v>105</v>
      </c>
      <c r="H186" s="23">
        <v>0.85</v>
      </c>
      <c r="I186" s="43">
        <v>116.2</v>
      </c>
      <c r="J186" s="44"/>
      <c r="K186" s="45"/>
      <c r="L186" s="23"/>
      <c r="M186" s="45"/>
      <c r="N186" s="57"/>
      <c r="O186" s="47">
        <f t="shared" si="108"/>
        <v>116.2</v>
      </c>
      <c r="P186" s="49"/>
      <c r="Q186" s="49"/>
      <c r="R186" s="77">
        <f t="shared" si="101"/>
        <v>57.6460746685276</v>
      </c>
      <c r="S186" s="77"/>
      <c r="T186" s="78">
        <f t="shared" si="102"/>
        <v>0.0629344033496162</v>
      </c>
      <c r="U186" s="77"/>
      <c r="V186" s="77"/>
      <c r="W186" s="77">
        <f t="shared" si="95"/>
        <v>57.7090090718772</v>
      </c>
      <c r="X186" s="79">
        <f t="shared" si="103"/>
        <v>0.552078855547802</v>
      </c>
      <c r="Y186" s="79"/>
      <c r="Z186" s="79"/>
      <c r="AA186" s="79">
        <f t="shared" si="96"/>
        <v>0.552078855547802</v>
      </c>
      <c r="AB186" s="91">
        <v>7.27</v>
      </c>
      <c r="AC186" s="77">
        <f t="shared" si="97"/>
        <v>4.01361327983252</v>
      </c>
      <c r="AD186" s="77">
        <f t="shared" si="93"/>
        <v>61.7226223517097</v>
      </c>
      <c r="AE186" s="77">
        <f t="shared" si="94"/>
        <v>54.4773776482903</v>
      </c>
    </row>
    <row r="187" customFormat="1" spans="1:31">
      <c r="A187" s="22"/>
      <c r="B187" s="23"/>
      <c r="C187" s="24">
        <v>241203000054</v>
      </c>
      <c r="D187" s="25">
        <v>45636</v>
      </c>
      <c r="E187" s="25" t="s">
        <v>61</v>
      </c>
      <c r="F187" s="23" t="s">
        <v>62</v>
      </c>
      <c r="G187" s="23" t="s">
        <v>221</v>
      </c>
      <c r="H187" s="23">
        <v>2.5</v>
      </c>
      <c r="I187" s="43">
        <v>241.45</v>
      </c>
      <c r="J187" s="44"/>
      <c r="K187" s="45"/>
      <c r="L187" s="23"/>
      <c r="M187" s="45"/>
      <c r="N187" s="57"/>
      <c r="O187" s="47">
        <f t="shared" si="108"/>
        <v>241.45</v>
      </c>
      <c r="P187" s="49"/>
      <c r="Q187" s="49"/>
      <c r="R187" s="77">
        <f t="shared" si="101"/>
        <v>169.547278436846</v>
      </c>
      <c r="S187" s="77"/>
      <c r="T187" s="78">
        <f t="shared" si="102"/>
        <v>0.185101186322401</v>
      </c>
      <c r="U187" s="77"/>
      <c r="V187" s="77"/>
      <c r="W187" s="77">
        <f t="shared" si="95"/>
        <v>169.732379623168</v>
      </c>
      <c r="X187" s="79">
        <f t="shared" si="103"/>
        <v>1.62376133984648</v>
      </c>
      <c r="Y187" s="79"/>
      <c r="Z187" s="79"/>
      <c r="AA187" s="79">
        <f t="shared" si="96"/>
        <v>1.62376133984648</v>
      </c>
      <c r="AB187" s="91">
        <v>7.27</v>
      </c>
      <c r="AC187" s="77">
        <f t="shared" si="97"/>
        <v>11.8047449406839</v>
      </c>
      <c r="AD187" s="77">
        <f t="shared" si="93"/>
        <v>181.537124563852</v>
      </c>
      <c r="AE187" s="77">
        <f t="shared" si="94"/>
        <v>59.9128754361479</v>
      </c>
    </row>
    <row r="188" customFormat="1" spans="1:31">
      <c r="A188" s="22"/>
      <c r="B188" s="23"/>
      <c r="C188" s="24">
        <v>241204000002</v>
      </c>
      <c r="D188" s="25">
        <v>45636</v>
      </c>
      <c r="E188" s="25" t="s">
        <v>37</v>
      </c>
      <c r="F188" s="23" t="s">
        <v>38</v>
      </c>
      <c r="G188" s="23" t="s">
        <v>222</v>
      </c>
      <c r="H188" s="23">
        <v>1.5</v>
      </c>
      <c r="I188" s="50"/>
      <c r="J188" s="51">
        <v>34419</v>
      </c>
      <c r="K188" s="45"/>
      <c r="L188" s="52">
        <f>SUM(J188/M188)</f>
        <v>1676.52216268875</v>
      </c>
      <c r="M188" s="53">
        <v>20.53</v>
      </c>
      <c r="N188" s="57">
        <v>7.27</v>
      </c>
      <c r="O188" s="47">
        <f>SUM(M188*N188)</f>
        <v>149.2531</v>
      </c>
      <c r="P188" s="49"/>
      <c r="Q188" s="49"/>
      <c r="R188" s="77">
        <f t="shared" si="101"/>
        <v>101.728367062107</v>
      </c>
      <c r="S188" s="77"/>
      <c r="T188" s="78">
        <f t="shared" si="102"/>
        <v>0.11106071179344</v>
      </c>
      <c r="U188" s="77"/>
      <c r="V188" s="78">
        <v>14</v>
      </c>
      <c r="W188" s="77">
        <f t="shared" si="95"/>
        <v>115.839427773901</v>
      </c>
      <c r="X188" s="79">
        <f t="shared" si="103"/>
        <v>0.974256803907886</v>
      </c>
      <c r="Y188" s="79"/>
      <c r="Z188" s="79"/>
      <c r="AA188" s="79">
        <f t="shared" si="96"/>
        <v>0.974256803907886</v>
      </c>
      <c r="AB188" s="91">
        <v>7.27</v>
      </c>
      <c r="AC188" s="77">
        <f t="shared" si="97"/>
        <v>7.08284696441033</v>
      </c>
      <c r="AD188" s="77">
        <f t="shared" si="93"/>
        <v>122.922274738311</v>
      </c>
      <c r="AE188" s="77">
        <f t="shared" si="94"/>
        <v>26.3308252616888</v>
      </c>
    </row>
    <row r="189" customFormat="1" spans="1:31">
      <c r="A189" s="22"/>
      <c r="B189" s="23"/>
      <c r="C189" s="24">
        <v>241204000006</v>
      </c>
      <c r="D189" s="25">
        <v>45636</v>
      </c>
      <c r="E189" s="25" t="s">
        <v>54</v>
      </c>
      <c r="F189" s="23" t="s">
        <v>55</v>
      </c>
      <c r="G189" s="23" t="s">
        <v>223</v>
      </c>
      <c r="H189" s="23">
        <v>1</v>
      </c>
      <c r="I189" s="43">
        <v>91.3</v>
      </c>
      <c r="J189" s="44"/>
      <c r="K189" s="45"/>
      <c r="L189" s="23"/>
      <c r="M189" s="45"/>
      <c r="N189" s="57"/>
      <c r="O189" s="47">
        <f t="shared" ref="O189:O193" si="109">SUM(I189)</f>
        <v>91.3</v>
      </c>
      <c r="P189" s="49"/>
      <c r="Q189" s="49"/>
      <c r="R189" s="77">
        <f t="shared" si="101"/>
        <v>67.8189113747383</v>
      </c>
      <c r="S189" s="77"/>
      <c r="T189" s="78">
        <f t="shared" si="102"/>
        <v>0.0740404745289602</v>
      </c>
      <c r="U189" s="77"/>
      <c r="V189" s="77"/>
      <c r="W189" s="77">
        <f t="shared" si="95"/>
        <v>67.8929518492673</v>
      </c>
      <c r="X189" s="79">
        <f t="shared" si="103"/>
        <v>0.64950453593859</v>
      </c>
      <c r="Y189" s="79"/>
      <c r="Z189" s="79"/>
      <c r="AA189" s="79">
        <f t="shared" si="96"/>
        <v>0.64950453593859</v>
      </c>
      <c r="AB189" s="91">
        <v>7.27</v>
      </c>
      <c r="AC189" s="77">
        <f t="shared" si="97"/>
        <v>4.72189797627355</v>
      </c>
      <c r="AD189" s="77">
        <f t="shared" si="93"/>
        <v>72.6148498255408</v>
      </c>
      <c r="AE189" s="77">
        <f t="shared" si="94"/>
        <v>18.6851501744592</v>
      </c>
    </row>
    <row r="190" customFormat="1" spans="1:31">
      <c r="A190" s="22"/>
      <c r="B190" s="23"/>
      <c r="C190" s="24">
        <v>241204000016</v>
      </c>
      <c r="D190" s="25">
        <v>45636</v>
      </c>
      <c r="E190" s="25" t="s">
        <v>44</v>
      </c>
      <c r="F190" s="23" t="s">
        <v>45</v>
      </c>
      <c r="G190" s="23" t="s">
        <v>135</v>
      </c>
      <c r="H190" s="23">
        <v>30</v>
      </c>
      <c r="I190" s="50"/>
      <c r="J190" s="51">
        <v>596112</v>
      </c>
      <c r="K190" s="45"/>
      <c r="L190" s="52">
        <f>SUM(J190/M190)</f>
        <v>1805.74336604871</v>
      </c>
      <c r="M190" s="53">
        <v>330.12</v>
      </c>
      <c r="N190" s="57">
        <v>7.27</v>
      </c>
      <c r="O190" s="47">
        <f>SUM(M190*N190)</f>
        <v>2399.9724</v>
      </c>
      <c r="P190" s="49"/>
      <c r="Q190" s="49"/>
      <c r="R190" s="77">
        <f t="shared" si="101"/>
        <v>2034.56734124215</v>
      </c>
      <c r="S190" s="77"/>
      <c r="T190" s="78">
        <f t="shared" si="102"/>
        <v>2.22121423586881</v>
      </c>
      <c r="U190" s="77"/>
      <c r="V190" s="77"/>
      <c r="W190" s="77">
        <f t="shared" si="95"/>
        <v>2036.78855547802</v>
      </c>
      <c r="X190" s="79">
        <f t="shared" si="103"/>
        <v>19.4851360781577</v>
      </c>
      <c r="Y190" s="79"/>
      <c r="Z190" s="79"/>
      <c r="AA190" s="79">
        <f t="shared" si="96"/>
        <v>19.4851360781577</v>
      </c>
      <c r="AB190" s="91">
        <v>7.27</v>
      </c>
      <c r="AC190" s="77">
        <f t="shared" si="97"/>
        <v>141.656939288207</v>
      </c>
      <c r="AD190" s="77">
        <f t="shared" si="93"/>
        <v>2178.44549476622</v>
      </c>
      <c r="AE190" s="77">
        <f t="shared" si="94"/>
        <v>221.526905233776</v>
      </c>
    </row>
    <row r="191" customFormat="1" spans="1:31">
      <c r="A191" s="22"/>
      <c r="B191" s="23"/>
      <c r="C191" s="24">
        <v>241204000023</v>
      </c>
      <c r="D191" s="26">
        <v>45636</v>
      </c>
      <c r="E191" s="25" t="s">
        <v>143</v>
      </c>
      <c r="F191" s="23" t="s">
        <v>144</v>
      </c>
      <c r="G191" s="23" t="s">
        <v>145</v>
      </c>
      <c r="H191" s="23">
        <v>0.77</v>
      </c>
      <c r="I191" s="43">
        <v>91.3</v>
      </c>
      <c r="J191" s="44"/>
      <c r="K191" s="45"/>
      <c r="L191" s="23"/>
      <c r="M191" s="45"/>
      <c r="N191" s="57"/>
      <c r="O191" s="47">
        <f t="shared" si="109"/>
        <v>91.3</v>
      </c>
      <c r="P191" s="49"/>
      <c r="Q191" s="49"/>
      <c r="R191" s="77">
        <f t="shared" si="101"/>
        <v>52.2205617585485</v>
      </c>
      <c r="S191" s="77"/>
      <c r="T191" s="78">
        <f t="shared" si="102"/>
        <v>0.0570111653872994</v>
      </c>
      <c r="U191" s="77"/>
      <c r="V191" s="77"/>
      <c r="W191" s="77">
        <f t="shared" si="95"/>
        <v>52.2775729239358</v>
      </c>
      <c r="X191" s="79">
        <f t="shared" si="103"/>
        <v>0.500118492672715</v>
      </c>
      <c r="Y191" s="79"/>
      <c r="Z191" s="79"/>
      <c r="AA191" s="79">
        <f t="shared" si="96"/>
        <v>0.500118492672715</v>
      </c>
      <c r="AB191" s="91">
        <v>7.27</v>
      </c>
      <c r="AC191" s="77">
        <f t="shared" si="97"/>
        <v>3.63586144173063</v>
      </c>
      <c r="AD191" s="77">
        <f t="shared" si="93"/>
        <v>55.9134343656664</v>
      </c>
      <c r="AE191" s="77">
        <f t="shared" si="94"/>
        <v>35.3865656343336</v>
      </c>
    </row>
    <row r="192" customFormat="1" spans="1:31">
      <c r="A192" s="22"/>
      <c r="B192" s="23"/>
      <c r="C192" s="24">
        <v>241204000025</v>
      </c>
      <c r="D192" s="25">
        <v>45636</v>
      </c>
      <c r="E192" s="25" t="s">
        <v>44</v>
      </c>
      <c r="F192" s="23" t="s">
        <v>45</v>
      </c>
      <c r="G192" s="23" t="s">
        <v>224</v>
      </c>
      <c r="H192" s="23">
        <v>11</v>
      </c>
      <c r="I192" s="43">
        <v>1120</v>
      </c>
      <c r="J192" s="44"/>
      <c r="K192" s="45"/>
      <c r="L192" s="23"/>
      <c r="M192" s="45"/>
      <c r="N192" s="57"/>
      <c r="O192" s="47">
        <f t="shared" si="109"/>
        <v>1120</v>
      </c>
      <c r="P192" s="49"/>
      <c r="Q192" s="49"/>
      <c r="R192" s="77">
        <f t="shared" si="101"/>
        <v>746.008025122121</v>
      </c>
      <c r="S192" s="77"/>
      <c r="T192" s="78">
        <f t="shared" si="102"/>
        <v>0.814445219818562</v>
      </c>
      <c r="U192" s="77"/>
      <c r="V192" s="77"/>
      <c r="W192" s="77">
        <f t="shared" si="95"/>
        <v>746.82247034194</v>
      </c>
      <c r="X192" s="79">
        <f t="shared" si="103"/>
        <v>7.14454989532449</v>
      </c>
      <c r="Y192" s="79"/>
      <c r="Z192" s="79"/>
      <c r="AA192" s="79">
        <f t="shared" si="96"/>
        <v>7.14454989532449</v>
      </c>
      <c r="AB192" s="91">
        <v>7.27</v>
      </c>
      <c r="AC192" s="77">
        <f t="shared" si="97"/>
        <v>51.9408777390091</v>
      </c>
      <c r="AD192" s="77">
        <f t="shared" si="93"/>
        <v>798.763348080949</v>
      </c>
      <c r="AE192" s="77">
        <f t="shared" si="94"/>
        <v>321.236651919051</v>
      </c>
    </row>
    <row r="193" customFormat="1" spans="1:31">
      <c r="A193" s="22"/>
      <c r="B193" s="23"/>
      <c r="C193" s="24">
        <v>241204000026</v>
      </c>
      <c r="D193" s="25">
        <v>45636</v>
      </c>
      <c r="E193" s="25" t="s">
        <v>44</v>
      </c>
      <c r="F193" s="23" t="s">
        <v>45</v>
      </c>
      <c r="G193" s="23" t="s">
        <v>225</v>
      </c>
      <c r="H193" s="23">
        <v>12</v>
      </c>
      <c r="I193" s="43">
        <v>936</v>
      </c>
      <c r="J193" s="44"/>
      <c r="K193" s="45"/>
      <c r="L193" s="23"/>
      <c r="M193" s="45"/>
      <c r="N193" s="57"/>
      <c r="O193" s="47">
        <f t="shared" si="109"/>
        <v>936</v>
      </c>
      <c r="P193" s="49"/>
      <c r="Q193" s="49"/>
      <c r="R193" s="77">
        <f t="shared" si="101"/>
        <v>813.82693649686</v>
      </c>
      <c r="S193" s="77"/>
      <c r="T193" s="78">
        <f t="shared" si="102"/>
        <v>0.888485694347523</v>
      </c>
      <c r="U193" s="77"/>
      <c r="V193" s="77"/>
      <c r="W193" s="77">
        <f t="shared" si="95"/>
        <v>814.715422191207</v>
      </c>
      <c r="X193" s="79">
        <f t="shared" si="103"/>
        <v>7.79405443126308</v>
      </c>
      <c r="Y193" s="79"/>
      <c r="Z193" s="79"/>
      <c r="AA193" s="79">
        <f t="shared" si="96"/>
        <v>7.79405443126308</v>
      </c>
      <c r="AB193" s="91">
        <v>7.27</v>
      </c>
      <c r="AC193" s="77">
        <f t="shared" si="97"/>
        <v>56.6627757152826</v>
      </c>
      <c r="AD193" s="77">
        <f t="shared" si="93"/>
        <v>871.37819790649</v>
      </c>
      <c r="AE193" s="77">
        <f t="shared" si="94"/>
        <v>64.6218020935103</v>
      </c>
    </row>
    <row r="194" customFormat="1" spans="1:31">
      <c r="A194" s="22"/>
      <c r="B194" s="23"/>
      <c r="C194" s="24">
        <v>241204000036</v>
      </c>
      <c r="D194" s="25">
        <v>45636</v>
      </c>
      <c r="E194" s="25" t="s">
        <v>61</v>
      </c>
      <c r="F194" s="23" t="s">
        <v>62</v>
      </c>
      <c r="G194" s="23" t="s">
        <v>226</v>
      </c>
      <c r="H194" s="23">
        <v>4</v>
      </c>
      <c r="I194" s="50"/>
      <c r="J194" s="51">
        <v>85275</v>
      </c>
      <c r="K194" s="45"/>
      <c r="L194" s="52">
        <f t="shared" ref="L194:L198" si="110">SUM(J194/M194)</f>
        <v>1744.93554327808</v>
      </c>
      <c r="M194" s="53">
        <v>48.87</v>
      </c>
      <c r="N194" s="57">
        <v>7.27</v>
      </c>
      <c r="O194" s="47">
        <f t="shared" ref="O194:O198" si="111">SUM(M194*N194)</f>
        <v>355.2849</v>
      </c>
      <c r="P194" s="49"/>
      <c r="Q194" s="49"/>
      <c r="R194" s="77">
        <f t="shared" si="101"/>
        <v>271.275645498953</v>
      </c>
      <c r="S194" s="77"/>
      <c r="T194" s="78">
        <f t="shared" si="102"/>
        <v>0.296161898115841</v>
      </c>
      <c r="U194" s="77"/>
      <c r="V194" s="77"/>
      <c r="W194" s="77">
        <f t="shared" si="95"/>
        <v>271.571807397069</v>
      </c>
      <c r="X194" s="79">
        <f t="shared" si="103"/>
        <v>2.59801814375436</v>
      </c>
      <c r="Y194" s="79"/>
      <c r="Z194" s="79"/>
      <c r="AA194" s="79">
        <f t="shared" si="96"/>
        <v>2.59801814375436</v>
      </c>
      <c r="AB194" s="91">
        <v>7.27</v>
      </c>
      <c r="AC194" s="77">
        <f t="shared" si="97"/>
        <v>18.8875919050942</v>
      </c>
      <c r="AD194" s="77">
        <f t="shared" si="93"/>
        <v>290.459399302163</v>
      </c>
      <c r="AE194" s="77">
        <f t="shared" si="94"/>
        <v>64.8255006978367</v>
      </c>
    </row>
    <row r="195" customFormat="1" spans="1:31">
      <c r="A195" s="22"/>
      <c r="B195" s="23"/>
      <c r="C195" s="24">
        <v>241204000042</v>
      </c>
      <c r="D195" s="25">
        <v>45636</v>
      </c>
      <c r="E195" s="25" t="s">
        <v>54</v>
      </c>
      <c r="F195" s="23" t="s">
        <v>55</v>
      </c>
      <c r="G195" s="23" t="s">
        <v>227</v>
      </c>
      <c r="H195" s="23">
        <v>0.56</v>
      </c>
      <c r="I195" s="43">
        <v>97.9</v>
      </c>
      <c r="J195" s="44"/>
      <c r="K195" s="45"/>
      <c r="L195" s="23"/>
      <c r="M195" s="45"/>
      <c r="N195" s="57"/>
      <c r="O195" s="47">
        <f t="shared" ref="O195:O203" si="112">SUM(I195)</f>
        <v>97.9</v>
      </c>
      <c r="P195" s="49"/>
      <c r="Q195" s="49"/>
      <c r="R195" s="77">
        <f t="shared" si="101"/>
        <v>37.9785903698535</v>
      </c>
      <c r="S195" s="77"/>
      <c r="T195" s="78">
        <f t="shared" si="102"/>
        <v>0.0414626657362177</v>
      </c>
      <c r="U195" s="77"/>
      <c r="V195" s="77"/>
      <c r="W195" s="77">
        <f t="shared" si="95"/>
        <v>38.0200530355897</v>
      </c>
      <c r="X195" s="79">
        <f t="shared" si="103"/>
        <v>0.363722540125611</v>
      </c>
      <c r="Y195" s="79"/>
      <c r="Z195" s="79"/>
      <c r="AA195" s="79">
        <f t="shared" si="96"/>
        <v>0.363722540125611</v>
      </c>
      <c r="AB195" s="91">
        <v>7.27</v>
      </c>
      <c r="AC195" s="77">
        <f t="shared" si="97"/>
        <v>2.64426286671319</v>
      </c>
      <c r="AD195" s="77">
        <f t="shared" si="93"/>
        <v>40.6643159023029</v>
      </c>
      <c r="AE195" s="77">
        <f t="shared" si="94"/>
        <v>57.2356840976971</v>
      </c>
    </row>
    <row r="196" customFormat="1" spans="1:31">
      <c r="A196" s="22"/>
      <c r="B196" s="23"/>
      <c r="C196" s="24">
        <v>241204000066</v>
      </c>
      <c r="D196" s="25">
        <v>45636</v>
      </c>
      <c r="E196" s="25" t="s">
        <v>41</v>
      </c>
      <c r="F196" s="23" t="s">
        <v>42</v>
      </c>
      <c r="G196" s="23" t="s">
        <v>173</v>
      </c>
      <c r="H196" s="23">
        <v>0.86</v>
      </c>
      <c r="I196" s="43">
        <v>137.6</v>
      </c>
      <c r="J196" s="44"/>
      <c r="K196" s="45"/>
      <c r="L196" s="23"/>
      <c r="M196" s="45"/>
      <c r="N196" s="57"/>
      <c r="O196" s="47">
        <f t="shared" si="112"/>
        <v>137.6</v>
      </c>
      <c r="P196" s="49"/>
      <c r="Q196" s="49"/>
      <c r="R196" s="77">
        <f t="shared" si="101"/>
        <v>58.3242637822749</v>
      </c>
      <c r="S196" s="77"/>
      <c r="T196" s="78">
        <f t="shared" si="102"/>
        <v>0.0636748080949058</v>
      </c>
      <c r="U196" s="77"/>
      <c r="V196" s="78">
        <v>13</v>
      </c>
      <c r="W196" s="77">
        <f t="shared" si="95"/>
        <v>71.3879385903699</v>
      </c>
      <c r="X196" s="79">
        <f t="shared" si="103"/>
        <v>0.558573900907188</v>
      </c>
      <c r="Y196" s="79"/>
      <c r="Z196" s="79"/>
      <c r="AA196" s="79">
        <f t="shared" si="96"/>
        <v>0.558573900907188</v>
      </c>
      <c r="AB196" s="91">
        <v>7.27</v>
      </c>
      <c r="AC196" s="77">
        <f t="shared" si="97"/>
        <v>4.06083225959525</v>
      </c>
      <c r="AD196" s="77">
        <f t="shared" si="93"/>
        <v>75.4487708499651</v>
      </c>
      <c r="AE196" s="77">
        <f t="shared" si="94"/>
        <v>62.1512291500349</v>
      </c>
    </row>
    <row r="197" customFormat="1" spans="1:31">
      <c r="A197" s="22"/>
      <c r="B197" s="23"/>
      <c r="C197" s="24">
        <v>241204000067</v>
      </c>
      <c r="D197" s="25">
        <v>45636</v>
      </c>
      <c r="E197" s="25" t="s">
        <v>44</v>
      </c>
      <c r="F197" s="23" t="s">
        <v>45</v>
      </c>
      <c r="G197" s="23" t="s">
        <v>146</v>
      </c>
      <c r="H197" s="23">
        <v>67.5</v>
      </c>
      <c r="I197" s="50"/>
      <c r="J197" s="51">
        <v>1148160</v>
      </c>
      <c r="K197" s="45"/>
      <c r="L197" s="52">
        <f t="shared" si="110"/>
        <v>1672.11825529746</v>
      </c>
      <c r="M197" s="53">
        <v>686.65</v>
      </c>
      <c r="N197" s="57">
        <v>7.27</v>
      </c>
      <c r="O197" s="47">
        <f t="shared" si="111"/>
        <v>4991.9455</v>
      </c>
      <c r="P197" s="49"/>
      <c r="Q197" s="49"/>
      <c r="R197" s="77">
        <f t="shared" si="101"/>
        <v>4577.77651779484</v>
      </c>
      <c r="S197" s="77"/>
      <c r="T197" s="78">
        <f t="shared" si="102"/>
        <v>4.99773203070481</v>
      </c>
      <c r="U197" s="77"/>
      <c r="V197" s="77"/>
      <c r="W197" s="77">
        <f t="shared" si="95"/>
        <v>4582.77424982554</v>
      </c>
      <c r="X197" s="79">
        <f t="shared" si="103"/>
        <v>43.8415561758548</v>
      </c>
      <c r="Y197" s="79"/>
      <c r="Z197" s="79"/>
      <c r="AA197" s="79">
        <f t="shared" si="96"/>
        <v>43.8415561758548</v>
      </c>
      <c r="AB197" s="91">
        <v>7.27</v>
      </c>
      <c r="AC197" s="77">
        <f t="shared" si="97"/>
        <v>318.728113398465</v>
      </c>
      <c r="AD197" s="77">
        <f t="shared" si="93"/>
        <v>4901.50236322401</v>
      </c>
      <c r="AE197" s="77">
        <f t="shared" si="94"/>
        <v>90.4431367759944</v>
      </c>
    </row>
    <row r="198" customFormat="1" spans="1:31">
      <c r="A198" s="22"/>
      <c r="B198" s="23"/>
      <c r="C198" s="24">
        <v>241204000072</v>
      </c>
      <c r="D198" s="25">
        <v>45636</v>
      </c>
      <c r="E198" s="25" t="s">
        <v>54</v>
      </c>
      <c r="F198" s="23" t="s">
        <v>55</v>
      </c>
      <c r="G198" s="23" t="s">
        <v>228</v>
      </c>
      <c r="H198" s="23">
        <v>4</v>
      </c>
      <c r="I198" s="47"/>
      <c r="J198" s="51">
        <v>104414</v>
      </c>
      <c r="K198" s="45"/>
      <c r="L198" s="52">
        <f t="shared" si="110"/>
        <v>1737.3377703827</v>
      </c>
      <c r="M198" s="53">
        <v>60.1</v>
      </c>
      <c r="N198" s="57">
        <v>7.27</v>
      </c>
      <c r="O198" s="47">
        <f t="shared" si="111"/>
        <v>436.927</v>
      </c>
      <c r="P198" s="49"/>
      <c r="Q198" s="49"/>
      <c r="R198" s="77">
        <f t="shared" si="101"/>
        <v>271.275645498953</v>
      </c>
      <c r="S198" s="77"/>
      <c r="T198" s="78">
        <f t="shared" si="102"/>
        <v>0.296161898115841</v>
      </c>
      <c r="U198" s="77"/>
      <c r="V198" s="77"/>
      <c r="W198" s="77">
        <f t="shared" si="95"/>
        <v>271.571807397069</v>
      </c>
      <c r="X198" s="79">
        <f t="shared" si="103"/>
        <v>2.59801814375436</v>
      </c>
      <c r="Y198" s="79"/>
      <c r="Z198" s="79"/>
      <c r="AA198" s="79">
        <f t="shared" si="96"/>
        <v>2.59801814375436</v>
      </c>
      <c r="AB198" s="91">
        <v>7.27</v>
      </c>
      <c r="AC198" s="77">
        <f t="shared" si="97"/>
        <v>18.8875919050942</v>
      </c>
      <c r="AD198" s="77">
        <f t="shared" ref="AD198:AD217" si="113">SUM(W198+AC198)</f>
        <v>290.459399302163</v>
      </c>
      <c r="AE198" s="77">
        <f t="shared" ref="AE198:AE217" si="114">SUM(O198-AD198)</f>
        <v>146.467600697837</v>
      </c>
    </row>
    <row r="199" customFormat="1" spans="1:31">
      <c r="A199" s="22"/>
      <c r="B199" s="23"/>
      <c r="C199" s="24">
        <v>241204000076</v>
      </c>
      <c r="D199" s="25">
        <v>45636</v>
      </c>
      <c r="E199" s="25" t="s">
        <v>37</v>
      </c>
      <c r="F199" s="23" t="s">
        <v>38</v>
      </c>
      <c r="G199" s="23" t="s">
        <v>229</v>
      </c>
      <c r="H199" s="23">
        <v>6.5</v>
      </c>
      <c r="I199" s="43">
        <v>557</v>
      </c>
      <c r="J199" s="44"/>
      <c r="K199" s="45"/>
      <c r="L199" s="23"/>
      <c r="M199" s="45"/>
      <c r="N199" s="57"/>
      <c r="O199" s="47">
        <f t="shared" si="112"/>
        <v>557</v>
      </c>
      <c r="P199" s="49"/>
      <c r="Q199" s="49"/>
      <c r="R199" s="77">
        <f t="shared" si="101"/>
        <v>440.822923935799</v>
      </c>
      <c r="S199" s="77"/>
      <c r="T199" s="78">
        <f t="shared" si="102"/>
        <v>0.481263084438241</v>
      </c>
      <c r="U199" s="77"/>
      <c r="V199" s="77"/>
      <c r="W199" s="77">
        <f t="shared" ref="W199:W217" si="115">SUM(R199:V199)</f>
        <v>441.304187020237</v>
      </c>
      <c r="X199" s="79">
        <f t="shared" si="103"/>
        <v>4.22177948360084</v>
      </c>
      <c r="Y199" s="79"/>
      <c r="Z199" s="79"/>
      <c r="AA199" s="79">
        <f t="shared" ref="AA199:AA217" si="116">SUM(X199:Z199)</f>
        <v>4.22177948360084</v>
      </c>
      <c r="AB199" s="91">
        <v>7.27</v>
      </c>
      <c r="AC199" s="77">
        <f t="shared" ref="AC199:AC217" si="117">SUM(AA199*AB199)</f>
        <v>30.6923368457781</v>
      </c>
      <c r="AD199" s="77">
        <f t="shared" si="113"/>
        <v>471.996523866015</v>
      </c>
      <c r="AE199" s="77">
        <f t="shared" si="114"/>
        <v>85.0034761339847</v>
      </c>
    </row>
    <row r="200" customFormat="1" spans="1:31">
      <c r="A200" s="22"/>
      <c r="B200" s="23"/>
      <c r="C200" s="24">
        <v>241204000084</v>
      </c>
      <c r="D200" s="26">
        <v>45636</v>
      </c>
      <c r="E200" s="25" t="s">
        <v>70</v>
      </c>
      <c r="F200" s="23" t="s">
        <v>109</v>
      </c>
      <c r="G200" s="23" t="s">
        <v>110</v>
      </c>
      <c r="H200" s="23">
        <v>3.5</v>
      </c>
      <c r="I200" s="43">
        <v>337.15</v>
      </c>
      <c r="J200" s="44"/>
      <c r="K200" s="45"/>
      <c r="L200" s="23"/>
      <c r="M200" s="45"/>
      <c r="N200" s="57"/>
      <c r="O200" s="47">
        <f t="shared" si="112"/>
        <v>337.15</v>
      </c>
      <c r="P200" s="49"/>
      <c r="Q200" s="49"/>
      <c r="R200" s="77">
        <f t="shared" si="101"/>
        <v>237.366189811584</v>
      </c>
      <c r="S200" s="77"/>
      <c r="T200" s="78">
        <f t="shared" si="102"/>
        <v>0.259141660851361</v>
      </c>
      <c r="U200" s="77"/>
      <c r="V200" s="77"/>
      <c r="W200" s="77">
        <f t="shared" si="115"/>
        <v>237.625331472435</v>
      </c>
      <c r="X200" s="79">
        <f t="shared" si="103"/>
        <v>2.27326587578507</v>
      </c>
      <c r="Y200" s="79"/>
      <c r="Z200" s="79"/>
      <c r="AA200" s="79">
        <f t="shared" si="116"/>
        <v>2.27326587578507</v>
      </c>
      <c r="AB200" s="91">
        <v>7.27</v>
      </c>
      <c r="AC200" s="77">
        <f t="shared" si="117"/>
        <v>16.5266429169574</v>
      </c>
      <c r="AD200" s="77">
        <f t="shared" si="113"/>
        <v>254.151974389393</v>
      </c>
      <c r="AE200" s="77">
        <f t="shared" si="114"/>
        <v>82.9980256106071</v>
      </c>
    </row>
    <row r="201" customFormat="1" spans="1:31">
      <c r="A201" s="22"/>
      <c r="B201" s="23"/>
      <c r="C201" s="92">
        <v>241204000086</v>
      </c>
      <c r="D201" s="94">
        <v>45636</v>
      </c>
      <c r="E201" s="25" t="s">
        <v>41</v>
      </c>
      <c r="F201" s="95" t="s">
        <v>42</v>
      </c>
      <c r="G201" s="95" t="s">
        <v>91</v>
      </c>
      <c r="H201" s="95">
        <v>0.62</v>
      </c>
      <c r="I201" s="43">
        <v>116.2</v>
      </c>
      <c r="J201" s="44"/>
      <c r="K201" s="45"/>
      <c r="L201" s="23"/>
      <c r="M201" s="45"/>
      <c r="N201" s="57"/>
      <c r="O201" s="47">
        <f t="shared" si="112"/>
        <v>116.2</v>
      </c>
      <c r="P201" s="49"/>
      <c r="Q201" s="49"/>
      <c r="R201" s="77">
        <f t="shared" ref="R201:R217" si="118">SUM(194369/2866)*H201</f>
        <v>42.0477250523377</v>
      </c>
      <c r="S201" s="77"/>
      <c r="T201" s="78">
        <f t="shared" ref="T201:T217" si="119">SUM(212.2/2866)*H201</f>
        <v>0.0459050942079553</v>
      </c>
      <c r="U201" s="77"/>
      <c r="V201" s="77"/>
      <c r="W201" s="77">
        <f t="shared" si="115"/>
        <v>42.0936301465457</v>
      </c>
      <c r="X201" s="79">
        <f t="shared" ref="X201:X217" si="120">SUM(1861.48/2866)*H201</f>
        <v>0.402692812281926</v>
      </c>
      <c r="Y201" s="79"/>
      <c r="Z201" s="79"/>
      <c r="AA201" s="79">
        <f t="shared" si="116"/>
        <v>0.402692812281926</v>
      </c>
      <c r="AB201" s="91">
        <v>7.27</v>
      </c>
      <c r="AC201" s="77">
        <f t="shared" si="117"/>
        <v>2.9275767452896</v>
      </c>
      <c r="AD201" s="77">
        <f t="shared" si="113"/>
        <v>45.0212068918353</v>
      </c>
      <c r="AE201" s="77">
        <f t="shared" si="114"/>
        <v>71.1787931081647</v>
      </c>
    </row>
    <row r="202" customFormat="1" spans="1:31">
      <c r="A202" s="22"/>
      <c r="B202" s="23"/>
      <c r="C202" s="24">
        <v>241204000087</v>
      </c>
      <c r="D202" s="26">
        <v>45636</v>
      </c>
      <c r="E202" s="25" t="s">
        <v>70</v>
      </c>
      <c r="F202" s="23" t="s">
        <v>109</v>
      </c>
      <c r="G202" s="23" t="s">
        <v>110</v>
      </c>
      <c r="H202" s="23">
        <v>9</v>
      </c>
      <c r="I202" s="43">
        <v>828.3</v>
      </c>
      <c r="J202" s="44"/>
      <c r="K202" s="45"/>
      <c r="L202" s="23"/>
      <c r="M202" s="45"/>
      <c r="N202" s="57"/>
      <c r="O202" s="47">
        <f t="shared" si="112"/>
        <v>828.3</v>
      </c>
      <c r="P202" s="49"/>
      <c r="Q202" s="49"/>
      <c r="R202" s="77">
        <f t="shared" si="118"/>
        <v>610.370202372645</v>
      </c>
      <c r="S202" s="77"/>
      <c r="T202" s="78">
        <f t="shared" si="119"/>
        <v>0.666364270760642</v>
      </c>
      <c r="U202" s="77"/>
      <c r="V202" s="77"/>
      <c r="W202" s="77">
        <f t="shared" si="115"/>
        <v>611.036566643405</v>
      </c>
      <c r="X202" s="79">
        <f t="shared" si="120"/>
        <v>5.84554082344731</v>
      </c>
      <c r="Y202" s="79"/>
      <c r="Z202" s="79"/>
      <c r="AA202" s="79">
        <f t="shared" si="116"/>
        <v>5.84554082344731</v>
      </c>
      <c r="AB202" s="91">
        <v>7.27</v>
      </c>
      <c r="AC202" s="77">
        <f t="shared" si="117"/>
        <v>42.497081786462</v>
      </c>
      <c r="AD202" s="77">
        <f t="shared" si="113"/>
        <v>653.533648429867</v>
      </c>
      <c r="AE202" s="77">
        <f t="shared" si="114"/>
        <v>174.766351570133</v>
      </c>
    </row>
    <row r="203" customFormat="1" spans="1:31">
      <c r="A203" s="22"/>
      <c r="B203" s="23"/>
      <c r="C203" s="24">
        <v>241204000090</v>
      </c>
      <c r="D203" s="26">
        <v>45636</v>
      </c>
      <c r="E203" s="25" t="s">
        <v>70</v>
      </c>
      <c r="F203" s="23" t="s">
        <v>109</v>
      </c>
      <c r="G203" s="23" t="s">
        <v>110</v>
      </c>
      <c r="H203" s="23">
        <v>1.5</v>
      </c>
      <c r="I203" s="43">
        <v>145.75</v>
      </c>
      <c r="J203" s="44"/>
      <c r="K203" s="45"/>
      <c r="L203" s="23"/>
      <c r="M203" s="45"/>
      <c r="N203" s="57"/>
      <c r="O203" s="47">
        <f t="shared" si="112"/>
        <v>145.75</v>
      </c>
      <c r="P203" s="49"/>
      <c r="Q203" s="49"/>
      <c r="R203" s="77">
        <f t="shared" si="118"/>
        <v>101.728367062107</v>
      </c>
      <c r="S203" s="77"/>
      <c r="T203" s="78">
        <f t="shared" si="119"/>
        <v>0.11106071179344</v>
      </c>
      <c r="U203" s="77"/>
      <c r="V203" s="77"/>
      <c r="W203" s="77">
        <f t="shared" si="115"/>
        <v>101.839427773901</v>
      </c>
      <c r="X203" s="79">
        <f t="shared" si="120"/>
        <v>0.974256803907886</v>
      </c>
      <c r="Y203" s="79"/>
      <c r="Z203" s="79"/>
      <c r="AA203" s="79">
        <f t="shared" si="116"/>
        <v>0.974256803907886</v>
      </c>
      <c r="AB203" s="91">
        <v>7.27</v>
      </c>
      <c r="AC203" s="77">
        <f t="shared" si="117"/>
        <v>7.08284696441033</v>
      </c>
      <c r="AD203" s="77">
        <f t="shared" si="113"/>
        <v>108.922274738311</v>
      </c>
      <c r="AE203" s="77">
        <f t="shared" si="114"/>
        <v>36.8277252616888</v>
      </c>
    </row>
    <row r="204" customFormat="1" spans="1:31">
      <c r="A204" s="22"/>
      <c r="B204" s="23"/>
      <c r="C204" s="24">
        <v>241204000091</v>
      </c>
      <c r="D204" s="26">
        <v>45636</v>
      </c>
      <c r="E204" s="25" t="s">
        <v>133</v>
      </c>
      <c r="F204" s="23" t="s">
        <v>147</v>
      </c>
      <c r="G204" s="23" t="s">
        <v>230</v>
      </c>
      <c r="H204" s="23">
        <v>2</v>
      </c>
      <c r="I204" s="47"/>
      <c r="J204" s="51">
        <v>40310</v>
      </c>
      <c r="K204" s="45"/>
      <c r="L204" s="52">
        <f>SUM(J204/M204)</f>
        <v>1650.02046663938</v>
      </c>
      <c r="M204" s="53">
        <v>24.43</v>
      </c>
      <c r="N204" s="57">
        <v>7.27</v>
      </c>
      <c r="O204" s="47">
        <f>SUM(M204*N204)</f>
        <v>177.6061</v>
      </c>
      <c r="P204" s="49"/>
      <c r="Q204" s="49"/>
      <c r="R204" s="77">
        <f t="shared" si="118"/>
        <v>135.637822749477</v>
      </c>
      <c r="S204" s="77"/>
      <c r="T204" s="78">
        <f t="shared" si="119"/>
        <v>0.14808094905792</v>
      </c>
      <c r="U204" s="77"/>
      <c r="V204" s="77"/>
      <c r="W204" s="77">
        <f t="shared" si="115"/>
        <v>135.785903698535</v>
      </c>
      <c r="X204" s="79">
        <f t="shared" si="120"/>
        <v>1.29900907187718</v>
      </c>
      <c r="Y204" s="79"/>
      <c r="Z204" s="79"/>
      <c r="AA204" s="79">
        <f t="shared" si="116"/>
        <v>1.29900907187718</v>
      </c>
      <c r="AB204" s="91">
        <v>7.27</v>
      </c>
      <c r="AC204" s="77">
        <f t="shared" si="117"/>
        <v>9.4437959525471</v>
      </c>
      <c r="AD204" s="77">
        <f t="shared" si="113"/>
        <v>145.229699651082</v>
      </c>
      <c r="AE204" s="77">
        <f t="shared" si="114"/>
        <v>32.3764003489184</v>
      </c>
    </row>
    <row r="205" customFormat="1" spans="1:31">
      <c r="A205" s="22"/>
      <c r="B205" s="23"/>
      <c r="C205" s="24">
        <v>241205000003</v>
      </c>
      <c r="D205" s="25">
        <v>45636</v>
      </c>
      <c r="E205" s="25" t="s">
        <v>84</v>
      </c>
      <c r="F205" s="23" t="s">
        <v>85</v>
      </c>
      <c r="G205" s="23" t="s">
        <v>231</v>
      </c>
      <c r="H205" s="23">
        <v>0.52</v>
      </c>
      <c r="I205" s="43">
        <v>122.3</v>
      </c>
      <c r="J205" s="44"/>
      <c r="K205" s="45"/>
      <c r="L205" s="23"/>
      <c r="M205" s="45"/>
      <c r="N205" s="57"/>
      <c r="O205" s="47">
        <f t="shared" ref="O205:O209" si="121">SUM(I205)</f>
        <v>122.3</v>
      </c>
      <c r="P205" s="49"/>
      <c r="Q205" s="49"/>
      <c r="R205" s="77">
        <f t="shared" si="118"/>
        <v>35.2658339148639</v>
      </c>
      <c r="S205" s="77"/>
      <c r="T205" s="78">
        <f t="shared" si="119"/>
        <v>0.0385010467550593</v>
      </c>
      <c r="U205" s="77"/>
      <c r="V205" s="77"/>
      <c r="W205" s="77">
        <f t="shared" si="115"/>
        <v>35.304334961619</v>
      </c>
      <c r="X205" s="79">
        <f t="shared" si="120"/>
        <v>0.337742358688067</v>
      </c>
      <c r="Y205" s="79">
        <v>4.16</v>
      </c>
      <c r="Z205" s="79"/>
      <c r="AA205" s="79">
        <f t="shared" si="116"/>
        <v>4.49774235868807</v>
      </c>
      <c r="AB205" s="91">
        <v>7.27</v>
      </c>
      <c r="AC205" s="77">
        <f t="shared" si="117"/>
        <v>32.6985869476622</v>
      </c>
      <c r="AD205" s="77">
        <f t="shared" si="113"/>
        <v>68.0029219092812</v>
      </c>
      <c r="AE205" s="77">
        <f t="shared" si="114"/>
        <v>54.2970780907188</v>
      </c>
    </row>
    <row r="206" customFormat="1" spans="1:31">
      <c r="A206" s="22"/>
      <c r="B206" s="23"/>
      <c r="C206" s="24">
        <v>241205000020</v>
      </c>
      <c r="D206" s="25">
        <v>45636</v>
      </c>
      <c r="E206" s="25" t="s">
        <v>61</v>
      </c>
      <c r="F206" s="23" t="s">
        <v>62</v>
      </c>
      <c r="G206" s="23" t="s">
        <v>63</v>
      </c>
      <c r="H206" s="23">
        <v>6</v>
      </c>
      <c r="I206" s="43">
        <v>622.2</v>
      </c>
      <c r="J206" s="44"/>
      <c r="K206" s="45"/>
      <c r="L206" s="23"/>
      <c r="M206" s="45"/>
      <c r="N206" s="57"/>
      <c r="O206" s="47">
        <f t="shared" si="121"/>
        <v>622.2</v>
      </c>
      <c r="P206" s="49"/>
      <c r="Q206" s="49"/>
      <c r="R206" s="77">
        <f t="shared" si="118"/>
        <v>406.91346824843</v>
      </c>
      <c r="S206" s="77"/>
      <c r="T206" s="78">
        <f t="shared" si="119"/>
        <v>0.444242847173761</v>
      </c>
      <c r="U206" s="77"/>
      <c r="V206" s="77"/>
      <c r="W206" s="77">
        <f t="shared" si="115"/>
        <v>407.357711095604</v>
      </c>
      <c r="X206" s="79">
        <f t="shared" si="120"/>
        <v>3.89702721563154</v>
      </c>
      <c r="Y206" s="79"/>
      <c r="Z206" s="79"/>
      <c r="AA206" s="79">
        <f t="shared" si="116"/>
        <v>3.89702721563154</v>
      </c>
      <c r="AB206" s="91">
        <v>7.27</v>
      </c>
      <c r="AC206" s="77">
        <f t="shared" si="117"/>
        <v>28.3313878576413</v>
      </c>
      <c r="AD206" s="77">
        <f t="shared" si="113"/>
        <v>435.689098953245</v>
      </c>
      <c r="AE206" s="77">
        <f t="shared" si="114"/>
        <v>186.510901046755</v>
      </c>
    </row>
    <row r="207" customFormat="1" spans="1:31">
      <c r="A207" s="22"/>
      <c r="B207" s="23"/>
      <c r="C207" s="24">
        <v>241206000002</v>
      </c>
      <c r="D207" s="25">
        <v>45636</v>
      </c>
      <c r="E207" s="25" t="s">
        <v>84</v>
      </c>
      <c r="F207" s="23" t="s">
        <v>85</v>
      </c>
      <c r="G207" s="23" t="s">
        <v>232</v>
      </c>
      <c r="H207" s="23">
        <v>9</v>
      </c>
      <c r="I207" s="43">
        <v>845.8</v>
      </c>
      <c r="J207" s="44"/>
      <c r="K207" s="45"/>
      <c r="L207" s="23"/>
      <c r="M207" s="45"/>
      <c r="N207" s="57"/>
      <c r="O207" s="47">
        <f t="shared" si="121"/>
        <v>845.8</v>
      </c>
      <c r="P207" s="49"/>
      <c r="Q207" s="49"/>
      <c r="R207" s="77">
        <f t="shared" si="118"/>
        <v>610.370202372645</v>
      </c>
      <c r="S207" s="77"/>
      <c r="T207" s="78">
        <f t="shared" si="119"/>
        <v>0.666364270760642</v>
      </c>
      <c r="U207" s="77"/>
      <c r="V207" s="78">
        <v>51</v>
      </c>
      <c r="W207" s="77">
        <f t="shared" si="115"/>
        <v>662.036566643405</v>
      </c>
      <c r="X207" s="79">
        <f t="shared" si="120"/>
        <v>5.84554082344731</v>
      </c>
      <c r="Y207" s="79">
        <v>9.02</v>
      </c>
      <c r="Z207" s="79"/>
      <c r="AA207" s="79">
        <f t="shared" si="116"/>
        <v>14.8655408234473</v>
      </c>
      <c r="AB207" s="91">
        <v>7.27</v>
      </c>
      <c r="AC207" s="77">
        <f t="shared" si="117"/>
        <v>108.072481786462</v>
      </c>
      <c r="AD207" s="77">
        <f t="shared" si="113"/>
        <v>770.109048429867</v>
      </c>
      <c r="AE207" s="77">
        <f t="shared" si="114"/>
        <v>75.6909515701327</v>
      </c>
    </row>
    <row r="208" customFormat="1" spans="1:31">
      <c r="A208" s="22"/>
      <c r="B208" s="23"/>
      <c r="C208" s="24">
        <v>241206000012</v>
      </c>
      <c r="D208" s="25">
        <v>45636</v>
      </c>
      <c r="E208" s="25" t="s">
        <v>44</v>
      </c>
      <c r="F208" s="23" t="s">
        <v>45</v>
      </c>
      <c r="G208" s="23" t="s">
        <v>233</v>
      </c>
      <c r="H208" s="23">
        <v>0.78</v>
      </c>
      <c r="I208" s="43">
        <v>125</v>
      </c>
      <c r="J208" s="44"/>
      <c r="K208" s="45"/>
      <c r="L208" s="23"/>
      <c r="M208" s="45"/>
      <c r="N208" s="57"/>
      <c r="O208" s="47">
        <f t="shared" si="121"/>
        <v>125</v>
      </c>
      <c r="P208" s="49"/>
      <c r="Q208" s="49"/>
      <c r="R208" s="77">
        <f t="shared" si="118"/>
        <v>52.8987508722959</v>
      </c>
      <c r="S208" s="77"/>
      <c r="T208" s="78">
        <f t="shared" si="119"/>
        <v>0.057751570132589</v>
      </c>
      <c r="U208" s="77"/>
      <c r="V208" s="77"/>
      <c r="W208" s="77">
        <f t="shared" si="115"/>
        <v>52.9565024424285</v>
      </c>
      <c r="X208" s="79">
        <f t="shared" si="120"/>
        <v>0.506613538032101</v>
      </c>
      <c r="Y208" s="79"/>
      <c r="Z208" s="79"/>
      <c r="AA208" s="79">
        <f t="shared" si="116"/>
        <v>0.506613538032101</v>
      </c>
      <c r="AB208" s="91">
        <v>7.27</v>
      </c>
      <c r="AC208" s="77">
        <f t="shared" si="117"/>
        <v>3.68308042149337</v>
      </c>
      <c r="AD208" s="77">
        <f t="shared" si="113"/>
        <v>56.6395828639218</v>
      </c>
      <c r="AE208" s="77">
        <f t="shared" si="114"/>
        <v>68.3604171360782</v>
      </c>
    </row>
    <row r="209" customFormat="1" spans="1:31">
      <c r="A209" s="22"/>
      <c r="B209" s="23"/>
      <c r="C209" s="24">
        <v>241206000018</v>
      </c>
      <c r="D209" s="26">
        <v>45636</v>
      </c>
      <c r="E209" s="25" t="s">
        <v>143</v>
      </c>
      <c r="F209" s="23" t="s">
        <v>144</v>
      </c>
      <c r="G209" s="23" t="s">
        <v>234</v>
      </c>
      <c r="H209" s="23">
        <v>502.5</v>
      </c>
      <c r="I209" s="96">
        <v>37436.25</v>
      </c>
      <c r="J209" s="44"/>
      <c r="K209" s="45"/>
      <c r="L209" s="23"/>
      <c r="M209" s="45"/>
      <c r="N209" s="57"/>
      <c r="O209" s="47">
        <f t="shared" si="121"/>
        <v>37436.25</v>
      </c>
      <c r="P209" s="49"/>
      <c r="Q209" s="49"/>
      <c r="R209" s="77">
        <f t="shared" si="118"/>
        <v>34079.002965806</v>
      </c>
      <c r="S209" s="77"/>
      <c r="T209" s="78">
        <f t="shared" si="119"/>
        <v>37.2053384508025</v>
      </c>
      <c r="U209" s="77"/>
      <c r="V209" s="77"/>
      <c r="W209" s="77">
        <f t="shared" si="115"/>
        <v>34116.2083042568</v>
      </c>
      <c r="X209" s="79">
        <f t="shared" si="120"/>
        <v>326.376029309142</v>
      </c>
      <c r="Y209" s="79"/>
      <c r="Z209" s="79"/>
      <c r="AA209" s="79">
        <f t="shared" si="116"/>
        <v>326.376029309142</v>
      </c>
      <c r="AB209" s="91">
        <v>7.27</v>
      </c>
      <c r="AC209" s="77">
        <f t="shared" si="117"/>
        <v>2372.75373307746</v>
      </c>
      <c r="AD209" s="77">
        <f t="shared" si="113"/>
        <v>36488.9620373343</v>
      </c>
      <c r="AE209" s="77">
        <f t="shared" si="114"/>
        <v>947.287962665738</v>
      </c>
    </row>
    <row r="210" customFormat="1" spans="1:31">
      <c r="A210" s="22"/>
      <c r="B210" s="23"/>
      <c r="C210" s="24">
        <v>241206000029</v>
      </c>
      <c r="D210" s="26">
        <v>45636</v>
      </c>
      <c r="E210" s="25" t="s">
        <v>133</v>
      </c>
      <c r="F210" s="23" t="s">
        <v>147</v>
      </c>
      <c r="G210" s="23" t="s">
        <v>235</v>
      </c>
      <c r="H210" s="23">
        <v>6</v>
      </c>
      <c r="I210" s="54">
        <v>522</v>
      </c>
      <c r="J210" s="44"/>
      <c r="K210" s="45"/>
      <c r="L210" s="23"/>
      <c r="M210" s="45"/>
      <c r="N210" s="57"/>
      <c r="O210" s="47">
        <f>SUBTOTAL(9,I210)</f>
        <v>522</v>
      </c>
      <c r="P210" s="49"/>
      <c r="Q210" s="49"/>
      <c r="R210" s="77">
        <f t="shared" si="118"/>
        <v>406.91346824843</v>
      </c>
      <c r="S210" s="77"/>
      <c r="T210" s="78">
        <f t="shared" si="119"/>
        <v>0.444242847173761</v>
      </c>
      <c r="U210" s="77"/>
      <c r="V210" s="77"/>
      <c r="W210" s="77">
        <f t="shared" si="115"/>
        <v>407.357711095604</v>
      </c>
      <c r="X210" s="79">
        <f t="shared" si="120"/>
        <v>3.89702721563154</v>
      </c>
      <c r="Y210" s="79"/>
      <c r="Z210" s="79"/>
      <c r="AA210" s="79">
        <f t="shared" si="116"/>
        <v>3.89702721563154</v>
      </c>
      <c r="AB210" s="91">
        <v>7.27</v>
      </c>
      <c r="AC210" s="77">
        <f t="shared" si="117"/>
        <v>28.3313878576413</v>
      </c>
      <c r="AD210" s="77">
        <f t="shared" si="113"/>
        <v>435.689098953245</v>
      </c>
      <c r="AE210" s="77">
        <f t="shared" si="114"/>
        <v>86.310901046755</v>
      </c>
    </row>
    <row r="211" customFormat="1" spans="1:31">
      <c r="A211" s="22"/>
      <c r="B211" s="23"/>
      <c r="C211" s="24">
        <v>241206000043</v>
      </c>
      <c r="D211" s="25">
        <v>45636</v>
      </c>
      <c r="E211" s="25" t="s">
        <v>61</v>
      </c>
      <c r="F211" s="23" t="s">
        <v>62</v>
      </c>
      <c r="G211" s="23" t="s">
        <v>236</v>
      </c>
      <c r="H211" s="23">
        <v>1</v>
      </c>
      <c r="I211" s="43">
        <v>221</v>
      </c>
      <c r="J211" s="44"/>
      <c r="K211" s="45"/>
      <c r="L211" s="23"/>
      <c r="M211" s="45"/>
      <c r="N211" s="57"/>
      <c r="O211" s="47">
        <f t="shared" ref="O211:O216" si="122">SUM(I211)</f>
        <v>221</v>
      </c>
      <c r="P211" s="49"/>
      <c r="Q211" s="49"/>
      <c r="R211" s="77">
        <f t="shared" si="118"/>
        <v>67.8189113747383</v>
      </c>
      <c r="S211" s="77"/>
      <c r="T211" s="78">
        <f t="shared" si="119"/>
        <v>0.0740404745289602</v>
      </c>
      <c r="U211" s="77"/>
      <c r="V211" s="77"/>
      <c r="W211" s="77">
        <f t="shared" si="115"/>
        <v>67.8929518492673</v>
      </c>
      <c r="X211" s="79">
        <f t="shared" si="120"/>
        <v>0.64950453593859</v>
      </c>
      <c r="Y211" s="79">
        <v>15.97</v>
      </c>
      <c r="Z211" s="79"/>
      <c r="AA211" s="79">
        <f t="shared" si="116"/>
        <v>16.6195045359386</v>
      </c>
      <c r="AB211" s="91">
        <v>7.27</v>
      </c>
      <c r="AC211" s="77">
        <f t="shared" si="117"/>
        <v>120.823797976274</v>
      </c>
      <c r="AD211" s="77">
        <f t="shared" si="113"/>
        <v>188.716749825541</v>
      </c>
      <c r="AE211" s="77">
        <f t="shared" si="114"/>
        <v>32.2832501744592</v>
      </c>
    </row>
    <row r="212" customFormat="1" spans="1:31">
      <c r="A212" s="22"/>
      <c r="B212" s="23"/>
      <c r="C212" s="24">
        <v>241206000046</v>
      </c>
      <c r="D212" s="26">
        <v>45636</v>
      </c>
      <c r="E212" s="25" t="s">
        <v>143</v>
      </c>
      <c r="F212" s="23" t="s">
        <v>144</v>
      </c>
      <c r="G212" s="23" t="s">
        <v>214</v>
      </c>
      <c r="H212" s="23">
        <v>413</v>
      </c>
      <c r="I212" s="43">
        <v>32815.5</v>
      </c>
      <c r="J212" s="44"/>
      <c r="K212" s="45"/>
      <c r="L212" s="23"/>
      <c r="M212" s="45"/>
      <c r="N212" s="57"/>
      <c r="O212" s="47">
        <f t="shared" si="122"/>
        <v>32815.5</v>
      </c>
      <c r="P212" s="49"/>
      <c r="Q212" s="49"/>
      <c r="R212" s="77">
        <f t="shared" si="118"/>
        <v>28009.2103977669</v>
      </c>
      <c r="S212" s="77"/>
      <c r="T212" s="78">
        <f t="shared" si="119"/>
        <v>30.5787159804606</v>
      </c>
      <c r="U212" s="77"/>
      <c r="V212" s="77"/>
      <c r="W212" s="77">
        <f t="shared" si="115"/>
        <v>28039.7891137474</v>
      </c>
      <c r="X212" s="79">
        <f t="shared" si="120"/>
        <v>268.245373342638</v>
      </c>
      <c r="Y212" s="79"/>
      <c r="Z212" s="79"/>
      <c r="AA212" s="79">
        <f t="shared" si="116"/>
        <v>268.245373342638</v>
      </c>
      <c r="AB212" s="91">
        <v>7.27</v>
      </c>
      <c r="AC212" s="77">
        <f t="shared" si="117"/>
        <v>1950.14386420098</v>
      </c>
      <c r="AD212" s="77">
        <f t="shared" si="113"/>
        <v>29989.9329779484</v>
      </c>
      <c r="AE212" s="77">
        <f t="shared" si="114"/>
        <v>2825.56702205164</v>
      </c>
    </row>
    <row r="213" customFormat="1" spans="1:31">
      <c r="A213" s="22"/>
      <c r="B213" s="23"/>
      <c r="C213" s="24">
        <v>241206000049</v>
      </c>
      <c r="D213" s="26">
        <v>45636</v>
      </c>
      <c r="E213" s="25" t="s">
        <v>70</v>
      </c>
      <c r="F213" s="23" t="s">
        <v>70</v>
      </c>
      <c r="G213" s="23" t="s">
        <v>237</v>
      </c>
      <c r="H213" s="23">
        <v>15.5</v>
      </c>
      <c r="I213" s="43">
        <v>1709.5</v>
      </c>
      <c r="J213" s="44"/>
      <c r="K213" s="45"/>
      <c r="L213" s="23"/>
      <c r="M213" s="45"/>
      <c r="N213" s="57"/>
      <c r="O213" s="47">
        <f t="shared" si="122"/>
        <v>1709.5</v>
      </c>
      <c r="P213" s="49"/>
      <c r="Q213" s="49"/>
      <c r="R213" s="77">
        <f t="shared" si="118"/>
        <v>1051.19312630844</v>
      </c>
      <c r="S213" s="77"/>
      <c r="T213" s="78">
        <f t="shared" si="119"/>
        <v>1.14762735519888</v>
      </c>
      <c r="U213" s="78">
        <v>50</v>
      </c>
      <c r="V213" s="77"/>
      <c r="W213" s="77">
        <f t="shared" si="115"/>
        <v>1102.34075366364</v>
      </c>
      <c r="X213" s="79">
        <f t="shared" si="120"/>
        <v>10.0673203070482</v>
      </c>
      <c r="Y213" s="79"/>
      <c r="Z213" s="79"/>
      <c r="AA213" s="79">
        <f t="shared" si="116"/>
        <v>10.0673203070482</v>
      </c>
      <c r="AB213" s="91">
        <v>7.27</v>
      </c>
      <c r="AC213" s="77">
        <f t="shared" si="117"/>
        <v>73.18941863224</v>
      </c>
      <c r="AD213" s="77">
        <f t="shared" si="113"/>
        <v>1175.53017229588</v>
      </c>
      <c r="AE213" s="77">
        <f t="shared" si="114"/>
        <v>533.969827704118</v>
      </c>
    </row>
    <row r="214" customFormat="1" spans="1:31">
      <c r="A214" s="22"/>
      <c r="B214" s="23"/>
      <c r="C214" s="24">
        <v>241206000050</v>
      </c>
      <c r="D214" s="26">
        <v>45636</v>
      </c>
      <c r="E214" s="25" t="s">
        <v>70</v>
      </c>
      <c r="F214" s="23" t="s">
        <v>70</v>
      </c>
      <c r="G214" s="23" t="s">
        <v>71</v>
      </c>
      <c r="H214" s="23">
        <v>59</v>
      </c>
      <c r="I214" s="43">
        <v>4602</v>
      </c>
      <c r="J214" s="44"/>
      <c r="K214" s="45"/>
      <c r="L214" s="23"/>
      <c r="M214" s="45"/>
      <c r="N214" s="57"/>
      <c r="O214" s="47">
        <f t="shared" si="122"/>
        <v>4602</v>
      </c>
      <c r="P214" s="49"/>
      <c r="Q214" s="49"/>
      <c r="R214" s="77">
        <f t="shared" si="118"/>
        <v>4001.31577110956</v>
      </c>
      <c r="S214" s="77"/>
      <c r="T214" s="78">
        <f t="shared" si="119"/>
        <v>4.36838799720865</v>
      </c>
      <c r="U214" s="77"/>
      <c r="V214" s="77"/>
      <c r="W214" s="77">
        <f t="shared" si="115"/>
        <v>4005.68415910677</v>
      </c>
      <c r="X214" s="79">
        <f t="shared" si="120"/>
        <v>38.3207676203768</v>
      </c>
      <c r="Y214" s="79"/>
      <c r="Z214" s="79"/>
      <c r="AA214" s="79">
        <f t="shared" si="116"/>
        <v>38.3207676203768</v>
      </c>
      <c r="AB214" s="91">
        <v>7.27</v>
      </c>
      <c r="AC214" s="77">
        <f t="shared" si="117"/>
        <v>278.59198060014</v>
      </c>
      <c r="AD214" s="77">
        <f t="shared" si="113"/>
        <v>4284.27613970691</v>
      </c>
      <c r="AE214" s="77">
        <f t="shared" si="114"/>
        <v>317.723860293092</v>
      </c>
    </row>
    <row r="215" customFormat="1" spans="1:31">
      <c r="A215" s="22"/>
      <c r="B215" s="23"/>
      <c r="C215" s="24">
        <v>241206000054</v>
      </c>
      <c r="D215" s="25">
        <v>45636</v>
      </c>
      <c r="E215" s="25" t="s">
        <v>37</v>
      </c>
      <c r="F215" s="23" t="s">
        <v>38</v>
      </c>
      <c r="G215" s="23" t="s">
        <v>238</v>
      </c>
      <c r="H215" s="23">
        <v>44</v>
      </c>
      <c r="I215" s="43">
        <v>4002</v>
      </c>
      <c r="J215" s="44"/>
      <c r="K215" s="45"/>
      <c r="L215" s="23"/>
      <c r="M215" s="45"/>
      <c r="N215" s="57"/>
      <c r="O215" s="47">
        <f t="shared" si="122"/>
        <v>4002</v>
      </c>
      <c r="P215" s="49"/>
      <c r="Q215" s="49"/>
      <c r="R215" s="77">
        <f t="shared" si="118"/>
        <v>2984.03210048849</v>
      </c>
      <c r="S215" s="77"/>
      <c r="T215" s="78">
        <f t="shared" si="119"/>
        <v>3.25778087927425</v>
      </c>
      <c r="U215" s="77"/>
      <c r="V215" s="77"/>
      <c r="W215" s="77">
        <f t="shared" si="115"/>
        <v>2987.28988136776</v>
      </c>
      <c r="X215" s="79">
        <f t="shared" si="120"/>
        <v>28.578199581298</v>
      </c>
      <c r="Y215" s="79"/>
      <c r="Z215" s="79"/>
      <c r="AA215" s="79">
        <f t="shared" si="116"/>
        <v>28.578199581298</v>
      </c>
      <c r="AB215" s="91">
        <v>7.27</v>
      </c>
      <c r="AC215" s="77">
        <f t="shared" si="117"/>
        <v>207.763510956036</v>
      </c>
      <c r="AD215" s="77">
        <f t="shared" si="113"/>
        <v>3195.0533923238</v>
      </c>
      <c r="AE215" s="77">
        <f t="shared" si="114"/>
        <v>806.946607676204</v>
      </c>
    </row>
    <row r="216" customFormat="1" spans="1:31">
      <c r="A216" s="22"/>
      <c r="B216" s="23"/>
      <c r="C216" s="24">
        <v>241206000057</v>
      </c>
      <c r="D216" s="26">
        <v>45636</v>
      </c>
      <c r="E216" s="25" t="s">
        <v>143</v>
      </c>
      <c r="F216" s="23" t="s">
        <v>144</v>
      </c>
      <c r="G216" s="23" t="s">
        <v>234</v>
      </c>
      <c r="H216" s="23">
        <v>631</v>
      </c>
      <c r="I216" s="96">
        <v>47009.5</v>
      </c>
      <c r="J216" s="44"/>
      <c r="K216" s="45"/>
      <c r="L216" s="23"/>
      <c r="M216" s="45"/>
      <c r="N216" s="57"/>
      <c r="O216" s="47">
        <f t="shared" si="122"/>
        <v>47009.5</v>
      </c>
      <c r="P216" s="49"/>
      <c r="Q216" s="49"/>
      <c r="R216" s="77">
        <f t="shared" si="118"/>
        <v>42793.7330774599</v>
      </c>
      <c r="S216" s="77"/>
      <c r="T216" s="78">
        <f t="shared" si="119"/>
        <v>46.7195394277739</v>
      </c>
      <c r="U216" s="77"/>
      <c r="V216" s="77"/>
      <c r="W216" s="77">
        <f t="shared" si="115"/>
        <v>42840.4526168876</v>
      </c>
      <c r="X216" s="79">
        <f t="shared" si="120"/>
        <v>409.83736217725</v>
      </c>
      <c r="Y216" s="79"/>
      <c r="Z216" s="79"/>
      <c r="AA216" s="79">
        <f t="shared" si="116"/>
        <v>409.83736217725</v>
      </c>
      <c r="AB216" s="91">
        <v>7.27</v>
      </c>
      <c r="AC216" s="77">
        <f t="shared" si="117"/>
        <v>2979.51762302861</v>
      </c>
      <c r="AD216" s="77">
        <f t="shared" si="113"/>
        <v>45819.9702399163</v>
      </c>
      <c r="AE216" s="77">
        <f t="shared" si="114"/>
        <v>1189.52976008374</v>
      </c>
    </row>
    <row r="217" customFormat="1" spans="1:31">
      <c r="A217" s="22"/>
      <c r="B217" s="23"/>
      <c r="C217" s="24">
        <v>241206000058</v>
      </c>
      <c r="D217" s="26">
        <v>45636</v>
      </c>
      <c r="E217" s="25" t="s">
        <v>70</v>
      </c>
      <c r="F217" s="23" t="s">
        <v>239</v>
      </c>
      <c r="G217" s="23" t="s">
        <v>240</v>
      </c>
      <c r="H217" s="23">
        <v>8.5</v>
      </c>
      <c r="I217" s="47"/>
      <c r="J217" s="44"/>
      <c r="K217" s="45"/>
      <c r="L217" s="23"/>
      <c r="M217" s="45">
        <v>128.48999</v>
      </c>
      <c r="N217" s="57">
        <v>7.27</v>
      </c>
      <c r="O217" s="47">
        <f>SUM(M217*N217)</f>
        <v>934.1222273</v>
      </c>
      <c r="P217" s="55"/>
      <c r="Q217" s="55"/>
      <c r="R217" s="77">
        <f t="shared" si="118"/>
        <v>576.460746685276</v>
      </c>
      <c r="S217" s="77"/>
      <c r="T217" s="78">
        <f t="shared" si="119"/>
        <v>0.629344033496162</v>
      </c>
      <c r="U217" s="77"/>
      <c r="V217" s="77"/>
      <c r="W217" s="77">
        <f t="shared" ref="W217:W257" si="123">SUM(R217:V217)</f>
        <v>577.090090718772</v>
      </c>
      <c r="X217" s="79">
        <f t="shared" si="120"/>
        <v>5.52078855547802</v>
      </c>
      <c r="Y217" s="79"/>
      <c r="Z217" s="79"/>
      <c r="AA217" s="79">
        <f t="shared" ref="AA217:AA257" si="124">SUM(X217:Z217)</f>
        <v>5.52078855547802</v>
      </c>
      <c r="AB217" s="91">
        <v>7.27</v>
      </c>
      <c r="AC217" s="77">
        <f t="shared" ref="AC217:AC257" si="125">SUM(AA217*AB217)</f>
        <v>40.1361327983252</v>
      </c>
      <c r="AD217" s="77">
        <f t="shared" ref="AD217:AD257" si="126">SUM(W217+AC217)</f>
        <v>617.226223517097</v>
      </c>
      <c r="AE217" s="77">
        <f t="shared" ref="AE217:AE257" si="127">SUM(O217-AD217)</f>
        <v>316.896003782903</v>
      </c>
    </row>
    <row r="218" s="2" customFormat="1" spans="1:31">
      <c r="A218" s="22" t="s">
        <v>241</v>
      </c>
      <c r="B218" s="106" t="s">
        <v>242</v>
      </c>
      <c r="C218" s="101">
        <v>241125000059</v>
      </c>
      <c r="D218" s="112">
        <v>45636</v>
      </c>
      <c r="E218" s="25" t="s">
        <v>37</v>
      </c>
      <c r="F218" s="106" t="s">
        <v>38</v>
      </c>
      <c r="G218" s="106" t="s">
        <v>243</v>
      </c>
      <c r="H218" s="106">
        <v>6</v>
      </c>
      <c r="I218" s="114">
        <v>690</v>
      </c>
      <c r="J218" s="104"/>
      <c r="K218" s="105"/>
      <c r="L218" s="106"/>
      <c r="M218" s="105"/>
      <c r="N218" s="57"/>
      <c r="O218" s="115">
        <f t="shared" ref="O218:O222" si="128">SUM(I218)</f>
        <v>690</v>
      </c>
      <c r="P218" s="116">
        <f>SUM(O218:O233)</f>
        <v>10886.6205</v>
      </c>
      <c r="Q218" s="116" t="s">
        <v>40</v>
      </c>
      <c r="R218" s="109">
        <f>SUM(26000/320)*H218</f>
        <v>487.5</v>
      </c>
      <c r="S218" s="109"/>
      <c r="T218" s="78">
        <f>SUM(167.34/320)*H218</f>
        <v>3.137625</v>
      </c>
      <c r="U218" s="109"/>
      <c r="V218" s="109"/>
      <c r="W218" s="77">
        <f t="shared" si="123"/>
        <v>490.637625</v>
      </c>
      <c r="X218" s="111">
        <f>SUM(512.65/320)*H218</f>
        <v>9.6121875</v>
      </c>
      <c r="Y218" s="111"/>
      <c r="Z218" s="111"/>
      <c r="AA218" s="79">
        <f t="shared" si="124"/>
        <v>9.6121875</v>
      </c>
      <c r="AB218" s="91">
        <v>7.27</v>
      </c>
      <c r="AC218" s="77">
        <f t="shared" si="125"/>
        <v>69.880603125</v>
      </c>
      <c r="AD218" s="77">
        <f t="shared" si="126"/>
        <v>560.518228125</v>
      </c>
      <c r="AE218" s="77">
        <f t="shared" si="127"/>
        <v>129.481771875</v>
      </c>
    </row>
    <row r="219" s="2" customFormat="1" spans="1:31">
      <c r="A219" s="22"/>
      <c r="B219" s="106"/>
      <c r="C219" s="101">
        <v>241130000001</v>
      </c>
      <c r="D219" s="112">
        <v>45636</v>
      </c>
      <c r="E219" s="25" t="s">
        <v>54</v>
      </c>
      <c r="F219" s="106" t="s">
        <v>55</v>
      </c>
      <c r="G219" s="106" t="s">
        <v>227</v>
      </c>
      <c r="H219" s="106">
        <v>12</v>
      </c>
      <c r="I219" s="114">
        <v>1560</v>
      </c>
      <c r="J219" s="104"/>
      <c r="K219" s="105"/>
      <c r="L219" s="106"/>
      <c r="M219" s="105"/>
      <c r="N219" s="57"/>
      <c r="O219" s="115">
        <f t="shared" si="128"/>
        <v>1560</v>
      </c>
      <c r="P219" s="117"/>
      <c r="Q219" s="117"/>
      <c r="R219" s="109">
        <f t="shared" ref="R219:R255" si="129">SUM(26000/320)*H219</f>
        <v>975</v>
      </c>
      <c r="S219" s="109"/>
      <c r="T219" s="78">
        <f t="shared" ref="T219:T255" si="130">SUM(167.34/320)*H219</f>
        <v>6.27525</v>
      </c>
      <c r="U219" s="109"/>
      <c r="V219" s="109"/>
      <c r="W219" s="77">
        <f t="shared" si="123"/>
        <v>981.27525</v>
      </c>
      <c r="X219" s="111">
        <f t="shared" ref="X219:X255" si="131">SUM(512.65/320)*H219</f>
        <v>19.224375</v>
      </c>
      <c r="Y219" s="111"/>
      <c r="Z219" s="111"/>
      <c r="AA219" s="79">
        <f t="shared" si="124"/>
        <v>19.224375</v>
      </c>
      <c r="AB219" s="91">
        <v>7.27</v>
      </c>
      <c r="AC219" s="77">
        <f t="shared" si="125"/>
        <v>139.76120625</v>
      </c>
      <c r="AD219" s="77">
        <f t="shared" si="126"/>
        <v>1121.03645625</v>
      </c>
      <c r="AE219" s="77">
        <f t="shared" si="127"/>
        <v>438.96354375</v>
      </c>
    </row>
    <row r="220" s="2" customFormat="1" spans="1:31">
      <c r="A220" s="22"/>
      <c r="B220" s="106"/>
      <c r="C220" s="101">
        <v>241202000010</v>
      </c>
      <c r="D220" s="112">
        <v>45636</v>
      </c>
      <c r="E220" s="25" t="s">
        <v>44</v>
      </c>
      <c r="F220" s="106" t="s">
        <v>45</v>
      </c>
      <c r="G220" s="106" t="s">
        <v>225</v>
      </c>
      <c r="H220" s="106">
        <v>5</v>
      </c>
      <c r="I220" s="114">
        <v>575</v>
      </c>
      <c r="J220" s="104"/>
      <c r="K220" s="105"/>
      <c r="L220" s="106"/>
      <c r="M220" s="105"/>
      <c r="N220" s="57"/>
      <c r="O220" s="115">
        <f t="shared" si="128"/>
        <v>575</v>
      </c>
      <c r="P220" s="117"/>
      <c r="Q220" s="117"/>
      <c r="R220" s="109">
        <f t="shared" si="129"/>
        <v>406.25</v>
      </c>
      <c r="S220" s="109"/>
      <c r="T220" s="78">
        <f t="shared" si="130"/>
        <v>2.6146875</v>
      </c>
      <c r="U220" s="109"/>
      <c r="V220" s="109"/>
      <c r="W220" s="77">
        <f t="shared" si="123"/>
        <v>408.8646875</v>
      </c>
      <c r="X220" s="111">
        <f t="shared" si="131"/>
        <v>8.01015625</v>
      </c>
      <c r="Y220" s="111"/>
      <c r="Z220" s="111"/>
      <c r="AA220" s="79">
        <f t="shared" si="124"/>
        <v>8.01015625</v>
      </c>
      <c r="AB220" s="91">
        <v>7.27</v>
      </c>
      <c r="AC220" s="77">
        <f t="shared" si="125"/>
        <v>58.2338359375</v>
      </c>
      <c r="AD220" s="77">
        <f t="shared" si="126"/>
        <v>467.0985234375</v>
      </c>
      <c r="AE220" s="77">
        <f t="shared" si="127"/>
        <v>107.9014765625</v>
      </c>
    </row>
    <row r="221" s="2" customFormat="1" spans="1:31">
      <c r="A221" s="22"/>
      <c r="B221" s="106"/>
      <c r="C221" s="101">
        <v>241202000036</v>
      </c>
      <c r="D221" s="112">
        <v>45636</v>
      </c>
      <c r="E221" s="25" t="s">
        <v>41</v>
      </c>
      <c r="F221" s="106" t="s">
        <v>42</v>
      </c>
      <c r="G221" s="106" t="s">
        <v>244</v>
      </c>
      <c r="H221" s="106">
        <v>8.5</v>
      </c>
      <c r="I221" s="114">
        <v>2400</v>
      </c>
      <c r="J221" s="104"/>
      <c r="K221" s="105"/>
      <c r="L221" s="106"/>
      <c r="M221" s="105"/>
      <c r="N221" s="57"/>
      <c r="O221" s="115">
        <f t="shared" si="128"/>
        <v>2400</v>
      </c>
      <c r="P221" s="117"/>
      <c r="Q221" s="117"/>
      <c r="R221" s="109">
        <f t="shared" si="129"/>
        <v>690.625</v>
      </c>
      <c r="S221" s="109"/>
      <c r="T221" s="78">
        <f t="shared" si="130"/>
        <v>4.44496875</v>
      </c>
      <c r="U221" s="109"/>
      <c r="V221" s="109"/>
      <c r="W221" s="77">
        <f t="shared" si="123"/>
        <v>695.06996875</v>
      </c>
      <c r="X221" s="111">
        <f t="shared" si="131"/>
        <v>13.617265625</v>
      </c>
      <c r="Y221" s="111"/>
      <c r="Z221" s="111"/>
      <c r="AA221" s="79">
        <f t="shared" si="124"/>
        <v>13.617265625</v>
      </c>
      <c r="AB221" s="91">
        <v>7.27</v>
      </c>
      <c r="AC221" s="77">
        <f t="shared" si="125"/>
        <v>98.99752109375</v>
      </c>
      <c r="AD221" s="77">
        <f t="shared" si="126"/>
        <v>794.06748984375</v>
      </c>
      <c r="AE221" s="77">
        <f t="shared" si="127"/>
        <v>1605.93251015625</v>
      </c>
    </row>
    <row r="222" s="2" customFormat="1" spans="1:31">
      <c r="A222" s="22"/>
      <c r="B222" s="106"/>
      <c r="C222" s="101">
        <v>241203000012</v>
      </c>
      <c r="D222" s="112">
        <v>45636</v>
      </c>
      <c r="E222" s="25" t="s">
        <v>41</v>
      </c>
      <c r="F222" s="106" t="s">
        <v>42</v>
      </c>
      <c r="G222" s="106" t="s">
        <v>245</v>
      </c>
      <c r="H222" s="106">
        <v>4</v>
      </c>
      <c r="I222" s="114">
        <v>960</v>
      </c>
      <c r="J222" s="104"/>
      <c r="K222" s="105"/>
      <c r="L222" s="106"/>
      <c r="M222" s="105"/>
      <c r="N222" s="57"/>
      <c r="O222" s="115">
        <f t="shared" si="128"/>
        <v>960</v>
      </c>
      <c r="P222" s="117"/>
      <c r="Q222" s="117"/>
      <c r="R222" s="109">
        <f t="shared" si="129"/>
        <v>325</v>
      </c>
      <c r="S222" s="109"/>
      <c r="T222" s="78">
        <f t="shared" si="130"/>
        <v>2.09175</v>
      </c>
      <c r="U222" s="109"/>
      <c r="V222" s="109"/>
      <c r="W222" s="77">
        <f t="shared" si="123"/>
        <v>327.09175</v>
      </c>
      <c r="X222" s="111">
        <f t="shared" si="131"/>
        <v>6.408125</v>
      </c>
      <c r="Y222" s="111"/>
      <c r="Z222" s="111"/>
      <c r="AA222" s="79">
        <f t="shared" si="124"/>
        <v>6.408125</v>
      </c>
      <c r="AB222" s="91">
        <v>7.27</v>
      </c>
      <c r="AC222" s="77">
        <f t="shared" si="125"/>
        <v>46.58706875</v>
      </c>
      <c r="AD222" s="77">
        <f t="shared" si="126"/>
        <v>373.67881875</v>
      </c>
      <c r="AE222" s="77">
        <f t="shared" si="127"/>
        <v>586.32118125</v>
      </c>
    </row>
    <row r="223" s="2" customFormat="1" spans="1:31">
      <c r="A223" s="22"/>
      <c r="B223" s="106"/>
      <c r="C223" s="101">
        <v>241203000034</v>
      </c>
      <c r="D223" s="112">
        <v>45636</v>
      </c>
      <c r="E223" s="25" t="s">
        <v>61</v>
      </c>
      <c r="F223" s="106" t="s">
        <v>62</v>
      </c>
      <c r="G223" s="106" t="s">
        <v>246</v>
      </c>
      <c r="H223" s="106">
        <v>0.1</v>
      </c>
      <c r="I223" s="118"/>
      <c r="J223" s="119">
        <v>30000</v>
      </c>
      <c r="K223" s="105"/>
      <c r="L223" s="52">
        <f t="shared" ref="L223:L228" si="132">SUM(J223/M223)</f>
        <v>1745.20069808028</v>
      </c>
      <c r="M223" s="120">
        <v>17.19</v>
      </c>
      <c r="N223" s="57">
        <v>7.27</v>
      </c>
      <c r="O223" s="58">
        <f t="shared" ref="O223:O228" si="133">SUM(M223*N223)</f>
        <v>124.9713</v>
      </c>
      <c r="P223" s="117"/>
      <c r="Q223" s="117"/>
      <c r="R223" s="109">
        <f t="shared" si="129"/>
        <v>8.125</v>
      </c>
      <c r="S223" s="109"/>
      <c r="T223" s="78">
        <f t="shared" si="130"/>
        <v>0.05229375</v>
      </c>
      <c r="U223" s="109"/>
      <c r="V223" s="109"/>
      <c r="W223" s="77">
        <f t="shared" si="123"/>
        <v>8.17729375</v>
      </c>
      <c r="X223" s="111">
        <f t="shared" si="131"/>
        <v>0.160203125</v>
      </c>
      <c r="Y223" s="111"/>
      <c r="Z223" s="111"/>
      <c r="AA223" s="79">
        <f t="shared" si="124"/>
        <v>0.160203125</v>
      </c>
      <c r="AB223" s="91">
        <v>7.27</v>
      </c>
      <c r="AC223" s="77">
        <f t="shared" si="125"/>
        <v>1.16467671875</v>
      </c>
      <c r="AD223" s="77">
        <f t="shared" si="126"/>
        <v>9.34197046875</v>
      </c>
      <c r="AE223" s="77">
        <f t="shared" si="127"/>
        <v>115.62932953125</v>
      </c>
    </row>
    <row r="224" s="2" customFormat="1" spans="1:31">
      <c r="A224" s="22"/>
      <c r="B224" s="106"/>
      <c r="C224" s="101">
        <v>241203000049</v>
      </c>
      <c r="D224" s="112">
        <v>45636</v>
      </c>
      <c r="E224" s="25" t="s">
        <v>84</v>
      </c>
      <c r="F224" s="106" t="s">
        <v>85</v>
      </c>
      <c r="G224" s="106" t="s">
        <v>231</v>
      </c>
      <c r="H224" s="106">
        <v>0.64</v>
      </c>
      <c r="I224" s="114">
        <v>155</v>
      </c>
      <c r="J224" s="104"/>
      <c r="K224" s="105"/>
      <c r="L224" s="106"/>
      <c r="M224" s="105"/>
      <c r="N224" s="57"/>
      <c r="O224" s="115">
        <f t="shared" ref="O224:O227" si="134">SUM(I224)</f>
        <v>155</v>
      </c>
      <c r="P224" s="117"/>
      <c r="Q224" s="117"/>
      <c r="R224" s="109">
        <f t="shared" si="129"/>
        <v>52</v>
      </c>
      <c r="S224" s="109"/>
      <c r="T224" s="78">
        <f t="shared" si="130"/>
        <v>0.33468</v>
      </c>
      <c r="U224" s="109"/>
      <c r="V224" s="109"/>
      <c r="W224" s="77">
        <f t="shared" si="123"/>
        <v>52.33468</v>
      </c>
      <c r="X224" s="111">
        <f t="shared" si="131"/>
        <v>1.0253</v>
      </c>
      <c r="Y224" s="111">
        <v>4.16</v>
      </c>
      <c r="Z224" s="111"/>
      <c r="AA224" s="79">
        <f t="shared" si="124"/>
        <v>5.1853</v>
      </c>
      <c r="AB224" s="91">
        <v>7.27</v>
      </c>
      <c r="AC224" s="77">
        <f t="shared" si="125"/>
        <v>37.697131</v>
      </c>
      <c r="AD224" s="77">
        <f t="shared" si="126"/>
        <v>90.031811</v>
      </c>
      <c r="AE224" s="77">
        <f t="shared" si="127"/>
        <v>64.968189</v>
      </c>
    </row>
    <row r="225" s="2" customFormat="1" spans="1:31">
      <c r="A225" s="22"/>
      <c r="B225" s="106"/>
      <c r="C225" s="101">
        <v>241204000008</v>
      </c>
      <c r="D225" s="112">
        <v>45636</v>
      </c>
      <c r="E225" s="25" t="s">
        <v>54</v>
      </c>
      <c r="F225" s="106" t="s">
        <v>55</v>
      </c>
      <c r="G225" s="106" t="s">
        <v>247</v>
      </c>
      <c r="H225" s="106">
        <v>15</v>
      </c>
      <c r="I225" s="114">
        <v>1950</v>
      </c>
      <c r="J225" s="104"/>
      <c r="K225" s="105"/>
      <c r="L225" s="106"/>
      <c r="M225" s="105"/>
      <c r="N225" s="57"/>
      <c r="O225" s="115">
        <f t="shared" si="134"/>
        <v>1950</v>
      </c>
      <c r="P225" s="117"/>
      <c r="Q225" s="117"/>
      <c r="R225" s="109">
        <f t="shared" si="129"/>
        <v>1218.75</v>
      </c>
      <c r="S225" s="109"/>
      <c r="T225" s="78">
        <f t="shared" si="130"/>
        <v>7.8440625</v>
      </c>
      <c r="U225" s="109"/>
      <c r="V225" s="109"/>
      <c r="W225" s="77">
        <f t="shared" si="123"/>
        <v>1226.5940625</v>
      </c>
      <c r="X225" s="111">
        <f t="shared" si="131"/>
        <v>24.03046875</v>
      </c>
      <c r="Y225" s="111"/>
      <c r="Z225" s="111"/>
      <c r="AA225" s="79">
        <f t="shared" si="124"/>
        <v>24.03046875</v>
      </c>
      <c r="AB225" s="91">
        <v>7.27</v>
      </c>
      <c r="AC225" s="77">
        <f t="shared" si="125"/>
        <v>174.7015078125</v>
      </c>
      <c r="AD225" s="77">
        <f t="shared" si="126"/>
        <v>1401.2955703125</v>
      </c>
      <c r="AE225" s="77">
        <f t="shared" si="127"/>
        <v>548.7044296875</v>
      </c>
    </row>
    <row r="226" s="2" customFormat="1" spans="1:31">
      <c r="A226" s="22"/>
      <c r="B226" s="106"/>
      <c r="C226" s="101">
        <v>241204000011</v>
      </c>
      <c r="D226" s="112">
        <v>45636</v>
      </c>
      <c r="E226" s="25" t="s">
        <v>37</v>
      </c>
      <c r="F226" s="106" t="s">
        <v>38</v>
      </c>
      <c r="G226" s="106" t="s">
        <v>51</v>
      </c>
      <c r="H226" s="106">
        <v>1.5</v>
      </c>
      <c r="I226" s="118"/>
      <c r="J226" s="119">
        <v>43125</v>
      </c>
      <c r="K226" s="105"/>
      <c r="L226" s="52">
        <f t="shared" si="132"/>
        <v>1672.1597518418</v>
      </c>
      <c r="M226" s="120">
        <v>25.79</v>
      </c>
      <c r="N226" s="57">
        <v>7.27</v>
      </c>
      <c r="O226" s="115">
        <f t="shared" si="133"/>
        <v>187.4933</v>
      </c>
      <c r="P226" s="117"/>
      <c r="Q226" s="117"/>
      <c r="R226" s="109">
        <f t="shared" si="129"/>
        <v>121.875</v>
      </c>
      <c r="S226" s="109"/>
      <c r="T226" s="78">
        <f t="shared" si="130"/>
        <v>0.78440625</v>
      </c>
      <c r="U226" s="109"/>
      <c r="V226" s="109"/>
      <c r="W226" s="77">
        <f t="shared" si="123"/>
        <v>122.65940625</v>
      </c>
      <c r="X226" s="111">
        <f t="shared" si="131"/>
        <v>2.403046875</v>
      </c>
      <c r="Y226" s="111"/>
      <c r="Z226" s="111"/>
      <c r="AA226" s="79">
        <f t="shared" si="124"/>
        <v>2.403046875</v>
      </c>
      <c r="AB226" s="91">
        <v>7.27</v>
      </c>
      <c r="AC226" s="77">
        <f t="shared" si="125"/>
        <v>17.47015078125</v>
      </c>
      <c r="AD226" s="77">
        <f t="shared" si="126"/>
        <v>140.12955703125</v>
      </c>
      <c r="AE226" s="77">
        <f t="shared" si="127"/>
        <v>47.36374296875</v>
      </c>
    </row>
    <row r="227" s="2" customFormat="1" spans="1:31">
      <c r="A227" s="22"/>
      <c r="B227" s="106"/>
      <c r="C227" s="101">
        <v>241204000030</v>
      </c>
      <c r="D227" s="112">
        <v>45636</v>
      </c>
      <c r="E227" s="25" t="s">
        <v>44</v>
      </c>
      <c r="F227" s="106" t="s">
        <v>45</v>
      </c>
      <c r="G227" s="106" t="s">
        <v>204</v>
      </c>
      <c r="H227" s="106">
        <v>4</v>
      </c>
      <c r="I227" s="114">
        <v>520</v>
      </c>
      <c r="J227" s="104"/>
      <c r="K227" s="105"/>
      <c r="L227" s="106"/>
      <c r="M227" s="105"/>
      <c r="N227" s="57"/>
      <c r="O227" s="115">
        <f t="shared" si="134"/>
        <v>520</v>
      </c>
      <c r="P227" s="117"/>
      <c r="Q227" s="117"/>
      <c r="R227" s="109">
        <f t="shared" si="129"/>
        <v>325</v>
      </c>
      <c r="S227" s="109"/>
      <c r="T227" s="78">
        <f t="shared" si="130"/>
        <v>2.09175</v>
      </c>
      <c r="U227" s="109"/>
      <c r="V227" s="109"/>
      <c r="W227" s="77">
        <f t="shared" si="123"/>
        <v>327.09175</v>
      </c>
      <c r="X227" s="111">
        <f t="shared" si="131"/>
        <v>6.408125</v>
      </c>
      <c r="Y227" s="111"/>
      <c r="Z227" s="111"/>
      <c r="AA227" s="79">
        <f t="shared" si="124"/>
        <v>6.408125</v>
      </c>
      <c r="AB227" s="91">
        <v>7.27</v>
      </c>
      <c r="AC227" s="77">
        <f t="shared" si="125"/>
        <v>46.58706875</v>
      </c>
      <c r="AD227" s="77">
        <f t="shared" si="126"/>
        <v>373.67881875</v>
      </c>
      <c r="AE227" s="77">
        <f t="shared" si="127"/>
        <v>146.32118125</v>
      </c>
    </row>
    <row r="228" s="2" customFormat="1" spans="1:31">
      <c r="A228" s="22"/>
      <c r="B228" s="106"/>
      <c r="C228" s="101">
        <v>241204000074</v>
      </c>
      <c r="D228" s="102">
        <v>45636</v>
      </c>
      <c r="E228" s="112" t="s">
        <v>61</v>
      </c>
      <c r="F228" s="106" t="s">
        <v>248</v>
      </c>
      <c r="G228" s="106" t="s">
        <v>249</v>
      </c>
      <c r="H228" s="106">
        <v>2</v>
      </c>
      <c r="I228" s="115"/>
      <c r="J228" s="119">
        <v>60309</v>
      </c>
      <c r="K228" s="105"/>
      <c r="L228" s="52">
        <f t="shared" si="132"/>
        <v>1737.01036866359</v>
      </c>
      <c r="M228" s="120">
        <v>34.72</v>
      </c>
      <c r="N228" s="57">
        <v>7.27</v>
      </c>
      <c r="O228" s="115">
        <f t="shared" si="133"/>
        <v>252.4144</v>
      </c>
      <c r="P228" s="117"/>
      <c r="Q228" s="117"/>
      <c r="R228" s="109">
        <f t="shared" si="129"/>
        <v>162.5</v>
      </c>
      <c r="S228" s="109"/>
      <c r="T228" s="78">
        <f t="shared" si="130"/>
        <v>1.045875</v>
      </c>
      <c r="U228" s="109"/>
      <c r="V228" s="109"/>
      <c r="W228" s="77">
        <f t="shared" si="123"/>
        <v>163.545875</v>
      </c>
      <c r="X228" s="111">
        <f t="shared" si="131"/>
        <v>3.2040625</v>
      </c>
      <c r="Y228" s="111"/>
      <c r="Z228" s="111"/>
      <c r="AA228" s="79">
        <f t="shared" si="124"/>
        <v>3.2040625</v>
      </c>
      <c r="AB228" s="91">
        <v>7.27</v>
      </c>
      <c r="AC228" s="77">
        <f t="shared" si="125"/>
        <v>23.293534375</v>
      </c>
      <c r="AD228" s="77">
        <f t="shared" si="126"/>
        <v>186.839409375</v>
      </c>
      <c r="AE228" s="77">
        <f t="shared" si="127"/>
        <v>65.574990625</v>
      </c>
    </row>
    <row r="229" s="2" customFormat="1" spans="1:31">
      <c r="A229" s="22"/>
      <c r="B229" s="106"/>
      <c r="C229" s="101">
        <v>241204000088</v>
      </c>
      <c r="D229" s="102">
        <v>45636</v>
      </c>
      <c r="E229" s="25" t="s">
        <v>70</v>
      </c>
      <c r="F229" s="106" t="s">
        <v>109</v>
      </c>
      <c r="G229" s="106" t="s">
        <v>110</v>
      </c>
      <c r="H229" s="106">
        <v>0.48</v>
      </c>
      <c r="I229" s="114">
        <v>155</v>
      </c>
      <c r="J229" s="104"/>
      <c r="K229" s="105"/>
      <c r="L229" s="106"/>
      <c r="M229" s="105"/>
      <c r="N229" s="57"/>
      <c r="O229" s="115">
        <f>SUM(I229)</f>
        <v>155</v>
      </c>
      <c r="P229" s="117"/>
      <c r="Q229" s="117"/>
      <c r="R229" s="109">
        <f t="shared" si="129"/>
        <v>39</v>
      </c>
      <c r="S229" s="109"/>
      <c r="T229" s="78">
        <f t="shared" si="130"/>
        <v>0.25101</v>
      </c>
      <c r="U229" s="109"/>
      <c r="V229" s="109"/>
      <c r="W229" s="77">
        <f t="shared" si="123"/>
        <v>39.25101</v>
      </c>
      <c r="X229" s="111">
        <f t="shared" si="131"/>
        <v>0.768975</v>
      </c>
      <c r="Y229" s="111"/>
      <c r="Z229" s="111"/>
      <c r="AA229" s="79">
        <f t="shared" si="124"/>
        <v>0.768975</v>
      </c>
      <c r="AB229" s="91">
        <v>7.27</v>
      </c>
      <c r="AC229" s="77">
        <f t="shared" si="125"/>
        <v>5.59044825</v>
      </c>
      <c r="AD229" s="77">
        <f t="shared" si="126"/>
        <v>44.84145825</v>
      </c>
      <c r="AE229" s="77">
        <f t="shared" si="127"/>
        <v>110.15854175</v>
      </c>
    </row>
    <row r="230" s="2" customFormat="1" spans="1:31">
      <c r="A230" s="22"/>
      <c r="B230" s="106"/>
      <c r="C230" s="101">
        <v>241205000004</v>
      </c>
      <c r="D230" s="112">
        <v>45636</v>
      </c>
      <c r="E230" s="25" t="s">
        <v>37</v>
      </c>
      <c r="F230" s="106" t="s">
        <v>38</v>
      </c>
      <c r="G230" s="106" t="s">
        <v>51</v>
      </c>
      <c r="H230" s="106">
        <v>1.5</v>
      </c>
      <c r="I230" s="118"/>
      <c r="J230" s="119">
        <v>43125</v>
      </c>
      <c r="K230" s="105"/>
      <c r="L230" s="52">
        <f t="shared" ref="L230:L235" si="135">SUM(J230/M230)</f>
        <v>1672.1597518418</v>
      </c>
      <c r="M230" s="120">
        <v>25.79</v>
      </c>
      <c r="N230" s="57">
        <v>7.27</v>
      </c>
      <c r="O230" s="115">
        <f t="shared" ref="O230:O235" si="136">SUM(M230*N230)</f>
        <v>187.4933</v>
      </c>
      <c r="P230" s="117"/>
      <c r="Q230" s="117"/>
      <c r="R230" s="109">
        <f t="shared" si="129"/>
        <v>121.875</v>
      </c>
      <c r="S230" s="109"/>
      <c r="T230" s="78">
        <f t="shared" si="130"/>
        <v>0.78440625</v>
      </c>
      <c r="U230" s="109"/>
      <c r="V230" s="109"/>
      <c r="W230" s="77">
        <f t="shared" si="123"/>
        <v>122.65940625</v>
      </c>
      <c r="X230" s="111">
        <f t="shared" si="131"/>
        <v>2.403046875</v>
      </c>
      <c r="Y230" s="111"/>
      <c r="Z230" s="111"/>
      <c r="AA230" s="79">
        <f t="shared" si="124"/>
        <v>2.403046875</v>
      </c>
      <c r="AB230" s="91">
        <v>7.27</v>
      </c>
      <c r="AC230" s="77">
        <f t="shared" si="125"/>
        <v>17.47015078125</v>
      </c>
      <c r="AD230" s="77">
        <f t="shared" si="126"/>
        <v>140.12955703125</v>
      </c>
      <c r="AE230" s="77">
        <f t="shared" si="127"/>
        <v>47.36374296875</v>
      </c>
    </row>
    <row r="231" s="2" customFormat="1" spans="1:31">
      <c r="A231" s="22"/>
      <c r="B231" s="106"/>
      <c r="C231" s="101">
        <v>241205000027</v>
      </c>
      <c r="D231" s="112">
        <v>45636</v>
      </c>
      <c r="E231" s="25" t="s">
        <v>61</v>
      </c>
      <c r="F231" s="106" t="s">
        <v>62</v>
      </c>
      <c r="G231" s="106" t="s">
        <v>250</v>
      </c>
      <c r="H231" s="106">
        <v>0.1</v>
      </c>
      <c r="I231" s="118"/>
      <c r="J231" s="119">
        <v>46600</v>
      </c>
      <c r="K231" s="105"/>
      <c r="L231" s="52">
        <f t="shared" si="135"/>
        <v>2824.24242424242</v>
      </c>
      <c r="M231" s="120">
        <v>16.5</v>
      </c>
      <c r="N231" s="57">
        <v>7.27</v>
      </c>
      <c r="O231" s="115">
        <f t="shared" si="136"/>
        <v>119.955</v>
      </c>
      <c r="P231" s="117"/>
      <c r="Q231" s="117"/>
      <c r="R231" s="109">
        <f t="shared" si="129"/>
        <v>8.125</v>
      </c>
      <c r="S231" s="109"/>
      <c r="T231" s="78">
        <f t="shared" si="130"/>
        <v>0.05229375</v>
      </c>
      <c r="U231" s="109"/>
      <c r="V231" s="78">
        <v>23</v>
      </c>
      <c r="W231" s="77">
        <f t="shared" si="123"/>
        <v>31.17729375</v>
      </c>
      <c r="X231" s="111">
        <f t="shared" si="131"/>
        <v>0.160203125</v>
      </c>
      <c r="Y231" s="111"/>
      <c r="Z231" s="111"/>
      <c r="AA231" s="79">
        <f t="shared" si="124"/>
        <v>0.160203125</v>
      </c>
      <c r="AB231" s="91">
        <v>7.27</v>
      </c>
      <c r="AC231" s="77">
        <f t="shared" si="125"/>
        <v>1.16467671875</v>
      </c>
      <c r="AD231" s="77">
        <f t="shared" si="126"/>
        <v>32.34197046875</v>
      </c>
      <c r="AE231" s="77">
        <f t="shared" si="127"/>
        <v>87.61302953125</v>
      </c>
    </row>
    <row r="232" s="2" customFormat="1" spans="1:31">
      <c r="A232" s="22"/>
      <c r="B232" s="106"/>
      <c r="C232" s="101">
        <v>241206000003</v>
      </c>
      <c r="D232" s="112">
        <v>45636</v>
      </c>
      <c r="E232" s="25" t="s">
        <v>37</v>
      </c>
      <c r="F232" s="106" t="s">
        <v>38</v>
      </c>
      <c r="G232" s="106" t="s">
        <v>251</v>
      </c>
      <c r="H232" s="106">
        <v>7</v>
      </c>
      <c r="I232" s="114">
        <v>910</v>
      </c>
      <c r="J232" s="104"/>
      <c r="K232" s="105"/>
      <c r="L232" s="106"/>
      <c r="M232" s="105"/>
      <c r="N232" s="57"/>
      <c r="O232" s="115">
        <f t="shared" ref="O232:O242" si="137">SUM(I232)</f>
        <v>910</v>
      </c>
      <c r="P232" s="117"/>
      <c r="Q232" s="117"/>
      <c r="R232" s="109">
        <f t="shared" si="129"/>
        <v>568.75</v>
      </c>
      <c r="S232" s="109"/>
      <c r="T232" s="78">
        <f t="shared" si="130"/>
        <v>3.6605625</v>
      </c>
      <c r="U232" s="109"/>
      <c r="V232" s="109"/>
      <c r="W232" s="77">
        <f t="shared" si="123"/>
        <v>572.4105625</v>
      </c>
      <c r="X232" s="111">
        <f t="shared" si="131"/>
        <v>11.21421875</v>
      </c>
      <c r="Y232" s="111"/>
      <c r="Z232" s="111"/>
      <c r="AA232" s="79">
        <f t="shared" si="124"/>
        <v>11.21421875</v>
      </c>
      <c r="AB232" s="91">
        <v>7.27</v>
      </c>
      <c r="AC232" s="77">
        <f t="shared" si="125"/>
        <v>81.5273703125</v>
      </c>
      <c r="AD232" s="77">
        <f t="shared" si="126"/>
        <v>653.9379328125</v>
      </c>
      <c r="AE232" s="77">
        <f t="shared" si="127"/>
        <v>256.0620671875</v>
      </c>
    </row>
    <row r="233" s="2" customFormat="1" spans="1:31">
      <c r="A233" s="22"/>
      <c r="B233" s="106"/>
      <c r="C233" s="101">
        <v>241206000031</v>
      </c>
      <c r="D233" s="112">
        <v>45636</v>
      </c>
      <c r="E233" s="25" t="s">
        <v>54</v>
      </c>
      <c r="F233" s="106" t="s">
        <v>55</v>
      </c>
      <c r="G233" s="106" t="s">
        <v>252</v>
      </c>
      <c r="H233" s="106">
        <v>0.68</v>
      </c>
      <c r="I233" s="115"/>
      <c r="J233" s="119">
        <v>33000</v>
      </c>
      <c r="K233" s="105"/>
      <c r="L233" s="52">
        <f t="shared" si="135"/>
        <v>1722.3382045929</v>
      </c>
      <c r="M233" s="120">
        <v>19.16</v>
      </c>
      <c r="N233" s="57">
        <v>7.27</v>
      </c>
      <c r="O233" s="115">
        <f t="shared" si="136"/>
        <v>139.2932</v>
      </c>
      <c r="P233" s="121"/>
      <c r="Q233" s="121"/>
      <c r="R233" s="109">
        <f t="shared" si="129"/>
        <v>55.25</v>
      </c>
      <c r="S233" s="109"/>
      <c r="T233" s="78">
        <f t="shared" si="130"/>
        <v>0.3555975</v>
      </c>
      <c r="U233" s="109"/>
      <c r="V233" s="78">
        <v>13</v>
      </c>
      <c r="W233" s="77">
        <f t="shared" si="123"/>
        <v>68.6055975</v>
      </c>
      <c r="X233" s="111">
        <f t="shared" si="131"/>
        <v>1.08938125</v>
      </c>
      <c r="Y233" s="111"/>
      <c r="Z233" s="111"/>
      <c r="AA233" s="79">
        <f t="shared" si="124"/>
        <v>1.08938125</v>
      </c>
      <c r="AB233" s="91">
        <v>7.27</v>
      </c>
      <c r="AC233" s="77">
        <f t="shared" si="125"/>
        <v>7.9198016875</v>
      </c>
      <c r="AD233" s="77">
        <f t="shared" si="126"/>
        <v>76.5253991875</v>
      </c>
      <c r="AE233" s="77">
        <f t="shared" si="127"/>
        <v>62.7678008125</v>
      </c>
    </row>
    <row r="234" s="2" customFormat="1" spans="1:31">
      <c r="A234" s="22" t="s">
        <v>241</v>
      </c>
      <c r="B234" s="106" t="s">
        <v>253</v>
      </c>
      <c r="C234" s="101">
        <v>241130000014</v>
      </c>
      <c r="D234" s="112">
        <v>45636</v>
      </c>
      <c r="E234" s="25" t="s">
        <v>37</v>
      </c>
      <c r="F234" s="106" t="s">
        <v>38</v>
      </c>
      <c r="G234" s="106" t="s">
        <v>51</v>
      </c>
      <c r="H234" s="106">
        <v>2</v>
      </c>
      <c r="I234" s="118"/>
      <c r="J234" s="119">
        <v>57500</v>
      </c>
      <c r="K234" s="105"/>
      <c r="L234" s="52">
        <f t="shared" si="135"/>
        <v>1672.48400232693</v>
      </c>
      <c r="M234" s="120">
        <v>34.38</v>
      </c>
      <c r="N234" s="57">
        <v>7.27</v>
      </c>
      <c r="O234" s="115">
        <f t="shared" si="136"/>
        <v>249.9426</v>
      </c>
      <c r="P234" s="116">
        <f>SUM(O234:O255)</f>
        <v>40000.0916819</v>
      </c>
      <c r="Q234" s="116" t="s">
        <v>40</v>
      </c>
      <c r="R234" s="109">
        <f t="shared" si="129"/>
        <v>162.5</v>
      </c>
      <c r="S234" s="109"/>
      <c r="T234" s="78">
        <f t="shared" si="130"/>
        <v>1.045875</v>
      </c>
      <c r="U234" s="109"/>
      <c r="V234" s="109"/>
      <c r="W234" s="77">
        <f t="shared" si="123"/>
        <v>163.545875</v>
      </c>
      <c r="X234" s="111">
        <f t="shared" si="131"/>
        <v>3.2040625</v>
      </c>
      <c r="Y234" s="111"/>
      <c r="Z234" s="111"/>
      <c r="AA234" s="79">
        <f t="shared" si="124"/>
        <v>3.2040625</v>
      </c>
      <c r="AB234" s="91">
        <v>7.27</v>
      </c>
      <c r="AC234" s="77">
        <f t="shared" si="125"/>
        <v>23.293534375</v>
      </c>
      <c r="AD234" s="77">
        <f t="shared" si="126"/>
        <v>186.839409375</v>
      </c>
      <c r="AE234" s="77">
        <f t="shared" si="127"/>
        <v>63.103190625</v>
      </c>
    </row>
    <row r="235" s="2" customFormat="1" spans="1:31">
      <c r="A235" s="22"/>
      <c r="B235" s="106"/>
      <c r="C235" s="101">
        <v>241202000002</v>
      </c>
      <c r="D235" s="112">
        <v>45636</v>
      </c>
      <c r="E235" s="25" t="s">
        <v>37</v>
      </c>
      <c r="F235" s="106" t="s">
        <v>38</v>
      </c>
      <c r="G235" s="106" t="s">
        <v>51</v>
      </c>
      <c r="H235" s="106">
        <v>3.5</v>
      </c>
      <c r="I235" s="118"/>
      <c r="J235" s="119">
        <v>100970</v>
      </c>
      <c r="K235" s="105"/>
      <c r="L235" s="52">
        <f t="shared" si="135"/>
        <v>1678.07877679907</v>
      </c>
      <c r="M235" s="120">
        <v>60.17</v>
      </c>
      <c r="N235" s="57">
        <v>7.27</v>
      </c>
      <c r="O235" s="115">
        <f t="shared" si="136"/>
        <v>437.4359</v>
      </c>
      <c r="P235" s="117"/>
      <c r="Q235" s="117"/>
      <c r="R235" s="109">
        <f t="shared" si="129"/>
        <v>284.375</v>
      </c>
      <c r="S235" s="109"/>
      <c r="T235" s="78">
        <f t="shared" si="130"/>
        <v>1.83028125</v>
      </c>
      <c r="U235" s="109"/>
      <c r="V235" s="109"/>
      <c r="W235" s="77">
        <f t="shared" si="123"/>
        <v>286.20528125</v>
      </c>
      <c r="X235" s="111">
        <f t="shared" si="131"/>
        <v>5.607109375</v>
      </c>
      <c r="Y235" s="111"/>
      <c r="Z235" s="111"/>
      <c r="AA235" s="79">
        <f t="shared" si="124"/>
        <v>5.607109375</v>
      </c>
      <c r="AB235" s="91">
        <v>7.27</v>
      </c>
      <c r="AC235" s="77">
        <f t="shared" si="125"/>
        <v>40.76368515625</v>
      </c>
      <c r="AD235" s="77">
        <f t="shared" si="126"/>
        <v>326.96896640625</v>
      </c>
      <c r="AE235" s="77">
        <f t="shared" si="127"/>
        <v>110.46693359375</v>
      </c>
    </row>
    <row r="236" s="2" customFormat="1" spans="1:31">
      <c r="A236" s="22"/>
      <c r="B236" s="106"/>
      <c r="C236" s="101">
        <v>241202000034</v>
      </c>
      <c r="D236" s="112">
        <v>45636</v>
      </c>
      <c r="E236" s="25" t="s">
        <v>61</v>
      </c>
      <c r="F236" s="106" t="s">
        <v>62</v>
      </c>
      <c r="G236" s="106" t="s">
        <v>105</v>
      </c>
      <c r="H236" s="106">
        <v>2</v>
      </c>
      <c r="I236" s="114">
        <v>250</v>
      </c>
      <c r="J236" s="104"/>
      <c r="K236" s="105"/>
      <c r="L236" s="106"/>
      <c r="M236" s="105"/>
      <c r="N236" s="57"/>
      <c r="O236" s="115">
        <f t="shared" si="137"/>
        <v>250</v>
      </c>
      <c r="P236" s="117"/>
      <c r="Q236" s="117"/>
      <c r="R236" s="109">
        <f t="shared" si="129"/>
        <v>162.5</v>
      </c>
      <c r="S236" s="109"/>
      <c r="T236" s="78">
        <f t="shared" si="130"/>
        <v>1.045875</v>
      </c>
      <c r="U236" s="109"/>
      <c r="V236" s="109"/>
      <c r="W236" s="77">
        <f t="shared" si="123"/>
        <v>163.545875</v>
      </c>
      <c r="X236" s="111">
        <f t="shared" si="131"/>
        <v>3.2040625</v>
      </c>
      <c r="Y236" s="111"/>
      <c r="Z236" s="111"/>
      <c r="AA236" s="79">
        <f t="shared" si="124"/>
        <v>3.2040625</v>
      </c>
      <c r="AB236" s="91">
        <v>7.27</v>
      </c>
      <c r="AC236" s="77">
        <f t="shared" si="125"/>
        <v>23.293534375</v>
      </c>
      <c r="AD236" s="77">
        <f t="shared" si="126"/>
        <v>186.839409375</v>
      </c>
      <c r="AE236" s="77">
        <f t="shared" si="127"/>
        <v>63.160590625</v>
      </c>
    </row>
    <row r="237" s="2" customFormat="1" spans="1:31">
      <c r="A237" s="22"/>
      <c r="B237" s="106"/>
      <c r="C237" s="101">
        <v>241203000011</v>
      </c>
      <c r="D237" s="112">
        <v>45636</v>
      </c>
      <c r="E237" s="25" t="s">
        <v>61</v>
      </c>
      <c r="F237" s="106" t="s">
        <v>62</v>
      </c>
      <c r="G237" s="106" t="s">
        <v>105</v>
      </c>
      <c r="H237" s="106">
        <v>2.5</v>
      </c>
      <c r="I237" s="114">
        <v>312.5</v>
      </c>
      <c r="J237" s="104"/>
      <c r="K237" s="105"/>
      <c r="L237" s="106"/>
      <c r="M237" s="105"/>
      <c r="N237" s="57"/>
      <c r="O237" s="115">
        <f t="shared" si="137"/>
        <v>312.5</v>
      </c>
      <c r="P237" s="117"/>
      <c r="Q237" s="117"/>
      <c r="R237" s="109">
        <f t="shared" si="129"/>
        <v>203.125</v>
      </c>
      <c r="S237" s="109"/>
      <c r="T237" s="78">
        <f t="shared" si="130"/>
        <v>1.30734375</v>
      </c>
      <c r="U237" s="109"/>
      <c r="V237" s="109"/>
      <c r="W237" s="77">
        <f t="shared" si="123"/>
        <v>204.43234375</v>
      </c>
      <c r="X237" s="111">
        <f t="shared" si="131"/>
        <v>4.005078125</v>
      </c>
      <c r="Y237" s="111"/>
      <c r="Z237" s="111"/>
      <c r="AA237" s="79">
        <f t="shared" si="124"/>
        <v>4.005078125</v>
      </c>
      <c r="AB237" s="91">
        <v>7.27</v>
      </c>
      <c r="AC237" s="77">
        <f t="shared" si="125"/>
        <v>29.11691796875</v>
      </c>
      <c r="AD237" s="77">
        <f t="shared" si="126"/>
        <v>233.54926171875</v>
      </c>
      <c r="AE237" s="77">
        <f t="shared" si="127"/>
        <v>78.95073828125</v>
      </c>
    </row>
    <row r="238" s="2" customFormat="1" spans="1:31">
      <c r="A238" s="22"/>
      <c r="B238" s="106"/>
      <c r="C238" s="101">
        <v>241204000079</v>
      </c>
      <c r="D238" s="102">
        <v>45636</v>
      </c>
      <c r="E238" s="25" t="s">
        <v>70</v>
      </c>
      <c r="F238" s="106" t="s">
        <v>109</v>
      </c>
      <c r="G238" s="106" t="s">
        <v>110</v>
      </c>
      <c r="H238" s="106">
        <v>10</v>
      </c>
      <c r="I238" s="114">
        <v>1300</v>
      </c>
      <c r="J238" s="104"/>
      <c r="K238" s="105"/>
      <c r="L238" s="106"/>
      <c r="M238" s="105"/>
      <c r="N238" s="57"/>
      <c r="O238" s="115">
        <f t="shared" si="137"/>
        <v>1300</v>
      </c>
      <c r="P238" s="117"/>
      <c r="Q238" s="117"/>
      <c r="R238" s="109">
        <f t="shared" si="129"/>
        <v>812.5</v>
      </c>
      <c r="S238" s="109"/>
      <c r="T238" s="78">
        <f t="shared" si="130"/>
        <v>5.229375</v>
      </c>
      <c r="U238" s="109"/>
      <c r="V238" s="109"/>
      <c r="W238" s="77">
        <f t="shared" si="123"/>
        <v>817.729375</v>
      </c>
      <c r="X238" s="111">
        <f t="shared" si="131"/>
        <v>16.0203125</v>
      </c>
      <c r="Y238" s="111"/>
      <c r="Z238" s="111"/>
      <c r="AA238" s="79">
        <f t="shared" si="124"/>
        <v>16.0203125</v>
      </c>
      <c r="AB238" s="91">
        <v>7.27</v>
      </c>
      <c r="AC238" s="77">
        <f t="shared" si="125"/>
        <v>116.467671875</v>
      </c>
      <c r="AD238" s="77">
        <f t="shared" si="126"/>
        <v>934.197046875</v>
      </c>
      <c r="AE238" s="77">
        <f t="shared" si="127"/>
        <v>365.802953125</v>
      </c>
    </row>
    <row r="239" s="2" customFormat="1" spans="1:31">
      <c r="A239" s="22"/>
      <c r="B239" s="106"/>
      <c r="C239" s="101">
        <v>241204000082</v>
      </c>
      <c r="D239" s="102">
        <v>45636</v>
      </c>
      <c r="E239" s="25" t="s">
        <v>70</v>
      </c>
      <c r="F239" s="106" t="s">
        <v>109</v>
      </c>
      <c r="G239" s="106" t="s">
        <v>110</v>
      </c>
      <c r="H239" s="106">
        <v>0.88</v>
      </c>
      <c r="I239" s="114">
        <v>130</v>
      </c>
      <c r="J239" s="104"/>
      <c r="K239" s="105"/>
      <c r="L239" s="106"/>
      <c r="M239" s="105"/>
      <c r="N239" s="57"/>
      <c r="O239" s="115">
        <f t="shared" si="137"/>
        <v>130</v>
      </c>
      <c r="P239" s="117"/>
      <c r="Q239" s="117"/>
      <c r="R239" s="109">
        <f t="shared" si="129"/>
        <v>71.5</v>
      </c>
      <c r="S239" s="109"/>
      <c r="T239" s="78">
        <f t="shared" si="130"/>
        <v>0.460185</v>
      </c>
      <c r="U239" s="109"/>
      <c r="V239" s="109"/>
      <c r="W239" s="77">
        <f t="shared" si="123"/>
        <v>71.960185</v>
      </c>
      <c r="X239" s="111">
        <f t="shared" si="131"/>
        <v>1.4097875</v>
      </c>
      <c r="Y239" s="111"/>
      <c r="Z239" s="111"/>
      <c r="AA239" s="79">
        <f t="shared" si="124"/>
        <v>1.4097875</v>
      </c>
      <c r="AB239" s="91">
        <v>7.27</v>
      </c>
      <c r="AC239" s="77">
        <f t="shared" si="125"/>
        <v>10.249155125</v>
      </c>
      <c r="AD239" s="77">
        <f t="shared" si="126"/>
        <v>82.209340125</v>
      </c>
      <c r="AE239" s="77">
        <f t="shared" si="127"/>
        <v>47.790659875</v>
      </c>
    </row>
    <row r="240" s="2" customFormat="1" spans="1:31">
      <c r="A240" s="22"/>
      <c r="B240" s="106"/>
      <c r="C240" s="101">
        <v>241204000089</v>
      </c>
      <c r="D240" s="102">
        <v>45636</v>
      </c>
      <c r="E240" s="25" t="s">
        <v>70</v>
      </c>
      <c r="F240" s="106" t="s">
        <v>109</v>
      </c>
      <c r="G240" s="106" t="s">
        <v>110</v>
      </c>
      <c r="H240" s="106">
        <v>2</v>
      </c>
      <c r="I240" s="114">
        <v>260</v>
      </c>
      <c r="J240" s="104"/>
      <c r="K240" s="105"/>
      <c r="L240" s="106"/>
      <c r="M240" s="105"/>
      <c r="N240" s="57"/>
      <c r="O240" s="115">
        <f t="shared" si="137"/>
        <v>260</v>
      </c>
      <c r="P240" s="117"/>
      <c r="Q240" s="117"/>
      <c r="R240" s="109">
        <f t="shared" si="129"/>
        <v>162.5</v>
      </c>
      <c r="S240" s="109"/>
      <c r="T240" s="78">
        <f t="shared" si="130"/>
        <v>1.045875</v>
      </c>
      <c r="U240" s="109"/>
      <c r="V240" s="109"/>
      <c r="W240" s="77">
        <f t="shared" si="123"/>
        <v>163.545875</v>
      </c>
      <c r="X240" s="111">
        <f t="shared" si="131"/>
        <v>3.2040625</v>
      </c>
      <c r="Y240" s="111"/>
      <c r="Z240" s="111"/>
      <c r="AA240" s="79">
        <f t="shared" si="124"/>
        <v>3.2040625</v>
      </c>
      <c r="AB240" s="91">
        <v>7.27</v>
      </c>
      <c r="AC240" s="77">
        <f t="shared" si="125"/>
        <v>23.293534375</v>
      </c>
      <c r="AD240" s="77">
        <f t="shared" si="126"/>
        <v>186.839409375</v>
      </c>
      <c r="AE240" s="77">
        <f t="shared" si="127"/>
        <v>73.160590625</v>
      </c>
    </row>
    <row r="241" s="2" customFormat="1" spans="1:31">
      <c r="A241" s="22"/>
      <c r="B241" s="106"/>
      <c r="C241" s="101">
        <v>241205000013</v>
      </c>
      <c r="D241" s="112">
        <v>45636</v>
      </c>
      <c r="E241" s="25" t="s">
        <v>61</v>
      </c>
      <c r="F241" s="106" t="s">
        <v>62</v>
      </c>
      <c r="G241" s="106" t="s">
        <v>105</v>
      </c>
      <c r="H241" s="106">
        <v>0.6</v>
      </c>
      <c r="I241" s="114">
        <v>125</v>
      </c>
      <c r="J241" s="104"/>
      <c r="K241" s="105"/>
      <c r="L241" s="106"/>
      <c r="M241" s="105"/>
      <c r="N241" s="57"/>
      <c r="O241" s="115">
        <f t="shared" si="137"/>
        <v>125</v>
      </c>
      <c r="P241" s="117"/>
      <c r="Q241" s="117"/>
      <c r="R241" s="109">
        <f t="shared" si="129"/>
        <v>48.75</v>
      </c>
      <c r="S241" s="109"/>
      <c r="T241" s="78">
        <f t="shared" si="130"/>
        <v>0.3137625</v>
      </c>
      <c r="U241" s="109"/>
      <c r="V241" s="109"/>
      <c r="W241" s="77">
        <f t="shared" si="123"/>
        <v>49.0637625</v>
      </c>
      <c r="X241" s="111">
        <f t="shared" si="131"/>
        <v>0.96121875</v>
      </c>
      <c r="Y241" s="111"/>
      <c r="Z241" s="111"/>
      <c r="AA241" s="79">
        <f t="shared" si="124"/>
        <v>0.96121875</v>
      </c>
      <c r="AB241" s="91">
        <v>7.27</v>
      </c>
      <c r="AC241" s="77">
        <f t="shared" si="125"/>
        <v>6.9880603125</v>
      </c>
      <c r="AD241" s="77">
        <f t="shared" si="126"/>
        <v>56.0518228125</v>
      </c>
      <c r="AE241" s="77">
        <f t="shared" si="127"/>
        <v>68.9481771875</v>
      </c>
    </row>
    <row r="242" s="2" customFormat="1" spans="1:31">
      <c r="A242" s="22"/>
      <c r="B242" s="106"/>
      <c r="C242" s="101">
        <v>241205000016</v>
      </c>
      <c r="D242" s="112">
        <v>45636</v>
      </c>
      <c r="E242" s="25" t="s">
        <v>54</v>
      </c>
      <c r="F242" s="106" t="s">
        <v>55</v>
      </c>
      <c r="G242" s="106" t="s">
        <v>124</v>
      </c>
      <c r="H242" s="106">
        <v>5.5</v>
      </c>
      <c r="I242" s="114">
        <v>502</v>
      </c>
      <c r="J242" s="104"/>
      <c r="K242" s="105"/>
      <c r="L242" s="106"/>
      <c r="M242" s="105"/>
      <c r="N242" s="57"/>
      <c r="O242" s="115">
        <f t="shared" si="137"/>
        <v>502</v>
      </c>
      <c r="P242" s="117"/>
      <c r="Q242" s="117"/>
      <c r="R242" s="109">
        <f t="shared" si="129"/>
        <v>446.875</v>
      </c>
      <c r="S242" s="109"/>
      <c r="T242" s="78">
        <f t="shared" si="130"/>
        <v>2.87615625</v>
      </c>
      <c r="U242" s="109"/>
      <c r="V242" s="78">
        <v>59</v>
      </c>
      <c r="W242" s="77">
        <f t="shared" si="123"/>
        <v>508.75115625</v>
      </c>
      <c r="X242" s="111">
        <f t="shared" si="131"/>
        <v>8.811171875</v>
      </c>
      <c r="Y242" s="111"/>
      <c r="Z242" s="111"/>
      <c r="AA242" s="79">
        <f t="shared" si="124"/>
        <v>8.811171875</v>
      </c>
      <c r="AB242" s="91">
        <v>7.27</v>
      </c>
      <c r="AC242" s="77">
        <f t="shared" si="125"/>
        <v>64.05721953125</v>
      </c>
      <c r="AD242" s="77">
        <f t="shared" si="126"/>
        <v>572.80837578125</v>
      </c>
      <c r="AE242" s="77">
        <f t="shared" si="127"/>
        <v>-70.80837578125</v>
      </c>
    </row>
    <row r="243" s="2" customFormat="1" spans="1:31">
      <c r="A243" s="22"/>
      <c r="B243" s="106"/>
      <c r="C243" s="101">
        <v>241205000024</v>
      </c>
      <c r="D243" s="112">
        <v>45636</v>
      </c>
      <c r="E243" s="25" t="s">
        <v>54</v>
      </c>
      <c r="F243" s="106" t="s">
        <v>55</v>
      </c>
      <c r="G243" s="106" t="s">
        <v>111</v>
      </c>
      <c r="H243" s="106">
        <v>0.7</v>
      </c>
      <c r="I243" s="115"/>
      <c r="J243" s="119">
        <v>37863.36</v>
      </c>
      <c r="K243" s="105"/>
      <c r="L243" s="52">
        <f t="shared" ref="L243:L248" si="138">SUM(J243/M243)</f>
        <v>1736.85137614679</v>
      </c>
      <c r="M243" s="120">
        <v>21.8</v>
      </c>
      <c r="N243" s="57">
        <v>7.27</v>
      </c>
      <c r="O243" s="115">
        <f t="shared" ref="O243:O248" si="139">SUM(M243*N243)</f>
        <v>158.486</v>
      </c>
      <c r="P243" s="117"/>
      <c r="Q243" s="117"/>
      <c r="R243" s="109">
        <f t="shared" si="129"/>
        <v>56.875</v>
      </c>
      <c r="S243" s="109"/>
      <c r="T243" s="78">
        <f t="shared" si="130"/>
        <v>0.36605625</v>
      </c>
      <c r="U243" s="109"/>
      <c r="V243" s="78">
        <v>32</v>
      </c>
      <c r="W243" s="77">
        <f t="shared" si="123"/>
        <v>89.24105625</v>
      </c>
      <c r="X243" s="111">
        <f t="shared" si="131"/>
        <v>1.121421875</v>
      </c>
      <c r="Y243" s="111"/>
      <c r="Z243" s="111"/>
      <c r="AA243" s="79">
        <f t="shared" si="124"/>
        <v>1.121421875</v>
      </c>
      <c r="AB243" s="91">
        <v>7.27</v>
      </c>
      <c r="AC243" s="77">
        <f t="shared" si="125"/>
        <v>8.15273703125</v>
      </c>
      <c r="AD243" s="77">
        <f t="shared" si="126"/>
        <v>97.39379328125</v>
      </c>
      <c r="AE243" s="77">
        <f t="shared" si="127"/>
        <v>61.09220671875</v>
      </c>
    </row>
    <row r="244" s="2" customFormat="1" spans="1:31">
      <c r="A244" s="22"/>
      <c r="B244" s="106"/>
      <c r="C244" s="101">
        <v>241206000001</v>
      </c>
      <c r="D244" s="112">
        <v>45636</v>
      </c>
      <c r="E244" s="25" t="s">
        <v>54</v>
      </c>
      <c r="F244" s="106" t="s">
        <v>55</v>
      </c>
      <c r="G244" s="106" t="s">
        <v>111</v>
      </c>
      <c r="H244" s="106">
        <v>4.5</v>
      </c>
      <c r="I244" s="115">
        <v>-1080</v>
      </c>
      <c r="J244" s="104"/>
      <c r="K244" s="105"/>
      <c r="L244" s="106"/>
      <c r="M244" s="105"/>
      <c r="N244" s="57"/>
      <c r="O244" s="115">
        <f>SUBTOTAL(9,I244)</f>
        <v>-1080</v>
      </c>
      <c r="P244" s="117"/>
      <c r="Q244" s="117"/>
      <c r="R244" s="109">
        <v>0</v>
      </c>
      <c r="S244" s="109"/>
      <c r="T244" s="78">
        <v>0</v>
      </c>
      <c r="U244" s="109"/>
      <c r="V244" s="109"/>
      <c r="W244" s="77">
        <f t="shared" si="123"/>
        <v>0</v>
      </c>
      <c r="X244" s="111">
        <v>0</v>
      </c>
      <c r="Y244" s="111"/>
      <c r="Z244" s="111"/>
      <c r="AA244" s="79">
        <f t="shared" si="124"/>
        <v>0</v>
      </c>
      <c r="AB244" s="91">
        <v>7.27</v>
      </c>
      <c r="AC244" s="77">
        <f t="shared" si="125"/>
        <v>0</v>
      </c>
      <c r="AD244" s="77">
        <f t="shared" si="126"/>
        <v>0</v>
      </c>
      <c r="AE244" s="77">
        <f t="shared" si="127"/>
        <v>-1080</v>
      </c>
    </row>
    <row r="245" s="2" customFormat="1" spans="1:31">
      <c r="A245" s="22"/>
      <c r="B245" s="106"/>
      <c r="C245" s="101">
        <v>241206000011</v>
      </c>
      <c r="D245" s="112">
        <v>45636</v>
      </c>
      <c r="E245" s="25" t="s">
        <v>44</v>
      </c>
      <c r="F245" s="106" t="s">
        <v>45</v>
      </c>
      <c r="G245" s="106" t="s">
        <v>254</v>
      </c>
      <c r="H245" s="106">
        <v>1</v>
      </c>
      <c r="I245" s="114">
        <v>125</v>
      </c>
      <c r="J245" s="104"/>
      <c r="K245" s="105"/>
      <c r="L245" s="106"/>
      <c r="M245" s="105"/>
      <c r="N245" s="57"/>
      <c r="O245" s="115">
        <f>SUM(I245)</f>
        <v>125</v>
      </c>
      <c r="P245" s="117"/>
      <c r="Q245" s="117"/>
      <c r="R245" s="109">
        <f t="shared" si="129"/>
        <v>81.25</v>
      </c>
      <c r="S245" s="109"/>
      <c r="T245" s="78">
        <f t="shared" si="130"/>
        <v>0.5229375</v>
      </c>
      <c r="U245" s="109"/>
      <c r="V245" s="109"/>
      <c r="W245" s="77">
        <f t="shared" si="123"/>
        <v>81.7729375</v>
      </c>
      <c r="X245" s="111">
        <f t="shared" si="131"/>
        <v>1.60203125</v>
      </c>
      <c r="Y245" s="111"/>
      <c r="Z245" s="111"/>
      <c r="AA245" s="79">
        <f t="shared" si="124"/>
        <v>1.60203125</v>
      </c>
      <c r="AB245" s="91">
        <v>7.27</v>
      </c>
      <c r="AC245" s="77">
        <f t="shared" si="125"/>
        <v>11.6467671875</v>
      </c>
      <c r="AD245" s="77">
        <f t="shared" si="126"/>
        <v>93.4197046875</v>
      </c>
      <c r="AE245" s="77">
        <f t="shared" si="127"/>
        <v>31.5802953125</v>
      </c>
    </row>
    <row r="246" s="2" customFormat="1" spans="1:31">
      <c r="A246" s="22"/>
      <c r="B246" s="106"/>
      <c r="C246" s="101">
        <v>241206000025</v>
      </c>
      <c r="D246" s="112">
        <v>45636</v>
      </c>
      <c r="E246" s="25" t="s">
        <v>44</v>
      </c>
      <c r="F246" s="106" t="s">
        <v>45</v>
      </c>
      <c r="G246" s="106" t="s">
        <v>170</v>
      </c>
      <c r="H246" s="106">
        <v>0.68</v>
      </c>
      <c r="I246" s="118"/>
      <c r="J246" s="119">
        <v>31510</v>
      </c>
      <c r="K246" s="105"/>
      <c r="L246" s="52">
        <f t="shared" si="138"/>
        <v>1672.50530785563</v>
      </c>
      <c r="M246" s="120">
        <v>18.84</v>
      </c>
      <c r="N246" s="57">
        <v>7.27</v>
      </c>
      <c r="O246" s="47">
        <f t="shared" si="139"/>
        <v>136.9668</v>
      </c>
      <c r="P246" s="117"/>
      <c r="Q246" s="117"/>
      <c r="R246" s="109">
        <f t="shared" si="129"/>
        <v>55.25</v>
      </c>
      <c r="S246" s="109"/>
      <c r="T246" s="78">
        <f t="shared" si="130"/>
        <v>0.3555975</v>
      </c>
      <c r="U246" s="109"/>
      <c r="V246" s="78">
        <v>12</v>
      </c>
      <c r="W246" s="77">
        <f t="shared" si="123"/>
        <v>67.6055975</v>
      </c>
      <c r="X246" s="111">
        <f t="shared" si="131"/>
        <v>1.08938125</v>
      </c>
      <c r="Y246" s="111"/>
      <c r="Z246" s="111"/>
      <c r="AA246" s="79">
        <f t="shared" si="124"/>
        <v>1.08938125</v>
      </c>
      <c r="AB246" s="91">
        <v>7.27</v>
      </c>
      <c r="AC246" s="77">
        <f t="shared" si="125"/>
        <v>7.9198016875</v>
      </c>
      <c r="AD246" s="77">
        <f t="shared" si="126"/>
        <v>75.5253991875</v>
      </c>
      <c r="AE246" s="77">
        <f t="shared" si="127"/>
        <v>61.4414008125</v>
      </c>
    </row>
    <row r="247" s="2" customFormat="1" spans="1:31">
      <c r="A247" s="22"/>
      <c r="B247" s="106"/>
      <c r="C247" s="101">
        <v>241206000047</v>
      </c>
      <c r="D247" s="112">
        <v>45636</v>
      </c>
      <c r="E247" s="25" t="s">
        <v>54</v>
      </c>
      <c r="F247" s="106" t="s">
        <v>55</v>
      </c>
      <c r="G247" s="106" t="s">
        <v>111</v>
      </c>
      <c r="H247" s="106">
        <v>2</v>
      </c>
      <c r="I247" s="115"/>
      <c r="J247" s="119">
        <v>60308.64</v>
      </c>
      <c r="K247" s="105"/>
      <c r="L247" s="52">
        <f t="shared" si="138"/>
        <v>1737</v>
      </c>
      <c r="M247" s="120">
        <v>34.72</v>
      </c>
      <c r="N247" s="57">
        <v>7.27</v>
      </c>
      <c r="O247" s="115">
        <f t="shared" si="139"/>
        <v>252.4144</v>
      </c>
      <c r="P247" s="117"/>
      <c r="Q247" s="117"/>
      <c r="R247" s="109">
        <f t="shared" si="129"/>
        <v>162.5</v>
      </c>
      <c r="S247" s="109"/>
      <c r="T247" s="78">
        <f t="shared" si="130"/>
        <v>1.045875</v>
      </c>
      <c r="U247" s="109"/>
      <c r="V247" s="109"/>
      <c r="W247" s="77">
        <f t="shared" si="123"/>
        <v>163.545875</v>
      </c>
      <c r="X247" s="111">
        <f t="shared" si="131"/>
        <v>3.2040625</v>
      </c>
      <c r="Y247" s="111"/>
      <c r="Z247" s="111"/>
      <c r="AA247" s="79">
        <f t="shared" si="124"/>
        <v>3.2040625</v>
      </c>
      <c r="AB247" s="91">
        <v>7.27</v>
      </c>
      <c r="AC247" s="77">
        <f t="shared" si="125"/>
        <v>23.293534375</v>
      </c>
      <c r="AD247" s="77">
        <f t="shared" si="126"/>
        <v>186.839409375</v>
      </c>
      <c r="AE247" s="77">
        <f t="shared" si="127"/>
        <v>65.574990625</v>
      </c>
    </row>
    <row r="248" s="2" customFormat="1" spans="1:31">
      <c r="A248" s="22"/>
      <c r="B248" s="106"/>
      <c r="C248" s="101">
        <v>241207000003</v>
      </c>
      <c r="D248" s="112">
        <v>45636</v>
      </c>
      <c r="E248" s="25" t="s">
        <v>54</v>
      </c>
      <c r="F248" s="106" t="s">
        <v>55</v>
      </c>
      <c r="G248" s="106" t="s">
        <v>118</v>
      </c>
      <c r="H248" s="106">
        <v>34</v>
      </c>
      <c r="I248" s="115"/>
      <c r="J248" s="119">
        <v>1232192.8</v>
      </c>
      <c r="K248" s="105"/>
      <c r="L248" s="52">
        <f t="shared" si="138"/>
        <v>1670.0000679009</v>
      </c>
      <c r="M248" s="120">
        <v>737.83997</v>
      </c>
      <c r="N248" s="57">
        <v>7.27</v>
      </c>
      <c r="O248" s="115">
        <f t="shared" si="139"/>
        <v>5364.0965819</v>
      </c>
      <c r="P248" s="117"/>
      <c r="Q248" s="117"/>
      <c r="R248" s="109">
        <f t="shared" si="129"/>
        <v>2762.5</v>
      </c>
      <c r="S248" s="109"/>
      <c r="T248" s="78">
        <f t="shared" si="130"/>
        <v>17.779875</v>
      </c>
      <c r="U248" s="109"/>
      <c r="V248" s="109"/>
      <c r="W248" s="77">
        <f t="shared" si="123"/>
        <v>2780.279875</v>
      </c>
      <c r="X248" s="111">
        <f t="shared" si="131"/>
        <v>54.4690625</v>
      </c>
      <c r="Y248" s="111"/>
      <c r="Z248" s="111"/>
      <c r="AA248" s="79">
        <f t="shared" si="124"/>
        <v>54.4690625</v>
      </c>
      <c r="AB248" s="91">
        <v>7.27</v>
      </c>
      <c r="AC248" s="77">
        <f t="shared" si="125"/>
        <v>395.990084375</v>
      </c>
      <c r="AD248" s="77">
        <f t="shared" si="126"/>
        <v>3176.269959375</v>
      </c>
      <c r="AE248" s="77">
        <f t="shared" si="127"/>
        <v>2187.826622525</v>
      </c>
    </row>
    <row r="249" s="2" customFormat="1" spans="1:31">
      <c r="A249" s="22"/>
      <c r="B249" s="106"/>
      <c r="C249" s="101">
        <v>241207000006</v>
      </c>
      <c r="D249" s="112">
        <v>45636</v>
      </c>
      <c r="E249" s="25" t="s">
        <v>61</v>
      </c>
      <c r="F249" s="106" t="s">
        <v>62</v>
      </c>
      <c r="G249" s="106" t="s">
        <v>255</v>
      </c>
      <c r="H249" s="106">
        <v>0.52</v>
      </c>
      <c r="I249" s="114">
        <v>125</v>
      </c>
      <c r="J249" s="104"/>
      <c r="K249" s="105"/>
      <c r="L249" s="106"/>
      <c r="M249" s="105"/>
      <c r="N249" s="57"/>
      <c r="O249" s="115">
        <f>SUM(I249)</f>
        <v>125</v>
      </c>
      <c r="P249" s="117"/>
      <c r="Q249" s="117"/>
      <c r="R249" s="109">
        <f t="shared" si="129"/>
        <v>42.25</v>
      </c>
      <c r="S249" s="109"/>
      <c r="T249" s="78">
        <f t="shared" si="130"/>
        <v>0.2719275</v>
      </c>
      <c r="U249" s="109"/>
      <c r="V249" s="109"/>
      <c r="W249" s="77">
        <f t="shared" si="123"/>
        <v>42.5219275</v>
      </c>
      <c r="X249" s="111">
        <f t="shared" si="131"/>
        <v>0.83305625</v>
      </c>
      <c r="Y249" s="111"/>
      <c r="Z249" s="111"/>
      <c r="AA249" s="79">
        <f t="shared" si="124"/>
        <v>0.83305625</v>
      </c>
      <c r="AB249" s="91">
        <v>7.27</v>
      </c>
      <c r="AC249" s="77">
        <f t="shared" si="125"/>
        <v>6.0563189375</v>
      </c>
      <c r="AD249" s="77">
        <f t="shared" si="126"/>
        <v>48.5782464375</v>
      </c>
      <c r="AE249" s="77">
        <f t="shared" si="127"/>
        <v>76.4217535625</v>
      </c>
    </row>
    <row r="250" s="2" customFormat="1" spans="1:31">
      <c r="A250" s="22"/>
      <c r="B250" s="106"/>
      <c r="C250" s="101">
        <v>241207000008</v>
      </c>
      <c r="D250" s="112">
        <v>45636</v>
      </c>
      <c r="E250" s="25" t="s">
        <v>37</v>
      </c>
      <c r="F250" s="106" t="s">
        <v>38</v>
      </c>
      <c r="G250" s="106" t="s">
        <v>256</v>
      </c>
      <c r="H250" s="106">
        <v>0.4</v>
      </c>
      <c r="I250" s="115"/>
      <c r="J250" s="119">
        <v>29225</v>
      </c>
      <c r="K250" s="105"/>
      <c r="L250" s="52">
        <f t="shared" ref="L250:L252" si="140">SUM(J250/M250)</f>
        <v>1670</v>
      </c>
      <c r="M250" s="120">
        <v>17.5</v>
      </c>
      <c r="N250" s="57">
        <v>7.27</v>
      </c>
      <c r="O250" s="115">
        <f t="shared" ref="O250:O252" si="141">SUM(M250*N250)</f>
        <v>127.225</v>
      </c>
      <c r="P250" s="117"/>
      <c r="Q250" s="117"/>
      <c r="R250" s="109">
        <f t="shared" si="129"/>
        <v>32.5</v>
      </c>
      <c r="S250" s="109"/>
      <c r="T250" s="78">
        <f t="shared" si="130"/>
        <v>0.209175</v>
      </c>
      <c r="U250" s="109"/>
      <c r="V250" s="109"/>
      <c r="W250" s="77">
        <f t="shared" si="123"/>
        <v>32.709175</v>
      </c>
      <c r="X250" s="111">
        <f t="shared" si="131"/>
        <v>0.6408125</v>
      </c>
      <c r="Y250" s="111"/>
      <c r="Z250" s="111"/>
      <c r="AA250" s="79">
        <f t="shared" si="124"/>
        <v>0.6408125</v>
      </c>
      <c r="AB250" s="91">
        <v>7.27</v>
      </c>
      <c r="AC250" s="77">
        <f t="shared" si="125"/>
        <v>4.658706875</v>
      </c>
      <c r="AD250" s="77">
        <f t="shared" si="126"/>
        <v>37.367881875</v>
      </c>
      <c r="AE250" s="77">
        <f t="shared" si="127"/>
        <v>89.857118125</v>
      </c>
    </row>
    <row r="251" s="2" customFormat="1" spans="1:31">
      <c r="A251" s="22"/>
      <c r="B251" s="106"/>
      <c r="C251" s="101">
        <v>241207000010</v>
      </c>
      <c r="D251" s="112">
        <v>45636</v>
      </c>
      <c r="E251" s="25" t="s">
        <v>37</v>
      </c>
      <c r="F251" s="106" t="s">
        <v>38</v>
      </c>
      <c r="G251" s="106" t="s">
        <v>51</v>
      </c>
      <c r="H251" s="106">
        <v>3</v>
      </c>
      <c r="I251" s="118"/>
      <c r="J251" s="119">
        <v>86250</v>
      </c>
      <c r="K251" s="105"/>
      <c r="L251" s="52">
        <f t="shared" si="140"/>
        <v>1672.1597518418</v>
      </c>
      <c r="M251" s="120">
        <v>51.58</v>
      </c>
      <c r="N251" s="57">
        <v>7.27</v>
      </c>
      <c r="O251" s="115">
        <f t="shared" si="141"/>
        <v>374.9866</v>
      </c>
      <c r="P251" s="117"/>
      <c r="Q251" s="117"/>
      <c r="R251" s="109">
        <f t="shared" si="129"/>
        <v>243.75</v>
      </c>
      <c r="S251" s="109"/>
      <c r="T251" s="78">
        <f t="shared" si="130"/>
        <v>1.5688125</v>
      </c>
      <c r="U251" s="109"/>
      <c r="V251" s="109"/>
      <c r="W251" s="77">
        <f t="shared" si="123"/>
        <v>245.3188125</v>
      </c>
      <c r="X251" s="111">
        <f t="shared" si="131"/>
        <v>4.80609375</v>
      </c>
      <c r="Y251" s="111"/>
      <c r="Z251" s="111"/>
      <c r="AA251" s="79">
        <f t="shared" si="124"/>
        <v>4.80609375</v>
      </c>
      <c r="AB251" s="91">
        <v>7.27</v>
      </c>
      <c r="AC251" s="77">
        <f t="shared" si="125"/>
        <v>34.9403015625</v>
      </c>
      <c r="AD251" s="77">
        <f t="shared" si="126"/>
        <v>280.2591140625</v>
      </c>
      <c r="AE251" s="77">
        <f t="shared" si="127"/>
        <v>94.7274859375</v>
      </c>
    </row>
    <row r="252" s="2" customFormat="1" spans="1:31">
      <c r="A252" s="22"/>
      <c r="B252" s="106"/>
      <c r="C252" s="101">
        <v>241207000011</v>
      </c>
      <c r="D252" s="112">
        <v>45636</v>
      </c>
      <c r="E252" s="25" t="s">
        <v>41</v>
      </c>
      <c r="F252" s="106" t="s">
        <v>42</v>
      </c>
      <c r="G252" s="106" t="s">
        <v>257</v>
      </c>
      <c r="H252" s="106">
        <v>6.5</v>
      </c>
      <c r="I252" s="118"/>
      <c r="J252" s="119">
        <v>193250</v>
      </c>
      <c r="K252" s="105"/>
      <c r="L252" s="52">
        <f t="shared" si="140"/>
        <v>1729.15175375805</v>
      </c>
      <c r="M252" s="120">
        <v>111.76</v>
      </c>
      <c r="N252" s="57">
        <v>7.27</v>
      </c>
      <c r="O252" s="115">
        <f t="shared" si="141"/>
        <v>812.4952</v>
      </c>
      <c r="P252" s="117"/>
      <c r="Q252" s="117"/>
      <c r="R252" s="109">
        <f t="shared" si="129"/>
        <v>528.125</v>
      </c>
      <c r="S252" s="109"/>
      <c r="T252" s="78">
        <f t="shared" si="130"/>
        <v>3.39909375</v>
      </c>
      <c r="U252" s="109"/>
      <c r="V252" s="109"/>
      <c r="W252" s="77">
        <f t="shared" si="123"/>
        <v>531.52409375</v>
      </c>
      <c r="X252" s="111">
        <f t="shared" si="131"/>
        <v>10.413203125</v>
      </c>
      <c r="Y252" s="111"/>
      <c r="Z252" s="111"/>
      <c r="AA252" s="79">
        <f t="shared" si="124"/>
        <v>10.413203125</v>
      </c>
      <c r="AB252" s="91">
        <v>7.27</v>
      </c>
      <c r="AC252" s="77">
        <f t="shared" si="125"/>
        <v>75.70398671875</v>
      </c>
      <c r="AD252" s="77">
        <f t="shared" si="126"/>
        <v>607.22808046875</v>
      </c>
      <c r="AE252" s="77">
        <f t="shared" si="127"/>
        <v>205.26711953125</v>
      </c>
    </row>
    <row r="253" s="2" customFormat="1" spans="1:31">
      <c r="A253" s="22"/>
      <c r="B253" s="106"/>
      <c r="C253" s="101">
        <v>241208000002</v>
      </c>
      <c r="D253" s="112">
        <v>45636</v>
      </c>
      <c r="E253" s="25" t="s">
        <v>54</v>
      </c>
      <c r="F253" s="106" t="s">
        <v>55</v>
      </c>
      <c r="G253" s="106" t="s">
        <v>258</v>
      </c>
      <c r="H253" s="106">
        <v>0.38</v>
      </c>
      <c r="I253" s="114">
        <v>125</v>
      </c>
      <c r="J253" s="104"/>
      <c r="K253" s="105"/>
      <c r="L253" s="106"/>
      <c r="M253" s="105"/>
      <c r="N253" s="57"/>
      <c r="O253" s="115">
        <f>SUM(I253)</f>
        <v>125</v>
      </c>
      <c r="P253" s="117"/>
      <c r="Q253" s="117"/>
      <c r="R253" s="109">
        <f t="shared" si="129"/>
        <v>30.875</v>
      </c>
      <c r="S253" s="109"/>
      <c r="T253" s="78">
        <f t="shared" si="130"/>
        <v>0.19871625</v>
      </c>
      <c r="U253" s="109"/>
      <c r="V253" s="109"/>
      <c r="W253" s="77">
        <f t="shared" si="123"/>
        <v>31.07371625</v>
      </c>
      <c r="X253" s="111">
        <f t="shared" si="131"/>
        <v>0.608771875</v>
      </c>
      <c r="Y253" s="111"/>
      <c r="Z253" s="111"/>
      <c r="AA253" s="79">
        <f t="shared" si="124"/>
        <v>0.608771875</v>
      </c>
      <c r="AB253" s="91">
        <v>7.27</v>
      </c>
      <c r="AC253" s="77">
        <f t="shared" si="125"/>
        <v>4.42577153125</v>
      </c>
      <c r="AD253" s="77">
        <f t="shared" si="126"/>
        <v>35.49948778125</v>
      </c>
      <c r="AE253" s="77">
        <f t="shared" si="127"/>
        <v>89.50051221875</v>
      </c>
    </row>
    <row r="254" s="2" customFormat="1" spans="1:31">
      <c r="A254" s="22"/>
      <c r="B254" s="106"/>
      <c r="C254" s="101">
        <v>241208000004</v>
      </c>
      <c r="D254" s="112">
        <v>45636</v>
      </c>
      <c r="E254" s="25" t="s">
        <v>54</v>
      </c>
      <c r="F254" s="106" t="s">
        <v>55</v>
      </c>
      <c r="G254" s="106" t="s">
        <v>259</v>
      </c>
      <c r="H254" s="106">
        <v>88</v>
      </c>
      <c r="I254" s="115"/>
      <c r="J254" s="119">
        <v>2759885</v>
      </c>
      <c r="K254" s="105"/>
      <c r="L254" s="52">
        <f t="shared" ref="L254:L256" si="142">SUM(J254/M254)</f>
        <v>1737.00027692463</v>
      </c>
      <c r="M254" s="120">
        <v>1588.88</v>
      </c>
      <c r="N254" s="57">
        <v>7.27</v>
      </c>
      <c r="O254" s="115">
        <f t="shared" ref="O254:O257" si="143">SUM(M254*N254)</f>
        <v>11551.1576</v>
      </c>
      <c r="P254" s="117"/>
      <c r="Q254" s="117"/>
      <c r="R254" s="109">
        <f t="shared" si="129"/>
        <v>7150</v>
      </c>
      <c r="S254" s="109"/>
      <c r="T254" s="78">
        <f t="shared" si="130"/>
        <v>46.0185</v>
      </c>
      <c r="U254" s="109"/>
      <c r="V254" s="109"/>
      <c r="W254" s="77">
        <f t="shared" ref="W254:W285" si="144">SUM(R254:V254)</f>
        <v>7196.0185</v>
      </c>
      <c r="X254" s="111">
        <f t="shared" si="131"/>
        <v>140.97875</v>
      </c>
      <c r="Y254" s="111"/>
      <c r="Z254" s="111"/>
      <c r="AA254" s="79">
        <f t="shared" si="124"/>
        <v>140.97875</v>
      </c>
      <c r="AB254" s="91">
        <v>7.27</v>
      </c>
      <c r="AC254" s="77">
        <f t="shared" si="125"/>
        <v>1024.9155125</v>
      </c>
      <c r="AD254" s="77">
        <f t="shared" si="126"/>
        <v>8220.9340125</v>
      </c>
      <c r="AE254" s="77">
        <f t="shared" si="127"/>
        <v>3330.2235875</v>
      </c>
    </row>
    <row r="255" s="2" customFormat="1" spans="1:31">
      <c r="A255" s="22"/>
      <c r="B255" s="106"/>
      <c r="C255" s="101">
        <v>241208000007</v>
      </c>
      <c r="D255" s="102">
        <v>45636</v>
      </c>
      <c r="E255" s="112" t="s">
        <v>70</v>
      </c>
      <c r="F255" s="106" t="s">
        <v>260</v>
      </c>
      <c r="G255" s="106" t="s">
        <v>261</v>
      </c>
      <c r="H255" s="106">
        <v>145.5</v>
      </c>
      <c r="I255" s="115"/>
      <c r="J255" s="119">
        <v>4386793.5</v>
      </c>
      <c r="K255" s="105"/>
      <c r="L255" s="52">
        <f t="shared" si="142"/>
        <v>1737</v>
      </c>
      <c r="M255" s="120">
        <v>2525.5</v>
      </c>
      <c r="N255" s="57">
        <v>7.27</v>
      </c>
      <c r="O255" s="115">
        <f t="shared" si="143"/>
        <v>18360.385</v>
      </c>
      <c r="P255" s="121"/>
      <c r="Q255" s="121"/>
      <c r="R255" s="109">
        <f t="shared" si="129"/>
        <v>11821.875</v>
      </c>
      <c r="S255" s="109"/>
      <c r="T255" s="78">
        <f t="shared" si="130"/>
        <v>76.08740625</v>
      </c>
      <c r="U255" s="109"/>
      <c r="V255" s="109"/>
      <c r="W255" s="77">
        <f t="shared" si="144"/>
        <v>11897.96240625</v>
      </c>
      <c r="X255" s="111">
        <f t="shared" si="131"/>
        <v>233.095546875</v>
      </c>
      <c r="Y255" s="111"/>
      <c r="Z255" s="111"/>
      <c r="AA255" s="79">
        <f t="shared" si="124"/>
        <v>233.095546875</v>
      </c>
      <c r="AB255" s="91">
        <v>7.27</v>
      </c>
      <c r="AC255" s="77">
        <f t="shared" si="125"/>
        <v>1694.60462578125</v>
      </c>
      <c r="AD255" s="77">
        <f t="shared" si="126"/>
        <v>13592.5670320313</v>
      </c>
      <c r="AE255" s="77">
        <f t="shared" si="127"/>
        <v>4767.81796796875</v>
      </c>
    </row>
    <row r="256" customFormat="1" spans="1:31">
      <c r="A256" s="99" t="s">
        <v>262</v>
      </c>
      <c r="B256" s="113" t="s">
        <v>263</v>
      </c>
      <c r="C256" s="24">
        <v>241210000025</v>
      </c>
      <c r="D256" s="26">
        <v>45642</v>
      </c>
      <c r="E256" s="25" t="s">
        <v>70</v>
      </c>
      <c r="F256" s="113" t="s">
        <v>70</v>
      </c>
      <c r="G256" s="113" t="s">
        <v>71</v>
      </c>
      <c r="H256" s="113">
        <v>2792</v>
      </c>
      <c r="I256" s="122"/>
      <c r="J256" s="51">
        <v>1738200</v>
      </c>
      <c r="K256" s="45"/>
      <c r="L256" s="52">
        <f t="shared" si="142"/>
        <v>1665.00632208131</v>
      </c>
      <c r="M256" s="123">
        <v>1043.96</v>
      </c>
      <c r="N256" s="124">
        <v>7.27</v>
      </c>
      <c r="O256" s="125">
        <f t="shared" si="143"/>
        <v>7589.5892</v>
      </c>
      <c r="P256" s="56">
        <f>SUM(O256)</f>
        <v>7589.5892</v>
      </c>
      <c r="Q256" s="56" t="s">
        <v>72</v>
      </c>
      <c r="R256" s="56">
        <v>0</v>
      </c>
      <c r="S256" s="56"/>
      <c r="T256" s="56"/>
      <c r="U256" s="56"/>
      <c r="V256" s="56"/>
      <c r="W256" s="77">
        <f t="shared" si="144"/>
        <v>0</v>
      </c>
      <c r="X256" s="81">
        <v>1601.96</v>
      </c>
      <c r="Y256" s="81"/>
      <c r="Z256" s="81"/>
      <c r="AA256" s="79">
        <f t="shared" si="124"/>
        <v>1601.96</v>
      </c>
      <c r="AB256" s="91">
        <v>7.27</v>
      </c>
      <c r="AC256" s="77">
        <f t="shared" ref="AC256:AC287" si="145">SUM(AA256*AB256)</f>
        <v>11646.2492</v>
      </c>
      <c r="AD256" s="77">
        <f t="shared" ref="AD256:AD287" si="146">SUM(W256+AC256)</f>
        <v>11646.2492</v>
      </c>
      <c r="AE256" s="77">
        <f t="shared" ref="AE256:AE287" si="147">SUM(O256-AD256)</f>
        <v>-4056.66</v>
      </c>
    </row>
    <row r="257" customFormat="1" spans="1:31">
      <c r="A257" s="22" t="s">
        <v>264</v>
      </c>
      <c r="B257" s="23" t="s">
        <v>265</v>
      </c>
      <c r="C257" s="24">
        <v>241210000026</v>
      </c>
      <c r="D257" s="26">
        <v>46001</v>
      </c>
      <c r="E257" s="25" t="s">
        <v>70</v>
      </c>
      <c r="F257" s="23" t="s">
        <v>70</v>
      </c>
      <c r="G257" s="23" t="s">
        <v>71</v>
      </c>
      <c r="H257" s="23">
        <v>862</v>
      </c>
      <c r="I257" s="23"/>
      <c r="J257" s="44"/>
      <c r="K257" s="23"/>
      <c r="L257" s="23"/>
      <c r="M257" s="45">
        <v>565</v>
      </c>
      <c r="N257" s="57">
        <v>7.27</v>
      </c>
      <c r="O257" s="125">
        <f t="shared" si="143"/>
        <v>4107.55</v>
      </c>
      <c r="P257" s="56">
        <f>SUM(O257)</f>
        <v>4107.55</v>
      </c>
      <c r="Q257" s="56" t="s">
        <v>72</v>
      </c>
      <c r="R257" s="80">
        <v>0</v>
      </c>
      <c r="S257" s="80"/>
      <c r="T257" s="56"/>
      <c r="U257" s="80"/>
      <c r="V257" s="80"/>
      <c r="W257" s="77">
        <f t="shared" si="144"/>
        <v>0</v>
      </c>
      <c r="X257" s="81">
        <v>522.85</v>
      </c>
      <c r="Y257" s="81"/>
      <c r="Z257" s="81"/>
      <c r="AA257" s="79">
        <f t="shared" ref="AA257:AA288" si="148">SUM(X257:Z257)</f>
        <v>522.85</v>
      </c>
      <c r="AB257" s="91">
        <v>7.27</v>
      </c>
      <c r="AC257" s="77">
        <f t="shared" si="145"/>
        <v>3801.1195</v>
      </c>
      <c r="AD257" s="77">
        <f t="shared" si="146"/>
        <v>3801.1195</v>
      </c>
      <c r="AE257" s="77">
        <f t="shared" si="147"/>
        <v>306.4305</v>
      </c>
    </row>
    <row r="258" customFormat="1" spans="1:31">
      <c r="A258" s="22" t="s">
        <v>266</v>
      </c>
      <c r="B258" s="23" t="s">
        <v>267</v>
      </c>
      <c r="C258" s="24">
        <v>241203000010</v>
      </c>
      <c r="D258" s="25">
        <v>45637</v>
      </c>
      <c r="E258" s="25" t="s">
        <v>61</v>
      </c>
      <c r="F258" s="23" t="s">
        <v>62</v>
      </c>
      <c r="G258" s="23" t="s">
        <v>105</v>
      </c>
      <c r="H258" s="23">
        <v>9</v>
      </c>
      <c r="I258" s="43">
        <v>1315</v>
      </c>
      <c r="J258" s="44"/>
      <c r="K258" s="45"/>
      <c r="L258" s="23"/>
      <c r="M258" s="45"/>
      <c r="N258" s="57"/>
      <c r="O258" s="47">
        <f t="shared" ref="O258:O260" si="149">SUM(I258)</f>
        <v>1315</v>
      </c>
      <c r="P258" s="48">
        <f>SUM(O258:O306)</f>
        <v>136697.8062</v>
      </c>
      <c r="Q258" s="48" t="s">
        <v>185</v>
      </c>
      <c r="R258" s="77">
        <f>SUM(114129/1762)*H258</f>
        <v>582.951759364359</v>
      </c>
      <c r="S258" s="77"/>
      <c r="T258" s="78">
        <f>SUM(184.91/1762)*H258</f>
        <v>0.944489216799092</v>
      </c>
      <c r="U258" s="126"/>
      <c r="V258" s="77"/>
      <c r="W258" s="77">
        <f t="shared" si="144"/>
        <v>583.896248581158</v>
      </c>
      <c r="X258" s="79">
        <f>SUM(1296.18/1762)*H258</f>
        <v>6.62066969353008</v>
      </c>
      <c r="Y258" s="79"/>
      <c r="Z258" s="79"/>
      <c r="AA258" s="79">
        <f t="shared" si="148"/>
        <v>6.62066969353008</v>
      </c>
      <c r="AB258" s="91">
        <v>7.27</v>
      </c>
      <c r="AC258" s="77">
        <f t="shared" si="145"/>
        <v>48.1322686719637</v>
      </c>
      <c r="AD258" s="77">
        <f t="shared" si="146"/>
        <v>632.028517253121</v>
      </c>
      <c r="AE258" s="77">
        <f t="shared" si="147"/>
        <v>682.971482746879</v>
      </c>
    </row>
    <row r="259" customFormat="1" spans="1:31">
      <c r="A259" s="22"/>
      <c r="B259" s="23"/>
      <c r="C259" s="24">
        <v>241203000039</v>
      </c>
      <c r="D259" s="25">
        <v>45637</v>
      </c>
      <c r="E259" s="25" t="s">
        <v>37</v>
      </c>
      <c r="F259" s="23" t="s">
        <v>38</v>
      </c>
      <c r="G259" s="23" t="s">
        <v>268</v>
      </c>
      <c r="H259" s="23">
        <v>5.5</v>
      </c>
      <c r="I259" s="43">
        <v>443</v>
      </c>
      <c r="J259" s="44"/>
      <c r="K259" s="45"/>
      <c r="L259" s="23"/>
      <c r="M259" s="45"/>
      <c r="N259" s="57"/>
      <c r="O259" s="47">
        <f t="shared" si="149"/>
        <v>443</v>
      </c>
      <c r="P259" s="49"/>
      <c r="Q259" s="49"/>
      <c r="R259" s="77">
        <f t="shared" ref="R259:R306" si="150">SUM(114129/1762)*H259</f>
        <v>356.24829738933</v>
      </c>
      <c r="S259" s="77"/>
      <c r="T259" s="78">
        <f t="shared" ref="T259:T306" si="151">SUM(184.91/1762)*H259</f>
        <v>0.577187854710556</v>
      </c>
      <c r="U259" s="126"/>
      <c r="V259" s="77"/>
      <c r="W259" s="77">
        <f t="shared" si="144"/>
        <v>356.825485244041</v>
      </c>
      <c r="X259" s="79">
        <f t="shared" ref="X259:X306" si="152">SUM(1296.18/1762)*H259</f>
        <v>4.04596481271283</v>
      </c>
      <c r="Y259" s="79"/>
      <c r="Z259" s="79"/>
      <c r="AA259" s="79">
        <f t="shared" si="148"/>
        <v>4.04596481271283</v>
      </c>
      <c r="AB259" s="91">
        <v>7.27</v>
      </c>
      <c r="AC259" s="77">
        <f t="shared" si="145"/>
        <v>29.4141641884222</v>
      </c>
      <c r="AD259" s="77">
        <f t="shared" si="146"/>
        <v>386.239649432463</v>
      </c>
      <c r="AE259" s="77">
        <f t="shared" si="147"/>
        <v>56.7603505675369</v>
      </c>
    </row>
    <row r="260" customFormat="1" spans="1:31">
      <c r="A260" s="22"/>
      <c r="B260" s="23"/>
      <c r="C260" s="24">
        <v>241203000044</v>
      </c>
      <c r="D260" s="25">
        <v>45637</v>
      </c>
      <c r="E260" s="25" t="s">
        <v>61</v>
      </c>
      <c r="F260" s="23" t="s">
        <v>62</v>
      </c>
      <c r="G260" s="23" t="s">
        <v>269</v>
      </c>
      <c r="H260" s="23">
        <v>31</v>
      </c>
      <c r="I260" s="43">
        <v>2393</v>
      </c>
      <c r="J260" s="44"/>
      <c r="K260" s="45"/>
      <c r="L260" s="23"/>
      <c r="M260" s="45"/>
      <c r="N260" s="57"/>
      <c r="O260" s="47">
        <f t="shared" si="149"/>
        <v>2393</v>
      </c>
      <c r="P260" s="49"/>
      <c r="Q260" s="49"/>
      <c r="R260" s="77">
        <f t="shared" si="150"/>
        <v>2007.94494892168</v>
      </c>
      <c r="S260" s="77"/>
      <c r="T260" s="78">
        <f t="shared" si="151"/>
        <v>3.25324063564132</v>
      </c>
      <c r="U260" s="126"/>
      <c r="V260" s="77"/>
      <c r="W260" s="77">
        <f t="shared" si="144"/>
        <v>2011.19818955732</v>
      </c>
      <c r="X260" s="79">
        <f t="shared" si="152"/>
        <v>22.8045289443814</v>
      </c>
      <c r="Y260" s="79"/>
      <c r="Z260" s="79"/>
      <c r="AA260" s="79">
        <f t="shared" si="148"/>
        <v>22.8045289443814</v>
      </c>
      <c r="AB260" s="91">
        <v>7.27</v>
      </c>
      <c r="AC260" s="77">
        <f t="shared" si="145"/>
        <v>165.788925425653</v>
      </c>
      <c r="AD260" s="77">
        <f t="shared" si="146"/>
        <v>2176.98711498297</v>
      </c>
      <c r="AE260" s="77">
        <f t="shared" si="147"/>
        <v>216.012885017026</v>
      </c>
    </row>
    <row r="261" customFormat="1" spans="1:31">
      <c r="A261" s="22"/>
      <c r="B261" s="23"/>
      <c r="C261" s="24">
        <v>241203000050</v>
      </c>
      <c r="D261" s="26">
        <v>45637</v>
      </c>
      <c r="E261" s="25" t="s">
        <v>54</v>
      </c>
      <c r="F261" s="23" t="s">
        <v>270</v>
      </c>
      <c r="G261" s="23" t="s">
        <v>271</v>
      </c>
      <c r="H261" s="23">
        <v>2.5</v>
      </c>
      <c r="I261" s="47"/>
      <c r="J261" s="51">
        <v>49000.77</v>
      </c>
      <c r="K261" s="45"/>
      <c r="L261" s="52">
        <f>SUM(J261/M261)</f>
        <v>1737</v>
      </c>
      <c r="M261" s="53">
        <v>28.21</v>
      </c>
      <c r="N261" s="57">
        <v>7.27</v>
      </c>
      <c r="O261" s="47">
        <f t="shared" ref="O261:O266" si="153">SUM(M261*N261)</f>
        <v>205.0867</v>
      </c>
      <c r="P261" s="49"/>
      <c r="Q261" s="49"/>
      <c r="R261" s="77">
        <f t="shared" si="150"/>
        <v>161.931044267877</v>
      </c>
      <c r="S261" s="77"/>
      <c r="T261" s="78">
        <f t="shared" si="151"/>
        <v>0.262358115777526</v>
      </c>
      <c r="U261" s="126"/>
      <c r="V261" s="77"/>
      <c r="W261" s="77">
        <f t="shared" si="144"/>
        <v>162.193402383655</v>
      </c>
      <c r="X261" s="79">
        <f t="shared" si="152"/>
        <v>1.83907491486947</v>
      </c>
      <c r="Y261" s="79"/>
      <c r="Z261" s="79"/>
      <c r="AA261" s="79">
        <f t="shared" si="148"/>
        <v>1.83907491486947</v>
      </c>
      <c r="AB261" s="91">
        <v>7.27</v>
      </c>
      <c r="AC261" s="77">
        <f t="shared" si="145"/>
        <v>13.370074631101</v>
      </c>
      <c r="AD261" s="77">
        <f t="shared" si="146"/>
        <v>175.563477014756</v>
      </c>
      <c r="AE261" s="77">
        <f t="shared" si="147"/>
        <v>29.523222985244</v>
      </c>
    </row>
    <row r="262" customFormat="1" spans="1:31">
      <c r="A262" s="22"/>
      <c r="B262" s="23"/>
      <c r="C262" s="24">
        <v>241204000003</v>
      </c>
      <c r="D262" s="25">
        <v>45637</v>
      </c>
      <c r="E262" s="25" t="s">
        <v>54</v>
      </c>
      <c r="F262" s="23" t="s">
        <v>55</v>
      </c>
      <c r="G262" s="23" t="s">
        <v>272</v>
      </c>
      <c r="H262" s="23">
        <v>31</v>
      </c>
      <c r="I262" s="43">
        <v>2333</v>
      </c>
      <c r="J262" s="44"/>
      <c r="K262" s="45"/>
      <c r="L262" s="23"/>
      <c r="M262" s="45"/>
      <c r="N262" s="57"/>
      <c r="O262" s="47">
        <f t="shared" ref="O262:O265" si="154">SUM(I262)</f>
        <v>2333</v>
      </c>
      <c r="P262" s="49"/>
      <c r="Q262" s="49"/>
      <c r="R262" s="77">
        <f t="shared" si="150"/>
        <v>2007.94494892168</v>
      </c>
      <c r="S262" s="77"/>
      <c r="T262" s="78">
        <f t="shared" si="151"/>
        <v>3.25324063564132</v>
      </c>
      <c r="U262" s="126"/>
      <c r="V262" s="77"/>
      <c r="W262" s="77">
        <f t="shared" si="144"/>
        <v>2011.19818955732</v>
      </c>
      <c r="X262" s="79">
        <f t="shared" si="152"/>
        <v>22.8045289443814</v>
      </c>
      <c r="Y262" s="79"/>
      <c r="Z262" s="79"/>
      <c r="AA262" s="79">
        <f t="shared" si="148"/>
        <v>22.8045289443814</v>
      </c>
      <c r="AB262" s="91">
        <v>7.27</v>
      </c>
      <c r="AC262" s="77">
        <f t="shared" si="145"/>
        <v>165.788925425653</v>
      </c>
      <c r="AD262" s="77">
        <f t="shared" si="146"/>
        <v>2176.98711498297</v>
      </c>
      <c r="AE262" s="77">
        <f t="shared" si="147"/>
        <v>156.012885017026</v>
      </c>
    </row>
    <row r="263" customFormat="1" spans="1:31">
      <c r="A263" s="22"/>
      <c r="B263" s="23"/>
      <c r="C263" s="24">
        <v>241204000005</v>
      </c>
      <c r="D263" s="25">
        <v>45637</v>
      </c>
      <c r="E263" s="25" t="s">
        <v>54</v>
      </c>
      <c r="F263" s="23" t="s">
        <v>55</v>
      </c>
      <c r="G263" s="23" t="s">
        <v>223</v>
      </c>
      <c r="H263" s="23">
        <v>7</v>
      </c>
      <c r="I263" s="43">
        <v>545</v>
      </c>
      <c r="J263" s="44"/>
      <c r="K263" s="45"/>
      <c r="L263" s="23"/>
      <c r="M263" s="45"/>
      <c r="N263" s="57"/>
      <c r="O263" s="47">
        <f t="shared" si="154"/>
        <v>545</v>
      </c>
      <c r="P263" s="49"/>
      <c r="Q263" s="49"/>
      <c r="R263" s="77">
        <f t="shared" si="150"/>
        <v>453.406923950057</v>
      </c>
      <c r="S263" s="77"/>
      <c r="T263" s="78">
        <f t="shared" si="151"/>
        <v>0.734602724177071</v>
      </c>
      <c r="U263" s="126"/>
      <c r="V263" s="77"/>
      <c r="W263" s="77">
        <f t="shared" si="144"/>
        <v>454.141526674234</v>
      </c>
      <c r="X263" s="79">
        <f t="shared" si="152"/>
        <v>5.14940976163451</v>
      </c>
      <c r="Y263" s="79"/>
      <c r="Z263" s="79"/>
      <c r="AA263" s="79">
        <f t="shared" si="148"/>
        <v>5.14940976163451</v>
      </c>
      <c r="AB263" s="91">
        <v>7.27</v>
      </c>
      <c r="AC263" s="77">
        <f t="shared" si="145"/>
        <v>37.4362089670829</v>
      </c>
      <c r="AD263" s="77">
        <f t="shared" si="146"/>
        <v>491.577735641317</v>
      </c>
      <c r="AE263" s="77">
        <f t="shared" si="147"/>
        <v>53.4222643586833</v>
      </c>
    </row>
    <row r="264" customFormat="1" spans="1:31">
      <c r="A264" s="22"/>
      <c r="B264" s="23"/>
      <c r="C264" s="24">
        <v>241204000010</v>
      </c>
      <c r="D264" s="25">
        <v>45637</v>
      </c>
      <c r="E264" s="25" t="s">
        <v>37</v>
      </c>
      <c r="F264" s="23" t="s">
        <v>38</v>
      </c>
      <c r="G264" s="23" t="s">
        <v>155</v>
      </c>
      <c r="H264" s="23">
        <v>8</v>
      </c>
      <c r="I264" s="47"/>
      <c r="J264" s="51">
        <v>150128.88</v>
      </c>
      <c r="K264" s="45"/>
      <c r="L264" s="52">
        <f>SUM(J264/M264)</f>
        <v>1736.9996528983</v>
      </c>
      <c r="M264" s="53">
        <v>86.43</v>
      </c>
      <c r="N264" s="57">
        <v>7.27</v>
      </c>
      <c r="O264" s="47">
        <f t="shared" si="153"/>
        <v>628.3461</v>
      </c>
      <c r="P264" s="49"/>
      <c r="Q264" s="49"/>
      <c r="R264" s="77">
        <f t="shared" si="150"/>
        <v>518.179341657208</v>
      </c>
      <c r="S264" s="77"/>
      <c r="T264" s="78">
        <f t="shared" si="151"/>
        <v>0.839545970488082</v>
      </c>
      <c r="U264" s="126"/>
      <c r="V264" s="77"/>
      <c r="W264" s="77">
        <f t="shared" si="144"/>
        <v>519.018887627696</v>
      </c>
      <c r="X264" s="79">
        <f t="shared" si="152"/>
        <v>5.88503972758229</v>
      </c>
      <c r="Y264" s="79"/>
      <c r="Z264" s="79"/>
      <c r="AA264" s="79">
        <f t="shared" si="148"/>
        <v>5.88503972758229</v>
      </c>
      <c r="AB264" s="91">
        <v>7.27</v>
      </c>
      <c r="AC264" s="77">
        <f t="shared" si="145"/>
        <v>42.7842388195233</v>
      </c>
      <c r="AD264" s="77">
        <f t="shared" si="146"/>
        <v>561.803126447219</v>
      </c>
      <c r="AE264" s="77">
        <f t="shared" si="147"/>
        <v>66.5429735527809</v>
      </c>
    </row>
    <row r="265" customFormat="1" spans="1:31">
      <c r="A265" s="22"/>
      <c r="B265" s="23"/>
      <c r="C265" s="24">
        <v>241204000014</v>
      </c>
      <c r="D265" s="25">
        <v>45637</v>
      </c>
      <c r="E265" s="25" t="s">
        <v>37</v>
      </c>
      <c r="F265" s="23" t="s">
        <v>38</v>
      </c>
      <c r="G265" s="23" t="s">
        <v>273</v>
      </c>
      <c r="H265" s="23">
        <v>7</v>
      </c>
      <c r="I265" s="43">
        <v>587</v>
      </c>
      <c r="J265" s="44"/>
      <c r="K265" s="45"/>
      <c r="L265" s="23"/>
      <c r="M265" s="45"/>
      <c r="N265" s="57"/>
      <c r="O265" s="47">
        <f t="shared" si="154"/>
        <v>587</v>
      </c>
      <c r="P265" s="49"/>
      <c r="Q265" s="49"/>
      <c r="R265" s="77">
        <f t="shared" si="150"/>
        <v>453.406923950057</v>
      </c>
      <c r="S265" s="77"/>
      <c r="T265" s="78">
        <f t="shared" si="151"/>
        <v>0.734602724177071</v>
      </c>
      <c r="U265" s="126"/>
      <c r="V265" s="77"/>
      <c r="W265" s="77">
        <f t="shared" si="144"/>
        <v>454.141526674234</v>
      </c>
      <c r="X265" s="79">
        <f t="shared" si="152"/>
        <v>5.14940976163451</v>
      </c>
      <c r="Y265" s="79"/>
      <c r="Z265" s="79"/>
      <c r="AA265" s="79">
        <f t="shared" si="148"/>
        <v>5.14940976163451</v>
      </c>
      <c r="AB265" s="91">
        <v>7.27</v>
      </c>
      <c r="AC265" s="77">
        <f t="shared" si="145"/>
        <v>37.4362089670829</v>
      </c>
      <c r="AD265" s="77">
        <f t="shared" si="146"/>
        <v>491.577735641317</v>
      </c>
      <c r="AE265" s="77">
        <f t="shared" si="147"/>
        <v>95.4222643586833</v>
      </c>
    </row>
    <row r="266" customFormat="1" spans="1:31">
      <c r="A266" s="22"/>
      <c r="B266" s="23"/>
      <c r="C266" s="24">
        <v>241204000018</v>
      </c>
      <c r="D266" s="25">
        <v>45637</v>
      </c>
      <c r="E266" s="25" t="s">
        <v>37</v>
      </c>
      <c r="F266" s="23" t="s">
        <v>38</v>
      </c>
      <c r="G266" s="23" t="s">
        <v>222</v>
      </c>
      <c r="H266" s="23">
        <v>17.5</v>
      </c>
      <c r="I266" s="50"/>
      <c r="J266" s="51">
        <v>266805</v>
      </c>
      <c r="K266" s="45"/>
      <c r="L266" s="52">
        <f>SUM(J266/M266)</f>
        <v>1433.12563785787</v>
      </c>
      <c r="M266" s="53">
        <v>186.17</v>
      </c>
      <c r="N266" s="57">
        <v>7.27</v>
      </c>
      <c r="O266" s="47">
        <f t="shared" si="153"/>
        <v>1353.4559</v>
      </c>
      <c r="P266" s="49"/>
      <c r="Q266" s="49"/>
      <c r="R266" s="77">
        <f t="shared" si="150"/>
        <v>1133.51730987514</v>
      </c>
      <c r="S266" s="77"/>
      <c r="T266" s="78">
        <f t="shared" si="151"/>
        <v>1.83650681044268</v>
      </c>
      <c r="U266" s="126"/>
      <c r="V266" s="77"/>
      <c r="W266" s="77">
        <f t="shared" si="144"/>
        <v>1135.35381668558</v>
      </c>
      <c r="X266" s="79">
        <f t="shared" si="152"/>
        <v>12.8735244040863</v>
      </c>
      <c r="Y266" s="79"/>
      <c r="Z266" s="79"/>
      <c r="AA266" s="79">
        <f t="shared" si="148"/>
        <v>12.8735244040863</v>
      </c>
      <c r="AB266" s="91">
        <v>7.27</v>
      </c>
      <c r="AC266" s="77">
        <f t="shared" si="145"/>
        <v>93.5905224177071</v>
      </c>
      <c r="AD266" s="77">
        <f t="shared" si="146"/>
        <v>1228.94433910329</v>
      </c>
      <c r="AE266" s="77">
        <f t="shared" si="147"/>
        <v>124.511560896708</v>
      </c>
    </row>
    <row r="267" customFormat="1" spans="1:31">
      <c r="A267" s="22"/>
      <c r="B267" s="23"/>
      <c r="C267" s="24">
        <v>241204000020</v>
      </c>
      <c r="D267" s="26">
        <v>45637</v>
      </c>
      <c r="E267" s="25" t="s">
        <v>143</v>
      </c>
      <c r="F267" s="23" t="s">
        <v>144</v>
      </c>
      <c r="G267" s="23" t="s">
        <v>145</v>
      </c>
      <c r="H267" s="23">
        <v>24</v>
      </c>
      <c r="I267" s="43">
        <v>1808</v>
      </c>
      <c r="J267" s="44"/>
      <c r="K267" s="45"/>
      <c r="L267" s="23"/>
      <c r="M267" s="45"/>
      <c r="N267" s="57"/>
      <c r="O267" s="47">
        <f t="shared" ref="O267:O269" si="155">SUM(I267)</f>
        <v>1808</v>
      </c>
      <c r="P267" s="49"/>
      <c r="Q267" s="49"/>
      <c r="R267" s="77">
        <f t="shared" si="150"/>
        <v>1554.53802497162</v>
      </c>
      <c r="S267" s="77"/>
      <c r="T267" s="78">
        <f t="shared" si="151"/>
        <v>2.51863791146424</v>
      </c>
      <c r="U267" s="126"/>
      <c r="V267" s="77"/>
      <c r="W267" s="77">
        <f t="shared" si="144"/>
        <v>1557.05666288309</v>
      </c>
      <c r="X267" s="79">
        <f t="shared" si="152"/>
        <v>17.6551191827469</v>
      </c>
      <c r="Y267" s="79"/>
      <c r="Z267" s="79"/>
      <c r="AA267" s="79">
        <f t="shared" si="148"/>
        <v>17.6551191827469</v>
      </c>
      <c r="AB267" s="91">
        <v>7.27</v>
      </c>
      <c r="AC267" s="77">
        <f t="shared" si="145"/>
        <v>128.35271645857</v>
      </c>
      <c r="AD267" s="77">
        <f t="shared" si="146"/>
        <v>1685.40937934166</v>
      </c>
      <c r="AE267" s="77">
        <f t="shared" si="147"/>
        <v>122.590620658343</v>
      </c>
    </row>
    <row r="268" customFormat="1" spans="1:31">
      <c r="A268" s="22"/>
      <c r="B268" s="23"/>
      <c r="C268" s="24">
        <v>241204000021</v>
      </c>
      <c r="D268" s="26">
        <v>45637</v>
      </c>
      <c r="E268" s="25" t="s">
        <v>143</v>
      </c>
      <c r="F268" s="23" t="s">
        <v>144</v>
      </c>
      <c r="G268" s="23" t="s">
        <v>145</v>
      </c>
      <c r="H268" s="23">
        <v>13.5</v>
      </c>
      <c r="I268" s="43">
        <v>1045.5</v>
      </c>
      <c r="J268" s="44"/>
      <c r="K268" s="45"/>
      <c r="L268" s="23"/>
      <c r="M268" s="45"/>
      <c r="N268" s="57"/>
      <c r="O268" s="47">
        <f t="shared" si="155"/>
        <v>1045.5</v>
      </c>
      <c r="P268" s="49"/>
      <c r="Q268" s="49"/>
      <c r="R268" s="77">
        <f t="shared" si="150"/>
        <v>874.427639046538</v>
      </c>
      <c r="S268" s="77"/>
      <c r="T268" s="78">
        <f t="shared" si="151"/>
        <v>1.41673382519864</v>
      </c>
      <c r="U268" s="126"/>
      <c r="V268" s="77"/>
      <c r="W268" s="77">
        <f t="shared" si="144"/>
        <v>875.844372871737</v>
      </c>
      <c r="X268" s="79">
        <f t="shared" si="152"/>
        <v>9.93100454029512</v>
      </c>
      <c r="Y268" s="79"/>
      <c r="Z268" s="79"/>
      <c r="AA268" s="79">
        <f t="shared" si="148"/>
        <v>9.93100454029512</v>
      </c>
      <c r="AB268" s="91">
        <v>7.27</v>
      </c>
      <c r="AC268" s="77">
        <f t="shared" si="145"/>
        <v>72.1984030079455</v>
      </c>
      <c r="AD268" s="77">
        <f t="shared" si="146"/>
        <v>948.042775879682</v>
      </c>
      <c r="AE268" s="77">
        <f t="shared" si="147"/>
        <v>97.4572241203177</v>
      </c>
    </row>
    <row r="269" customFormat="1" spans="1:31">
      <c r="A269" s="22"/>
      <c r="B269" s="23"/>
      <c r="C269" s="24">
        <v>241204000022</v>
      </c>
      <c r="D269" s="26">
        <v>45637</v>
      </c>
      <c r="E269" s="25" t="s">
        <v>143</v>
      </c>
      <c r="F269" s="23" t="s">
        <v>144</v>
      </c>
      <c r="G269" s="23" t="s">
        <v>145</v>
      </c>
      <c r="H269" s="23">
        <v>31.5</v>
      </c>
      <c r="I269" s="43">
        <v>2370.5</v>
      </c>
      <c r="J269" s="44"/>
      <c r="K269" s="45"/>
      <c r="L269" s="23"/>
      <c r="M269" s="45"/>
      <c r="N269" s="57"/>
      <c r="O269" s="47">
        <f t="shared" si="155"/>
        <v>2370.5</v>
      </c>
      <c r="P269" s="49"/>
      <c r="Q269" s="49"/>
      <c r="R269" s="77">
        <f t="shared" si="150"/>
        <v>2040.33115777526</v>
      </c>
      <c r="S269" s="77"/>
      <c r="T269" s="78">
        <f t="shared" si="151"/>
        <v>3.30571225879682</v>
      </c>
      <c r="U269" s="126"/>
      <c r="V269" s="77"/>
      <c r="W269" s="77">
        <f t="shared" si="144"/>
        <v>2043.63687003405</v>
      </c>
      <c r="X269" s="79">
        <f t="shared" si="152"/>
        <v>23.1723439273553</v>
      </c>
      <c r="Y269" s="79"/>
      <c r="Z269" s="79"/>
      <c r="AA269" s="79">
        <f t="shared" si="148"/>
        <v>23.1723439273553</v>
      </c>
      <c r="AB269" s="91">
        <v>7.27</v>
      </c>
      <c r="AC269" s="77">
        <f t="shared" si="145"/>
        <v>168.462940351873</v>
      </c>
      <c r="AD269" s="77">
        <f t="shared" si="146"/>
        <v>2212.09981038593</v>
      </c>
      <c r="AE269" s="77">
        <f t="shared" si="147"/>
        <v>158.400189614075</v>
      </c>
    </row>
    <row r="270" customFormat="1" spans="1:31">
      <c r="A270" s="22"/>
      <c r="B270" s="23"/>
      <c r="C270" s="24">
        <v>241204000024</v>
      </c>
      <c r="D270" s="25">
        <v>45637</v>
      </c>
      <c r="E270" s="25" t="s">
        <v>44</v>
      </c>
      <c r="F270" s="23" t="s">
        <v>45</v>
      </c>
      <c r="G270" s="23" t="s">
        <v>274</v>
      </c>
      <c r="H270" s="23">
        <v>7</v>
      </c>
      <c r="I270" s="50"/>
      <c r="J270" s="51">
        <v>128240</v>
      </c>
      <c r="K270" s="45"/>
      <c r="L270" s="52">
        <f>SUM(J270/M270)</f>
        <v>1665.02207218904</v>
      </c>
      <c r="M270" s="53">
        <v>77.02</v>
      </c>
      <c r="N270" s="57">
        <v>7.27</v>
      </c>
      <c r="O270" s="47">
        <f>SUM(M270*N270)</f>
        <v>559.9354</v>
      </c>
      <c r="P270" s="49"/>
      <c r="Q270" s="49"/>
      <c r="R270" s="77">
        <f t="shared" si="150"/>
        <v>453.406923950057</v>
      </c>
      <c r="S270" s="77"/>
      <c r="T270" s="78">
        <f t="shared" si="151"/>
        <v>0.734602724177071</v>
      </c>
      <c r="U270" s="126"/>
      <c r="V270" s="77"/>
      <c r="W270" s="77">
        <f t="shared" si="144"/>
        <v>454.141526674234</v>
      </c>
      <c r="X270" s="79">
        <f t="shared" si="152"/>
        <v>5.14940976163451</v>
      </c>
      <c r="Y270" s="79"/>
      <c r="Z270" s="79"/>
      <c r="AA270" s="79">
        <f t="shared" si="148"/>
        <v>5.14940976163451</v>
      </c>
      <c r="AB270" s="91">
        <v>7.27</v>
      </c>
      <c r="AC270" s="77">
        <f t="shared" si="145"/>
        <v>37.4362089670829</v>
      </c>
      <c r="AD270" s="77">
        <f t="shared" si="146"/>
        <v>491.577735641317</v>
      </c>
      <c r="AE270" s="77">
        <f t="shared" si="147"/>
        <v>68.3576643586833</v>
      </c>
    </row>
    <row r="271" customFormat="1" spans="1:31">
      <c r="A271" s="22"/>
      <c r="B271" s="23"/>
      <c r="C271" s="24">
        <v>241204000029</v>
      </c>
      <c r="D271" s="25">
        <v>45637</v>
      </c>
      <c r="E271" s="25" t="s">
        <v>44</v>
      </c>
      <c r="F271" s="23" t="s">
        <v>45</v>
      </c>
      <c r="G271" s="23" t="s">
        <v>275</v>
      </c>
      <c r="H271" s="23">
        <v>0.2</v>
      </c>
      <c r="I271" s="43">
        <v>126.5</v>
      </c>
      <c r="J271" s="44"/>
      <c r="K271" s="45"/>
      <c r="L271" s="23"/>
      <c r="M271" s="45"/>
      <c r="N271" s="57"/>
      <c r="O271" s="47">
        <f t="shared" ref="O271:O273" si="156">SUM(I271)</f>
        <v>126.5</v>
      </c>
      <c r="P271" s="49"/>
      <c r="Q271" s="49"/>
      <c r="R271" s="77">
        <f t="shared" si="150"/>
        <v>12.9544835414302</v>
      </c>
      <c r="S271" s="77"/>
      <c r="T271" s="78">
        <f t="shared" si="151"/>
        <v>0.020988649262202</v>
      </c>
      <c r="U271" s="126"/>
      <c r="V271" s="77"/>
      <c r="W271" s="77">
        <f t="shared" si="144"/>
        <v>12.9754721906924</v>
      </c>
      <c r="X271" s="79">
        <f t="shared" si="152"/>
        <v>0.147125993189557</v>
      </c>
      <c r="Y271" s="79">
        <v>5.5</v>
      </c>
      <c r="Z271" s="79"/>
      <c r="AA271" s="79">
        <f t="shared" si="148"/>
        <v>5.64712599318956</v>
      </c>
      <c r="AB271" s="91">
        <v>7.27</v>
      </c>
      <c r="AC271" s="77">
        <f t="shared" si="145"/>
        <v>41.0546059704881</v>
      </c>
      <c r="AD271" s="77">
        <f t="shared" si="146"/>
        <v>54.0300781611805</v>
      </c>
      <c r="AE271" s="77">
        <f t="shared" si="147"/>
        <v>72.4699218388195</v>
      </c>
    </row>
    <row r="272" customFormat="1" spans="1:31">
      <c r="A272" s="22"/>
      <c r="B272" s="23"/>
      <c r="C272" s="24">
        <v>241204000031</v>
      </c>
      <c r="D272" s="25">
        <v>45637</v>
      </c>
      <c r="E272" s="25" t="s">
        <v>61</v>
      </c>
      <c r="F272" s="23" t="s">
        <v>62</v>
      </c>
      <c r="G272" s="23" t="s">
        <v>276</v>
      </c>
      <c r="H272" s="23">
        <v>3.5</v>
      </c>
      <c r="I272" s="43">
        <v>283</v>
      </c>
      <c r="J272" s="44"/>
      <c r="K272" s="45"/>
      <c r="L272" s="23"/>
      <c r="M272" s="45"/>
      <c r="N272" s="57"/>
      <c r="O272" s="47">
        <f t="shared" si="156"/>
        <v>283</v>
      </c>
      <c r="P272" s="49"/>
      <c r="Q272" s="49"/>
      <c r="R272" s="77">
        <f t="shared" si="150"/>
        <v>226.703461975028</v>
      </c>
      <c r="S272" s="77"/>
      <c r="T272" s="78">
        <f t="shared" si="151"/>
        <v>0.367301362088536</v>
      </c>
      <c r="U272" s="126"/>
      <c r="V272" s="77"/>
      <c r="W272" s="77">
        <f t="shared" si="144"/>
        <v>227.070763337117</v>
      </c>
      <c r="X272" s="79">
        <f t="shared" si="152"/>
        <v>2.57470488081725</v>
      </c>
      <c r="Y272" s="79"/>
      <c r="Z272" s="79"/>
      <c r="AA272" s="79">
        <f t="shared" si="148"/>
        <v>2.57470488081725</v>
      </c>
      <c r="AB272" s="91">
        <v>7.27</v>
      </c>
      <c r="AC272" s="77">
        <f t="shared" si="145"/>
        <v>18.7181044835414</v>
      </c>
      <c r="AD272" s="77">
        <f t="shared" si="146"/>
        <v>245.788867820658</v>
      </c>
      <c r="AE272" s="77">
        <f t="shared" si="147"/>
        <v>37.2111321793417</v>
      </c>
    </row>
    <row r="273" customFormat="1" spans="1:31">
      <c r="A273" s="22"/>
      <c r="B273" s="23"/>
      <c r="C273" s="24">
        <v>241204000032</v>
      </c>
      <c r="D273" s="26">
        <v>45637</v>
      </c>
      <c r="E273" s="25" t="s">
        <v>70</v>
      </c>
      <c r="F273" s="23" t="s">
        <v>70</v>
      </c>
      <c r="G273" s="23" t="s">
        <v>277</v>
      </c>
      <c r="H273" s="23">
        <v>2</v>
      </c>
      <c r="I273" s="43">
        <v>163</v>
      </c>
      <c r="J273" s="44"/>
      <c r="K273" s="45"/>
      <c r="L273" s="23"/>
      <c r="M273" s="45"/>
      <c r="N273" s="57"/>
      <c r="O273" s="47">
        <f t="shared" si="156"/>
        <v>163</v>
      </c>
      <c r="P273" s="49"/>
      <c r="Q273" s="49"/>
      <c r="R273" s="77">
        <f t="shared" si="150"/>
        <v>129.544835414302</v>
      </c>
      <c r="S273" s="77"/>
      <c r="T273" s="78">
        <f t="shared" si="151"/>
        <v>0.20988649262202</v>
      </c>
      <c r="U273" s="126"/>
      <c r="V273" s="77"/>
      <c r="W273" s="77">
        <f t="shared" si="144"/>
        <v>129.754721906924</v>
      </c>
      <c r="X273" s="79">
        <f t="shared" si="152"/>
        <v>1.47125993189557</v>
      </c>
      <c r="Y273" s="79"/>
      <c r="Z273" s="79"/>
      <c r="AA273" s="79">
        <f t="shared" si="148"/>
        <v>1.47125993189557</v>
      </c>
      <c r="AB273" s="91">
        <v>7.27</v>
      </c>
      <c r="AC273" s="77">
        <f t="shared" si="145"/>
        <v>10.6960597048808</v>
      </c>
      <c r="AD273" s="77">
        <f t="shared" si="146"/>
        <v>140.450781611805</v>
      </c>
      <c r="AE273" s="77">
        <f t="shared" si="147"/>
        <v>22.5492183881952</v>
      </c>
    </row>
    <row r="274" customFormat="1" spans="1:31">
      <c r="A274" s="22"/>
      <c r="B274" s="23"/>
      <c r="C274" s="24">
        <v>241204000038</v>
      </c>
      <c r="D274" s="25">
        <v>45637</v>
      </c>
      <c r="E274" s="25" t="s">
        <v>37</v>
      </c>
      <c r="F274" s="23" t="s">
        <v>38</v>
      </c>
      <c r="G274" s="23" t="s">
        <v>127</v>
      </c>
      <c r="H274" s="23">
        <v>3</v>
      </c>
      <c r="I274" s="47"/>
      <c r="J274" s="51">
        <v>58628.75</v>
      </c>
      <c r="K274" s="45"/>
      <c r="L274" s="52">
        <f>SUM(J274/M274)</f>
        <v>1737.14814814815</v>
      </c>
      <c r="M274" s="53">
        <v>33.75</v>
      </c>
      <c r="N274" s="57">
        <v>7.27</v>
      </c>
      <c r="O274" s="47">
        <f>SUM(M274*N274)</f>
        <v>245.3625</v>
      </c>
      <c r="P274" s="49"/>
      <c r="Q274" s="49"/>
      <c r="R274" s="77">
        <f t="shared" si="150"/>
        <v>194.317253121453</v>
      </c>
      <c r="S274" s="77"/>
      <c r="T274" s="78">
        <f t="shared" si="151"/>
        <v>0.314829738933031</v>
      </c>
      <c r="U274" s="126"/>
      <c r="V274" s="77"/>
      <c r="W274" s="77">
        <f t="shared" si="144"/>
        <v>194.632082860386</v>
      </c>
      <c r="X274" s="79">
        <f t="shared" si="152"/>
        <v>2.20688989784336</v>
      </c>
      <c r="Y274" s="79"/>
      <c r="Z274" s="79"/>
      <c r="AA274" s="79">
        <f t="shared" si="148"/>
        <v>2.20688989784336</v>
      </c>
      <c r="AB274" s="91">
        <v>7.27</v>
      </c>
      <c r="AC274" s="77">
        <f t="shared" si="145"/>
        <v>16.0440895573212</v>
      </c>
      <c r="AD274" s="77">
        <f t="shared" si="146"/>
        <v>210.676172417707</v>
      </c>
      <c r="AE274" s="77">
        <f t="shared" si="147"/>
        <v>34.6863275822928</v>
      </c>
    </row>
    <row r="275" customFormat="1" spans="1:31">
      <c r="A275" s="22"/>
      <c r="B275" s="23"/>
      <c r="C275" s="24">
        <v>241204000055</v>
      </c>
      <c r="D275" s="25">
        <v>45637</v>
      </c>
      <c r="E275" s="25" t="s">
        <v>61</v>
      </c>
      <c r="F275" s="23" t="s">
        <v>62</v>
      </c>
      <c r="G275" s="23" t="s">
        <v>174</v>
      </c>
      <c r="H275" s="23">
        <v>15</v>
      </c>
      <c r="I275" s="43">
        <v>1110</v>
      </c>
      <c r="J275" s="44"/>
      <c r="K275" s="45"/>
      <c r="L275" s="23"/>
      <c r="M275" s="45"/>
      <c r="N275" s="57"/>
      <c r="O275" s="47">
        <f t="shared" ref="O275:O283" si="157">SUM(I275)</f>
        <v>1110</v>
      </c>
      <c r="P275" s="49"/>
      <c r="Q275" s="49"/>
      <c r="R275" s="77">
        <f t="shared" si="150"/>
        <v>971.586265607265</v>
      </c>
      <c r="S275" s="77"/>
      <c r="T275" s="78">
        <f t="shared" si="151"/>
        <v>1.57414869466515</v>
      </c>
      <c r="U275" s="126"/>
      <c r="V275" s="77"/>
      <c r="W275" s="77">
        <f t="shared" si="144"/>
        <v>973.16041430193</v>
      </c>
      <c r="X275" s="79">
        <f t="shared" si="152"/>
        <v>11.0344494892168</v>
      </c>
      <c r="Y275" s="79"/>
      <c r="Z275" s="79"/>
      <c r="AA275" s="79">
        <f t="shared" si="148"/>
        <v>11.0344494892168</v>
      </c>
      <c r="AB275" s="91">
        <v>7.27</v>
      </c>
      <c r="AC275" s="77">
        <f t="shared" si="145"/>
        <v>80.2204477866061</v>
      </c>
      <c r="AD275" s="77">
        <f t="shared" si="146"/>
        <v>1053.38086208854</v>
      </c>
      <c r="AE275" s="77">
        <f t="shared" si="147"/>
        <v>56.6191379114641</v>
      </c>
    </row>
    <row r="276" customFormat="1" spans="1:31">
      <c r="A276" s="22"/>
      <c r="B276" s="23"/>
      <c r="C276" s="24">
        <v>241204000057</v>
      </c>
      <c r="D276" s="25">
        <v>45637</v>
      </c>
      <c r="E276" s="25" t="s">
        <v>61</v>
      </c>
      <c r="F276" s="23" t="s">
        <v>62</v>
      </c>
      <c r="G276" s="23" t="s">
        <v>174</v>
      </c>
      <c r="H276" s="23">
        <v>163</v>
      </c>
      <c r="I276" s="43">
        <v>12388</v>
      </c>
      <c r="J276" s="44"/>
      <c r="K276" s="45"/>
      <c r="L276" s="23"/>
      <c r="M276" s="45"/>
      <c r="N276" s="57"/>
      <c r="O276" s="47">
        <f t="shared" si="157"/>
        <v>12388</v>
      </c>
      <c r="P276" s="49"/>
      <c r="Q276" s="49"/>
      <c r="R276" s="77">
        <f t="shared" si="150"/>
        <v>10557.9040862656</v>
      </c>
      <c r="S276" s="77"/>
      <c r="T276" s="78">
        <f t="shared" si="151"/>
        <v>17.1057491486947</v>
      </c>
      <c r="U276" s="126"/>
      <c r="V276" s="77"/>
      <c r="W276" s="77">
        <f t="shared" si="144"/>
        <v>10575.0098354143</v>
      </c>
      <c r="X276" s="79">
        <f t="shared" si="152"/>
        <v>119.907684449489</v>
      </c>
      <c r="Y276" s="79"/>
      <c r="Z276" s="79"/>
      <c r="AA276" s="79">
        <f t="shared" si="148"/>
        <v>119.907684449489</v>
      </c>
      <c r="AB276" s="91">
        <v>7.27</v>
      </c>
      <c r="AC276" s="77">
        <f t="shared" si="145"/>
        <v>871.728865947787</v>
      </c>
      <c r="AD276" s="77">
        <f t="shared" si="146"/>
        <v>11446.7387013621</v>
      </c>
      <c r="AE276" s="77">
        <f t="shared" si="147"/>
        <v>941.26129863791</v>
      </c>
    </row>
    <row r="277" customFormat="1" spans="1:31">
      <c r="A277" s="22"/>
      <c r="B277" s="23"/>
      <c r="C277" s="24">
        <v>241204000059</v>
      </c>
      <c r="D277" s="25">
        <v>45637</v>
      </c>
      <c r="E277" s="25" t="s">
        <v>61</v>
      </c>
      <c r="F277" s="23" t="s">
        <v>62</v>
      </c>
      <c r="G277" s="23" t="s">
        <v>174</v>
      </c>
      <c r="H277" s="23">
        <v>108</v>
      </c>
      <c r="I277" s="43">
        <v>8208</v>
      </c>
      <c r="J277" s="44"/>
      <c r="K277" s="45"/>
      <c r="L277" s="23"/>
      <c r="M277" s="45"/>
      <c r="N277" s="57"/>
      <c r="O277" s="47">
        <f t="shared" si="157"/>
        <v>8208</v>
      </c>
      <c r="P277" s="49"/>
      <c r="Q277" s="49"/>
      <c r="R277" s="77">
        <f t="shared" si="150"/>
        <v>6995.4211123723</v>
      </c>
      <c r="S277" s="77"/>
      <c r="T277" s="78">
        <f t="shared" si="151"/>
        <v>11.3338706015891</v>
      </c>
      <c r="U277" s="126"/>
      <c r="V277" s="77"/>
      <c r="W277" s="77">
        <f t="shared" si="144"/>
        <v>7006.75498297389</v>
      </c>
      <c r="X277" s="79">
        <f t="shared" si="152"/>
        <v>79.4480363223609</v>
      </c>
      <c r="Y277" s="79"/>
      <c r="Z277" s="79"/>
      <c r="AA277" s="79">
        <f t="shared" si="148"/>
        <v>79.4480363223609</v>
      </c>
      <c r="AB277" s="91">
        <v>7.27</v>
      </c>
      <c r="AC277" s="77">
        <f t="shared" si="145"/>
        <v>577.587224063564</v>
      </c>
      <c r="AD277" s="77">
        <f t="shared" si="146"/>
        <v>7584.34220703746</v>
      </c>
      <c r="AE277" s="77">
        <f t="shared" si="147"/>
        <v>623.657792962542</v>
      </c>
    </row>
    <row r="278" customFormat="1" spans="1:31">
      <c r="A278" s="22"/>
      <c r="B278" s="23"/>
      <c r="C278" s="24">
        <v>241204000061</v>
      </c>
      <c r="D278" s="25">
        <v>45637</v>
      </c>
      <c r="E278" s="25" t="s">
        <v>61</v>
      </c>
      <c r="F278" s="23" t="s">
        <v>62</v>
      </c>
      <c r="G278" s="23" t="s">
        <v>278</v>
      </c>
      <c r="H278" s="23">
        <v>159.5</v>
      </c>
      <c r="I278" s="43">
        <v>11883</v>
      </c>
      <c r="J278" s="44"/>
      <c r="K278" s="45"/>
      <c r="L278" s="23"/>
      <c r="M278" s="45"/>
      <c r="N278" s="57"/>
      <c r="O278" s="47">
        <f t="shared" si="157"/>
        <v>11883</v>
      </c>
      <c r="P278" s="49"/>
      <c r="Q278" s="49"/>
      <c r="R278" s="77">
        <f t="shared" si="150"/>
        <v>10331.2006242906</v>
      </c>
      <c r="S278" s="78">
        <v>80</v>
      </c>
      <c r="T278" s="78">
        <f t="shared" si="151"/>
        <v>16.7384477866061</v>
      </c>
      <c r="U278" s="126"/>
      <c r="V278" s="77"/>
      <c r="W278" s="77">
        <f t="shared" si="144"/>
        <v>10427.9390720772</v>
      </c>
      <c r="X278" s="79">
        <f t="shared" si="152"/>
        <v>117.332979568672</v>
      </c>
      <c r="Y278" s="79"/>
      <c r="Z278" s="79"/>
      <c r="AA278" s="79">
        <f t="shared" si="148"/>
        <v>117.332979568672</v>
      </c>
      <c r="AB278" s="91">
        <v>7.27</v>
      </c>
      <c r="AC278" s="77">
        <f t="shared" si="145"/>
        <v>853.010761464245</v>
      </c>
      <c r="AD278" s="77">
        <f t="shared" si="146"/>
        <v>11280.9498335414</v>
      </c>
      <c r="AE278" s="77">
        <f t="shared" si="147"/>
        <v>602.05016645857</v>
      </c>
    </row>
    <row r="279" customFormat="1" spans="1:31">
      <c r="A279" s="22"/>
      <c r="B279" s="23"/>
      <c r="C279" s="92">
        <v>241204000065</v>
      </c>
      <c r="D279" s="94">
        <v>45637</v>
      </c>
      <c r="E279" s="25" t="s">
        <v>54</v>
      </c>
      <c r="F279" s="95" t="s">
        <v>55</v>
      </c>
      <c r="G279" s="95" t="s">
        <v>279</v>
      </c>
      <c r="H279" s="95">
        <v>5</v>
      </c>
      <c r="I279" s="43">
        <v>486</v>
      </c>
      <c r="J279" s="44"/>
      <c r="K279" s="45"/>
      <c r="L279" s="23"/>
      <c r="M279" s="45"/>
      <c r="N279" s="57"/>
      <c r="O279" s="47">
        <f t="shared" si="157"/>
        <v>486</v>
      </c>
      <c r="P279" s="49"/>
      <c r="Q279" s="49"/>
      <c r="R279" s="77">
        <f t="shared" si="150"/>
        <v>323.862088535755</v>
      </c>
      <c r="S279" s="77"/>
      <c r="T279" s="78">
        <f t="shared" si="151"/>
        <v>0.524716231555051</v>
      </c>
      <c r="U279" s="126"/>
      <c r="V279" s="78">
        <v>49</v>
      </c>
      <c r="W279" s="77">
        <f t="shared" si="144"/>
        <v>373.38680476731</v>
      </c>
      <c r="X279" s="79">
        <f t="shared" si="152"/>
        <v>3.67814982973893</v>
      </c>
      <c r="Y279" s="79"/>
      <c r="Z279" s="79"/>
      <c r="AA279" s="79">
        <f t="shared" si="148"/>
        <v>3.67814982973893</v>
      </c>
      <c r="AB279" s="91">
        <v>7.27</v>
      </c>
      <c r="AC279" s="77">
        <f t="shared" si="145"/>
        <v>26.740149262202</v>
      </c>
      <c r="AD279" s="77">
        <f t="shared" si="146"/>
        <v>400.126954029512</v>
      </c>
      <c r="AE279" s="77">
        <f t="shared" si="147"/>
        <v>85.8730459704881</v>
      </c>
    </row>
    <row r="280" customFormat="1" spans="1:31">
      <c r="A280" s="22"/>
      <c r="B280" s="23"/>
      <c r="C280" s="24">
        <v>241204000069</v>
      </c>
      <c r="D280" s="25">
        <v>45637</v>
      </c>
      <c r="E280" s="25" t="s">
        <v>61</v>
      </c>
      <c r="F280" s="23" t="s">
        <v>62</v>
      </c>
      <c r="G280" s="23" t="s">
        <v>280</v>
      </c>
      <c r="H280" s="23">
        <v>2</v>
      </c>
      <c r="I280" s="43">
        <v>185.5</v>
      </c>
      <c r="J280" s="44"/>
      <c r="K280" s="45"/>
      <c r="L280" s="23"/>
      <c r="M280" s="45"/>
      <c r="N280" s="57"/>
      <c r="O280" s="47">
        <f t="shared" si="157"/>
        <v>185.5</v>
      </c>
      <c r="P280" s="49"/>
      <c r="Q280" s="49"/>
      <c r="R280" s="77">
        <f t="shared" si="150"/>
        <v>129.544835414302</v>
      </c>
      <c r="S280" s="77"/>
      <c r="T280" s="78">
        <f t="shared" si="151"/>
        <v>0.20988649262202</v>
      </c>
      <c r="U280" s="126"/>
      <c r="V280" s="77"/>
      <c r="W280" s="77">
        <f t="shared" si="144"/>
        <v>129.754721906924</v>
      </c>
      <c r="X280" s="79">
        <f t="shared" si="152"/>
        <v>1.47125993189557</v>
      </c>
      <c r="Y280" s="79"/>
      <c r="Z280" s="79"/>
      <c r="AA280" s="79">
        <f t="shared" si="148"/>
        <v>1.47125993189557</v>
      </c>
      <c r="AB280" s="91">
        <v>7.27</v>
      </c>
      <c r="AC280" s="77">
        <f t="shared" si="145"/>
        <v>10.6960597048808</v>
      </c>
      <c r="AD280" s="77">
        <f t="shared" si="146"/>
        <v>140.450781611805</v>
      </c>
      <c r="AE280" s="77">
        <f t="shared" si="147"/>
        <v>45.0492183881952</v>
      </c>
    </row>
    <row r="281" customFormat="1" spans="1:31">
      <c r="A281" s="22"/>
      <c r="B281" s="23"/>
      <c r="C281" s="24">
        <v>241204000070</v>
      </c>
      <c r="D281" s="25">
        <v>45637</v>
      </c>
      <c r="E281" s="25" t="s">
        <v>61</v>
      </c>
      <c r="F281" s="23" t="s">
        <v>62</v>
      </c>
      <c r="G281" s="23" t="s">
        <v>280</v>
      </c>
      <c r="H281" s="23">
        <v>6</v>
      </c>
      <c r="I281" s="43">
        <v>490.5</v>
      </c>
      <c r="J281" s="44"/>
      <c r="K281" s="45"/>
      <c r="L281" s="23"/>
      <c r="M281" s="45"/>
      <c r="N281" s="57"/>
      <c r="O281" s="47">
        <f t="shared" si="157"/>
        <v>490.5</v>
      </c>
      <c r="P281" s="49"/>
      <c r="Q281" s="49"/>
      <c r="R281" s="77">
        <f t="shared" si="150"/>
        <v>388.634506242906</v>
      </c>
      <c r="S281" s="77"/>
      <c r="T281" s="78">
        <f t="shared" si="151"/>
        <v>0.629659477866061</v>
      </c>
      <c r="U281" s="126"/>
      <c r="V281" s="77"/>
      <c r="W281" s="77">
        <f t="shared" si="144"/>
        <v>389.264165720772</v>
      </c>
      <c r="X281" s="79">
        <f t="shared" si="152"/>
        <v>4.41377979568672</v>
      </c>
      <c r="Y281" s="79"/>
      <c r="Z281" s="79"/>
      <c r="AA281" s="79">
        <f t="shared" si="148"/>
        <v>4.41377979568672</v>
      </c>
      <c r="AB281" s="91">
        <v>7.27</v>
      </c>
      <c r="AC281" s="77">
        <f t="shared" si="145"/>
        <v>32.0881791146425</v>
      </c>
      <c r="AD281" s="77">
        <f t="shared" si="146"/>
        <v>421.352344835414</v>
      </c>
      <c r="AE281" s="77">
        <f t="shared" si="147"/>
        <v>69.1476551645857</v>
      </c>
    </row>
    <row r="282" customFormat="1" spans="1:31">
      <c r="A282" s="22"/>
      <c r="B282" s="23"/>
      <c r="C282" s="24">
        <v>241204000073</v>
      </c>
      <c r="D282" s="25">
        <v>45637</v>
      </c>
      <c r="E282" s="25" t="s">
        <v>61</v>
      </c>
      <c r="F282" s="23" t="s">
        <v>62</v>
      </c>
      <c r="G282" s="23" t="s">
        <v>221</v>
      </c>
      <c r="H282" s="23">
        <v>2.5</v>
      </c>
      <c r="I282" s="43">
        <v>219.5</v>
      </c>
      <c r="J282" s="44"/>
      <c r="K282" s="45"/>
      <c r="L282" s="23"/>
      <c r="M282" s="45"/>
      <c r="N282" s="57"/>
      <c r="O282" s="47">
        <f t="shared" si="157"/>
        <v>219.5</v>
      </c>
      <c r="P282" s="49"/>
      <c r="Q282" s="49"/>
      <c r="R282" s="77">
        <f t="shared" si="150"/>
        <v>161.931044267877</v>
      </c>
      <c r="S282" s="77"/>
      <c r="T282" s="78">
        <f t="shared" si="151"/>
        <v>0.262358115777526</v>
      </c>
      <c r="U282" s="126"/>
      <c r="V282" s="77"/>
      <c r="W282" s="77">
        <f t="shared" si="144"/>
        <v>162.193402383655</v>
      </c>
      <c r="X282" s="79">
        <f t="shared" si="152"/>
        <v>1.83907491486947</v>
      </c>
      <c r="Y282" s="79"/>
      <c r="Z282" s="79"/>
      <c r="AA282" s="79">
        <f t="shared" si="148"/>
        <v>1.83907491486947</v>
      </c>
      <c r="AB282" s="91">
        <v>7.27</v>
      </c>
      <c r="AC282" s="77">
        <f t="shared" si="145"/>
        <v>13.370074631101</v>
      </c>
      <c r="AD282" s="77">
        <f t="shared" si="146"/>
        <v>175.563477014756</v>
      </c>
      <c r="AE282" s="77">
        <f t="shared" si="147"/>
        <v>43.936522985244</v>
      </c>
    </row>
    <row r="283" customFormat="1" spans="1:31">
      <c r="A283" s="22"/>
      <c r="B283" s="23"/>
      <c r="C283" s="24">
        <v>241205000005</v>
      </c>
      <c r="D283" s="25">
        <v>45637</v>
      </c>
      <c r="E283" s="25" t="s">
        <v>37</v>
      </c>
      <c r="F283" s="23" t="s">
        <v>38</v>
      </c>
      <c r="G283" s="23" t="s">
        <v>152</v>
      </c>
      <c r="H283" s="23">
        <v>0.52</v>
      </c>
      <c r="I283" s="43">
        <v>75</v>
      </c>
      <c r="J283" s="44"/>
      <c r="K283" s="45"/>
      <c r="L283" s="23"/>
      <c r="M283" s="45"/>
      <c r="N283" s="57"/>
      <c r="O283" s="47">
        <f t="shared" si="157"/>
        <v>75</v>
      </c>
      <c r="P283" s="49"/>
      <c r="Q283" s="49"/>
      <c r="R283" s="77">
        <f t="shared" si="150"/>
        <v>33.6816572077185</v>
      </c>
      <c r="S283" s="77"/>
      <c r="T283" s="78">
        <f t="shared" si="151"/>
        <v>0.0545704880817253</v>
      </c>
      <c r="U283" s="126"/>
      <c r="V283" s="77"/>
      <c r="W283" s="77">
        <f t="shared" si="144"/>
        <v>33.7362276958002</v>
      </c>
      <c r="X283" s="79">
        <f t="shared" si="152"/>
        <v>0.382527582292849</v>
      </c>
      <c r="Y283" s="79"/>
      <c r="Z283" s="79"/>
      <c r="AA283" s="79">
        <f t="shared" si="148"/>
        <v>0.382527582292849</v>
      </c>
      <c r="AB283" s="91">
        <v>7.27</v>
      </c>
      <c r="AC283" s="77">
        <f t="shared" si="145"/>
        <v>2.78097552326901</v>
      </c>
      <c r="AD283" s="77">
        <f t="shared" si="146"/>
        <v>36.5172032190692</v>
      </c>
      <c r="AE283" s="77">
        <f t="shared" si="147"/>
        <v>38.4827967809308</v>
      </c>
    </row>
    <row r="284" customFormat="1" spans="1:31">
      <c r="A284" s="22"/>
      <c r="B284" s="23"/>
      <c r="C284" s="24">
        <v>241205000008</v>
      </c>
      <c r="D284" s="25">
        <v>45637</v>
      </c>
      <c r="E284" s="25" t="s">
        <v>44</v>
      </c>
      <c r="F284" s="23" t="s">
        <v>45</v>
      </c>
      <c r="G284" s="23" t="s">
        <v>281</v>
      </c>
      <c r="H284" s="23">
        <v>1.5</v>
      </c>
      <c r="I284" s="50"/>
      <c r="J284" s="51">
        <v>36297</v>
      </c>
      <c r="K284" s="45"/>
      <c r="L284" s="52">
        <f t="shared" ref="L284:L287" si="158">SUM(J284/M284)</f>
        <v>1585.02183406114</v>
      </c>
      <c r="M284" s="53">
        <v>22.9</v>
      </c>
      <c r="N284" s="57">
        <v>7.27</v>
      </c>
      <c r="O284" s="47">
        <f t="shared" ref="O284:O287" si="159">SUM(M284*N284)</f>
        <v>166.483</v>
      </c>
      <c r="P284" s="49"/>
      <c r="Q284" s="49"/>
      <c r="R284" s="77">
        <f t="shared" si="150"/>
        <v>97.1586265607264</v>
      </c>
      <c r="S284" s="77"/>
      <c r="T284" s="78">
        <f t="shared" si="151"/>
        <v>0.157414869466515</v>
      </c>
      <c r="U284" s="126"/>
      <c r="V284" s="77"/>
      <c r="W284" s="77">
        <f t="shared" si="144"/>
        <v>97.316041430193</v>
      </c>
      <c r="X284" s="79">
        <f t="shared" si="152"/>
        <v>1.10344494892168</v>
      </c>
      <c r="Y284" s="79">
        <v>5.98</v>
      </c>
      <c r="Z284" s="79"/>
      <c r="AA284" s="79">
        <f t="shared" si="148"/>
        <v>7.08344494892168</v>
      </c>
      <c r="AB284" s="91">
        <v>7.27</v>
      </c>
      <c r="AC284" s="77">
        <f t="shared" si="145"/>
        <v>51.4966447786606</v>
      </c>
      <c r="AD284" s="77">
        <f t="shared" si="146"/>
        <v>148.812686208854</v>
      </c>
      <c r="AE284" s="77">
        <f t="shared" si="147"/>
        <v>17.6703137911464</v>
      </c>
    </row>
    <row r="285" customFormat="1" spans="1:31">
      <c r="A285" s="22"/>
      <c r="B285" s="23"/>
      <c r="C285" s="24">
        <v>241205000009</v>
      </c>
      <c r="D285" s="25">
        <v>45637</v>
      </c>
      <c r="E285" s="25" t="s">
        <v>44</v>
      </c>
      <c r="F285" s="23" t="s">
        <v>45</v>
      </c>
      <c r="G285" s="23" t="s">
        <v>130</v>
      </c>
      <c r="H285" s="23">
        <v>40</v>
      </c>
      <c r="I285" s="96"/>
      <c r="J285" s="51">
        <v>747200</v>
      </c>
      <c r="K285" s="45"/>
      <c r="L285" s="52">
        <f t="shared" si="158"/>
        <v>1697.564521992</v>
      </c>
      <c r="M285" s="53">
        <v>440.16</v>
      </c>
      <c r="N285" s="57">
        <v>7.27</v>
      </c>
      <c r="O285" s="47">
        <f t="shared" si="159"/>
        <v>3199.9632</v>
      </c>
      <c r="P285" s="49"/>
      <c r="Q285" s="49"/>
      <c r="R285" s="77">
        <f t="shared" si="150"/>
        <v>2590.89670828604</v>
      </c>
      <c r="S285" s="77"/>
      <c r="T285" s="78">
        <f t="shared" si="151"/>
        <v>4.19772985244041</v>
      </c>
      <c r="U285" s="126"/>
      <c r="V285" s="77"/>
      <c r="W285" s="77">
        <f t="shared" si="144"/>
        <v>2595.09443813848</v>
      </c>
      <c r="X285" s="79">
        <f t="shared" si="152"/>
        <v>29.4251986379115</v>
      </c>
      <c r="Y285" s="79"/>
      <c r="Z285" s="79"/>
      <c r="AA285" s="79">
        <f t="shared" si="148"/>
        <v>29.4251986379115</v>
      </c>
      <c r="AB285" s="91">
        <v>7.27</v>
      </c>
      <c r="AC285" s="77">
        <f t="shared" si="145"/>
        <v>213.921194097616</v>
      </c>
      <c r="AD285" s="77">
        <f t="shared" si="146"/>
        <v>2809.0156322361</v>
      </c>
      <c r="AE285" s="77">
        <f t="shared" si="147"/>
        <v>390.947567763905</v>
      </c>
    </row>
    <row r="286" customFormat="1" spans="1:31">
      <c r="A286" s="22"/>
      <c r="B286" s="23"/>
      <c r="C286" s="24">
        <v>241205000010</v>
      </c>
      <c r="D286" s="25">
        <v>45637</v>
      </c>
      <c r="E286" s="25" t="s">
        <v>44</v>
      </c>
      <c r="F286" s="23" t="s">
        <v>45</v>
      </c>
      <c r="G286" s="23" t="s">
        <v>130</v>
      </c>
      <c r="H286" s="23">
        <v>8</v>
      </c>
      <c r="I286" s="96"/>
      <c r="J286" s="51">
        <v>149440</v>
      </c>
      <c r="K286" s="45"/>
      <c r="L286" s="52">
        <f t="shared" si="158"/>
        <v>1697.60308985573</v>
      </c>
      <c r="M286" s="53">
        <v>88.03</v>
      </c>
      <c r="N286" s="57">
        <v>7.27</v>
      </c>
      <c r="O286" s="47">
        <f t="shared" si="159"/>
        <v>639.9781</v>
      </c>
      <c r="P286" s="49"/>
      <c r="Q286" s="49"/>
      <c r="R286" s="77">
        <f t="shared" si="150"/>
        <v>518.179341657208</v>
      </c>
      <c r="S286" s="77"/>
      <c r="T286" s="78">
        <f t="shared" si="151"/>
        <v>0.839545970488082</v>
      </c>
      <c r="U286" s="126"/>
      <c r="V286" s="77"/>
      <c r="W286" s="77">
        <f t="shared" ref="W286:W306" si="160">SUM(R286:V286)</f>
        <v>519.018887627696</v>
      </c>
      <c r="X286" s="79">
        <f t="shared" si="152"/>
        <v>5.88503972758229</v>
      </c>
      <c r="Y286" s="79"/>
      <c r="Z286" s="79"/>
      <c r="AA286" s="79">
        <f t="shared" si="148"/>
        <v>5.88503972758229</v>
      </c>
      <c r="AB286" s="91">
        <v>7.27</v>
      </c>
      <c r="AC286" s="77">
        <f t="shared" si="145"/>
        <v>42.7842388195233</v>
      </c>
      <c r="AD286" s="77">
        <f t="shared" si="146"/>
        <v>561.803126447219</v>
      </c>
      <c r="AE286" s="77">
        <f t="shared" si="147"/>
        <v>78.174973552781</v>
      </c>
    </row>
    <row r="287" customFormat="1" spans="1:31">
      <c r="A287" s="22"/>
      <c r="B287" s="23"/>
      <c r="C287" s="24">
        <v>241205000012</v>
      </c>
      <c r="D287" s="26">
        <v>45637</v>
      </c>
      <c r="E287" s="25" t="s">
        <v>70</v>
      </c>
      <c r="F287" s="23" t="s">
        <v>70</v>
      </c>
      <c r="G287" s="23" t="s">
        <v>282</v>
      </c>
      <c r="H287" s="23">
        <v>23</v>
      </c>
      <c r="I287" s="47"/>
      <c r="J287" s="51">
        <v>417435.84</v>
      </c>
      <c r="K287" s="45"/>
      <c r="L287" s="52">
        <f t="shared" si="158"/>
        <v>1737</v>
      </c>
      <c r="M287" s="53">
        <v>240.32</v>
      </c>
      <c r="N287" s="57">
        <v>7.27</v>
      </c>
      <c r="O287" s="47">
        <f t="shared" si="159"/>
        <v>1747.1264</v>
      </c>
      <c r="P287" s="49"/>
      <c r="Q287" s="49"/>
      <c r="R287" s="77">
        <f t="shared" si="150"/>
        <v>1489.76560726447</v>
      </c>
      <c r="S287" s="77"/>
      <c r="T287" s="78">
        <f t="shared" si="151"/>
        <v>2.41369466515323</v>
      </c>
      <c r="U287" s="126"/>
      <c r="V287" s="77"/>
      <c r="W287" s="77">
        <f t="shared" si="160"/>
        <v>1492.17930192963</v>
      </c>
      <c r="X287" s="79">
        <f t="shared" si="152"/>
        <v>16.9194892167991</v>
      </c>
      <c r="Y287" s="79"/>
      <c r="Z287" s="79"/>
      <c r="AA287" s="79">
        <f t="shared" si="148"/>
        <v>16.9194892167991</v>
      </c>
      <c r="AB287" s="91">
        <v>7.27</v>
      </c>
      <c r="AC287" s="77">
        <f t="shared" si="145"/>
        <v>123.004686606129</v>
      </c>
      <c r="AD287" s="77">
        <f t="shared" si="146"/>
        <v>1615.18398853575</v>
      </c>
      <c r="AE287" s="77">
        <f t="shared" si="147"/>
        <v>131.942411464245</v>
      </c>
    </row>
    <row r="288" customFormat="1" spans="1:31">
      <c r="A288" s="22"/>
      <c r="B288" s="23"/>
      <c r="C288" s="24">
        <v>241205000014</v>
      </c>
      <c r="D288" s="25">
        <v>45637</v>
      </c>
      <c r="E288" s="25" t="s">
        <v>37</v>
      </c>
      <c r="F288" s="23" t="s">
        <v>38</v>
      </c>
      <c r="G288" s="23" t="s">
        <v>283</v>
      </c>
      <c r="H288" s="23">
        <v>31</v>
      </c>
      <c r="I288" s="54">
        <v>2480</v>
      </c>
      <c r="J288" s="44"/>
      <c r="K288" s="45"/>
      <c r="L288" s="23"/>
      <c r="M288" s="45"/>
      <c r="N288" s="57"/>
      <c r="O288" s="47">
        <f>SUBTOTAL(9,I288)</f>
        <v>2480</v>
      </c>
      <c r="P288" s="49"/>
      <c r="Q288" s="49"/>
      <c r="R288" s="77">
        <f t="shared" si="150"/>
        <v>2007.94494892168</v>
      </c>
      <c r="S288" s="77"/>
      <c r="T288" s="78">
        <f t="shared" si="151"/>
        <v>3.25324063564132</v>
      </c>
      <c r="U288" s="126"/>
      <c r="V288" s="78">
        <v>42</v>
      </c>
      <c r="W288" s="77">
        <f t="shared" si="160"/>
        <v>2053.19818955732</v>
      </c>
      <c r="X288" s="79">
        <f t="shared" si="152"/>
        <v>22.8045289443814</v>
      </c>
      <c r="Y288" s="79"/>
      <c r="Z288" s="79"/>
      <c r="AA288" s="79">
        <f t="shared" si="148"/>
        <v>22.8045289443814</v>
      </c>
      <c r="AB288" s="91">
        <v>7.27</v>
      </c>
      <c r="AC288" s="77">
        <f t="shared" ref="AC288:AC306" si="161">SUM(AA288*AB288)</f>
        <v>165.788925425653</v>
      </c>
      <c r="AD288" s="77">
        <f t="shared" ref="AD288:AD306" si="162">SUM(W288+AC288)</f>
        <v>2218.98711498297</v>
      </c>
      <c r="AE288" s="77">
        <f t="shared" ref="AE288:AE306" si="163">SUM(O288-AD288)</f>
        <v>261.012885017026</v>
      </c>
    </row>
    <row r="289" customFormat="1" spans="1:31">
      <c r="A289" s="22"/>
      <c r="B289" s="23"/>
      <c r="C289" s="24">
        <v>241205000015</v>
      </c>
      <c r="D289" s="25">
        <v>45637</v>
      </c>
      <c r="E289" s="25" t="s">
        <v>37</v>
      </c>
      <c r="F289" s="23" t="s">
        <v>38</v>
      </c>
      <c r="G289" s="23" t="s">
        <v>51</v>
      </c>
      <c r="H289" s="23">
        <v>5.5</v>
      </c>
      <c r="I289" s="50"/>
      <c r="J289" s="51">
        <v>101004</v>
      </c>
      <c r="K289" s="45"/>
      <c r="L289" s="52">
        <f t="shared" ref="L289:L292" si="164">SUM(J289/M289)</f>
        <v>1657.70556376169</v>
      </c>
      <c r="M289" s="53">
        <v>60.93</v>
      </c>
      <c r="N289" s="57">
        <v>7.27</v>
      </c>
      <c r="O289" s="47">
        <f t="shared" ref="O289:O292" si="165">SUM(M289*N289)</f>
        <v>442.9611</v>
      </c>
      <c r="P289" s="49"/>
      <c r="Q289" s="49"/>
      <c r="R289" s="77">
        <f t="shared" si="150"/>
        <v>356.24829738933</v>
      </c>
      <c r="S289" s="77"/>
      <c r="T289" s="78">
        <f t="shared" si="151"/>
        <v>0.577187854710556</v>
      </c>
      <c r="U289" s="126"/>
      <c r="V289" s="77"/>
      <c r="W289" s="77">
        <f t="shared" si="160"/>
        <v>356.825485244041</v>
      </c>
      <c r="X289" s="79">
        <f t="shared" si="152"/>
        <v>4.04596481271283</v>
      </c>
      <c r="Y289" s="79"/>
      <c r="Z289" s="79"/>
      <c r="AA289" s="79">
        <f t="shared" ref="AA289:AA306" si="166">SUM(X289:Z289)</f>
        <v>4.04596481271283</v>
      </c>
      <c r="AB289" s="91">
        <v>7.27</v>
      </c>
      <c r="AC289" s="77">
        <f t="shared" si="161"/>
        <v>29.4141641884222</v>
      </c>
      <c r="AD289" s="77">
        <f t="shared" si="162"/>
        <v>386.239649432463</v>
      </c>
      <c r="AE289" s="77">
        <f t="shared" si="163"/>
        <v>56.7214505675369</v>
      </c>
    </row>
    <row r="290" customFormat="1" spans="1:31">
      <c r="A290" s="22"/>
      <c r="B290" s="23"/>
      <c r="C290" s="24">
        <v>241205000017</v>
      </c>
      <c r="D290" s="25">
        <v>45637</v>
      </c>
      <c r="E290" s="25" t="s">
        <v>37</v>
      </c>
      <c r="F290" s="23" t="s">
        <v>38</v>
      </c>
      <c r="G290" s="23" t="s">
        <v>284</v>
      </c>
      <c r="H290" s="23">
        <v>29</v>
      </c>
      <c r="I290" s="47"/>
      <c r="J290" s="51">
        <v>514846.8</v>
      </c>
      <c r="K290" s="45"/>
      <c r="L290" s="52">
        <f t="shared" si="164"/>
        <v>1737</v>
      </c>
      <c r="M290" s="53">
        <v>296.4</v>
      </c>
      <c r="N290" s="57">
        <v>7.27</v>
      </c>
      <c r="O290" s="47">
        <f t="shared" si="165"/>
        <v>2154.828</v>
      </c>
      <c r="P290" s="49"/>
      <c r="Q290" s="49"/>
      <c r="R290" s="77">
        <f t="shared" si="150"/>
        <v>1878.40011350738</v>
      </c>
      <c r="S290" s="77"/>
      <c r="T290" s="78">
        <f t="shared" si="151"/>
        <v>3.0433541430193</v>
      </c>
      <c r="U290" s="126"/>
      <c r="V290" s="77"/>
      <c r="W290" s="77">
        <f t="shared" si="160"/>
        <v>1881.4434676504</v>
      </c>
      <c r="X290" s="79">
        <f t="shared" si="152"/>
        <v>21.3332690124858</v>
      </c>
      <c r="Y290" s="79"/>
      <c r="Z290" s="79"/>
      <c r="AA290" s="79">
        <f t="shared" si="166"/>
        <v>21.3332690124858</v>
      </c>
      <c r="AB290" s="91">
        <v>7.27</v>
      </c>
      <c r="AC290" s="77">
        <f t="shared" si="161"/>
        <v>155.092865720772</v>
      </c>
      <c r="AD290" s="77">
        <f t="shared" si="162"/>
        <v>2036.53633337117</v>
      </c>
      <c r="AE290" s="77">
        <f t="shared" si="163"/>
        <v>118.291666628831</v>
      </c>
    </row>
    <row r="291" customFormat="1" spans="1:31">
      <c r="A291" s="22"/>
      <c r="B291" s="23"/>
      <c r="C291" s="24">
        <v>241206000006</v>
      </c>
      <c r="D291" s="25">
        <v>45637</v>
      </c>
      <c r="E291" s="25" t="s">
        <v>37</v>
      </c>
      <c r="F291" s="23" t="s">
        <v>38</v>
      </c>
      <c r="G291" s="23" t="s">
        <v>154</v>
      </c>
      <c r="H291" s="23">
        <v>6</v>
      </c>
      <c r="I291" s="43">
        <v>567.6</v>
      </c>
      <c r="J291" s="44"/>
      <c r="K291" s="45"/>
      <c r="L291" s="23"/>
      <c r="M291" s="45"/>
      <c r="N291" s="57"/>
      <c r="O291" s="47">
        <f>SUM(I291)</f>
        <v>567.6</v>
      </c>
      <c r="P291" s="49"/>
      <c r="Q291" s="49"/>
      <c r="R291" s="77">
        <f t="shared" si="150"/>
        <v>388.634506242906</v>
      </c>
      <c r="S291" s="77"/>
      <c r="T291" s="78">
        <f t="shared" si="151"/>
        <v>0.629659477866061</v>
      </c>
      <c r="U291" s="126"/>
      <c r="V291" s="77"/>
      <c r="W291" s="77">
        <f t="shared" si="160"/>
        <v>389.264165720772</v>
      </c>
      <c r="X291" s="79">
        <f t="shared" si="152"/>
        <v>4.41377979568672</v>
      </c>
      <c r="Y291" s="79"/>
      <c r="Z291" s="79"/>
      <c r="AA291" s="79">
        <f t="shared" si="166"/>
        <v>4.41377979568672</v>
      </c>
      <c r="AB291" s="91">
        <v>7.27</v>
      </c>
      <c r="AC291" s="77">
        <f t="shared" si="161"/>
        <v>32.0881791146425</v>
      </c>
      <c r="AD291" s="77">
        <f t="shared" si="162"/>
        <v>421.352344835414</v>
      </c>
      <c r="AE291" s="77">
        <f t="shared" si="163"/>
        <v>146.247655164586</v>
      </c>
    </row>
    <row r="292" customFormat="1" spans="1:31">
      <c r="A292" s="22"/>
      <c r="B292" s="23"/>
      <c r="C292" s="24">
        <v>241206000009</v>
      </c>
      <c r="D292" s="25">
        <v>45637</v>
      </c>
      <c r="E292" s="25" t="s">
        <v>41</v>
      </c>
      <c r="F292" s="23" t="s">
        <v>42</v>
      </c>
      <c r="G292" s="23" t="s">
        <v>285</v>
      </c>
      <c r="H292" s="23">
        <v>25</v>
      </c>
      <c r="I292" s="50"/>
      <c r="J292" s="51">
        <v>461335</v>
      </c>
      <c r="K292" s="45"/>
      <c r="L292" s="52">
        <f t="shared" si="164"/>
        <v>1781.21621621622</v>
      </c>
      <c r="M292" s="53">
        <v>259</v>
      </c>
      <c r="N292" s="57">
        <v>7.27</v>
      </c>
      <c r="O292" s="47">
        <f t="shared" si="165"/>
        <v>1882.93</v>
      </c>
      <c r="P292" s="49"/>
      <c r="Q292" s="49"/>
      <c r="R292" s="77">
        <f t="shared" si="150"/>
        <v>1619.31044267877</v>
      </c>
      <c r="S292" s="77"/>
      <c r="T292" s="78">
        <f t="shared" si="151"/>
        <v>2.62358115777526</v>
      </c>
      <c r="U292" s="126"/>
      <c r="V292" s="77"/>
      <c r="W292" s="77">
        <f t="shared" si="160"/>
        <v>1621.93402383655</v>
      </c>
      <c r="X292" s="79">
        <f t="shared" si="152"/>
        <v>18.3907491486947</v>
      </c>
      <c r="Y292" s="79"/>
      <c r="Z292" s="79"/>
      <c r="AA292" s="79">
        <f t="shared" si="166"/>
        <v>18.3907491486947</v>
      </c>
      <c r="AB292" s="91">
        <v>7.27</v>
      </c>
      <c r="AC292" s="77">
        <f t="shared" si="161"/>
        <v>133.70074631101</v>
      </c>
      <c r="AD292" s="77">
        <f t="shared" si="162"/>
        <v>1755.63477014756</v>
      </c>
      <c r="AE292" s="77">
        <f t="shared" si="163"/>
        <v>127.29522985244</v>
      </c>
    </row>
    <row r="293" customFormat="1" spans="1:31">
      <c r="A293" s="22"/>
      <c r="B293" s="23"/>
      <c r="C293" s="24">
        <v>241206000015</v>
      </c>
      <c r="D293" s="25">
        <v>45637</v>
      </c>
      <c r="E293" s="25" t="s">
        <v>44</v>
      </c>
      <c r="F293" s="23" t="s">
        <v>45</v>
      </c>
      <c r="G293" s="23" t="s">
        <v>131</v>
      </c>
      <c r="H293" s="23">
        <v>0.32</v>
      </c>
      <c r="I293" s="43">
        <v>75</v>
      </c>
      <c r="J293" s="44"/>
      <c r="K293" s="45"/>
      <c r="L293" s="23"/>
      <c r="M293" s="45"/>
      <c r="N293" s="57"/>
      <c r="O293" s="47">
        <f>SUM(I293)</f>
        <v>75</v>
      </c>
      <c r="P293" s="49"/>
      <c r="Q293" s="49"/>
      <c r="R293" s="77">
        <f t="shared" si="150"/>
        <v>20.7271736662883</v>
      </c>
      <c r="S293" s="77"/>
      <c r="T293" s="78">
        <f t="shared" si="151"/>
        <v>0.0335818388195233</v>
      </c>
      <c r="U293" s="126"/>
      <c r="V293" s="77"/>
      <c r="W293" s="77">
        <f t="shared" si="160"/>
        <v>20.7607555051078</v>
      </c>
      <c r="X293" s="79">
        <f t="shared" si="152"/>
        <v>0.235401589103292</v>
      </c>
      <c r="Y293" s="79"/>
      <c r="Z293" s="79"/>
      <c r="AA293" s="79">
        <f t="shared" si="166"/>
        <v>0.235401589103292</v>
      </c>
      <c r="AB293" s="91">
        <v>7.27</v>
      </c>
      <c r="AC293" s="77">
        <f t="shared" si="161"/>
        <v>1.71136955278093</v>
      </c>
      <c r="AD293" s="77">
        <f t="shared" si="162"/>
        <v>22.4721250578888</v>
      </c>
      <c r="AE293" s="77">
        <f t="shared" si="163"/>
        <v>52.5278749421112</v>
      </c>
    </row>
    <row r="294" customFormat="1" spans="1:31">
      <c r="A294" s="22"/>
      <c r="B294" s="23"/>
      <c r="C294" s="24">
        <v>241206000016</v>
      </c>
      <c r="D294" s="25">
        <v>45637</v>
      </c>
      <c r="E294" s="25" t="s">
        <v>37</v>
      </c>
      <c r="F294" s="23" t="s">
        <v>38</v>
      </c>
      <c r="G294" s="23" t="s">
        <v>127</v>
      </c>
      <c r="H294" s="23">
        <v>1.5</v>
      </c>
      <c r="I294" s="47"/>
      <c r="J294" s="51">
        <v>29667.96</v>
      </c>
      <c r="K294" s="45"/>
      <c r="L294" s="52">
        <f>SUM(J294/M294)</f>
        <v>1737</v>
      </c>
      <c r="M294" s="53">
        <v>17.08</v>
      </c>
      <c r="N294" s="57">
        <v>7.27</v>
      </c>
      <c r="O294" s="47">
        <f t="shared" ref="O294:O297" si="167">SUM(M294*N294)</f>
        <v>124.1716</v>
      </c>
      <c r="P294" s="49"/>
      <c r="Q294" s="49"/>
      <c r="R294" s="77">
        <f t="shared" si="150"/>
        <v>97.1586265607264</v>
      </c>
      <c r="S294" s="77"/>
      <c r="T294" s="78">
        <f t="shared" si="151"/>
        <v>0.157414869466515</v>
      </c>
      <c r="U294" s="126"/>
      <c r="V294" s="77"/>
      <c r="W294" s="77">
        <f t="shared" si="160"/>
        <v>97.316041430193</v>
      </c>
      <c r="X294" s="79">
        <f t="shared" si="152"/>
        <v>1.10344494892168</v>
      </c>
      <c r="Y294" s="79"/>
      <c r="Z294" s="79"/>
      <c r="AA294" s="79">
        <f t="shared" si="166"/>
        <v>1.10344494892168</v>
      </c>
      <c r="AB294" s="91">
        <v>7.27</v>
      </c>
      <c r="AC294" s="77">
        <f t="shared" si="161"/>
        <v>8.02204477866061</v>
      </c>
      <c r="AD294" s="77">
        <f t="shared" si="162"/>
        <v>105.338086208854</v>
      </c>
      <c r="AE294" s="77">
        <f t="shared" si="163"/>
        <v>18.8335137911464</v>
      </c>
    </row>
    <row r="295" customFormat="1" spans="1:31">
      <c r="A295" s="22"/>
      <c r="B295" s="23"/>
      <c r="C295" s="24">
        <v>241206000017</v>
      </c>
      <c r="D295" s="25">
        <v>45637</v>
      </c>
      <c r="E295" s="25" t="s">
        <v>44</v>
      </c>
      <c r="F295" s="23" t="s">
        <v>45</v>
      </c>
      <c r="G295" s="23" t="s">
        <v>286</v>
      </c>
      <c r="H295" s="23">
        <v>0.6</v>
      </c>
      <c r="I295" s="50"/>
      <c r="J295" s="51">
        <v>24010</v>
      </c>
      <c r="K295" s="45"/>
      <c r="L295" s="52">
        <f t="shared" ref="L295:L297" si="168">SUM(J295/M295)</f>
        <v>1781.15727002967</v>
      </c>
      <c r="M295" s="53">
        <v>13.48</v>
      </c>
      <c r="N295" s="57">
        <v>7.27</v>
      </c>
      <c r="O295" s="47">
        <f t="shared" si="167"/>
        <v>97.9996</v>
      </c>
      <c r="P295" s="49"/>
      <c r="Q295" s="49"/>
      <c r="R295" s="77">
        <f t="shared" si="150"/>
        <v>38.8634506242906</v>
      </c>
      <c r="S295" s="77"/>
      <c r="T295" s="78">
        <f t="shared" si="151"/>
        <v>0.0629659477866061</v>
      </c>
      <c r="U295" s="126"/>
      <c r="V295" s="78">
        <v>23</v>
      </c>
      <c r="W295" s="77">
        <f t="shared" si="160"/>
        <v>61.9264165720772</v>
      </c>
      <c r="X295" s="79">
        <f t="shared" si="152"/>
        <v>0.441377979568672</v>
      </c>
      <c r="Y295" s="79"/>
      <c r="Z295" s="79"/>
      <c r="AA295" s="79">
        <f t="shared" si="166"/>
        <v>0.441377979568672</v>
      </c>
      <c r="AB295" s="91">
        <v>7.27</v>
      </c>
      <c r="AC295" s="77">
        <f t="shared" si="161"/>
        <v>3.20881791146425</v>
      </c>
      <c r="AD295" s="77">
        <f t="shared" si="162"/>
        <v>65.1352344835414</v>
      </c>
      <c r="AE295" s="77">
        <f t="shared" si="163"/>
        <v>32.8643655164586</v>
      </c>
    </row>
    <row r="296" customFormat="1" spans="1:31">
      <c r="A296" s="22"/>
      <c r="B296" s="23"/>
      <c r="C296" s="24">
        <v>241206000020</v>
      </c>
      <c r="D296" s="25">
        <v>45637</v>
      </c>
      <c r="E296" s="25" t="s">
        <v>44</v>
      </c>
      <c r="F296" s="23" t="s">
        <v>45</v>
      </c>
      <c r="G296" s="23" t="s">
        <v>163</v>
      </c>
      <c r="H296" s="23">
        <v>54</v>
      </c>
      <c r="I296" s="50"/>
      <c r="J296" s="51">
        <v>984960</v>
      </c>
      <c r="K296" s="45"/>
      <c r="L296" s="52">
        <f t="shared" si="168"/>
        <v>1657.56790414325</v>
      </c>
      <c r="M296" s="53">
        <v>594.22</v>
      </c>
      <c r="N296" s="57">
        <v>7.27</v>
      </c>
      <c r="O296" s="47">
        <f t="shared" si="167"/>
        <v>4319.9794</v>
      </c>
      <c r="P296" s="49"/>
      <c r="Q296" s="49"/>
      <c r="R296" s="77">
        <f t="shared" si="150"/>
        <v>3497.71055618615</v>
      </c>
      <c r="S296" s="77"/>
      <c r="T296" s="78">
        <f t="shared" si="151"/>
        <v>5.66693530079455</v>
      </c>
      <c r="U296" s="126"/>
      <c r="V296" s="77"/>
      <c r="W296" s="77">
        <f t="shared" si="160"/>
        <v>3503.37749148695</v>
      </c>
      <c r="X296" s="79">
        <f t="shared" si="152"/>
        <v>39.7240181611805</v>
      </c>
      <c r="Y296" s="79"/>
      <c r="Z296" s="79"/>
      <c r="AA296" s="79">
        <f t="shared" si="166"/>
        <v>39.7240181611805</v>
      </c>
      <c r="AB296" s="91">
        <v>7.27</v>
      </c>
      <c r="AC296" s="77">
        <f t="shared" si="161"/>
        <v>288.793612031782</v>
      </c>
      <c r="AD296" s="77">
        <f t="shared" si="162"/>
        <v>3792.17110351873</v>
      </c>
      <c r="AE296" s="77">
        <f t="shared" si="163"/>
        <v>527.808296481271</v>
      </c>
    </row>
    <row r="297" customFormat="1" spans="1:31">
      <c r="A297" s="22"/>
      <c r="B297" s="23"/>
      <c r="C297" s="24">
        <v>241206000024</v>
      </c>
      <c r="D297" s="25">
        <v>45637</v>
      </c>
      <c r="E297" s="25" t="s">
        <v>44</v>
      </c>
      <c r="F297" s="23" t="s">
        <v>45</v>
      </c>
      <c r="G297" s="23" t="s">
        <v>163</v>
      </c>
      <c r="H297" s="23">
        <v>44</v>
      </c>
      <c r="I297" s="50"/>
      <c r="J297" s="51">
        <v>802560</v>
      </c>
      <c r="K297" s="45"/>
      <c r="L297" s="52">
        <f t="shared" si="168"/>
        <v>1657.56536825148</v>
      </c>
      <c r="M297" s="53">
        <v>484.18</v>
      </c>
      <c r="N297" s="57">
        <v>7.27</v>
      </c>
      <c r="O297" s="47">
        <f t="shared" si="167"/>
        <v>3519.9886</v>
      </c>
      <c r="P297" s="49"/>
      <c r="Q297" s="49"/>
      <c r="R297" s="77">
        <f t="shared" si="150"/>
        <v>2849.98637911464</v>
      </c>
      <c r="S297" s="77"/>
      <c r="T297" s="78">
        <f t="shared" si="151"/>
        <v>4.61750283768445</v>
      </c>
      <c r="U297" s="126"/>
      <c r="V297" s="77"/>
      <c r="W297" s="77">
        <f t="shared" si="160"/>
        <v>2854.60388195233</v>
      </c>
      <c r="X297" s="79">
        <f t="shared" si="152"/>
        <v>32.3677185017026</v>
      </c>
      <c r="Y297" s="79"/>
      <c r="Z297" s="79"/>
      <c r="AA297" s="79">
        <f t="shared" si="166"/>
        <v>32.3677185017026</v>
      </c>
      <c r="AB297" s="91">
        <v>7.27</v>
      </c>
      <c r="AC297" s="77">
        <f t="shared" si="161"/>
        <v>235.313313507378</v>
      </c>
      <c r="AD297" s="77">
        <f t="shared" si="162"/>
        <v>3089.9171954597</v>
      </c>
      <c r="AE297" s="77">
        <f t="shared" si="163"/>
        <v>430.071404540295</v>
      </c>
    </row>
    <row r="298" customFormat="1" spans="1:31">
      <c r="A298" s="22"/>
      <c r="B298" s="23"/>
      <c r="C298" s="24">
        <v>241206000028</v>
      </c>
      <c r="D298" s="25">
        <v>45637</v>
      </c>
      <c r="E298" s="25" t="s">
        <v>54</v>
      </c>
      <c r="F298" s="23" t="s">
        <v>55</v>
      </c>
      <c r="G298" s="23" t="s">
        <v>136</v>
      </c>
      <c r="H298" s="23">
        <v>0.56</v>
      </c>
      <c r="I298" s="43">
        <v>83</v>
      </c>
      <c r="J298" s="44"/>
      <c r="K298" s="45"/>
      <c r="L298" s="23"/>
      <c r="M298" s="45"/>
      <c r="N298" s="57"/>
      <c r="O298" s="47">
        <f t="shared" ref="O298:O303" si="169">SUM(I298)</f>
        <v>83</v>
      </c>
      <c r="P298" s="49"/>
      <c r="Q298" s="49"/>
      <c r="R298" s="77">
        <f t="shared" si="150"/>
        <v>36.2725539160045</v>
      </c>
      <c r="S298" s="77"/>
      <c r="T298" s="78">
        <f t="shared" si="151"/>
        <v>0.0587682179341657</v>
      </c>
      <c r="U298" s="126"/>
      <c r="V298" s="77"/>
      <c r="W298" s="77">
        <f t="shared" si="160"/>
        <v>36.3313221339387</v>
      </c>
      <c r="X298" s="79">
        <f t="shared" si="152"/>
        <v>0.411952780930761</v>
      </c>
      <c r="Y298" s="79"/>
      <c r="Z298" s="79"/>
      <c r="AA298" s="79">
        <f t="shared" si="166"/>
        <v>0.411952780930761</v>
      </c>
      <c r="AB298" s="91">
        <v>7.27</v>
      </c>
      <c r="AC298" s="77">
        <f t="shared" si="161"/>
        <v>2.99489671736663</v>
      </c>
      <c r="AD298" s="77">
        <f t="shared" si="162"/>
        <v>39.3262188513053</v>
      </c>
      <c r="AE298" s="77">
        <f t="shared" si="163"/>
        <v>43.6737811486947</v>
      </c>
    </row>
    <row r="299" customFormat="1" spans="1:31">
      <c r="A299" s="22"/>
      <c r="B299" s="23"/>
      <c r="C299" s="24">
        <v>241206000032</v>
      </c>
      <c r="D299" s="25">
        <v>45637</v>
      </c>
      <c r="E299" s="25" t="s">
        <v>61</v>
      </c>
      <c r="F299" s="23" t="s">
        <v>62</v>
      </c>
      <c r="G299" s="23" t="s">
        <v>140</v>
      </c>
      <c r="H299" s="23">
        <v>49.5</v>
      </c>
      <c r="I299" s="43">
        <v>4802</v>
      </c>
      <c r="J299" s="44"/>
      <c r="K299" s="45"/>
      <c r="L299" s="23"/>
      <c r="M299" s="45"/>
      <c r="N299" s="57"/>
      <c r="O299" s="47">
        <f t="shared" si="169"/>
        <v>4802</v>
      </c>
      <c r="P299" s="49"/>
      <c r="Q299" s="49"/>
      <c r="R299" s="77">
        <f t="shared" si="150"/>
        <v>3206.23467650397</v>
      </c>
      <c r="S299" s="77"/>
      <c r="T299" s="78">
        <f t="shared" si="151"/>
        <v>5.194690692395</v>
      </c>
      <c r="U299" s="126"/>
      <c r="V299" s="77"/>
      <c r="W299" s="77">
        <f t="shared" si="160"/>
        <v>3211.42936719637</v>
      </c>
      <c r="X299" s="79">
        <f t="shared" si="152"/>
        <v>36.4136833144154</v>
      </c>
      <c r="Y299" s="79">
        <v>135.14</v>
      </c>
      <c r="Z299" s="79"/>
      <c r="AA299" s="79">
        <f t="shared" si="166"/>
        <v>171.553683314415</v>
      </c>
      <c r="AB299" s="91">
        <v>7.27</v>
      </c>
      <c r="AC299" s="77">
        <f t="shared" si="161"/>
        <v>1247.1952776958</v>
      </c>
      <c r="AD299" s="77">
        <f t="shared" si="162"/>
        <v>4458.62464489217</v>
      </c>
      <c r="AE299" s="77">
        <f t="shared" si="163"/>
        <v>343.375355107832</v>
      </c>
    </row>
    <row r="300" customFormat="1" spans="1:31">
      <c r="A300" s="22"/>
      <c r="B300" s="23"/>
      <c r="C300" s="24">
        <v>241206000033</v>
      </c>
      <c r="D300" s="25">
        <v>45637</v>
      </c>
      <c r="E300" s="25" t="s">
        <v>44</v>
      </c>
      <c r="F300" s="23" t="s">
        <v>45</v>
      </c>
      <c r="G300" s="23" t="s">
        <v>170</v>
      </c>
      <c r="H300" s="23">
        <v>3.5</v>
      </c>
      <c r="I300" s="50"/>
      <c r="J300" s="51">
        <v>60375</v>
      </c>
      <c r="K300" s="45"/>
      <c r="L300" s="52">
        <f t="shared" ref="L300:L305" si="170">SUM(J300/M300)</f>
        <v>1672.43767313019</v>
      </c>
      <c r="M300" s="53">
        <v>36.1</v>
      </c>
      <c r="N300" s="57">
        <v>7.27</v>
      </c>
      <c r="O300" s="47">
        <f t="shared" ref="O300:O305" si="171">SUM(M300*N300)</f>
        <v>262.447</v>
      </c>
      <c r="P300" s="49"/>
      <c r="Q300" s="49"/>
      <c r="R300" s="77">
        <f t="shared" si="150"/>
        <v>226.703461975028</v>
      </c>
      <c r="S300" s="77"/>
      <c r="T300" s="78">
        <f t="shared" si="151"/>
        <v>0.367301362088536</v>
      </c>
      <c r="U300" s="126"/>
      <c r="V300" s="77"/>
      <c r="W300" s="77">
        <f t="shared" si="160"/>
        <v>227.070763337117</v>
      </c>
      <c r="X300" s="79">
        <f t="shared" si="152"/>
        <v>2.57470488081725</v>
      </c>
      <c r="Y300" s="79"/>
      <c r="Z300" s="79"/>
      <c r="AA300" s="79">
        <f t="shared" si="166"/>
        <v>2.57470488081725</v>
      </c>
      <c r="AB300" s="91">
        <v>7.27</v>
      </c>
      <c r="AC300" s="77">
        <f t="shared" si="161"/>
        <v>18.7181044835414</v>
      </c>
      <c r="AD300" s="77">
        <f t="shared" si="162"/>
        <v>245.788867820658</v>
      </c>
      <c r="AE300" s="77">
        <f t="shared" si="163"/>
        <v>16.6581321793417</v>
      </c>
    </row>
    <row r="301" customFormat="1" spans="1:31">
      <c r="A301" s="22"/>
      <c r="B301" s="23"/>
      <c r="C301" s="92">
        <v>241206000034</v>
      </c>
      <c r="D301" s="94">
        <v>45637</v>
      </c>
      <c r="E301" s="25" t="s">
        <v>41</v>
      </c>
      <c r="F301" s="95" t="s">
        <v>42</v>
      </c>
      <c r="G301" s="95" t="s">
        <v>220</v>
      </c>
      <c r="H301" s="95">
        <v>0.66</v>
      </c>
      <c r="I301" s="43">
        <v>83</v>
      </c>
      <c r="J301" s="44"/>
      <c r="K301" s="45"/>
      <c r="L301" s="23"/>
      <c r="M301" s="45"/>
      <c r="N301" s="57"/>
      <c r="O301" s="47">
        <f t="shared" si="169"/>
        <v>83</v>
      </c>
      <c r="P301" s="49"/>
      <c r="Q301" s="49"/>
      <c r="R301" s="77">
        <f t="shared" si="150"/>
        <v>42.7497956867196</v>
      </c>
      <c r="S301" s="77"/>
      <c r="T301" s="78">
        <f t="shared" si="151"/>
        <v>0.0692625425652667</v>
      </c>
      <c r="U301" s="126"/>
      <c r="V301" s="77"/>
      <c r="W301" s="77">
        <f t="shared" si="160"/>
        <v>42.8190582292849</v>
      </c>
      <c r="X301" s="79">
        <f t="shared" si="152"/>
        <v>0.485515777525539</v>
      </c>
      <c r="Y301" s="79"/>
      <c r="Z301" s="79"/>
      <c r="AA301" s="79">
        <f t="shared" si="166"/>
        <v>0.485515777525539</v>
      </c>
      <c r="AB301" s="91">
        <v>7.27</v>
      </c>
      <c r="AC301" s="77">
        <f t="shared" si="161"/>
        <v>3.52969970261067</v>
      </c>
      <c r="AD301" s="77">
        <f t="shared" si="162"/>
        <v>46.3487579318956</v>
      </c>
      <c r="AE301" s="77">
        <f t="shared" si="163"/>
        <v>36.6512420681044</v>
      </c>
    </row>
    <row r="302" customFormat="1" spans="1:31">
      <c r="A302" s="22"/>
      <c r="B302" s="23"/>
      <c r="C302" s="24">
        <v>241206000035</v>
      </c>
      <c r="D302" s="25">
        <v>45637</v>
      </c>
      <c r="E302" s="25" t="s">
        <v>44</v>
      </c>
      <c r="F302" s="23" t="s">
        <v>45</v>
      </c>
      <c r="G302" s="23" t="s">
        <v>82</v>
      </c>
      <c r="H302" s="23">
        <v>6.5</v>
      </c>
      <c r="I302" s="43">
        <v>635.5</v>
      </c>
      <c r="J302" s="44"/>
      <c r="K302" s="45"/>
      <c r="L302" s="23"/>
      <c r="M302" s="45"/>
      <c r="N302" s="57"/>
      <c r="O302" s="47">
        <f t="shared" si="169"/>
        <v>635.5</v>
      </c>
      <c r="P302" s="49"/>
      <c r="Q302" s="49"/>
      <c r="R302" s="77">
        <f t="shared" si="150"/>
        <v>421.020715096481</v>
      </c>
      <c r="S302" s="77"/>
      <c r="T302" s="78">
        <f t="shared" si="151"/>
        <v>0.682131101021566</v>
      </c>
      <c r="U302" s="126"/>
      <c r="V302" s="78">
        <v>52</v>
      </c>
      <c r="W302" s="77">
        <f t="shared" si="160"/>
        <v>473.702846197503</v>
      </c>
      <c r="X302" s="79">
        <f t="shared" si="152"/>
        <v>4.78159477866061</v>
      </c>
      <c r="Y302" s="79"/>
      <c r="Z302" s="79"/>
      <c r="AA302" s="79">
        <f t="shared" si="166"/>
        <v>4.78159477866061</v>
      </c>
      <c r="AB302" s="91">
        <v>7.27</v>
      </c>
      <c r="AC302" s="77">
        <f t="shared" si="161"/>
        <v>34.7621940408627</v>
      </c>
      <c r="AD302" s="77">
        <f t="shared" si="162"/>
        <v>508.465040238365</v>
      </c>
      <c r="AE302" s="77">
        <f t="shared" si="163"/>
        <v>127.034959761635</v>
      </c>
    </row>
    <row r="303" customFormat="1" spans="1:31">
      <c r="A303" s="22"/>
      <c r="B303" s="23"/>
      <c r="C303" s="24">
        <v>241206000048</v>
      </c>
      <c r="D303" s="26">
        <v>45637</v>
      </c>
      <c r="E303" s="25" t="s">
        <v>70</v>
      </c>
      <c r="F303" s="23" t="s">
        <v>70</v>
      </c>
      <c r="G303" s="23" t="s">
        <v>287</v>
      </c>
      <c r="H303" s="23">
        <v>57</v>
      </c>
      <c r="I303" s="43">
        <v>4389</v>
      </c>
      <c r="J303" s="44"/>
      <c r="K303" s="45"/>
      <c r="L303" s="23"/>
      <c r="M303" s="45"/>
      <c r="N303" s="57"/>
      <c r="O303" s="47">
        <f t="shared" si="169"/>
        <v>4389</v>
      </c>
      <c r="P303" s="49"/>
      <c r="Q303" s="49"/>
      <c r="R303" s="77">
        <f t="shared" si="150"/>
        <v>3692.0278093076</v>
      </c>
      <c r="S303" s="77"/>
      <c r="T303" s="78">
        <f t="shared" si="151"/>
        <v>5.98176503972758</v>
      </c>
      <c r="U303" s="126"/>
      <c r="V303" s="77"/>
      <c r="W303" s="77">
        <f t="shared" si="160"/>
        <v>3698.00957434733</v>
      </c>
      <c r="X303" s="79">
        <f t="shared" si="152"/>
        <v>41.9309080590238</v>
      </c>
      <c r="Y303" s="79"/>
      <c r="Z303" s="79"/>
      <c r="AA303" s="79">
        <f t="shared" si="166"/>
        <v>41.9309080590238</v>
      </c>
      <c r="AB303" s="91">
        <v>7.27</v>
      </c>
      <c r="AC303" s="77">
        <f t="shared" si="161"/>
        <v>304.837701589103</v>
      </c>
      <c r="AD303" s="77">
        <f t="shared" ref="AD303:AD340" si="172">SUM(W303+AC303)</f>
        <v>4002.84727593644</v>
      </c>
      <c r="AE303" s="77">
        <f t="shared" si="163"/>
        <v>386.152724063564</v>
      </c>
    </row>
    <row r="304" customFormat="1" spans="1:31">
      <c r="A304" s="22"/>
      <c r="B304" s="23"/>
      <c r="C304" s="24">
        <v>241206000051</v>
      </c>
      <c r="D304" s="25">
        <v>45637</v>
      </c>
      <c r="E304" s="25" t="s">
        <v>44</v>
      </c>
      <c r="F304" s="23" t="s">
        <v>45</v>
      </c>
      <c r="G304" s="23" t="s">
        <v>159</v>
      </c>
      <c r="H304" s="23">
        <v>142</v>
      </c>
      <c r="I304" s="50"/>
      <c r="J304" s="51">
        <v>2553870</v>
      </c>
      <c r="K304" s="45"/>
      <c r="L304" s="52">
        <f t="shared" si="170"/>
        <v>1584.86666956268</v>
      </c>
      <c r="M304" s="53">
        <v>1611.41</v>
      </c>
      <c r="N304" s="57">
        <v>7.27</v>
      </c>
      <c r="O304" s="47">
        <f t="shared" si="171"/>
        <v>11714.9507</v>
      </c>
      <c r="P304" s="49"/>
      <c r="Q304" s="49"/>
      <c r="R304" s="77">
        <f t="shared" si="150"/>
        <v>9197.68331441544</v>
      </c>
      <c r="S304" s="77"/>
      <c r="T304" s="78">
        <f t="shared" si="151"/>
        <v>14.9019409761635</v>
      </c>
      <c r="U304" s="126"/>
      <c r="V304" s="77"/>
      <c r="W304" s="77">
        <f t="shared" si="160"/>
        <v>9212.5852553916</v>
      </c>
      <c r="X304" s="79">
        <f t="shared" si="152"/>
        <v>104.459455164586</v>
      </c>
      <c r="Y304" s="79"/>
      <c r="Z304" s="79"/>
      <c r="AA304" s="79">
        <f t="shared" si="166"/>
        <v>104.459455164586</v>
      </c>
      <c r="AB304" s="91">
        <v>7.27</v>
      </c>
      <c r="AC304" s="77">
        <f t="shared" ref="AC304:AC340" si="173">SUM(AA304*AB304)</f>
        <v>759.420239046538</v>
      </c>
      <c r="AD304" s="77">
        <f t="shared" si="172"/>
        <v>9972.00549443814</v>
      </c>
      <c r="AE304" s="77">
        <f t="shared" ref="AE304:AE340" si="174">SUM(O304-AD304)</f>
        <v>1742.94520556186</v>
      </c>
    </row>
    <row r="305" customFormat="1" spans="1:31">
      <c r="A305" s="22"/>
      <c r="B305" s="23"/>
      <c r="C305" s="24">
        <v>241206000055</v>
      </c>
      <c r="D305" s="25">
        <v>45637</v>
      </c>
      <c r="E305" s="25" t="s">
        <v>44</v>
      </c>
      <c r="F305" s="23" t="s">
        <v>45</v>
      </c>
      <c r="G305" s="23" t="s">
        <v>146</v>
      </c>
      <c r="H305" s="23">
        <v>2.5</v>
      </c>
      <c r="I305" s="50"/>
      <c r="J305" s="51">
        <v>42262.5</v>
      </c>
      <c r="K305" s="45"/>
      <c r="L305" s="52">
        <f t="shared" si="170"/>
        <v>1672.43767313019</v>
      </c>
      <c r="M305" s="53">
        <v>25.27</v>
      </c>
      <c r="N305" s="57">
        <v>7.27</v>
      </c>
      <c r="O305" s="47">
        <f t="shared" si="171"/>
        <v>183.7129</v>
      </c>
      <c r="P305" s="49"/>
      <c r="Q305" s="49"/>
      <c r="R305" s="77">
        <f t="shared" si="150"/>
        <v>161.931044267877</v>
      </c>
      <c r="S305" s="77"/>
      <c r="T305" s="78">
        <f t="shared" si="151"/>
        <v>0.262358115777526</v>
      </c>
      <c r="U305" s="126"/>
      <c r="V305" s="77"/>
      <c r="W305" s="77">
        <f t="shared" si="160"/>
        <v>162.193402383655</v>
      </c>
      <c r="X305" s="79">
        <f t="shared" si="152"/>
        <v>1.83907491486947</v>
      </c>
      <c r="Y305" s="79"/>
      <c r="Z305" s="79"/>
      <c r="AA305" s="79">
        <f t="shared" ref="AA305:AA340" si="175">SUM(X305:Z305)</f>
        <v>1.83907491486947</v>
      </c>
      <c r="AB305" s="91">
        <v>7.27</v>
      </c>
      <c r="AC305" s="77">
        <f t="shared" si="173"/>
        <v>13.370074631101</v>
      </c>
      <c r="AD305" s="77">
        <f t="shared" si="172"/>
        <v>175.563477014756</v>
      </c>
      <c r="AE305" s="77">
        <f t="shared" si="174"/>
        <v>8.14942298524403</v>
      </c>
    </row>
    <row r="306" customFormat="1" spans="1:31">
      <c r="A306" s="22"/>
      <c r="B306" s="23"/>
      <c r="C306" s="24">
        <v>241206000059</v>
      </c>
      <c r="D306" s="26">
        <v>45637</v>
      </c>
      <c r="E306" s="25" t="s">
        <v>70</v>
      </c>
      <c r="F306" s="23" t="s">
        <v>239</v>
      </c>
      <c r="G306" s="23" t="s">
        <v>240</v>
      </c>
      <c r="H306" s="23">
        <v>551</v>
      </c>
      <c r="I306" s="43">
        <v>41675</v>
      </c>
      <c r="J306" s="44"/>
      <c r="K306" s="45"/>
      <c r="L306" s="23"/>
      <c r="M306" s="45"/>
      <c r="N306" s="57"/>
      <c r="O306" s="47">
        <f t="shared" ref="O306:O310" si="176">SUM(I306)</f>
        <v>41675</v>
      </c>
      <c r="P306" s="55"/>
      <c r="Q306" s="55"/>
      <c r="R306" s="77">
        <f t="shared" si="150"/>
        <v>35689.6021566402</v>
      </c>
      <c r="S306" s="77"/>
      <c r="T306" s="78">
        <f t="shared" si="151"/>
        <v>57.8237287173666</v>
      </c>
      <c r="U306" s="126"/>
      <c r="V306" s="77"/>
      <c r="W306" s="77">
        <f t="shared" ref="W306:W340" si="177">SUM(R306:V306)</f>
        <v>35747.4258853576</v>
      </c>
      <c r="X306" s="79">
        <f t="shared" si="152"/>
        <v>405.33211123723</v>
      </c>
      <c r="Y306" s="79"/>
      <c r="Z306" s="79"/>
      <c r="AA306" s="79">
        <f t="shared" si="175"/>
        <v>405.33211123723</v>
      </c>
      <c r="AB306" s="91">
        <v>7.27</v>
      </c>
      <c r="AC306" s="77">
        <f t="shared" si="173"/>
        <v>2946.76444869467</v>
      </c>
      <c r="AD306" s="77">
        <f t="shared" si="172"/>
        <v>38694.1903340522</v>
      </c>
      <c r="AE306" s="77">
        <f t="shared" si="174"/>
        <v>2980.80966594778</v>
      </c>
    </row>
    <row r="307" customFormat="1" spans="1:31">
      <c r="A307" s="22" t="s">
        <v>288</v>
      </c>
      <c r="B307" s="23" t="s">
        <v>289</v>
      </c>
      <c r="C307" s="24">
        <v>241105000052</v>
      </c>
      <c r="D307" s="25">
        <v>45638</v>
      </c>
      <c r="E307" s="25" t="s">
        <v>84</v>
      </c>
      <c r="F307" s="23" t="s">
        <v>85</v>
      </c>
      <c r="G307" s="23" t="s">
        <v>86</v>
      </c>
      <c r="H307" s="23">
        <v>0.92</v>
      </c>
      <c r="I307" s="43">
        <v>83</v>
      </c>
      <c r="J307" s="44"/>
      <c r="K307" s="45"/>
      <c r="L307" s="23"/>
      <c r="M307" s="45"/>
      <c r="N307" s="57"/>
      <c r="O307" s="47">
        <f t="shared" si="176"/>
        <v>83</v>
      </c>
      <c r="P307" s="48">
        <f>SUM(O307:O340)</f>
        <v>12603.3046</v>
      </c>
      <c r="Q307" s="48" t="s">
        <v>40</v>
      </c>
      <c r="R307" s="77">
        <f>SUM(10978/128)*H307</f>
        <v>78.904375</v>
      </c>
      <c r="S307" s="77"/>
      <c r="T307" s="78">
        <f>SUM(72.98/128)*H307</f>
        <v>0.52454375</v>
      </c>
      <c r="U307" s="77"/>
      <c r="V307" s="77"/>
      <c r="W307" s="77">
        <f t="shared" si="177"/>
        <v>79.42891875</v>
      </c>
      <c r="X307" s="79">
        <f>SUM(270.01/128)*H307</f>
        <v>1.940696875</v>
      </c>
      <c r="Y307" s="79"/>
      <c r="Z307" s="79"/>
      <c r="AA307" s="79">
        <f t="shared" si="175"/>
        <v>1.940696875</v>
      </c>
      <c r="AB307" s="91">
        <v>7.27</v>
      </c>
      <c r="AC307" s="77">
        <f t="shared" si="173"/>
        <v>14.10886628125</v>
      </c>
      <c r="AD307" s="77">
        <f t="shared" si="172"/>
        <v>93.53778503125</v>
      </c>
      <c r="AE307" s="77">
        <f t="shared" si="174"/>
        <v>-10.53778503125</v>
      </c>
    </row>
    <row r="308" customFormat="1" spans="1:31">
      <c r="A308" s="22"/>
      <c r="B308" s="23"/>
      <c r="C308" s="24">
        <v>241203000005</v>
      </c>
      <c r="D308" s="25">
        <v>45638</v>
      </c>
      <c r="E308" s="25" t="s">
        <v>37</v>
      </c>
      <c r="F308" s="23" t="s">
        <v>38</v>
      </c>
      <c r="G308" s="23" t="s">
        <v>51</v>
      </c>
      <c r="H308" s="23">
        <v>2</v>
      </c>
      <c r="I308" s="50"/>
      <c r="J308" s="51">
        <v>57000</v>
      </c>
      <c r="K308" s="45"/>
      <c r="L308" s="52">
        <f t="shared" ref="L308:L312" si="178">SUM(J308/M308)</f>
        <v>1657.94066317627</v>
      </c>
      <c r="M308" s="53">
        <v>34.38</v>
      </c>
      <c r="N308" s="57">
        <v>7.27</v>
      </c>
      <c r="O308" s="47">
        <f t="shared" ref="O308:O312" si="179">SUM(M308*N308)</f>
        <v>249.9426</v>
      </c>
      <c r="P308" s="49"/>
      <c r="Q308" s="49"/>
      <c r="R308" s="77">
        <f t="shared" ref="R308:R340" si="180">SUM(10978/128)*H308</f>
        <v>171.53125</v>
      </c>
      <c r="S308" s="77"/>
      <c r="T308" s="78">
        <f t="shared" ref="T308:T340" si="181">SUM(72.98/128)*H308</f>
        <v>1.1403125</v>
      </c>
      <c r="U308" s="77"/>
      <c r="V308" s="77"/>
      <c r="W308" s="77">
        <f t="shared" si="177"/>
        <v>172.6715625</v>
      </c>
      <c r="X308" s="79">
        <f t="shared" ref="X308:X340" si="182">SUM(270.01/128)*H308</f>
        <v>4.21890625</v>
      </c>
      <c r="Y308" s="79"/>
      <c r="Z308" s="79"/>
      <c r="AA308" s="79">
        <f t="shared" si="175"/>
        <v>4.21890625</v>
      </c>
      <c r="AB308" s="91">
        <v>7.27</v>
      </c>
      <c r="AC308" s="77">
        <f t="shared" si="173"/>
        <v>30.6714484375</v>
      </c>
      <c r="AD308" s="77">
        <f t="shared" si="172"/>
        <v>203.3430109375</v>
      </c>
      <c r="AE308" s="77">
        <f t="shared" si="174"/>
        <v>46.5995890625</v>
      </c>
    </row>
    <row r="309" customFormat="1" spans="1:31">
      <c r="A309" s="22"/>
      <c r="B309" s="23"/>
      <c r="C309" s="24">
        <v>241204000081</v>
      </c>
      <c r="D309" s="26">
        <v>45638</v>
      </c>
      <c r="E309" s="25" t="s">
        <v>70</v>
      </c>
      <c r="F309" s="23" t="s">
        <v>109</v>
      </c>
      <c r="G309" s="23" t="s">
        <v>110</v>
      </c>
      <c r="H309" s="23">
        <v>0.585</v>
      </c>
      <c r="I309" s="43">
        <v>250</v>
      </c>
      <c r="J309" s="44"/>
      <c r="K309" s="45"/>
      <c r="L309" s="23"/>
      <c r="M309" s="45"/>
      <c r="N309" s="57"/>
      <c r="O309" s="47">
        <f t="shared" si="176"/>
        <v>250</v>
      </c>
      <c r="P309" s="49"/>
      <c r="Q309" s="49"/>
      <c r="R309" s="77">
        <f t="shared" si="180"/>
        <v>50.172890625</v>
      </c>
      <c r="S309" s="77"/>
      <c r="T309" s="78">
        <f t="shared" si="181"/>
        <v>0.33354140625</v>
      </c>
      <c r="U309" s="77"/>
      <c r="V309" s="77"/>
      <c r="W309" s="77">
        <f t="shared" si="177"/>
        <v>50.50643203125</v>
      </c>
      <c r="X309" s="79">
        <f t="shared" si="182"/>
        <v>1.234030078125</v>
      </c>
      <c r="Y309" s="79"/>
      <c r="Z309" s="79"/>
      <c r="AA309" s="79">
        <f t="shared" si="175"/>
        <v>1.234030078125</v>
      </c>
      <c r="AB309" s="91">
        <v>7.27</v>
      </c>
      <c r="AC309" s="77">
        <f t="shared" si="173"/>
        <v>8.97139866796875</v>
      </c>
      <c r="AD309" s="77">
        <f t="shared" si="172"/>
        <v>59.4778306992187</v>
      </c>
      <c r="AE309" s="77">
        <f t="shared" si="174"/>
        <v>190.522169300781</v>
      </c>
    </row>
    <row r="310" customFormat="1" spans="1:31">
      <c r="A310" s="22"/>
      <c r="B310" s="23"/>
      <c r="C310" s="24">
        <v>241205000021</v>
      </c>
      <c r="D310" s="25">
        <v>45638</v>
      </c>
      <c r="E310" s="25" t="s">
        <v>41</v>
      </c>
      <c r="F310" s="23" t="s">
        <v>42</v>
      </c>
      <c r="G310" s="23" t="s">
        <v>290</v>
      </c>
      <c r="H310" s="23">
        <v>1.5</v>
      </c>
      <c r="I310" s="43">
        <v>187.5</v>
      </c>
      <c r="J310" s="44"/>
      <c r="K310" s="45"/>
      <c r="L310" s="23"/>
      <c r="M310" s="45"/>
      <c r="N310" s="57"/>
      <c r="O310" s="47">
        <f t="shared" si="176"/>
        <v>187.5</v>
      </c>
      <c r="P310" s="49"/>
      <c r="Q310" s="49"/>
      <c r="R310" s="77">
        <f t="shared" si="180"/>
        <v>128.6484375</v>
      </c>
      <c r="S310" s="77"/>
      <c r="T310" s="78">
        <f t="shared" si="181"/>
        <v>0.855234375</v>
      </c>
      <c r="U310" s="77"/>
      <c r="V310" s="77"/>
      <c r="W310" s="77">
        <f t="shared" si="177"/>
        <v>129.503671875</v>
      </c>
      <c r="X310" s="79">
        <f t="shared" si="182"/>
        <v>3.1641796875</v>
      </c>
      <c r="Y310" s="79"/>
      <c r="Z310" s="79"/>
      <c r="AA310" s="79">
        <f t="shared" si="175"/>
        <v>3.1641796875</v>
      </c>
      <c r="AB310" s="91">
        <v>7.27</v>
      </c>
      <c r="AC310" s="77">
        <f t="shared" si="173"/>
        <v>23.003586328125</v>
      </c>
      <c r="AD310" s="77">
        <f t="shared" si="172"/>
        <v>152.507258203125</v>
      </c>
      <c r="AE310" s="77">
        <f t="shared" si="174"/>
        <v>34.992741796875</v>
      </c>
    </row>
    <row r="311" customFormat="1" spans="1:31">
      <c r="A311" s="22"/>
      <c r="B311" s="23"/>
      <c r="C311" s="24">
        <v>241205000025</v>
      </c>
      <c r="D311" s="25">
        <v>45638</v>
      </c>
      <c r="E311" s="25" t="s">
        <v>37</v>
      </c>
      <c r="F311" s="23" t="s">
        <v>38</v>
      </c>
      <c r="G311" s="23" t="s">
        <v>51</v>
      </c>
      <c r="H311" s="23">
        <v>4</v>
      </c>
      <c r="I311" s="50"/>
      <c r="J311" s="51">
        <v>114000</v>
      </c>
      <c r="K311" s="45"/>
      <c r="L311" s="52">
        <f t="shared" si="178"/>
        <v>1657.69957830449</v>
      </c>
      <c r="M311" s="53">
        <v>68.77</v>
      </c>
      <c r="N311" s="57">
        <v>7.27</v>
      </c>
      <c r="O311" s="47">
        <f t="shared" si="179"/>
        <v>499.9579</v>
      </c>
      <c r="P311" s="49"/>
      <c r="Q311" s="49"/>
      <c r="R311" s="77">
        <f t="shared" si="180"/>
        <v>343.0625</v>
      </c>
      <c r="S311" s="77"/>
      <c r="T311" s="78">
        <f t="shared" si="181"/>
        <v>2.280625</v>
      </c>
      <c r="U311" s="77"/>
      <c r="V311" s="77"/>
      <c r="W311" s="77">
        <f t="shared" si="177"/>
        <v>345.343125</v>
      </c>
      <c r="X311" s="79">
        <f t="shared" si="182"/>
        <v>8.4378125</v>
      </c>
      <c r="Y311" s="79"/>
      <c r="Z311" s="79"/>
      <c r="AA311" s="79">
        <f t="shared" si="175"/>
        <v>8.4378125</v>
      </c>
      <c r="AB311" s="91">
        <v>7.27</v>
      </c>
      <c r="AC311" s="77">
        <f t="shared" si="173"/>
        <v>61.342896875</v>
      </c>
      <c r="AD311" s="77">
        <f t="shared" si="172"/>
        <v>406.686021875</v>
      </c>
      <c r="AE311" s="77">
        <f t="shared" si="174"/>
        <v>93.271878125</v>
      </c>
    </row>
    <row r="312" customFormat="1" spans="1:31">
      <c r="A312" s="22"/>
      <c r="B312" s="23"/>
      <c r="C312" s="24">
        <v>241205000026</v>
      </c>
      <c r="D312" s="25">
        <v>45638</v>
      </c>
      <c r="E312" s="25" t="s">
        <v>37</v>
      </c>
      <c r="F312" s="23" t="s">
        <v>38</v>
      </c>
      <c r="G312" s="23" t="s">
        <v>51</v>
      </c>
      <c r="H312" s="23">
        <v>5.5</v>
      </c>
      <c r="I312" s="50"/>
      <c r="J312" s="51">
        <v>156864</v>
      </c>
      <c r="K312" s="45"/>
      <c r="L312" s="52">
        <f t="shared" si="178"/>
        <v>1657.65613441826</v>
      </c>
      <c r="M312" s="53">
        <v>94.63</v>
      </c>
      <c r="N312" s="57">
        <v>7.27</v>
      </c>
      <c r="O312" s="47">
        <f t="shared" si="179"/>
        <v>687.9601</v>
      </c>
      <c r="P312" s="49"/>
      <c r="Q312" s="49"/>
      <c r="R312" s="77">
        <f t="shared" si="180"/>
        <v>471.7109375</v>
      </c>
      <c r="S312" s="77"/>
      <c r="T312" s="78">
        <f t="shared" si="181"/>
        <v>3.135859375</v>
      </c>
      <c r="U312" s="77"/>
      <c r="V312" s="77"/>
      <c r="W312" s="77">
        <f t="shared" si="177"/>
        <v>474.846796875</v>
      </c>
      <c r="X312" s="79">
        <f t="shared" si="182"/>
        <v>11.6019921875</v>
      </c>
      <c r="Y312" s="79"/>
      <c r="Z312" s="79"/>
      <c r="AA312" s="79">
        <f t="shared" si="175"/>
        <v>11.6019921875</v>
      </c>
      <c r="AB312" s="91">
        <v>7.27</v>
      </c>
      <c r="AC312" s="77">
        <f t="shared" si="173"/>
        <v>84.346483203125</v>
      </c>
      <c r="AD312" s="77">
        <f t="shared" si="172"/>
        <v>559.193280078125</v>
      </c>
      <c r="AE312" s="77">
        <f t="shared" si="174"/>
        <v>128.766819921875</v>
      </c>
    </row>
    <row r="313" customFormat="1" spans="1:31">
      <c r="A313" s="22"/>
      <c r="B313" s="23"/>
      <c r="C313" s="24">
        <v>241207000002</v>
      </c>
      <c r="D313" s="25">
        <v>45638</v>
      </c>
      <c r="E313" s="25" t="s">
        <v>54</v>
      </c>
      <c r="F313" s="23" t="s">
        <v>55</v>
      </c>
      <c r="G313" s="23" t="s">
        <v>291</v>
      </c>
      <c r="H313" s="23">
        <v>5.5</v>
      </c>
      <c r="I313" s="43">
        <v>689</v>
      </c>
      <c r="J313" s="44"/>
      <c r="K313" s="45"/>
      <c r="L313" s="23"/>
      <c r="M313" s="45"/>
      <c r="N313" s="57"/>
      <c r="O313" s="47">
        <f t="shared" ref="O313:O317" si="183">SUM(I313)</f>
        <v>689</v>
      </c>
      <c r="P313" s="49"/>
      <c r="Q313" s="49"/>
      <c r="R313" s="77">
        <f t="shared" si="180"/>
        <v>471.7109375</v>
      </c>
      <c r="S313" s="77"/>
      <c r="T313" s="78">
        <f t="shared" si="181"/>
        <v>3.135859375</v>
      </c>
      <c r="U313" s="77"/>
      <c r="V313" s="77"/>
      <c r="W313" s="77">
        <f t="shared" si="177"/>
        <v>474.846796875</v>
      </c>
      <c r="X313" s="79">
        <f t="shared" si="182"/>
        <v>11.6019921875</v>
      </c>
      <c r="Y313" s="79"/>
      <c r="Z313" s="79"/>
      <c r="AA313" s="79">
        <f t="shared" si="175"/>
        <v>11.6019921875</v>
      </c>
      <c r="AB313" s="91">
        <v>7.27</v>
      </c>
      <c r="AC313" s="77">
        <f t="shared" si="173"/>
        <v>84.346483203125</v>
      </c>
      <c r="AD313" s="77">
        <f t="shared" si="172"/>
        <v>559.193280078125</v>
      </c>
      <c r="AE313" s="77">
        <f t="shared" si="174"/>
        <v>129.806719921875</v>
      </c>
    </row>
    <row r="314" customFormat="1" spans="1:31">
      <c r="A314" s="22"/>
      <c r="B314" s="23"/>
      <c r="C314" s="24">
        <v>241207000012</v>
      </c>
      <c r="D314" s="25">
        <v>45638</v>
      </c>
      <c r="E314" s="25" t="s">
        <v>41</v>
      </c>
      <c r="F314" s="23" t="s">
        <v>42</v>
      </c>
      <c r="G314" s="23" t="s">
        <v>43</v>
      </c>
      <c r="H314" s="23">
        <v>0.4</v>
      </c>
      <c r="I314" s="43">
        <v>125</v>
      </c>
      <c r="J314" s="44"/>
      <c r="K314" s="45"/>
      <c r="L314" s="23"/>
      <c r="M314" s="45"/>
      <c r="N314" s="57"/>
      <c r="O314" s="47">
        <f t="shared" si="183"/>
        <v>125</v>
      </c>
      <c r="P314" s="49"/>
      <c r="Q314" s="49"/>
      <c r="R314" s="77">
        <f t="shared" si="180"/>
        <v>34.30625</v>
      </c>
      <c r="S314" s="77"/>
      <c r="T314" s="78">
        <f t="shared" si="181"/>
        <v>0.2280625</v>
      </c>
      <c r="U314" s="77"/>
      <c r="V314" s="77"/>
      <c r="W314" s="77">
        <f t="shared" si="177"/>
        <v>34.5343125</v>
      </c>
      <c r="X314" s="79">
        <f t="shared" si="182"/>
        <v>0.84378125</v>
      </c>
      <c r="Y314" s="79"/>
      <c r="Z314" s="79"/>
      <c r="AA314" s="79">
        <f t="shared" si="175"/>
        <v>0.84378125</v>
      </c>
      <c r="AB314" s="91">
        <v>7.27</v>
      </c>
      <c r="AC314" s="77">
        <f t="shared" si="173"/>
        <v>6.1342896875</v>
      </c>
      <c r="AD314" s="77">
        <f t="shared" si="172"/>
        <v>40.6686021875</v>
      </c>
      <c r="AE314" s="77">
        <f t="shared" si="174"/>
        <v>84.3313978125</v>
      </c>
    </row>
    <row r="315" customFormat="1" spans="1:31">
      <c r="A315" s="22"/>
      <c r="B315" s="23"/>
      <c r="C315" s="24">
        <v>241208000006</v>
      </c>
      <c r="D315" s="25">
        <v>45638</v>
      </c>
      <c r="E315" s="25" t="s">
        <v>41</v>
      </c>
      <c r="F315" s="23" t="s">
        <v>42</v>
      </c>
      <c r="G315" s="23" t="s">
        <v>173</v>
      </c>
      <c r="H315" s="23">
        <v>1</v>
      </c>
      <c r="I315" s="43">
        <v>130</v>
      </c>
      <c r="J315" s="44"/>
      <c r="K315" s="45"/>
      <c r="L315" s="23"/>
      <c r="M315" s="45"/>
      <c r="N315" s="57"/>
      <c r="O315" s="47">
        <f t="shared" si="183"/>
        <v>130</v>
      </c>
      <c r="P315" s="49"/>
      <c r="Q315" s="49"/>
      <c r="R315" s="77">
        <f t="shared" si="180"/>
        <v>85.765625</v>
      </c>
      <c r="S315" s="77"/>
      <c r="T315" s="78">
        <f t="shared" si="181"/>
        <v>0.57015625</v>
      </c>
      <c r="U315" s="77"/>
      <c r="V315" s="77"/>
      <c r="W315" s="77">
        <f t="shared" si="177"/>
        <v>86.33578125</v>
      </c>
      <c r="X315" s="79">
        <f t="shared" si="182"/>
        <v>2.109453125</v>
      </c>
      <c r="Y315" s="79"/>
      <c r="Z315" s="79"/>
      <c r="AA315" s="79">
        <f t="shared" si="175"/>
        <v>2.109453125</v>
      </c>
      <c r="AB315" s="91">
        <v>7.27</v>
      </c>
      <c r="AC315" s="77">
        <f t="shared" si="173"/>
        <v>15.33572421875</v>
      </c>
      <c r="AD315" s="77">
        <f t="shared" si="172"/>
        <v>101.67150546875</v>
      </c>
      <c r="AE315" s="77">
        <f t="shared" si="174"/>
        <v>28.32849453125</v>
      </c>
    </row>
    <row r="316" customFormat="1" spans="1:31">
      <c r="A316" s="22"/>
      <c r="B316" s="23"/>
      <c r="C316" s="24">
        <v>241209000005</v>
      </c>
      <c r="D316" s="25">
        <v>45638</v>
      </c>
      <c r="E316" s="25" t="s">
        <v>44</v>
      </c>
      <c r="F316" s="23" t="s">
        <v>45</v>
      </c>
      <c r="G316" s="23" t="s">
        <v>204</v>
      </c>
      <c r="H316" s="23">
        <v>1.5</v>
      </c>
      <c r="I316" s="43">
        <v>195</v>
      </c>
      <c r="J316" s="44"/>
      <c r="K316" s="45"/>
      <c r="L316" s="23"/>
      <c r="M316" s="45"/>
      <c r="N316" s="57"/>
      <c r="O316" s="47">
        <f t="shared" si="183"/>
        <v>195</v>
      </c>
      <c r="P316" s="49"/>
      <c r="Q316" s="49"/>
      <c r="R316" s="77">
        <f t="shared" si="180"/>
        <v>128.6484375</v>
      </c>
      <c r="S316" s="77"/>
      <c r="T316" s="78">
        <f t="shared" si="181"/>
        <v>0.855234375</v>
      </c>
      <c r="U316" s="77"/>
      <c r="V316" s="77"/>
      <c r="W316" s="77">
        <f t="shared" si="177"/>
        <v>129.503671875</v>
      </c>
      <c r="X316" s="79">
        <f t="shared" si="182"/>
        <v>3.1641796875</v>
      </c>
      <c r="Y316" s="79"/>
      <c r="Z316" s="79"/>
      <c r="AA316" s="79">
        <f t="shared" si="175"/>
        <v>3.1641796875</v>
      </c>
      <c r="AB316" s="91">
        <v>7.27</v>
      </c>
      <c r="AC316" s="77">
        <f t="shared" si="173"/>
        <v>23.003586328125</v>
      </c>
      <c r="AD316" s="77">
        <f t="shared" si="172"/>
        <v>152.507258203125</v>
      </c>
      <c r="AE316" s="77">
        <f t="shared" si="174"/>
        <v>42.492741796875</v>
      </c>
    </row>
    <row r="317" customFormat="1" spans="1:31">
      <c r="A317" s="22"/>
      <c r="B317" s="23"/>
      <c r="C317" s="24">
        <v>241209000022</v>
      </c>
      <c r="D317" s="25">
        <v>45638</v>
      </c>
      <c r="E317" s="25" t="s">
        <v>54</v>
      </c>
      <c r="F317" s="23" t="s">
        <v>55</v>
      </c>
      <c r="G317" s="23" t="s">
        <v>79</v>
      </c>
      <c r="H317" s="23">
        <v>1.5</v>
      </c>
      <c r="I317" s="43">
        <v>180</v>
      </c>
      <c r="J317" s="44"/>
      <c r="K317" s="45"/>
      <c r="L317" s="23"/>
      <c r="M317" s="45"/>
      <c r="N317" s="57"/>
      <c r="O317" s="47">
        <f t="shared" si="183"/>
        <v>180</v>
      </c>
      <c r="P317" s="49"/>
      <c r="Q317" s="49"/>
      <c r="R317" s="77">
        <f t="shared" si="180"/>
        <v>128.6484375</v>
      </c>
      <c r="S317" s="77"/>
      <c r="T317" s="78">
        <f t="shared" si="181"/>
        <v>0.855234375</v>
      </c>
      <c r="U317" s="77"/>
      <c r="V317" s="77"/>
      <c r="W317" s="77">
        <f t="shared" si="177"/>
        <v>129.503671875</v>
      </c>
      <c r="X317" s="79">
        <f t="shared" si="182"/>
        <v>3.1641796875</v>
      </c>
      <c r="Y317" s="79"/>
      <c r="Z317" s="79"/>
      <c r="AA317" s="79">
        <f t="shared" si="175"/>
        <v>3.1641796875</v>
      </c>
      <c r="AB317" s="91">
        <v>7.27</v>
      </c>
      <c r="AC317" s="77">
        <f t="shared" si="173"/>
        <v>23.003586328125</v>
      </c>
      <c r="AD317" s="77">
        <f t="shared" si="172"/>
        <v>152.507258203125</v>
      </c>
      <c r="AE317" s="77">
        <f t="shared" si="174"/>
        <v>27.492741796875</v>
      </c>
    </row>
    <row r="318" customFormat="1" spans="1:31">
      <c r="A318" s="22"/>
      <c r="B318" s="23"/>
      <c r="C318" s="24">
        <v>241209000023</v>
      </c>
      <c r="D318" s="25">
        <v>45638</v>
      </c>
      <c r="E318" s="25" t="s">
        <v>37</v>
      </c>
      <c r="F318" s="23" t="s">
        <v>38</v>
      </c>
      <c r="G318" s="23" t="s">
        <v>51</v>
      </c>
      <c r="H318" s="23">
        <v>1</v>
      </c>
      <c r="I318" s="50"/>
      <c r="J318" s="51">
        <v>28500</v>
      </c>
      <c r="K318" s="45"/>
      <c r="L318" s="52">
        <f>SUM(J318/M318)</f>
        <v>1657.94066317627</v>
      </c>
      <c r="M318" s="53">
        <v>17.19</v>
      </c>
      <c r="N318" s="57">
        <v>7.27</v>
      </c>
      <c r="O318" s="47">
        <f>SUM(M318*N318)</f>
        <v>124.9713</v>
      </c>
      <c r="P318" s="49"/>
      <c r="Q318" s="49"/>
      <c r="R318" s="77">
        <f t="shared" si="180"/>
        <v>85.765625</v>
      </c>
      <c r="S318" s="77"/>
      <c r="T318" s="78">
        <f t="shared" si="181"/>
        <v>0.57015625</v>
      </c>
      <c r="U318" s="77"/>
      <c r="V318" s="77"/>
      <c r="W318" s="77">
        <f t="shared" si="177"/>
        <v>86.33578125</v>
      </c>
      <c r="X318" s="79">
        <f t="shared" si="182"/>
        <v>2.109453125</v>
      </c>
      <c r="Y318" s="79"/>
      <c r="Z318" s="79"/>
      <c r="AA318" s="79">
        <f t="shared" si="175"/>
        <v>2.109453125</v>
      </c>
      <c r="AB318" s="91">
        <v>7.27</v>
      </c>
      <c r="AC318" s="77">
        <f t="shared" si="173"/>
        <v>15.33572421875</v>
      </c>
      <c r="AD318" s="77">
        <f t="shared" si="172"/>
        <v>101.67150546875</v>
      </c>
      <c r="AE318" s="77">
        <f t="shared" si="174"/>
        <v>23.29979453125</v>
      </c>
    </row>
    <row r="319" customFormat="1" spans="1:31">
      <c r="A319" s="22"/>
      <c r="B319" s="23"/>
      <c r="C319" s="24">
        <v>241209000025</v>
      </c>
      <c r="D319" s="25">
        <v>45638</v>
      </c>
      <c r="E319" s="25" t="s">
        <v>37</v>
      </c>
      <c r="F319" s="23" t="s">
        <v>38</v>
      </c>
      <c r="G319" s="23" t="s">
        <v>292</v>
      </c>
      <c r="H319" s="23">
        <v>9.5</v>
      </c>
      <c r="I319" s="43">
        <v>1225</v>
      </c>
      <c r="J319" s="44"/>
      <c r="K319" s="45"/>
      <c r="L319" s="23"/>
      <c r="M319" s="45"/>
      <c r="N319" s="57"/>
      <c r="O319" s="47">
        <f t="shared" ref="O319:O323" si="184">SUM(I319)</f>
        <v>1225</v>
      </c>
      <c r="P319" s="49"/>
      <c r="Q319" s="49"/>
      <c r="R319" s="77">
        <f t="shared" si="180"/>
        <v>814.7734375</v>
      </c>
      <c r="S319" s="77"/>
      <c r="T319" s="78">
        <f t="shared" si="181"/>
        <v>5.416484375</v>
      </c>
      <c r="U319" s="77"/>
      <c r="V319" s="77"/>
      <c r="W319" s="77">
        <f t="shared" si="177"/>
        <v>820.189921875</v>
      </c>
      <c r="X319" s="79">
        <f t="shared" si="182"/>
        <v>20.0398046875</v>
      </c>
      <c r="Y319" s="79"/>
      <c r="Z319" s="79"/>
      <c r="AA319" s="79">
        <f t="shared" si="175"/>
        <v>20.0398046875</v>
      </c>
      <c r="AB319" s="91">
        <v>7.27</v>
      </c>
      <c r="AC319" s="77">
        <f t="shared" si="173"/>
        <v>145.689380078125</v>
      </c>
      <c r="AD319" s="77">
        <f t="shared" si="172"/>
        <v>965.879301953125</v>
      </c>
      <c r="AE319" s="77">
        <f t="shared" si="174"/>
        <v>259.120698046875</v>
      </c>
    </row>
    <row r="320" customFormat="1" spans="1:31">
      <c r="A320" s="22"/>
      <c r="B320" s="23"/>
      <c r="C320" s="24">
        <v>241209000028</v>
      </c>
      <c r="D320" s="25">
        <v>45638</v>
      </c>
      <c r="E320" s="25" t="s">
        <v>54</v>
      </c>
      <c r="F320" s="23" t="s">
        <v>55</v>
      </c>
      <c r="G320" s="23" t="s">
        <v>293</v>
      </c>
      <c r="H320" s="23">
        <v>0.1</v>
      </c>
      <c r="I320" s="43">
        <v>125</v>
      </c>
      <c r="J320" s="44"/>
      <c r="K320" s="45"/>
      <c r="L320" s="23"/>
      <c r="M320" s="45"/>
      <c r="N320" s="57"/>
      <c r="O320" s="47">
        <f t="shared" si="184"/>
        <v>125</v>
      </c>
      <c r="P320" s="49"/>
      <c r="Q320" s="49"/>
      <c r="R320" s="77">
        <f t="shared" si="180"/>
        <v>8.5765625</v>
      </c>
      <c r="S320" s="77"/>
      <c r="T320" s="78">
        <f t="shared" si="181"/>
        <v>0.057015625</v>
      </c>
      <c r="U320" s="77"/>
      <c r="V320" s="77"/>
      <c r="W320" s="77">
        <f t="shared" si="177"/>
        <v>8.633578125</v>
      </c>
      <c r="X320" s="79">
        <f t="shared" si="182"/>
        <v>0.2109453125</v>
      </c>
      <c r="Y320" s="79"/>
      <c r="Z320" s="79"/>
      <c r="AA320" s="79">
        <f t="shared" si="175"/>
        <v>0.2109453125</v>
      </c>
      <c r="AB320" s="91">
        <v>7.27</v>
      </c>
      <c r="AC320" s="77">
        <f t="shared" si="173"/>
        <v>1.533572421875</v>
      </c>
      <c r="AD320" s="77">
        <f t="shared" si="172"/>
        <v>10.167150546875</v>
      </c>
      <c r="AE320" s="77">
        <f t="shared" si="174"/>
        <v>114.832849453125</v>
      </c>
    </row>
    <row r="321" customFormat="1" spans="1:31">
      <c r="A321" s="22"/>
      <c r="B321" s="23"/>
      <c r="C321" s="24">
        <v>241209000031</v>
      </c>
      <c r="D321" s="25">
        <v>45638</v>
      </c>
      <c r="E321" s="25" t="s">
        <v>44</v>
      </c>
      <c r="F321" s="23" t="s">
        <v>45</v>
      </c>
      <c r="G321" s="23" t="s">
        <v>204</v>
      </c>
      <c r="H321" s="23">
        <v>1.5</v>
      </c>
      <c r="I321" s="43">
        <v>195</v>
      </c>
      <c r="J321" s="44"/>
      <c r="K321" s="45"/>
      <c r="L321" s="23"/>
      <c r="M321" s="45"/>
      <c r="N321" s="57"/>
      <c r="O321" s="47">
        <f t="shared" si="184"/>
        <v>195</v>
      </c>
      <c r="P321" s="49"/>
      <c r="Q321" s="49"/>
      <c r="R321" s="77">
        <f t="shared" si="180"/>
        <v>128.6484375</v>
      </c>
      <c r="S321" s="77"/>
      <c r="T321" s="78">
        <f t="shared" si="181"/>
        <v>0.855234375</v>
      </c>
      <c r="U321" s="77"/>
      <c r="V321" s="77"/>
      <c r="W321" s="77">
        <f t="shared" si="177"/>
        <v>129.503671875</v>
      </c>
      <c r="X321" s="79">
        <f t="shared" si="182"/>
        <v>3.1641796875</v>
      </c>
      <c r="Y321" s="79"/>
      <c r="Z321" s="79"/>
      <c r="AA321" s="79">
        <f t="shared" si="175"/>
        <v>3.1641796875</v>
      </c>
      <c r="AB321" s="91">
        <v>7.27</v>
      </c>
      <c r="AC321" s="77">
        <f t="shared" si="173"/>
        <v>23.003586328125</v>
      </c>
      <c r="AD321" s="77">
        <f t="shared" si="172"/>
        <v>152.507258203125</v>
      </c>
      <c r="AE321" s="77">
        <f t="shared" si="174"/>
        <v>42.492741796875</v>
      </c>
    </row>
    <row r="322" customFormat="1" spans="1:31">
      <c r="A322" s="22"/>
      <c r="B322" s="23"/>
      <c r="C322" s="24">
        <v>241209000035</v>
      </c>
      <c r="D322" s="25">
        <v>45638</v>
      </c>
      <c r="E322" s="25" t="s">
        <v>61</v>
      </c>
      <c r="F322" s="23" t="s">
        <v>62</v>
      </c>
      <c r="G322" s="23" t="s">
        <v>294</v>
      </c>
      <c r="H322" s="23">
        <v>7.5</v>
      </c>
      <c r="I322" s="43">
        <v>937.5</v>
      </c>
      <c r="J322" s="44"/>
      <c r="K322" s="45"/>
      <c r="L322" s="23"/>
      <c r="M322" s="45"/>
      <c r="N322" s="57"/>
      <c r="O322" s="47">
        <f t="shared" si="184"/>
        <v>937.5</v>
      </c>
      <c r="P322" s="49"/>
      <c r="Q322" s="49"/>
      <c r="R322" s="77">
        <f t="shared" si="180"/>
        <v>643.2421875</v>
      </c>
      <c r="S322" s="77"/>
      <c r="T322" s="78">
        <f t="shared" si="181"/>
        <v>4.276171875</v>
      </c>
      <c r="U322" s="77"/>
      <c r="V322" s="77"/>
      <c r="W322" s="77">
        <f t="shared" si="177"/>
        <v>647.518359375</v>
      </c>
      <c r="X322" s="79">
        <f t="shared" si="182"/>
        <v>15.8208984375</v>
      </c>
      <c r="Y322" s="79"/>
      <c r="Z322" s="79"/>
      <c r="AA322" s="79">
        <f t="shared" si="175"/>
        <v>15.8208984375</v>
      </c>
      <c r="AB322" s="91">
        <v>7.27</v>
      </c>
      <c r="AC322" s="77">
        <f t="shared" si="173"/>
        <v>115.017931640625</v>
      </c>
      <c r="AD322" s="77">
        <f t="shared" si="172"/>
        <v>762.536291015625</v>
      </c>
      <c r="AE322" s="77">
        <f t="shared" si="174"/>
        <v>174.963708984375</v>
      </c>
    </row>
    <row r="323" customFormat="1" spans="1:31">
      <c r="A323" s="22"/>
      <c r="B323" s="23"/>
      <c r="C323" s="24">
        <v>241209000036</v>
      </c>
      <c r="D323" s="25">
        <v>45638</v>
      </c>
      <c r="E323" s="25" t="s">
        <v>54</v>
      </c>
      <c r="F323" s="23" t="s">
        <v>55</v>
      </c>
      <c r="G323" s="23" t="s">
        <v>227</v>
      </c>
      <c r="H323" s="23">
        <v>7.5</v>
      </c>
      <c r="I323" s="43">
        <v>975.5</v>
      </c>
      <c r="J323" s="44"/>
      <c r="K323" s="45"/>
      <c r="L323" s="23"/>
      <c r="M323" s="45"/>
      <c r="N323" s="57"/>
      <c r="O323" s="47">
        <f t="shared" si="184"/>
        <v>975.5</v>
      </c>
      <c r="P323" s="49"/>
      <c r="Q323" s="49"/>
      <c r="R323" s="77">
        <f t="shared" si="180"/>
        <v>643.2421875</v>
      </c>
      <c r="S323" s="77"/>
      <c r="T323" s="78">
        <f t="shared" si="181"/>
        <v>4.276171875</v>
      </c>
      <c r="U323" s="77"/>
      <c r="V323" s="77"/>
      <c r="W323" s="77">
        <f t="shared" si="177"/>
        <v>647.518359375</v>
      </c>
      <c r="X323" s="79">
        <f t="shared" si="182"/>
        <v>15.8208984375</v>
      </c>
      <c r="Y323" s="79"/>
      <c r="Z323" s="79"/>
      <c r="AA323" s="79">
        <f t="shared" si="175"/>
        <v>15.8208984375</v>
      </c>
      <c r="AB323" s="91">
        <v>7.27</v>
      </c>
      <c r="AC323" s="77">
        <f t="shared" si="173"/>
        <v>115.017931640625</v>
      </c>
      <c r="AD323" s="77">
        <f t="shared" si="172"/>
        <v>762.536291015625</v>
      </c>
      <c r="AE323" s="77">
        <f t="shared" si="174"/>
        <v>212.963708984375</v>
      </c>
    </row>
    <row r="324" customFormat="1" spans="1:31">
      <c r="A324" s="22"/>
      <c r="B324" s="23"/>
      <c r="C324" s="24">
        <v>241209000048</v>
      </c>
      <c r="D324" s="25">
        <v>45638</v>
      </c>
      <c r="E324" s="25" t="s">
        <v>61</v>
      </c>
      <c r="F324" s="23" t="s">
        <v>62</v>
      </c>
      <c r="G324" s="23" t="s">
        <v>250</v>
      </c>
      <c r="H324" s="23">
        <v>0.1</v>
      </c>
      <c r="I324" s="96"/>
      <c r="J324" s="51">
        <v>46600</v>
      </c>
      <c r="K324" s="45"/>
      <c r="L324" s="52">
        <f t="shared" ref="L324:L326" si="185">SUM(J324/M324)</f>
        <v>1694.54545454545</v>
      </c>
      <c r="M324" s="53">
        <v>27.5</v>
      </c>
      <c r="N324" s="57">
        <v>7.27</v>
      </c>
      <c r="O324" s="47">
        <f t="shared" ref="O324:O326" si="186">SUM(M324*N324)</f>
        <v>199.925</v>
      </c>
      <c r="P324" s="49"/>
      <c r="Q324" s="49"/>
      <c r="R324" s="77">
        <f t="shared" si="180"/>
        <v>8.5765625</v>
      </c>
      <c r="S324" s="77"/>
      <c r="T324" s="78">
        <f t="shared" si="181"/>
        <v>0.057015625</v>
      </c>
      <c r="U324" s="77"/>
      <c r="V324" s="77"/>
      <c r="W324" s="77">
        <f t="shared" si="177"/>
        <v>8.633578125</v>
      </c>
      <c r="X324" s="79">
        <f t="shared" si="182"/>
        <v>0.2109453125</v>
      </c>
      <c r="Y324" s="79">
        <v>9.72</v>
      </c>
      <c r="Z324" s="79"/>
      <c r="AA324" s="79">
        <f t="shared" si="175"/>
        <v>9.9309453125</v>
      </c>
      <c r="AB324" s="91">
        <v>7.27</v>
      </c>
      <c r="AC324" s="77">
        <f t="shared" si="173"/>
        <v>72.197972421875</v>
      </c>
      <c r="AD324" s="77">
        <f t="shared" si="172"/>
        <v>80.831550546875</v>
      </c>
      <c r="AE324" s="77">
        <f t="shared" si="174"/>
        <v>119.093449453125</v>
      </c>
    </row>
    <row r="325" customFormat="1" spans="1:31">
      <c r="A325" s="22"/>
      <c r="B325" s="23"/>
      <c r="C325" s="24">
        <v>241209000049</v>
      </c>
      <c r="D325" s="25">
        <v>45638</v>
      </c>
      <c r="E325" s="25" t="s">
        <v>61</v>
      </c>
      <c r="F325" s="23" t="s">
        <v>62</v>
      </c>
      <c r="G325" s="23" t="s">
        <v>250</v>
      </c>
      <c r="H325" s="23">
        <v>6</v>
      </c>
      <c r="I325" s="50"/>
      <c r="J325" s="51">
        <v>256300</v>
      </c>
      <c r="K325" s="45"/>
      <c r="L325" s="52">
        <f t="shared" si="185"/>
        <v>1693.98545935228</v>
      </c>
      <c r="M325" s="53">
        <v>151.3</v>
      </c>
      <c r="N325" s="57">
        <v>7.27</v>
      </c>
      <c r="O325" s="47">
        <f t="shared" si="186"/>
        <v>1099.951</v>
      </c>
      <c r="P325" s="49"/>
      <c r="Q325" s="49"/>
      <c r="R325" s="77">
        <f t="shared" si="180"/>
        <v>514.59375</v>
      </c>
      <c r="S325" s="77"/>
      <c r="T325" s="78">
        <f t="shared" si="181"/>
        <v>3.4209375</v>
      </c>
      <c r="U325" s="77"/>
      <c r="V325" s="77"/>
      <c r="W325" s="77">
        <f t="shared" si="177"/>
        <v>518.0146875</v>
      </c>
      <c r="X325" s="79">
        <f t="shared" si="182"/>
        <v>12.65671875</v>
      </c>
      <c r="Y325" s="79">
        <v>44.4</v>
      </c>
      <c r="Z325" s="79"/>
      <c r="AA325" s="79">
        <f t="shared" si="175"/>
        <v>57.05671875</v>
      </c>
      <c r="AB325" s="91">
        <v>7.27</v>
      </c>
      <c r="AC325" s="77">
        <f t="shared" si="173"/>
        <v>414.8023453125</v>
      </c>
      <c r="AD325" s="77">
        <f t="shared" si="172"/>
        <v>932.8170328125</v>
      </c>
      <c r="AE325" s="77">
        <f t="shared" si="174"/>
        <v>167.1339671875</v>
      </c>
    </row>
    <row r="326" customFormat="1" spans="1:31">
      <c r="A326" s="22"/>
      <c r="B326" s="23"/>
      <c r="C326" s="24">
        <v>241209000050</v>
      </c>
      <c r="D326" s="25">
        <v>45638</v>
      </c>
      <c r="E326" s="25" t="s">
        <v>61</v>
      </c>
      <c r="F326" s="23" t="s">
        <v>62</v>
      </c>
      <c r="G326" s="23" t="s">
        <v>250</v>
      </c>
      <c r="H326" s="23">
        <v>0.1</v>
      </c>
      <c r="I326" s="96"/>
      <c r="J326" s="51">
        <v>46600</v>
      </c>
      <c r="K326" s="45"/>
      <c r="L326" s="52">
        <f t="shared" si="185"/>
        <v>1693.92948018902</v>
      </c>
      <c r="M326" s="53">
        <v>27.51</v>
      </c>
      <c r="N326" s="57">
        <v>7.27</v>
      </c>
      <c r="O326" s="47">
        <f t="shared" si="186"/>
        <v>199.9977</v>
      </c>
      <c r="P326" s="49"/>
      <c r="Q326" s="49"/>
      <c r="R326" s="77">
        <f t="shared" si="180"/>
        <v>8.5765625</v>
      </c>
      <c r="S326" s="77"/>
      <c r="T326" s="78">
        <f t="shared" si="181"/>
        <v>0.057015625</v>
      </c>
      <c r="U326" s="77"/>
      <c r="V326" s="77"/>
      <c r="W326" s="77">
        <f t="shared" si="177"/>
        <v>8.633578125</v>
      </c>
      <c r="X326" s="79">
        <f t="shared" si="182"/>
        <v>0.2109453125</v>
      </c>
      <c r="Y326" s="79">
        <v>9.72</v>
      </c>
      <c r="Z326" s="79"/>
      <c r="AA326" s="79">
        <f t="shared" si="175"/>
        <v>9.9309453125</v>
      </c>
      <c r="AB326" s="91">
        <v>7.27</v>
      </c>
      <c r="AC326" s="77">
        <f t="shared" si="173"/>
        <v>72.197972421875</v>
      </c>
      <c r="AD326" s="77">
        <f t="shared" si="172"/>
        <v>80.831550546875</v>
      </c>
      <c r="AE326" s="77">
        <f t="shared" si="174"/>
        <v>119.166149453125</v>
      </c>
    </row>
    <row r="327" customFormat="1" spans="1:31">
      <c r="A327" s="22"/>
      <c r="B327" s="23"/>
      <c r="C327" s="24">
        <v>241209000051</v>
      </c>
      <c r="D327" s="25">
        <v>45638</v>
      </c>
      <c r="E327" s="25" t="s">
        <v>61</v>
      </c>
      <c r="F327" s="23" t="s">
        <v>62</v>
      </c>
      <c r="G327" s="23" t="s">
        <v>295</v>
      </c>
      <c r="H327" s="23">
        <v>0.76</v>
      </c>
      <c r="I327" s="43">
        <v>125</v>
      </c>
      <c r="J327" s="44"/>
      <c r="K327" s="45"/>
      <c r="L327" s="23"/>
      <c r="M327" s="45"/>
      <c r="N327" s="57"/>
      <c r="O327" s="47">
        <f t="shared" ref="O327:O329" si="187">SUM(I327)</f>
        <v>125</v>
      </c>
      <c r="P327" s="49"/>
      <c r="Q327" s="49"/>
      <c r="R327" s="77">
        <f t="shared" si="180"/>
        <v>65.181875</v>
      </c>
      <c r="S327" s="77"/>
      <c r="T327" s="78">
        <f t="shared" si="181"/>
        <v>0.43331875</v>
      </c>
      <c r="U327" s="77"/>
      <c r="V327" s="77"/>
      <c r="W327" s="77">
        <f t="shared" si="177"/>
        <v>65.61519375</v>
      </c>
      <c r="X327" s="79">
        <f t="shared" si="182"/>
        <v>1.603184375</v>
      </c>
      <c r="Y327" s="79"/>
      <c r="Z327" s="79"/>
      <c r="AA327" s="79">
        <f t="shared" si="175"/>
        <v>1.603184375</v>
      </c>
      <c r="AB327" s="91">
        <v>7.27</v>
      </c>
      <c r="AC327" s="77">
        <f t="shared" si="173"/>
        <v>11.65515040625</v>
      </c>
      <c r="AD327" s="77">
        <f t="shared" si="172"/>
        <v>77.27034415625</v>
      </c>
      <c r="AE327" s="77">
        <f t="shared" si="174"/>
        <v>47.72965584375</v>
      </c>
    </row>
    <row r="328" customFormat="1" spans="1:31">
      <c r="A328" s="22"/>
      <c r="B328" s="23"/>
      <c r="C328" s="92">
        <v>241209000055</v>
      </c>
      <c r="D328" s="94">
        <v>45638</v>
      </c>
      <c r="E328" s="25" t="s">
        <v>61</v>
      </c>
      <c r="F328" s="95" t="s">
        <v>62</v>
      </c>
      <c r="G328" s="95" t="s">
        <v>105</v>
      </c>
      <c r="H328" s="95">
        <v>0.15</v>
      </c>
      <c r="I328" s="43">
        <v>150</v>
      </c>
      <c r="J328" s="44"/>
      <c r="K328" s="45"/>
      <c r="L328" s="23"/>
      <c r="M328" s="45"/>
      <c r="N328" s="57"/>
      <c r="O328" s="47">
        <f t="shared" si="187"/>
        <v>150</v>
      </c>
      <c r="P328" s="49"/>
      <c r="Q328" s="49"/>
      <c r="R328" s="77">
        <f t="shared" si="180"/>
        <v>12.86484375</v>
      </c>
      <c r="S328" s="77"/>
      <c r="T328" s="78">
        <f t="shared" si="181"/>
        <v>0.0855234375</v>
      </c>
      <c r="U328" s="77"/>
      <c r="V328" s="77"/>
      <c r="W328" s="77">
        <f t="shared" si="177"/>
        <v>12.9503671875</v>
      </c>
      <c r="X328" s="79">
        <f t="shared" si="182"/>
        <v>0.31641796875</v>
      </c>
      <c r="Y328" s="79"/>
      <c r="Z328" s="79"/>
      <c r="AA328" s="79">
        <f t="shared" si="175"/>
        <v>0.31641796875</v>
      </c>
      <c r="AB328" s="91">
        <v>7.27</v>
      </c>
      <c r="AC328" s="77">
        <f t="shared" si="173"/>
        <v>2.3003586328125</v>
      </c>
      <c r="AD328" s="77">
        <f t="shared" si="172"/>
        <v>15.2507258203125</v>
      </c>
      <c r="AE328" s="77">
        <f t="shared" si="174"/>
        <v>134.749274179687</v>
      </c>
    </row>
    <row r="329" customFormat="1" spans="1:31">
      <c r="A329" s="22"/>
      <c r="B329" s="23"/>
      <c r="C329" s="24">
        <v>241209000057</v>
      </c>
      <c r="D329" s="25">
        <v>45638</v>
      </c>
      <c r="E329" s="25" t="s">
        <v>61</v>
      </c>
      <c r="F329" s="23" t="s">
        <v>62</v>
      </c>
      <c r="G329" s="23" t="s">
        <v>296</v>
      </c>
      <c r="H329" s="23">
        <v>0.86</v>
      </c>
      <c r="I329" s="43">
        <v>125</v>
      </c>
      <c r="J329" s="44"/>
      <c r="K329" s="45"/>
      <c r="L329" s="23"/>
      <c r="M329" s="45"/>
      <c r="N329" s="57"/>
      <c r="O329" s="47">
        <f t="shared" si="187"/>
        <v>125</v>
      </c>
      <c r="P329" s="49"/>
      <c r="Q329" s="49"/>
      <c r="R329" s="77">
        <f t="shared" si="180"/>
        <v>73.7584375</v>
      </c>
      <c r="S329" s="77"/>
      <c r="T329" s="78">
        <f t="shared" si="181"/>
        <v>0.490334375</v>
      </c>
      <c r="U329" s="77"/>
      <c r="V329" s="77"/>
      <c r="W329" s="77">
        <f t="shared" si="177"/>
        <v>74.248771875</v>
      </c>
      <c r="X329" s="79">
        <f t="shared" si="182"/>
        <v>1.8141296875</v>
      </c>
      <c r="Y329" s="79"/>
      <c r="Z329" s="79"/>
      <c r="AA329" s="79">
        <f t="shared" si="175"/>
        <v>1.8141296875</v>
      </c>
      <c r="AB329" s="91">
        <v>7.27</v>
      </c>
      <c r="AC329" s="77">
        <f t="shared" si="173"/>
        <v>13.188722828125</v>
      </c>
      <c r="AD329" s="77">
        <f t="shared" si="172"/>
        <v>87.437494703125</v>
      </c>
      <c r="AE329" s="77">
        <f t="shared" si="174"/>
        <v>37.562505296875</v>
      </c>
    </row>
    <row r="330" customFormat="1" spans="1:31">
      <c r="A330" s="22"/>
      <c r="B330" s="23"/>
      <c r="C330" s="24">
        <v>241209000073</v>
      </c>
      <c r="D330" s="25">
        <v>45638</v>
      </c>
      <c r="E330" s="25" t="s">
        <v>61</v>
      </c>
      <c r="F330" s="23" t="s">
        <v>62</v>
      </c>
      <c r="G330" s="23" t="s">
        <v>297</v>
      </c>
      <c r="H330" s="23">
        <v>0.1</v>
      </c>
      <c r="I330" s="50"/>
      <c r="J330" s="51">
        <v>31200</v>
      </c>
      <c r="K330" s="45"/>
      <c r="L330" s="52">
        <f t="shared" ref="L330:L333" si="188">SUM(J330/M330)</f>
        <v>1744.96644295302</v>
      </c>
      <c r="M330" s="53">
        <v>17.88</v>
      </c>
      <c r="N330" s="57">
        <v>7.27</v>
      </c>
      <c r="O330" s="47">
        <f t="shared" ref="O330:O333" si="189">SUM(M330*N330)</f>
        <v>129.9876</v>
      </c>
      <c r="P330" s="49"/>
      <c r="Q330" s="49"/>
      <c r="R330" s="77">
        <f t="shared" si="180"/>
        <v>8.5765625</v>
      </c>
      <c r="S330" s="77"/>
      <c r="T330" s="78">
        <f t="shared" si="181"/>
        <v>0.057015625</v>
      </c>
      <c r="U330" s="77"/>
      <c r="V330" s="77"/>
      <c r="W330" s="77">
        <f t="shared" si="177"/>
        <v>8.633578125</v>
      </c>
      <c r="X330" s="79">
        <f t="shared" si="182"/>
        <v>0.2109453125</v>
      </c>
      <c r="Y330" s="79"/>
      <c r="Z330" s="79"/>
      <c r="AA330" s="79">
        <f t="shared" si="175"/>
        <v>0.2109453125</v>
      </c>
      <c r="AB330" s="91">
        <v>7.27</v>
      </c>
      <c r="AC330" s="77">
        <f t="shared" si="173"/>
        <v>1.533572421875</v>
      </c>
      <c r="AD330" s="77">
        <f t="shared" si="172"/>
        <v>10.167150546875</v>
      </c>
      <c r="AE330" s="77">
        <f t="shared" si="174"/>
        <v>119.820449453125</v>
      </c>
    </row>
    <row r="331" customFormat="1" spans="1:31">
      <c r="A331" s="22"/>
      <c r="B331" s="23"/>
      <c r="C331" s="24">
        <v>241209000078</v>
      </c>
      <c r="D331" s="25">
        <v>45638</v>
      </c>
      <c r="E331" s="25" t="s">
        <v>61</v>
      </c>
      <c r="F331" s="23" t="s">
        <v>62</v>
      </c>
      <c r="G331" s="23" t="s">
        <v>298</v>
      </c>
      <c r="H331" s="23">
        <v>4</v>
      </c>
      <c r="I331" s="43">
        <v>850</v>
      </c>
      <c r="J331" s="44"/>
      <c r="K331" s="45"/>
      <c r="L331" s="23"/>
      <c r="M331" s="45"/>
      <c r="N331" s="57"/>
      <c r="O331" s="47">
        <f t="shared" ref="O331:O342" si="190">SUM(I331)</f>
        <v>850</v>
      </c>
      <c r="P331" s="49"/>
      <c r="Q331" s="49"/>
      <c r="R331" s="77">
        <f t="shared" si="180"/>
        <v>343.0625</v>
      </c>
      <c r="S331" s="77"/>
      <c r="T331" s="78">
        <f t="shared" si="181"/>
        <v>2.280625</v>
      </c>
      <c r="U331" s="77"/>
      <c r="V331" s="77"/>
      <c r="W331" s="77">
        <f t="shared" si="177"/>
        <v>345.343125</v>
      </c>
      <c r="X331" s="79">
        <f t="shared" si="182"/>
        <v>8.4378125</v>
      </c>
      <c r="Y331" s="79"/>
      <c r="Z331" s="79"/>
      <c r="AA331" s="79">
        <f t="shared" si="175"/>
        <v>8.4378125</v>
      </c>
      <c r="AB331" s="91">
        <v>7.27</v>
      </c>
      <c r="AC331" s="77">
        <f t="shared" si="173"/>
        <v>61.342896875</v>
      </c>
      <c r="AD331" s="77">
        <f t="shared" si="172"/>
        <v>406.686021875</v>
      </c>
      <c r="AE331" s="77">
        <f t="shared" si="174"/>
        <v>443.313978125</v>
      </c>
    </row>
    <row r="332" customFormat="1" spans="1:31">
      <c r="A332" s="22"/>
      <c r="B332" s="23"/>
      <c r="C332" s="24">
        <v>241209000087</v>
      </c>
      <c r="D332" s="26">
        <v>45638</v>
      </c>
      <c r="E332" s="25" t="s">
        <v>133</v>
      </c>
      <c r="F332" s="23" t="s">
        <v>147</v>
      </c>
      <c r="G332" s="23" t="s">
        <v>230</v>
      </c>
      <c r="H332" s="23">
        <v>0.76266664</v>
      </c>
      <c r="I332" s="47"/>
      <c r="J332" s="51">
        <v>31353</v>
      </c>
      <c r="K332" s="45"/>
      <c r="L332" s="52">
        <f t="shared" si="188"/>
        <v>1737.00831024931</v>
      </c>
      <c r="M332" s="53">
        <v>18.05</v>
      </c>
      <c r="N332" s="57">
        <v>7.27</v>
      </c>
      <c r="O332" s="47">
        <f t="shared" si="189"/>
        <v>131.2235</v>
      </c>
      <c r="P332" s="49"/>
      <c r="Q332" s="49"/>
      <c r="R332" s="77">
        <f t="shared" si="180"/>
        <v>65.41058104625</v>
      </c>
      <c r="S332" s="77"/>
      <c r="T332" s="78">
        <f t="shared" si="181"/>
        <v>0.4348391514625</v>
      </c>
      <c r="U332" s="77"/>
      <c r="V332" s="77"/>
      <c r="W332" s="77">
        <f t="shared" si="177"/>
        <v>65.8454201977125</v>
      </c>
      <c r="X332" s="79">
        <f t="shared" si="182"/>
        <v>1.60880952708125</v>
      </c>
      <c r="Y332" s="79"/>
      <c r="Z332" s="79"/>
      <c r="AA332" s="79">
        <f t="shared" si="175"/>
        <v>1.60880952708125</v>
      </c>
      <c r="AB332" s="91">
        <v>7.27</v>
      </c>
      <c r="AC332" s="77">
        <f t="shared" si="173"/>
        <v>11.6960452618807</v>
      </c>
      <c r="AD332" s="77">
        <f t="shared" si="172"/>
        <v>77.5414654595932</v>
      </c>
      <c r="AE332" s="77">
        <f t="shared" si="174"/>
        <v>53.6820345404068</v>
      </c>
    </row>
    <row r="333" customFormat="1" spans="1:31">
      <c r="A333" s="22"/>
      <c r="B333" s="23"/>
      <c r="C333" s="24">
        <v>241209000089</v>
      </c>
      <c r="D333" s="25">
        <v>45638</v>
      </c>
      <c r="E333" s="25" t="s">
        <v>61</v>
      </c>
      <c r="F333" s="23" t="s">
        <v>62</v>
      </c>
      <c r="G333" s="23" t="s">
        <v>250</v>
      </c>
      <c r="H333" s="23">
        <v>0.1</v>
      </c>
      <c r="I333" s="96"/>
      <c r="J333" s="51">
        <v>46600</v>
      </c>
      <c r="K333" s="45"/>
      <c r="L333" s="52">
        <f t="shared" si="188"/>
        <v>1678.06985956068</v>
      </c>
      <c r="M333" s="53">
        <v>27.77</v>
      </c>
      <c r="N333" s="57">
        <v>7.27</v>
      </c>
      <c r="O333" s="47">
        <f t="shared" si="189"/>
        <v>201.8879</v>
      </c>
      <c r="P333" s="49"/>
      <c r="Q333" s="49"/>
      <c r="R333" s="77">
        <f t="shared" si="180"/>
        <v>8.5765625</v>
      </c>
      <c r="S333" s="77"/>
      <c r="T333" s="78">
        <f t="shared" si="181"/>
        <v>0.057015625</v>
      </c>
      <c r="U333" s="77"/>
      <c r="V333" s="77"/>
      <c r="W333" s="77">
        <f t="shared" si="177"/>
        <v>8.633578125</v>
      </c>
      <c r="X333" s="79">
        <f t="shared" si="182"/>
        <v>0.2109453125</v>
      </c>
      <c r="Y333" s="79">
        <v>9.72</v>
      </c>
      <c r="Z333" s="79"/>
      <c r="AA333" s="79">
        <f t="shared" si="175"/>
        <v>9.9309453125</v>
      </c>
      <c r="AB333" s="91">
        <v>7.27</v>
      </c>
      <c r="AC333" s="77">
        <f t="shared" si="173"/>
        <v>72.197972421875</v>
      </c>
      <c r="AD333" s="77">
        <f t="shared" si="172"/>
        <v>80.831550546875</v>
      </c>
      <c r="AE333" s="77">
        <f t="shared" si="174"/>
        <v>121.056349453125</v>
      </c>
    </row>
    <row r="334" customFormat="1" spans="1:31">
      <c r="A334" s="22"/>
      <c r="B334" s="23"/>
      <c r="C334" s="24">
        <v>241210000003</v>
      </c>
      <c r="D334" s="25">
        <v>45638</v>
      </c>
      <c r="E334" s="25" t="s">
        <v>84</v>
      </c>
      <c r="F334" s="23" t="s">
        <v>85</v>
      </c>
      <c r="G334" s="23" t="s">
        <v>114</v>
      </c>
      <c r="H334" s="23">
        <v>0.84</v>
      </c>
      <c r="I334" s="43">
        <v>125</v>
      </c>
      <c r="J334" s="44"/>
      <c r="K334" s="45"/>
      <c r="L334" s="23"/>
      <c r="M334" s="45"/>
      <c r="N334" s="57"/>
      <c r="O334" s="47">
        <f t="shared" si="190"/>
        <v>125</v>
      </c>
      <c r="P334" s="49"/>
      <c r="Q334" s="49"/>
      <c r="R334" s="77">
        <f t="shared" si="180"/>
        <v>72.043125</v>
      </c>
      <c r="S334" s="77"/>
      <c r="T334" s="78">
        <f t="shared" si="181"/>
        <v>0.47893125</v>
      </c>
      <c r="U334" s="77"/>
      <c r="V334" s="77"/>
      <c r="W334" s="77">
        <f t="shared" si="177"/>
        <v>72.52205625</v>
      </c>
      <c r="X334" s="79">
        <f t="shared" si="182"/>
        <v>1.771940625</v>
      </c>
      <c r="Y334" s="79"/>
      <c r="Z334" s="79"/>
      <c r="AA334" s="79">
        <f t="shared" si="175"/>
        <v>1.771940625</v>
      </c>
      <c r="AB334" s="91">
        <v>7.27</v>
      </c>
      <c r="AC334" s="77">
        <f t="shared" si="173"/>
        <v>12.88200834375</v>
      </c>
      <c r="AD334" s="77">
        <f t="shared" si="172"/>
        <v>85.40406459375</v>
      </c>
      <c r="AE334" s="77">
        <f t="shared" si="174"/>
        <v>39.59593540625</v>
      </c>
    </row>
    <row r="335" customFormat="1" spans="1:31">
      <c r="A335" s="22"/>
      <c r="B335" s="23"/>
      <c r="C335" s="24">
        <v>241210000009</v>
      </c>
      <c r="D335" s="25">
        <v>45638</v>
      </c>
      <c r="E335" s="25" t="s">
        <v>44</v>
      </c>
      <c r="F335" s="23" t="s">
        <v>45</v>
      </c>
      <c r="G335" s="23" t="s">
        <v>299</v>
      </c>
      <c r="H335" s="23">
        <v>3.5</v>
      </c>
      <c r="I335" s="43">
        <v>437.5</v>
      </c>
      <c r="J335" s="44"/>
      <c r="K335" s="45"/>
      <c r="L335" s="23"/>
      <c r="M335" s="45"/>
      <c r="N335" s="57"/>
      <c r="O335" s="47">
        <f t="shared" si="190"/>
        <v>437.5</v>
      </c>
      <c r="P335" s="49"/>
      <c r="Q335" s="49"/>
      <c r="R335" s="77">
        <f t="shared" si="180"/>
        <v>300.1796875</v>
      </c>
      <c r="S335" s="77"/>
      <c r="T335" s="78">
        <f t="shared" si="181"/>
        <v>1.995546875</v>
      </c>
      <c r="U335" s="77"/>
      <c r="V335" s="77"/>
      <c r="W335" s="77">
        <f t="shared" si="177"/>
        <v>302.175234375</v>
      </c>
      <c r="X335" s="79">
        <f t="shared" si="182"/>
        <v>7.3830859375</v>
      </c>
      <c r="Y335" s="79"/>
      <c r="Z335" s="79"/>
      <c r="AA335" s="79">
        <f t="shared" si="175"/>
        <v>7.3830859375</v>
      </c>
      <c r="AB335" s="91">
        <v>7.27</v>
      </c>
      <c r="AC335" s="77">
        <f t="shared" si="173"/>
        <v>53.675034765625</v>
      </c>
      <c r="AD335" s="77">
        <f t="shared" si="172"/>
        <v>355.850269140625</v>
      </c>
      <c r="AE335" s="77">
        <f t="shared" si="174"/>
        <v>81.649730859375</v>
      </c>
    </row>
    <row r="336" customFormat="1" spans="1:31">
      <c r="A336" s="22"/>
      <c r="B336" s="23"/>
      <c r="C336" s="24">
        <v>241210000012</v>
      </c>
      <c r="D336" s="25">
        <v>45638</v>
      </c>
      <c r="E336" s="25" t="s">
        <v>41</v>
      </c>
      <c r="F336" s="23" t="s">
        <v>42</v>
      </c>
      <c r="G336" s="23" t="s">
        <v>300</v>
      </c>
      <c r="H336" s="23">
        <v>3</v>
      </c>
      <c r="I336" s="43">
        <v>640</v>
      </c>
      <c r="J336" s="44"/>
      <c r="K336" s="45"/>
      <c r="L336" s="23"/>
      <c r="M336" s="45"/>
      <c r="N336" s="57"/>
      <c r="O336" s="47">
        <f t="shared" si="190"/>
        <v>640</v>
      </c>
      <c r="P336" s="49"/>
      <c r="Q336" s="49"/>
      <c r="R336" s="77">
        <f t="shared" si="180"/>
        <v>257.296875</v>
      </c>
      <c r="S336" s="77"/>
      <c r="T336" s="78">
        <f t="shared" si="181"/>
        <v>1.71046875</v>
      </c>
      <c r="U336" s="77"/>
      <c r="V336" s="77"/>
      <c r="W336" s="77">
        <f t="shared" si="177"/>
        <v>259.00734375</v>
      </c>
      <c r="X336" s="79">
        <f t="shared" si="182"/>
        <v>6.328359375</v>
      </c>
      <c r="Y336" s="79"/>
      <c r="Z336" s="79"/>
      <c r="AA336" s="79">
        <f t="shared" si="175"/>
        <v>6.328359375</v>
      </c>
      <c r="AB336" s="91">
        <v>7.27</v>
      </c>
      <c r="AC336" s="77">
        <f t="shared" si="173"/>
        <v>46.00717265625</v>
      </c>
      <c r="AD336" s="77">
        <f t="shared" si="172"/>
        <v>305.01451640625</v>
      </c>
      <c r="AE336" s="77">
        <f t="shared" si="174"/>
        <v>334.98548359375</v>
      </c>
    </row>
    <row r="337" customFormat="1" spans="1:31">
      <c r="A337" s="22"/>
      <c r="B337" s="23"/>
      <c r="C337" s="24">
        <v>241210000038</v>
      </c>
      <c r="D337" s="25">
        <v>45638</v>
      </c>
      <c r="E337" s="25" t="s">
        <v>37</v>
      </c>
      <c r="F337" s="23" t="s">
        <v>38</v>
      </c>
      <c r="G337" s="23" t="s">
        <v>301</v>
      </c>
      <c r="H337" s="23">
        <v>1.5</v>
      </c>
      <c r="I337" s="43">
        <v>187.5</v>
      </c>
      <c r="J337" s="44"/>
      <c r="K337" s="45"/>
      <c r="L337" s="23"/>
      <c r="M337" s="45"/>
      <c r="N337" s="57"/>
      <c r="O337" s="47">
        <f t="shared" si="190"/>
        <v>187.5</v>
      </c>
      <c r="P337" s="49"/>
      <c r="Q337" s="49"/>
      <c r="R337" s="77">
        <f t="shared" si="180"/>
        <v>128.6484375</v>
      </c>
      <c r="S337" s="77"/>
      <c r="T337" s="78">
        <f t="shared" si="181"/>
        <v>0.855234375</v>
      </c>
      <c r="U337" s="77"/>
      <c r="V337" s="77"/>
      <c r="W337" s="77">
        <f t="shared" si="177"/>
        <v>129.503671875</v>
      </c>
      <c r="X337" s="79">
        <f t="shared" si="182"/>
        <v>3.1641796875</v>
      </c>
      <c r="Y337" s="79"/>
      <c r="Z337" s="79"/>
      <c r="AA337" s="79">
        <f t="shared" si="175"/>
        <v>3.1641796875</v>
      </c>
      <c r="AB337" s="91">
        <v>7.27</v>
      </c>
      <c r="AC337" s="77">
        <f t="shared" si="173"/>
        <v>23.003586328125</v>
      </c>
      <c r="AD337" s="77">
        <f t="shared" si="172"/>
        <v>152.507258203125</v>
      </c>
      <c r="AE337" s="77">
        <f t="shared" si="174"/>
        <v>34.992741796875</v>
      </c>
    </row>
    <row r="338" customFormat="1" spans="1:31">
      <c r="A338" s="22"/>
      <c r="B338" s="23"/>
      <c r="C338" s="24">
        <v>241210000043</v>
      </c>
      <c r="D338" s="25">
        <v>45638</v>
      </c>
      <c r="E338" s="25" t="s">
        <v>61</v>
      </c>
      <c r="F338" s="23" t="s">
        <v>62</v>
      </c>
      <c r="G338" s="23" t="s">
        <v>63</v>
      </c>
      <c r="H338" s="23">
        <v>0.92</v>
      </c>
      <c r="I338" s="43">
        <v>125</v>
      </c>
      <c r="J338" s="44"/>
      <c r="K338" s="45"/>
      <c r="L338" s="23"/>
      <c r="M338" s="45"/>
      <c r="N338" s="57"/>
      <c r="O338" s="47">
        <f t="shared" si="190"/>
        <v>125</v>
      </c>
      <c r="P338" s="49"/>
      <c r="Q338" s="49"/>
      <c r="R338" s="77">
        <f t="shared" si="180"/>
        <v>78.904375</v>
      </c>
      <c r="S338" s="77"/>
      <c r="T338" s="78">
        <f t="shared" si="181"/>
        <v>0.52454375</v>
      </c>
      <c r="U338" s="77"/>
      <c r="V338" s="77"/>
      <c r="W338" s="77">
        <f t="shared" si="177"/>
        <v>79.42891875</v>
      </c>
      <c r="X338" s="79">
        <f t="shared" si="182"/>
        <v>1.940696875</v>
      </c>
      <c r="Y338" s="79"/>
      <c r="Z338" s="79"/>
      <c r="AA338" s="79">
        <f t="shared" si="175"/>
        <v>1.940696875</v>
      </c>
      <c r="AB338" s="91">
        <v>7.27</v>
      </c>
      <c r="AC338" s="77">
        <f t="shared" si="173"/>
        <v>14.10886628125</v>
      </c>
      <c r="AD338" s="77">
        <f t="shared" si="172"/>
        <v>93.53778503125</v>
      </c>
      <c r="AE338" s="77">
        <f t="shared" si="174"/>
        <v>31.46221496875</v>
      </c>
    </row>
    <row r="339" customFormat="1" spans="1:31">
      <c r="A339" s="22"/>
      <c r="B339" s="23"/>
      <c r="C339" s="24">
        <v>241210000047</v>
      </c>
      <c r="D339" s="25">
        <v>45638</v>
      </c>
      <c r="E339" s="25" t="s">
        <v>44</v>
      </c>
      <c r="F339" s="23" t="s">
        <v>45</v>
      </c>
      <c r="G339" s="23" t="s">
        <v>302</v>
      </c>
      <c r="H339" s="23">
        <v>2.5</v>
      </c>
      <c r="I339" s="43">
        <v>287.5</v>
      </c>
      <c r="J339" s="44"/>
      <c r="K339" s="45"/>
      <c r="L339" s="23"/>
      <c r="M339" s="45"/>
      <c r="N339" s="57"/>
      <c r="O339" s="47">
        <f t="shared" si="190"/>
        <v>287.5</v>
      </c>
      <c r="P339" s="49"/>
      <c r="Q339" s="49"/>
      <c r="R339" s="77">
        <f t="shared" si="180"/>
        <v>214.4140625</v>
      </c>
      <c r="S339" s="77"/>
      <c r="T339" s="78">
        <f t="shared" si="181"/>
        <v>1.425390625</v>
      </c>
      <c r="U339" s="77"/>
      <c r="V339" s="77"/>
      <c r="W339" s="77">
        <f t="shared" si="177"/>
        <v>215.839453125</v>
      </c>
      <c r="X339" s="79">
        <f t="shared" si="182"/>
        <v>5.2736328125</v>
      </c>
      <c r="Y339" s="79"/>
      <c r="Z339" s="79"/>
      <c r="AA339" s="79">
        <f t="shared" ref="AA339:AA348" si="191">SUM(X339:Z339)</f>
        <v>5.2736328125</v>
      </c>
      <c r="AB339" s="91">
        <v>7.27</v>
      </c>
      <c r="AC339" s="77">
        <f t="shared" ref="AC339:AC348" si="192">SUM(AA339*AB339)</f>
        <v>38.339310546875</v>
      </c>
      <c r="AD339" s="77">
        <f t="shared" si="172"/>
        <v>254.178763671875</v>
      </c>
      <c r="AE339" s="77">
        <f t="shared" ref="AE339:AE348" si="193">SUM(O339-AD339)</f>
        <v>33.321236328125</v>
      </c>
    </row>
    <row r="340" customFormat="1" spans="1:31">
      <c r="A340" s="22"/>
      <c r="B340" s="23"/>
      <c r="C340" s="24">
        <v>241210000054</v>
      </c>
      <c r="D340" s="25">
        <v>45638</v>
      </c>
      <c r="E340" s="25" t="s">
        <v>61</v>
      </c>
      <c r="F340" s="23" t="s">
        <v>62</v>
      </c>
      <c r="G340" s="23" t="s">
        <v>303</v>
      </c>
      <c r="H340" s="23">
        <v>5.5</v>
      </c>
      <c r="I340" s="43">
        <v>727.5</v>
      </c>
      <c r="J340" s="44"/>
      <c r="K340" s="45"/>
      <c r="L340" s="23"/>
      <c r="M340" s="45"/>
      <c r="N340" s="57"/>
      <c r="O340" s="47">
        <f t="shared" si="190"/>
        <v>727.5</v>
      </c>
      <c r="P340" s="55"/>
      <c r="Q340" s="55"/>
      <c r="R340" s="77">
        <f t="shared" si="180"/>
        <v>471.7109375</v>
      </c>
      <c r="S340" s="77"/>
      <c r="T340" s="78">
        <f t="shared" si="181"/>
        <v>3.135859375</v>
      </c>
      <c r="U340" s="77"/>
      <c r="V340" s="77"/>
      <c r="W340" s="77">
        <f t="shared" ref="W340:W348" si="194">SUM(R340:V340)</f>
        <v>474.846796875</v>
      </c>
      <c r="X340" s="79">
        <f t="shared" si="182"/>
        <v>11.6019921875</v>
      </c>
      <c r="Y340" s="79"/>
      <c r="Z340" s="79"/>
      <c r="AA340" s="79">
        <f t="shared" si="191"/>
        <v>11.6019921875</v>
      </c>
      <c r="AB340" s="91">
        <v>7.27</v>
      </c>
      <c r="AC340" s="77">
        <f t="shared" si="192"/>
        <v>84.346483203125</v>
      </c>
      <c r="AD340" s="77">
        <f t="shared" ref="AD340:AD348" si="195">SUM(W340+AC340)</f>
        <v>559.193280078125</v>
      </c>
      <c r="AE340" s="77">
        <f t="shared" si="193"/>
        <v>168.306719921875</v>
      </c>
    </row>
    <row r="341" customFormat="1" spans="1:31">
      <c r="A341" s="22" t="s">
        <v>304</v>
      </c>
      <c r="B341" s="23" t="s">
        <v>305</v>
      </c>
      <c r="C341" s="24">
        <v>241206000041</v>
      </c>
      <c r="D341" s="25">
        <v>45639</v>
      </c>
      <c r="E341" s="25" t="s">
        <v>44</v>
      </c>
      <c r="F341" s="23" t="s">
        <v>45</v>
      </c>
      <c r="G341" s="23" t="s">
        <v>306</v>
      </c>
      <c r="H341" s="23">
        <v>3</v>
      </c>
      <c r="I341" s="43">
        <v>390</v>
      </c>
      <c r="J341" s="44"/>
      <c r="K341" s="45"/>
      <c r="L341" s="23"/>
      <c r="M341" s="45"/>
      <c r="N341" s="57"/>
      <c r="O341" s="47">
        <f t="shared" si="190"/>
        <v>390</v>
      </c>
      <c r="P341" s="48">
        <f>SUM(O341:O348)</f>
        <v>6561.3785</v>
      </c>
      <c r="Q341" s="48" t="s">
        <v>40</v>
      </c>
      <c r="R341" s="77">
        <f>SUM(5200/64)*H341</f>
        <v>243.75</v>
      </c>
      <c r="S341" s="77"/>
      <c r="T341" s="78">
        <f>SUM(70.98/64)*H341</f>
        <v>3.3271875</v>
      </c>
      <c r="U341" s="77"/>
      <c r="V341" s="77"/>
      <c r="W341" s="77">
        <f t="shared" si="194"/>
        <v>247.0771875</v>
      </c>
      <c r="X341" s="79">
        <f>SUM(103.93/64)*H341</f>
        <v>4.87171875</v>
      </c>
      <c r="Y341" s="79"/>
      <c r="Z341" s="79"/>
      <c r="AA341" s="79">
        <f t="shared" si="191"/>
        <v>4.87171875</v>
      </c>
      <c r="AB341" s="91">
        <v>7.27</v>
      </c>
      <c r="AC341" s="77">
        <f t="shared" si="192"/>
        <v>35.4173953125</v>
      </c>
      <c r="AD341" s="77">
        <f t="shared" si="195"/>
        <v>282.4945828125</v>
      </c>
      <c r="AE341" s="77">
        <f t="shared" si="193"/>
        <v>107.5054171875</v>
      </c>
    </row>
    <row r="342" customFormat="1" spans="1:31">
      <c r="A342" s="22"/>
      <c r="B342" s="23"/>
      <c r="C342" s="24">
        <v>241209000006</v>
      </c>
      <c r="D342" s="25">
        <v>45639</v>
      </c>
      <c r="E342" s="25" t="s">
        <v>44</v>
      </c>
      <c r="F342" s="23" t="s">
        <v>45</v>
      </c>
      <c r="G342" s="23" t="s">
        <v>204</v>
      </c>
      <c r="H342" s="23">
        <v>2.5</v>
      </c>
      <c r="I342" s="43">
        <v>325</v>
      </c>
      <c r="J342" s="44"/>
      <c r="K342" s="45"/>
      <c r="L342" s="23"/>
      <c r="M342" s="45"/>
      <c r="N342" s="57"/>
      <c r="O342" s="47">
        <f t="shared" si="190"/>
        <v>325</v>
      </c>
      <c r="P342" s="49"/>
      <c r="Q342" s="49"/>
      <c r="R342" s="77">
        <f t="shared" ref="R342:R348" si="196">SUM(5200/64)*H342</f>
        <v>203.125</v>
      </c>
      <c r="S342" s="77"/>
      <c r="T342" s="78">
        <f t="shared" ref="T342:T348" si="197">SUM(70.98/64)*H342</f>
        <v>2.77265625</v>
      </c>
      <c r="U342" s="77"/>
      <c r="V342" s="77"/>
      <c r="W342" s="77">
        <f t="shared" si="194"/>
        <v>205.89765625</v>
      </c>
      <c r="X342" s="79">
        <f t="shared" ref="X342:X348" si="198">SUM(103.93/64)*H342</f>
        <v>4.059765625</v>
      </c>
      <c r="Y342" s="79"/>
      <c r="Z342" s="79"/>
      <c r="AA342" s="79">
        <f t="shared" si="191"/>
        <v>4.059765625</v>
      </c>
      <c r="AB342" s="91">
        <v>7.27</v>
      </c>
      <c r="AC342" s="77">
        <f t="shared" si="192"/>
        <v>29.51449609375</v>
      </c>
      <c r="AD342" s="77">
        <f t="shared" si="195"/>
        <v>235.41215234375</v>
      </c>
      <c r="AE342" s="77">
        <f t="shared" si="193"/>
        <v>89.58784765625</v>
      </c>
    </row>
    <row r="343" customFormat="1" spans="1:31">
      <c r="A343" s="22"/>
      <c r="B343" s="23"/>
      <c r="C343" s="24">
        <v>241210000010</v>
      </c>
      <c r="D343" s="25">
        <v>45639</v>
      </c>
      <c r="E343" s="25" t="s">
        <v>44</v>
      </c>
      <c r="F343" s="23" t="s">
        <v>45</v>
      </c>
      <c r="G343" s="23" t="s">
        <v>307</v>
      </c>
      <c r="H343" s="23">
        <v>5</v>
      </c>
      <c r="I343" s="96"/>
      <c r="J343" s="51">
        <v>147187.5</v>
      </c>
      <c r="K343" s="45"/>
      <c r="L343" s="52">
        <f t="shared" ref="L343:L347" si="199">SUM(J343/M343)</f>
        <v>1712.27896696138</v>
      </c>
      <c r="M343" s="53">
        <v>85.96</v>
      </c>
      <c r="N343" s="57">
        <v>7.27</v>
      </c>
      <c r="O343" s="47">
        <f t="shared" ref="O343:O347" si="200">SUM(M343*N343)</f>
        <v>624.9292</v>
      </c>
      <c r="P343" s="49"/>
      <c r="Q343" s="49"/>
      <c r="R343" s="77">
        <f t="shared" si="196"/>
        <v>406.25</v>
      </c>
      <c r="S343" s="77"/>
      <c r="T343" s="78">
        <f t="shared" si="197"/>
        <v>5.5453125</v>
      </c>
      <c r="U343" s="77"/>
      <c r="V343" s="77"/>
      <c r="W343" s="77">
        <f t="shared" si="194"/>
        <v>411.7953125</v>
      </c>
      <c r="X343" s="79">
        <f t="shared" si="198"/>
        <v>8.11953125</v>
      </c>
      <c r="Y343" s="79"/>
      <c r="Z343" s="79"/>
      <c r="AA343" s="79">
        <f t="shared" si="191"/>
        <v>8.11953125</v>
      </c>
      <c r="AB343" s="91">
        <v>7.27</v>
      </c>
      <c r="AC343" s="77">
        <f t="shared" si="192"/>
        <v>59.0289921875</v>
      </c>
      <c r="AD343" s="77">
        <f t="shared" si="195"/>
        <v>470.8243046875</v>
      </c>
      <c r="AE343" s="77">
        <f t="shared" si="193"/>
        <v>154.1048953125</v>
      </c>
    </row>
    <row r="344" customFormat="1" spans="1:31">
      <c r="A344" s="22"/>
      <c r="B344" s="23"/>
      <c r="C344" s="24">
        <v>241210000024</v>
      </c>
      <c r="D344" s="25">
        <v>45639</v>
      </c>
      <c r="E344" s="25" t="s">
        <v>37</v>
      </c>
      <c r="F344" s="23" t="s">
        <v>38</v>
      </c>
      <c r="G344" s="23" t="s">
        <v>51</v>
      </c>
      <c r="H344" s="23">
        <v>7</v>
      </c>
      <c r="I344" s="50"/>
      <c r="J344" s="51">
        <v>285000</v>
      </c>
      <c r="K344" s="45"/>
      <c r="L344" s="52">
        <f t="shared" si="199"/>
        <v>1657.6513697435</v>
      </c>
      <c r="M344" s="53">
        <v>171.93</v>
      </c>
      <c r="N344" s="57">
        <v>7.27</v>
      </c>
      <c r="O344" s="47">
        <f t="shared" si="200"/>
        <v>1249.9311</v>
      </c>
      <c r="P344" s="49"/>
      <c r="Q344" s="49"/>
      <c r="R344" s="77">
        <f t="shared" si="196"/>
        <v>568.75</v>
      </c>
      <c r="S344" s="77"/>
      <c r="T344" s="78">
        <f t="shared" si="197"/>
        <v>7.7634375</v>
      </c>
      <c r="U344" s="77"/>
      <c r="V344" s="77"/>
      <c r="W344" s="77">
        <f t="shared" si="194"/>
        <v>576.5134375</v>
      </c>
      <c r="X344" s="79">
        <f t="shared" si="198"/>
        <v>11.36734375</v>
      </c>
      <c r="Y344" s="79"/>
      <c r="Z344" s="79"/>
      <c r="AA344" s="79">
        <f t="shared" si="191"/>
        <v>11.36734375</v>
      </c>
      <c r="AB344" s="91">
        <v>7.27</v>
      </c>
      <c r="AC344" s="77">
        <f t="shared" si="192"/>
        <v>82.6405890625</v>
      </c>
      <c r="AD344" s="77">
        <f t="shared" si="195"/>
        <v>659.1540265625</v>
      </c>
      <c r="AE344" s="77">
        <f t="shared" si="193"/>
        <v>590.7770734375</v>
      </c>
    </row>
    <row r="345" customFormat="1" spans="1:31">
      <c r="A345" s="22"/>
      <c r="B345" s="23"/>
      <c r="C345" s="24">
        <v>241211000001</v>
      </c>
      <c r="D345" s="26">
        <v>45639</v>
      </c>
      <c r="E345" s="25" t="s">
        <v>133</v>
      </c>
      <c r="F345" s="23" t="s">
        <v>308</v>
      </c>
      <c r="G345" s="23" t="s">
        <v>309</v>
      </c>
      <c r="H345" s="23">
        <v>4.5</v>
      </c>
      <c r="I345" s="43">
        <v>585</v>
      </c>
      <c r="J345" s="44"/>
      <c r="K345" s="45"/>
      <c r="L345" s="23"/>
      <c r="M345" s="45"/>
      <c r="N345" s="57"/>
      <c r="O345" s="47">
        <f t="shared" ref="O345:O356" si="201">SUM(I345)</f>
        <v>585</v>
      </c>
      <c r="P345" s="49"/>
      <c r="Q345" s="49"/>
      <c r="R345" s="77">
        <f t="shared" si="196"/>
        <v>365.625</v>
      </c>
      <c r="S345" s="77"/>
      <c r="T345" s="78">
        <f t="shared" si="197"/>
        <v>4.99078125</v>
      </c>
      <c r="U345" s="77"/>
      <c r="V345" s="77"/>
      <c r="W345" s="77">
        <f t="shared" si="194"/>
        <v>370.61578125</v>
      </c>
      <c r="X345" s="79">
        <f t="shared" si="198"/>
        <v>7.307578125</v>
      </c>
      <c r="Y345" s="79"/>
      <c r="Z345" s="79"/>
      <c r="AA345" s="79">
        <f t="shared" si="191"/>
        <v>7.307578125</v>
      </c>
      <c r="AB345" s="91">
        <v>7.27</v>
      </c>
      <c r="AC345" s="77">
        <f t="shared" si="192"/>
        <v>53.12609296875</v>
      </c>
      <c r="AD345" s="77">
        <f t="shared" si="195"/>
        <v>423.74187421875</v>
      </c>
      <c r="AE345" s="77">
        <f t="shared" si="193"/>
        <v>161.25812578125</v>
      </c>
    </row>
    <row r="346" customFormat="1" spans="1:31">
      <c r="A346" s="22"/>
      <c r="B346" s="23"/>
      <c r="C346" s="24">
        <v>241211000012</v>
      </c>
      <c r="D346" s="25">
        <v>45639</v>
      </c>
      <c r="E346" s="25" t="s">
        <v>37</v>
      </c>
      <c r="F346" s="23" t="s">
        <v>38</v>
      </c>
      <c r="G346" s="23" t="s">
        <v>251</v>
      </c>
      <c r="H346" s="23">
        <v>0.84</v>
      </c>
      <c r="I346" s="43">
        <v>130</v>
      </c>
      <c r="J346" s="44"/>
      <c r="K346" s="45"/>
      <c r="L346" s="23"/>
      <c r="M346" s="45"/>
      <c r="N346" s="57"/>
      <c r="O346" s="47">
        <f t="shared" si="201"/>
        <v>130</v>
      </c>
      <c r="P346" s="49"/>
      <c r="Q346" s="49"/>
      <c r="R346" s="77">
        <f t="shared" si="196"/>
        <v>68.25</v>
      </c>
      <c r="S346" s="77"/>
      <c r="T346" s="78">
        <f t="shared" si="197"/>
        <v>0.9316125</v>
      </c>
      <c r="U346" s="77"/>
      <c r="V346" s="77"/>
      <c r="W346" s="77">
        <f t="shared" si="194"/>
        <v>69.1816125</v>
      </c>
      <c r="X346" s="79">
        <f t="shared" si="198"/>
        <v>1.36408125</v>
      </c>
      <c r="Y346" s="79"/>
      <c r="Z346" s="79"/>
      <c r="AA346" s="79">
        <f t="shared" si="191"/>
        <v>1.36408125</v>
      </c>
      <c r="AB346" s="91">
        <v>7.27</v>
      </c>
      <c r="AC346" s="77">
        <f t="shared" si="192"/>
        <v>9.9168706875</v>
      </c>
      <c r="AD346" s="77">
        <f t="shared" si="195"/>
        <v>79.0984831875</v>
      </c>
      <c r="AE346" s="77">
        <f t="shared" ref="AE346:AE361" si="202">SUM(O346-AD346)</f>
        <v>50.9015168125</v>
      </c>
    </row>
    <row r="347" customFormat="1" spans="1:31">
      <c r="A347" s="22"/>
      <c r="B347" s="23"/>
      <c r="C347" s="24">
        <v>241212000018</v>
      </c>
      <c r="D347" s="25">
        <v>45639</v>
      </c>
      <c r="E347" s="25" t="s">
        <v>54</v>
      </c>
      <c r="F347" s="23" t="s">
        <v>55</v>
      </c>
      <c r="G347" s="23" t="s">
        <v>111</v>
      </c>
      <c r="H347" s="23">
        <v>2</v>
      </c>
      <c r="I347" s="47"/>
      <c r="J347" s="51">
        <v>63678.47</v>
      </c>
      <c r="K347" s="45"/>
      <c r="L347" s="52">
        <f t="shared" si="199"/>
        <v>1737.00136388434</v>
      </c>
      <c r="M347" s="53">
        <v>36.66</v>
      </c>
      <c r="N347" s="57">
        <v>7.27</v>
      </c>
      <c r="O347" s="47">
        <f t="shared" si="200"/>
        <v>266.5182</v>
      </c>
      <c r="P347" s="49"/>
      <c r="Q347" s="49"/>
      <c r="R347" s="77">
        <f t="shared" si="196"/>
        <v>162.5</v>
      </c>
      <c r="S347" s="77"/>
      <c r="T347" s="78">
        <f t="shared" si="197"/>
        <v>2.218125</v>
      </c>
      <c r="U347" s="77"/>
      <c r="V347" s="78">
        <v>14</v>
      </c>
      <c r="W347" s="77">
        <f t="shared" ref="W347:W361" si="203">SUM(R347:V347)</f>
        <v>178.718125</v>
      </c>
      <c r="X347" s="79">
        <f t="shared" si="198"/>
        <v>3.2478125</v>
      </c>
      <c r="Y347" s="79"/>
      <c r="Z347" s="79"/>
      <c r="AA347" s="79">
        <f t="shared" ref="AA347:AA361" si="204">SUM(X347:Z347)</f>
        <v>3.2478125</v>
      </c>
      <c r="AB347" s="91">
        <v>7.27</v>
      </c>
      <c r="AC347" s="77">
        <f t="shared" ref="AC347:AC361" si="205">SUM(AA347*AB347)</f>
        <v>23.611596875</v>
      </c>
      <c r="AD347" s="77">
        <f t="shared" ref="AD347:AD361" si="206">SUM(W347+AC347)</f>
        <v>202.329721875</v>
      </c>
      <c r="AE347" s="77">
        <f t="shared" si="202"/>
        <v>64.188478125</v>
      </c>
    </row>
    <row r="348" customFormat="1" spans="1:31">
      <c r="A348" s="22"/>
      <c r="B348" s="23"/>
      <c r="C348" s="24">
        <v>241212000020</v>
      </c>
      <c r="D348" s="26">
        <v>45639</v>
      </c>
      <c r="E348" s="25" t="s">
        <v>70</v>
      </c>
      <c r="F348" s="23" t="s">
        <v>70</v>
      </c>
      <c r="G348" s="23" t="s">
        <v>181</v>
      </c>
      <c r="H348" s="23">
        <v>23</v>
      </c>
      <c r="I348" s="43">
        <v>2990</v>
      </c>
      <c r="J348" s="44"/>
      <c r="K348" s="45"/>
      <c r="L348" s="23"/>
      <c r="M348" s="45"/>
      <c r="N348" s="57"/>
      <c r="O348" s="47">
        <f t="shared" si="201"/>
        <v>2990</v>
      </c>
      <c r="P348" s="55"/>
      <c r="Q348" s="55"/>
      <c r="R348" s="77">
        <f t="shared" si="196"/>
        <v>1868.75</v>
      </c>
      <c r="S348" s="77"/>
      <c r="T348" s="78">
        <f t="shared" si="197"/>
        <v>25.5084375</v>
      </c>
      <c r="U348" s="77"/>
      <c r="V348" s="77"/>
      <c r="W348" s="77">
        <f t="shared" si="203"/>
        <v>1894.2584375</v>
      </c>
      <c r="X348" s="79">
        <f t="shared" si="198"/>
        <v>37.34984375</v>
      </c>
      <c r="Y348" s="79"/>
      <c r="Z348" s="79"/>
      <c r="AA348" s="79">
        <f t="shared" si="204"/>
        <v>37.34984375</v>
      </c>
      <c r="AB348" s="91">
        <v>7.27</v>
      </c>
      <c r="AC348" s="77">
        <f t="shared" si="205"/>
        <v>271.5333640625</v>
      </c>
      <c r="AD348" s="77">
        <f t="shared" si="206"/>
        <v>2165.7918015625</v>
      </c>
      <c r="AE348" s="77">
        <f t="shared" si="202"/>
        <v>824.2081984375</v>
      </c>
    </row>
    <row r="349" customFormat="1" spans="1:31">
      <c r="A349" s="22" t="s">
        <v>310</v>
      </c>
      <c r="B349" s="23" t="s">
        <v>311</v>
      </c>
      <c r="C349" s="24">
        <v>241209000037</v>
      </c>
      <c r="D349" s="25">
        <v>45640</v>
      </c>
      <c r="E349" s="25" t="s">
        <v>37</v>
      </c>
      <c r="F349" s="23" t="s">
        <v>38</v>
      </c>
      <c r="G349" s="23" t="s">
        <v>251</v>
      </c>
      <c r="H349" s="23">
        <v>3</v>
      </c>
      <c r="I349" s="43">
        <v>390</v>
      </c>
      <c r="J349" s="44"/>
      <c r="K349" s="45"/>
      <c r="L349" s="23"/>
      <c r="M349" s="45"/>
      <c r="N349" s="57"/>
      <c r="O349" s="47">
        <f t="shared" si="201"/>
        <v>390</v>
      </c>
      <c r="P349" s="48">
        <f>SUM(O349:O361)</f>
        <v>17434.025873</v>
      </c>
      <c r="Q349" s="48" t="s">
        <v>40</v>
      </c>
      <c r="R349" s="77">
        <f>SUM(7800/96)*H349</f>
        <v>243.75</v>
      </c>
      <c r="S349" s="77"/>
      <c r="T349" s="77">
        <v>0</v>
      </c>
      <c r="U349" s="77"/>
      <c r="V349" s="77"/>
      <c r="W349" s="77">
        <f t="shared" si="203"/>
        <v>243.75</v>
      </c>
      <c r="X349" s="79">
        <f>SUM(262/96)*H349</f>
        <v>8.1875</v>
      </c>
      <c r="Y349" s="79"/>
      <c r="Z349" s="79"/>
      <c r="AA349" s="79">
        <f t="shared" si="204"/>
        <v>8.1875</v>
      </c>
      <c r="AB349" s="91">
        <v>7.27</v>
      </c>
      <c r="AC349" s="77">
        <f t="shared" si="205"/>
        <v>59.523125</v>
      </c>
      <c r="AD349" s="77">
        <f t="shared" si="206"/>
        <v>303.273125</v>
      </c>
      <c r="AE349" s="77">
        <f t="shared" si="202"/>
        <v>86.726875</v>
      </c>
    </row>
    <row r="350" customFormat="1" spans="1:31">
      <c r="A350" s="22"/>
      <c r="B350" s="23"/>
      <c r="C350" s="24">
        <v>241209000065</v>
      </c>
      <c r="D350" s="25">
        <v>45640</v>
      </c>
      <c r="E350" s="25" t="s">
        <v>37</v>
      </c>
      <c r="F350" s="23" t="s">
        <v>38</v>
      </c>
      <c r="G350" s="23" t="s">
        <v>193</v>
      </c>
      <c r="H350" s="23">
        <v>5</v>
      </c>
      <c r="I350" s="43">
        <v>625</v>
      </c>
      <c r="J350" s="44"/>
      <c r="K350" s="45"/>
      <c r="L350" s="23"/>
      <c r="M350" s="45"/>
      <c r="N350" s="57"/>
      <c r="O350" s="47">
        <f t="shared" si="201"/>
        <v>625</v>
      </c>
      <c r="P350" s="49"/>
      <c r="Q350" s="49"/>
      <c r="R350" s="77">
        <f t="shared" ref="R350:R361" si="207">SUM(7800/96)*H350</f>
        <v>406.25</v>
      </c>
      <c r="S350" s="77"/>
      <c r="T350" s="77">
        <v>0</v>
      </c>
      <c r="U350" s="77"/>
      <c r="V350" s="77"/>
      <c r="W350" s="77">
        <f t="shared" si="203"/>
        <v>406.25</v>
      </c>
      <c r="X350" s="79">
        <f t="shared" ref="X350:X361" si="208">SUM(262/96)*H350</f>
        <v>13.6458333333333</v>
      </c>
      <c r="Y350" s="79"/>
      <c r="Z350" s="79"/>
      <c r="AA350" s="79">
        <f t="shared" si="204"/>
        <v>13.6458333333333</v>
      </c>
      <c r="AB350" s="91">
        <v>7.27</v>
      </c>
      <c r="AC350" s="77">
        <f t="shared" si="205"/>
        <v>99.2052083333333</v>
      </c>
      <c r="AD350" s="77">
        <f t="shared" si="206"/>
        <v>505.455208333333</v>
      </c>
      <c r="AE350" s="77">
        <f t="shared" si="202"/>
        <v>119.544791666667</v>
      </c>
    </row>
    <row r="351" customFormat="1" spans="1:31">
      <c r="A351" s="22"/>
      <c r="B351" s="23"/>
      <c r="C351" s="24">
        <v>241209000080</v>
      </c>
      <c r="D351" s="25">
        <v>45640</v>
      </c>
      <c r="E351" s="25" t="s">
        <v>84</v>
      </c>
      <c r="F351" s="23" t="s">
        <v>85</v>
      </c>
      <c r="G351" s="23" t="s">
        <v>312</v>
      </c>
      <c r="H351" s="23">
        <v>6</v>
      </c>
      <c r="I351" s="43">
        <v>780</v>
      </c>
      <c r="J351" s="44"/>
      <c r="K351" s="45"/>
      <c r="L351" s="23"/>
      <c r="M351" s="45"/>
      <c r="N351" s="57"/>
      <c r="O351" s="47">
        <f t="shared" si="201"/>
        <v>780</v>
      </c>
      <c r="P351" s="49"/>
      <c r="Q351" s="49"/>
      <c r="R351" s="77">
        <f t="shared" si="207"/>
        <v>487.5</v>
      </c>
      <c r="S351" s="77"/>
      <c r="T351" s="77">
        <v>0</v>
      </c>
      <c r="U351" s="77"/>
      <c r="V351" s="77"/>
      <c r="W351" s="77">
        <f t="shared" si="203"/>
        <v>487.5</v>
      </c>
      <c r="X351" s="79">
        <f t="shared" si="208"/>
        <v>16.375</v>
      </c>
      <c r="Y351" s="79"/>
      <c r="Z351" s="79"/>
      <c r="AA351" s="79">
        <f t="shared" si="204"/>
        <v>16.375</v>
      </c>
      <c r="AB351" s="91">
        <v>7.27</v>
      </c>
      <c r="AC351" s="77">
        <f t="shared" si="205"/>
        <v>119.04625</v>
      </c>
      <c r="AD351" s="77">
        <f t="shared" si="206"/>
        <v>606.54625</v>
      </c>
      <c r="AE351" s="77">
        <f t="shared" si="202"/>
        <v>173.45375</v>
      </c>
    </row>
    <row r="352" customFormat="1" spans="1:31">
      <c r="A352" s="22"/>
      <c r="B352" s="23"/>
      <c r="C352" s="24">
        <v>241209000081</v>
      </c>
      <c r="D352" s="25">
        <v>45640</v>
      </c>
      <c r="E352" s="25" t="s">
        <v>37</v>
      </c>
      <c r="F352" s="23" t="s">
        <v>38</v>
      </c>
      <c r="G352" s="23" t="s">
        <v>313</v>
      </c>
      <c r="H352" s="23">
        <v>5.5</v>
      </c>
      <c r="I352" s="43">
        <v>687</v>
      </c>
      <c r="J352" s="44"/>
      <c r="K352" s="45"/>
      <c r="L352" s="23"/>
      <c r="M352" s="45"/>
      <c r="N352" s="57"/>
      <c r="O352" s="47">
        <f t="shared" si="201"/>
        <v>687</v>
      </c>
      <c r="P352" s="49"/>
      <c r="Q352" s="49"/>
      <c r="R352" s="77">
        <f t="shared" si="207"/>
        <v>446.875</v>
      </c>
      <c r="S352" s="77"/>
      <c r="T352" s="77">
        <v>0</v>
      </c>
      <c r="U352" s="77"/>
      <c r="V352" s="77"/>
      <c r="W352" s="77">
        <f t="shared" si="203"/>
        <v>446.875</v>
      </c>
      <c r="X352" s="79">
        <f t="shared" si="208"/>
        <v>15.0104166666667</v>
      </c>
      <c r="Y352" s="79"/>
      <c r="Z352" s="79"/>
      <c r="AA352" s="79">
        <f t="shared" si="204"/>
        <v>15.0104166666667</v>
      </c>
      <c r="AB352" s="91">
        <v>7.27</v>
      </c>
      <c r="AC352" s="77">
        <f t="shared" si="205"/>
        <v>109.125729166667</v>
      </c>
      <c r="AD352" s="77">
        <f t="shared" si="206"/>
        <v>556.000729166667</v>
      </c>
      <c r="AE352" s="77">
        <f t="shared" si="202"/>
        <v>130.999270833333</v>
      </c>
    </row>
    <row r="353" customFormat="1" spans="1:31">
      <c r="A353" s="22"/>
      <c r="B353" s="23"/>
      <c r="C353" s="24">
        <v>241210000014</v>
      </c>
      <c r="D353" s="25">
        <v>45640</v>
      </c>
      <c r="E353" s="25" t="s">
        <v>41</v>
      </c>
      <c r="F353" s="23" t="s">
        <v>42</v>
      </c>
      <c r="G353" s="23" t="s">
        <v>225</v>
      </c>
      <c r="H353" s="23">
        <v>2</v>
      </c>
      <c r="I353" s="43">
        <v>260</v>
      </c>
      <c r="J353" s="44"/>
      <c r="K353" s="45"/>
      <c r="L353" s="23"/>
      <c r="M353" s="45"/>
      <c r="N353" s="57"/>
      <c r="O353" s="47">
        <f t="shared" si="201"/>
        <v>260</v>
      </c>
      <c r="P353" s="49"/>
      <c r="Q353" s="49"/>
      <c r="R353" s="77">
        <f t="shared" si="207"/>
        <v>162.5</v>
      </c>
      <c r="S353" s="77"/>
      <c r="T353" s="77">
        <v>0</v>
      </c>
      <c r="U353" s="77"/>
      <c r="V353" s="77"/>
      <c r="W353" s="77">
        <f t="shared" si="203"/>
        <v>162.5</v>
      </c>
      <c r="X353" s="79">
        <f t="shared" si="208"/>
        <v>5.45833333333333</v>
      </c>
      <c r="Y353" s="79"/>
      <c r="Z353" s="79"/>
      <c r="AA353" s="79">
        <f t="shared" si="204"/>
        <v>5.45833333333333</v>
      </c>
      <c r="AB353" s="91">
        <v>7.27</v>
      </c>
      <c r="AC353" s="77">
        <f t="shared" si="205"/>
        <v>39.6820833333333</v>
      </c>
      <c r="AD353" s="77">
        <f t="shared" si="206"/>
        <v>202.182083333333</v>
      </c>
      <c r="AE353" s="77">
        <f t="shared" si="202"/>
        <v>57.8179166666667</v>
      </c>
    </row>
    <row r="354" customFormat="1" spans="1:31">
      <c r="A354" s="22"/>
      <c r="B354" s="23"/>
      <c r="C354" s="24">
        <v>241210000039</v>
      </c>
      <c r="D354" s="25">
        <v>45640</v>
      </c>
      <c r="E354" s="25" t="s">
        <v>54</v>
      </c>
      <c r="F354" s="23" t="s">
        <v>55</v>
      </c>
      <c r="G354" s="23" t="s">
        <v>87</v>
      </c>
      <c r="H354" s="23">
        <v>13.5</v>
      </c>
      <c r="I354" s="43">
        <v>1755</v>
      </c>
      <c r="J354" s="44"/>
      <c r="K354" s="45"/>
      <c r="L354" s="23"/>
      <c r="M354" s="45"/>
      <c r="N354" s="57"/>
      <c r="O354" s="47">
        <f t="shared" si="201"/>
        <v>1755</v>
      </c>
      <c r="P354" s="49"/>
      <c r="Q354" s="49"/>
      <c r="R354" s="77">
        <f t="shared" si="207"/>
        <v>1096.875</v>
      </c>
      <c r="S354" s="77"/>
      <c r="T354" s="77">
        <v>0</v>
      </c>
      <c r="U354" s="77"/>
      <c r="V354" s="77"/>
      <c r="W354" s="77">
        <f t="shared" si="203"/>
        <v>1096.875</v>
      </c>
      <c r="X354" s="79">
        <f t="shared" si="208"/>
        <v>36.84375</v>
      </c>
      <c r="Y354" s="79"/>
      <c r="Z354" s="79"/>
      <c r="AA354" s="79">
        <f t="shared" si="204"/>
        <v>36.84375</v>
      </c>
      <c r="AB354" s="91">
        <v>7.27</v>
      </c>
      <c r="AC354" s="77">
        <f t="shared" si="205"/>
        <v>267.8540625</v>
      </c>
      <c r="AD354" s="77">
        <f t="shared" si="206"/>
        <v>1364.7290625</v>
      </c>
      <c r="AE354" s="77">
        <f t="shared" si="202"/>
        <v>390.2709375</v>
      </c>
    </row>
    <row r="355" customFormat="1" spans="1:31">
      <c r="A355" s="22"/>
      <c r="B355" s="23"/>
      <c r="C355" s="24">
        <v>241210000045</v>
      </c>
      <c r="D355" s="25">
        <v>45640</v>
      </c>
      <c r="E355" s="25" t="s">
        <v>37</v>
      </c>
      <c r="F355" s="23" t="s">
        <v>38</v>
      </c>
      <c r="G355" s="23" t="s">
        <v>313</v>
      </c>
      <c r="H355" s="23">
        <v>0.5</v>
      </c>
      <c r="I355" s="43">
        <v>170</v>
      </c>
      <c r="J355" s="44"/>
      <c r="K355" s="45"/>
      <c r="L355" s="23"/>
      <c r="M355" s="45"/>
      <c r="N355" s="57"/>
      <c r="O355" s="47">
        <f t="shared" si="201"/>
        <v>170</v>
      </c>
      <c r="P355" s="49"/>
      <c r="Q355" s="49"/>
      <c r="R355" s="77">
        <f t="shared" si="207"/>
        <v>40.625</v>
      </c>
      <c r="S355" s="77"/>
      <c r="T355" s="77">
        <v>0</v>
      </c>
      <c r="U355" s="77"/>
      <c r="V355" s="77"/>
      <c r="W355" s="77">
        <f t="shared" si="203"/>
        <v>40.625</v>
      </c>
      <c r="X355" s="79">
        <f t="shared" si="208"/>
        <v>1.36458333333333</v>
      </c>
      <c r="Y355" s="79"/>
      <c r="Z355" s="79"/>
      <c r="AA355" s="79">
        <f t="shared" si="204"/>
        <v>1.36458333333333</v>
      </c>
      <c r="AB355" s="91">
        <v>7.27</v>
      </c>
      <c r="AC355" s="77">
        <f t="shared" si="205"/>
        <v>9.92052083333333</v>
      </c>
      <c r="AD355" s="77">
        <f t="shared" si="206"/>
        <v>50.5455208333333</v>
      </c>
      <c r="AE355" s="77">
        <f t="shared" si="202"/>
        <v>119.454479166667</v>
      </c>
    </row>
    <row r="356" customFormat="1" spans="1:31">
      <c r="A356" s="22"/>
      <c r="B356" s="23"/>
      <c r="C356" s="24">
        <v>241210000049</v>
      </c>
      <c r="D356" s="25">
        <v>45640</v>
      </c>
      <c r="E356" s="25" t="s">
        <v>61</v>
      </c>
      <c r="F356" s="23" t="s">
        <v>62</v>
      </c>
      <c r="G356" s="23" t="s">
        <v>314</v>
      </c>
      <c r="H356" s="23">
        <v>10.5</v>
      </c>
      <c r="I356" s="43">
        <v>1342.5</v>
      </c>
      <c r="J356" s="44"/>
      <c r="K356" s="45"/>
      <c r="L356" s="23"/>
      <c r="M356" s="45"/>
      <c r="N356" s="57"/>
      <c r="O356" s="47">
        <f t="shared" si="201"/>
        <v>1342.5</v>
      </c>
      <c r="P356" s="49"/>
      <c r="Q356" s="49"/>
      <c r="R356" s="77">
        <f t="shared" si="207"/>
        <v>853.125</v>
      </c>
      <c r="S356" s="77"/>
      <c r="T356" s="77">
        <v>0</v>
      </c>
      <c r="U356" s="77"/>
      <c r="V356" s="77"/>
      <c r="W356" s="77">
        <f t="shared" si="203"/>
        <v>853.125</v>
      </c>
      <c r="X356" s="79">
        <f t="shared" si="208"/>
        <v>28.65625</v>
      </c>
      <c r="Y356" s="79"/>
      <c r="Z356" s="79"/>
      <c r="AA356" s="79">
        <f t="shared" si="204"/>
        <v>28.65625</v>
      </c>
      <c r="AB356" s="91">
        <v>7.27</v>
      </c>
      <c r="AC356" s="77">
        <f t="shared" si="205"/>
        <v>208.3309375</v>
      </c>
      <c r="AD356" s="77">
        <f t="shared" si="206"/>
        <v>1061.4559375</v>
      </c>
      <c r="AE356" s="77">
        <f t="shared" si="202"/>
        <v>281.0440625</v>
      </c>
    </row>
    <row r="357" customFormat="1" spans="1:31">
      <c r="A357" s="22"/>
      <c r="B357" s="23"/>
      <c r="C357" s="24">
        <v>241211000028</v>
      </c>
      <c r="D357" s="25">
        <v>45640</v>
      </c>
      <c r="E357" s="25" t="s">
        <v>61</v>
      </c>
      <c r="F357" s="23" t="s">
        <v>62</v>
      </c>
      <c r="G357" s="23" t="s">
        <v>250</v>
      </c>
      <c r="H357" s="23">
        <v>0.1</v>
      </c>
      <c r="I357" s="50"/>
      <c r="J357" s="51">
        <v>51513</v>
      </c>
      <c r="K357" s="45"/>
      <c r="L357" s="52">
        <f t="shared" ref="L357:L361" si="209">SUM(J357/M357)</f>
        <v>1679.58917508966</v>
      </c>
      <c r="M357" s="53">
        <v>30.67</v>
      </c>
      <c r="N357" s="57">
        <v>7.27</v>
      </c>
      <c r="O357" s="125">
        <f t="shared" ref="O357:O361" si="210">SUM(M357*N357)</f>
        <v>222.9709</v>
      </c>
      <c r="P357" s="49"/>
      <c r="Q357" s="49"/>
      <c r="R357" s="77">
        <f t="shared" si="207"/>
        <v>8.125</v>
      </c>
      <c r="S357" s="77"/>
      <c r="T357" s="77">
        <v>0</v>
      </c>
      <c r="U357" s="77"/>
      <c r="V357" s="78">
        <v>23</v>
      </c>
      <c r="W357" s="77">
        <f t="shared" si="203"/>
        <v>31.125</v>
      </c>
      <c r="X357" s="79">
        <f t="shared" si="208"/>
        <v>0.272916666666667</v>
      </c>
      <c r="Y357" s="79">
        <v>9.62</v>
      </c>
      <c r="Z357" s="79"/>
      <c r="AA357" s="79">
        <f t="shared" si="204"/>
        <v>9.89291666666667</v>
      </c>
      <c r="AB357" s="91">
        <v>7.27</v>
      </c>
      <c r="AC357" s="77">
        <f t="shared" si="205"/>
        <v>71.9215041666667</v>
      </c>
      <c r="AD357" s="77">
        <f t="shared" si="206"/>
        <v>103.046504166667</v>
      </c>
      <c r="AE357" s="77">
        <f t="shared" si="202"/>
        <v>119.924395833333</v>
      </c>
    </row>
    <row r="358" customFormat="1" spans="1:31">
      <c r="A358" s="22"/>
      <c r="B358" s="23"/>
      <c r="C358" s="24">
        <v>241211000038</v>
      </c>
      <c r="D358" s="25">
        <v>45640</v>
      </c>
      <c r="E358" s="25" t="s">
        <v>44</v>
      </c>
      <c r="F358" s="23" t="s">
        <v>45</v>
      </c>
      <c r="G358" s="23" t="s">
        <v>315</v>
      </c>
      <c r="H358" s="23">
        <v>0.47</v>
      </c>
      <c r="I358" s="43">
        <v>130</v>
      </c>
      <c r="J358" s="44"/>
      <c r="K358" s="45"/>
      <c r="L358" s="23"/>
      <c r="M358" s="45"/>
      <c r="N358" s="57"/>
      <c r="O358" s="47">
        <f t="shared" ref="O358:O370" si="211">SUM(I358)</f>
        <v>130</v>
      </c>
      <c r="P358" s="49"/>
      <c r="Q358" s="49"/>
      <c r="R358" s="77">
        <f t="shared" si="207"/>
        <v>38.1875</v>
      </c>
      <c r="S358" s="77"/>
      <c r="T358" s="77">
        <v>0</v>
      </c>
      <c r="U358" s="77"/>
      <c r="V358" s="77"/>
      <c r="W358" s="77">
        <f t="shared" si="203"/>
        <v>38.1875</v>
      </c>
      <c r="X358" s="79">
        <f t="shared" si="208"/>
        <v>1.28270833333333</v>
      </c>
      <c r="Y358" s="79"/>
      <c r="Z358" s="79"/>
      <c r="AA358" s="79">
        <f t="shared" si="204"/>
        <v>1.28270833333333</v>
      </c>
      <c r="AB358" s="91">
        <v>7.27</v>
      </c>
      <c r="AC358" s="77">
        <f t="shared" si="205"/>
        <v>9.32528958333333</v>
      </c>
      <c r="AD358" s="77">
        <f t="shared" si="206"/>
        <v>47.5127895833333</v>
      </c>
      <c r="AE358" s="77">
        <f t="shared" ref="AE358:AE370" si="212">SUM(O358-AD358)</f>
        <v>82.4872104166667</v>
      </c>
    </row>
    <row r="359" customFormat="1" spans="1:31">
      <c r="A359" s="22"/>
      <c r="B359" s="23"/>
      <c r="C359" s="24">
        <v>241211000048</v>
      </c>
      <c r="D359" s="25">
        <v>45640</v>
      </c>
      <c r="E359" s="25" t="s">
        <v>61</v>
      </c>
      <c r="F359" s="23" t="s">
        <v>62</v>
      </c>
      <c r="G359" s="23" t="s">
        <v>250</v>
      </c>
      <c r="H359" s="23">
        <v>0.1</v>
      </c>
      <c r="I359" s="50"/>
      <c r="J359" s="51">
        <v>46200</v>
      </c>
      <c r="K359" s="45"/>
      <c r="L359" s="52">
        <f t="shared" si="209"/>
        <v>1679.3893129771</v>
      </c>
      <c r="M359" s="53">
        <v>27.51</v>
      </c>
      <c r="N359" s="57">
        <v>7.27</v>
      </c>
      <c r="O359" s="125">
        <f t="shared" si="210"/>
        <v>199.9977</v>
      </c>
      <c r="P359" s="49"/>
      <c r="Q359" s="49"/>
      <c r="R359" s="77">
        <f t="shared" si="207"/>
        <v>8.125</v>
      </c>
      <c r="S359" s="77"/>
      <c r="T359" s="77">
        <v>0</v>
      </c>
      <c r="U359" s="77"/>
      <c r="V359" s="77"/>
      <c r="W359" s="77">
        <f t="shared" si="203"/>
        <v>8.125</v>
      </c>
      <c r="X359" s="79">
        <f t="shared" si="208"/>
        <v>0.272916666666667</v>
      </c>
      <c r="Y359" s="79">
        <v>9.62</v>
      </c>
      <c r="Z359" s="79"/>
      <c r="AA359" s="79">
        <f t="shared" si="204"/>
        <v>9.89291666666667</v>
      </c>
      <c r="AB359" s="91">
        <v>7.27</v>
      </c>
      <c r="AC359" s="77">
        <f t="shared" si="205"/>
        <v>71.9215041666667</v>
      </c>
      <c r="AD359" s="77">
        <f t="shared" ref="AD359:AD370" si="213">SUM(W359+AC359)</f>
        <v>80.0465041666667</v>
      </c>
      <c r="AE359" s="77">
        <f t="shared" si="212"/>
        <v>119.951195833333</v>
      </c>
    </row>
    <row r="360" customFormat="1" spans="1:31">
      <c r="A360" s="22"/>
      <c r="B360" s="23"/>
      <c r="C360" s="24">
        <v>241212000009</v>
      </c>
      <c r="D360" s="25">
        <v>45640</v>
      </c>
      <c r="E360" s="25" t="s">
        <v>54</v>
      </c>
      <c r="F360" s="23" t="s">
        <v>55</v>
      </c>
      <c r="G360" s="23" t="s">
        <v>111</v>
      </c>
      <c r="H360" s="23">
        <v>8</v>
      </c>
      <c r="I360" s="47"/>
      <c r="J360" s="51">
        <v>245333.8</v>
      </c>
      <c r="K360" s="45"/>
      <c r="L360" s="52">
        <f t="shared" si="209"/>
        <v>1736.99943358822</v>
      </c>
      <c r="M360" s="53">
        <v>141.24</v>
      </c>
      <c r="N360" s="57">
        <v>7.27</v>
      </c>
      <c r="O360" s="47">
        <f t="shared" si="210"/>
        <v>1026.8148</v>
      </c>
      <c r="P360" s="49"/>
      <c r="Q360" s="49"/>
      <c r="R360" s="77">
        <f t="shared" si="207"/>
        <v>650</v>
      </c>
      <c r="S360" s="77"/>
      <c r="T360" s="77">
        <v>0</v>
      </c>
      <c r="U360" s="77"/>
      <c r="V360" s="78">
        <v>17</v>
      </c>
      <c r="W360" s="77">
        <f t="shared" ref="W360:W370" si="214">SUM(R360:V360)</f>
        <v>667</v>
      </c>
      <c r="X360" s="79">
        <f t="shared" si="208"/>
        <v>21.8333333333333</v>
      </c>
      <c r="Y360" s="79"/>
      <c r="Z360" s="79"/>
      <c r="AA360" s="79">
        <f t="shared" ref="AA360:AA370" si="215">SUM(X360:Z360)</f>
        <v>21.8333333333333</v>
      </c>
      <c r="AB360" s="91">
        <v>7.27</v>
      </c>
      <c r="AC360" s="77">
        <f t="shared" ref="AC360:AC370" si="216">SUM(AA360*AB360)</f>
        <v>158.728333333333</v>
      </c>
      <c r="AD360" s="77">
        <f t="shared" si="213"/>
        <v>825.728333333333</v>
      </c>
      <c r="AE360" s="77">
        <f t="shared" si="212"/>
        <v>201.086466666667</v>
      </c>
    </row>
    <row r="361" customFormat="1" spans="1:31">
      <c r="A361" s="22"/>
      <c r="B361" s="23"/>
      <c r="C361" s="24">
        <v>241212000016</v>
      </c>
      <c r="D361" s="25">
        <v>45640</v>
      </c>
      <c r="E361" s="25" t="s">
        <v>54</v>
      </c>
      <c r="F361" s="23" t="s">
        <v>55</v>
      </c>
      <c r="G361" s="23" t="s">
        <v>316</v>
      </c>
      <c r="H361" s="23">
        <v>75</v>
      </c>
      <c r="I361" s="47"/>
      <c r="J361" s="51">
        <v>2363009.2</v>
      </c>
      <c r="K361" s="45"/>
      <c r="L361" s="52">
        <f t="shared" si="209"/>
        <v>1745.00012886218</v>
      </c>
      <c r="M361" s="53">
        <v>1354.1599</v>
      </c>
      <c r="N361" s="57">
        <v>7.27</v>
      </c>
      <c r="O361" s="47">
        <f t="shared" si="210"/>
        <v>9844.742473</v>
      </c>
      <c r="P361" s="55"/>
      <c r="Q361" s="55"/>
      <c r="R361" s="77">
        <f t="shared" si="207"/>
        <v>6093.75</v>
      </c>
      <c r="S361" s="77"/>
      <c r="T361" s="77">
        <v>0</v>
      </c>
      <c r="U361" s="77"/>
      <c r="V361" s="77"/>
      <c r="W361" s="77">
        <f t="shared" si="214"/>
        <v>6093.75</v>
      </c>
      <c r="X361" s="79">
        <f t="shared" si="208"/>
        <v>204.6875</v>
      </c>
      <c r="Y361" s="79"/>
      <c r="Z361" s="79"/>
      <c r="AA361" s="79">
        <f t="shared" si="215"/>
        <v>204.6875</v>
      </c>
      <c r="AB361" s="91">
        <v>7.27</v>
      </c>
      <c r="AC361" s="77">
        <f t="shared" si="216"/>
        <v>1488.078125</v>
      </c>
      <c r="AD361" s="77">
        <f t="shared" si="213"/>
        <v>7581.828125</v>
      </c>
      <c r="AE361" s="77">
        <f t="shared" si="212"/>
        <v>2262.914348</v>
      </c>
    </row>
    <row r="362" customFormat="1" spans="1:31">
      <c r="A362" s="22" t="s">
        <v>317</v>
      </c>
      <c r="B362" s="23" t="s">
        <v>318</v>
      </c>
      <c r="C362" s="24">
        <v>241212000004</v>
      </c>
      <c r="D362" s="25">
        <v>45642</v>
      </c>
      <c r="E362" s="25" t="s">
        <v>37</v>
      </c>
      <c r="F362" s="23" t="s">
        <v>38</v>
      </c>
      <c r="G362" s="23" t="s">
        <v>319</v>
      </c>
      <c r="H362" s="23">
        <v>2</v>
      </c>
      <c r="I362" s="43">
        <v>250</v>
      </c>
      <c r="J362" s="44"/>
      <c r="K362" s="45"/>
      <c r="L362" s="23"/>
      <c r="M362" s="45"/>
      <c r="N362" s="57"/>
      <c r="O362" s="125">
        <f t="shared" si="211"/>
        <v>250</v>
      </c>
      <c r="P362" s="48">
        <f>SUM(O362:O370)</f>
        <v>7383</v>
      </c>
      <c r="Q362" s="48" t="s">
        <v>40</v>
      </c>
      <c r="R362" s="77">
        <f>SUM(5200/64)*H362</f>
        <v>162.5</v>
      </c>
      <c r="S362" s="77"/>
      <c r="T362" s="77">
        <f>SUM(88.67/64)*H362</f>
        <v>2.7709375</v>
      </c>
      <c r="U362" s="77"/>
      <c r="V362" s="77"/>
      <c r="W362" s="77">
        <f t="shared" si="214"/>
        <v>165.2709375</v>
      </c>
      <c r="X362" s="79">
        <f>SUM(159.41/64)*H362</f>
        <v>4.9815625</v>
      </c>
      <c r="Y362" s="79"/>
      <c r="Z362" s="79"/>
      <c r="AA362" s="79">
        <f t="shared" si="215"/>
        <v>4.9815625</v>
      </c>
      <c r="AB362" s="91">
        <v>7.27</v>
      </c>
      <c r="AC362" s="77">
        <f t="shared" si="216"/>
        <v>36.215959375</v>
      </c>
      <c r="AD362" s="77">
        <f t="shared" si="213"/>
        <v>201.486896875</v>
      </c>
      <c r="AE362" s="77">
        <f t="shared" si="212"/>
        <v>48.513103125</v>
      </c>
    </row>
    <row r="363" customFormat="1" spans="1:31">
      <c r="A363" s="22"/>
      <c r="B363" s="23"/>
      <c r="C363" s="24">
        <v>241212000011</v>
      </c>
      <c r="D363" s="25">
        <v>45642</v>
      </c>
      <c r="E363" s="25" t="s">
        <v>54</v>
      </c>
      <c r="F363" s="23" t="s">
        <v>55</v>
      </c>
      <c r="G363" s="23" t="s">
        <v>320</v>
      </c>
      <c r="H363" s="23">
        <v>16</v>
      </c>
      <c r="I363" s="43">
        <v>1968</v>
      </c>
      <c r="J363" s="44"/>
      <c r="K363" s="45"/>
      <c r="L363" s="23"/>
      <c r="M363" s="45"/>
      <c r="N363" s="57"/>
      <c r="O363" s="125">
        <f t="shared" si="211"/>
        <v>1968</v>
      </c>
      <c r="P363" s="49"/>
      <c r="Q363" s="49"/>
      <c r="R363" s="77">
        <f t="shared" ref="R363:R370" si="217">SUM(5200/64)*H363</f>
        <v>1300</v>
      </c>
      <c r="S363" s="77"/>
      <c r="T363" s="77">
        <f t="shared" ref="T363:T370" si="218">SUM(88.67/64)*H363</f>
        <v>22.1675</v>
      </c>
      <c r="U363" s="77"/>
      <c r="V363" s="77"/>
      <c r="W363" s="77">
        <f t="shared" si="214"/>
        <v>1322.1675</v>
      </c>
      <c r="X363" s="79">
        <f t="shared" ref="X363:X370" si="219">SUM(159.41/64)*H363</f>
        <v>39.8525</v>
      </c>
      <c r="Y363" s="79"/>
      <c r="Z363" s="79"/>
      <c r="AA363" s="79">
        <f t="shared" si="215"/>
        <v>39.8525</v>
      </c>
      <c r="AB363" s="91">
        <v>7.27</v>
      </c>
      <c r="AC363" s="77">
        <f t="shared" si="216"/>
        <v>289.727675</v>
      </c>
      <c r="AD363" s="77">
        <f t="shared" si="213"/>
        <v>1611.895175</v>
      </c>
      <c r="AE363" s="77">
        <f t="shared" si="212"/>
        <v>356.104825</v>
      </c>
    </row>
    <row r="364" customFormat="1" spans="1:31">
      <c r="A364" s="22"/>
      <c r="B364" s="23"/>
      <c r="C364" s="24">
        <v>241212000019</v>
      </c>
      <c r="D364" s="25">
        <v>45642</v>
      </c>
      <c r="E364" s="25" t="s">
        <v>61</v>
      </c>
      <c r="F364" s="23" t="s">
        <v>62</v>
      </c>
      <c r="G364" s="23" t="s">
        <v>321</v>
      </c>
      <c r="H364" s="23">
        <v>10.5</v>
      </c>
      <c r="I364" s="43">
        <v>1312.5</v>
      </c>
      <c r="J364" s="44"/>
      <c r="K364" s="45"/>
      <c r="L364" s="23"/>
      <c r="M364" s="45"/>
      <c r="N364" s="57"/>
      <c r="O364" s="125">
        <f t="shared" si="211"/>
        <v>1312.5</v>
      </c>
      <c r="P364" s="49"/>
      <c r="Q364" s="49"/>
      <c r="R364" s="77">
        <f t="shared" si="217"/>
        <v>853.125</v>
      </c>
      <c r="S364" s="77"/>
      <c r="T364" s="77">
        <f t="shared" si="218"/>
        <v>14.547421875</v>
      </c>
      <c r="U364" s="77"/>
      <c r="V364" s="77"/>
      <c r="W364" s="77">
        <f t="shared" si="214"/>
        <v>867.672421875</v>
      </c>
      <c r="X364" s="79">
        <f t="shared" si="219"/>
        <v>26.153203125</v>
      </c>
      <c r="Y364" s="79"/>
      <c r="Z364" s="79"/>
      <c r="AA364" s="79">
        <f t="shared" si="215"/>
        <v>26.153203125</v>
      </c>
      <c r="AB364" s="91">
        <v>7.27</v>
      </c>
      <c r="AC364" s="77">
        <f t="shared" si="216"/>
        <v>190.13378671875</v>
      </c>
      <c r="AD364" s="77">
        <f t="shared" si="213"/>
        <v>1057.80620859375</v>
      </c>
      <c r="AE364" s="77">
        <f t="shared" si="212"/>
        <v>254.69379140625</v>
      </c>
    </row>
    <row r="365" customFormat="1" spans="1:31">
      <c r="A365" s="22"/>
      <c r="B365" s="23"/>
      <c r="C365" s="24">
        <v>241212000023</v>
      </c>
      <c r="D365" s="25">
        <v>45642</v>
      </c>
      <c r="E365" s="25" t="s">
        <v>54</v>
      </c>
      <c r="F365" s="23" t="s">
        <v>55</v>
      </c>
      <c r="G365" s="23" t="s">
        <v>125</v>
      </c>
      <c r="H365" s="23">
        <v>3.5</v>
      </c>
      <c r="I365" s="43">
        <v>437.5</v>
      </c>
      <c r="J365" s="44"/>
      <c r="K365" s="45"/>
      <c r="L365" s="23"/>
      <c r="M365" s="45"/>
      <c r="N365" s="57"/>
      <c r="O365" s="125">
        <f t="shared" si="211"/>
        <v>437.5</v>
      </c>
      <c r="P365" s="49"/>
      <c r="Q365" s="49"/>
      <c r="R365" s="77">
        <f t="shared" si="217"/>
        <v>284.375</v>
      </c>
      <c r="S365" s="77"/>
      <c r="T365" s="77">
        <f t="shared" si="218"/>
        <v>4.849140625</v>
      </c>
      <c r="U365" s="77"/>
      <c r="V365" s="77"/>
      <c r="W365" s="77">
        <f t="shared" si="214"/>
        <v>289.224140625</v>
      </c>
      <c r="X365" s="79">
        <f t="shared" si="219"/>
        <v>8.717734375</v>
      </c>
      <c r="Y365" s="79"/>
      <c r="Z365" s="79"/>
      <c r="AA365" s="79">
        <f t="shared" si="215"/>
        <v>8.717734375</v>
      </c>
      <c r="AB365" s="91">
        <v>7.27</v>
      </c>
      <c r="AC365" s="77">
        <f t="shared" si="216"/>
        <v>63.37792890625</v>
      </c>
      <c r="AD365" s="77">
        <f t="shared" si="213"/>
        <v>352.60206953125</v>
      </c>
      <c r="AE365" s="77">
        <f t="shared" si="212"/>
        <v>84.89793046875</v>
      </c>
    </row>
    <row r="366" customFormat="1" spans="1:31">
      <c r="A366" s="22"/>
      <c r="B366" s="23"/>
      <c r="C366" s="24">
        <v>241212000024</v>
      </c>
      <c r="D366" s="25">
        <v>45642</v>
      </c>
      <c r="E366" s="25" t="s">
        <v>54</v>
      </c>
      <c r="F366" s="23" t="s">
        <v>55</v>
      </c>
      <c r="G366" s="23" t="s">
        <v>87</v>
      </c>
      <c r="H366" s="23">
        <v>13.5</v>
      </c>
      <c r="I366" s="43">
        <v>1755</v>
      </c>
      <c r="J366" s="44"/>
      <c r="K366" s="45"/>
      <c r="L366" s="23"/>
      <c r="M366" s="45"/>
      <c r="N366" s="57"/>
      <c r="O366" s="125">
        <f t="shared" si="211"/>
        <v>1755</v>
      </c>
      <c r="P366" s="49"/>
      <c r="Q366" s="49"/>
      <c r="R366" s="77">
        <f t="shared" si="217"/>
        <v>1096.875</v>
      </c>
      <c r="S366" s="77"/>
      <c r="T366" s="77">
        <f t="shared" si="218"/>
        <v>18.703828125</v>
      </c>
      <c r="U366" s="77"/>
      <c r="V366" s="77"/>
      <c r="W366" s="77">
        <f t="shared" si="214"/>
        <v>1115.578828125</v>
      </c>
      <c r="X366" s="79">
        <f t="shared" si="219"/>
        <v>33.625546875</v>
      </c>
      <c r="Y366" s="79"/>
      <c r="Z366" s="79"/>
      <c r="AA366" s="79">
        <f t="shared" si="215"/>
        <v>33.625546875</v>
      </c>
      <c r="AB366" s="91">
        <v>7.27</v>
      </c>
      <c r="AC366" s="77">
        <f t="shared" si="216"/>
        <v>244.45772578125</v>
      </c>
      <c r="AD366" s="77">
        <f t="shared" si="213"/>
        <v>1360.03655390625</v>
      </c>
      <c r="AE366" s="77">
        <f t="shared" si="212"/>
        <v>394.96344609375</v>
      </c>
    </row>
    <row r="367" customFormat="1" spans="1:31">
      <c r="A367" s="22"/>
      <c r="B367" s="23"/>
      <c r="C367" s="24">
        <v>241213000027</v>
      </c>
      <c r="D367" s="25">
        <v>45642</v>
      </c>
      <c r="E367" s="25" t="s">
        <v>44</v>
      </c>
      <c r="F367" s="23" t="s">
        <v>45</v>
      </c>
      <c r="G367" s="23" t="s">
        <v>322</v>
      </c>
      <c r="H367" s="23">
        <v>2</v>
      </c>
      <c r="I367" s="43">
        <v>250</v>
      </c>
      <c r="J367" s="44"/>
      <c r="K367" s="45"/>
      <c r="L367" s="23"/>
      <c r="M367" s="45"/>
      <c r="N367" s="57"/>
      <c r="O367" s="125">
        <f t="shared" si="211"/>
        <v>250</v>
      </c>
      <c r="P367" s="49"/>
      <c r="Q367" s="49"/>
      <c r="R367" s="77">
        <f t="shared" si="217"/>
        <v>162.5</v>
      </c>
      <c r="S367" s="77"/>
      <c r="T367" s="77">
        <f t="shared" si="218"/>
        <v>2.7709375</v>
      </c>
      <c r="U367" s="77"/>
      <c r="V367" s="77"/>
      <c r="W367" s="77">
        <f t="shared" si="214"/>
        <v>165.2709375</v>
      </c>
      <c r="X367" s="79">
        <f t="shared" si="219"/>
        <v>4.9815625</v>
      </c>
      <c r="Y367" s="79"/>
      <c r="Z367" s="79"/>
      <c r="AA367" s="79">
        <f t="shared" si="215"/>
        <v>4.9815625</v>
      </c>
      <c r="AB367" s="91">
        <v>7.27</v>
      </c>
      <c r="AC367" s="77">
        <f t="shared" si="216"/>
        <v>36.215959375</v>
      </c>
      <c r="AD367" s="77">
        <f t="shared" si="213"/>
        <v>201.486896875</v>
      </c>
      <c r="AE367" s="77">
        <f t="shared" si="212"/>
        <v>48.513103125</v>
      </c>
    </row>
    <row r="368" customFormat="1" spans="1:31">
      <c r="A368" s="22"/>
      <c r="B368" s="23"/>
      <c r="C368" s="24">
        <v>241213000029</v>
      </c>
      <c r="D368" s="25">
        <v>45642</v>
      </c>
      <c r="E368" s="25" t="s">
        <v>41</v>
      </c>
      <c r="F368" s="23" t="s">
        <v>42</v>
      </c>
      <c r="G368" s="23" t="s">
        <v>245</v>
      </c>
      <c r="H368" s="23">
        <v>0.94</v>
      </c>
      <c r="I368" s="43">
        <v>160</v>
      </c>
      <c r="J368" s="44"/>
      <c r="K368" s="45"/>
      <c r="L368" s="23"/>
      <c r="M368" s="45"/>
      <c r="N368" s="57"/>
      <c r="O368" s="125">
        <f t="shared" si="211"/>
        <v>160</v>
      </c>
      <c r="P368" s="49"/>
      <c r="Q368" s="49"/>
      <c r="R368" s="77">
        <f t="shared" si="217"/>
        <v>76.375</v>
      </c>
      <c r="S368" s="77"/>
      <c r="T368" s="77">
        <f t="shared" si="218"/>
        <v>1.302340625</v>
      </c>
      <c r="U368" s="77"/>
      <c r="V368" s="77"/>
      <c r="W368" s="77">
        <f t="shared" si="214"/>
        <v>77.677340625</v>
      </c>
      <c r="X368" s="79">
        <f t="shared" si="219"/>
        <v>2.341334375</v>
      </c>
      <c r="Y368" s="79"/>
      <c r="Z368" s="79"/>
      <c r="AA368" s="79">
        <f t="shared" si="215"/>
        <v>2.341334375</v>
      </c>
      <c r="AB368" s="91">
        <v>7.27</v>
      </c>
      <c r="AC368" s="77">
        <f t="shared" si="216"/>
        <v>17.02150090625</v>
      </c>
      <c r="AD368" s="77">
        <f t="shared" si="213"/>
        <v>94.69884153125</v>
      </c>
      <c r="AE368" s="77">
        <f t="shared" si="212"/>
        <v>65.30115846875</v>
      </c>
    </row>
    <row r="369" customFormat="1" spans="1:31">
      <c r="A369" s="22"/>
      <c r="B369" s="23"/>
      <c r="C369" s="24">
        <v>241213000059</v>
      </c>
      <c r="D369" s="25">
        <v>45642</v>
      </c>
      <c r="E369" s="25" t="s">
        <v>37</v>
      </c>
      <c r="F369" s="23" t="s">
        <v>38</v>
      </c>
      <c r="G369" s="23" t="s">
        <v>323</v>
      </c>
      <c r="H369" s="23">
        <v>3</v>
      </c>
      <c r="I369" s="43">
        <v>500</v>
      </c>
      <c r="J369" s="44"/>
      <c r="K369" s="45"/>
      <c r="L369" s="23"/>
      <c r="M369" s="45"/>
      <c r="N369" s="57"/>
      <c r="O369" s="125">
        <f t="shared" si="211"/>
        <v>500</v>
      </c>
      <c r="P369" s="49"/>
      <c r="Q369" s="49"/>
      <c r="R369" s="77">
        <f t="shared" si="217"/>
        <v>243.75</v>
      </c>
      <c r="S369" s="77"/>
      <c r="T369" s="77">
        <f t="shared" si="218"/>
        <v>4.15640625</v>
      </c>
      <c r="U369" s="77"/>
      <c r="V369" s="77"/>
      <c r="W369" s="77">
        <f t="shared" si="214"/>
        <v>247.90640625</v>
      </c>
      <c r="X369" s="79">
        <f t="shared" si="219"/>
        <v>7.47234375</v>
      </c>
      <c r="Y369" s="79"/>
      <c r="Z369" s="79"/>
      <c r="AA369" s="79">
        <f t="shared" si="215"/>
        <v>7.47234375</v>
      </c>
      <c r="AB369" s="91">
        <v>7.27</v>
      </c>
      <c r="AC369" s="77">
        <f t="shared" si="216"/>
        <v>54.3239390625</v>
      </c>
      <c r="AD369" s="77">
        <f t="shared" ref="AD369:AD400" si="220">SUM(W369+AC369)</f>
        <v>302.2303453125</v>
      </c>
      <c r="AE369" s="77">
        <f t="shared" si="212"/>
        <v>197.7696546875</v>
      </c>
    </row>
    <row r="370" customFormat="1" spans="1:31">
      <c r="A370" s="22"/>
      <c r="B370" s="23"/>
      <c r="C370" s="24">
        <v>241214000031</v>
      </c>
      <c r="D370" s="25">
        <v>45642</v>
      </c>
      <c r="E370" s="25" t="s">
        <v>61</v>
      </c>
      <c r="F370" s="23" t="s">
        <v>62</v>
      </c>
      <c r="G370" s="23" t="s">
        <v>324</v>
      </c>
      <c r="H370" s="23">
        <v>3</v>
      </c>
      <c r="I370" s="43">
        <v>750</v>
      </c>
      <c r="J370" s="44"/>
      <c r="K370" s="45"/>
      <c r="L370" s="23"/>
      <c r="M370" s="45"/>
      <c r="N370" s="57"/>
      <c r="O370" s="125">
        <f t="shared" si="211"/>
        <v>750</v>
      </c>
      <c r="P370" s="55"/>
      <c r="Q370" s="55"/>
      <c r="R370" s="77">
        <f t="shared" si="217"/>
        <v>243.75</v>
      </c>
      <c r="S370" s="77"/>
      <c r="T370" s="77">
        <f t="shared" si="218"/>
        <v>4.15640625</v>
      </c>
      <c r="U370" s="77"/>
      <c r="V370" s="77"/>
      <c r="W370" s="77">
        <f t="shared" ref="W370:W401" si="221">SUM(R370:V370)</f>
        <v>247.90640625</v>
      </c>
      <c r="X370" s="79">
        <f t="shared" si="219"/>
        <v>7.47234375</v>
      </c>
      <c r="Y370" s="79"/>
      <c r="Z370" s="79"/>
      <c r="AA370" s="79">
        <f t="shared" ref="AA370:AA401" si="222">SUM(X370:Z370)</f>
        <v>7.47234375</v>
      </c>
      <c r="AB370" s="91">
        <v>7.27</v>
      </c>
      <c r="AC370" s="77">
        <f t="shared" ref="AC370:AC401" si="223">SUM(AA370*AB370)</f>
        <v>54.3239390625</v>
      </c>
      <c r="AD370" s="77">
        <f t="shared" si="220"/>
        <v>302.2303453125</v>
      </c>
      <c r="AE370" s="77">
        <f t="shared" ref="AE370:AE401" si="224">SUM(O370-AD370)</f>
        <v>447.7696546875</v>
      </c>
    </row>
    <row r="371" customFormat="1" spans="1:31">
      <c r="A371" s="22" t="s">
        <v>325</v>
      </c>
      <c r="B371" s="23" t="s">
        <v>326</v>
      </c>
      <c r="C371" s="24">
        <v>241202000021</v>
      </c>
      <c r="D371" s="25">
        <v>45642</v>
      </c>
      <c r="E371" s="25" t="s">
        <v>54</v>
      </c>
      <c r="F371" s="23" t="s">
        <v>55</v>
      </c>
      <c r="G371" s="23" t="s">
        <v>207</v>
      </c>
      <c r="H371" s="23">
        <v>10</v>
      </c>
      <c r="I371" s="54">
        <v>700</v>
      </c>
      <c r="J371" s="44"/>
      <c r="K371" s="45"/>
      <c r="L371" s="23"/>
      <c r="M371" s="45"/>
      <c r="N371" s="57"/>
      <c r="O371" s="125">
        <f>SUBTOTAL(9,I371)</f>
        <v>700</v>
      </c>
      <c r="P371" s="56">
        <f>SUM(O371:O452)</f>
        <v>252108.6867819</v>
      </c>
      <c r="Q371" s="56" t="s">
        <v>185</v>
      </c>
      <c r="R371" s="77">
        <f>SUM(195798/3248)*H371</f>
        <v>602.826354679803</v>
      </c>
      <c r="S371" s="77"/>
      <c r="T371" s="78">
        <f>SUM(352/3248)*H371</f>
        <v>1.08374384236453</v>
      </c>
      <c r="U371" s="77"/>
      <c r="V371" s="77"/>
      <c r="W371" s="77">
        <f t="shared" si="221"/>
        <v>603.910098522168</v>
      </c>
      <c r="X371" s="79">
        <f>SUM(2306.46/3248)*H371</f>
        <v>7.10116995073892</v>
      </c>
      <c r="Y371" s="79"/>
      <c r="Z371" s="79"/>
      <c r="AA371" s="79">
        <f t="shared" si="222"/>
        <v>7.10116995073892</v>
      </c>
      <c r="AB371" s="91">
        <v>7.27</v>
      </c>
      <c r="AC371" s="77">
        <f t="shared" si="223"/>
        <v>51.6255055418719</v>
      </c>
      <c r="AD371" s="77">
        <f t="shared" si="220"/>
        <v>655.535604064039</v>
      </c>
      <c r="AE371" s="77">
        <f t="shared" si="224"/>
        <v>44.464395935961</v>
      </c>
    </row>
    <row r="372" customFormat="1" spans="1:31">
      <c r="A372" s="22"/>
      <c r="B372" s="23"/>
      <c r="C372" s="24">
        <v>241204000028</v>
      </c>
      <c r="D372" s="25">
        <v>45642</v>
      </c>
      <c r="E372" s="25" t="s">
        <v>44</v>
      </c>
      <c r="F372" s="23" t="s">
        <v>45</v>
      </c>
      <c r="G372" s="23" t="s">
        <v>139</v>
      </c>
      <c r="H372" s="23">
        <v>2.5</v>
      </c>
      <c r="I372" s="50"/>
      <c r="J372" s="51">
        <v>47994</v>
      </c>
      <c r="K372" s="45"/>
      <c r="L372" s="52">
        <f>SUM(J372/M372)</f>
        <v>1657.82383419689</v>
      </c>
      <c r="M372" s="53">
        <v>28.95</v>
      </c>
      <c r="N372" s="57">
        <v>7.27</v>
      </c>
      <c r="O372" s="47">
        <f>SUM(M372*N372)</f>
        <v>210.4665</v>
      </c>
      <c r="P372" s="56"/>
      <c r="Q372" s="56"/>
      <c r="R372" s="77">
        <f t="shared" ref="R372:R403" si="225">SUM(195798/3248)*H372</f>
        <v>150.706588669951</v>
      </c>
      <c r="S372" s="77"/>
      <c r="T372" s="78">
        <f t="shared" ref="T372:T403" si="226">SUM(352/3248)*H372</f>
        <v>0.270935960591133</v>
      </c>
      <c r="U372" s="77"/>
      <c r="V372" s="78">
        <v>23</v>
      </c>
      <c r="W372" s="77">
        <f t="shared" si="221"/>
        <v>173.977524630542</v>
      </c>
      <c r="X372" s="79">
        <f t="shared" ref="X372:X403" si="227">SUM(2306.46/3248)*H372</f>
        <v>1.77529248768473</v>
      </c>
      <c r="Y372" s="79"/>
      <c r="Z372" s="79"/>
      <c r="AA372" s="79">
        <f t="shared" si="222"/>
        <v>1.77529248768473</v>
      </c>
      <c r="AB372" s="91">
        <v>7.27</v>
      </c>
      <c r="AC372" s="77">
        <f t="shared" si="223"/>
        <v>12.906376385468</v>
      </c>
      <c r="AD372" s="77">
        <f t="shared" si="220"/>
        <v>186.88390101601</v>
      </c>
      <c r="AE372" s="77">
        <f t="shared" si="224"/>
        <v>23.58259898399</v>
      </c>
    </row>
    <row r="373" customFormat="1" spans="1:31">
      <c r="A373" s="22"/>
      <c r="B373" s="23"/>
      <c r="C373" s="24">
        <v>241204000083</v>
      </c>
      <c r="D373" s="26">
        <v>45642</v>
      </c>
      <c r="E373" s="25" t="s">
        <v>70</v>
      </c>
      <c r="F373" s="23" t="s">
        <v>109</v>
      </c>
      <c r="G373" s="23" t="s">
        <v>110</v>
      </c>
      <c r="H373" s="23">
        <v>15</v>
      </c>
      <c r="I373" s="43">
        <v>1316</v>
      </c>
      <c r="J373" s="44"/>
      <c r="K373" s="45"/>
      <c r="L373" s="23"/>
      <c r="M373" s="45"/>
      <c r="N373" s="57"/>
      <c r="O373" s="125">
        <f t="shared" ref="O373:O377" si="228">SUM(I373)</f>
        <v>1316</v>
      </c>
      <c r="P373" s="56"/>
      <c r="Q373" s="56"/>
      <c r="R373" s="77">
        <f t="shared" si="225"/>
        <v>904.239532019704</v>
      </c>
      <c r="S373" s="77"/>
      <c r="T373" s="78">
        <f t="shared" si="226"/>
        <v>1.6256157635468</v>
      </c>
      <c r="U373" s="78">
        <v>65</v>
      </c>
      <c r="V373" s="77"/>
      <c r="W373" s="77">
        <f t="shared" si="221"/>
        <v>970.865147783251</v>
      </c>
      <c r="X373" s="79">
        <f t="shared" si="227"/>
        <v>10.6517549261084</v>
      </c>
      <c r="Y373" s="79"/>
      <c r="Z373" s="79"/>
      <c r="AA373" s="79">
        <f t="shared" si="222"/>
        <v>10.6517549261084</v>
      </c>
      <c r="AB373" s="91">
        <v>7.27</v>
      </c>
      <c r="AC373" s="77">
        <f t="shared" si="223"/>
        <v>77.4382583128079</v>
      </c>
      <c r="AD373" s="77">
        <f t="shared" si="220"/>
        <v>1048.30340609606</v>
      </c>
      <c r="AE373" s="77">
        <f t="shared" si="224"/>
        <v>267.69659390394</v>
      </c>
    </row>
    <row r="374" customFormat="1" spans="1:31">
      <c r="A374" s="22"/>
      <c r="B374" s="23"/>
      <c r="C374" s="24">
        <v>241205000001</v>
      </c>
      <c r="D374" s="25">
        <v>45642</v>
      </c>
      <c r="E374" s="25" t="s">
        <v>84</v>
      </c>
      <c r="F374" s="23" t="s">
        <v>85</v>
      </c>
      <c r="G374" s="23" t="s">
        <v>327</v>
      </c>
      <c r="H374" s="23">
        <v>0.24</v>
      </c>
      <c r="I374" s="43">
        <v>83</v>
      </c>
      <c r="J374" s="44"/>
      <c r="K374" s="45"/>
      <c r="L374" s="23"/>
      <c r="M374" s="45"/>
      <c r="N374" s="57"/>
      <c r="O374" s="125">
        <f t="shared" si="228"/>
        <v>83</v>
      </c>
      <c r="P374" s="56"/>
      <c r="Q374" s="56"/>
      <c r="R374" s="77">
        <f t="shared" si="225"/>
        <v>14.4678325123153</v>
      </c>
      <c r="S374" s="77"/>
      <c r="T374" s="78">
        <f t="shared" si="226"/>
        <v>0.0260098522167488</v>
      </c>
      <c r="U374" s="77"/>
      <c r="V374" s="77"/>
      <c r="W374" s="77">
        <f t="shared" si="221"/>
        <v>14.493842364532</v>
      </c>
      <c r="X374" s="79">
        <f t="shared" si="227"/>
        <v>0.170428078817734</v>
      </c>
      <c r="Y374" s="79"/>
      <c r="Z374" s="79"/>
      <c r="AA374" s="79">
        <f t="shared" si="222"/>
        <v>0.170428078817734</v>
      </c>
      <c r="AB374" s="91">
        <v>7.27</v>
      </c>
      <c r="AC374" s="77">
        <f t="shared" si="223"/>
        <v>1.23901213300493</v>
      </c>
      <c r="AD374" s="77">
        <f t="shared" si="220"/>
        <v>15.7328544975369</v>
      </c>
      <c r="AE374" s="77">
        <f t="shared" si="224"/>
        <v>67.2671455024631</v>
      </c>
    </row>
    <row r="375" customFormat="1" spans="1:31">
      <c r="A375" s="22"/>
      <c r="B375" s="23"/>
      <c r="C375" s="24">
        <v>241206000007</v>
      </c>
      <c r="D375" s="25">
        <v>45642</v>
      </c>
      <c r="E375" s="25" t="s">
        <v>44</v>
      </c>
      <c r="F375" s="23" t="s">
        <v>45</v>
      </c>
      <c r="G375" s="23" t="s">
        <v>328</v>
      </c>
      <c r="H375" s="23">
        <v>2.5</v>
      </c>
      <c r="I375" s="43">
        <v>219.5</v>
      </c>
      <c r="J375" s="44"/>
      <c r="K375" s="45"/>
      <c r="L375" s="23"/>
      <c r="M375" s="45"/>
      <c r="N375" s="57"/>
      <c r="O375" s="125">
        <f t="shared" si="228"/>
        <v>219.5</v>
      </c>
      <c r="P375" s="56"/>
      <c r="Q375" s="56"/>
      <c r="R375" s="77">
        <f t="shared" si="225"/>
        <v>150.706588669951</v>
      </c>
      <c r="S375" s="77"/>
      <c r="T375" s="78">
        <f t="shared" si="226"/>
        <v>0.270935960591133</v>
      </c>
      <c r="U375" s="77"/>
      <c r="V375" s="77"/>
      <c r="W375" s="77">
        <f t="shared" si="221"/>
        <v>150.977524630542</v>
      </c>
      <c r="X375" s="79">
        <f t="shared" si="227"/>
        <v>1.77529248768473</v>
      </c>
      <c r="Y375" s="79"/>
      <c r="Z375" s="79"/>
      <c r="AA375" s="79">
        <f t="shared" si="222"/>
        <v>1.77529248768473</v>
      </c>
      <c r="AB375" s="91">
        <v>7.27</v>
      </c>
      <c r="AC375" s="77">
        <f t="shared" si="223"/>
        <v>12.906376385468</v>
      </c>
      <c r="AD375" s="77">
        <f t="shared" si="220"/>
        <v>163.88390101601</v>
      </c>
      <c r="AE375" s="77">
        <f t="shared" si="224"/>
        <v>55.61609898399</v>
      </c>
    </row>
    <row r="376" customFormat="1" spans="1:31">
      <c r="A376" s="22"/>
      <c r="B376" s="23"/>
      <c r="C376" s="24">
        <v>241206000008</v>
      </c>
      <c r="D376" s="25">
        <v>45642</v>
      </c>
      <c r="E376" s="25" t="s">
        <v>44</v>
      </c>
      <c r="F376" s="23" t="s">
        <v>45</v>
      </c>
      <c r="G376" s="23" t="s">
        <v>328</v>
      </c>
      <c r="H376" s="23">
        <v>2.5</v>
      </c>
      <c r="I376" s="43">
        <v>219.5</v>
      </c>
      <c r="J376" s="44"/>
      <c r="K376" s="45"/>
      <c r="L376" s="23"/>
      <c r="M376" s="45"/>
      <c r="N376" s="57"/>
      <c r="O376" s="125">
        <f t="shared" si="228"/>
        <v>219.5</v>
      </c>
      <c r="P376" s="56"/>
      <c r="Q376" s="56"/>
      <c r="R376" s="77">
        <f t="shared" si="225"/>
        <v>150.706588669951</v>
      </c>
      <c r="S376" s="77"/>
      <c r="T376" s="78">
        <f t="shared" si="226"/>
        <v>0.270935960591133</v>
      </c>
      <c r="U376" s="77"/>
      <c r="V376" s="77"/>
      <c r="W376" s="77">
        <f t="shared" si="221"/>
        <v>150.977524630542</v>
      </c>
      <c r="X376" s="79">
        <f t="shared" si="227"/>
        <v>1.77529248768473</v>
      </c>
      <c r="Y376" s="79"/>
      <c r="Z376" s="79"/>
      <c r="AA376" s="79">
        <f t="shared" si="222"/>
        <v>1.77529248768473</v>
      </c>
      <c r="AB376" s="91">
        <v>7.27</v>
      </c>
      <c r="AC376" s="77">
        <f t="shared" si="223"/>
        <v>12.906376385468</v>
      </c>
      <c r="AD376" s="77">
        <f t="shared" si="220"/>
        <v>163.88390101601</v>
      </c>
      <c r="AE376" s="77">
        <f t="shared" si="224"/>
        <v>55.61609898399</v>
      </c>
    </row>
    <row r="377" customFormat="1" spans="1:31">
      <c r="A377" s="22"/>
      <c r="B377" s="23"/>
      <c r="C377" s="24">
        <v>241206000019</v>
      </c>
      <c r="D377" s="25">
        <v>45642</v>
      </c>
      <c r="E377" s="25" t="s">
        <v>54</v>
      </c>
      <c r="F377" s="23" t="s">
        <v>55</v>
      </c>
      <c r="G377" s="23" t="s">
        <v>279</v>
      </c>
      <c r="H377" s="23">
        <v>4</v>
      </c>
      <c r="I377" s="43">
        <v>385</v>
      </c>
      <c r="J377" s="44"/>
      <c r="K377" s="45"/>
      <c r="L377" s="23"/>
      <c r="M377" s="45"/>
      <c r="N377" s="57"/>
      <c r="O377" s="125">
        <f t="shared" si="228"/>
        <v>385</v>
      </c>
      <c r="P377" s="56"/>
      <c r="Q377" s="56"/>
      <c r="R377" s="77">
        <f t="shared" si="225"/>
        <v>241.130541871921</v>
      </c>
      <c r="S377" s="77"/>
      <c r="T377" s="78">
        <f t="shared" si="226"/>
        <v>0.433497536945813</v>
      </c>
      <c r="U377" s="78">
        <v>35</v>
      </c>
      <c r="V377" s="77"/>
      <c r="W377" s="77">
        <f t="shared" si="221"/>
        <v>276.564039408867</v>
      </c>
      <c r="X377" s="79">
        <f t="shared" si="227"/>
        <v>2.84046798029557</v>
      </c>
      <c r="Y377" s="79"/>
      <c r="Z377" s="79"/>
      <c r="AA377" s="79">
        <f t="shared" si="222"/>
        <v>2.84046798029557</v>
      </c>
      <c r="AB377" s="91">
        <v>7.27</v>
      </c>
      <c r="AC377" s="77">
        <f t="shared" si="223"/>
        <v>20.6502022167488</v>
      </c>
      <c r="AD377" s="77">
        <f t="shared" si="220"/>
        <v>297.214241625616</v>
      </c>
      <c r="AE377" s="77">
        <f t="shared" si="224"/>
        <v>87.785758374384</v>
      </c>
    </row>
    <row r="378" customFormat="1" spans="1:31">
      <c r="A378" s="22"/>
      <c r="B378" s="23"/>
      <c r="C378" s="24">
        <v>241206000021</v>
      </c>
      <c r="D378" s="25">
        <v>45642</v>
      </c>
      <c r="E378" s="25" t="s">
        <v>61</v>
      </c>
      <c r="F378" s="23" t="s">
        <v>62</v>
      </c>
      <c r="G378" s="23" t="s">
        <v>329</v>
      </c>
      <c r="H378" s="23">
        <v>222.5</v>
      </c>
      <c r="I378" s="50"/>
      <c r="J378" s="51">
        <v>4111800</v>
      </c>
      <c r="K378" s="45"/>
      <c r="L378" s="52">
        <f>SUM(J378/M378)</f>
        <v>1744.80183314945</v>
      </c>
      <c r="M378" s="53">
        <v>2356.6</v>
      </c>
      <c r="N378" s="57">
        <v>7.27</v>
      </c>
      <c r="O378" s="125">
        <f>SUM(M378*N378)</f>
        <v>17132.482</v>
      </c>
      <c r="P378" s="56"/>
      <c r="Q378" s="56"/>
      <c r="R378" s="77">
        <f t="shared" si="225"/>
        <v>13412.8863916256</v>
      </c>
      <c r="S378" s="77"/>
      <c r="T378" s="78">
        <f t="shared" si="226"/>
        <v>24.1133004926108</v>
      </c>
      <c r="U378" s="77"/>
      <c r="V378" s="77"/>
      <c r="W378" s="77">
        <f t="shared" si="221"/>
        <v>13436.9996921182</v>
      </c>
      <c r="X378" s="79">
        <f t="shared" si="227"/>
        <v>158.001031403941</v>
      </c>
      <c r="Y378" s="79"/>
      <c r="Z378" s="79"/>
      <c r="AA378" s="79">
        <f t="shared" si="222"/>
        <v>158.001031403941</v>
      </c>
      <c r="AB378" s="91">
        <v>7.27</v>
      </c>
      <c r="AC378" s="77">
        <f t="shared" si="223"/>
        <v>1148.66749830665</v>
      </c>
      <c r="AD378" s="77">
        <f t="shared" si="220"/>
        <v>14585.6671904249</v>
      </c>
      <c r="AE378" s="77">
        <f t="shared" si="224"/>
        <v>2546.8148095751</v>
      </c>
    </row>
    <row r="379" customFormat="1" spans="1:31">
      <c r="A379" s="22"/>
      <c r="B379" s="23"/>
      <c r="C379" s="24">
        <v>241206000036</v>
      </c>
      <c r="D379" s="25">
        <v>45642</v>
      </c>
      <c r="E379" s="25" t="s">
        <v>44</v>
      </c>
      <c r="F379" s="23" t="s">
        <v>45</v>
      </c>
      <c r="G379" s="23" t="s">
        <v>178</v>
      </c>
      <c r="H379" s="23">
        <v>0.83</v>
      </c>
      <c r="I379" s="43">
        <v>80</v>
      </c>
      <c r="J379" s="44"/>
      <c r="K379" s="45"/>
      <c r="L379" s="23"/>
      <c r="M379" s="45"/>
      <c r="N379" s="57"/>
      <c r="O379" s="125">
        <f t="shared" ref="O379:O382" si="229">SUM(I379)</f>
        <v>80</v>
      </c>
      <c r="P379" s="56"/>
      <c r="Q379" s="56"/>
      <c r="R379" s="77">
        <f t="shared" si="225"/>
        <v>50.0345874384236</v>
      </c>
      <c r="S379" s="77"/>
      <c r="T379" s="78">
        <f t="shared" si="226"/>
        <v>0.0899507389162562</v>
      </c>
      <c r="U379" s="77"/>
      <c r="V379" s="77"/>
      <c r="W379" s="77">
        <f t="shared" si="221"/>
        <v>50.1245381773399</v>
      </c>
      <c r="X379" s="79">
        <f t="shared" si="227"/>
        <v>0.58939710591133</v>
      </c>
      <c r="Y379" s="79"/>
      <c r="Z379" s="79"/>
      <c r="AA379" s="79">
        <f t="shared" si="222"/>
        <v>0.58939710591133</v>
      </c>
      <c r="AB379" s="91">
        <v>7.27</v>
      </c>
      <c r="AC379" s="77">
        <f t="shared" si="223"/>
        <v>4.28491695997537</v>
      </c>
      <c r="AD379" s="77">
        <f t="shared" si="220"/>
        <v>54.4094551373153</v>
      </c>
      <c r="AE379" s="77">
        <f t="shared" si="224"/>
        <v>25.5905448626847</v>
      </c>
    </row>
    <row r="380" customFormat="1" spans="1:31">
      <c r="A380" s="22"/>
      <c r="B380" s="23"/>
      <c r="C380" s="24">
        <v>241206000038</v>
      </c>
      <c r="D380" s="25">
        <v>45642</v>
      </c>
      <c r="E380" s="25" t="s">
        <v>61</v>
      </c>
      <c r="F380" s="23" t="s">
        <v>62</v>
      </c>
      <c r="G380" s="23" t="s">
        <v>330</v>
      </c>
      <c r="H380" s="23">
        <v>0.48</v>
      </c>
      <c r="I380" s="43">
        <v>75</v>
      </c>
      <c r="J380" s="44"/>
      <c r="K380" s="45"/>
      <c r="L380" s="23"/>
      <c r="M380" s="45"/>
      <c r="N380" s="57"/>
      <c r="O380" s="125">
        <f t="shared" si="229"/>
        <v>75</v>
      </c>
      <c r="P380" s="56"/>
      <c r="Q380" s="56"/>
      <c r="R380" s="77">
        <f t="shared" si="225"/>
        <v>28.9356650246305</v>
      </c>
      <c r="S380" s="77"/>
      <c r="T380" s="78">
        <f t="shared" si="226"/>
        <v>0.0520197044334975</v>
      </c>
      <c r="U380" s="77"/>
      <c r="V380" s="77"/>
      <c r="W380" s="77">
        <f t="shared" si="221"/>
        <v>28.987684729064</v>
      </c>
      <c r="X380" s="79">
        <f t="shared" si="227"/>
        <v>0.340856157635468</v>
      </c>
      <c r="Y380" s="79"/>
      <c r="Z380" s="79"/>
      <c r="AA380" s="79">
        <f t="shared" si="222"/>
        <v>0.340856157635468</v>
      </c>
      <c r="AB380" s="91">
        <v>7.27</v>
      </c>
      <c r="AC380" s="77">
        <f t="shared" si="223"/>
        <v>2.47802426600985</v>
      </c>
      <c r="AD380" s="77">
        <f t="shared" si="220"/>
        <v>31.4657089950739</v>
      </c>
      <c r="AE380" s="77">
        <f t="shared" si="224"/>
        <v>43.5342910049261</v>
      </c>
    </row>
    <row r="381" customFormat="1" spans="1:31">
      <c r="A381" s="22"/>
      <c r="B381" s="23"/>
      <c r="C381" s="24">
        <v>241206000039</v>
      </c>
      <c r="D381" s="25">
        <v>45642</v>
      </c>
      <c r="E381" s="25" t="s">
        <v>61</v>
      </c>
      <c r="F381" s="23" t="s">
        <v>62</v>
      </c>
      <c r="G381" s="23" t="s">
        <v>121</v>
      </c>
      <c r="H381" s="23">
        <v>2.5</v>
      </c>
      <c r="I381" s="43">
        <v>203</v>
      </c>
      <c r="J381" s="44"/>
      <c r="K381" s="45"/>
      <c r="L381" s="23"/>
      <c r="M381" s="45"/>
      <c r="N381" s="57"/>
      <c r="O381" s="125">
        <f t="shared" si="229"/>
        <v>203</v>
      </c>
      <c r="P381" s="56"/>
      <c r="Q381" s="56"/>
      <c r="R381" s="77">
        <f t="shared" si="225"/>
        <v>150.706588669951</v>
      </c>
      <c r="S381" s="77"/>
      <c r="T381" s="78">
        <f t="shared" si="226"/>
        <v>0.270935960591133</v>
      </c>
      <c r="U381" s="77"/>
      <c r="V381" s="77"/>
      <c r="W381" s="77">
        <f t="shared" si="221"/>
        <v>150.977524630542</v>
      </c>
      <c r="X381" s="79">
        <f t="shared" si="227"/>
        <v>1.77529248768473</v>
      </c>
      <c r="Y381" s="79"/>
      <c r="Z381" s="79"/>
      <c r="AA381" s="79">
        <f t="shared" si="222"/>
        <v>1.77529248768473</v>
      </c>
      <c r="AB381" s="91">
        <v>7.27</v>
      </c>
      <c r="AC381" s="77">
        <f t="shared" si="223"/>
        <v>12.906376385468</v>
      </c>
      <c r="AD381" s="77">
        <f t="shared" si="220"/>
        <v>163.88390101601</v>
      </c>
      <c r="AE381" s="77">
        <f t="shared" si="224"/>
        <v>39.11609898399</v>
      </c>
    </row>
    <row r="382" customFormat="1" spans="1:31">
      <c r="A382" s="22"/>
      <c r="B382" s="23"/>
      <c r="C382" s="24">
        <v>241206000042</v>
      </c>
      <c r="D382" s="25">
        <v>45642</v>
      </c>
      <c r="E382" s="25" t="s">
        <v>44</v>
      </c>
      <c r="F382" s="23" t="s">
        <v>45</v>
      </c>
      <c r="G382" s="23" t="s">
        <v>306</v>
      </c>
      <c r="H382" s="23">
        <v>2.5</v>
      </c>
      <c r="I382" s="43">
        <v>219.5</v>
      </c>
      <c r="J382" s="44"/>
      <c r="K382" s="45"/>
      <c r="L382" s="23"/>
      <c r="M382" s="45"/>
      <c r="N382" s="57"/>
      <c r="O382" s="125">
        <f t="shared" si="229"/>
        <v>219.5</v>
      </c>
      <c r="P382" s="56"/>
      <c r="Q382" s="56"/>
      <c r="R382" s="77">
        <f t="shared" si="225"/>
        <v>150.706588669951</v>
      </c>
      <c r="S382" s="77"/>
      <c r="T382" s="78">
        <f t="shared" si="226"/>
        <v>0.270935960591133</v>
      </c>
      <c r="U382" s="77"/>
      <c r="V382" s="77"/>
      <c r="W382" s="77">
        <f t="shared" si="221"/>
        <v>150.977524630542</v>
      </c>
      <c r="X382" s="79">
        <f t="shared" si="227"/>
        <v>1.77529248768473</v>
      </c>
      <c r="Y382" s="79"/>
      <c r="Z382" s="79"/>
      <c r="AA382" s="79">
        <f t="shared" si="222"/>
        <v>1.77529248768473</v>
      </c>
      <c r="AB382" s="91">
        <v>7.27</v>
      </c>
      <c r="AC382" s="77">
        <f t="shared" si="223"/>
        <v>12.906376385468</v>
      </c>
      <c r="AD382" s="77">
        <f t="shared" si="220"/>
        <v>163.88390101601</v>
      </c>
      <c r="AE382" s="77">
        <f t="shared" si="224"/>
        <v>55.61609898399</v>
      </c>
    </row>
    <row r="383" customFormat="1" spans="1:31">
      <c r="A383" s="22"/>
      <c r="B383" s="23"/>
      <c r="C383" s="24">
        <v>241206000044</v>
      </c>
      <c r="D383" s="25">
        <v>45642</v>
      </c>
      <c r="E383" s="25" t="s">
        <v>44</v>
      </c>
      <c r="F383" s="23" t="s">
        <v>45</v>
      </c>
      <c r="G383" s="23" t="s">
        <v>307</v>
      </c>
      <c r="H383" s="23">
        <v>6</v>
      </c>
      <c r="I383" s="96"/>
      <c r="J383" s="51">
        <v>105975</v>
      </c>
      <c r="K383" s="45"/>
      <c r="L383" s="52">
        <f>SUM(J383/M383)</f>
        <v>1712.31216674746</v>
      </c>
      <c r="M383" s="53">
        <v>61.89</v>
      </c>
      <c r="N383" s="57">
        <v>7.27</v>
      </c>
      <c r="O383" s="47">
        <f>SUM(M383*N383)</f>
        <v>449.9403</v>
      </c>
      <c r="P383" s="56"/>
      <c r="Q383" s="56"/>
      <c r="R383" s="77">
        <f t="shared" si="225"/>
        <v>361.695812807882</v>
      </c>
      <c r="S383" s="77"/>
      <c r="T383" s="78">
        <f t="shared" si="226"/>
        <v>0.650246305418719</v>
      </c>
      <c r="U383" s="77"/>
      <c r="V383" s="77"/>
      <c r="W383" s="77">
        <f t="shared" si="221"/>
        <v>362.3460591133</v>
      </c>
      <c r="X383" s="79">
        <f t="shared" si="227"/>
        <v>4.26070197044335</v>
      </c>
      <c r="Y383" s="79"/>
      <c r="Z383" s="79"/>
      <c r="AA383" s="79">
        <f t="shared" si="222"/>
        <v>4.26070197044335</v>
      </c>
      <c r="AB383" s="91">
        <v>7.27</v>
      </c>
      <c r="AC383" s="77">
        <f t="shared" si="223"/>
        <v>30.9753033251231</v>
      </c>
      <c r="AD383" s="77">
        <f t="shared" si="220"/>
        <v>393.321362438424</v>
      </c>
      <c r="AE383" s="77">
        <f t="shared" si="224"/>
        <v>56.618937561576</v>
      </c>
    </row>
    <row r="384" customFormat="1" spans="1:31">
      <c r="A384" s="22"/>
      <c r="B384" s="23"/>
      <c r="C384" s="24">
        <v>241206000060</v>
      </c>
      <c r="D384" s="26">
        <v>45642</v>
      </c>
      <c r="E384" s="25" t="s">
        <v>133</v>
      </c>
      <c r="F384" s="23" t="s">
        <v>147</v>
      </c>
      <c r="G384" s="23" t="s">
        <v>331</v>
      </c>
      <c r="H384" s="23">
        <v>8.5</v>
      </c>
      <c r="I384" s="54">
        <v>669</v>
      </c>
      <c r="J384" s="44"/>
      <c r="K384" s="45"/>
      <c r="L384" s="23"/>
      <c r="M384" s="45"/>
      <c r="N384" s="57"/>
      <c r="O384" s="125">
        <f>SUBTOTAL(9,I384)</f>
        <v>669</v>
      </c>
      <c r="P384" s="56"/>
      <c r="Q384" s="56"/>
      <c r="R384" s="77">
        <f t="shared" si="225"/>
        <v>512.402401477833</v>
      </c>
      <c r="S384" s="77"/>
      <c r="T384" s="78">
        <f t="shared" si="226"/>
        <v>0.921182266009852</v>
      </c>
      <c r="U384" s="77"/>
      <c r="V384" s="77"/>
      <c r="W384" s="77">
        <f t="shared" si="221"/>
        <v>513.323583743842</v>
      </c>
      <c r="X384" s="79">
        <f t="shared" si="227"/>
        <v>6.03599445812808</v>
      </c>
      <c r="Y384" s="79"/>
      <c r="Z384" s="79"/>
      <c r="AA384" s="79">
        <f t="shared" si="222"/>
        <v>6.03599445812808</v>
      </c>
      <c r="AB384" s="91">
        <v>7.27</v>
      </c>
      <c r="AC384" s="77">
        <f t="shared" si="223"/>
        <v>43.8816797105911</v>
      </c>
      <c r="AD384" s="77">
        <f t="shared" si="220"/>
        <v>557.205263454434</v>
      </c>
      <c r="AE384" s="77">
        <f t="shared" si="224"/>
        <v>111.794736545566</v>
      </c>
    </row>
    <row r="385" customFormat="1" spans="1:31">
      <c r="A385" s="22"/>
      <c r="B385" s="23"/>
      <c r="C385" s="24">
        <v>241207000001</v>
      </c>
      <c r="D385" s="25">
        <v>45642</v>
      </c>
      <c r="E385" s="25" t="s">
        <v>84</v>
      </c>
      <c r="F385" s="23" t="s">
        <v>85</v>
      </c>
      <c r="G385" s="23" t="s">
        <v>332</v>
      </c>
      <c r="H385" s="23">
        <v>23.5</v>
      </c>
      <c r="I385" s="43">
        <v>2232</v>
      </c>
      <c r="J385" s="44"/>
      <c r="K385" s="45"/>
      <c r="L385" s="23"/>
      <c r="M385" s="45"/>
      <c r="N385" s="57"/>
      <c r="O385" s="125">
        <f t="shared" ref="O385:O388" si="230">SUM(I385)</f>
        <v>2232</v>
      </c>
      <c r="P385" s="56"/>
      <c r="Q385" s="56"/>
      <c r="R385" s="77">
        <f t="shared" si="225"/>
        <v>1416.64193349754</v>
      </c>
      <c r="S385" s="77"/>
      <c r="T385" s="78">
        <f t="shared" si="226"/>
        <v>2.54679802955665</v>
      </c>
      <c r="U385" s="77"/>
      <c r="V385" s="77"/>
      <c r="W385" s="77">
        <f t="shared" si="221"/>
        <v>1419.18873152709</v>
      </c>
      <c r="X385" s="79">
        <f t="shared" si="227"/>
        <v>16.6877493842365</v>
      </c>
      <c r="Y385" s="79"/>
      <c r="Z385" s="79"/>
      <c r="AA385" s="79">
        <f t="shared" si="222"/>
        <v>16.6877493842365</v>
      </c>
      <c r="AB385" s="91">
        <v>7.27</v>
      </c>
      <c r="AC385" s="77">
        <f t="shared" si="223"/>
        <v>121.319938023399</v>
      </c>
      <c r="AD385" s="77">
        <f t="shared" si="220"/>
        <v>1540.50866955049</v>
      </c>
      <c r="AE385" s="77">
        <f t="shared" si="224"/>
        <v>691.49133044951</v>
      </c>
    </row>
    <row r="386" customFormat="1" spans="1:31">
      <c r="A386" s="22"/>
      <c r="B386" s="23"/>
      <c r="C386" s="24">
        <v>241207000004</v>
      </c>
      <c r="D386" s="25">
        <v>45642</v>
      </c>
      <c r="E386" s="25" t="s">
        <v>54</v>
      </c>
      <c r="F386" s="23" t="s">
        <v>55</v>
      </c>
      <c r="G386" s="23" t="s">
        <v>125</v>
      </c>
      <c r="H386" s="23">
        <v>3.5</v>
      </c>
      <c r="I386" s="43">
        <v>283</v>
      </c>
      <c r="J386" s="44"/>
      <c r="K386" s="45"/>
      <c r="L386" s="23"/>
      <c r="M386" s="45"/>
      <c r="N386" s="57"/>
      <c r="O386" s="125">
        <f t="shared" si="230"/>
        <v>283</v>
      </c>
      <c r="P386" s="56"/>
      <c r="Q386" s="56"/>
      <c r="R386" s="77">
        <f t="shared" si="225"/>
        <v>210.989224137931</v>
      </c>
      <c r="S386" s="77"/>
      <c r="T386" s="78">
        <f t="shared" si="226"/>
        <v>0.379310344827586</v>
      </c>
      <c r="U386" s="77"/>
      <c r="V386" s="77"/>
      <c r="W386" s="77">
        <f t="shared" si="221"/>
        <v>211.368534482759</v>
      </c>
      <c r="X386" s="79">
        <f t="shared" si="227"/>
        <v>2.48540948275862</v>
      </c>
      <c r="Y386" s="79"/>
      <c r="Z386" s="79"/>
      <c r="AA386" s="79">
        <f t="shared" si="222"/>
        <v>2.48540948275862</v>
      </c>
      <c r="AB386" s="91">
        <v>7.27</v>
      </c>
      <c r="AC386" s="77">
        <f t="shared" si="223"/>
        <v>18.0689269396552</v>
      </c>
      <c r="AD386" s="77">
        <f t="shared" si="220"/>
        <v>229.437461422414</v>
      </c>
      <c r="AE386" s="77">
        <f t="shared" si="224"/>
        <v>53.562538577586</v>
      </c>
    </row>
    <row r="387" customFormat="1" spans="1:31">
      <c r="A387" s="22"/>
      <c r="B387" s="23"/>
      <c r="C387" s="24">
        <v>241207000005</v>
      </c>
      <c r="D387" s="25">
        <v>45642</v>
      </c>
      <c r="E387" s="25" t="s">
        <v>54</v>
      </c>
      <c r="F387" s="23" t="s">
        <v>55</v>
      </c>
      <c r="G387" s="23" t="s">
        <v>333</v>
      </c>
      <c r="H387" s="23">
        <v>11.5</v>
      </c>
      <c r="I387" s="43">
        <v>891</v>
      </c>
      <c r="J387" s="44"/>
      <c r="K387" s="45"/>
      <c r="L387" s="23"/>
      <c r="M387" s="45"/>
      <c r="N387" s="57"/>
      <c r="O387" s="125">
        <f t="shared" si="230"/>
        <v>891</v>
      </c>
      <c r="P387" s="56"/>
      <c r="Q387" s="56"/>
      <c r="R387" s="77">
        <f t="shared" si="225"/>
        <v>693.250307881773</v>
      </c>
      <c r="S387" s="77"/>
      <c r="T387" s="78">
        <f t="shared" si="226"/>
        <v>1.24630541871921</v>
      </c>
      <c r="U387" s="77"/>
      <c r="V387" s="77"/>
      <c r="W387" s="77">
        <f t="shared" si="221"/>
        <v>694.496613300493</v>
      </c>
      <c r="X387" s="79">
        <f t="shared" si="227"/>
        <v>8.16634544334975</v>
      </c>
      <c r="Y387" s="79"/>
      <c r="Z387" s="79"/>
      <c r="AA387" s="79">
        <f t="shared" si="222"/>
        <v>8.16634544334975</v>
      </c>
      <c r="AB387" s="91">
        <v>7.27</v>
      </c>
      <c r="AC387" s="77">
        <f t="shared" si="223"/>
        <v>59.3693313731527</v>
      </c>
      <c r="AD387" s="77">
        <f t="shared" si="220"/>
        <v>753.865944673645</v>
      </c>
      <c r="AE387" s="77">
        <f t="shared" si="224"/>
        <v>137.134055326355</v>
      </c>
    </row>
    <row r="388" customFormat="1" spans="1:31">
      <c r="A388" s="22"/>
      <c r="B388" s="23"/>
      <c r="C388" s="24">
        <v>241207000007</v>
      </c>
      <c r="D388" s="25">
        <v>45642</v>
      </c>
      <c r="E388" s="25" t="s">
        <v>61</v>
      </c>
      <c r="F388" s="23" t="s">
        <v>62</v>
      </c>
      <c r="G388" s="23" t="s">
        <v>219</v>
      </c>
      <c r="H388" s="23">
        <v>18.5</v>
      </c>
      <c r="I388" s="43">
        <v>1430</v>
      </c>
      <c r="J388" s="44"/>
      <c r="K388" s="45"/>
      <c r="L388" s="23"/>
      <c r="M388" s="45"/>
      <c r="N388" s="57"/>
      <c r="O388" s="125">
        <f t="shared" si="230"/>
        <v>1430</v>
      </c>
      <c r="P388" s="56"/>
      <c r="Q388" s="56"/>
      <c r="R388" s="77">
        <f t="shared" si="225"/>
        <v>1115.22875615764</v>
      </c>
      <c r="S388" s="77"/>
      <c r="T388" s="78">
        <f t="shared" si="226"/>
        <v>2.00492610837438</v>
      </c>
      <c r="U388" s="77"/>
      <c r="V388" s="77"/>
      <c r="W388" s="77">
        <f t="shared" si="221"/>
        <v>1117.23368226601</v>
      </c>
      <c r="X388" s="79">
        <f t="shared" si="227"/>
        <v>13.137164408867</v>
      </c>
      <c r="Y388" s="79"/>
      <c r="Z388" s="79"/>
      <c r="AA388" s="79">
        <f t="shared" si="222"/>
        <v>13.137164408867</v>
      </c>
      <c r="AB388" s="91">
        <v>7.27</v>
      </c>
      <c r="AC388" s="77">
        <f t="shared" si="223"/>
        <v>95.507185252463</v>
      </c>
      <c r="AD388" s="77">
        <f t="shared" si="220"/>
        <v>1212.74086751847</v>
      </c>
      <c r="AE388" s="77">
        <f t="shared" si="224"/>
        <v>217.25913248153</v>
      </c>
    </row>
    <row r="389" customFormat="1" spans="1:31">
      <c r="A389" s="22"/>
      <c r="B389" s="23"/>
      <c r="C389" s="24">
        <v>241208000003</v>
      </c>
      <c r="D389" s="26">
        <v>45642</v>
      </c>
      <c r="E389" s="25" t="s">
        <v>70</v>
      </c>
      <c r="F389" s="23" t="s">
        <v>70</v>
      </c>
      <c r="G389" s="23" t="s">
        <v>334</v>
      </c>
      <c r="H389" s="23">
        <v>1</v>
      </c>
      <c r="I389" s="47"/>
      <c r="J389" s="44"/>
      <c r="K389" s="45"/>
      <c r="L389" s="23"/>
      <c r="M389" s="45">
        <v>11.53</v>
      </c>
      <c r="N389" s="57">
        <v>7.27</v>
      </c>
      <c r="O389" s="125">
        <f t="shared" ref="O389:O392" si="231">SUM(M389*N389)</f>
        <v>83.8231</v>
      </c>
      <c r="P389" s="56"/>
      <c r="Q389" s="56"/>
      <c r="R389" s="77">
        <f t="shared" si="225"/>
        <v>60.2826354679803</v>
      </c>
      <c r="S389" s="77"/>
      <c r="T389" s="78">
        <f t="shared" si="226"/>
        <v>0.108374384236453</v>
      </c>
      <c r="U389" s="77"/>
      <c r="V389" s="77"/>
      <c r="W389" s="77">
        <f t="shared" si="221"/>
        <v>60.3910098522168</v>
      </c>
      <c r="X389" s="79">
        <f t="shared" si="227"/>
        <v>0.710116995073892</v>
      </c>
      <c r="Y389" s="79"/>
      <c r="Z389" s="79"/>
      <c r="AA389" s="79">
        <f t="shared" si="222"/>
        <v>0.710116995073892</v>
      </c>
      <c r="AB389" s="91">
        <v>7.27</v>
      </c>
      <c r="AC389" s="77">
        <f t="shared" si="223"/>
        <v>5.16255055418719</v>
      </c>
      <c r="AD389" s="77">
        <f t="shared" si="220"/>
        <v>65.5535604064039</v>
      </c>
      <c r="AE389" s="77">
        <f t="shared" si="224"/>
        <v>18.2695395935961</v>
      </c>
    </row>
    <row r="390" customFormat="1" spans="1:31">
      <c r="A390" s="22"/>
      <c r="B390" s="23"/>
      <c r="C390" s="24">
        <v>241209000002</v>
      </c>
      <c r="D390" s="25">
        <v>45642</v>
      </c>
      <c r="E390" s="25" t="s">
        <v>44</v>
      </c>
      <c r="F390" s="23" t="s">
        <v>45</v>
      </c>
      <c r="G390" s="23" t="s">
        <v>121</v>
      </c>
      <c r="H390" s="23">
        <v>8</v>
      </c>
      <c r="I390" s="50"/>
      <c r="J390" s="51">
        <v>142500</v>
      </c>
      <c r="K390" s="45"/>
      <c r="L390" s="52">
        <f t="shared" ref="L390:L392" si="232">SUM(J390/M390)</f>
        <v>1655.43680297398</v>
      </c>
      <c r="M390" s="53">
        <v>86.08</v>
      </c>
      <c r="N390" s="57">
        <v>7.27</v>
      </c>
      <c r="O390" s="125">
        <f t="shared" si="231"/>
        <v>625.8016</v>
      </c>
      <c r="P390" s="56"/>
      <c r="Q390" s="56"/>
      <c r="R390" s="77">
        <f t="shared" si="225"/>
        <v>482.261083743842</v>
      </c>
      <c r="S390" s="77"/>
      <c r="T390" s="78">
        <f t="shared" si="226"/>
        <v>0.866995073891626</v>
      </c>
      <c r="U390" s="77"/>
      <c r="V390" s="77"/>
      <c r="W390" s="77">
        <f t="shared" si="221"/>
        <v>483.128078817734</v>
      </c>
      <c r="X390" s="79">
        <f t="shared" si="227"/>
        <v>5.68093596059113</v>
      </c>
      <c r="Y390" s="79"/>
      <c r="Z390" s="79"/>
      <c r="AA390" s="79">
        <f t="shared" si="222"/>
        <v>5.68093596059113</v>
      </c>
      <c r="AB390" s="91">
        <v>7.27</v>
      </c>
      <c r="AC390" s="77">
        <f t="shared" si="223"/>
        <v>41.3004044334975</v>
      </c>
      <c r="AD390" s="77">
        <f t="shared" si="220"/>
        <v>524.428483251232</v>
      </c>
      <c r="AE390" s="77">
        <f t="shared" si="224"/>
        <v>101.373116748768</v>
      </c>
    </row>
    <row r="391" customFormat="1" spans="1:31">
      <c r="A391" s="22"/>
      <c r="B391" s="23"/>
      <c r="C391" s="24">
        <v>241209000004</v>
      </c>
      <c r="D391" s="25">
        <v>45642</v>
      </c>
      <c r="E391" s="25" t="s">
        <v>44</v>
      </c>
      <c r="F391" s="23" t="s">
        <v>45</v>
      </c>
      <c r="G391" s="23" t="s">
        <v>130</v>
      </c>
      <c r="H391" s="23">
        <v>21.5</v>
      </c>
      <c r="I391" s="96"/>
      <c r="J391" s="51">
        <v>401620</v>
      </c>
      <c r="K391" s="45"/>
      <c r="L391" s="52">
        <f t="shared" si="232"/>
        <v>1697.60757460478</v>
      </c>
      <c r="M391" s="53">
        <v>236.58</v>
      </c>
      <c r="N391" s="57">
        <v>7.27</v>
      </c>
      <c r="O391" s="47">
        <f t="shared" si="231"/>
        <v>1719.9366</v>
      </c>
      <c r="P391" s="56"/>
      <c r="Q391" s="56"/>
      <c r="R391" s="77">
        <f t="shared" si="225"/>
        <v>1296.07666256158</v>
      </c>
      <c r="S391" s="77"/>
      <c r="T391" s="78">
        <f t="shared" si="226"/>
        <v>2.33004926108374</v>
      </c>
      <c r="U391" s="77"/>
      <c r="V391" s="77"/>
      <c r="W391" s="77">
        <f t="shared" si="221"/>
        <v>1298.40671182266</v>
      </c>
      <c r="X391" s="79">
        <f t="shared" si="227"/>
        <v>15.2675153940887</v>
      </c>
      <c r="Y391" s="79"/>
      <c r="Z391" s="79"/>
      <c r="AA391" s="79">
        <f t="shared" si="222"/>
        <v>15.2675153940887</v>
      </c>
      <c r="AB391" s="91">
        <v>7.27</v>
      </c>
      <c r="AC391" s="77">
        <f t="shared" si="223"/>
        <v>110.994836915025</v>
      </c>
      <c r="AD391" s="77">
        <f t="shared" si="220"/>
        <v>1409.40154873769</v>
      </c>
      <c r="AE391" s="77">
        <f t="shared" si="224"/>
        <v>310.53505126231</v>
      </c>
    </row>
    <row r="392" customFormat="1" spans="1:31">
      <c r="A392" s="22"/>
      <c r="B392" s="23"/>
      <c r="C392" s="92">
        <v>241209000009</v>
      </c>
      <c r="D392" s="94">
        <v>45642</v>
      </c>
      <c r="E392" s="25" t="s">
        <v>44</v>
      </c>
      <c r="F392" s="95" t="s">
        <v>45</v>
      </c>
      <c r="G392" s="95" t="s">
        <v>162</v>
      </c>
      <c r="H392" s="95">
        <v>13</v>
      </c>
      <c r="I392" s="50"/>
      <c r="J392" s="51">
        <v>219305</v>
      </c>
      <c r="K392" s="45"/>
      <c r="L392" s="52">
        <f t="shared" si="232"/>
        <v>1672.16927182615</v>
      </c>
      <c r="M392" s="53">
        <v>131.15</v>
      </c>
      <c r="N392" s="57">
        <v>7.27</v>
      </c>
      <c r="O392" s="47">
        <f t="shared" si="231"/>
        <v>953.4605</v>
      </c>
      <c r="P392" s="56"/>
      <c r="Q392" s="56"/>
      <c r="R392" s="77">
        <f t="shared" si="225"/>
        <v>783.674261083744</v>
      </c>
      <c r="S392" s="77"/>
      <c r="T392" s="78">
        <f t="shared" si="226"/>
        <v>1.40886699507389</v>
      </c>
      <c r="U392" s="77"/>
      <c r="V392" s="77"/>
      <c r="W392" s="77">
        <f t="shared" si="221"/>
        <v>785.083128078818</v>
      </c>
      <c r="X392" s="79">
        <f t="shared" si="227"/>
        <v>9.23152093596059</v>
      </c>
      <c r="Y392" s="79"/>
      <c r="Z392" s="79"/>
      <c r="AA392" s="79">
        <f t="shared" si="222"/>
        <v>9.23152093596059</v>
      </c>
      <c r="AB392" s="91">
        <v>7.27</v>
      </c>
      <c r="AC392" s="77">
        <f t="shared" si="223"/>
        <v>67.1131572044335</v>
      </c>
      <c r="AD392" s="77">
        <f t="shared" si="220"/>
        <v>852.196285283251</v>
      </c>
      <c r="AE392" s="77">
        <f t="shared" si="224"/>
        <v>101.264214716749</v>
      </c>
    </row>
    <row r="393" customFormat="1" spans="1:31">
      <c r="A393" s="22"/>
      <c r="B393" s="23"/>
      <c r="C393" s="24">
        <v>241209000010</v>
      </c>
      <c r="D393" s="25">
        <v>45642</v>
      </c>
      <c r="E393" s="25" t="s">
        <v>44</v>
      </c>
      <c r="F393" s="23" t="s">
        <v>45</v>
      </c>
      <c r="G393" s="23" t="s">
        <v>129</v>
      </c>
      <c r="H393" s="23">
        <v>0.9</v>
      </c>
      <c r="I393" s="43">
        <v>83</v>
      </c>
      <c r="J393" s="44"/>
      <c r="K393" s="45"/>
      <c r="L393" s="23"/>
      <c r="M393" s="45"/>
      <c r="N393" s="57"/>
      <c r="O393" s="125">
        <f>SUM(I393)</f>
        <v>83</v>
      </c>
      <c r="P393" s="56"/>
      <c r="Q393" s="56"/>
      <c r="R393" s="77">
        <f t="shared" si="225"/>
        <v>54.2543719211823</v>
      </c>
      <c r="S393" s="77"/>
      <c r="T393" s="78">
        <f t="shared" si="226"/>
        <v>0.0975369458128079</v>
      </c>
      <c r="U393" s="77"/>
      <c r="V393" s="77"/>
      <c r="W393" s="77">
        <f t="shared" si="221"/>
        <v>54.3519088669951</v>
      </c>
      <c r="X393" s="79">
        <f t="shared" si="227"/>
        <v>0.639105295566502</v>
      </c>
      <c r="Y393" s="79"/>
      <c r="Z393" s="79"/>
      <c r="AA393" s="79">
        <f t="shared" si="222"/>
        <v>0.639105295566502</v>
      </c>
      <c r="AB393" s="91">
        <v>7.27</v>
      </c>
      <c r="AC393" s="77">
        <f t="shared" si="223"/>
        <v>4.64629549876847</v>
      </c>
      <c r="AD393" s="77">
        <f t="shared" si="220"/>
        <v>58.9982043657635</v>
      </c>
      <c r="AE393" s="77">
        <f t="shared" si="224"/>
        <v>24.0017956342365</v>
      </c>
    </row>
    <row r="394" customFormat="1" spans="1:31">
      <c r="A394" s="22"/>
      <c r="B394" s="23"/>
      <c r="C394" s="24">
        <v>241209000011</v>
      </c>
      <c r="D394" s="25">
        <v>45642</v>
      </c>
      <c r="E394" s="25" t="s">
        <v>44</v>
      </c>
      <c r="F394" s="23" t="s">
        <v>45</v>
      </c>
      <c r="G394" s="23" t="s">
        <v>307</v>
      </c>
      <c r="H394" s="23">
        <v>10</v>
      </c>
      <c r="I394" s="96"/>
      <c r="J394" s="51">
        <v>176625</v>
      </c>
      <c r="K394" s="45"/>
      <c r="L394" s="52">
        <f t="shared" ref="L394:L399" si="233">SUM(J394/M394)</f>
        <v>1712.14618069019</v>
      </c>
      <c r="M394" s="53">
        <v>103.16</v>
      </c>
      <c r="N394" s="57">
        <v>7.27</v>
      </c>
      <c r="O394" s="47">
        <f t="shared" ref="O394:O399" si="234">SUM(M394*N394)</f>
        <v>749.9732</v>
      </c>
      <c r="P394" s="56"/>
      <c r="Q394" s="56"/>
      <c r="R394" s="77">
        <f t="shared" si="225"/>
        <v>602.826354679803</v>
      </c>
      <c r="S394" s="77"/>
      <c r="T394" s="78">
        <f t="shared" si="226"/>
        <v>1.08374384236453</v>
      </c>
      <c r="U394" s="77"/>
      <c r="V394" s="77"/>
      <c r="W394" s="77">
        <f t="shared" si="221"/>
        <v>603.910098522168</v>
      </c>
      <c r="X394" s="79">
        <f t="shared" si="227"/>
        <v>7.10116995073892</v>
      </c>
      <c r="Y394" s="79"/>
      <c r="Z394" s="79"/>
      <c r="AA394" s="79">
        <f t="shared" si="222"/>
        <v>7.10116995073892</v>
      </c>
      <c r="AB394" s="91">
        <v>7.27</v>
      </c>
      <c r="AC394" s="77">
        <f t="shared" si="223"/>
        <v>51.6255055418719</v>
      </c>
      <c r="AD394" s="77">
        <f t="shared" si="220"/>
        <v>655.535604064039</v>
      </c>
      <c r="AE394" s="77">
        <f t="shared" si="224"/>
        <v>94.437595935961</v>
      </c>
    </row>
    <row r="395" customFormat="1" spans="1:31">
      <c r="A395" s="22"/>
      <c r="B395" s="23"/>
      <c r="C395" s="24">
        <v>241209000012</v>
      </c>
      <c r="D395" s="25">
        <v>45642</v>
      </c>
      <c r="E395" s="25" t="s">
        <v>44</v>
      </c>
      <c r="F395" s="23" t="s">
        <v>45</v>
      </c>
      <c r="G395" s="23" t="s">
        <v>170</v>
      </c>
      <c r="H395" s="23">
        <v>24</v>
      </c>
      <c r="I395" s="50"/>
      <c r="J395" s="51">
        <v>414000</v>
      </c>
      <c r="K395" s="45"/>
      <c r="L395" s="52">
        <f t="shared" si="233"/>
        <v>1672.11922937114</v>
      </c>
      <c r="M395" s="53">
        <v>247.59</v>
      </c>
      <c r="N395" s="57">
        <v>7.27</v>
      </c>
      <c r="O395" s="47">
        <f t="shared" si="234"/>
        <v>1799.9793</v>
      </c>
      <c r="P395" s="56"/>
      <c r="Q395" s="56"/>
      <c r="R395" s="77">
        <f t="shared" si="225"/>
        <v>1446.78325123153</v>
      </c>
      <c r="S395" s="77"/>
      <c r="T395" s="78">
        <f t="shared" si="226"/>
        <v>2.60098522167488</v>
      </c>
      <c r="U395" s="77"/>
      <c r="V395" s="77"/>
      <c r="W395" s="77">
        <f t="shared" si="221"/>
        <v>1449.3842364532</v>
      </c>
      <c r="X395" s="79">
        <f t="shared" si="227"/>
        <v>17.0428078817734</v>
      </c>
      <c r="Y395" s="79"/>
      <c r="Z395" s="79"/>
      <c r="AA395" s="79">
        <f t="shared" si="222"/>
        <v>17.0428078817734</v>
      </c>
      <c r="AB395" s="91">
        <v>7.27</v>
      </c>
      <c r="AC395" s="77">
        <f t="shared" si="223"/>
        <v>123.901213300493</v>
      </c>
      <c r="AD395" s="77">
        <f t="shared" si="220"/>
        <v>1573.28544975369</v>
      </c>
      <c r="AE395" s="77">
        <f t="shared" si="224"/>
        <v>226.69385024631</v>
      </c>
    </row>
    <row r="396" customFormat="1" spans="1:31">
      <c r="A396" s="22"/>
      <c r="B396" s="23"/>
      <c r="C396" s="24">
        <v>241209000013</v>
      </c>
      <c r="D396" s="25">
        <v>45642</v>
      </c>
      <c r="E396" s="25" t="s">
        <v>44</v>
      </c>
      <c r="F396" s="23" t="s">
        <v>45</v>
      </c>
      <c r="G396" s="23" t="s">
        <v>170</v>
      </c>
      <c r="H396" s="23">
        <v>0.46</v>
      </c>
      <c r="I396" s="50"/>
      <c r="J396" s="51">
        <v>17250</v>
      </c>
      <c r="K396" s="45"/>
      <c r="L396" s="52">
        <f t="shared" si="233"/>
        <v>1673.13288069835</v>
      </c>
      <c r="M396" s="53">
        <v>10.31</v>
      </c>
      <c r="N396" s="57">
        <v>7.27</v>
      </c>
      <c r="O396" s="47">
        <f t="shared" si="234"/>
        <v>74.9537</v>
      </c>
      <c r="P396" s="56"/>
      <c r="Q396" s="56"/>
      <c r="R396" s="77">
        <f t="shared" si="225"/>
        <v>27.7300123152709</v>
      </c>
      <c r="S396" s="77"/>
      <c r="T396" s="78">
        <f t="shared" si="226"/>
        <v>0.0498522167487685</v>
      </c>
      <c r="U396" s="77"/>
      <c r="V396" s="77"/>
      <c r="W396" s="77">
        <f t="shared" si="221"/>
        <v>27.7798645320197</v>
      </c>
      <c r="X396" s="79">
        <f t="shared" si="227"/>
        <v>0.32665381773399</v>
      </c>
      <c r="Y396" s="79"/>
      <c r="Z396" s="79"/>
      <c r="AA396" s="79">
        <f t="shared" si="222"/>
        <v>0.32665381773399</v>
      </c>
      <c r="AB396" s="91">
        <v>7.27</v>
      </c>
      <c r="AC396" s="77">
        <f t="shared" si="223"/>
        <v>2.37477325492611</v>
      </c>
      <c r="AD396" s="77">
        <f t="shared" si="220"/>
        <v>30.1546377869458</v>
      </c>
      <c r="AE396" s="77">
        <f t="shared" si="224"/>
        <v>44.7990622130542</v>
      </c>
    </row>
    <row r="397" customFormat="1" spans="1:31">
      <c r="A397" s="22"/>
      <c r="B397" s="23"/>
      <c r="C397" s="24">
        <v>241209000014</v>
      </c>
      <c r="D397" s="25">
        <v>45642</v>
      </c>
      <c r="E397" s="25" t="s">
        <v>44</v>
      </c>
      <c r="F397" s="23" t="s">
        <v>45</v>
      </c>
      <c r="G397" s="23" t="s">
        <v>130</v>
      </c>
      <c r="H397" s="23">
        <v>1</v>
      </c>
      <c r="I397" s="96"/>
      <c r="J397" s="51">
        <v>18680</v>
      </c>
      <c r="K397" s="45"/>
      <c r="L397" s="52">
        <f t="shared" si="233"/>
        <v>1698.18181818182</v>
      </c>
      <c r="M397" s="53">
        <v>11</v>
      </c>
      <c r="N397" s="57">
        <v>7.27</v>
      </c>
      <c r="O397" s="47">
        <f t="shared" si="234"/>
        <v>79.97</v>
      </c>
      <c r="P397" s="56"/>
      <c r="Q397" s="56"/>
      <c r="R397" s="77">
        <f t="shared" si="225"/>
        <v>60.2826354679803</v>
      </c>
      <c r="S397" s="77"/>
      <c r="T397" s="78">
        <f t="shared" si="226"/>
        <v>0.108374384236453</v>
      </c>
      <c r="U397" s="77"/>
      <c r="V397" s="77"/>
      <c r="W397" s="77">
        <f t="shared" si="221"/>
        <v>60.3910098522168</v>
      </c>
      <c r="X397" s="79">
        <f t="shared" si="227"/>
        <v>0.710116995073892</v>
      </c>
      <c r="Y397" s="79"/>
      <c r="Z397" s="79"/>
      <c r="AA397" s="79">
        <f t="shared" si="222"/>
        <v>0.710116995073892</v>
      </c>
      <c r="AB397" s="91">
        <v>7.27</v>
      </c>
      <c r="AC397" s="77">
        <f t="shared" si="223"/>
        <v>5.16255055418719</v>
      </c>
      <c r="AD397" s="77">
        <f t="shared" si="220"/>
        <v>65.5535604064039</v>
      </c>
      <c r="AE397" s="77">
        <f t="shared" si="224"/>
        <v>14.4164395935961</v>
      </c>
    </row>
    <row r="398" customFormat="1" spans="1:31">
      <c r="A398" s="22"/>
      <c r="B398" s="23"/>
      <c r="C398" s="24">
        <v>241209000016</v>
      </c>
      <c r="D398" s="25">
        <v>45642</v>
      </c>
      <c r="E398" s="25" t="s">
        <v>44</v>
      </c>
      <c r="F398" s="23" t="s">
        <v>45</v>
      </c>
      <c r="G398" s="23" t="s">
        <v>60</v>
      </c>
      <c r="H398" s="23">
        <v>27.5</v>
      </c>
      <c r="I398" s="50"/>
      <c r="J398" s="51">
        <v>489000</v>
      </c>
      <c r="K398" s="45"/>
      <c r="L398" s="52">
        <f t="shared" si="233"/>
        <v>1657.40238611714</v>
      </c>
      <c r="M398" s="53">
        <v>295.04</v>
      </c>
      <c r="N398" s="57">
        <v>7.27</v>
      </c>
      <c r="O398" s="125">
        <f t="shared" si="234"/>
        <v>2144.9408</v>
      </c>
      <c r="P398" s="56"/>
      <c r="Q398" s="56"/>
      <c r="R398" s="77">
        <f t="shared" si="225"/>
        <v>1657.77247536946</v>
      </c>
      <c r="S398" s="77"/>
      <c r="T398" s="78">
        <f t="shared" si="226"/>
        <v>2.98029556650246</v>
      </c>
      <c r="U398" s="77"/>
      <c r="V398" s="77"/>
      <c r="W398" s="77">
        <f t="shared" si="221"/>
        <v>1660.75277093596</v>
      </c>
      <c r="X398" s="79">
        <f t="shared" si="227"/>
        <v>19.528217364532</v>
      </c>
      <c r="Y398" s="79"/>
      <c r="Z398" s="79"/>
      <c r="AA398" s="79">
        <f t="shared" si="222"/>
        <v>19.528217364532</v>
      </c>
      <c r="AB398" s="91">
        <v>7.27</v>
      </c>
      <c r="AC398" s="77">
        <f t="shared" si="223"/>
        <v>141.970140240148</v>
      </c>
      <c r="AD398" s="77">
        <f t="shared" si="220"/>
        <v>1802.72291117611</v>
      </c>
      <c r="AE398" s="77">
        <f t="shared" si="224"/>
        <v>342.21788882389</v>
      </c>
    </row>
    <row r="399" customFormat="1" spans="1:31">
      <c r="A399" s="22"/>
      <c r="B399" s="23"/>
      <c r="C399" s="24">
        <v>241209000021</v>
      </c>
      <c r="D399" s="25">
        <v>45642</v>
      </c>
      <c r="E399" s="25" t="s">
        <v>54</v>
      </c>
      <c r="F399" s="23" t="s">
        <v>55</v>
      </c>
      <c r="G399" s="23" t="s">
        <v>335</v>
      </c>
      <c r="H399" s="23">
        <v>8</v>
      </c>
      <c r="I399" s="47"/>
      <c r="J399" s="51">
        <v>153565</v>
      </c>
      <c r="K399" s="45"/>
      <c r="L399" s="52">
        <f t="shared" si="233"/>
        <v>1649.99462769958</v>
      </c>
      <c r="M399" s="53">
        <v>93.07</v>
      </c>
      <c r="N399" s="57">
        <v>7.27</v>
      </c>
      <c r="O399" s="125">
        <f t="shared" si="234"/>
        <v>676.6189</v>
      </c>
      <c r="P399" s="56"/>
      <c r="Q399" s="56"/>
      <c r="R399" s="77">
        <f t="shared" si="225"/>
        <v>482.261083743842</v>
      </c>
      <c r="S399" s="77"/>
      <c r="T399" s="78">
        <f t="shared" si="226"/>
        <v>0.866995073891626</v>
      </c>
      <c r="U399" s="77"/>
      <c r="V399" s="77"/>
      <c r="W399" s="77">
        <f t="shared" si="221"/>
        <v>483.128078817734</v>
      </c>
      <c r="X399" s="79">
        <f t="shared" si="227"/>
        <v>5.68093596059113</v>
      </c>
      <c r="Y399" s="79"/>
      <c r="Z399" s="79"/>
      <c r="AA399" s="79">
        <f t="shared" si="222"/>
        <v>5.68093596059113</v>
      </c>
      <c r="AB399" s="91">
        <v>7.27</v>
      </c>
      <c r="AC399" s="77">
        <f t="shared" si="223"/>
        <v>41.3004044334975</v>
      </c>
      <c r="AD399" s="77">
        <f t="shared" si="220"/>
        <v>524.428483251232</v>
      </c>
      <c r="AE399" s="77">
        <f t="shared" si="224"/>
        <v>152.190416748768</v>
      </c>
    </row>
    <row r="400" customFormat="1" spans="1:31">
      <c r="A400" s="22"/>
      <c r="B400" s="23"/>
      <c r="C400" s="24">
        <v>241209000029</v>
      </c>
      <c r="D400" s="25">
        <v>45642</v>
      </c>
      <c r="E400" s="25" t="s">
        <v>37</v>
      </c>
      <c r="F400" s="23" t="s">
        <v>38</v>
      </c>
      <c r="G400" s="23" t="s">
        <v>336</v>
      </c>
      <c r="H400" s="23">
        <v>3.5</v>
      </c>
      <c r="I400" s="43">
        <v>306.5</v>
      </c>
      <c r="J400" s="44"/>
      <c r="K400" s="45"/>
      <c r="L400" s="23"/>
      <c r="M400" s="45"/>
      <c r="N400" s="57"/>
      <c r="O400" s="125">
        <f t="shared" ref="O400:O411" si="235">SUM(I400)</f>
        <v>306.5</v>
      </c>
      <c r="P400" s="56"/>
      <c r="Q400" s="56"/>
      <c r="R400" s="77">
        <f t="shared" si="225"/>
        <v>210.989224137931</v>
      </c>
      <c r="S400" s="77"/>
      <c r="T400" s="78">
        <f t="shared" si="226"/>
        <v>0.379310344827586</v>
      </c>
      <c r="U400" s="77"/>
      <c r="V400" s="77"/>
      <c r="W400" s="77">
        <f t="shared" si="221"/>
        <v>211.368534482759</v>
      </c>
      <c r="X400" s="79">
        <f t="shared" si="227"/>
        <v>2.48540948275862</v>
      </c>
      <c r="Y400" s="79"/>
      <c r="Z400" s="79"/>
      <c r="AA400" s="79">
        <f t="shared" si="222"/>
        <v>2.48540948275862</v>
      </c>
      <c r="AB400" s="91">
        <v>7.27</v>
      </c>
      <c r="AC400" s="77">
        <f t="shared" si="223"/>
        <v>18.0689269396552</v>
      </c>
      <c r="AD400" s="77">
        <f t="shared" si="220"/>
        <v>229.437461422414</v>
      </c>
      <c r="AE400" s="77">
        <f t="shared" si="224"/>
        <v>77.062538577586</v>
      </c>
    </row>
    <row r="401" customFormat="1" spans="1:31">
      <c r="A401" s="22"/>
      <c r="B401" s="23"/>
      <c r="C401" s="24">
        <v>241209000032</v>
      </c>
      <c r="D401" s="25">
        <v>45642</v>
      </c>
      <c r="E401" s="25" t="s">
        <v>54</v>
      </c>
      <c r="F401" s="23" t="s">
        <v>55</v>
      </c>
      <c r="G401" s="23" t="s">
        <v>337</v>
      </c>
      <c r="H401" s="23">
        <v>9.5</v>
      </c>
      <c r="I401" s="47"/>
      <c r="J401" s="51">
        <v>178007.76</v>
      </c>
      <c r="K401" s="45"/>
      <c r="L401" s="52">
        <f>SUM(J401/M401)</f>
        <v>1737</v>
      </c>
      <c r="M401" s="53">
        <v>102.48</v>
      </c>
      <c r="N401" s="57">
        <v>7.27</v>
      </c>
      <c r="O401" s="125">
        <f>SUM(M401*N401)</f>
        <v>745.0296</v>
      </c>
      <c r="P401" s="56"/>
      <c r="Q401" s="56"/>
      <c r="R401" s="77">
        <f t="shared" si="225"/>
        <v>572.685036945813</v>
      </c>
      <c r="S401" s="77"/>
      <c r="T401" s="78">
        <f t="shared" si="226"/>
        <v>1.02955665024631</v>
      </c>
      <c r="U401" s="77"/>
      <c r="V401" s="77"/>
      <c r="W401" s="77">
        <f t="shared" si="221"/>
        <v>573.714593596059</v>
      </c>
      <c r="X401" s="79">
        <f t="shared" si="227"/>
        <v>6.74611145320197</v>
      </c>
      <c r="Y401" s="79"/>
      <c r="Z401" s="79"/>
      <c r="AA401" s="79">
        <f t="shared" si="222"/>
        <v>6.74611145320197</v>
      </c>
      <c r="AB401" s="91">
        <v>7.27</v>
      </c>
      <c r="AC401" s="77">
        <f t="shared" si="223"/>
        <v>49.0442302647783</v>
      </c>
      <c r="AD401" s="77">
        <f t="shared" ref="AD401:AD432" si="236">SUM(W401+AC401)</f>
        <v>622.758823860837</v>
      </c>
      <c r="AE401" s="77">
        <f t="shared" si="224"/>
        <v>122.270776139163</v>
      </c>
    </row>
    <row r="402" customFormat="1" spans="1:31">
      <c r="A402" s="22"/>
      <c r="B402" s="23"/>
      <c r="C402" s="24">
        <v>241209000033</v>
      </c>
      <c r="D402" s="25">
        <v>45642</v>
      </c>
      <c r="E402" s="25" t="s">
        <v>37</v>
      </c>
      <c r="F402" s="23" t="s">
        <v>38</v>
      </c>
      <c r="G402" s="23" t="s">
        <v>152</v>
      </c>
      <c r="H402" s="23">
        <v>201.5</v>
      </c>
      <c r="I402" s="43">
        <v>15515.5</v>
      </c>
      <c r="J402" s="44"/>
      <c r="K402" s="45"/>
      <c r="L402" s="23"/>
      <c r="M402" s="45"/>
      <c r="N402" s="57"/>
      <c r="O402" s="125">
        <f t="shared" si="235"/>
        <v>15515.5</v>
      </c>
      <c r="P402" s="56"/>
      <c r="Q402" s="56"/>
      <c r="R402" s="77">
        <f t="shared" si="225"/>
        <v>12146.951046798</v>
      </c>
      <c r="S402" s="77"/>
      <c r="T402" s="78">
        <f t="shared" si="226"/>
        <v>21.8374384236453</v>
      </c>
      <c r="U402" s="77"/>
      <c r="V402" s="77"/>
      <c r="W402" s="77">
        <f t="shared" ref="W402:W433" si="237">SUM(R402:V402)</f>
        <v>12168.7884852217</v>
      </c>
      <c r="X402" s="79">
        <f t="shared" si="227"/>
        <v>143.088574507389</v>
      </c>
      <c r="Y402" s="79"/>
      <c r="Z402" s="79"/>
      <c r="AA402" s="79">
        <f t="shared" ref="AA402:AA433" si="238">SUM(X402:Z402)</f>
        <v>143.088574507389</v>
      </c>
      <c r="AB402" s="91">
        <v>7.27</v>
      </c>
      <c r="AC402" s="77">
        <f t="shared" ref="AC402:AC433" si="239">SUM(AA402*AB402)</f>
        <v>1040.25393666872</v>
      </c>
      <c r="AD402" s="77">
        <f t="shared" si="236"/>
        <v>13209.0424218904</v>
      </c>
      <c r="AE402" s="77">
        <f t="shared" ref="AE402:AE433" si="240">SUM(O402-AD402)</f>
        <v>2306.4575781096</v>
      </c>
    </row>
    <row r="403" customFormat="1" spans="1:31">
      <c r="A403" s="22"/>
      <c r="B403" s="23"/>
      <c r="C403" s="24">
        <v>241209000034</v>
      </c>
      <c r="D403" s="25">
        <v>45642</v>
      </c>
      <c r="E403" s="25" t="s">
        <v>37</v>
      </c>
      <c r="F403" s="23" t="s">
        <v>38</v>
      </c>
      <c r="G403" s="23" t="s">
        <v>152</v>
      </c>
      <c r="H403" s="23">
        <v>336.5</v>
      </c>
      <c r="I403" s="43">
        <v>25737.5</v>
      </c>
      <c r="J403" s="44"/>
      <c r="K403" s="45"/>
      <c r="L403" s="23"/>
      <c r="M403" s="45"/>
      <c r="N403" s="57"/>
      <c r="O403" s="125">
        <f t="shared" si="235"/>
        <v>25737.5</v>
      </c>
      <c r="P403" s="56"/>
      <c r="Q403" s="56"/>
      <c r="R403" s="77">
        <f t="shared" si="225"/>
        <v>20285.1068349754</v>
      </c>
      <c r="S403" s="77"/>
      <c r="T403" s="78">
        <f t="shared" si="226"/>
        <v>36.4679802955665</v>
      </c>
      <c r="U403" s="77"/>
      <c r="V403" s="77"/>
      <c r="W403" s="77">
        <f t="shared" si="237"/>
        <v>20321.5748152709</v>
      </c>
      <c r="X403" s="79">
        <f t="shared" si="227"/>
        <v>238.954368842365</v>
      </c>
      <c r="Y403" s="79">
        <v>69.44</v>
      </c>
      <c r="Z403" s="79"/>
      <c r="AA403" s="79">
        <f t="shared" si="238"/>
        <v>308.394368842365</v>
      </c>
      <c r="AB403" s="91">
        <v>7.27</v>
      </c>
      <c r="AC403" s="77">
        <f t="shared" si="239"/>
        <v>2242.02706148399</v>
      </c>
      <c r="AD403" s="77">
        <f t="shared" si="236"/>
        <v>22563.6018767549</v>
      </c>
      <c r="AE403" s="77">
        <f t="shared" si="240"/>
        <v>3173.89812324508</v>
      </c>
    </row>
    <row r="404" customFormat="1" spans="1:31">
      <c r="A404" s="22"/>
      <c r="B404" s="23"/>
      <c r="C404" s="24">
        <v>241209000038</v>
      </c>
      <c r="D404" s="25">
        <v>45642</v>
      </c>
      <c r="E404" s="25" t="s">
        <v>61</v>
      </c>
      <c r="F404" s="23" t="s">
        <v>62</v>
      </c>
      <c r="G404" s="23" t="s">
        <v>269</v>
      </c>
      <c r="H404" s="23">
        <v>2</v>
      </c>
      <c r="I404" s="43">
        <v>163</v>
      </c>
      <c r="J404" s="44"/>
      <c r="K404" s="45"/>
      <c r="L404" s="23"/>
      <c r="M404" s="45"/>
      <c r="N404" s="57"/>
      <c r="O404" s="125">
        <f t="shared" si="235"/>
        <v>163</v>
      </c>
      <c r="P404" s="56"/>
      <c r="Q404" s="56"/>
      <c r="R404" s="77">
        <f t="shared" ref="R404:R435" si="241">SUM(195798/3248)*H404</f>
        <v>120.565270935961</v>
      </c>
      <c r="S404" s="77"/>
      <c r="T404" s="78">
        <f t="shared" ref="T404:T435" si="242">SUM(352/3248)*H404</f>
        <v>0.216748768472906</v>
      </c>
      <c r="U404" s="77"/>
      <c r="V404" s="77"/>
      <c r="W404" s="77">
        <f t="shared" si="237"/>
        <v>120.782019704434</v>
      </c>
      <c r="X404" s="79">
        <f t="shared" ref="X404:X435" si="243">SUM(2306.46/3248)*H404</f>
        <v>1.42023399014778</v>
      </c>
      <c r="Y404" s="79"/>
      <c r="Z404" s="79"/>
      <c r="AA404" s="79">
        <f t="shared" si="238"/>
        <v>1.42023399014778</v>
      </c>
      <c r="AB404" s="91">
        <v>7.27</v>
      </c>
      <c r="AC404" s="77">
        <f t="shared" si="239"/>
        <v>10.3251011083744</v>
      </c>
      <c r="AD404" s="77">
        <f t="shared" si="236"/>
        <v>131.107120812808</v>
      </c>
      <c r="AE404" s="77">
        <f t="shared" si="240"/>
        <v>31.8928791871921</v>
      </c>
    </row>
    <row r="405" customFormat="1" spans="1:31">
      <c r="A405" s="22"/>
      <c r="B405" s="23"/>
      <c r="C405" s="24">
        <v>241209000040</v>
      </c>
      <c r="D405" s="25">
        <v>45642</v>
      </c>
      <c r="E405" s="25" t="s">
        <v>61</v>
      </c>
      <c r="F405" s="23" t="s">
        <v>62</v>
      </c>
      <c r="G405" s="23" t="s">
        <v>121</v>
      </c>
      <c r="H405" s="23">
        <v>5</v>
      </c>
      <c r="I405" s="43">
        <v>423</v>
      </c>
      <c r="J405" s="44"/>
      <c r="K405" s="45"/>
      <c r="L405" s="23"/>
      <c r="M405" s="45"/>
      <c r="N405" s="57"/>
      <c r="O405" s="125">
        <f t="shared" si="235"/>
        <v>423</v>
      </c>
      <c r="P405" s="56"/>
      <c r="Q405" s="56"/>
      <c r="R405" s="77">
        <f t="shared" si="241"/>
        <v>301.413177339901</v>
      </c>
      <c r="S405" s="77"/>
      <c r="T405" s="78">
        <f t="shared" si="242"/>
        <v>0.541871921182266</v>
      </c>
      <c r="U405" s="77"/>
      <c r="V405" s="77"/>
      <c r="W405" s="77">
        <f t="shared" si="237"/>
        <v>301.955049261084</v>
      </c>
      <c r="X405" s="79">
        <f t="shared" si="243"/>
        <v>3.55058497536946</v>
      </c>
      <c r="Y405" s="79">
        <v>2.75</v>
      </c>
      <c r="Z405" s="79"/>
      <c r="AA405" s="79">
        <f t="shared" si="238"/>
        <v>6.30058497536946</v>
      </c>
      <c r="AB405" s="91">
        <v>7.27</v>
      </c>
      <c r="AC405" s="77">
        <f t="shared" si="239"/>
        <v>45.805252770936</v>
      </c>
      <c r="AD405" s="77">
        <f t="shared" si="236"/>
        <v>347.76030203202</v>
      </c>
      <c r="AE405" s="77">
        <f t="shared" si="240"/>
        <v>75.2396979679802</v>
      </c>
    </row>
    <row r="406" customFormat="1" spans="1:31">
      <c r="A406" s="22"/>
      <c r="B406" s="23"/>
      <c r="C406" s="24">
        <v>241209000041</v>
      </c>
      <c r="D406" s="25">
        <v>45642</v>
      </c>
      <c r="E406" s="25" t="s">
        <v>54</v>
      </c>
      <c r="F406" s="23" t="s">
        <v>55</v>
      </c>
      <c r="G406" s="23" t="s">
        <v>104</v>
      </c>
      <c r="H406" s="23">
        <v>0.78</v>
      </c>
      <c r="I406" s="43">
        <v>83</v>
      </c>
      <c r="J406" s="44"/>
      <c r="K406" s="45"/>
      <c r="L406" s="23"/>
      <c r="M406" s="45"/>
      <c r="N406" s="57"/>
      <c r="O406" s="125">
        <f t="shared" si="235"/>
        <v>83</v>
      </c>
      <c r="P406" s="56"/>
      <c r="Q406" s="56"/>
      <c r="R406" s="77">
        <f t="shared" si="241"/>
        <v>47.0204556650246</v>
      </c>
      <c r="S406" s="77"/>
      <c r="T406" s="78">
        <f t="shared" si="242"/>
        <v>0.0845320197044335</v>
      </c>
      <c r="U406" s="77"/>
      <c r="V406" s="77"/>
      <c r="W406" s="77">
        <f t="shared" si="237"/>
        <v>47.1049876847291</v>
      </c>
      <c r="X406" s="79">
        <f t="shared" si="243"/>
        <v>0.553891256157635</v>
      </c>
      <c r="Y406" s="79"/>
      <c r="Z406" s="79"/>
      <c r="AA406" s="79">
        <f t="shared" si="238"/>
        <v>0.553891256157635</v>
      </c>
      <c r="AB406" s="91">
        <v>7.27</v>
      </c>
      <c r="AC406" s="77">
        <f t="shared" si="239"/>
        <v>4.02678943226601</v>
      </c>
      <c r="AD406" s="77">
        <f t="shared" si="236"/>
        <v>51.1317771169951</v>
      </c>
      <c r="AE406" s="77">
        <f t="shared" si="240"/>
        <v>31.8682228830049</v>
      </c>
    </row>
    <row r="407" customFormat="1" spans="1:31">
      <c r="A407" s="22"/>
      <c r="B407" s="23"/>
      <c r="C407" s="24">
        <v>241209000042</v>
      </c>
      <c r="D407" s="25">
        <v>45642</v>
      </c>
      <c r="E407" s="25" t="s">
        <v>37</v>
      </c>
      <c r="F407" s="23" t="s">
        <v>38</v>
      </c>
      <c r="G407" s="23" t="s">
        <v>154</v>
      </c>
      <c r="H407" s="23">
        <v>0.8</v>
      </c>
      <c r="I407" s="43">
        <v>94.6</v>
      </c>
      <c r="J407" s="44"/>
      <c r="K407" s="45"/>
      <c r="L407" s="23"/>
      <c r="M407" s="45"/>
      <c r="N407" s="57"/>
      <c r="O407" s="125">
        <f t="shared" si="235"/>
        <v>94.6</v>
      </c>
      <c r="P407" s="56"/>
      <c r="Q407" s="56"/>
      <c r="R407" s="77">
        <f t="shared" si="241"/>
        <v>48.2261083743842</v>
      </c>
      <c r="S407" s="77"/>
      <c r="T407" s="78">
        <f t="shared" si="242"/>
        <v>0.0866995073891626</v>
      </c>
      <c r="U407" s="77"/>
      <c r="V407" s="77"/>
      <c r="W407" s="77">
        <f t="shared" si="237"/>
        <v>48.3128078817734</v>
      </c>
      <c r="X407" s="79">
        <f t="shared" si="243"/>
        <v>0.568093596059113</v>
      </c>
      <c r="Y407" s="79"/>
      <c r="Z407" s="79"/>
      <c r="AA407" s="79">
        <f t="shared" si="238"/>
        <v>0.568093596059113</v>
      </c>
      <c r="AB407" s="91">
        <v>7.27</v>
      </c>
      <c r="AC407" s="77">
        <f t="shared" si="239"/>
        <v>4.13004044334975</v>
      </c>
      <c r="AD407" s="77">
        <f t="shared" si="236"/>
        <v>52.4428483251232</v>
      </c>
      <c r="AE407" s="77">
        <f t="shared" si="240"/>
        <v>42.1571516748768</v>
      </c>
    </row>
    <row r="408" customFormat="1" spans="1:31">
      <c r="A408" s="22"/>
      <c r="B408" s="23"/>
      <c r="C408" s="24">
        <v>241209000043</v>
      </c>
      <c r="D408" s="25">
        <v>45642</v>
      </c>
      <c r="E408" s="25" t="s">
        <v>54</v>
      </c>
      <c r="F408" s="23" t="s">
        <v>55</v>
      </c>
      <c r="G408" s="23" t="s">
        <v>125</v>
      </c>
      <c r="H408" s="23">
        <v>14</v>
      </c>
      <c r="I408" s="43">
        <v>1084</v>
      </c>
      <c r="J408" s="44"/>
      <c r="K408" s="45"/>
      <c r="L408" s="23"/>
      <c r="M408" s="45"/>
      <c r="N408" s="57"/>
      <c r="O408" s="125">
        <f t="shared" si="235"/>
        <v>1084</v>
      </c>
      <c r="P408" s="56"/>
      <c r="Q408" s="56"/>
      <c r="R408" s="77">
        <f t="shared" si="241"/>
        <v>843.956896551724</v>
      </c>
      <c r="S408" s="77"/>
      <c r="T408" s="78">
        <f t="shared" si="242"/>
        <v>1.51724137931034</v>
      </c>
      <c r="U408" s="77"/>
      <c r="V408" s="77"/>
      <c r="W408" s="77">
        <f t="shared" si="237"/>
        <v>845.474137931035</v>
      </c>
      <c r="X408" s="79">
        <f t="shared" si="243"/>
        <v>9.94163793103448</v>
      </c>
      <c r="Y408" s="79"/>
      <c r="Z408" s="79"/>
      <c r="AA408" s="79">
        <f t="shared" si="238"/>
        <v>9.94163793103448</v>
      </c>
      <c r="AB408" s="91">
        <v>7.27</v>
      </c>
      <c r="AC408" s="77">
        <f t="shared" si="239"/>
        <v>72.2757077586207</v>
      </c>
      <c r="AD408" s="77">
        <f t="shared" si="236"/>
        <v>917.749845689655</v>
      </c>
      <c r="AE408" s="77">
        <f t="shared" si="240"/>
        <v>166.250154310345</v>
      </c>
    </row>
    <row r="409" customFormat="1" spans="1:31">
      <c r="A409" s="22"/>
      <c r="B409" s="23"/>
      <c r="C409" s="24">
        <v>241209000052</v>
      </c>
      <c r="D409" s="25">
        <v>45642</v>
      </c>
      <c r="E409" s="25" t="s">
        <v>61</v>
      </c>
      <c r="F409" s="23" t="s">
        <v>62</v>
      </c>
      <c r="G409" s="23" t="s">
        <v>338</v>
      </c>
      <c r="H409" s="23">
        <v>5.5</v>
      </c>
      <c r="I409" s="43">
        <v>443</v>
      </c>
      <c r="J409" s="44"/>
      <c r="K409" s="45"/>
      <c r="L409" s="23"/>
      <c r="M409" s="45"/>
      <c r="N409" s="57"/>
      <c r="O409" s="125">
        <f t="shared" si="235"/>
        <v>443</v>
      </c>
      <c r="P409" s="56"/>
      <c r="Q409" s="56"/>
      <c r="R409" s="77">
        <f t="shared" si="241"/>
        <v>331.554495073892</v>
      </c>
      <c r="S409" s="77"/>
      <c r="T409" s="78">
        <f t="shared" si="242"/>
        <v>0.596059113300493</v>
      </c>
      <c r="U409" s="77"/>
      <c r="V409" s="77"/>
      <c r="W409" s="77">
        <f t="shared" si="237"/>
        <v>332.150554187192</v>
      </c>
      <c r="X409" s="79">
        <f t="shared" si="243"/>
        <v>3.9056434729064</v>
      </c>
      <c r="Y409" s="79"/>
      <c r="Z409" s="79"/>
      <c r="AA409" s="79">
        <f t="shared" si="238"/>
        <v>3.9056434729064</v>
      </c>
      <c r="AB409" s="91">
        <v>7.27</v>
      </c>
      <c r="AC409" s="77">
        <f t="shared" si="239"/>
        <v>28.3940280480296</v>
      </c>
      <c r="AD409" s="77">
        <f t="shared" si="236"/>
        <v>360.544582235222</v>
      </c>
      <c r="AE409" s="77">
        <f t="shared" si="240"/>
        <v>82.4554177647783</v>
      </c>
    </row>
    <row r="410" customFormat="1" spans="1:31">
      <c r="A410" s="22"/>
      <c r="B410" s="23"/>
      <c r="C410" s="24">
        <v>241209000053</v>
      </c>
      <c r="D410" s="25">
        <v>45642</v>
      </c>
      <c r="E410" s="25" t="s">
        <v>54</v>
      </c>
      <c r="F410" s="23" t="s">
        <v>55</v>
      </c>
      <c r="G410" s="23" t="s">
        <v>339</v>
      </c>
      <c r="H410" s="23">
        <v>163.5</v>
      </c>
      <c r="I410" s="43">
        <v>12426</v>
      </c>
      <c r="J410" s="44"/>
      <c r="K410" s="45"/>
      <c r="L410" s="23"/>
      <c r="M410" s="45"/>
      <c r="N410" s="57"/>
      <c r="O410" s="125">
        <f t="shared" si="235"/>
        <v>12426</v>
      </c>
      <c r="P410" s="56"/>
      <c r="Q410" s="56"/>
      <c r="R410" s="77">
        <f t="shared" si="241"/>
        <v>9856.21089901478</v>
      </c>
      <c r="S410" s="77"/>
      <c r="T410" s="78">
        <f t="shared" si="242"/>
        <v>17.7192118226601</v>
      </c>
      <c r="U410" s="77"/>
      <c r="V410" s="77"/>
      <c r="W410" s="77">
        <f t="shared" si="237"/>
        <v>9873.93011083744</v>
      </c>
      <c r="X410" s="79">
        <f t="shared" si="243"/>
        <v>116.104128694581</v>
      </c>
      <c r="Y410" s="79"/>
      <c r="Z410" s="79"/>
      <c r="AA410" s="79">
        <f t="shared" si="238"/>
        <v>116.104128694581</v>
      </c>
      <c r="AB410" s="91">
        <v>7.27</v>
      </c>
      <c r="AC410" s="77">
        <f t="shared" si="239"/>
        <v>844.077015609606</v>
      </c>
      <c r="AD410" s="77">
        <f t="shared" si="236"/>
        <v>10718.007126447</v>
      </c>
      <c r="AE410" s="77">
        <f t="shared" si="240"/>
        <v>1707.99287355296</v>
      </c>
    </row>
    <row r="411" customFormat="1" spans="1:31">
      <c r="A411" s="22"/>
      <c r="B411" s="23"/>
      <c r="C411" s="24">
        <v>241209000054</v>
      </c>
      <c r="D411" s="25">
        <v>45642</v>
      </c>
      <c r="E411" s="25" t="s">
        <v>61</v>
      </c>
      <c r="F411" s="23" t="s">
        <v>62</v>
      </c>
      <c r="G411" s="23" t="s">
        <v>340</v>
      </c>
      <c r="H411" s="23">
        <v>4</v>
      </c>
      <c r="I411" s="43">
        <v>418</v>
      </c>
      <c r="J411" s="44"/>
      <c r="K411" s="45"/>
      <c r="L411" s="23"/>
      <c r="M411" s="45"/>
      <c r="N411" s="57"/>
      <c r="O411" s="125">
        <f t="shared" si="235"/>
        <v>418</v>
      </c>
      <c r="P411" s="56"/>
      <c r="Q411" s="56"/>
      <c r="R411" s="77">
        <f t="shared" si="241"/>
        <v>241.130541871921</v>
      </c>
      <c r="S411" s="77"/>
      <c r="T411" s="78">
        <f t="shared" si="242"/>
        <v>0.433497536945813</v>
      </c>
      <c r="U411" s="77"/>
      <c r="V411" s="77"/>
      <c r="W411" s="77">
        <f t="shared" si="237"/>
        <v>241.564039408867</v>
      </c>
      <c r="X411" s="79">
        <f t="shared" si="243"/>
        <v>2.84046798029557</v>
      </c>
      <c r="Y411" s="79">
        <v>13.19</v>
      </c>
      <c r="Z411" s="79"/>
      <c r="AA411" s="79">
        <f t="shared" si="238"/>
        <v>16.0304679802956</v>
      </c>
      <c r="AB411" s="91">
        <v>7.27</v>
      </c>
      <c r="AC411" s="77">
        <f t="shared" si="239"/>
        <v>116.541502216749</v>
      </c>
      <c r="AD411" s="77">
        <f t="shared" si="236"/>
        <v>358.105541625616</v>
      </c>
      <c r="AE411" s="77">
        <f t="shared" si="240"/>
        <v>59.8944583743842</v>
      </c>
    </row>
    <row r="412" customFormat="1" spans="1:31">
      <c r="A412" s="22"/>
      <c r="B412" s="23"/>
      <c r="C412" s="24">
        <v>241209000058</v>
      </c>
      <c r="D412" s="25">
        <v>45642</v>
      </c>
      <c r="E412" s="25" t="s">
        <v>54</v>
      </c>
      <c r="F412" s="23" t="s">
        <v>55</v>
      </c>
      <c r="G412" s="23" t="s">
        <v>341</v>
      </c>
      <c r="H412" s="23">
        <v>16</v>
      </c>
      <c r="I412" s="47"/>
      <c r="J412" s="51">
        <v>298816</v>
      </c>
      <c r="K412" s="45"/>
      <c r="L412" s="52">
        <f>SUM(J412/M412)</f>
        <v>1736.99936057664</v>
      </c>
      <c r="M412" s="53">
        <v>172.03</v>
      </c>
      <c r="N412" s="57">
        <v>7.27</v>
      </c>
      <c r="O412" s="125">
        <f>SUM(M412*N412)</f>
        <v>1250.6581</v>
      </c>
      <c r="P412" s="56"/>
      <c r="Q412" s="56"/>
      <c r="R412" s="77">
        <f t="shared" si="241"/>
        <v>964.522167487685</v>
      </c>
      <c r="S412" s="77"/>
      <c r="T412" s="78">
        <f t="shared" si="242"/>
        <v>1.73399014778325</v>
      </c>
      <c r="U412" s="77"/>
      <c r="V412" s="77"/>
      <c r="W412" s="77">
        <f t="shared" si="237"/>
        <v>966.256157635468</v>
      </c>
      <c r="X412" s="79">
        <f t="shared" si="243"/>
        <v>11.3618719211823</v>
      </c>
      <c r="Y412" s="79"/>
      <c r="Z412" s="79"/>
      <c r="AA412" s="79">
        <f t="shared" si="238"/>
        <v>11.3618719211823</v>
      </c>
      <c r="AB412" s="91">
        <v>7.27</v>
      </c>
      <c r="AC412" s="77">
        <f t="shared" si="239"/>
        <v>82.6008088669951</v>
      </c>
      <c r="AD412" s="77">
        <f t="shared" si="236"/>
        <v>1048.85696650246</v>
      </c>
      <c r="AE412" s="77">
        <f t="shared" si="240"/>
        <v>201.801133497537</v>
      </c>
    </row>
    <row r="413" customFormat="1" spans="1:31">
      <c r="A413" s="22"/>
      <c r="B413" s="23"/>
      <c r="C413" s="24">
        <v>241209000064</v>
      </c>
      <c r="D413" s="25">
        <v>45642</v>
      </c>
      <c r="E413" s="25" t="s">
        <v>54</v>
      </c>
      <c r="F413" s="23" t="s">
        <v>55</v>
      </c>
      <c r="G413" s="23" t="s">
        <v>125</v>
      </c>
      <c r="H413" s="23">
        <v>2.5</v>
      </c>
      <c r="I413" s="43">
        <v>283</v>
      </c>
      <c r="J413" s="44"/>
      <c r="K413" s="45"/>
      <c r="L413" s="23"/>
      <c r="M413" s="45"/>
      <c r="N413" s="57"/>
      <c r="O413" s="125">
        <f t="shared" ref="O413:O416" si="244">SUM(I413)</f>
        <v>283</v>
      </c>
      <c r="P413" s="56"/>
      <c r="Q413" s="56"/>
      <c r="R413" s="77">
        <f t="shared" si="241"/>
        <v>150.706588669951</v>
      </c>
      <c r="S413" s="77"/>
      <c r="T413" s="78">
        <f t="shared" si="242"/>
        <v>0.270935960591133</v>
      </c>
      <c r="U413" s="77"/>
      <c r="V413" s="77"/>
      <c r="W413" s="77">
        <f t="shared" si="237"/>
        <v>150.977524630542</v>
      </c>
      <c r="X413" s="79">
        <f t="shared" si="243"/>
        <v>1.77529248768473</v>
      </c>
      <c r="Y413" s="79"/>
      <c r="Z413" s="79"/>
      <c r="AA413" s="79">
        <f t="shared" si="238"/>
        <v>1.77529248768473</v>
      </c>
      <c r="AB413" s="91">
        <v>7.27</v>
      </c>
      <c r="AC413" s="77">
        <f t="shared" si="239"/>
        <v>12.906376385468</v>
      </c>
      <c r="AD413" s="77">
        <f t="shared" si="236"/>
        <v>163.88390101601</v>
      </c>
      <c r="AE413" s="77">
        <f t="shared" si="240"/>
        <v>119.11609898399</v>
      </c>
    </row>
    <row r="414" customFormat="1" spans="1:31">
      <c r="A414" s="22"/>
      <c r="B414" s="23"/>
      <c r="C414" s="92">
        <v>241209000066</v>
      </c>
      <c r="D414" s="93">
        <v>45642</v>
      </c>
      <c r="E414" s="25" t="s">
        <v>70</v>
      </c>
      <c r="F414" s="95" t="s">
        <v>70</v>
      </c>
      <c r="G414" s="95" t="s">
        <v>71</v>
      </c>
      <c r="H414" s="95">
        <v>634</v>
      </c>
      <c r="I414" s="43">
        <v>49550</v>
      </c>
      <c r="J414" s="44"/>
      <c r="K414" s="45"/>
      <c r="L414" s="23"/>
      <c r="M414" s="45"/>
      <c r="N414" s="57"/>
      <c r="O414" s="125">
        <f t="shared" si="244"/>
        <v>49550</v>
      </c>
      <c r="P414" s="56"/>
      <c r="Q414" s="56"/>
      <c r="R414" s="77">
        <f t="shared" si="241"/>
        <v>38219.1908866995</v>
      </c>
      <c r="S414" s="77"/>
      <c r="T414" s="78">
        <f t="shared" si="242"/>
        <v>68.7093596059113</v>
      </c>
      <c r="U414" s="77"/>
      <c r="V414" s="77"/>
      <c r="W414" s="77">
        <f t="shared" si="237"/>
        <v>38287.9002463054</v>
      </c>
      <c r="X414" s="79">
        <f t="shared" si="243"/>
        <v>450.214174876847</v>
      </c>
      <c r="Y414" s="79"/>
      <c r="Z414" s="79"/>
      <c r="AA414" s="79">
        <f t="shared" si="238"/>
        <v>450.214174876847</v>
      </c>
      <c r="AB414" s="91">
        <v>7.27</v>
      </c>
      <c r="AC414" s="77">
        <f t="shared" si="239"/>
        <v>3273.05705135468</v>
      </c>
      <c r="AD414" s="77">
        <f t="shared" si="236"/>
        <v>41560.9572976601</v>
      </c>
      <c r="AE414" s="77">
        <f t="shared" si="240"/>
        <v>7989.0427023399</v>
      </c>
    </row>
    <row r="415" customFormat="1" spans="1:31">
      <c r="A415" s="22"/>
      <c r="B415" s="23"/>
      <c r="C415" s="24">
        <v>241209000068</v>
      </c>
      <c r="D415" s="25">
        <v>45642</v>
      </c>
      <c r="E415" s="25" t="s">
        <v>61</v>
      </c>
      <c r="F415" s="23" t="s">
        <v>62</v>
      </c>
      <c r="G415" s="23" t="s">
        <v>174</v>
      </c>
      <c r="H415" s="23">
        <v>0.8</v>
      </c>
      <c r="I415" s="43">
        <v>83</v>
      </c>
      <c r="J415" s="44"/>
      <c r="K415" s="45"/>
      <c r="L415" s="23"/>
      <c r="M415" s="45"/>
      <c r="N415" s="57"/>
      <c r="O415" s="125">
        <f t="shared" si="244"/>
        <v>83</v>
      </c>
      <c r="P415" s="56"/>
      <c r="Q415" s="56"/>
      <c r="R415" s="77">
        <f t="shared" si="241"/>
        <v>48.2261083743842</v>
      </c>
      <c r="S415" s="77"/>
      <c r="T415" s="78">
        <f t="shared" si="242"/>
        <v>0.0866995073891626</v>
      </c>
      <c r="U415" s="77"/>
      <c r="V415" s="77"/>
      <c r="W415" s="77">
        <f t="shared" si="237"/>
        <v>48.3128078817734</v>
      </c>
      <c r="X415" s="79">
        <f t="shared" si="243"/>
        <v>0.568093596059113</v>
      </c>
      <c r="Y415" s="79"/>
      <c r="Z415" s="79"/>
      <c r="AA415" s="79">
        <f t="shared" si="238"/>
        <v>0.568093596059113</v>
      </c>
      <c r="AB415" s="91">
        <v>7.27</v>
      </c>
      <c r="AC415" s="77">
        <f t="shared" si="239"/>
        <v>4.13004044334975</v>
      </c>
      <c r="AD415" s="77">
        <f t="shared" si="236"/>
        <v>52.4428483251232</v>
      </c>
      <c r="AE415" s="77">
        <f t="shared" si="240"/>
        <v>30.5571516748768</v>
      </c>
    </row>
    <row r="416" customFormat="1" spans="1:31">
      <c r="A416" s="22"/>
      <c r="B416" s="23"/>
      <c r="C416" s="24">
        <v>241209000069</v>
      </c>
      <c r="D416" s="26">
        <v>45642</v>
      </c>
      <c r="E416" s="25" t="s">
        <v>70</v>
      </c>
      <c r="F416" s="23" t="s">
        <v>70</v>
      </c>
      <c r="G416" s="23" t="s">
        <v>156</v>
      </c>
      <c r="H416" s="23">
        <v>7</v>
      </c>
      <c r="I416" s="43">
        <v>545</v>
      </c>
      <c r="J416" s="44"/>
      <c r="K416" s="45"/>
      <c r="L416" s="23"/>
      <c r="M416" s="45"/>
      <c r="N416" s="57"/>
      <c r="O416" s="125">
        <f t="shared" si="244"/>
        <v>545</v>
      </c>
      <c r="P416" s="56"/>
      <c r="Q416" s="56"/>
      <c r="R416" s="77">
        <f t="shared" si="241"/>
        <v>421.978448275862</v>
      </c>
      <c r="S416" s="77"/>
      <c r="T416" s="78">
        <f t="shared" si="242"/>
        <v>0.758620689655172</v>
      </c>
      <c r="U416" s="77"/>
      <c r="V416" s="77"/>
      <c r="W416" s="77">
        <f t="shared" si="237"/>
        <v>422.737068965517</v>
      </c>
      <c r="X416" s="79">
        <f t="shared" si="243"/>
        <v>4.97081896551724</v>
      </c>
      <c r="Y416" s="79"/>
      <c r="Z416" s="79"/>
      <c r="AA416" s="79">
        <f t="shared" si="238"/>
        <v>4.97081896551724</v>
      </c>
      <c r="AB416" s="91">
        <v>7.27</v>
      </c>
      <c r="AC416" s="77">
        <f t="shared" si="239"/>
        <v>36.1378538793103</v>
      </c>
      <c r="AD416" s="77">
        <f t="shared" si="236"/>
        <v>458.874922844828</v>
      </c>
      <c r="AE416" s="77">
        <f t="shared" si="240"/>
        <v>86.1250771551724</v>
      </c>
    </row>
    <row r="417" customFormat="1" spans="1:31">
      <c r="A417" s="22"/>
      <c r="B417" s="23"/>
      <c r="C417" s="24">
        <v>241209000074</v>
      </c>
      <c r="D417" s="25">
        <v>45642</v>
      </c>
      <c r="E417" s="25" t="s">
        <v>44</v>
      </c>
      <c r="F417" s="23" t="s">
        <v>45</v>
      </c>
      <c r="G417" s="23" t="s">
        <v>286</v>
      </c>
      <c r="H417" s="23">
        <v>0.32</v>
      </c>
      <c r="I417" s="50"/>
      <c r="J417" s="51">
        <v>21526</v>
      </c>
      <c r="K417" s="45"/>
      <c r="L417" s="52">
        <f t="shared" ref="L417:L421" si="245">SUM(J417/M417)</f>
        <v>1666.09907120743</v>
      </c>
      <c r="M417" s="53">
        <v>12.92</v>
      </c>
      <c r="N417" s="57">
        <v>7.27</v>
      </c>
      <c r="O417" s="125">
        <f t="shared" ref="O417:O421" si="246">SUM(M417*N417)</f>
        <v>93.9284</v>
      </c>
      <c r="P417" s="56"/>
      <c r="Q417" s="56"/>
      <c r="R417" s="77">
        <f t="shared" si="241"/>
        <v>19.2904433497537</v>
      </c>
      <c r="S417" s="77"/>
      <c r="T417" s="78">
        <f t="shared" si="242"/>
        <v>0.034679802955665</v>
      </c>
      <c r="U417" s="77"/>
      <c r="V417" s="78">
        <v>19</v>
      </c>
      <c r="W417" s="77">
        <f t="shared" si="237"/>
        <v>38.3251231527094</v>
      </c>
      <c r="X417" s="79">
        <f t="shared" si="243"/>
        <v>0.227237438423645</v>
      </c>
      <c r="Y417" s="79"/>
      <c r="Z417" s="79"/>
      <c r="AA417" s="79">
        <f t="shared" si="238"/>
        <v>0.227237438423645</v>
      </c>
      <c r="AB417" s="91">
        <v>7.27</v>
      </c>
      <c r="AC417" s="77">
        <f t="shared" si="239"/>
        <v>1.6520161773399</v>
      </c>
      <c r="AD417" s="77">
        <f t="shared" si="236"/>
        <v>39.9771393300493</v>
      </c>
      <c r="AE417" s="77">
        <f t="shared" si="240"/>
        <v>53.9512606699507</v>
      </c>
    </row>
    <row r="418" customFormat="1" spans="1:31">
      <c r="A418" s="22"/>
      <c r="B418" s="23"/>
      <c r="C418" s="24">
        <v>241209000075</v>
      </c>
      <c r="D418" s="25">
        <v>45642</v>
      </c>
      <c r="E418" s="25" t="s">
        <v>54</v>
      </c>
      <c r="F418" s="23" t="s">
        <v>55</v>
      </c>
      <c r="G418" s="23" t="s">
        <v>104</v>
      </c>
      <c r="H418" s="23">
        <v>1.5</v>
      </c>
      <c r="I418" s="43">
        <v>123</v>
      </c>
      <c r="J418" s="44"/>
      <c r="K418" s="45"/>
      <c r="L418" s="23"/>
      <c r="M418" s="45"/>
      <c r="N418" s="57"/>
      <c r="O418" s="125">
        <f t="shared" ref="O418:O424" si="247">SUM(I418)</f>
        <v>123</v>
      </c>
      <c r="P418" s="56"/>
      <c r="Q418" s="56"/>
      <c r="R418" s="77">
        <f t="shared" si="241"/>
        <v>90.4239532019704</v>
      </c>
      <c r="S418" s="77"/>
      <c r="T418" s="78">
        <f t="shared" si="242"/>
        <v>0.16256157635468</v>
      </c>
      <c r="U418" s="77"/>
      <c r="V418" s="77"/>
      <c r="W418" s="77">
        <f t="shared" si="237"/>
        <v>90.5865147783251</v>
      </c>
      <c r="X418" s="79">
        <f t="shared" si="243"/>
        <v>1.06517549261084</v>
      </c>
      <c r="Y418" s="79"/>
      <c r="Z418" s="79"/>
      <c r="AA418" s="79">
        <f t="shared" si="238"/>
        <v>1.06517549261084</v>
      </c>
      <c r="AB418" s="91">
        <v>7.27</v>
      </c>
      <c r="AC418" s="77">
        <f t="shared" si="239"/>
        <v>7.74382583128079</v>
      </c>
      <c r="AD418" s="77">
        <f t="shared" si="236"/>
        <v>98.3303406096059</v>
      </c>
      <c r="AE418" s="77">
        <f t="shared" si="240"/>
        <v>24.6696593903941</v>
      </c>
    </row>
    <row r="419" customFormat="1" spans="1:31">
      <c r="A419" s="22"/>
      <c r="B419" s="23"/>
      <c r="C419" s="24">
        <v>241209000077</v>
      </c>
      <c r="D419" s="25">
        <v>45642</v>
      </c>
      <c r="E419" s="25" t="s">
        <v>44</v>
      </c>
      <c r="F419" s="23" t="s">
        <v>45</v>
      </c>
      <c r="G419" s="23" t="s">
        <v>170</v>
      </c>
      <c r="H419" s="23">
        <v>66.5</v>
      </c>
      <c r="I419" s="50"/>
      <c r="J419" s="51">
        <v>1147125</v>
      </c>
      <c r="K419" s="45"/>
      <c r="L419" s="52">
        <f t="shared" si="245"/>
        <v>1672.12075273676</v>
      </c>
      <c r="M419" s="53">
        <v>686.03</v>
      </c>
      <c r="N419" s="57">
        <v>7.27</v>
      </c>
      <c r="O419" s="47">
        <f t="shared" si="246"/>
        <v>4987.4381</v>
      </c>
      <c r="P419" s="56"/>
      <c r="Q419" s="56"/>
      <c r="R419" s="77">
        <f t="shared" si="241"/>
        <v>4008.79525862069</v>
      </c>
      <c r="S419" s="77"/>
      <c r="T419" s="78">
        <f t="shared" si="242"/>
        <v>7.20689655172414</v>
      </c>
      <c r="U419" s="77"/>
      <c r="V419" s="77"/>
      <c r="W419" s="77">
        <f t="shared" si="237"/>
        <v>4016.00215517241</v>
      </c>
      <c r="X419" s="79">
        <f t="shared" si="243"/>
        <v>47.2227801724138</v>
      </c>
      <c r="Y419" s="79"/>
      <c r="Z419" s="79"/>
      <c r="AA419" s="79">
        <f t="shared" si="238"/>
        <v>47.2227801724138</v>
      </c>
      <c r="AB419" s="91">
        <v>7.27</v>
      </c>
      <c r="AC419" s="77">
        <f t="shared" si="239"/>
        <v>343.309611853448</v>
      </c>
      <c r="AD419" s="77">
        <f t="shared" si="236"/>
        <v>4359.31176702586</v>
      </c>
      <c r="AE419" s="77">
        <f t="shared" si="240"/>
        <v>628.126332974138</v>
      </c>
    </row>
    <row r="420" customFormat="1" spans="1:31">
      <c r="A420" s="22"/>
      <c r="B420" s="23"/>
      <c r="C420" s="24">
        <v>241209000083</v>
      </c>
      <c r="D420" s="25">
        <v>45642</v>
      </c>
      <c r="E420" s="25" t="s">
        <v>61</v>
      </c>
      <c r="F420" s="23" t="s">
        <v>62</v>
      </c>
      <c r="G420" s="23" t="s">
        <v>296</v>
      </c>
      <c r="H420" s="23">
        <v>7.5</v>
      </c>
      <c r="I420" s="43">
        <v>633.5</v>
      </c>
      <c r="J420" s="44"/>
      <c r="K420" s="45"/>
      <c r="L420" s="23"/>
      <c r="M420" s="45"/>
      <c r="N420" s="57"/>
      <c r="O420" s="125">
        <f t="shared" si="247"/>
        <v>633.5</v>
      </c>
      <c r="P420" s="56"/>
      <c r="Q420" s="56"/>
      <c r="R420" s="77">
        <f t="shared" si="241"/>
        <v>452.119766009852</v>
      </c>
      <c r="S420" s="77"/>
      <c r="T420" s="78">
        <f t="shared" si="242"/>
        <v>0.812807881773399</v>
      </c>
      <c r="U420" s="78">
        <v>50</v>
      </c>
      <c r="V420" s="77"/>
      <c r="W420" s="77">
        <f t="shared" si="237"/>
        <v>502.932573891626</v>
      </c>
      <c r="X420" s="79">
        <f t="shared" si="243"/>
        <v>5.32587746305419</v>
      </c>
      <c r="Y420" s="79"/>
      <c r="Z420" s="79"/>
      <c r="AA420" s="79">
        <f t="shared" si="238"/>
        <v>5.32587746305419</v>
      </c>
      <c r="AB420" s="91">
        <v>7.27</v>
      </c>
      <c r="AC420" s="77">
        <f t="shared" si="239"/>
        <v>38.7191291564039</v>
      </c>
      <c r="AD420" s="77">
        <f t="shared" si="236"/>
        <v>541.65170304803</v>
      </c>
      <c r="AE420" s="77">
        <f t="shared" si="240"/>
        <v>91.8482969519705</v>
      </c>
    </row>
    <row r="421" customFormat="1" spans="1:31">
      <c r="A421" s="22"/>
      <c r="B421" s="23"/>
      <c r="C421" s="24">
        <v>241209000085</v>
      </c>
      <c r="D421" s="26">
        <v>45642</v>
      </c>
      <c r="E421" s="25" t="s">
        <v>70</v>
      </c>
      <c r="F421" s="23" t="s">
        <v>70</v>
      </c>
      <c r="G421" s="23" t="s">
        <v>342</v>
      </c>
      <c r="H421" s="23">
        <v>35.5</v>
      </c>
      <c r="I421" s="47"/>
      <c r="J421" s="51">
        <v>643200</v>
      </c>
      <c r="K421" s="45"/>
      <c r="L421" s="52">
        <f t="shared" si="245"/>
        <v>1736.82931439527</v>
      </c>
      <c r="M421" s="53">
        <v>370.33</v>
      </c>
      <c r="N421" s="57">
        <v>7.27</v>
      </c>
      <c r="O421" s="125">
        <f t="shared" si="246"/>
        <v>2692.2991</v>
      </c>
      <c r="P421" s="56"/>
      <c r="Q421" s="56"/>
      <c r="R421" s="77">
        <f t="shared" si="241"/>
        <v>2140.0335591133</v>
      </c>
      <c r="S421" s="77"/>
      <c r="T421" s="78">
        <f t="shared" si="242"/>
        <v>3.84729064039409</v>
      </c>
      <c r="U421" s="77"/>
      <c r="V421" s="77"/>
      <c r="W421" s="77">
        <f t="shared" si="237"/>
        <v>2143.88084975369</v>
      </c>
      <c r="X421" s="79">
        <f t="shared" si="243"/>
        <v>25.2091533251232</v>
      </c>
      <c r="Y421" s="79"/>
      <c r="Z421" s="79"/>
      <c r="AA421" s="79">
        <f t="shared" si="238"/>
        <v>25.2091533251232</v>
      </c>
      <c r="AB421" s="91">
        <v>7.27</v>
      </c>
      <c r="AC421" s="77">
        <f t="shared" si="239"/>
        <v>183.270544673645</v>
      </c>
      <c r="AD421" s="77">
        <f t="shared" si="236"/>
        <v>2327.15139442734</v>
      </c>
      <c r="AE421" s="77">
        <f t="shared" si="240"/>
        <v>365.14770557266</v>
      </c>
    </row>
    <row r="422" customFormat="1" spans="1:31">
      <c r="A422" s="22"/>
      <c r="B422" s="23"/>
      <c r="C422" s="24">
        <v>241209000086</v>
      </c>
      <c r="D422" s="25">
        <v>45642</v>
      </c>
      <c r="E422" s="25" t="s">
        <v>61</v>
      </c>
      <c r="F422" s="23" t="s">
        <v>62</v>
      </c>
      <c r="G422" s="23" t="s">
        <v>343</v>
      </c>
      <c r="H422" s="23">
        <v>0.98</v>
      </c>
      <c r="I422" s="43">
        <v>83</v>
      </c>
      <c r="J422" s="44"/>
      <c r="K422" s="45"/>
      <c r="L422" s="23"/>
      <c r="M422" s="45"/>
      <c r="N422" s="57"/>
      <c r="O422" s="125">
        <f t="shared" si="247"/>
        <v>83</v>
      </c>
      <c r="P422" s="56"/>
      <c r="Q422" s="56"/>
      <c r="R422" s="77">
        <f t="shared" si="241"/>
        <v>59.0769827586207</v>
      </c>
      <c r="S422" s="77"/>
      <c r="T422" s="78">
        <f t="shared" si="242"/>
        <v>0.106206896551724</v>
      </c>
      <c r="U422" s="77"/>
      <c r="V422" s="77"/>
      <c r="W422" s="77">
        <f t="shared" si="237"/>
        <v>59.1831896551724</v>
      </c>
      <c r="X422" s="79">
        <f t="shared" si="243"/>
        <v>0.695914655172414</v>
      </c>
      <c r="Y422" s="79"/>
      <c r="Z422" s="79"/>
      <c r="AA422" s="79">
        <f t="shared" si="238"/>
        <v>0.695914655172414</v>
      </c>
      <c r="AB422" s="91">
        <v>7.27</v>
      </c>
      <c r="AC422" s="77">
        <f t="shared" si="239"/>
        <v>5.05929954310345</v>
      </c>
      <c r="AD422" s="77">
        <f t="shared" si="236"/>
        <v>64.2424891982759</v>
      </c>
      <c r="AE422" s="77">
        <f t="shared" si="240"/>
        <v>18.7575108017241</v>
      </c>
    </row>
    <row r="423" customFormat="1" spans="1:31">
      <c r="A423" s="22"/>
      <c r="B423" s="23"/>
      <c r="C423" s="24">
        <v>241209000088</v>
      </c>
      <c r="D423" s="25">
        <v>45642</v>
      </c>
      <c r="E423" s="25" t="s">
        <v>61</v>
      </c>
      <c r="F423" s="23" t="s">
        <v>62</v>
      </c>
      <c r="G423" s="23" t="s">
        <v>344</v>
      </c>
      <c r="H423" s="23">
        <v>1.5</v>
      </c>
      <c r="I423" s="43">
        <v>123</v>
      </c>
      <c r="J423" s="44"/>
      <c r="K423" s="45"/>
      <c r="L423" s="23"/>
      <c r="M423" s="45"/>
      <c r="N423" s="57"/>
      <c r="O423" s="125">
        <f t="shared" si="247"/>
        <v>123</v>
      </c>
      <c r="P423" s="56"/>
      <c r="Q423" s="56"/>
      <c r="R423" s="77">
        <f t="shared" si="241"/>
        <v>90.4239532019704</v>
      </c>
      <c r="S423" s="77"/>
      <c r="T423" s="78">
        <f t="shared" si="242"/>
        <v>0.16256157635468</v>
      </c>
      <c r="U423" s="77"/>
      <c r="V423" s="77"/>
      <c r="W423" s="77">
        <f t="shared" si="237"/>
        <v>90.5865147783251</v>
      </c>
      <c r="X423" s="79">
        <f t="shared" si="243"/>
        <v>1.06517549261084</v>
      </c>
      <c r="Y423" s="79"/>
      <c r="Z423" s="79"/>
      <c r="AA423" s="79">
        <f t="shared" si="238"/>
        <v>1.06517549261084</v>
      </c>
      <c r="AB423" s="91">
        <v>7.27</v>
      </c>
      <c r="AC423" s="77">
        <f t="shared" si="239"/>
        <v>7.74382583128079</v>
      </c>
      <c r="AD423" s="77">
        <f t="shared" si="236"/>
        <v>98.3303406096059</v>
      </c>
      <c r="AE423" s="77">
        <f t="shared" si="240"/>
        <v>24.6696593903941</v>
      </c>
    </row>
    <row r="424" customFormat="1" spans="1:31">
      <c r="A424" s="22"/>
      <c r="B424" s="23"/>
      <c r="C424" s="24">
        <v>241209000090</v>
      </c>
      <c r="D424" s="25">
        <v>45642</v>
      </c>
      <c r="E424" s="25" t="s">
        <v>61</v>
      </c>
      <c r="F424" s="23" t="s">
        <v>62</v>
      </c>
      <c r="G424" s="23" t="s">
        <v>205</v>
      </c>
      <c r="H424" s="23">
        <v>6</v>
      </c>
      <c r="I424" s="43">
        <v>468</v>
      </c>
      <c r="J424" s="44"/>
      <c r="K424" s="45"/>
      <c r="L424" s="23"/>
      <c r="M424" s="45"/>
      <c r="N424" s="57"/>
      <c r="O424" s="125">
        <f t="shared" si="247"/>
        <v>468</v>
      </c>
      <c r="P424" s="56"/>
      <c r="Q424" s="56"/>
      <c r="R424" s="77">
        <f t="shared" si="241"/>
        <v>361.695812807882</v>
      </c>
      <c r="S424" s="77"/>
      <c r="T424" s="78">
        <f t="shared" si="242"/>
        <v>0.650246305418719</v>
      </c>
      <c r="U424" s="77"/>
      <c r="V424" s="77"/>
      <c r="W424" s="77">
        <f t="shared" si="237"/>
        <v>362.3460591133</v>
      </c>
      <c r="X424" s="79">
        <f t="shared" si="243"/>
        <v>4.26070197044335</v>
      </c>
      <c r="Y424" s="79"/>
      <c r="Z424" s="79"/>
      <c r="AA424" s="79">
        <f t="shared" si="238"/>
        <v>4.26070197044335</v>
      </c>
      <c r="AB424" s="91">
        <v>7.27</v>
      </c>
      <c r="AC424" s="77">
        <f t="shared" si="239"/>
        <v>30.9753033251231</v>
      </c>
      <c r="AD424" s="77">
        <f t="shared" si="236"/>
        <v>393.321362438424</v>
      </c>
      <c r="AE424" s="77">
        <f t="shared" si="240"/>
        <v>74.6786375615764</v>
      </c>
    </row>
    <row r="425" customFormat="1" spans="1:31">
      <c r="A425" s="22"/>
      <c r="B425" s="23"/>
      <c r="C425" s="24">
        <v>241210000002</v>
      </c>
      <c r="D425" s="26">
        <v>45642</v>
      </c>
      <c r="E425" s="25" t="s">
        <v>57</v>
      </c>
      <c r="F425" s="23" t="s">
        <v>58</v>
      </c>
      <c r="G425" s="23" t="s">
        <v>345</v>
      </c>
      <c r="H425" s="23">
        <v>3</v>
      </c>
      <c r="I425" s="47"/>
      <c r="J425" s="51">
        <v>58658</v>
      </c>
      <c r="K425" s="45"/>
      <c r="L425" s="52">
        <f t="shared" ref="L425:L430" si="248">SUM(J425/M425)</f>
        <v>1736.98549007995</v>
      </c>
      <c r="M425" s="53">
        <v>33.77</v>
      </c>
      <c r="N425" s="57">
        <v>7.27</v>
      </c>
      <c r="O425" s="125">
        <f t="shared" ref="O425:O430" si="249">SUM(M425*N425)</f>
        <v>245.5079</v>
      </c>
      <c r="P425" s="56"/>
      <c r="Q425" s="56"/>
      <c r="R425" s="77">
        <f t="shared" si="241"/>
        <v>180.847906403941</v>
      </c>
      <c r="S425" s="77"/>
      <c r="T425" s="78">
        <f t="shared" si="242"/>
        <v>0.32512315270936</v>
      </c>
      <c r="U425" s="77"/>
      <c r="V425" s="77"/>
      <c r="W425" s="77">
        <f t="shared" si="237"/>
        <v>181.17302955665</v>
      </c>
      <c r="X425" s="79">
        <f t="shared" si="243"/>
        <v>2.13035098522167</v>
      </c>
      <c r="Y425" s="79"/>
      <c r="Z425" s="79"/>
      <c r="AA425" s="79">
        <f t="shared" si="238"/>
        <v>2.13035098522167</v>
      </c>
      <c r="AB425" s="91">
        <v>7.27</v>
      </c>
      <c r="AC425" s="77">
        <f t="shared" si="239"/>
        <v>15.4876516625616</v>
      </c>
      <c r="AD425" s="77">
        <f t="shared" si="236"/>
        <v>196.660681219212</v>
      </c>
      <c r="AE425" s="77">
        <f t="shared" si="240"/>
        <v>48.8472187807882</v>
      </c>
    </row>
    <row r="426" customFormat="1" spans="1:31">
      <c r="A426" s="22"/>
      <c r="B426" s="23"/>
      <c r="C426" s="24">
        <v>241210000008</v>
      </c>
      <c r="D426" s="25">
        <v>45642</v>
      </c>
      <c r="E426" s="25" t="s">
        <v>37</v>
      </c>
      <c r="F426" s="23" t="s">
        <v>38</v>
      </c>
      <c r="G426" s="23" t="s">
        <v>127</v>
      </c>
      <c r="H426" s="23">
        <v>2</v>
      </c>
      <c r="I426" s="47"/>
      <c r="J426" s="51">
        <v>37356</v>
      </c>
      <c r="K426" s="45"/>
      <c r="L426" s="52">
        <f t="shared" si="248"/>
        <v>1650</v>
      </c>
      <c r="M426" s="53">
        <v>22.64</v>
      </c>
      <c r="N426" s="57">
        <v>7.27</v>
      </c>
      <c r="O426" s="125">
        <f t="shared" si="249"/>
        <v>164.5928</v>
      </c>
      <c r="P426" s="56"/>
      <c r="Q426" s="56"/>
      <c r="R426" s="77">
        <f t="shared" si="241"/>
        <v>120.565270935961</v>
      </c>
      <c r="S426" s="77"/>
      <c r="T426" s="78">
        <f t="shared" si="242"/>
        <v>0.216748768472906</v>
      </c>
      <c r="U426" s="77"/>
      <c r="V426" s="77"/>
      <c r="W426" s="77">
        <f t="shared" si="237"/>
        <v>120.782019704434</v>
      </c>
      <c r="X426" s="79">
        <f t="shared" si="243"/>
        <v>1.42023399014778</v>
      </c>
      <c r="Y426" s="79"/>
      <c r="Z426" s="79"/>
      <c r="AA426" s="79">
        <f t="shared" si="238"/>
        <v>1.42023399014778</v>
      </c>
      <c r="AB426" s="91">
        <v>7.27</v>
      </c>
      <c r="AC426" s="77">
        <f t="shared" si="239"/>
        <v>10.3251011083744</v>
      </c>
      <c r="AD426" s="77">
        <f t="shared" si="236"/>
        <v>131.107120812808</v>
      </c>
      <c r="AE426" s="77">
        <f t="shared" si="240"/>
        <v>33.4856791871921</v>
      </c>
    </row>
    <row r="427" customFormat="1" spans="1:31">
      <c r="A427" s="22"/>
      <c r="B427" s="23"/>
      <c r="C427" s="24">
        <v>241210000011</v>
      </c>
      <c r="D427" s="25">
        <v>45642</v>
      </c>
      <c r="E427" s="25" t="s">
        <v>61</v>
      </c>
      <c r="F427" s="23" t="s">
        <v>62</v>
      </c>
      <c r="G427" s="23" t="s">
        <v>330</v>
      </c>
      <c r="H427" s="23">
        <v>39.5</v>
      </c>
      <c r="I427" s="43">
        <v>3312.5</v>
      </c>
      <c r="J427" s="44"/>
      <c r="K427" s="45"/>
      <c r="L427" s="23"/>
      <c r="M427" s="45"/>
      <c r="N427" s="57"/>
      <c r="O427" s="125">
        <f t="shared" ref="O427:O432" si="250">SUM(I427)</f>
        <v>3312.5</v>
      </c>
      <c r="P427" s="56"/>
      <c r="Q427" s="56"/>
      <c r="R427" s="77">
        <f t="shared" si="241"/>
        <v>2381.16410098522</v>
      </c>
      <c r="S427" s="77"/>
      <c r="T427" s="78">
        <f t="shared" si="242"/>
        <v>4.2807881773399</v>
      </c>
      <c r="U427" s="77"/>
      <c r="V427" s="77"/>
      <c r="W427" s="77">
        <f t="shared" si="237"/>
        <v>2385.44488916256</v>
      </c>
      <c r="X427" s="79">
        <f t="shared" si="243"/>
        <v>28.0496213054187</v>
      </c>
      <c r="Y427" s="79"/>
      <c r="Z427" s="79"/>
      <c r="AA427" s="79">
        <f t="shared" si="238"/>
        <v>28.0496213054187</v>
      </c>
      <c r="AB427" s="91">
        <v>7.27</v>
      </c>
      <c r="AC427" s="77">
        <f t="shared" si="239"/>
        <v>203.920746890394</v>
      </c>
      <c r="AD427" s="77">
        <f t="shared" si="236"/>
        <v>2589.36563605296</v>
      </c>
      <c r="AE427" s="77">
        <f t="shared" si="240"/>
        <v>723.134363947044</v>
      </c>
    </row>
    <row r="428" customFormat="1" spans="1:31">
      <c r="A428" s="22"/>
      <c r="B428" s="23"/>
      <c r="C428" s="24">
        <v>241210000015</v>
      </c>
      <c r="D428" s="25">
        <v>45642</v>
      </c>
      <c r="E428" s="25" t="s">
        <v>44</v>
      </c>
      <c r="F428" s="23" t="s">
        <v>45</v>
      </c>
      <c r="G428" s="23" t="s">
        <v>188</v>
      </c>
      <c r="H428" s="23">
        <v>21</v>
      </c>
      <c r="I428" s="43">
        <v>1680</v>
      </c>
      <c r="J428" s="44"/>
      <c r="K428" s="45"/>
      <c r="L428" s="23"/>
      <c r="M428" s="45"/>
      <c r="N428" s="57"/>
      <c r="O428" s="125">
        <f t="shared" si="250"/>
        <v>1680</v>
      </c>
      <c r="P428" s="56"/>
      <c r="Q428" s="56"/>
      <c r="R428" s="77">
        <f t="shared" si="241"/>
        <v>1265.93534482759</v>
      </c>
      <c r="S428" s="77"/>
      <c r="T428" s="78">
        <f t="shared" si="242"/>
        <v>2.27586206896552</v>
      </c>
      <c r="U428" s="77"/>
      <c r="V428" s="77"/>
      <c r="W428" s="77">
        <f t="shared" si="237"/>
        <v>1268.21120689655</v>
      </c>
      <c r="X428" s="79">
        <f t="shared" si="243"/>
        <v>14.9124568965517</v>
      </c>
      <c r="Y428" s="79"/>
      <c r="Z428" s="79"/>
      <c r="AA428" s="79">
        <f t="shared" si="238"/>
        <v>14.9124568965517</v>
      </c>
      <c r="AB428" s="91">
        <v>7.27</v>
      </c>
      <c r="AC428" s="77">
        <f t="shared" si="239"/>
        <v>108.413561637931</v>
      </c>
      <c r="AD428" s="77">
        <f t="shared" si="236"/>
        <v>1376.62476853448</v>
      </c>
      <c r="AE428" s="77">
        <f t="shared" si="240"/>
        <v>303.375231465517</v>
      </c>
    </row>
    <row r="429" customFormat="1" spans="1:31">
      <c r="A429" s="22"/>
      <c r="B429" s="23"/>
      <c r="C429" s="24">
        <v>241210000016</v>
      </c>
      <c r="D429" s="25">
        <v>45642</v>
      </c>
      <c r="E429" s="25" t="s">
        <v>44</v>
      </c>
      <c r="F429" s="23" t="s">
        <v>45</v>
      </c>
      <c r="G429" s="23" t="s">
        <v>167</v>
      </c>
      <c r="H429" s="23">
        <v>16.5</v>
      </c>
      <c r="I429" s="50"/>
      <c r="J429" s="51">
        <v>284625</v>
      </c>
      <c r="K429" s="45"/>
      <c r="L429" s="52">
        <f t="shared" si="248"/>
        <v>1672.10081071554</v>
      </c>
      <c r="M429" s="53">
        <v>170.22</v>
      </c>
      <c r="N429" s="57">
        <v>7.27</v>
      </c>
      <c r="O429" s="47">
        <f t="shared" si="249"/>
        <v>1237.4994</v>
      </c>
      <c r="P429" s="56"/>
      <c r="Q429" s="56"/>
      <c r="R429" s="77">
        <f t="shared" si="241"/>
        <v>994.663485221675</v>
      </c>
      <c r="S429" s="77"/>
      <c r="T429" s="78">
        <f t="shared" si="242"/>
        <v>1.78817733990148</v>
      </c>
      <c r="U429" s="77"/>
      <c r="V429" s="77"/>
      <c r="W429" s="77">
        <f t="shared" si="237"/>
        <v>996.451662561576</v>
      </c>
      <c r="X429" s="79">
        <f t="shared" si="243"/>
        <v>11.7169304187192</v>
      </c>
      <c r="Y429" s="79"/>
      <c r="Z429" s="79"/>
      <c r="AA429" s="79">
        <f t="shared" si="238"/>
        <v>11.7169304187192</v>
      </c>
      <c r="AB429" s="91">
        <v>7.27</v>
      </c>
      <c r="AC429" s="77">
        <f t="shared" si="239"/>
        <v>85.1820841440887</v>
      </c>
      <c r="AD429" s="77">
        <f t="shared" si="236"/>
        <v>1081.63374670567</v>
      </c>
      <c r="AE429" s="77">
        <f t="shared" si="240"/>
        <v>155.865653294335</v>
      </c>
    </row>
    <row r="430" customFormat="1" spans="1:31">
      <c r="A430" s="22"/>
      <c r="B430" s="23"/>
      <c r="C430" s="24">
        <v>241210000018</v>
      </c>
      <c r="D430" s="25">
        <v>45642</v>
      </c>
      <c r="E430" s="25" t="s">
        <v>44</v>
      </c>
      <c r="F430" s="23" t="s">
        <v>45</v>
      </c>
      <c r="G430" s="23" t="s">
        <v>170</v>
      </c>
      <c r="H430" s="23">
        <v>1.5</v>
      </c>
      <c r="I430" s="50"/>
      <c r="J430" s="51">
        <v>25875</v>
      </c>
      <c r="K430" s="45"/>
      <c r="L430" s="52">
        <f t="shared" si="248"/>
        <v>1672.59211376858</v>
      </c>
      <c r="M430" s="53">
        <v>15.47</v>
      </c>
      <c r="N430" s="57">
        <v>7.27</v>
      </c>
      <c r="O430" s="47">
        <f t="shared" si="249"/>
        <v>112.4669</v>
      </c>
      <c r="P430" s="56"/>
      <c r="Q430" s="56"/>
      <c r="R430" s="77">
        <f t="shared" si="241"/>
        <v>90.4239532019704</v>
      </c>
      <c r="S430" s="77"/>
      <c r="T430" s="78">
        <f t="shared" si="242"/>
        <v>0.16256157635468</v>
      </c>
      <c r="U430" s="77"/>
      <c r="V430" s="77"/>
      <c r="W430" s="77">
        <f t="shared" si="237"/>
        <v>90.5865147783251</v>
      </c>
      <c r="X430" s="79">
        <f t="shared" si="243"/>
        <v>1.06517549261084</v>
      </c>
      <c r="Y430" s="79"/>
      <c r="Z430" s="79"/>
      <c r="AA430" s="79">
        <f t="shared" si="238"/>
        <v>1.06517549261084</v>
      </c>
      <c r="AB430" s="91">
        <v>7.27</v>
      </c>
      <c r="AC430" s="77">
        <f t="shared" si="239"/>
        <v>7.74382583128079</v>
      </c>
      <c r="AD430" s="77">
        <f t="shared" si="236"/>
        <v>98.3303406096059</v>
      </c>
      <c r="AE430" s="77">
        <f t="shared" si="240"/>
        <v>14.1365593903941</v>
      </c>
    </row>
    <row r="431" customFormat="1" spans="1:31">
      <c r="A431" s="22"/>
      <c r="B431" s="23"/>
      <c r="C431" s="24">
        <v>241210000019</v>
      </c>
      <c r="D431" s="25">
        <v>45642</v>
      </c>
      <c r="E431" s="25" t="s">
        <v>44</v>
      </c>
      <c r="F431" s="23" t="s">
        <v>45</v>
      </c>
      <c r="G431" s="23" t="s">
        <v>346</v>
      </c>
      <c r="H431" s="23">
        <v>3</v>
      </c>
      <c r="I431" s="43">
        <v>323</v>
      </c>
      <c r="J431" s="44"/>
      <c r="K431" s="45"/>
      <c r="L431" s="23"/>
      <c r="M431" s="45"/>
      <c r="N431" s="57"/>
      <c r="O431" s="125">
        <f t="shared" si="250"/>
        <v>323</v>
      </c>
      <c r="P431" s="56"/>
      <c r="Q431" s="56"/>
      <c r="R431" s="77">
        <f t="shared" si="241"/>
        <v>180.847906403941</v>
      </c>
      <c r="S431" s="77"/>
      <c r="T431" s="78">
        <f t="shared" si="242"/>
        <v>0.32512315270936</v>
      </c>
      <c r="U431" s="77"/>
      <c r="V431" s="77"/>
      <c r="W431" s="77">
        <f t="shared" si="237"/>
        <v>181.17302955665</v>
      </c>
      <c r="X431" s="79">
        <f t="shared" si="243"/>
        <v>2.13035098522167</v>
      </c>
      <c r="Y431" s="79"/>
      <c r="Z431" s="79"/>
      <c r="AA431" s="79">
        <f t="shared" si="238"/>
        <v>2.13035098522167</v>
      </c>
      <c r="AB431" s="91">
        <v>7.27</v>
      </c>
      <c r="AC431" s="77">
        <f t="shared" si="239"/>
        <v>15.4876516625616</v>
      </c>
      <c r="AD431" s="77">
        <f t="shared" si="236"/>
        <v>196.660681219212</v>
      </c>
      <c r="AE431" s="77">
        <f t="shared" si="240"/>
        <v>126.339318780788</v>
      </c>
    </row>
    <row r="432" customFormat="1" spans="1:31">
      <c r="A432" s="22"/>
      <c r="B432" s="23"/>
      <c r="C432" s="24">
        <v>241210000022</v>
      </c>
      <c r="D432" s="25">
        <v>45642</v>
      </c>
      <c r="E432" s="25" t="s">
        <v>37</v>
      </c>
      <c r="F432" s="23" t="s">
        <v>38</v>
      </c>
      <c r="G432" s="23" t="s">
        <v>273</v>
      </c>
      <c r="H432" s="23">
        <v>23.5</v>
      </c>
      <c r="I432" s="43">
        <v>1889</v>
      </c>
      <c r="J432" s="44"/>
      <c r="K432" s="45"/>
      <c r="L432" s="23"/>
      <c r="M432" s="45"/>
      <c r="N432" s="57"/>
      <c r="O432" s="125">
        <f t="shared" si="250"/>
        <v>1889</v>
      </c>
      <c r="P432" s="56"/>
      <c r="Q432" s="56"/>
      <c r="R432" s="77">
        <f t="shared" si="241"/>
        <v>1416.64193349754</v>
      </c>
      <c r="S432" s="77"/>
      <c r="T432" s="78">
        <f t="shared" si="242"/>
        <v>2.54679802955665</v>
      </c>
      <c r="U432" s="77"/>
      <c r="V432" s="77"/>
      <c r="W432" s="77">
        <f t="shared" si="237"/>
        <v>1419.18873152709</v>
      </c>
      <c r="X432" s="79">
        <f t="shared" si="243"/>
        <v>16.6877493842365</v>
      </c>
      <c r="Y432" s="79"/>
      <c r="Z432" s="79"/>
      <c r="AA432" s="79">
        <f t="shared" si="238"/>
        <v>16.6877493842365</v>
      </c>
      <c r="AB432" s="91">
        <v>7.27</v>
      </c>
      <c r="AC432" s="77">
        <f t="shared" si="239"/>
        <v>121.319938023399</v>
      </c>
      <c r="AD432" s="77">
        <f t="shared" si="236"/>
        <v>1540.50866955049</v>
      </c>
      <c r="AE432" s="77">
        <f t="shared" si="240"/>
        <v>348.491330449507</v>
      </c>
    </row>
    <row r="433" customFormat="1" spans="1:31">
      <c r="A433" s="22"/>
      <c r="B433" s="23"/>
      <c r="C433" s="24">
        <v>241210000032</v>
      </c>
      <c r="D433" s="25">
        <v>45642</v>
      </c>
      <c r="E433" s="25" t="s">
        <v>37</v>
      </c>
      <c r="F433" s="23" t="s">
        <v>38</v>
      </c>
      <c r="G433" s="23" t="s">
        <v>51</v>
      </c>
      <c r="H433" s="23">
        <v>10</v>
      </c>
      <c r="I433" s="50"/>
      <c r="J433" s="51">
        <v>202008</v>
      </c>
      <c r="K433" s="45"/>
      <c r="L433" s="52">
        <f t="shared" ref="L433:L438" si="251">SUM(J433/M433)</f>
        <v>1657.56954131452</v>
      </c>
      <c r="M433" s="53">
        <v>121.87</v>
      </c>
      <c r="N433" s="57">
        <v>7.27</v>
      </c>
      <c r="O433" s="125">
        <f t="shared" ref="O433:O438" si="252">SUM(M433*N433)</f>
        <v>885.9949</v>
      </c>
      <c r="P433" s="56"/>
      <c r="Q433" s="56"/>
      <c r="R433" s="77">
        <f t="shared" si="241"/>
        <v>602.826354679803</v>
      </c>
      <c r="S433" s="77"/>
      <c r="T433" s="78">
        <f t="shared" si="242"/>
        <v>1.08374384236453</v>
      </c>
      <c r="U433" s="78">
        <v>110</v>
      </c>
      <c r="V433" s="77"/>
      <c r="W433" s="77">
        <f t="shared" si="237"/>
        <v>713.910098522168</v>
      </c>
      <c r="X433" s="79">
        <f t="shared" si="243"/>
        <v>7.10116995073892</v>
      </c>
      <c r="Y433" s="79"/>
      <c r="Z433" s="79"/>
      <c r="AA433" s="79">
        <f t="shared" si="238"/>
        <v>7.10116995073892</v>
      </c>
      <c r="AB433" s="91">
        <v>7.27</v>
      </c>
      <c r="AC433" s="77">
        <f t="shared" si="239"/>
        <v>51.6255055418719</v>
      </c>
      <c r="AD433" s="77">
        <f t="shared" ref="AD433:AD452" si="253">SUM(W433+AC433)</f>
        <v>765.535604064039</v>
      </c>
      <c r="AE433" s="77">
        <f t="shared" si="240"/>
        <v>120.459295935961</v>
      </c>
    </row>
    <row r="434" customFormat="1" spans="1:31">
      <c r="A434" s="22"/>
      <c r="B434" s="23"/>
      <c r="C434" s="24">
        <v>241210000033</v>
      </c>
      <c r="D434" s="26">
        <v>45642</v>
      </c>
      <c r="E434" s="25" t="s">
        <v>143</v>
      </c>
      <c r="F434" s="23" t="s">
        <v>144</v>
      </c>
      <c r="G434" s="23" t="s">
        <v>145</v>
      </c>
      <c r="H434" s="23">
        <v>7.5</v>
      </c>
      <c r="I434" s="43">
        <v>583.5</v>
      </c>
      <c r="J434" s="44"/>
      <c r="K434" s="45"/>
      <c r="L434" s="23"/>
      <c r="M434" s="45"/>
      <c r="N434" s="57"/>
      <c r="O434" s="125">
        <f t="shared" ref="O434:O436" si="254">SUM(I434)</f>
        <v>583.5</v>
      </c>
      <c r="P434" s="56"/>
      <c r="Q434" s="56"/>
      <c r="R434" s="77">
        <f t="shared" si="241"/>
        <v>452.119766009852</v>
      </c>
      <c r="S434" s="77"/>
      <c r="T434" s="78">
        <f t="shared" si="242"/>
        <v>0.812807881773399</v>
      </c>
      <c r="U434" s="77"/>
      <c r="V434" s="77"/>
      <c r="W434" s="77">
        <f t="shared" ref="W434:W452" si="255">SUM(R434:V434)</f>
        <v>452.932573891626</v>
      </c>
      <c r="X434" s="79">
        <f t="shared" si="243"/>
        <v>5.32587746305419</v>
      </c>
      <c r="Y434" s="79"/>
      <c r="Z434" s="79"/>
      <c r="AA434" s="79">
        <f t="shared" ref="AA434:AA452" si="256">SUM(X434:Z434)</f>
        <v>5.32587746305419</v>
      </c>
      <c r="AB434" s="91">
        <v>7.27</v>
      </c>
      <c r="AC434" s="77">
        <f t="shared" ref="AC434:AC452" si="257">SUM(AA434*AB434)</f>
        <v>38.7191291564039</v>
      </c>
      <c r="AD434" s="77">
        <f t="shared" si="253"/>
        <v>491.65170304803</v>
      </c>
      <c r="AE434" s="77">
        <f t="shared" ref="AE434:AE452" si="258">SUM(O434-AD434)</f>
        <v>91.8482969519704</v>
      </c>
    </row>
    <row r="435" customFormat="1" spans="1:31">
      <c r="A435" s="22"/>
      <c r="B435" s="23"/>
      <c r="C435" s="24">
        <v>241210000034</v>
      </c>
      <c r="D435" s="26">
        <v>45642</v>
      </c>
      <c r="E435" s="25" t="s">
        <v>143</v>
      </c>
      <c r="F435" s="23" t="s">
        <v>144</v>
      </c>
      <c r="G435" s="23" t="s">
        <v>145</v>
      </c>
      <c r="H435" s="23">
        <v>8.5</v>
      </c>
      <c r="I435" s="43">
        <v>689.5</v>
      </c>
      <c r="J435" s="44"/>
      <c r="K435" s="45"/>
      <c r="L435" s="23"/>
      <c r="M435" s="45"/>
      <c r="N435" s="57"/>
      <c r="O435" s="125">
        <f t="shared" si="254"/>
        <v>689.5</v>
      </c>
      <c r="P435" s="56"/>
      <c r="Q435" s="56"/>
      <c r="R435" s="77">
        <f t="shared" si="241"/>
        <v>512.402401477833</v>
      </c>
      <c r="S435" s="77"/>
      <c r="T435" s="78">
        <f t="shared" si="242"/>
        <v>0.921182266009852</v>
      </c>
      <c r="U435" s="77"/>
      <c r="V435" s="78">
        <v>29</v>
      </c>
      <c r="W435" s="77">
        <f t="shared" si="255"/>
        <v>542.323583743842</v>
      </c>
      <c r="X435" s="79">
        <f t="shared" si="243"/>
        <v>6.03599445812808</v>
      </c>
      <c r="Y435" s="79"/>
      <c r="Z435" s="79"/>
      <c r="AA435" s="79">
        <f t="shared" si="256"/>
        <v>6.03599445812808</v>
      </c>
      <c r="AB435" s="91">
        <v>7.27</v>
      </c>
      <c r="AC435" s="77">
        <f t="shared" si="257"/>
        <v>43.8816797105911</v>
      </c>
      <c r="AD435" s="77">
        <f t="shared" si="253"/>
        <v>586.205263454434</v>
      </c>
      <c r="AE435" s="77">
        <f t="shared" si="258"/>
        <v>103.294736545566</v>
      </c>
    </row>
    <row r="436" customFormat="1" spans="1:31">
      <c r="A436" s="22"/>
      <c r="B436" s="23"/>
      <c r="C436" s="92">
        <v>241210000036</v>
      </c>
      <c r="D436" s="93">
        <v>45642</v>
      </c>
      <c r="E436" s="25" t="s">
        <v>143</v>
      </c>
      <c r="F436" s="95" t="s">
        <v>144</v>
      </c>
      <c r="G436" s="95" t="s">
        <v>145</v>
      </c>
      <c r="H436" s="95">
        <v>20.5</v>
      </c>
      <c r="I436" s="43">
        <v>1584.5</v>
      </c>
      <c r="J436" s="44"/>
      <c r="K436" s="45"/>
      <c r="L436" s="23"/>
      <c r="M436" s="45"/>
      <c r="N436" s="57"/>
      <c r="O436" s="125">
        <f t="shared" si="254"/>
        <v>1584.5</v>
      </c>
      <c r="P436" s="56"/>
      <c r="Q436" s="56"/>
      <c r="R436" s="77">
        <f t="shared" ref="R436:R452" si="259">SUM(195798/3248)*H436</f>
        <v>1235.7940270936</v>
      </c>
      <c r="S436" s="77"/>
      <c r="T436" s="78">
        <f t="shared" ref="T436:T452" si="260">SUM(352/3248)*H436</f>
        <v>2.22167487684729</v>
      </c>
      <c r="U436" s="77"/>
      <c r="V436" s="77"/>
      <c r="W436" s="77">
        <f t="shared" si="255"/>
        <v>1238.01570197044</v>
      </c>
      <c r="X436" s="79">
        <f t="shared" ref="X436:X452" si="261">SUM(2306.46/3248)*H436</f>
        <v>14.5573983990148</v>
      </c>
      <c r="Y436" s="79"/>
      <c r="Z436" s="79"/>
      <c r="AA436" s="79">
        <f t="shared" si="256"/>
        <v>14.5573983990148</v>
      </c>
      <c r="AB436" s="91">
        <v>7.27</v>
      </c>
      <c r="AC436" s="77">
        <f t="shared" si="257"/>
        <v>105.832286360837</v>
      </c>
      <c r="AD436" s="77">
        <f t="shared" si="253"/>
        <v>1343.84798833128</v>
      </c>
      <c r="AE436" s="77">
        <f t="shared" si="258"/>
        <v>240.652011668719</v>
      </c>
    </row>
    <row r="437" customFormat="1" spans="1:31">
      <c r="A437" s="22"/>
      <c r="B437" s="23"/>
      <c r="C437" s="24">
        <v>241210000048</v>
      </c>
      <c r="D437" s="25">
        <v>45642</v>
      </c>
      <c r="E437" s="25" t="s">
        <v>44</v>
      </c>
      <c r="F437" s="23" t="s">
        <v>45</v>
      </c>
      <c r="G437" s="23" t="s">
        <v>139</v>
      </c>
      <c r="H437" s="23">
        <v>52</v>
      </c>
      <c r="I437" s="50"/>
      <c r="J437" s="51">
        <v>893100</v>
      </c>
      <c r="K437" s="45"/>
      <c r="L437" s="52">
        <f t="shared" si="251"/>
        <v>1664.83362848355</v>
      </c>
      <c r="M437" s="53">
        <v>536.45</v>
      </c>
      <c r="N437" s="57">
        <v>7.27</v>
      </c>
      <c r="O437" s="125">
        <f t="shared" si="252"/>
        <v>3899.9915</v>
      </c>
      <c r="P437" s="56"/>
      <c r="Q437" s="56"/>
      <c r="R437" s="77">
        <f t="shared" si="259"/>
        <v>3134.69704433498</v>
      </c>
      <c r="S437" s="77"/>
      <c r="T437" s="78">
        <f t="shared" si="260"/>
        <v>5.63546798029557</v>
      </c>
      <c r="U437" s="77"/>
      <c r="V437" s="77"/>
      <c r="W437" s="77">
        <f t="shared" si="255"/>
        <v>3140.33251231527</v>
      </c>
      <c r="X437" s="79">
        <f t="shared" si="261"/>
        <v>36.9260837438424</v>
      </c>
      <c r="Y437" s="79"/>
      <c r="Z437" s="79"/>
      <c r="AA437" s="79">
        <f t="shared" si="256"/>
        <v>36.9260837438424</v>
      </c>
      <c r="AB437" s="91">
        <v>7.27</v>
      </c>
      <c r="AC437" s="77">
        <f t="shared" si="257"/>
        <v>268.452628817734</v>
      </c>
      <c r="AD437" s="77">
        <f t="shared" si="253"/>
        <v>3408.78514113301</v>
      </c>
      <c r="AE437" s="77">
        <f t="shared" si="258"/>
        <v>491.206358866995</v>
      </c>
    </row>
    <row r="438" customFormat="1" spans="1:31">
      <c r="A438" s="22"/>
      <c r="B438" s="23"/>
      <c r="C438" s="24">
        <v>241210000050</v>
      </c>
      <c r="D438" s="25">
        <v>45642</v>
      </c>
      <c r="E438" s="25" t="s">
        <v>44</v>
      </c>
      <c r="F438" s="23" t="s">
        <v>45</v>
      </c>
      <c r="G438" s="23" t="s">
        <v>146</v>
      </c>
      <c r="H438" s="23">
        <v>145.5</v>
      </c>
      <c r="I438" s="50"/>
      <c r="J438" s="51">
        <v>2606245</v>
      </c>
      <c r="K438" s="45"/>
      <c r="L438" s="52">
        <f t="shared" si="251"/>
        <v>1672.10616811877</v>
      </c>
      <c r="M438" s="53">
        <v>1558.66</v>
      </c>
      <c r="N438" s="57">
        <v>7.27</v>
      </c>
      <c r="O438" s="47">
        <f t="shared" si="252"/>
        <v>11331.4582</v>
      </c>
      <c r="P438" s="56"/>
      <c r="Q438" s="56"/>
      <c r="R438" s="77">
        <f t="shared" si="259"/>
        <v>8771.12346059113</v>
      </c>
      <c r="S438" s="77"/>
      <c r="T438" s="78">
        <f t="shared" si="260"/>
        <v>15.7684729064039</v>
      </c>
      <c r="U438" s="78">
        <f>SUM(310+400)</f>
        <v>710</v>
      </c>
      <c r="V438" s="77"/>
      <c r="W438" s="77">
        <f t="shared" si="255"/>
        <v>9496.89193349754</v>
      </c>
      <c r="X438" s="79">
        <f t="shared" si="261"/>
        <v>103.322022783251</v>
      </c>
      <c r="Y438" s="79"/>
      <c r="Z438" s="79"/>
      <c r="AA438" s="79">
        <f t="shared" si="256"/>
        <v>103.322022783251</v>
      </c>
      <c r="AB438" s="91">
        <v>7.27</v>
      </c>
      <c r="AC438" s="77">
        <f t="shared" si="257"/>
        <v>751.151105634236</v>
      </c>
      <c r="AD438" s="77">
        <f t="shared" si="253"/>
        <v>10248.0430391318</v>
      </c>
      <c r="AE438" s="77">
        <f t="shared" si="258"/>
        <v>1083.41516086822</v>
      </c>
    </row>
    <row r="439" customFormat="1" spans="1:31">
      <c r="A439" s="22"/>
      <c r="B439" s="23"/>
      <c r="C439" s="24">
        <v>241210000052</v>
      </c>
      <c r="D439" s="25">
        <v>45642</v>
      </c>
      <c r="E439" s="25" t="s">
        <v>44</v>
      </c>
      <c r="F439" s="23" t="s">
        <v>45</v>
      </c>
      <c r="G439" s="23" t="s">
        <v>146</v>
      </c>
      <c r="H439" s="23">
        <v>530</v>
      </c>
      <c r="I439" s="43">
        <v>38500</v>
      </c>
      <c r="J439" s="44"/>
      <c r="K439" s="45"/>
      <c r="L439" s="23"/>
      <c r="M439" s="45"/>
      <c r="N439" s="57"/>
      <c r="O439" s="125">
        <f t="shared" ref="O439:O445" si="262">SUM(I439)</f>
        <v>38500</v>
      </c>
      <c r="P439" s="56"/>
      <c r="Q439" s="56"/>
      <c r="R439" s="77">
        <f t="shared" si="259"/>
        <v>31949.7967980296</v>
      </c>
      <c r="S439" s="77"/>
      <c r="T439" s="78">
        <f t="shared" si="260"/>
        <v>57.4384236453202</v>
      </c>
      <c r="U439" s="78">
        <v>40</v>
      </c>
      <c r="V439" s="77"/>
      <c r="W439" s="77">
        <f t="shared" si="255"/>
        <v>32047.2352216749</v>
      </c>
      <c r="X439" s="79">
        <f t="shared" si="261"/>
        <v>376.362007389163</v>
      </c>
      <c r="Y439" s="79"/>
      <c r="Z439" s="79"/>
      <c r="AA439" s="79">
        <f t="shared" si="256"/>
        <v>376.362007389163</v>
      </c>
      <c r="AB439" s="91">
        <v>7.27</v>
      </c>
      <c r="AC439" s="77">
        <f t="shared" si="257"/>
        <v>2736.15179371921</v>
      </c>
      <c r="AD439" s="77">
        <f t="shared" si="253"/>
        <v>34783.3870153941</v>
      </c>
      <c r="AE439" s="77">
        <f t="shared" si="258"/>
        <v>3716.61298460591</v>
      </c>
    </row>
    <row r="440" customFormat="1" spans="1:31">
      <c r="A440" s="22"/>
      <c r="B440" s="23"/>
      <c r="C440" s="24">
        <v>241210000053</v>
      </c>
      <c r="D440" s="25">
        <v>45642</v>
      </c>
      <c r="E440" s="25" t="s">
        <v>61</v>
      </c>
      <c r="F440" s="23" t="s">
        <v>62</v>
      </c>
      <c r="G440" s="23" t="s">
        <v>347</v>
      </c>
      <c r="H440" s="23">
        <v>8</v>
      </c>
      <c r="I440" s="50"/>
      <c r="J440" s="51">
        <v>143682</v>
      </c>
      <c r="K440" s="45"/>
      <c r="L440" s="52">
        <f t="shared" ref="L440:L443" si="263">SUM(J440/M440)</f>
        <v>1679.50905902981</v>
      </c>
      <c r="M440" s="53">
        <v>85.55</v>
      </c>
      <c r="N440" s="57">
        <v>7.27</v>
      </c>
      <c r="O440" s="125">
        <f t="shared" ref="O440:O443" si="264">SUM(M440*N440)</f>
        <v>621.9485</v>
      </c>
      <c r="P440" s="56"/>
      <c r="Q440" s="56"/>
      <c r="R440" s="77">
        <f t="shared" si="259"/>
        <v>482.261083743842</v>
      </c>
      <c r="S440" s="77"/>
      <c r="T440" s="78">
        <f t="shared" si="260"/>
        <v>0.866995073891626</v>
      </c>
      <c r="U440" s="77"/>
      <c r="V440" s="77"/>
      <c r="W440" s="77">
        <f t="shared" si="255"/>
        <v>483.128078817734</v>
      </c>
      <c r="X440" s="79">
        <f t="shared" si="261"/>
        <v>5.68093596059113</v>
      </c>
      <c r="Y440" s="79"/>
      <c r="Z440" s="79"/>
      <c r="AA440" s="79">
        <f t="shared" si="256"/>
        <v>5.68093596059113</v>
      </c>
      <c r="AB440" s="91">
        <v>7.27</v>
      </c>
      <c r="AC440" s="77">
        <f t="shared" si="257"/>
        <v>41.3004044334975</v>
      </c>
      <c r="AD440" s="77">
        <f t="shared" si="253"/>
        <v>524.428483251232</v>
      </c>
      <c r="AE440" s="77">
        <f t="shared" si="258"/>
        <v>97.5200167487684</v>
      </c>
    </row>
    <row r="441" customFormat="1" spans="1:31">
      <c r="A441" s="22"/>
      <c r="B441" s="23"/>
      <c r="C441" s="24">
        <v>241210000055</v>
      </c>
      <c r="D441" s="26">
        <v>45642</v>
      </c>
      <c r="E441" s="25" t="s">
        <v>70</v>
      </c>
      <c r="F441" s="23" t="s">
        <v>239</v>
      </c>
      <c r="G441" s="23" t="s">
        <v>240</v>
      </c>
      <c r="H441" s="23">
        <v>0.84</v>
      </c>
      <c r="I441" s="43">
        <v>83</v>
      </c>
      <c r="J441" s="44"/>
      <c r="K441" s="45"/>
      <c r="L441" s="23"/>
      <c r="M441" s="45"/>
      <c r="N441" s="57"/>
      <c r="O441" s="125">
        <f t="shared" si="262"/>
        <v>83</v>
      </c>
      <c r="P441" s="56"/>
      <c r="Q441" s="56"/>
      <c r="R441" s="77">
        <f t="shared" si="259"/>
        <v>50.6374137931034</v>
      </c>
      <c r="S441" s="77"/>
      <c r="T441" s="78">
        <f t="shared" si="260"/>
        <v>0.0910344827586207</v>
      </c>
      <c r="U441" s="77"/>
      <c r="V441" s="77"/>
      <c r="W441" s="77">
        <f t="shared" si="255"/>
        <v>50.7284482758621</v>
      </c>
      <c r="X441" s="79">
        <f t="shared" si="261"/>
        <v>0.596498275862069</v>
      </c>
      <c r="Y441" s="79"/>
      <c r="Z441" s="79"/>
      <c r="AA441" s="79">
        <f t="shared" si="256"/>
        <v>0.596498275862069</v>
      </c>
      <c r="AB441" s="91">
        <v>7.27</v>
      </c>
      <c r="AC441" s="77">
        <f t="shared" si="257"/>
        <v>4.33654246551724</v>
      </c>
      <c r="AD441" s="77">
        <f t="shared" si="253"/>
        <v>55.0649907413793</v>
      </c>
      <c r="AE441" s="77">
        <f t="shared" si="258"/>
        <v>27.9350092586207</v>
      </c>
    </row>
    <row r="442" customFormat="1" spans="1:31">
      <c r="A442" s="22"/>
      <c r="B442" s="23"/>
      <c r="C442" s="24">
        <v>241210000057</v>
      </c>
      <c r="D442" s="26">
        <v>45642</v>
      </c>
      <c r="E442" s="25" t="s">
        <v>57</v>
      </c>
      <c r="F442" s="23" t="s">
        <v>58</v>
      </c>
      <c r="G442" s="23" t="s">
        <v>348</v>
      </c>
      <c r="H442" s="23">
        <v>62</v>
      </c>
      <c r="I442" s="47"/>
      <c r="J442" s="44"/>
      <c r="K442" s="53">
        <v>645.93</v>
      </c>
      <c r="L442" s="52">
        <f t="shared" si="263"/>
        <v>0</v>
      </c>
      <c r="M442" s="53">
        <v>645.93</v>
      </c>
      <c r="N442" s="57">
        <v>7.27</v>
      </c>
      <c r="O442" s="125">
        <f t="shared" si="264"/>
        <v>4695.9111</v>
      </c>
      <c r="P442" s="56"/>
      <c r="Q442" s="56"/>
      <c r="R442" s="77">
        <f t="shared" si="259"/>
        <v>3737.52339901478</v>
      </c>
      <c r="S442" s="77"/>
      <c r="T442" s="78">
        <f t="shared" si="260"/>
        <v>6.7192118226601</v>
      </c>
      <c r="U442" s="77"/>
      <c r="V442" s="77"/>
      <c r="W442" s="77">
        <f t="shared" si="255"/>
        <v>3744.24261083744</v>
      </c>
      <c r="X442" s="79">
        <f t="shared" si="261"/>
        <v>44.0272536945813</v>
      </c>
      <c r="Y442" s="79"/>
      <c r="Z442" s="79"/>
      <c r="AA442" s="79">
        <f t="shared" si="256"/>
        <v>44.0272536945813</v>
      </c>
      <c r="AB442" s="91">
        <v>7.27</v>
      </c>
      <c r="AC442" s="77">
        <f t="shared" si="257"/>
        <v>320.078134359606</v>
      </c>
      <c r="AD442" s="77">
        <f t="shared" si="253"/>
        <v>4064.32074519704</v>
      </c>
      <c r="AE442" s="77">
        <f t="shared" si="258"/>
        <v>631.590354802956</v>
      </c>
    </row>
    <row r="443" customFormat="1" spans="1:31">
      <c r="A443" s="22"/>
      <c r="B443" s="23"/>
      <c r="C443" s="24">
        <v>241211000004</v>
      </c>
      <c r="D443" s="25">
        <v>45642</v>
      </c>
      <c r="E443" s="25" t="s">
        <v>54</v>
      </c>
      <c r="F443" s="23" t="s">
        <v>55</v>
      </c>
      <c r="G443" s="23" t="s">
        <v>349</v>
      </c>
      <c r="H443" s="23">
        <v>61</v>
      </c>
      <c r="I443" s="47"/>
      <c r="J443" s="51">
        <v>1069596.99</v>
      </c>
      <c r="K443" s="45"/>
      <c r="L443" s="52">
        <f t="shared" si="263"/>
        <v>1683</v>
      </c>
      <c r="M443" s="53">
        <v>635.53</v>
      </c>
      <c r="N443" s="57">
        <v>7.27</v>
      </c>
      <c r="O443" s="125">
        <f t="shared" si="264"/>
        <v>4620.3031</v>
      </c>
      <c r="P443" s="56"/>
      <c r="Q443" s="56"/>
      <c r="R443" s="77">
        <f t="shared" si="259"/>
        <v>3677.2407635468</v>
      </c>
      <c r="S443" s="77"/>
      <c r="T443" s="78">
        <f t="shared" si="260"/>
        <v>6.61083743842365</v>
      </c>
      <c r="U443" s="77"/>
      <c r="V443" s="77"/>
      <c r="W443" s="77">
        <f t="shared" si="255"/>
        <v>3683.85160098522</v>
      </c>
      <c r="X443" s="79">
        <f t="shared" si="261"/>
        <v>43.3171366995074</v>
      </c>
      <c r="Y443" s="79"/>
      <c r="Z443" s="79"/>
      <c r="AA443" s="79">
        <f t="shared" si="256"/>
        <v>43.3171366995074</v>
      </c>
      <c r="AB443" s="91">
        <v>7.27</v>
      </c>
      <c r="AC443" s="77">
        <f t="shared" si="257"/>
        <v>314.915583805419</v>
      </c>
      <c r="AD443" s="77">
        <f t="shared" si="253"/>
        <v>3998.76718479064</v>
      </c>
      <c r="AE443" s="77">
        <f t="shared" si="258"/>
        <v>621.53591520936</v>
      </c>
    </row>
    <row r="444" customFormat="1" spans="1:31">
      <c r="A444" s="22"/>
      <c r="B444" s="23"/>
      <c r="C444" s="24">
        <v>241211000006</v>
      </c>
      <c r="D444" s="25">
        <v>45642</v>
      </c>
      <c r="E444" s="25" t="s">
        <v>54</v>
      </c>
      <c r="F444" s="23" t="s">
        <v>55</v>
      </c>
      <c r="G444" s="23" t="s">
        <v>124</v>
      </c>
      <c r="H444" s="23">
        <v>4</v>
      </c>
      <c r="I444" s="43">
        <v>323</v>
      </c>
      <c r="J444" s="44"/>
      <c r="K444" s="45"/>
      <c r="L444" s="23"/>
      <c r="M444" s="45"/>
      <c r="N444" s="57"/>
      <c r="O444" s="125">
        <f t="shared" si="262"/>
        <v>323</v>
      </c>
      <c r="P444" s="56"/>
      <c r="Q444" s="56"/>
      <c r="R444" s="77">
        <f t="shared" si="259"/>
        <v>241.130541871921</v>
      </c>
      <c r="S444" s="77"/>
      <c r="T444" s="78">
        <f t="shared" si="260"/>
        <v>0.433497536945813</v>
      </c>
      <c r="U444" s="77"/>
      <c r="V444" s="77"/>
      <c r="W444" s="77">
        <f t="shared" si="255"/>
        <v>241.564039408867</v>
      </c>
      <c r="X444" s="79">
        <f t="shared" si="261"/>
        <v>2.84046798029557</v>
      </c>
      <c r="Y444" s="79"/>
      <c r="Z444" s="79"/>
      <c r="AA444" s="79">
        <f t="shared" si="256"/>
        <v>2.84046798029557</v>
      </c>
      <c r="AB444" s="91">
        <v>7.27</v>
      </c>
      <c r="AC444" s="77">
        <f t="shared" si="257"/>
        <v>20.6502022167488</v>
      </c>
      <c r="AD444" s="77">
        <f t="shared" si="253"/>
        <v>262.214241625616</v>
      </c>
      <c r="AE444" s="77">
        <f t="shared" si="258"/>
        <v>60.7857583743842</v>
      </c>
    </row>
    <row r="445" customFormat="1" spans="1:31">
      <c r="A445" s="22"/>
      <c r="B445" s="23"/>
      <c r="C445" s="24">
        <v>241211000011</v>
      </c>
      <c r="D445" s="25">
        <v>45642</v>
      </c>
      <c r="E445" s="25" t="s">
        <v>54</v>
      </c>
      <c r="F445" s="23" t="s">
        <v>55</v>
      </c>
      <c r="G445" s="23" t="s">
        <v>79</v>
      </c>
      <c r="H445" s="23">
        <v>0.15</v>
      </c>
      <c r="I445" s="43">
        <v>85</v>
      </c>
      <c r="J445" s="44"/>
      <c r="K445" s="45"/>
      <c r="L445" s="23"/>
      <c r="M445" s="45"/>
      <c r="N445" s="57"/>
      <c r="O445" s="125">
        <f t="shared" si="262"/>
        <v>85</v>
      </c>
      <c r="P445" s="56"/>
      <c r="Q445" s="56"/>
      <c r="R445" s="77">
        <f t="shared" si="259"/>
        <v>9.04239532019704</v>
      </c>
      <c r="S445" s="77"/>
      <c r="T445" s="78">
        <f t="shared" si="260"/>
        <v>0.016256157635468</v>
      </c>
      <c r="U445" s="77"/>
      <c r="V445" s="77"/>
      <c r="W445" s="77">
        <f t="shared" si="255"/>
        <v>9.05865147783251</v>
      </c>
      <c r="X445" s="79">
        <f t="shared" si="261"/>
        <v>0.106517549261084</v>
      </c>
      <c r="Y445" s="79"/>
      <c r="Z445" s="79"/>
      <c r="AA445" s="79">
        <f t="shared" si="256"/>
        <v>0.106517549261084</v>
      </c>
      <c r="AB445" s="91">
        <v>7.27</v>
      </c>
      <c r="AC445" s="77">
        <f t="shared" si="257"/>
        <v>0.774382583128079</v>
      </c>
      <c r="AD445" s="77">
        <f t="shared" si="253"/>
        <v>9.83303406096059</v>
      </c>
      <c r="AE445" s="77">
        <f t="shared" si="258"/>
        <v>75.1669659390394</v>
      </c>
    </row>
    <row r="446" customFormat="1" spans="1:31">
      <c r="A446" s="22"/>
      <c r="B446" s="23"/>
      <c r="C446" s="24">
        <v>241211000019</v>
      </c>
      <c r="D446" s="25">
        <v>45642</v>
      </c>
      <c r="E446" s="25" t="s">
        <v>44</v>
      </c>
      <c r="F446" s="23" t="s">
        <v>45</v>
      </c>
      <c r="G446" s="23" t="s">
        <v>130</v>
      </c>
      <c r="H446" s="23">
        <v>62.5</v>
      </c>
      <c r="I446" s="96"/>
      <c r="J446" s="51">
        <v>1167500</v>
      </c>
      <c r="K446" s="45"/>
      <c r="L446" s="52">
        <f t="shared" ref="L446:L448" si="265">SUM(J446/M446)</f>
        <v>1697.564521992</v>
      </c>
      <c r="M446" s="53">
        <v>687.75</v>
      </c>
      <c r="N446" s="57">
        <v>7.27</v>
      </c>
      <c r="O446" s="47">
        <f t="shared" ref="O446:O448" si="266">SUM(M446*N446)</f>
        <v>4999.9425</v>
      </c>
      <c r="P446" s="56"/>
      <c r="Q446" s="56"/>
      <c r="R446" s="77">
        <f t="shared" si="259"/>
        <v>3767.66471674877</v>
      </c>
      <c r="S446" s="77"/>
      <c r="T446" s="78">
        <f t="shared" si="260"/>
        <v>6.77339901477833</v>
      </c>
      <c r="U446" s="77"/>
      <c r="V446" s="77"/>
      <c r="W446" s="77">
        <f t="shared" si="255"/>
        <v>3774.43811576355</v>
      </c>
      <c r="X446" s="79">
        <f t="shared" si="261"/>
        <v>44.3823121921182</v>
      </c>
      <c r="Y446" s="79"/>
      <c r="Z446" s="79"/>
      <c r="AA446" s="79">
        <f t="shared" si="256"/>
        <v>44.3823121921182</v>
      </c>
      <c r="AB446" s="91">
        <v>7.27</v>
      </c>
      <c r="AC446" s="77">
        <f t="shared" si="257"/>
        <v>322.659409636699</v>
      </c>
      <c r="AD446" s="77">
        <f t="shared" si="253"/>
        <v>4097.09752540025</v>
      </c>
      <c r="AE446" s="77">
        <f t="shared" si="258"/>
        <v>902.844974599753</v>
      </c>
    </row>
    <row r="447" customFormat="1" spans="1:31">
      <c r="A447" s="22"/>
      <c r="B447" s="23"/>
      <c r="C447" s="24">
        <v>241211000020</v>
      </c>
      <c r="D447" s="25">
        <v>45642</v>
      </c>
      <c r="E447" s="25" t="s">
        <v>44</v>
      </c>
      <c r="F447" s="23" t="s">
        <v>45</v>
      </c>
      <c r="G447" s="23" t="s">
        <v>130</v>
      </c>
      <c r="H447" s="23">
        <v>78</v>
      </c>
      <c r="I447" s="96"/>
      <c r="J447" s="51">
        <v>1454705</v>
      </c>
      <c r="K447" s="45"/>
      <c r="L447" s="52">
        <f t="shared" si="265"/>
        <v>1697.55758862931</v>
      </c>
      <c r="M447" s="53">
        <v>856.94</v>
      </c>
      <c r="N447" s="57">
        <v>7.27</v>
      </c>
      <c r="O447" s="47">
        <f t="shared" si="266"/>
        <v>6229.9538</v>
      </c>
      <c r="P447" s="56"/>
      <c r="Q447" s="56"/>
      <c r="R447" s="77">
        <f t="shared" si="259"/>
        <v>4702.04556650246</v>
      </c>
      <c r="S447" s="77"/>
      <c r="T447" s="78">
        <f t="shared" si="260"/>
        <v>8.45320197044335</v>
      </c>
      <c r="U447" s="77"/>
      <c r="V447" s="77"/>
      <c r="W447" s="77">
        <f t="shared" si="255"/>
        <v>4710.49876847291</v>
      </c>
      <c r="X447" s="79">
        <f t="shared" si="261"/>
        <v>55.3891256157635</v>
      </c>
      <c r="Y447" s="79"/>
      <c r="Z447" s="79"/>
      <c r="AA447" s="79">
        <f t="shared" si="256"/>
        <v>55.3891256157635</v>
      </c>
      <c r="AB447" s="91">
        <v>7.27</v>
      </c>
      <c r="AC447" s="77">
        <f t="shared" si="257"/>
        <v>402.678943226601</v>
      </c>
      <c r="AD447" s="77">
        <f t="shared" si="253"/>
        <v>5113.17771169951</v>
      </c>
      <c r="AE447" s="77">
        <f t="shared" si="258"/>
        <v>1116.77608830049</v>
      </c>
    </row>
    <row r="448" customFormat="1" spans="1:31">
      <c r="A448" s="22"/>
      <c r="B448" s="23"/>
      <c r="C448" s="24">
        <v>241211000029</v>
      </c>
      <c r="D448" s="26">
        <v>45642</v>
      </c>
      <c r="E448" s="25" t="s">
        <v>70</v>
      </c>
      <c r="F448" s="23" t="s">
        <v>70</v>
      </c>
      <c r="G448" s="23" t="s">
        <v>176</v>
      </c>
      <c r="H448" s="23">
        <v>40.5</v>
      </c>
      <c r="I448" s="47"/>
      <c r="J448" s="51">
        <v>714136.5</v>
      </c>
      <c r="K448" s="45"/>
      <c r="L448" s="52">
        <f t="shared" si="265"/>
        <v>1648.78108065346</v>
      </c>
      <c r="M448" s="53">
        <v>433.12997</v>
      </c>
      <c r="N448" s="57">
        <v>7.27</v>
      </c>
      <c r="O448" s="125">
        <f t="shared" si="266"/>
        <v>3148.8548819</v>
      </c>
      <c r="P448" s="56"/>
      <c r="Q448" s="56"/>
      <c r="R448" s="77">
        <f t="shared" si="259"/>
        <v>2441.4467364532</v>
      </c>
      <c r="S448" s="77"/>
      <c r="T448" s="78">
        <f t="shared" si="260"/>
        <v>4.38916256157635</v>
      </c>
      <c r="U448" s="77"/>
      <c r="V448" s="77"/>
      <c r="W448" s="77">
        <f t="shared" si="255"/>
        <v>2445.83589901478</v>
      </c>
      <c r="X448" s="79">
        <f t="shared" si="261"/>
        <v>28.7597383004926</v>
      </c>
      <c r="Y448" s="79"/>
      <c r="Z448" s="79"/>
      <c r="AA448" s="79">
        <f t="shared" si="256"/>
        <v>28.7597383004926</v>
      </c>
      <c r="AB448" s="91">
        <v>7.27</v>
      </c>
      <c r="AC448" s="77">
        <f t="shared" si="257"/>
        <v>209.083297444581</v>
      </c>
      <c r="AD448" s="77">
        <f t="shared" si="253"/>
        <v>2654.91919645936</v>
      </c>
      <c r="AE448" s="77">
        <f t="shared" si="258"/>
        <v>493.93568544064</v>
      </c>
    </row>
    <row r="449" customFormat="1" spans="1:31">
      <c r="A449" s="22"/>
      <c r="B449" s="23"/>
      <c r="C449" s="24">
        <v>241211000032</v>
      </c>
      <c r="D449" s="25">
        <v>45642</v>
      </c>
      <c r="E449" s="25" t="s">
        <v>37</v>
      </c>
      <c r="F449" s="23" t="s">
        <v>38</v>
      </c>
      <c r="G449" s="23" t="s">
        <v>350</v>
      </c>
      <c r="H449" s="23">
        <v>0.96</v>
      </c>
      <c r="I449" s="43">
        <v>83</v>
      </c>
      <c r="J449" s="44"/>
      <c r="K449" s="45"/>
      <c r="L449" s="23"/>
      <c r="M449" s="45"/>
      <c r="N449" s="57"/>
      <c r="O449" s="125">
        <f t="shared" ref="O449:O455" si="267">SUM(I449)</f>
        <v>83</v>
      </c>
      <c r="P449" s="56"/>
      <c r="Q449" s="56"/>
      <c r="R449" s="77">
        <f t="shared" si="259"/>
        <v>57.8713300492611</v>
      </c>
      <c r="S449" s="77"/>
      <c r="T449" s="78">
        <f t="shared" si="260"/>
        <v>0.104039408866995</v>
      </c>
      <c r="U449" s="77"/>
      <c r="V449" s="77"/>
      <c r="W449" s="77">
        <f t="shared" si="255"/>
        <v>57.9753694581281</v>
      </c>
      <c r="X449" s="79">
        <f t="shared" si="261"/>
        <v>0.681712315270936</v>
      </c>
      <c r="Y449" s="79"/>
      <c r="Z449" s="79"/>
      <c r="AA449" s="79">
        <f t="shared" si="256"/>
        <v>0.681712315270936</v>
      </c>
      <c r="AB449" s="91">
        <v>7.27</v>
      </c>
      <c r="AC449" s="77">
        <f t="shared" si="257"/>
        <v>4.9560485320197</v>
      </c>
      <c r="AD449" s="77">
        <f t="shared" si="253"/>
        <v>62.9314179901478</v>
      </c>
      <c r="AE449" s="77">
        <f t="shared" si="258"/>
        <v>20.0685820098522</v>
      </c>
    </row>
    <row r="450" customFormat="1" spans="1:31">
      <c r="A450" s="22"/>
      <c r="B450" s="23"/>
      <c r="C450" s="24">
        <v>241211000039</v>
      </c>
      <c r="D450" s="26">
        <v>45642</v>
      </c>
      <c r="E450" s="25" t="s">
        <v>70</v>
      </c>
      <c r="F450" s="23" t="s">
        <v>70</v>
      </c>
      <c r="G450" s="23" t="s">
        <v>351</v>
      </c>
      <c r="H450" s="23">
        <v>56.5</v>
      </c>
      <c r="I450" s="50"/>
      <c r="J450" s="51">
        <v>960228</v>
      </c>
      <c r="K450" s="45"/>
      <c r="L450" s="52">
        <f>SUM(J450/M450)</f>
        <v>1483.09213066646</v>
      </c>
      <c r="M450" s="53">
        <v>647.45</v>
      </c>
      <c r="N450" s="57">
        <v>7.27</v>
      </c>
      <c r="O450" s="47">
        <f>SUM(M450*N450+I450)</f>
        <v>4706.9615</v>
      </c>
      <c r="P450" s="56"/>
      <c r="Q450" s="56"/>
      <c r="R450" s="77">
        <f t="shared" si="259"/>
        <v>3405.96890394089</v>
      </c>
      <c r="S450" s="77"/>
      <c r="T450" s="78">
        <f t="shared" si="260"/>
        <v>6.12315270935961</v>
      </c>
      <c r="U450" s="77"/>
      <c r="V450" s="77"/>
      <c r="W450" s="77">
        <f t="shared" si="255"/>
        <v>3412.09205665025</v>
      </c>
      <c r="X450" s="79">
        <f t="shared" si="261"/>
        <v>40.1216102216749</v>
      </c>
      <c r="Y450" s="79"/>
      <c r="Z450" s="79"/>
      <c r="AA450" s="79">
        <f t="shared" si="256"/>
        <v>40.1216102216749</v>
      </c>
      <c r="AB450" s="91">
        <v>7.27</v>
      </c>
      <c r="AC450" s="77">
        <f t="shared" si="257"/>
        <v>291.684106311576</v>
      </c>
      <c r="AD450" s="77">
        <f t="shared" si="253"/>
        <v>3703.77616296182</v>
      </c>
      <c r="AE450" s="77">
        <f t="shared" si="258"/>
        <v>1003.18533703818</v>
      </c>
    </row>
    <row r="451" customFormat="1" spans="1:31">
      <c r="A451" s="22"/>
      <c r="B451" s="23"/>
      <c r="C451" s="24">
        <v>241211000040</v>
      </c>
      <c r="D451" s="25">
        <v>45642</v>
      </c>
      <c r="E451" s="25" t="s">
        <v>44</v>
      </c>
      <c r="F451" s="23" t="s">
        <v>45</v>
      </c>
      <c r="G451" s="23" t="s">
        <v>146</v>
      </c>
      <c r="H451" s="23">
        <v>0.88</v>
      </c>
      <c r="I451" s="43">
        <v>73</v>
      </c>
      <c r="J451" s="44"/>
      <c r="K451" s="45"/>
      <c r="L451" s="23"/>
      <c r="M451" s="45"/>
      <c r="N451" s="57"/>
      <c r="O451" s="125">
        <f t="shared" si="267"/>
        <v>73</v>
      </c>
      <c r="P451" s="56"/>
      <c r="Q451" s="56"/>
      <c r="R451" s="77">
        <f t="shared" si="259"/>
        <v>53.0487192118227</v>
      </c>
      <c r="S451" s="77"/>
      <c r="T451" s="78">
        <f t="shared" si="260"/>
        <v>0.0953694581280788</v>
      </c>
      <c r="U451" s="77"/>
      <c r="V451" s="77"/>
      <c r="W451" s="77">
        <f t="shared" ref="W451:W464" si="268">SUM(R451:V451)</f>
        <v>53.1440886699507</v>
      </c>
      <c r="X451" s="79">
        <f t="shared" si="261"/>
        <v>0.624902955665025</v>
      </c>
      <c r="Y451" s="79"/>
      <c r="Z451" s="79"/>
      <c r="AA451" s="79">
        <f t="shared" si="256"/>
        <v>0.624902955665025</v>
      </c>
      <c r="AB451" s="91">
        <v>7.27</v>
      </c>
      <c r="AC451" s="77">
        <f t="shared" si="257"/>
        <v>4.54304448768473</v>
      </c>
      <c r="AD451" s="77">
        <f t="shared" si="253"/>
        <v>57.6871331576355</v>
      </c>
      <c r="AE451" s="77">
        <f t="shared" ref="AE451:AE464" si="269">SUM(O451-AD451)</f>
        <v>15.3128668423645</v>
      </c>
    </row>
    <row r="452" customFormat="1" spans="1:31">
      <c r="A452" s="22"/>
      <c r="B452" s="23"/>
      <c r="C452" s="24">
        <v>241211000041</v>
      </c>
      <c r="D452" s="25">
        <v>45642</v>
      </c>
      <c r="E452" s="25" t="s">
        <v>44</v>
      </c>
      <c r="F452" s="23" t="s">
        <v>45</v>
      </c>
      <c r="G452" s="23" t="s">
        <v>160</v>
      </c>
      <c r="H452" s="23">
        <v>22.5</v>
      </c>
      <c r="I452" s="43">
        <v>1852.5</v>
      </c>
      <c r="J452" s="44"/>
      <c r="K452" s="45"/>
      <c r="L452" s="23"/>
      <c r="M452" s="45"/>
      <c r="N452" s="57"/>
      <c r="O452" s="125">
        <f t="shared" si="267"/>
        <v>1852.5</v>
      </c>
      <c r="P452" s="56"/>
      <c r="Q452" s="56"/>
      <c r="R452" s="77">
        <f t="shared" si="259"/>
        <v>1356.35929802956</v>
      </c>
      <c r="S452" s="77"/>
      <c r="T452" s="78">
        <f t="shared" si="260"/>
        <v>2.4384236453202</v>
      </c>
      <c r="U452" s="77"/>
      <c r="V452" s="78">
        <v>165</v>
      </c>
      <c r="W452" s="77">
        <f t="shared" si="268"/>
        <v>1523.79772167488</v>
      </c>
      <c r="X452" s="79">
        <f t="shared" si="261"/>
        <v>15.9776323891626</v>
      </c>
      <c r="Y452" s="79"/>
      <c r="Z452" s="79"/>
      <c r="AA452" s="79">
        <f t="shared" si="256"/>
        <v>15.9776323891626</v>
      </c>
      <c r="AB452" s="91">
        <v>7.27</v>
      </c>
      <c r="AC452" s="77">
        <f t="shared" ref="AC452:AC465" si="270">SUM(AA452*AB452)</f>
        <v>116.157387469212</v>
      </c>
      <c r="AD452" s="77">
        <f t="shared" ref="AD452:AD465" si="271">SUM(W452+AC452)</f>
        <v>1639.95510914409</v>
      </c>
      <c r="AE452" s="77">
        <f t="shared" si="269"/>
        <v>212.54489085591</v>
      </c>
    </row>
    <row r="453" customFormat="1" spans="1:31">
      <c r="A453" s="22" t="s">
        <v>352</v>
      </c>
      <c r="B453" s="23" t="s">
        <v>353</v>
      </c>
      <c r="C453" s="24">
        <v>241213000005</v>
      </c>
      <c r="D453" s="25">
        <v>45643</v>
      </c>
      <c r="E453" s="25" t="s">
        <v>54</v>
      </c>
      <c r="F453" s="23" t="s">
        <v>55</v>
      </c>
      <c r="G453" s="23" t="s">
        <v>354</v>
      </c>
      <c r="H453" s="23">
        <v>2</v>
      </c>
      <c r="I453" s="43">
        <v>776</v>
      </c>
      <c r="J453" s="44"/>
      <c r="K453" s="45"/>
      <c r="L453" s="23"/>
      <c r="M453" s="45"/>
      <c r="N453" s="57"/>
      <c r="O453" s="47">
        <f t="shared" si="267"/>
        <v>776</v>
      </c>
      <c r="P453" s="48">
        <f>SUM(O453:O464)</f>
        <v>5593.1787</v>
      </c>
      <c r="Q453" s="48" t="s">
        <v>40</v>
      </c>
      <c r="R453" s="77">
        <f>SUM(2600/32)*H453</f>
        <v>162.5</v>
      </c>
      <c r="S453" s="77"/>
      <c r="T453" s="78">
        <f>SUM(55.98/32)*H453</f>
        <v>3.49875</v>
      </c>
      <c r="U453" s="77"/>
      <c r="V453" s="77"/>
      <c r="W453" s="77">
        <f t="shared" si="268"/>
        <v>165.99875</v>
      </c>
      <c r="X453" s="79">
        <f>SUM(161.88/32)*H453</f>
        <v>10.1175</v>
      </c>
      <c r="Y453" s="79"/>
      <c r="Z453" s="79"/>
      <c r="AA453" s="79">
        <f t="shared" ref="AA453:AA464" si="272">SUM(X453:Z453)</f>
        <v>10.1175</v>
      </c>
      <c r="AB453" s="91">
        <v>7.27</v>
      </c>
      <c r="AC453" s="77">
        <f t="shared" si="270"/>
        <v>73.554225</v>
      </c>
      <c r="AD453" s="77">
        <f t="shared" si="271"/>
        <v>239.552975</v>
      </c>
      <c r="AE453" s="77">
        <f t="shared" si="269"/>
        <v>536.447025</v>
      </c>
    </row>
    <row r="454" customFormat="1" spans="1:31">
      <c r="A454" s="22"/>
      <c r="B454" s="23"/>
      <c r="C454" s="24">
        <v>241213000015</v>
      </c>
      <c r="D454" s="25">
        <v>45643</v>
      </c>
      <c r="E454" s="25" t="s">
        <v>54</v>
      </c>
      <c r="F454" s="23" t="s">
        <v>55</v>
      </c>
      <c r="G454" s="23" t="s">
        <v>355</v>
      </c>
      <c r="H454" s="23">
        <v>0.9</v>
      </c>
      <c r="I454" s="43">
        <v>155</v>
      </c>
      <c r="J454" s="44"/>
      <c r="K454" s="45"/>
      <c r="L454" s="23"/>
      <c r="M454" s="45"/>
      <c r="N454" s="57"/>
      <c r="O454" s="47">
        <f t="shared" si="267"/>
        <v>155</v>
      </c>
      <c r="P454" s="49"/>
      <c r="Q454" s="49"/>
      <c r="R454" s="77">
        <f t="shared" ref="R454:R464" si="273">SUM(2600/32)*H454</f>
        <v>73.125</v>
      </c>
      <c r="S454" s="77"/>
      <c r="T454" s="78">
        <f t="shared" ref="T454:T464" si="274">SUM(55.98/32)*H454</f>
        <v>1.5744375</v>
      </c>
      <c r="U454" s="77"/>
      <c r="V454" s="77"/>
      <c r="W454" s="77">
        <f t="shared" si="268"/>
        <v>74.6994375</v>
      </c>
      <c r="X454" s="79">
        <f t="shared" ref="X454:X464" si="275">SUM(161.88/32)*H454</f>
        <v>4.552875</v>
      </c>
      <c r="Y454" s="79"/>
      <c r="Z454" s="79"/>
      <c r="AA454" s="79">
        <f t="shared" si="272"/>
        <v>4.552875</v>
      </c>
      <c r="AB454" s="91">
        <v>7.27</v>
      </c>
      <c r="AC454" s="77">
        <f t="shared" si="270"/>
        <v>33.09940125</v>
      </c>
      <c r="AD454" s="77">
        <f t="shared" si="271"/>
        <v>107.79883875</v>
      </c>
      <c r="AE454" s="77">
        <f t="shared" si="269"/>
        <v>47.20116125</v>
      </c>
    </row>
    <row r="455" customFormat="1" spans="1:31">
      <c r="A455" s="22"/>
      <c r="B455" s="23"/>
      <c r="C455" s="24">
        <v>241213000020</v>
      </c>
      <c r="D455" s="25">
        <v>45643</v>
      </c>
      <c r="E455" s="25" t="s">
        <v>44</v>
      </c>
      <c r="F455" s="23" t="s">
        <v>45</v>
      </c>
      <c r="G455" s="23" t="s">
        <v>356</v>
      </c>
      <c r="H455" s="23">
        <v>1</v>
      </c>
      <c r="I455" s="43">
        <v>191</v>
      </c>
      <c r="J455" s="44"/>
      <c r="K455" s="45"/>
      <c r="L455" s="23"/>
      <c r="M455" s="45"/>
      <c r="N455" s="57"/>
      <c r="O455" s="47">
        <f t="shared" si="267"/>
        <v>191</v>
      </c>
      <c r="P455" s="49"/>
      <c r="Q455" s="49"/>
      <c r="R455" s="77">
        <f t="shared" si="273"/>
        <v>81.25</v>
      </c>
      <c r="S455" s="77"/>
      <c r="T455" s="78">
        <f t="shared" si="274"/>
        <v>1.749375</v>
      </c>
      <c r="U455" s="77"/>
      <c r="V455" s="77"/>
      <c r="W455" s="77">
        <f t="shared" si="268"/>
        <v>82.999375</v>
      </c>
      <c r="X455" s="79">
        <f t="shared" si="275"/>
        <v>5.05875</v>
      </c>
      <c r="Y455" s="79"/>
      <c r="Z455" s="79">
        <v>9.07</v>
      </c>
      <c r="AA455" s="79">
        <f t="shared" si="272"/>
        <v>14.12875</v>
      </c>
      <c r="AB455" s="91">
        <v>7.27</v>
      </c>
      <c r="AC455" s="77">
        <f t="shared" si="270"/>
        <v>102.7160125</v>
      </c>
      <c r="AD455" s="77">
        <f t="shared" si="271"/>
        <v>185.7153875</v>
      </c>
      <c r="AE455" s="77">
        <f t="shared" si="269"/>
        <v>5.28461250000001</v>
      </c>
    </row>
    <row r="456" customFormat="1" spans="1:31">
      <c r="A456" s="22"/>
      <c r="B456" s="23"/>
      <c r="C456" s="24">
        <v>241213000058</v>
      </c>
      <c r="D456" s="26">
        <v>45643</v>
      </c>
      <c r="E456" s="112" t="s">
        <v>61</v>
      </c>
      <c r="F456" s="23" t="s">
        <v>248</v>
      </c>
      <c r="G456" s="23" t="s">
        <v>249</v>
      </c>
      <c r="H456" s="23">
        <v>0.34</v>
      </c>
      <c r="I456" s="47"/>
      <c r="J456" s="51">
        <v>30154</v>
      </c>
      <c r="K456" s="45"/>
      <c r="L456" s="52">
        <f>SUM(J456/M456)</f>
        <v>1736.98156682028</v>
      </c>
      <c r="M456" s="53">
        <v>17.36</v>
      </c>
      <c r="N456" s="57">
        <v>7.27</v>
      </c>
      <c r="O456" s="47">
        <f>SUM(M456*N456)</f>
        <v>126.2072</v>
      </c>
      <c r="P456" s="49"/>
      <c r="Q456" s="49"/>
      <c r="R456" s="77">
        <f t="shared" si="273"/>
        <v>27.625</v>
      </c>
      <c r="S456" s="77"/>
      <c r="T456" s="78">
        <f t="shared" si="274"/>
        <v>0.5947875</v>
      </c>
      <c r="U456" s="77"/>
      <c r="V456" s="77"/>
      <c r="W456" s="77">
        <f t="shared" si="268"/>
        <v>28.2197875</v>
      </c>
      <c r="X456" s="79">
        <f t="shared" si="275"/>
        <v>1.719975</v>
      </c>
      <c r="Y456" s="79"/>
      <c r="Z456" s="79"/>
      <c r="AA456" s="79">
        <f t="shared" si="272"/>
        <v>1.719975</v>
      </c>
      <c r="AB456" s="91">
        <v>7.27</v>
      </c>
      <c r="AC456" s="77">
        <f t="shared" si="270"/>
        <v>12.50421825</v>
      </c>
      <c r="AD456" s="77">
        <f t="shared" si="271"/>
        <v>40.72400575</v>
      </c>
      <c r="AE456" s="77">
        <f t="shared" si="269"/>
        <v>85.48319425</v>
      </c>
    </row>
    <row r="457" customFormat="1" spans="1:31">
      <c r="A457" s="22"/>
      <c r="B457" s="23"/>
      <c r="C457" s="24">
        <v>241213000061</v>
      </c>
      <c r="D457" s="25">
        <v>45643</v>
      </c>
      <c r="E457" s="25" t="s">
        <v>37</v>
      </c>
      <c r="F457" s="23" t="s">
        <v>38</v>
      </c>
      <c r="G457" s="23" t="s">
        <v>292</v>
      </c>
      <c r="H457" s="23">
        <v>10</v>
      </c>
      <c r="I457" s="43">
        <v>1350</v>
      </c>
      <c r="J457" s="44"/>
      <c r="K457" s="45"/>
      <c r="L457" s="23"/>
      <c r="M457" s="45"/>
      <c r="N457" s="57"/>
      <c r="O457" s="47">
        <f t="shared" ref="O457:O468" si="276">SUM(I457)</f>
        <v>1350</v>
      </c>
      <c r="P457" s="49"/>
      <c r="Q457" s="49"/>
      <c r="R457" s="77">
        <f t="shared" si="273"/>
        <v>812.5</v>
      </c>
      <c r="S457" s="77"/>
      <c r="T457" s="78">
        <f t="shared" si="274"/>
        <v>17.49375</v>
      </c>
      <c r="U457" s="77"/>
      <c r="V457" s="77"/>
      <c r="W457" s="77">
        <f t="shared" si="268"/>
        <v>829.99375</v>
      </c>
      <c r="X457" s="79">
        <f t="shared" si="275"/>
        <v>50.5875</v>
      </c>
      <c r="Y457" s="79"/>
      <c r="Z457" s="79"/>
      <c r="AA457" s="79">
        <f t="shared" si="272"/>
        <v>50.5875</v>
      </c>
      <c r="AB457" s="91">
        <v>7.27</v>
      </c>
      <c r="AC457" s="77">
        <f t="shared" si="270"/>
        <v>367.771125</v>
      </c>
      <c r="AD457" s="77">
        <f t="shared" si="271"/>
        <v>1197.764875</v>
      </c>
      <c r="AE457" s="77">
        <f t="shared" si="269"/>
        <v>152.235125</v>
      </c>
    </row>
    <row r="458" customFormat="1" spans="1:31">
      <c r="A458" s="22"/>
      <c r="B458" s="23"/>
      <c r="C458" s="24">
        <v>241214000004</v>
      </c>
      <c r="D458" s="25">
        <v>45643</v>
      </c>
      <c r="E458" s="25" t="s">
        <v>54</v>
      </c>
      <c r="F458" s="23" t="s">
        <v>55</v>
      </c>
      <c r="G458" s="23" t="s">
        <v>125</v>
      </c>
      <c r="H458" s="23">
        <v>2</v>
      </c>
      <c r="I458" s="43">
        <v>250</v>
      </c>
      <c r="J458" s="44"/>
      <c r="K458" s="45"/>
      <c r="L458" s="23"/>
      <c r="M458" s="45"/>
      <c r="N458" s="57"/>
      <c r="O458" s="47">
        <f t="shared" si="276"/>
        <v>250</v>
      </c>
      <c r="P458" s="49"/>
      <c r="Q458" s="49"/>
      <c r="R458" s="77">
        <f t="shared" si="273"/>
        <v>162.5</v>
      </c>
      <c r="S458" s="77"/>
      <c r="T458" s="78">
        <f t="shared" si="274"/>
        <v>3.49875</v>
      </c>
      <c r="U458" s="77"/>
      <c r="V458" s="77"/>
      <c r="W458" s="77">
        <f t="shared" si="268"/>
        <v>165.99875</v>
      </c>
      <c r="X458" s="79">
        <f t="shared" si="275"/>
        <v>10.1175</v>
      </c>
      <c r="Y458" s="79"/>
      <c r="Z458" s="79"/>
      <c r="AA458" s="79">
        <f t="shared" si="272"/>
        <v>10.1175</v>
      </c>
      <c r="AB458" s="91">
        <v>7.27</v>
      </c>
      <c r="AC458" s="77">
        <f t="shared" si="270"/>
        <v>73.554225</v>
      </c>
      <c r="AD458" s="77">
        <f t="shared" si="271"/>
        <v>239.552975</v>
      </c>
      <c r="AE458" s="77">
        <f t="shared" si="269"/>
        <v>10.447025</v>
      </c>
    </row>
    <row r="459" customFormat="1" spans="1:31">
      <c r="A459" s="22"/>
      <c r="B459" s="23"/>
      <c r="C459" s="24">
        <v>241214000022</v>
      </c>
      <c r="D459" s="25">
        <v>45643</v>
      </c>
      <c r="E459" s="25" t="s">
        <v>44</v>
      </c>
      <c r="F459" s="23" t="s">
        <v>45</v>
      </c>
      <c r="G459" s="23" t="s">
        <v>167</v>
      </c>
      <c r="H459" s="23">
        <v>12.5</v>
      </c>
      <c r="I459" s="50"/>
      <c r="J459" s="51">
        <v>351900</v>
      </c>
      <c r="K459" s="45"/>
      <c r="L459" s="52">
        <f>SUM(J459/M459)</f>
        <v>1672.13114754098</v>
      </c>
      <c r="M459" s="53">
        <v>210.45</v>
      </c>
      <c r="N459" s="57">
        <v>7.27</v>
      </c>
      <c r="O459" s="47">
        <f>SUM(M459*N459)</f>
        <v>1529.9715</v>
      </c>
      <c r="P459" s="49"/>
      <c r="Q459" s="49"/>
      <c r="R459" s="77">
        <f t="shared" si="273"/>
        <v>1015.625</v>
      </c>
      <c r="S459" s="77"/>
      <c r="T459" s="78">
        <f t="shared" si="274"/>
        <v>21.8671875</v>
      </c>
      <c r="U459" s="77"/>
      <c r="V459" s="78">
        <v>22</v>
      </c>
      <c r="W459" s="77">
        <f t="shared" si="268"/>
        <v>1059.4921875</v>
      </c>
      <c r="X459" s="79">
        <f t="shared" si="275"/>
        <v>63.234375</v>
      </c>
      <c r="Y459" s="79"/>
      <c r="Z459" s="79"/>
      <c r="AA459" s="79">
        <f t="shared" si="272"/>
        <v>63.234375</v>
      </c>
      <c r="AB459" s="91">
        <v>7.27</v>
      </c>
      <c r="AC459" s="77">
        <f t="shared" si="270"/>
        <v>459.71390625</v>
      </c>
      <c r="AD459" s="77">
        <f t="shared" si="271"/>
        <v>1519.20609375</v>
      </c>
      <c r="AE459" s="77">
        <f t="shared" si="269"/>
        <v>10.7654062500001</v>
      </c>
    </row>
    <row r="460" customFormat="1" spans="1:31">
      <c r="A460" s="22"/>
      <c r="B460" s="23"/>
      <c r="C460" s="24">
        <v>241214000023</v>
      </c>
      <c r="D460" s="25">
        <v>45643</v>
      </c>
      <c r="E460" s="25" t="s">
        <v>37</v>
      </c>
      <c r="F460" s="23" t="s">
        <v>38</v>
      </c>
      <c r="G460" s="23" t="s">
        <v>357</v>
      </c>
      <c r="H460" s="23">
        <v>0.47</v>
      </c>
      <c r="I460" s="43">
        <v>155</v>
      </c>
      <c r="J460" s="44"/>
      <c r="K460" s="45"/>
      <c r="L460" s="23"/>
      <c r="M460" s="45"/>
      <c r="N460" s="57"/>
      <c r="O460" s="47">
        <f t="shared" si="276"/>
        <v>155</v>
      </c>
      <c r="P460" s="49"/>
      <c r="Q460" s="49"/>
      <c r="R460" s="77">
        <f t="shared" si="273"/>
        <v>38.1875</v>
      </c>
      <c r="S460" s="77"/>
      <c r="T460" s="78">
        <f t="shared" si="274"/>
        <v>0.82220625</v>
      </c>
      <c r="U460" s="77"/>
      <c r="V460" s="77"/>
      <c r="W460" s="77">
        <f t="shared" si="268"/>
        <v>39.00970625</v>
      </c>
      <c r="X460" s="79">
        <f t="shared" si="275"/>
        <v>2.3776125</v>
      </c>
      <c r="Y460" s="79"/>
      <c r="Z460" s="79"/>
      <c r="AA460" s="79">
        <f t="shared" si="272"/>
        <v>2.3776125</v>
      </c>
      <c r="AB460" s="91">
        <v>7.27</v>
      </c>
      <c r="AC460" s="77">
        <f t="shared" si="270"/>
        <v>17.285242875</v>
      </c>
      <c r="AD460" s="77">
        <f t="shared" si="271"/>
        <v>56.294949125</v>
      </c>
      <c r="AE460" s="77">
        <f t="shared" si="269"/>
        <v>98.705050875</v>
      </c>
    </row>
    <row r="461" customFormat="1" spans="1:31">
      <c r="A461" s="22"/>
      <c r="B461" s="23"/>
      <c r="C461" s="24">
        <v>241214000028</v>
      </c>
      <c r="D461" s="25">
        <v>45643</v>
      </c>
      <c r="E461" s="25" t="s">
        <v>44</v>
      </c>
      <c r="F461" s="23" t="s">
        <v>45</v>
      </c>
      <c r="G461" s="23" t="s">
        <v>358</v>
      </c>
      <c r="H461" s="23">
        <v>0.34</v>
      </c>
      <c r="I461" s="43">
        <v>160</v>
      </c>
      <c r="J461" s="44"/>
      <c r="K461" s="45"/>
      <c r="L461" s="23"/>
      <c r="M461" s="45"/>
      <c r="N461" s="57"/>
      <c r="O461" s="47">
        <f t="shared" si="276"/>
        <v>160</v>
      </c>
      <c r="P461" s="49"/>
      <c r="Q461" s="49"/>
      <c r="R461" s="77">
        <f t="shared" si="273"/>
        <v>27.625</v>
      </c>
      <c r="S461" s="77"/>
      <c r="T461" s="78">
        <f t="shared" si="274"/>
        <v>0.5947875</v>
      </c>
      <c r="U461" s="77"/>
      <c r="V461" s="77"/>
      <c r="W461" s="77">
        <f t="shared" si="268"/>
        <v>28.2197875</v>
      </c>
      <c r="X461" s="79">
        <f t="shared" si="275"/>
        <v>1.719975</v>
      </c>
      <c r="Y461" s="79"/>
      <c r="Z461" s="79"/>
      <c r="AA461" s="79">
        <f t="shared" si="272"/>
        <v>1.719975</v>
      </c>
      <c r="AB461" s="91">
        <v>7.27</v>
      </c>
      <c r="AC461" s="77">
        <f t="shared" si="270"/>
        <v>12.50421825</v>
      </c>
      <c r="AD461" s="77">
        <f t="shared" si="271"/>
        <v>40.72400575</v>
      </c>
      <c r="AE461" s="77">
        <f t="shared" si="269"/>
        <v>119.27599425</v>
      </c>
    </row>
    <row r="462" customFormat="1" spans="1:31">
      <c r="A462" s="22"/>
      <c r="B462" s="23"/>
      <c r="C462" s="24">
        <v>241214000035</v>
      </c>
      <c r="D462" s="25">
        <v>45643</v>
      </c>
      <c r="E462" s="25" t="s">
        <v>61</v>
      </c>
      <c r="F462" s="23" t="s">
        <v>62</v>
      </c>
      <c r="G462" s="23" t="s">
        <v>359</v>
      </c>
      <c r="H462" s="23">
        <v>0.21</v>
      </c>
      <c r="I462" s="43">
        <v>265</v>
      </c>
      <c r="J462" s="44"/>
      <c r="K462" s="45"/>
      <c r="L462" s="23"/>
      <c r="M462" s="45"/>
      <c r="N462" s="57"/>
      <c r="O462" s="47">
        <f t="shared" si="276"/>
        <v>265</v>
      </c>
      <c r="P462" s="49"/>
      <c r="Q462" s="49"/>
      <c r="R462" s="77">
        <f t="shared" si="273"/>
        <v>17.0625</v>
      </c>
      <c r="S462" s="77"/>
      <c r="T462" s="78">
        <f t="shared" si="274"/>
        <v>0.36736875</v>
      </c>
      <c r="U462" s="77"/>
      <c r="V462" s="77"/>
      <c r="W462" s="77">
        <f t="shared" si="268"/>
        <v>17.42986875</v>
      </c>
      <c r="X462" s="79">
        <f t="shared" si="275"/>
        <v>1.0623375</v>
      </c>
      <c r="Y462" s="79"/>
      <c r="Z462" s="79"/>
      <c r="AA462" s="79">
        <f t="shared" si="272"/>
        <v>1.0623375</v>
      </c>
      <c r="AB462" s="91">
        <v>7.27</v>
      </c>
      <c r="AC462" s="77">
        <f t="shared" si="270"/>
        <v>7.723193625</v>
      </c>
      <c r="AD462" s="77">
        <f t="shared" si="271"/>
        <v>25.153062375</v>
      </c>
      <c r="AE462" s="77">
        <f t="shared" si="269"/>
        <v>239.846937625</v>
      </c>
    </row>
    <row r="463" customFormat="1" spans="1:31">
      <c r="A463" s="22"/>
      <c r="B463" s="23"/>
      <c r="C463" s="24">
        <v>241216000016</v>
      </c>
      <c r="D463" s="25">
        <v>45643</v>
      </c>
      <c r="E463" s="25" t="s">
        <v>54</v>
      </c>
      <c r="F463" s="23" t="s">
        <v>55</v>
      </c>
      <c r="G463" s="23" t="s">
        <v>360</v>
      </c>
      <c r="H463" s="23">
        <v>3.5</v>
      </c>
      <c r="I463" s="43">
        <v>447.5</v>
      </c>
      <c r="J463" s="44"/>
      <c r="K463" s="45"/>
      <c r="L463" s="23"/>
      <c r="M463" s="45"/>
      <c r="N463" s="57"/>
      <c r="O463" s="47">
        <f t="shared" si="276"/>
        <v>447.5</v>
      </c>
      <c r="P463" s="49"/>
      <c r="Q463" s="49"/>
      <c r="R463" s="77">
        <f t="shared" si="273"/>
        <v>284.375</v>
      </c>
      <c r="S463" s="77"/>
      <c r="T463" s="78">
        <f t="shared" si="274"/>
        <v>6.1228125</v>
      </c>
      <c r="U463" s="77"/>
      <c r="V463" s="77"/>
      <c r="W463" s="77">
        <f t="shared" ref="W463:W494" si="277">SUM(R463:V463)</f>
        <v>290.4978125</v>
      </c>
      <c r="X463" s="79">
        <f t="shared" si="275"/>
        <v>17.705625</v>
      </c>
      <c r="Y463" s="79">
        <v>3.5</v>
      </c>
      <c r="Z463" s="79"/>
      <c r="AA463" s="79">
        <f t="shared" si="272"/>
        <v>21.205625</v>
      </c>
      <c r="AB463" s="91">
        <v>7.27</v>
      </c>
      <c r="AC463" s="77">
        <f t="shared" si="270"/>
        <v>154.16489375</v>
      </c>
      <c r="AD463" s="77">
        <f t="shared" ref="AD463:AD494" si="278">SUM(W463+AC463)</f>
        <v>444.66270625</v>
      </c>
      <c r="AE463" s="77">
        <f t="shared" ref="AE463:AE494" si="279">SUM(O463-AD463)</f>
        <v>2.83729374999996</v>
      </c>
    </row>
    <row r="464" customFormat="1" spans="1:31">
      <c r="A464" s="22"/>
      <c r="B464" s="23"/>
      <c r="C464" s="24">
        <v>241216000017</v>
      </c>
      <c r="D464" s="25">
        <v>45643</v>
      </c>
      <c r="E464" s="25" t="s">
        <v>54</v>
      </c>
      <c r="F464" s="23" t="s">
        <v>55</v>
      </c>
      <c r="G464" s="23" t="s">
        <v>291</v>
      </c>
      <c r="H464" s="23">
        <v>1.5</v>
      </c>
      <c r="I464" s="43">
        <v>187.5</v>
      </c>
      <c r="J464" s="44"/>
      <c r="K464" s="45"/>
      <c r="L464" s="23"/>
      <c r="M464" s="45"/>
      <c r="N464" s="57"/>
      <c r="O464" s="47">
        <f t="shared" si="276"/>
        <v>187.5</v>
      </c>
      <c r="P464" s="55"/>
      <c r="Q464" s="55"/>
      <c r="R464" s="77">
        <f t="shared" si="273"/>
        <v>121.875</v>
      </c>
      <c r="S464" s="77"/>
      <c r="T464" s="78">
        <f t="shared" si="274"/>
        <v>2.6240625</v>
      </c>
      <c r="U464" s="77"/>
      <c r="V464" s="77"/>
      <c r="W464" s="77">
        <f t="shared" si="277"/>
        <v>124.4990625</v>
      </c>
      <c r="X464" s="79">
        <f t="shared" si="275"/>
        <v>7.588125</v>
      </c>
      <c r="Y464" s="79"/>
      <c r="Z464" s="79"/>
      <c r="AA464" s="79">
        <f t="shared" si="272"/>
        <v>7.588125</v>
      </c>
      <c r="AB464" s="91">
        <v>7.27</v>
      </c>
      <c r="AC464" s="77">
        <f t="shared" ref="AC464:AC495" si="280">SUM(AA464*AB464)</f>
        <v>55.16566875</v>
      </c>
      <c r="AD464" s="77">
        <f t="shared" si="278"/>
        <v>179.66473125</v>
      </c>
      <c r="AE464" s="77">
        <f t="shared" si="279"/>
        <v>7.83526875000001</v>
      </c>
    </row>
    <row r="465" customFormat="1" spans="1:31">
      <c r="A465" s="22" t="s">
        <v>361</v>
      </c>
      <c r="B465" s="23" t="s">
        <v>362</v>
      </c>
      <c r="C465" s="24">
        <v>241209000008</v>
      </c>
      <c r="D465" s="25">
        <v>45644</v>
      </c>
      <c r="E465" s="25" t="s">
        <v>44</v>
      </c>
      <c r="F465" s="23" t="s">
        <v>45</v>
      </c>
      <c r="G465" s="23" t="s">
        <v>203</v>
      </c>
      <c r="H465" s="23">
        <v>0.54</v>
      </c>
      <c r="I465" s="43">
        <v>95</v>
      </c>
      <c r="J465" s="44"/>
      <c r="K465" s="45"/>
      <c r="L465" s="23"/>
      <c r="M465" s="45"/>
      <c r="N465" s="57"/>
      <c r="O465" s="47">
        <f t="shared" si="276"/>
        <v>95</v>
      </c>
      <c r="P465" s="48">
        <f>SUM(O465:O512)</f>
        <v>137043.9344</v>
      </c>
      <c r="Q465" s="48" t="s">
        <v>185</v>
      </c>
      <c r="R465" s="77">
        <f>SUM(104719/1762)*H465</f>
        <v>32.0932236095346</v>
      </c>
      <c r="S465" s="77"/>
      <c r="T465" s="78">
        <f>SUM(197.75/1762)*H465</f>
        <v>0.0606044267877412</v>
      </c>
      <c r="U465" s="77"/>
      <c r="V465" s="77"/>
      <c r="W465" s="77">
        <f t="shared" si="277"/>
        <v>32.1538280363224</v>
      </c>
      <c r="X465" s="79">
        <f>SUM(1357.83/1762)*H465</f>
        <v>0.416134052213394</v>
      </c>
      <c r="Y465" s="79"/>
      <c r="Z465" s="79"/>
      <c r="AA465" s="79">
        <f t="shared" ref="AA465:AA515" si="281">SUM(X465:Z465)</f>
        <v>0.416134052213394</v>
      </c>
      <c r="AB465" s="91">
        <v>7.27</v>
      </c>
      <c r="AC465" s="77">
        <f t="shared" si="280"/>
        <v>3.02529455959137</v>
      </c>
      <c r="AD465" s="77">
        <f t="shared" si="278"/>
        <v>35.1791225959137</v>
      </c>
      <c r="AE465" s="77">
        <f t="shared" si="279"/>
        <v>59.8208774040863</v>
      </c>
    </row>
    <row r="466" customFormat="1" spans="1:31">
      <c r="A466" s="22"/>
      <c r="B466" s="23"/>
      <c r="C466" s="24">
        <v>241209000024</v>
      </c>
      <c r="D466" s="25">
        <v>45644</v>
      </c>
      <c r="E466" s="25" t="s">
        <v>54</v>
      </c>
      <c r="F466" s="23" t="s">
        <v>55</v>
      </c>
      <c r="G466" s="23" t="s">
        <v>291</v>
      </c>
      <c r="H466" s="23">
        <v>3</v>
      </c>
      <c r="I466" s="43">
        <v>263</v>
      </c>
      <c r="J466" s="44"/>
      <c r="K466" s="45"/>
      <c r="L466" s="23"/>
      <c r="M466" s="45"/>
      <c r="N466" s="57"/>
      <c r="O466" s="47">
        <f t="shared" si="276"/>
        <v>263</v>
      </c>
      <c r="P466" s="49"/>
      <c r="Q466" s="49"/>
      <c r="R466" s="77">
        <f t="shared" ref="R466:R512" si="282">SUM(104719/1762)*H466</f>
        <v>178.295686719637</v>
      </c>
      <c r="S466" s="77"/>
      <c r="T466" s="78">
        <f t="shared" ref="T466:T512" si="283">SUM(197.75/1762)*H466</f>
        <v>0.336691259931896</v>
      </c>
      <c r="U466" s="77"/>
      <c r="V466" s="77"/>
      <c r="W466" s="77">
        <f t="shared" si="277"/>
        <v>178.632377979569</v>
      </c>
      <c r="X466" s="79">
        <f t="shared" ref="X466:X512" si="284">SUM(1357.83/1762)*H466</f>
        <v>2.31185584562997</v>
      </c>
      <c r="Y466" s="79"/>
      <c r="Z466" s="79"/>
      <c r="AA466" s="79">
        <f t="shared" si="281"/>
        <v>2.31185584562997</v>
      </c>
      <c r="AB466" s="91">
        <v>7.27</v>
      </c>
      <c r="AC466" s="77">
        <f t="shared" si="280"/>
        <v>16.8071919977299</v>
      </c>
      <c r="AD466" s="77">
        <f t="shared" si="278"/>
        <v>195.439569977299</v>
      </c>
      <c r="AE466" s="77">
        <f t="shared" si="279"/>
        <v>67.5604300227015</v>
      </c>
    </row>
    <row r="467" customFormat="1" spans="1:31">
      <c r="A467" s="22"/>
      <c r="B467" s="23"/>
      <c r="C467" s="24">
        <v>241209000091</v>
      </c>
      <c r="D467" s="25">
        <v>45644</v>
      </c>
      <c r="E467" s="25" t="s">
        <v>61</v>
      </c>
      <c r="F467" s="23" t="s">
        <v>62</v>
      </c>
      <c r="G467" s="23" t="s">
        <v>278</v>
      </c>
      <c r="H467" s="23">
        <v>160</v>
      </c>
      <c r="I467" s="43">
        <v>11840</v>
      </c>
      <c r="J467" s="44"/>
      <c r="K467" s="45"/>
      <c r="L467" s="23"/>
      <c r="M467" s="45"/>
      <c r="N467" s="57"/>
      <c r="O467" s="47">
        <f t="shared" si="276"/>
        <v>11840</v>
      </c>
      <c r="P467" s="49"/>
      <c r="Q467" s="49"/>
      <c r="R467" s="77">
        <f t="shared" si="282"/>
        <v>9509.10329171396</v>
      </c>
      <c r="S467" s="77"/>
      <c r="T467" s="78">
        <f t="shared" si="283"/>
        <v>17.9568671963678</v>
      </c>
      <c r="U467" s="77"/>
      <c r="V467" s="77"/>
      <c r="W467" s="77">
        <f t="shared" si="277"/>
        <v>9527.06015891033</v>
      </c>
      <c r="X467" s="79">
        <f t="shared" si="284"/>
        <v>123.298978433598</v>
      </c>
      <c r="Y467" s="79"/>
      <c r="Z467" s="79"/>
      <c r="AA467" s="79">
        <f t="shared" si="281"/>
        <v>123.298978433598</v>
      </c>
      <c r="AB467" s="91">
        <v>7.27</v>
      </c>
      <c r="AC467" s="77">
        <f t="shared" si="280"/>
        <v>896.383573212259</v>
      </c>
      <c r="AD467" s="77">
        <f t="shared" si="278"/>
        <v>10423.4437321226</v>
      </c>
      <c r="AE467" s="77">
        <f t="shared" si="279"/>
        <v>1416.55626787741</v>
      </c>
    </row>
    <row r="468" customFormat="1" spans="1:31">
      <c r="A468" s="22"/>
      <c r="B468" s="23"/>
      <c r="C468" s="24">
        <v>241210000007</v>
      </c>
      <c r="D468" s="25">
        <v>45644</v>
      </c>
      <c r="E468" s="25" t="s">
        <v>37</v>
      </c>
      <c r="F468" s="23" t="s">
        <v>38</v>
      </c>
      <c r="G468" s="23" t="s">
        <v>363</v>
      </c>
      <c r="H468" s="23">
        <v>46</v>
      </c>
      <c r="I468" s="43">
        <v>3542</v>
      </c>
      <c r="J468" s="44"/>
      <c r="K468" s="45"/>
      <c r="L468" s="23"/>
      <c r="M468" s="45"/>
      <c r="N468" s="57"/>
      <c r="O468" s="47">
        <f t="shared" si="276"/>
        <v>3542</v>
      </c>
      <c r="P468" s="49"/>
      <c r="Q468" s="49"/>
      <c r="R468" s="77">
        <f t="shared" si="282"/>
        <v>2733.86719636776</v>
      </c>
      <c r="S468" s="77"/>
      <c r="T468" s="78">
        <f t="shared" si="283"/>
        <v>5.16259931895573</v>
      </c>
      <c r="U468" s="77"/>
      <c r="V468" s="77"/>
      <c r="W468" s="77">
        <f t="shared" si="277"/>
        <v>2739.02979568672</v>
      </c>
      <c r="X468" s="79">
        <f t="shared" si="284"/>
        <v>35.4484562996595</v>
      </c>
      <c r="Y468" s="79"/>
      <c r="Z468" s="79"/>
      <c r="AA468" s="79">
        <f t="shared" si="281"/>
        <v>35.4484562996595</v>
      </c>
      <c r="AB468" s="91">
        <v>7.27</v>
      </c>
      <c r="AC468" s="77">
        <f t="shared" si="280"/>
        <v>257.710277298524</v>
      </c>
      <c r="AD468" s="77">
        <f t="shared" si="278"/>
        <v>2996.74007298524</v>
      </c>
      <c r="AE468" s="77">
        <f t="shared" si="279"/>
        <v>545.259927014756</v>
      </c>
    </row>
    <row r="469" customFormat="1" spans="1:31">
      <c r="A469" s="22"/>
      <c r="B469" s="23"/>
      <c r="C469" s="24">
        <v>241210000013</v>
      </c>
      <c r="D469" s="25">
        <v>45644</v>
      </c>
      <c r="E469" s="25" t="s">
        <v>44</v>
      </c>
      <c r="F469" s="23" t="s">
        <v>45</v>
      </c>
      <c r="G469" s="23" t="s">
        <v>307</v>
      </c>
      <c r="H469" s="23">
        <v>8</v>
      </c>
      <c r="I469" s="96"/>
      <c r="J469" s="51">
        <v>141300</v>
      </c>
      <c r="K469" s="45"/>
      <c r="L469" s="52">
        <f>SUM(J469/M469)</f>
        <v>1712.10468920393</v>
      </c>
      <c r="M469" s="53">
        <v>82.53</v>
      </c>
      <c r="N469" s="57">
        <v>7.27</v>
      </c>
      <c r="O469" s="47">
        <f>SUM(M469*N469)</f>
        <v>599.9931</v>
      </c>
      <c r="P469" s="49"/>
      <c r="Q469" s="49"/>
      <c r="R469" s="77">
        <f t="shared" si="282"/>
        <v>475.455164585698</v>
      </c>
      <c r="S469" s="77"/>
      <c r="T469" s="78">
        <f t="shared" si="283"/>
        <v>0.897843359818388</v>
      </c>
      <c r="U469" s="77"/>
      <c r="V469" s="77"/>
      <c r="W469" s="77">
        <f t="shared" si="277"/>
        <v>476.353007945516</v>
      </c>
      <c r="X469" s="79">
        <f t="shared" si="284"/>
        <v>6.16494892167991</v>
      </c>
      <c r="Y469" s="79"/>
      <c r="Z469" s="79"/>
      <c r="AA469" s="79">
        <f t="shared" si="281"/>
        <v>6.16494892167991</v>
      </c>
      <c r="AB469" s="91">
        <v>7.27</v>
      </c>
      <c r="AC469" s="77">
        <f t="shared" si="280"/>
        <v>44.8191786606129</v>
      </c>
      <c r="AD469" s="77">
        <f t="shared" si="278"/>
        <v>521.172186606129</v>
      </c>
      <c r="AE469" s="77">
        <f t="shared" si="279"/>
        <v>78.8209133938706</v>
      </c>
    </row>
    <row r="470" customFormat="1" spans="1:31">
      <c r="A470" s="22"/>
      <c r="B470" s="23"/>
      <c r="C470" s="24">
        <v>241210000020</v>
      </c>
      <c r="D470" s="25">
        <v>45644</v>
      </c>
      <c r="E470" s="25" t="s">
        <v>61</v>
      </c>
      <c r="F470" s="23" t="s">
        <v>62</v>
      </c>
      <c r="G470" s="23" t="s">
        <v>364</v>
      </c>
      <c r="H470" s="23">
        <v>6</v>
      </c>
      <c r="I470" s="43">
        <v>260.2</v>
      </c>
      <c r="J470" s="44"/>
      <c r="K470" s="45"/>
      <c r="L470" s="23"/>
      <c r="M470" s="45"/>
      <c r="N470" s="57"/>
      <c r="O470" s="47">
        <f t="shared" ref="O470:O475" si="285">SUM(I470)</f>
        <v>260.2</v>
      </c>
      <c r="P470" s="49"/>
      <c r="Q470" s="49"/>
      <c r="R470" s="77">
        <f t="shared" si="282"/>
        <v>356.591373439274</v>
      </c>
      <c r="S470" s="77"/>
      <c r="T470" s="78">
        <f t="shared" si="283"/>
        <v>0.673382519863791</v>
      </c>
      <c r="U470" s="77"/>
      <c r="V470" s="77"/>
      <c r="W470" s="77">
        <f t="shared" si="277"/>
        <v>357.264755959137</v>
      </c>
      <c r="X470" s="79">
        <f t="shared" si="284"/>
        <v>4.62371169125993</v>
      </c>
      <c r="Y470" s="79"/>
      <c r="Z470" s="79"/>
      <c r="AA470" s="79">
        <f t="shared" si="281"/>
        <v>4.62371169125993</v>
      </c>
      <c r="AB470" s="91">
        <v>7.27</v>
      </c>
      <c r="AC470" s="77">
        <f t="shared" si="280"/>
        <v>33.6143839954597</v>
      </c>
      <c r="AD470" s="77">
        <f t="shared" si="278"/>
        <v>390.879139954597</v>
      </c>
      <c r="AE470" s="77">
        <f t="shared" si="279"/>
        <v>-130.679139954597</v>
      </c>
    </row>
    <row r="471" customFormat="1" spans="1:31">
      <c r="A471" s="22"/>
      <c r="B471" s="23"/>
      <c r="C471" s="24">
        <v>241210000046</v>
      </c>
      <c r="D471" s="25">
        <v>45644</v>
      </c>
      <c r="E471" s="25" t="s">
        <v>44</v>
      </c>
      <c r="F471" s="23" t="s">
        <v>45</v>
      </c>
      <c r="G471" s="23" t="s">
        <v>225</v>
      </c>
      <c r="H471" s="23">
        <v>24.5</v>
      </c>
      <c r="I471" s="43">
        <v>1788.5</v>
      </c>
      <c r="J471" s="44"/>
      <c r="K471" s="45"/>
      <c r="L471" s="23"/>
      <c r="M471" s="45"/>
      <c r="N471" s="57"/>
      <c r="O471" s="47">
        <f t="shared" si="285"/>
        <v>1788.5</v>
      </c>
      <c r="P471" s="49"/>
      <c r="Q471" s="49"/>
      <c r="R471" s="77">
        <f t="shared" si="282"/>
        <v>1456.0814415437</v>
      </c>
      <c r="S471" s="77"/>
      <c r="T471" s="78">
        <f t="shared" si="283"/>
        <v>2.74964528944381</v>
      </c>
      <c r="U471" s="77"/>
      <c r="V471" s="77"/>
      <c r="W471" s="77">
        <f t="shared" si="277"/>
        <v>1458.83108683314</v>
      </c>
      <c r="X471" s="79">
        <f t="shared" si="284"/>
        <v>18.8801560726447</v>
      </c>
      <c r="Y471" s="79"/>
      <c r="Z471" s="79"/>
      <c r="AA471" s="79">
        <f t="shared" si="281"/>
        <v>18.8801560726447</v>
      </c>
      <c r="AB471" s="91">
        <v>7.27</v>
      </c>
      <c r="AC471" s="77">
        <f t="shared" si="280"/>
        <v>137.258734648127</v>
      </c>
      <c r="AD471" s="77">
        <f t="shared" si="278"/>
        <v>1596.08982148127</v>
      </c>
      <c r="AE471" s="77">
        <f t="shared" si="279"/>
        <v>192.410178518729</v>
      </c>
    </row>
    <row r="472" customFormat="1" spans="1:31">
      <c r="A472" s="22"/>
      <c r="B472" s="23"/>
      <c r="C472" s="24">
        <v>241211000005</v>
      </c>
      <c r="D472" s="25">
        <v>45644</v>
      </c>
      <c r="E472" s="25" t="s">
        <v>37</v>
      </c>
      <c r="F472" s="23" t="s">
        <v>38</v>
      </c>
      <c r="G472" s="23" t="s">
        <v>154</v>
      </c>
      <c r="H472" s="23">
        <v>6.5</v>
      </c>
      <c r="I472" s="43">
        <v>614.9</v>
      </c>
      <c r="J472" s="44"/>
      <c r="K472" s="45"/>
      <c r="L472" s="23"/>
      <c r="M472" s="45"/>
      <c r="N472" s="57"/>
      <c r="O472" s="47">
        <f t="shared" si="285"/>
        <v>614.9</v>
      </c>
      <c r="P472" s="49"/>
      <c r="Q472" s="49"/>
      <c r="R472" s="77">
        <f t="shared" si="282"/>
        <v>386.30732122588</v>
      </c>
      <c r="S472" s="77"/>
      <c r="T472" s="78">
        <f t="shared" si="283"/>
        <v>0.72949772985244</v>
      </c>
      <c r="U472" s="77"/>
      <c r="V472" s="77"/>
      <c r="W472" s="77">
        <f t="shared" si="277"/>
        <v>387.036818955732</v>
      </c>
      <c r="X472" s="79">
        <f t="shared" si="284"/>
        <v>5.00902099886493</v>
      </c>
      <c r="Y472" s="79"/>
      <c r="Z472" s="79"/>
      <c r="AA472" s="79">
        <f t="shared" si="281"/>
        <v>5.00902099886493</v>
      </c>
      <c r="AB472" s="91">
        <v>7.27</v>
      </c>
      <c r="AC472" s="77">
        <f t="shared" si="280"/>
        <v>36.415582661748</v>
      </c>
      <c r="AD472" s="77">
        <f t="shared" si="278"/>
        <v>423.45240161748</v>
      </c>
      <c r="AE472" s="77">
        <f t="shared" si="279"/>
        <v>191.44759838252</v>
      </c>
    </row>
    <row r="473" customFormat="1" spans="1:31">
      <c r="A473" s="22"/>
      <c r="B473" s="23"/>
      <c r="C473" s="24">
        <v>241211000015</v>
      </c>
      <c r="D473" s="25">
        <v>45644</v>
      </c>
      <c r="E473" s="25" t="s">
        <v>41</v>
      </c>
      <c r="F473" s="23" t="s">
        <v>42</v>
      </c>
      <c r="G473" s="23" t="s">
        <v>365</v>
      </c>
      <c r="H473" s="23">
        <v>6</v>
      </c>
      <c r="I473" s="43">
        <v>468</v>
      </c>
      <c r="J473" s="44"/>
      <c r="K473" s="45"/>
      <c r="L473" s="23"/>
      <c r="M473" s="45"/>
      <c r="N473" s="57"/>
      <c r="O473" s="47">
        <f t="shared" si="285"/>
        <v>468</v>
      </c>
      <c r="P473" s="49"/>
      <c r="Q473" s="49"/>
      <c r="R473" s="77">
        <f t="shared" si="282"/>
        <v>356.591373439274</v>
      </c>
      <c r="S473" s="77"/>
      <c r="T473" s="78">
        <f t="shared" si="283"/>
        <v>0.673382519863791</v>
      </c>
      <c r="U473" s="77"/>
      <c r="V473" s="77"/>
      <c r="W473" s="77">
        <f t="shared" si="277"/>
        <v>357.264755959137</v>
      </c>
      <c r="X473" s="79">
        <f t="shared" si="284"/>
        <v>4.62371169125993</v>
      </c>
      <c r="Y473" s="79"/>
      <c r="Z473" s="79"/>
      <c r="AA473" s="79">
        <f t="shared" si="281"/>
        <v>4.62371169125993</v>
      </c>
      <c r="AB473" s="91">
        <v>7.27</v>
      </c>
      <c r="AC473" s="77">
        <f t="shared" si="280"/>
        <v>33.6143839954597</v>
      </c>
      <c r="AD473" s="77">
        <f t="shared" si="278"/>
        <v>390.879139954597</v>
      </c>
      <c r="AE473" s="77">
        <f t="shared" si="279"/>
        <v>77.120860045403</v>
      </c>
    </row>
    <row r="474" customFormat="1" spans="1:31">
      <c r="A474" s="22"/>
      <c r="B474" s="23"/>
      <c r="C474" s="24">
        <v>241211000021</v>
      </c>
      <c r="D474" s="25">
        <v>45644</v>
      </c>
      <c r="E474" s="25" t="s">
        <v>61</v>
      </c>
      <c r="F474" s="23" t="s">
        <v>62</v>
      </c>
      <c r="G474" s="23" t="s">
        <v>92</v>
      </c>
      <c r="H474" s="23">
        <v>9</v>
      </c>
      <c r="I474" s="43">
        <v>753</v>
      </c>
      <c r="J474" s="44"/>
      <c r="K474" s="45"/>
      <c r="L474" s="23"/>
      <c r="M474" s="45"/>
      <c r="N474" s="57"/>
      <c r="O474" s="47">
        <f t="shared" si="285"/>
        <v>753</v>
      </c>
      <c r="P474" s="49"/>
      <c r="Q474" s="49"/>
      <c r="R474" s="77">
        <f t="shared" si="282"/>
        <v>534.88706015891</v>
      </c>
      <c r="S474" s="77"/>
      <c r="T474" s="78">
        <f t="shared" si="283"/>
        <v>1.01007377979569</v>
      </c>
      <c r="U474" s="77"/>
      <c r="V474" s="77"/>
      <c r="W474" s="77">
        <f t="shared" si="277"/>
        <v>535.897133938706</v>
      </c>
      <c r="X474" s="79">
        <f t="shared" si="284"/>
        <v>6.9355675368899</v>
      </c>
      <c r="Y474" s="79"/>
      <c r="Z474" s="79"/>
      <c r="AA474" s="79">
        <f t="shared" si="281"/>
        <v>6.9355675368899</v>
      </c>
      <c r="AB474" s="91">
        <v>7.27</v>
      </c>
      <c r="AC474" s="77">
        <f t="shared" si="280"/>
        <v>50.4215759931896</v>
      </c>
      <c r="AD474" s="77">
        <f t="shared" si="278"/>
        <v>586.318709931896</v>
      </c>
      <c r="AE474" s="77">
        <f t="shared" si="279"/>
        <v>166.681290068104</v>
      </c>
    </row>
    <row r="475" customFormat="1" spans="1:31">
      <c r="A475" s="22"/>
      <c r="B475" s="23"/>
      <c r="C475" s="24">
        <v>241211000022</v>
      </c>
      <c r="D475" s="25">
        <v>45644</v>
      </c>
      <c r="E475" s="25" t="s">
        <v>61</v>
      </c>
      <c r="F475" s="23" t="s">
        <v>62</v>
      </c>
      <c r="G475" s="23" t="s">
        <v>366</v>
      </c>
      <c r="H475" s="23">
        <v>3.5</v>
      </c>
      <c r="I475" s="43">
        <v>306.5</v>
      </c>
      <c r="J475" s="44"/>
      <c r="K475" s="45"/>
      <c r="L475" s="23"/>
      <c r="M475" s="45"/>
      <c r="N475" s="57"/>
      <c r="O475" s="47">
        <f t="shared" si="285"/>
        <v>306.5</v>
      </c>
      <c r="P475" s="49"/>
      <c r="Q475" s="49"/>
      <c r="R475" s="77">
        <f t="shared" si="282"/>
        <v>208.011634506243</v>
      </c>
      <c r="S475" s="77"/>
      <c r="T475" s="78">
        <f t="shared" si="283"/>
        <v>0.392806469920545</v>
      </c>
      <c r="U475" s="77"/>
      <c r="V475" s="77"/>
      <c r="W475" s="77">
        <f t="shared" si="277"/>
        <v>208.404440976163</v>
      </c>
      <c r="X475" s="79">
        <f t="shared" si="284"/>
        <v>2.69716515323496</v>
      </c>
      <c r="Y475" s="79"/>
      <c r="Z475" s="79"/>
      <c r="AA475" s="79">
        <f t="shared" si="281"/>
        <v>2.69716515323496</v>
      </c>
      <c r="AB475" s="91">
        <v>7.27</v>
      </c>
      <c r="AC475" s="77">
        <f t="shared" si="280"/>
        <v>19.6083906640182</v>
      </c>
      <c r="AD475" s="77">
        <f t="shared" si="278"/>
        <v>228.012831640182</v>
      </c>
      <c r="AE475" s="77">
        <f t="shared" si="279"/>
        <v>78.4871683598184</v>
      </c>
    </row>
    <row r="476" customFormat="1" spans="1:31">
      <c r="A476" s="22"/>
      <c r="B476" s="23"/>
      <c r="C476" s="24">
        <v>241211000023</v>
      </c>
      <c r="D476" s="25">
        <v>45644</v>
      </c>
      <c r="E476" s="25" t="s">
        <v>61</v>
      </c>
      <c r="F476" s="23" t="s">
        <v>62</v>
      </c>
      <c r="G476" s="23" t="s">
        <v>367</v>
      </c>
      <c r="H476" s="23">
        <v>4.5</v>
      </c>
      <c r="I476" s="50"/>
      <c r="J476" s="51">
        <v>77745</v>
      </c>
      <c r="K476" s="45"/>
      <c r="L476" s="52">
        <f t="shared" ref="L476:L481" si="286">SUM(J476/M476)</f>
        <v>1665.13171985436</v>
      </c>
      <c r="M476" s="53">
        <v>46.69</v>
      </c>
      <c r="N476" s="57">
        <v>7.27</v>
      </c>
      <c r="O476" s="47">
        <f t="shared" ref="O476:O481" si="287">SUM(M476*N476)</f>
        <v>339.4363</v>
      </c>
      <c r="P476" s="49"/>
      <c r="Q476" s="49"/>
      <c r="R476" s="77">
        <f t="shared" si="282"/>
        <v>267.443530079455</v>
      </c>
      <c r="S476" s="77"/>
      <c r="T476" s="78">
        <f t="shared" si="283"/>
        <v>0.505036889897843</v>
      </c>
      <c r="U476" s="77"/>
      <c r="V476" s="77"/>
      <c r="W476" s="77">
        <f t="shared" si="277"/>
        <v>267.948566969353</v>
      </c>
      <c r="X476" s="79">
        <f t="shared" si="284"/>
        <v>3.46778376844495</v>
      </c>
      <c r="Y476" s="79"/>
      <c r="Z476" s="79"/>
      <c r="AA476" s="79">
        <f t="shared" si="281"/>
        <v>3.46778376844495</v>
      </c>
      <c r="AB476" s="91">
        <v>7.27</v>
      </c>
      <c r="AC476" s="77">
        <f t="shared" si="280"/>
        <v>25.2107879965948</v>
      </c>
      <c r="AD476" s="77">
        <f t="shared" si="278"/>
        <v>293.159354965948</v>
      </c>
      <c r="AE476" s="77">
        <f t="shared" si="279"/>
        <v>46.2769450340522</v>
      </c>
    </row>
    <row r="477" customFormat="1" spans="1:31">
      <c r="A477" s="22"/>
      <c r="B477" s="23"/>
      <c r="C477" s="24">
        <v>241211000024</v>
      </c>
      <c r="D477" s="25">
        <v>45644</v>
      </c>
      <c r="E477" s="25" t="s">
        <v>61</v>
      </c>
      <c r="F477" s="23" t="s">
        <v>62</v>
      </c>
      <c r="G477" s="23" t="s">
        <v>368</v>
      </c>
      <c r="H477" s="23">
        <v>9.5</v>
      </c>
      <c r="I477" s="43">
        <v>737.5</v>
      </c>
      <c r="J477" s="44"/>
      <c r="K477" s="45"/>
      <c r="L477" s="23"/>
      <c r="M477" s="45"/>
      <c r="N477" s="57"/>
      <c r="O477" s="47">
        <f t="shared" ref="O477:O485" si="288">SUM(I477)</f>
        <v>737.5</v>
      </c>
      <c r="P477" s="49"/>
      <c r="Q477" s="49"/>
      <c r="R477" s="77">
        <f t="shared" si="282"/>
        <v>564.603007945516</v>
      </c>
      <c r="S477" s="77"/>
      <c r="T477" s="78">
        <f t="shared" si="283"/>
        <v>1.06618898978434</v>
      </c>
      <c r="U477" s="77"/>
      <c r="V477" s="77"/>
      <c r="W477" s="77">
        <f t="shared" si="277"/>
        <v>565.669196935301</v>
      </c>
      <c r="X477" s="79">
        <f t="shared" si="284"/>
        <v>7.32087684449489</v>
      </c>
      <c r="Y477" s="79"/>
      <c r="Z477" s="79"/>
      <c r="AA477" s="79">
        <f t="shared" si="281"/>
        <v>7.32087684449489</v>
      </c>
      <c r="AB477" s="91">
        <v>7.27</v>
      </c>
      <c r="AC477" s="77">
        <f t="shared" si="280"/>
        <v>53.2227746594779</v>
      </c>
      <c r="AD477" s="77">
        <f t="shared" si="278"/>
        <v>618.891971594779</v>
      </c>
      <c r="AE477" s="77">
        <f t="shared" si="279"/>
        <v>118.608028405221</v>
      </c>
    </row>
    <row r="478" customFormat="1" spans="1:31">
      <c r="A478" s="22"/>
      <c r="B478" s="23"/>
      <c r="C478" s="24">
        <v>241211000025</v>
      </c>
      <c r="D478" s="25">
        <v>45644</v>
      </c>
      <c r="E478" s="25" t="s">
        <v>44</v>
      </c>
      <c r="F478" s="23" t="s">
        <v>45</v>
      </c>
      <c r="G478" s="23" t="s">
        <v>369</v>
      </c>
      <c r="H478" s="23">
        <v>37</v>
      </c>
      <c r="I478" s="50"/>
      <c r="J478" s="51">
        <v>635475</v>
      </c>
      <c r="K478" s="45"/>
      <c r="L478" s="52">
        <f t="shared" si="286"/>
        <v>1664.85459785172</v>
      </c>
      <c r="M478" s="53">
        <v>381.7</v>
      </c>
      <c r="N478" s="57">
        <v>7.27</v>
      </c>
      <c r="O478" s="47">
        <f t="shared" si="287"/>
        <v>2774.959</v>
      </c>
      <c r="P478" s="49"/>
      <c r="Q478" s="49"/>
      <c r="R478" s="77">
        <f t="shared" si="282"/>
        <v>2198.98013620885</v>
      </c>
      <c r="S478" s="77"/>
      <c r="T478" s="78">
        <f t="shared" si="283"/>
        <v>4.15252553916005</v>
      </c>
      <c r="U478" s="77"/>
      <c r="V478" s="77"/>
      <c r="W478" s="77">
        <f t="shared" si="277"/>
        <v>2203.13266174801</v>
      </c>
      <c r="X478" s="79">
        <f t="shared" si="284"/>
        <v>28.5128887627696</v>
      </c>
      <c r="Y478" s="79"/>
      <c r="Z478" s="79"/>
      <c r="AA478" s="79">
        <f t="shared" si="281"/>
        <v>28.5128887627696</v>
      </c>
      <c r="AB478" s="91">
        <v>7.27</v>
      </c>
      <c r="AC478" s="77">
        <f t="shared" si="280"/>
        <v>207.288701305335</v>
      </c>
      <c r="AD478" s="77">
        <f t="shared" si="278"/>
        <v>2410.42136305335</v>
      </c>
      <c r="AE478" s="77">
        <f t="shared" si="279"/>
        <v>364.537636946651</v>
      </c>
    </row>
    <row r="479" customFormat="1" spans="1:31">
      <c r="A479" s="22"/>
      <c r="B479" s="23"/>
      <c r="C479" s="24">
        <v>241211000030</v>
      </c>
      <c r="D479" s="25">
        <v>45644</v>
      </c>
      <c r="E479" s="25" t="s">
        <v>61</v>
      </c>
      <c r="F479" s="23" t="s">
        <v>62</v>
      </c>
      <c r="G479" s="23" t="s">
        <v>370</v>
      </c>
      <c r="H479" s="23">
        <v>241</v>
      </c>
      <c r="I479" s="43">
        <v>18557</v>
      </c>
      <c r="J479" s="44"/>
      <c r="K479" s="45"/>
      <c r="L479" s="23"/>
      <c r="M479" s="45"/>
      <c r="N479" s="57"/>
      <c r="O479" s="47">
        <f t="shared" si="288"/>
        <v>18557</v>
      </c>
      <c r="P479" s="49"/>
      <c r="Q479" s="49"/>
      <c r="R479" s="77">
        <f t="shared" si="282"/>
        <v>14323.0868331442</v>
      </c>
      <c r="S479" s="77"/>
      <c r="T479" s="78">
        <f t="shared" si="283"/>
        <v>27.0475312145289</v>
      </c>
      <c r="U479" s="77"/>
      <c r="V479" s="77"/>
      <c r="W479" s="77">
        <f t="shared" si="277"/>
        <v>14350.1343643587</v>
      </c>
      <c r="X479" s="79">
        <f t="shared" si="284"/>
        <v>185.719086265607</v>
      </c>
      <c r="Y479" s="79"/>
      <c r="Z479" s="79"/>
      <c r="AA479" s="79">
        <f t="shared" si="281"/>
        <v>185.719086265607</v>
      </c>
      <c r="AB479" s="91">
        <v>7.27</v>
      </c>
      <c r="AC479" s="77">
        <f t="shared" si="280"/>
        <v>1350.17775715096</v>
      </c>
      <c r="AD479" s="77">
        <f t="shared" si="278"/>
        <v>15700.3121215096</v>
      </c>
      <c r="AE479" s="77">
        <f t="shared" si="279"/>
        <v>2856.68787849035</v>
      </c>
    </row>
    <row r="480" customFormat="1" spans="1:31">
      <c r="A480" s="22"/>
      <c r="B480" s="23"/>
      <c r="C480" s="24">
        <v>241211000031</v>
      </c>
      <c r="D480" s="25">
        <v>45644</v>
      </c>
      <c r="E480" s="25" t="s">
        <v>61</v>
      </c>
      <c r="F480" s="23" t="s">
        <v>62</v>
      </c>
      <c r="G480" s="23" t="s">
        <v>269</v>
      </c>
      <c r="H480" s="23">
        <v>23.5</v>
      </c>
      <c r="I480" s="50"/>
      <c r="J480" s="51">
        <v>405400</v>
      </c>
      <c r="K480" s="45"/>
      <c r="L480" s="52">
        <f t="shared" si="286"/>
        <v>1664.68196936722</v>
      </c>
      <c r="M480" s="53">
        <v>243.53</v>
      </c>
      <c r="N480" s="57">
        <v>7.27</v>
      </c>
      <c r="O480" s="47">
        <f t="shared" si="287"/>
        <v>1770.4631</v>
      </c>
      <c r="P480" s="49"/>
      <c r="Q480" s="49"/>
      <c r="R480" s="77">
        <f t="shared" si="282"/>
        <v>1396.64954597049</v>
      </c>
      <c r="S480" s="77"/>
      <c r="T480" s="78">
        <f t="shared" si="283"/>
        <v>2.63741486946652</v>
      </c>
      <c r="U480" s="77"/>
      <c r="V480" s="77"/>
      <c r="W480" s="77">
        <f t="shared" si="277"/>
        <v>1399.28696083995</v>
      </c>
      <c r="X480" s="79">
        <f t="shared" si="284"/>
        <v>18.1095374574347</v>
      </c>
      <c r="Y480" s="79"/>
      <c r="Z480" s="79"/>
      <c r="AA480" s="79">
        <f t="shared" si="281"/>
        <v>18.1095374574347</v>
      </c>
      <c r="AB480" s="91">
        <v>7.27</v>
      </c>
      <c r="AC480" s="77">
        <f t="shared" si="280"/>
        <v>131.656337315551</v>
      </c>
      <c r="AD480" s="77">
        <f t="shared" si="278"/>
        <v>1530.94329815551</v>
      </c>
      <c r="AE480" s="77">
        <f t="shared" si="279"/>
        <v>239.519801844495</v>
      </c>
    </row>
    <row r="481" customFormat="1" spans="1:31">
      <c r="A481" s="22"/>
      <c r="B481" s="23"/>
      <c r="C481" s="24">
        <v>241211000033</v>
      </c>
      <c r="D481" s="25">
        <v>45644</v>
      </c>
      <c r="E481" s="25" t="s">
        <v>44</v>
      </c>
      <c r="F481" s="23" t="s">
        <v>45</v>
      </c>
      <c r="G481" s="23" t="s">
        <v>371</v>
      </c>
      <c r="H481" s="23">
        <v>5.5</v>
      </c>
      <c r="I481" s="50"/>
      <c r="J481" s="51">
        <v>131675</v>
      </c>
      <c r="K481" s="45"/>
      <c r="L481" s="52">
        <f t="shared" si="286"/>
        <v>1664.8754583386</v>
      </c>
      <c r="M481" s="53">
        <v>79.09</v>
      </c>
      <c r="N481" s="57">
        <v>7.27</v>
      </c>
      <c r="O481" s="47">
        <f t="shared" si="287"/>
        <v>574.9843</v>
      </c>
      <c r="P481" s="49"/>
      <c r="Q481" s="49"/>
      <c r="R481" s="77">
        <f t="shared" si="282"/>
        <v>326.875425652667</v>
      </c>
      <c r="S481" s="77"/>
      <c r="T481" s="78">
        <f t="shared" si="283"/>
        <v>0.617267309875142</v>
      </c>
      <c r="U481" s="77"/>
      <c r="V481" s="77"/>
      <c r="W481" s="77">
        <f t="shared" si="277"/>
        <v>327.492692962543</v>
      </c>
      <c r="X481" s="79">
        <f t="shared" si="284"/>
        <v>4.23840238365494</v>
      </c>
      <c r="Y481" s="79"/>
      <c r="Z481" s="79"/>
      <c r="AA481" s="79">
        <f t="shared" si="281"/>
        <v>4.23840238365494</v>
      </c>
      <c r="AB481" s="91">
        <v>7.27</v>
      </c>
      <c r="AC481" s="77">
        <f t="shared" si="280"/>
        <v>30.8131853291714</v>
      </c>
      <c r="AD481" s="77">
        <f t="shared" si="278"/>
        <v>358.305878291714</v>
      </c>
      <c r="AE481" s="77">
        <f t="shared" si="279"/>
        <v>216.678421708286</v>
      </c>
    </row>
    <row r="482" customFormat="1" spans="1:31">
      <c r="A482" s="22"/>
      <c r="B482" s="23"/>
      <c r="C482" s="24">
        <v>241211000036</v>
      </c>
      <c r="D482" s="25">
        <v>45644</v>
      </c>
      <c r="E482" s="25" t="s">
        <v>61</v>
      </c>
      <c r="F482" s="23" t="s">
        <v>62</v>
      </c>
      <c r="G482" s="23" t="s">
        <v>372</v>
      </c>
      <c r="H482" s="23">
        <v>63.5</v>
      </c>
      <c r="I482" s="43">
        <v>5251.5</v>
      </c>
      <c r="J482" s="44"/>
      <c r="K482" s="45"/>
      <c r="L482" s="23"/>
      <c r="M482" s="45"/>
      <c r="N482" s="57"/>
      <c r="O482" s="47">
        <f t="shared" si="288"/>
        <v>5251.5</v>
      </c>
      <c r="P482" s="49"/>
      <c r="Q482" s="49"/>
      <c r="R482" s="77">
        <f t="shared" si="282"/>
        <v>3773.92536889898</v>
      </c>
      <c r="S482" s="77"/>
      <c r="T482" s="78">
        <f t="shared" si="283"/>
        <v>7.12663166855846</v>
      </c>
      <c r="U482" s="77"/>
      <c r="V482" s="77"/>
      <c r="W482" s="77">
        <f t="shared" si="277"/>
        <v>3781.05200056754</v>
      </c>
      <c r="X482" s="79">
        <f t="shared" si="284"/>
        <v>48.9342820658343</v>
      </c>
      <c r="Y482" s="79"/>
      <c r="Z482" s="79"/>
      <c r="AA482" s="79">
        <f t="shared" si="281"/>
        <v>48.9342820658343</v>
      </c>
      <c r="AB482" s="91">
        <v>7.27</v>
      </c>
      <c r="AC482" s="77">
        <f t="shared" si="280"/>
        <v>355.752230618615</v>
      </c>
      <c r="AD482" s="77">
        <f t="shared" si="278"/>
        <v>4136.80423118615</v>
      </c>
      <c r="AE482" s="77">
        <f t="shared" si="279"/>
        <v>1114.69576881385</v>
      </c>
    </row>
    <row r="483" customFormat="1" spans="1:31">
      <c r="A483" s="22"/>
      <c r="B483" s="23"/>
      <c r="C483" s="24">
        <v>241211000037</v>
      </c>
      <c r="D483" s="26">
        <v>45644</v>
      </c>
      <c r="E483" s="25" t="s">
        <v>133</v>
      </c>
      <c r="F483" s="23" t="s">
        <v>149</v>
      </c>
      <c r="G483" s="23" t="s">
        <v>150</v>
      </c>
      <c r="H483" s="23">
        <v>18</v>
      </c>
      <c r="I483" s="43">
        <v>1392</v>
      </c>
      <c r="J483" s="44"/>
      <c r="K483" s="45"/>
      <c r="L483" s="23"/>
      <c r="M483" s="45"/>
      <c r="N483" s="57"/>
      <c r="O483" s="47">
        <f t="shared" si="288"/>
        <v>1392</v>
      </c>
      <c r="P483" s="49"/>
      <c r="Q483" s="49"/>
      <c r="R483" s="77">
        <f t="shared" si="282"/>
        <v>1069.77412031782</v>
      </c>
      <c r="S483" s="77"/>
      <c r="T483" s="78">
        <f t="shared" si="283"/>
        <v>2.02014755959137</v>
      </c>
      <c r="U483" s="77"/>
      <c r="V483" s="77"/>
      <c r="W483" s="77">
        <f t="shared" si="277"/>
        <v>1071.79426787741</v>
      </c>
      <c r="X483" s="79">
        <f t="shared" si="284"/>
        <v>13.8711350737798</v>
      </c>
      <c r="Y483" s="79"/>
      <c r="Z483" s="79"/>
      <c r="AA483" s="79">
        <f t="shared" si="281"/>
        <v>13.8711350737798</v>
      </c>
      <c r="AB483" s="91">
        <v>7.27</v>
      </c>
      <c r="AC483" s="77">
        <f t="shared" si="280"/>
        <v>100.843151986379</v>
      </c>
      <c r="AD483" s="77">
        <f t="shared" si="278"/>
        <v>1172.63741986379</v>
      </c>
      <c r="AE483" s="77">
        <f t="shared" si="279"/>
        <v>219.362580136209</v>
      </c>
    </row>
    <row r="484" customFormat="1" spans="1:31">
      <c r="A484" s="22"/>
      <c r="B484" s="23"/>
      <c r="C484" s="24">
        <v>241211000044</v>
      </c>
      <c r="D484" s="25">
        <v>45644</v>
      </c>
      <c r="E484" s="25" t="s">
        <v>44</v>
      </c>
      <c r="F484" s="23" t="s">
        <v>45</v>
      </c>
      <c r="G484" s="23" t="s">
        <v>167</v>
      </c>
      <c r="H484" s="23">
        <v>154</v>
      </c>
      <c r="I484" s="43">
        <v>10780</v>
      </c>
      <c r="J484" s="44"/>
      <c r="K484" s="45"/>
      <c r="L484" s="23"/>
      <c r="M484" s="45"/>
      <c r="N484" s="57"/>
      <c r="O484" s="47">
        <f t="shared" si="288"/>
        <v>10780</v>
      </c>
      <c r="P484" s="49"/>
      <c r="Q484" s="49"/>
      <c r="R484" s="77">
        <f t="shared" si="282"/>
        <v>9152.51191827469</v>
      </c>
      <c r="S484" s="77"/>
      <c r="T484" s="78">
        <f t="shared" si="283"/>
        <v>17.283484676504</v>
      </c>
      <c r="U484" s="77"/>
      <c r="V484" s="77"/>
      <c r="W484" s="77">
        <f t="shared" si="277"/>
        <v>9169.79540295119</v>
      </c>
      <c r="X484" s="79">
        <f t="shared" si="284"/>
        <v>118.675266742338</v>
      </c>
      <c r="Y484" s="79"/>
      <c r="Z484" s="79"/>
      <c r="AA484" s="79">
        <f t="shared" si="281"/>
        <v>118.675266742338</v>
      </c>
      <c r="AB484" s="91">
        <v>7.27</v>
      </c>
      <c r="AC484" s="77">
        <f t="shared" si="280"/>
        <v>862.769189216799</v>
      </c>
      <c r="AD484" s="77">
        <f t="shared" si="278"/>
        <v>10032.564592168</v>
      </c>
      <c r="AE484" s="77">
        <f t="shared" si="279"/>
        <v>747.43540783201</v>
      </c>
    </row>
    <row r="485" customFormat="1" spans="1:31">
      <c r="A485" s="22"/>
      <c r="B485" s="23"/>
      <c r="C485" s="24">
        <v>241211000047</v>
      </c>
      <c r="D485" s="25">
        <v>45644</v>
      </c>
      <c r="E485" s="25" t="s">
        <v>61</v>
      </c>
      <c r="F485" s="23" t="s">
        <v>62</v>
      </c>
      <c r="G485" s="23" t="s">
        <v>92</v>
      </c>
      <c r="H485" s="23">
        <v>2</v>
      </c>
      <c r="I485" s="43">
        <v>163</v>
      </c>
      <c r="J485" s="44"/>
      <c r="K485" s="45"/>
      <c r="L485" s="23"/>
      <c r="M485" s="45"/>
      <c r="N485" s="57"/>
      <c r="O485" s="47">
        <f t="shared" si="288"/>
        <v>163</v>
      </c>
      <c r="P485" s="49"/>
      <c r="Q485" s="49"/>
      <c r="R485" s="77">
        <f t="shared" si="282"/>
        <v>118.863791146425</v>
      </c>
      <c r="S485" s="77"/>
      <c r="T485" s="78">
        <f t="shared" si="283"/>
        <v>0.224460839954597</v>
      </c>
      <c r="U485" s="77"/>
      <c r="V485" s="77"/>
      <c r="W485" s="77">
        <f t="shared" si="277"/>
        <v>119.088251986379</v>
      </c>
      <c r="X485" s="79">
        <f t="shared" si="284"/>
        <v>1.54123723041998</v>
      </c>
      <c r="Y485" s="79"/>
      <c r="Z485" s="79"/>
      <c r="AA485" s="79">
        <f t="shared" si="281"/>
        <v>1.54123723041998</v>
      </c>
      <c r="AB485" s="91">
        <v>7.27</v>
      </c>
      <c r="AC485" s="77">
        <f t="shared" si="280"/>
        <v>11.2047946651532</v>
      </c>
      <c r="AD485" s="77">
        <f t="shared" si="278"/>
        <v>130.293046651532</v>
      </c>
      <c r="AE485" s="77">
        <f t="shared" si="279"/>
        <v>32.7069533484676</v>
      </c>
    </row>
    <row r="486" customFormat="1" spans="1:31">
      <c r="A486" s="22"/>
      <c r="B486" s="23"/>
      <c r="C486" s="24">
        <v>241212000003</v>
      </c>
      <c r="D486" s="25">
        <v>45644</v>
      </c>
      <c r="E486" s="25" t="s">
        <v>37</v>
      </c>
      <c r="F486" s="23" t="s">
        <v>38</v>
      </c>
      <c r="G486" s="23" t="s">
        <v>127</v>
      </c>
      <c r="H486" s="23">
        <v>3</v>
      </c>
      <c r="I486" s="47"/>
      <c r="J486" s="51">
        <v>55687.5</v>
      </c>
      <c r="K486" s="45"/>
      <c r="L486" s="52">
        <f>SUM(J486/M486)</f>
        <v>1650</v>
      </c>
      <c r="M486" s="53">
        <v>33.75</v>
      </c>
      <c r="N486" s="57">
        <v>7.27</v>
      </c>
      <c r="O486" s="47">
        <f t="shared" ref="O486:O489" si="289">SUM(M486*N486)</f>
        <v>245.3625</v>
      </c>
      <c r="P486" s="49"/>
      <c r="Q486" s="49"/>
      <c r="R486" s="77">
        <f t="shared" si="282"/>
        <v>178.295686719637</v>
      </c>
      <c r="S486" s="77"/>
      <c r="T486" s="78">
        <f t="shared" si="283"/>
        <v>0.336691259931896</v>
      </c>
      <c r="U486" s="77"/>
      <c r="V486" s="77"/>
      <c r="W486" s="77">
        <f t="shared" si="277"/>
        <v>178.632377979569</v>
      </c>
      <c r="X486" s="79">
        <f t="shared" si="284"/>
        <v>2.31185584562997</v>
      </c>
      <c r="Y486" s="79"/>
      <c r="Z486" s="79"/>
      <c r="AA486" s="79">
        <f t="shared" si="281"/>
        <v>2.31185584562997</v>
      </c>
      <c r="AB486" s="91">
        <v>7.27</v>
      </c>
      <c r="AC486" s="77">
        <f t="shared" si="280"/>
        <v>16.8071919977299</v>
      </c>
      <c r="AD486" s="77">
        <f t="shared" si="278"/>
        <v>195.439569977299</v>
      </c>
      <c r="AE486" s="77">
        <f t="shared" si="279"/>
        <v>49.9229300227015</v>
      </c>
    </row>
    <row r="487" customFormat="1" spans="1:31">
      <c r="A487" s="22"/>
      <c r="B487" s="23"/>
      <c r="C487" s="24">
        <v>241212000005</v>
      </c>
      <c r="D487" s="26">
        <v>45644</v>
      </c>
      <c r="E487" s="25" t="s">
        <v>70</v>
      </c>
      <c r="F487" s="23" t="s">
        <v>70</v>
      </c>
      <c r="G487" s="23" t="s">
        <v>334</v>
      </c>
      <c r="H487" s="23">
        <v>6</v>
      </c>
      <c r="I487" s="47"/>
      <c r="J487" s="51">
        <v>107299</v>
      </c>
      <c r="K487" s="45"/>
      <c r="L487" s="52">
        <f>SUM(J487/M487)</f>
        <v>1649.99231124097</v>
      </c>
      <c r="M487" s="53">
        <v>65.03</v>
      </c>
      <c r="N487" s="57">
        <v>7.27</v>
      </c>
      <c r="O487" s="47">
        <f t="shared" si="289"/>
        <v>472.7681</v>
      </c>
      <c r="P487" s="49"/>
      <c r="Q487" s="49"/>
      <c r="R487" s="77">
        <f t="shared" si="282"/>
        <v>356.591373439274</v>
      </c>
      <c r="S487" s="77"/>
      <c r="T487" s="78">
        <f t="shared" si="283"/>
        <v>0.673382519863791</v>
      </c>
      <c r="U487" s="77"/>
      <c r="V487" s="77"/>
      <c r="W487" s="77">
        <f t="shared" si="277"/>
        <v>357.264755959137</v>
      </c>
      <c r="X487" s="79">
        <f t="shared" si="284"/>
        <v>4.62371169125993</v>
      </c>
      <c r="Y487" s="79"/>
      <c r="Z487" s="79"/>
      <c r="AA487" s="79">
        <f t="shared" si="281"/>
        <v>4.62371169125993</v>
      </c>
      <c r="AB487" s="91">
        <v>7.27</v>
      </c>
      <c r="AC487" s="77">
        <f t="shared" si="280"/>
        <v>33.6143839954597</v>
      </c>
      <c r="AD487" s="77">
        <f t="shared" si="278"/>
        <v>390.879139954597</v>
      </c>
      <c r="AE487" s="77">
        <f t="shared" si="279"/>
        <v>81.888960045403</v>
      </c>
    </row>
    <row r="488" customFormat="1" spans="1:31">
      <c r="A488" s="22"/>
      <c r="B488" s="23"/>
      <c r="C488" s="92">
        <v>241212000014</v>
      </c>
      <c r="D488" s="94">
        <v>45644</v>
      </c>
      <c r="E488" s="25" t="s">
        <v>37</v>
      </c>
      <c r="F488" s="95" t="s">
        <v>38</v>
      </c>
      <c r="G488" s="95" t="s">
        <v>373</v>
      </c>
      <c r="H488" s="95">
        <v>2</v>
      </c>
      <c r="I488" s="43">
        <v>163</v>
      </c>
      <c r="J488" s="44"/>
      <c r="K488" s="45"/>
      <c r="L488" s="23"/>
      <c r="M488" s="45"/>
      <c r="N488" s="57"/>
      <c r="O488" s="47">
        <f t="shared" ref="O488:O493" si="290">SUM(I488)</f>
        <v>163</v>
      </c>
      <c r="P488" s="49"/>
      <c r="Q488" s="49"/>
      <c r="R488" s="77">
        <f t="shared" si="282"/>
        <v>118.863791146425</v>
      </c>
      <c r="S488" s="77"/>
      <c r="T488" s="78">
        <f t="shared" si="283"/>
        <v>0.224460839954597</v>
      </c>
      <c r="U488" s="77"/>
      <c r="V488" s="77"/>
      <c r="W488" s="77">
        <f t="shared" si="277"/>
        <v>119.088251986379</v>
      </c>
      <c r="X488" s="79">
        <f t="shared" si="284"/>
        <v>1.54123723041998</v>
      </c>
      <c r="Y488" s="79"/>
      <c r="Z488" s="79"/>
      <c r="AA488" s="79">
        <f t="shared" si="281"/>
        <v>1.54123723041998</v>
      </c>
      <c r="AB488" s="91">
        <v>7.27</v>
      </c>
      <c r="AC488" s="77">
        <f t="shared" si="280"/>
        <v>11.2047946651532</v>
      </c>
      <c r="AD488" s="77">
        <f t="shared" si="278"/>
        <v>130.293046651532</v>
      </c>
      <c r="AE488" s="77">
        <f t="shared" si="279"/>
        <v>32.7069533484676</v>
      </c>
    </row>
    <row r="489" customFormat="1" spans="1:31">
      <c r="A489" s="22"/>
      <c r="B489" s="23"/>
      <c r="C489" s="24">
        <v>241212000027</v>
      </c>
      <c r="D489" s="26">
        <v>45644</v>
      </c>
      <c r="E489" s="25" t="s">
        <v>54</v>
      </c>
      <c r="F489" s="23">
        <v>13635229849</v>
      </c>
      <c r="G489" s="23" t="s">
        <v>374</v>
      </c>
      <c r="H489" s="23">
        <v>3.5</v>
      </c>
      <c r="I489" s="47"/>
      <c r="J489" s="51">
        <v>70224</v>
      </c>
      <c r="K489" s="45"/>
      <c r="L489" s="52">
        <f>SUM(J489/M489)</f>
        <v>1650</v>
      </c>
      <c r="M489" s="53">
        <v>42.56</v>
      </c>
      <c r="N489" s="57">
        <v>7.27</v>
      </c>
      <c r="O489" s="47">
        <f t="shared" si="289"/>
        <v>309.4112</v>
      </c>
      <c r="P489" s="49"/>
      <c r="Q489" s="49"/>
      <c r="R489" s="77">
        <f t="shared" si="282"/>
        <v>208.011634506243</v>
      </c>
      <c r="S489" s="77"/>
      <c r="T489" s="78">
        <f t="shared" si="283"/>
        <v>0.392806469920545</v>
      </c>
      <c r="U489" s="77"/>
      <c r="V489" s="77"/>
      <c r="W489" s="77">
        <f t="shared" si="277"/>
        <v>208.404440976163</v>
      </c>
      <c r="X489" s="79">
        <f t="shared" si="284"/>
        <v>2.69716515323496</v>
      </c>
      <c r="Y489" s="79"/>
      <c r="Z489" s="79"/>
      <c r="AA489" s="79">
        <f t="shared" si="281"/>
        <v>2.69716515323496</v>
      </c>
      <c r="AB489" s="91">
        <v>7.27</v>
      </c>
      <c r="AC489" s="77">
        <f t="shared" si="280"/>
        <v>19.6083906640182</v>
      </c>
      <c r="AD489" s="77">
        <f t="shared" si="278"/>
        <v>228.012831640182</v>
      </c>
      <c r="AE489" s="77">
        <f t="shared" si="279"/>
        <v>81.3983683598184</v>
      </c>
    </row>
    <row r="490" customFormat="1" spans="1:31">
      <c r="A490" s="22"/>
      <c r="B490" s="23"/>
      <c r="C490" s="24">
        <v>241213000001</v>
      </c>
      <c r="D490" s="25">
        <v>45644</v>
      </c>
      <c r="E490" s="25" t="s">
        <v>37</v>
      </c>
      <c r="F490" s="23" t="s">
        <v>38</v>
      </c>
      <c r="G490" s="23" t="s">
        <v>375</v>
      </c>
      <c r="H490" s="23">
        <v>134.5</v>
      </c>
      <c r="I490" s="43">
        <v>10356.5</v>
      </c>
      <c r="J490" s="44"/>
      <c r="K490" s="45"/>
      <c r="L490" s="23"/>
      <c r="M490" s="45"/>
      <c r="N490" s="57"/>
      <c r="O490" s="47">
        <f t="shared" si="290"/>
        <v>10356.5</v>
      </c>
      <c r="P490" s="49"/>
      <c r="Q490" s="49"/>
      <c r="R490" s="77">
        <f t="shared" si="282"/>
        <v>7993.58995459705</v>
      </c>
      <c r="S490" s="77"/>
      <c r="T490" s="78">
        <f t="shared" si="283"/>
        <v>15.0949914869467</v>
      </c>
      <c r="U490" s="77"/>
      <c r="V490" s="77"/>
      <c r="W490" s="77">
        <f t="shared" si="277"/>
        <v>8008.684946084</v>
      </c>
      <c r="X490" s="79">
        <f t="shared" si="284"/>
        <v>103.648203745743</v>
      </c>
      <c r="Y490" s="79"/>
      <c r="Z490" s="79"/>
      <c r="AA490" s="79">
        <f t="shared" si="281"/>
        <v>103.648203745743</v>
      </c>
      <c r="AB490" s="91">
        <v>7.27</v>
      </c>
      <c r="AC490" s="77">
        <f t="shared" si="280"/>
        <v>753.522441231555</v>
      </c>
      <c r="AD490" s="77">
        <f t="shared" si="278"/>
        <v>8762.20738731555</v>
      </c>
      <c r="AE490" s="77">
        <f t="shared" si="279"/>
        <v>1594.29261268445</v>
      </c>
    </row>
    <row r="491" customFormat="1" spans="1:31">
      <c r="A491" s="22"/>
      <c r="B491" s="23"/>
      <c r="C491" s="24">
        <v>241213000012</v>
      </c>
      <c r="D491" s="25">
        <v>45644</v>
      </c>
      <c r="E491" s="25" t="s">
        <v>44</v>
      </c>
      <c r="F491" s="23" t="s">
        <v>45</v>
      </c>
      <c r="G491" s="23" t="s">
        <v>178</v>
      </c>
      <c r="H491" s="23">
        <v>2.5</v>
      </c>
      <c r="I491" s="43">
        <v>200</v>
      </c>
      <c r="J491" s="44"/>
      <c r="K491" s="45"/>
      <c r="L491" s="23"/>
      <c r="M491" s="45"/>
      <c r="N491" s="57"/>
      <c r="O491" s="47">
        <f t="shared" si="290"/>
        <v>200</v>
      </c>
      <c r="P491" s="49"/>
      <c r="Q491" s="49"/>
      <c r="R491" s="77">
        <f t="shared" si="282"/>
        <v>148.579738933031</v>
      </c>
      <c r="S491" s="77"/>
      <c r="T491" s="78">
        <f t="shared" si="283"/>
        <v>0.280576049943246</v>
      </c>
      <c r="U491" s="77"/>
      <c r="V491" s="77"/>
      <c r="W491" s="77">
        <f t="shared" si="277"/>
        <v>148.860314982974</v>
      </c>
      <c r="X491" s="79">
        <f t="shared" si="284"/>
        <v>1.92654653802497</v>
      </c>
      <c r="Y491" s="79"/>
      <c r="Z491" s="79"/>
      <c r="AA491" s="79">
        <f t="shared" si="281"/>
        <v>1.92654653802497</v>
      </c>
      <c r="AB491" s="91">
        <v>7.27</v>
      </c>
      <c r="AC491" s="77">
        <f t="shared" si="280"/>
        <v>14.0059933314415</v>
      </c>
      <c r="AD491" s="77">
        <f t="shared" si="278"/>
        <v>162.866308314415</v>
      </c>
      <c r="AE491" s="77">
        <f t="shared" si="279"/>
        <v>37.1336916855846</v>
      </c>
    </row>
    <row r="492" customFormat="1" spans="1:31">
      <c r="A492" s="22"/>
      <c r="B492" s="23"/>
      <c r="C492" s="24">
        <v>241213000013</v>
      </c>
      <c r="D492" s="25">
        <v>45644</v>
      </c>
      <c r="E492" s="25" t="s">
        <v>44</v>
      </c>
      <c r="F492" s="23" t="s">
        <v>45</v>
      </c>
      <c r="G492" s="23" t="s">
        <v>64</v>
      </c>
      <c r="H492" s="23">
        <v>6</v>
      </c>
      <c r="I492" s="43">
        <v>420</v>
      </c>
      <c r="J492" s="44"/>
      <c r="K492" s="45"/>
      <c r="L492" s="23"/>
      <c r="M492" s="45"/>
      <c r="N492" s="57"/>
      <c r="O492" s="47">
        <f t="shared" si="290"/>
        <v>420</v>
      </c>
      <c r="P492" s="49"/>
      <c r="Q492" s="49"/>
      <c r="R492" s="77">
        <f t="shared" si="282"/>
        <v>356.591373439274</v>
      </c>
      <c r="S492" s="77"/>
      <c r="T492" s="78">
        <f t="shared" si="283"/>
        <v>0.673382519863791</v>
      </c>
      <c r="U492" s="77"/>
      <c r="V492" s="77"/>
      <c r="W492" s="77">
        <f t="shared" si="277"/>
        <v>357.264755959137</v>
      </c>
      <c r="X492" s="79">
        <f t="shared" si="284"/>
        <v>4.62371169125993</v>
      </c>
      <c r="Y492" s="79"/>
      <c r="Z492" s="79"/>
      <c r="AA492" s="79">
        <f t="shared" si="281"/>
        <v>4.62371169125993</v>
      </c>
      <c r="AB492" s="91">
        <v>7.27</v>
      </c>
      <c r="AC492" s="77">
        <f t="shared" si="280"/>
        <v>33.6143839954597</v>
      </c>
      <c r="AD492" s="77">
        <f t="shared" si="278"/>
        <v>390.879139954597</v>
      </c>
      <c r="AE492" s="77">
        <f t="shared" si="279"/>
        <v>29.120860045403</v>
      </c>
    </row>
    <row r="493" customFormat="1" spans="1:31">
      <c r="A493" s="22"/>
      <c r="B493" s="23"/>
      <c r="C493" s="24">
        <v>241213000021</v>
      </c>
      <c r="D493" s="25">
        <v>45644</v>
      </c>
      <c r="E493" s="25" t="s">
        <v>44</v>
      </c>
      <c r="F493" s="23" t="s">
        <v>45</v>
      </c>
      <c r="G493" s="23" t="s">
        <v>356</v>
      </c>
      <c r="H493" s="23">
        <v>9.5</v>
      </c>
      <c r="I493" s="43">
        <v>737.5</v>
      </c>
      <c r="J493" s="44"/>
      <c r="K493" s="45"/>
      <c r="L493" s="23"/>
      <c r="M493" s="45"/>
      <c r="N493" s="57"/>
      <c r="O493" s="47">
        <f t="shared" si="290"/>
        <v>737.5</v>
      </c>
      <c r="P493" s="49"/>
      <c r="Q493" s="49"/>
      <c r="R493" s="77">
        <f t="shared" si="282"/>
        <v>564.603007945516</v>
      </c>
      <c r="S493" s="77"/>
      <c r="T493" s="78">
        <f t="shared" si="283"/>
        <v>1.06618898978434</v>
      </c>
      <c r="U493" s="77"/>
      <c r="V493" s="77"/>
      <c r="W493" s="77">
        <f t="shared" si="277"/>
        <v>565.669196935301</v>
      </c>
      <c r="X493" s="79">
        <f t="shared" si="284"/>
        <v>7.32087684449489</v>
      </c>
      <c r="Y493" s="79"/>
      <c r="Z493" s="79"/>
      <c r="AA493" s="79">
        <f t="shared" si="281"/>
        <v>7.32087684449489</v>
      </c>
      <c r="AB493" s="91">
        <v>7.27</v>
      </c>
      <c r="AC493" s="77">
        <f t="shared" si="280"/>
        <v>53.2227746594779</v>
      </c>
      <c r="AD493" s="77">
        <f t="shared" si="278"/>
        <v>618.891971594779</v>
      </c>
      <c r="AE493" s="77">
        <f t="shared" si="279"/>
        <v>118.608028405221</v>
      </c>
    </row>
    <row r="494" customFormat="1" spans="1:31">
      <c r="A494" s="22"/>
      <c r="B494" s="23"/>
      <c r="C494" s="24">
        <v>241213000022</v>
      </c>
      <c r="D494" s="25">
        <v>45644</v>
      </c>
      <c r="E494" s="25" t="s">
        <v>44</v>
      </c>
      <c r="F494" s="23" t="s">
        <v>45</v>
      </c>
      <c r="G494" s="23" t="s">
        <v>170</v>
      </c>
      <c r="H494" s="23">
        <v>5.5</v>
      </c>
      <c r="I494" s="96"/>
      <c r="J494" s="51">
        <v>86612.5</v>
      </c>
      <c r="K494" s="45"/>
      <c r="L494" s="52">
        <f t="shared" ref="L494:L500" si="291">SUM(J494/M494)</f>
        <v>1490.49217002237</v>
      </c>
      <c r="M494" s="53">
        <v>58.11</v>
      </c>
      <c r="N494" s="57">
        <v>7.27</v>
      </c>
      <c r="O494" s="47">
        <f t="shared" ref="O494:O500" si="292">SUM(M494*N494)</f>
        <v>422.4597</v>
      </c>
      <c r="P494" s="49"/>
      <c r="Q494" s="49"/>
      <c r="R494" s="77">
        <f t="shared" si="282"/>
        <v>326.875425652667</v>
      </c>
      <c r="S494" s="77"/>
      <c r="T494" s="78">
        <f t="shared" si="283"/>
        <v>0.617267309875142</v>
      </c>
      <c r="U494" s="77"/>
      <c r="V494" s="77"/>
      <c r="W494" s="77">
        <f t="shared" si="277"/>
        <v>327.492692962543</v>
      </c>
      <c r="X494" s="79">
        <f t="shared" si="284"/>
        <v>4.23840238365494</v>
      </c>
      <c r="Y494" s="79"/>
      <c r="Z494" s="79"/>
      <c r="AA494" s="79">
        <f t="shared" si="281"/>
        <v>4.23840238365494</v>
      </c>
      <c r="AB494" s="91">
        <v>7.27</v>
      </c>
      <c r="AC494" s="77">
        <f t="shared" si="280"/>
        <v>30.8131853291714</v>
      </c>
      <c r="AD494" s="77">
        <f t="shared" si="278"/>
        <v>358.305878291714</v>
      </c>
      <c r="AE494" s="77">
        <f t="shared" si="279"/>
        <v>64.153821708286</v>
      </c>
    </row>
    <row r="495" customFormat="1" spans="1:31">
      <c r="A495" s="22"/>
      <c r="B495" s="23"/>
      <c r="C495" s="24">
        <v>241213000023</v>
      </c>
      <c r="D495" s="25">
        <v>45644</v>
      </c>
      <c r="E495" s="25" t="s">
        <v>44</v>
      </c>
      <c r="F495" s="23" t="s">
        <v>45</v>
      </c>
      <c r="G495" s="23" t="s">
        <v>159</v>
      </c>
      <c r="H495" s="23">
        <v>7.5</v>
      </c>
      <c r="I495" s="50"/>
      <c r="J495" s="51">
        <v>138975</v>
      </c>
      <c r="K495" s="45"/>
      <c r="L495" s="52">
        <f t="shared" si="291"/>
        <v>1585.02509124088</v>
      </c>
      <c r="M495" s="53">
        <v>87.68</v>
      </c>
      <c r="N495" s="57">
        <v>7.27</v>
      </c>
      <c r="O495" s="47">
        <f t="shared" si="292"/>
        <v>637.4336</v>
      </c>
      <c r="P495" s="49"/>
      <c r="Q495" s="49"/>
      <c r="R495" s="77">
        <f t="shared" si="282"/>
        <v>445.739216799092</v>
      </c>
      <c r="S495" s="77"/>
      <c r="T495" s="78">
        <f t="shared" si="283"/>
        <v>0.841728149829739</v>
      </c>
      <c r="U495" s="77"/>
      <c r="V495" s="77"/>
      <c r="W495" s="77">
        <f t="shared" ref="W495:W515" si="293">SUM(R495:V495)</f>
        <v>446.580944948922</v>
      </c>
      <c r="X495" s="79">
        <f t="shared" si="284"/>
        <v>5.77963961407491</v>
      </c>
      <c r="Y495" s="79"/>
      <c r="Z495" s="79"/>
      <c r="AA495" s="79">
        <f t="shared" si="281"/>
        <v>5.77963961407491</v>
      </c>
      <c r="AB495" s="91">
        <v>7.27</v>
      </c>
      <c r="AC495" s="77">
        <f t="shared" si="280"/>
        <v>42.0179799943246</v>
      </c>
      <c r="AD495" s="77">
        <f t="shared" ref="AD495:AD515" si="294">SUM(W495+AC495)</f>
        <v>488.598924943246</v>
      </c>
      <c r="AE495" s="77">
        <f t="shared" ref="AE495:AE514" si="295">SUM(O495-AD495)</f>
        <v>148.834675056754</v>
      </c>
    </row>
    <row r="496" customFormat="1" spans="1:31">
      <c r="A496" s="22"/>
      <c r="B496" s="23"/>
      <c r="C496" s="24">
        <v>241213000025</v>
      </c>
      <c r="D496" s="25">
        <v>45644</v>
      </c>
      <c r="E496" s="25" t="s">
        <v>44</v>
      </c>
      <c r="F496" s="23" t="s">
        <v>45</v>
      </c>
      <c r="G496" s="23" t="s">
        <v>376</v>
      </c>
      <c r="H496" s="23">
        <v>3.5</v>
      </c>
      <c r="I496" s="43">
        <v>273</v>
      </c>
      <c r="J496" s="44"/>
      <c r="K496" s="45"/>
      <c r="L496" s="23"/>
      <c r="M496" s="45"/>
      <c r="N496" s="57"/>
      <c r="O496" s="47">
        <f t="shared" ref="O496:O498" si="296">SUM(I496)</f>
        <v>273</v>
      </c>
      <c r="P496" s="49"/>
      <c r="Q496" s="49"/>
      <c r="R496" s="77">
        <f t="shared" si="282"/>
        <v>208.011634506243</v>
      </c>
      <c r="S496" s="77"/>
      <c r="T496" s="78">
        <f t="shared" si="283"/>
        <v>0.392806469920545</v>
      </c>
      <c r="U496" s="77"/>
      <c r="V496" s="77"/>
      <c r="W496" s="77">
        <f t="shared" si="293"/>
        <v>208.404440976163</v>
      </c>
      <c r="X496" s="79">
        <f t="shared" si="284"/>
        <v>2.69716515323496</v>
      </c>
      <c r="Y496" s="79"/>
      <c r="Z496" s="79"/>
      <c r="AA496" s="79">
        <f t="shared" si="281"/>
        <v>2.69716515323496</v>
      </c>
      <c r="AB496" s="91">
        <v>7.27</v>
      </c>
      <c r="AC496" s="77">
        <f t="shared" ref="AC496:AC515" si="297">SUM(AA496*AB496)</f>
        <v>19.6083906640182</v>
      </c>
      <c r="AD496" s="77">
        <f t="shared" si="294"/>
        <v>228.012831640182</v>
      </c>
      <c r="AE496" s="77">
        <f t="shared" si="295"/>
        <v>44.9871683598184</v>
      </c>
    </row>
    <row r="497" customFormat="1" spans="1:31">
      <c r="A497" s="22"/>
      <c r="B497" s="23"/>
      <c r="C497" s="24">
        <v>241213000028</v>
      </c>
      <c r="D497" s="25">
        <v>45644</v>
      </c>
      <c r="E497" s="25" t="s">
        <v>54</v>
      </c>
      <c r="F497" s="23" t="s">
        <v>55</v>
      </c>
      <c r="G497" s="23" t="s">
        <v>104</v>
      </c>
      <c r="H497" s="23">
        <v>41.5</v>
      </c>
      <c r="I497" s="43">
        <v>3120.5</v>
      </c>
      <c r="J497" s="44"/>
      <c r="K497" s="45"/>
      <c r="L497" s="23"/>
      <c r="M497" s="45"/>
      <c r="N497" s="57"/>
      <c r="O497" s="47">
        <f t="shared" si="296"/>
        <v>3120.5</v>
      </c>
      <c r="P497" s="49"/>
      <c r="Q497" s="49"/>
      <c r="R497" s="77">
        <f t="shared" si="282"/>
        <v>2466.42366628831</v>
      </c>
      <c r="S497" s="77"/>
      <c r="T497" s="78">
        <f t="shared" si="283"/>
        <v>4.65756242905789</v>
      </c>
      <c r="U497" s="77"/>
      <c r="V497" s="77"/>
      <c r="W497" s="77">
        <f t="shared" si="293"/>
        <v>2471.08122871737</v>
      </c>
      <c r="X497" s="79">
        <f t="shared" si="284"/>
        <v>31.9806725312145</v>
      </c>
      <c r="Y497" s="79"/>
      <c r="Z497" s="79"/>
      <c r="AA497" s="79">
        <f t="shared" si="281"/>
        <v>31.9806725312145</v>
      </c>
      <c r="AB497" s="91">
        <v>7.27</v>
      </c>
      <c r="AC497" s="77">
        <f t="shared" si="297"/>
        <v>232.49948930193</v>
      </c>
      <c r="AD497" s="77">
        <f t="shared" si="294"/>
        <v>2703.5807180193</v>
      </c>
      <c r="AE497" s="77">
        <f t="shared" si="295"/>
        <v>416.919281980704</v>
      </c>
    </row>
    <row r="498" customFormat="1" spans="1:31">
      <c r="A498" s="22"/>
      <c r="B498" s="23"/>
      <c r="C498" s="24">
        <v>241213000030</v>
      </c>
      <c r="D498" s="25">
        <v>45644</v>
      </c>
      <c r="E498" s="25" t="s">
        <v>44</v>
      </c>
      <c r="F498" s="23" t="s">
        <v>45</v>
      </c>
      <c r="G498" s="23" t="s">
        <v>160</v>
      </c>
      <c r="H498" s="23">
        <v>3</v>
      </c>
      <c r="I498" s="96">
        <v>281</v>
      </c>
      <c r="J498" s="44"/>
      <c r="K498" s="45"/>
      <c r="L498" s="23"/>
      <c r="M498" s="45"/>
      <c r="N498" s="57"/>
      <c r="O498" s="47">
        <f t="shared" si="296"/>
        <v>281</v>
      </c>
      <c r="P498" s="49"/>
      <c r="Q498" s="49"/>
      <c r="R498" s="77">
        <f t="shared" si="282"/>
        <v>178.295686719637</v>
      </c>
      <c r="S498" s="77"/>
      <c r="T498" s="78">
        <f t="shared" si="283"/>
        <v>0.336691259931896</v>
      </c>
      <c r="U498" s="78">
        <v>56</v>
      </c>
      <c r="V498" s="77"/>
      <c r="W498" s="77">
        <f t="shared" si="293"/>
        <v>234.632377979569</v>
      </c>
      <c r="X498" s="79">
        <f t="shared" si="284"/>
        <v>2.31185584562997</v>
      </c>
      <c r="Y498" s="79"/>
      <c r="Z498" s="79"/>
      <c r="AA498" s="79">
        <f t="shared" si="281"/>
        <v>2.31185584562997</v>
      </c>
      <c r="AB498" s="91">
        <v>7.27</v>
      </c>
      <c r="AC498" s="77">
        <f t="shared" si="297"/>
        <v>16.8071919977299</v>
      </c>
      <c r="AD498" s="77">
        <f t="shared" si="294"/>
        <v>251.439569977299</v>
      </c>
      <c r="AE498" s="77">
        <f t="shared" si="295"/>
        <v>29.5604300227015</v>
      </c>
    </row>
    <row r="499" customFormat="1" spans="1:31">
      <c r="A499" s="22"/>
      <c r="B499" s="23"/>
      <c r="C499" s="24">
        <v>241213000031</v>
      </c>
      <c r="D499" s="25">
        <v>45644</v>
      </c>
      <c r="E499" s="25" t="s">
        <v>44</v>
      </c>
      <c r="F499" s="23" t="s">
        <v>45</v>
      </c>
      <c r="G499" s="23" t="s">
        <v>163</v>
      </c>
      <c r="H499" s="23">
        <v>52</v>
      </c>
      <c r="I499" s="50"/>
      <c r="J499" s="51">
        <v>952640</v>
      </c>
      <c r="K499" s="45"/>
      <c r="L499" s="52">
        <f t="shared" si="291"/>
        <v>1664.84332675067</v>
      </c>
      <c r="M499" s="53">
        <v>572.21</v>
      </c>
      <c r="N499" s="57">
        <v>7.27</v>
      </c>
      <c r="O499" s="47">
        <f t="shared" si="292"/>
        <v>4159.9667</v>
      </c>
      <c r="P499" s="49"/>
      <c r="Q499" s="49"/>
      <c r="R499" s="77">
        <f t="shared" si="282"/>
        <v>3090.45856980704</v>
      </c>
      <c r="S499" s="77"/>
      <c r="T499" s="78">
        <f t="shared" si="283"/>
        <v>5.83598183881952</v>
      </c>
      <c r="U499" s="77"/>
      <c r="V499" s="77"/>
      <c r="W499" s="77">
        <f t="shared" si="293"/>
        <v>3096.29455164586</v>
      </c>
      <c r="X499" s="79">
        <f t="shared" si="284"/>
        <v>40.0721679909194</v>
      </c>
      <c r="Y499" s="79"/>
      <c r="Z499" s="79"/>
      <c r="AA499" s="79">
        <f t="shared" si="281"/>
        <v>40.0721679909194</v>
      </c>
      <c r="AB499" s="91">
        <v>7.27</v>
      </c>
      <c r="AC499" s="77">
        <f t="shared" si="297"/>
        <v>291.324661293984</v>
      </c>
      <c r="AD499" s="77">
        <f t="shared" si="294"/>
        <v>3387.61921293984</v>
      </c>
      <c r="AE499" s="77">
        <f t="shared" si="295"/>
        <v>772.347487060159</v>
      </c>
    </row>
    <row r="500" customFormat="1" spans="1:31">
      <c r="A500" s="22"/>
      <c r="B500" s="23"/>
      <c r="C500" s="24">
        <v>241213000044</v>
      </c>
      <c r="D500" s="25">
        <v>45644</v>
      </c>
      <c r="E500" s="25" t="s">
        <v>44</v>
      </c>
      <c r="F500" s="23" t="s">
        <v>45</v>
      </c>
      <c r="G500" s="23" t="s">
        <v>130</v>
      </c>
      <c r="H500" s="23">
        <v>87.5</v>
      </c>
      <c r="I500" s="96"/>
      <c r="J500" s="51">
        <v>1676530</v>
      </c>
      <c r="K500" s="45"/>
      <c r="L500" s="52">
        <f t="shared" si="291"/>
        <v>1697.54561471011</v>
      </c>
      <c r="M500" s="53">
        <v>987.62</v>
      </c>
      <c r="N500" s="57">
        <v>7.27</v>
      </c>
      <c r="O500" s="47">
        <f t="shared" si="292"/>
        <v>7179.9974</v>
      </c>
      <c r="P500" s="49"/>
      <c r="Q500" s="49"/>
      <c r="R500" s="77">
        <f t="shared" si="282"/>
        <v>5200.29086265607</v>
      </c>
      <c r="S500" s="77"/>
      <c r="T500" s="78">
        <f t="shared" si="283"/>
        <v>9.82016174801362</v>
      </c>
      <c r="U500" s="78">
        <v>180</v>
      </c>
      <c r="V500" s="77"/>
      <c r="W500" s="77">
        <f t="shared" si="293"/>
        <v>5390.11102440409</v>
      </c>
      <c r="X500" s="79">
        <f t="shared" si="284"/>
        <v>67.429128830874</v>
      </c>
      <c r="Y500" s="79"/>
      <c r="Z500" s="79"/>
      <c r="AA500" s="79">
        <f t="shared" si="281"/>
        <v>67.429128830874</v>
      </c>
      <c r="AB500" s="91">
        <v>7.27</v>
      </c>
      <c r="AC500" s="77">
        <f t="shared" si="297"/>
        <v>490.209766600454</v>
      </c>
      <c r="AD500" s="77">
        <f t="shared" si="294"/>
        <v>5880.32079100454</v>
      </c>
      <c r="AE500" s="77">
        <f t="shared" si="295"/>
        <v>1299.67660899546</v>
      </c>
    </row>
    <row r="501" customFormat="1" spans="1:31">
      <c r="A501" s="22"/>
      <c r="B501" s="23"/>
      <c r="C501" s="24">
        <v>241213000047</v>
      </c>
      <c r="D501" s="26">
        <v>45644</v>
      </c>
      <c r="E501" s="25" t="s">
        <v>70</v>
      </c>
      <c r="F501" s="23" t="s">
        <v>70</v>
      </c>
      <c r="G501" s="23" t="s">
        <v>377</v>
      </c>
      <c r="H501" s="23">
        <v>0.54</v>
      </c>
      <c r="I501" s="43">
        <v>83</v>
      </c>
      <c r="J501" s="44"/>
      <c r="K501" s="45"/>
      <c r="L501" s="23"/>
      <c r="M501" s="45"/>
      <c r="N501" s="57"/>
      <c r="O501" s="47">
        <f t="shared" ref="O501:O503" si="298">SUM(I501)</f>
        <v>83</v>
      </c>
      <c r="P501" s="49"/>
      <c r="Q501" s="49"/>
      <c r="R501" s="77">
        <f t="shared" si="282"/>
        <v>32.0932236095346</v>
      </c>
      <c r="S501" s="77"/>
      <c r="T501" s="78">
        <f t="shared" si="283"/>
        <v>0.0606044267877412</v>
      </c>
      <c r="U501" s="77"/>
      <c r="V501" s="77"/>
      <c r="W501" s="77">
        <f t="shared" si="293"/>
        <v>32.1538280363224</v>
      </c>
      <c r="X501" s="79">
        <f t="shared" si="284"/>
        <v>0.416134052213394</v>
      </c>
      <c r="Y501" s="79"/>
      <c r="Z501" s="79"/>
      <c r="AA501" s="79">
        <f t="shared" si="281"/>
        <v>0.416134052213394</v>
      </c>
      <c r="AB501" s="91">
        <v>7.27</v>
      </c>
      <c r="AC501" s="77">
        <f t="shared" si="297"/>
        <v>3.02529455959137</v>
      </c>
      <c r="AD501" s="77">
        <f t="shared" si="294"/>
        <v>35.1791225959137</v>
      </c>
      <c r="AE501" s="77">
        <f t="shared" si="295"/>
        <v>47.8208774040863</v>
      </c>
    </row>
    <row r="502" customFormat="1" spans="1:31">
      <c r="A502" s="22"/>
      <c r="B502" s="23"/>
      <c r="C502" s="24">
        <v>241213000048</v>
      </c>
      <c r="D502" s="25">
        <v>45644</v>
      </c>
      <c r="E502" s="25" t="s">
        <v>54</v>
      </c>
      <c r="F502" s="23" t="s">
        <v>55</v>
      </c>
      <c r="G502" s="23" t="s">
        <v>378</v>
      </c>
      <c r="H502" s="23">
        <v>41.5</v>
      </c>
      <c r="I502" s="43">
        <v>3154</v>
      </c>
      <c r="J502" s="44"/>
      <c r="K502" s="45"/>
      <c r="L502" s="23"/>
      <c r="M502" s="45"/>
      <c r="N502" s="57"/>
      <c r="O502" s="47">
        <f t="shared" si="298"/>
        <v>3154</v>
      </c>
      <c r="P502" s="49"/>
      <c r="Q502" s="49"/>
      <c r="R502" s="77">
        <f t="shared" si="282"/>
        <v>2466.42366628831</v>
      </c>
      <c r="S502" s="77"/>
      <c r="T502" s="78">
        <f t="shared" si="283"/>
        <v>4.65756242905789</v>
      </c>
      <c r="U502" s="77"/>
      <c r="V502" s="77"/>
      <c r="W502" s="77">
        <f t="shared" si="293"/>
        <v>2471.08122871737</v>
      </c>
      <c r="X502" s="79">
        <f t="shared" si="284"/>
        <v>31.9806725312145</v>
      </c>
      <c r="Y502" s="79"/>
      <c r="Z502" s="79"/>
      <c r="AA502" s="79">
        <f t="shared" si="281"/>
        <v>31.9806725312145</v>
      </c>
      <c r="AB502" s="91">
        <v>7.27</v>
      </c>
      <c r="AC502" s="77">
        <f t="shared" si="297"/>
        <v>232.49948930193</v>
      </c>
      <c r="AD502" s="77">
        <f t="shared" si="294"/>
        <v>2703.5807180193</v>
      </c>
      <c r="AE502" s="77">
        <f t="shared" si="295"/>
        <v>450.419281980704</v>
      </c>
    </row>
    <row r="503" customFormat="1" spans="1:31">
      <c r="A503" s="22"/>
      <c r="B503" s="23"/>
      <c r="C503" s="24">
        <v>241213000051</v>
      </c>
      <c r="D503" s="25">
        <v>45644</v>
      </c>
      <c r="E503" s="25" t="s">
        <v>44</v>
      </c>
      <c r="F503" s="23" t="s">
        <v>45</v>
      </c>
      <c r="G503" s="23" t="s">
        <v>379</v>
      </c>
      <c r="H503" s="23">
        <v>16</v>
      </c>
      <c r="I503" s="43">
        <v>1280</v>
      </c>
      <c r="J503" s="44"/>
      <c r="K503" s="45"/>
      <c r="L503" s="23"/>
      <c r="M503" s="45"/>
      <c r="N503" s="57"/>
      <c r="O503" s="47">
        <f t="shared" si="298"/>
        <v>1280</v>
      </c>
      <c r="P503" s="49"/>
      <c r="Q503" s="49"/>
      <c r="R503" s="77">
        <f t="shared" si="282"/>
        <v>950.910329171396</v>
      </c>
      <c r="S503" s="77"/>
      <c r="T503" s="78">
        <f t="shared" si="283"/>
        <v>1.79568671963678</v>
      </c>
      <c r="U503" s="77"/>
      <c r="V503" s="77"/>
      <c r="W503" s="77">
        <f t="shared" si="293"/>
        <v>952.706015891033</v>
      </c>
      <c r="X503" s="79">
        <f t="shared" si="284"/>
        <v>12.3298978433598</v>
      </c>
      <c r="Y503" s="79"/>
      <c r="Z503" s="79"/>
      <c r="AA503" s="79">
        <f t="shared" si="281"/>
        <v>12.3298978433598</v>
      </c>
      <c r="AB503" s="91">
        <v>7.27</v>
      </c>
      <c r="AC503" s="77">
        <f t="shared" si="297"/>
        <v>89.6383573212259</v>
      </c>
      <c r="AD503" s="77">
        <f t="shared" si="294"/>
        <v>1042.34437321226</v>
      </c>
      <c r="AE503" s="77">
        <f t="shared" si="295"/>
        <v>237.655626787741</v>
      </c>
    </row>
    <row r="504" customFormat="1" spans="1:31">
      <c r="A504" s="22"/>
      <c r="B504" s="23"/>
      <c r="C504" s="24">
        <v>241213000057</v>
      </c>
      <c r="D504" s="25">
        <v>45644</v>
      </c>
      <c r="E504" s="25" t="s">
        <v>37</v>
      </c>
      <c r="F504" s="23" t="s">
        <v>38</v>
      </c>
      <c r="G504" s="23" t="s">
        <v>127</v>
      </c>
      <c r="H504" s="23">
        <v>163</v>
      </c>
      <c r="I504" s="47"/>
      <c r="J504" s="51">
        <v>2883488</v>
      </c>
      <c r="K504" s="45"/>
      <c r="L504" s="52">
        <f>SUM(J504/M504)</f>
        <v>1651.1701682958</v>
      </c>
      <c r="M504" s="53">
        <v>1746.33</v>
      </c>
      <c r="N504" s="57">
        <v>7.27</v>
      </c>
      <c r="O504" s="47">
        <f t="shared" ref="O504:O510" si="299">SUM(M504*N504)</f>
        <v>12695.8191</v>
      </c>
      <c r="P504" s="49"/>
      <c r="Q504" s="49"/>
      <c r="R504" s="77">
        <f t="shared" si="282"/>
        <v>9687.3989784336</v>
      </c>
      <c r="S504" s="77"/>
      <c r="T504" s="78">
        <f t="shared" si="283"/>
        <v>18.2935584562997</v>
      </c>
      <c r="U504" s="77"/>
      <c r="V504" s="77"/>
      <c r="W504" s="77">
        <f t="shared" si="293"/>
        <v>9705.6925368899</v>
      </c>
      <c r="X504" s="79">
        <f t="shared" si="284"/>
        <v>125.610834279228</v>
      </c>
      <c r="Y504" s="79"/>
      <c r="Z504" s="79"/>
      <c r="AA504" s="79">
        <f t="shared" si="281"/>
        <v>125.610834279228</v>
      </c>
      <c r="AB504" s="91">
        <v>7.27</v>
      </c>
      <c r="AC504" s="77">
        <f t="shared" si="297"/>
        <v>913.190765209989</v>
      </c>
      <c r="AD504" s="77">
        <f t="shared" si="294"/>
        <v>10618.8833020999</v>
      </c>
      <c r="AE504" s="77">
        <f t="shared" si="295"/>
        <v>2076.93579790011</v>
      </c>
    </row>
    <row r="505" customFormat="1" spans="1:31">
      <c r="A505" s="22"/>
      <c r="B505" s="23"/>
      <c r="C505" s="24">
        <v>241213000064</v>
      </c>
      <c r="D505" s="25">
        <v>45644</v>
      </c>
      <c r="E505" s="25" t="s">
        <v>37</v>
      </c>
      <c r="F505" s="23" t="s">
        <v>38</v>
      </c>
      <c r="G505" s="23" t="s">
        <v>127</v>
      </c>
      <c r="H505" s="23">
        <v>0.35</v>
      </c>
      <c r="I505" s="47"/>
      <c r="J505" s="51">
        <v>19024.5</v>
      </c>
      <c r="K505" s="45"/>
      <c r="L505" s="52">
        <f>SUM(J505/M505)</f>
        <v>1650</v>
      </c>
      <c r="M505" s="53">
        <v>11.53</v>
      </c>
      <c r="N505" s="57">
        <v>7.27</v>
      </c>
      <c r="O505" s="47">
        <f t="shared" si="299"/>
        <v>83.8231</v>
      </c>
      <c r="P505" s="49"/>
      <c r="Q505" s="49"/>
      <c r="R505" s="77">
        <f t="shared" si="282"/>
        <v>20.8011634506243</v>
      </c>
      <c r="S505" s="77"/>
      <c r="T505" s="78">
        <f t="shared" si="283"/>
        <v>0.0392806469920545</v>
      </c>
      <c r="U505" s="77"/>
      <c r="V505" s="77"/>
      <c r="W505" s="77">
        <f t="shared" si="293"/>
        <v>20.8404440976163</v>
      </c>
      <c r="X505" s="79">
        <f t="shared" si="284"/>
        <v>0.269716515323496</v>
      </c>
      <c r="Y505" s="79"/>
      <c r="Z505" s="79"/>
      <c r="AA505" s="79">
        <f t="shared" si="281"/>
        <v>0.269716515323496</v>
      </c>
      <c r="AB505" s="91">
        <v>7.27</v>
      </c>
      <c r="AC505" s="77">
        <f t="shared" si="297"/>
        <v>1.96083906640182</v>
      </c>
      <c r="AD505" s="77">
        <f t="shared" si="294"/>
        <v>22.8012831640182</v>
      </c>
      <c r="AE505" s="77">
        <f t="shared" si="295"/>
        <v>61.0218168359818</v>
      </c>
    </row>
    <row r="506" customFormat="1" spans="1:31">
      <c r="A506" s="22"/>
      <c r="B506" s="23"/>
      <c r="C506" s="24">
        <v>241214000009</v>
      </c>
      <c r="D506" s="25">
        <v>45644</v>
      </c>
      <c r="E506" s="25" t="s">
        <v>44</v>
      </c>
      <c r="F506" s="23" t="s">
        <v>45</v>
      </c>
      <c r="G506" s="23" t="s">
        <v>380</v>
      </c>
      <c r="H506" s="23">
        <v>11</v>
      </c>
      <c r="I506" s="43">
        <v>919</v>
      </c>
      <c r="J506" s="44"/>
      <c r="K506" s="45"/>
      <c r="L506" s="23"/>
      <c r="M506" s="45"/>
      <c r="N506" s="57"/>
      <c r="O506" s="47">
        <f t="shared" ref="O506:O508" si="300">SUM(I506)</f>
        <v>919</v>
      </c>
      <c r="P506" s="49"/>
      <c r="Q506" s="49"/>
      <c r="R506" s="77">
        <f t="shared" si="282"/>
        <v>653.750851305335</v>
      </c>
      <c r="S506" s="77"/>
      <c r="T506" s="78">
        <f t="shared" si="283"/>
        <v>1.23453461975028</v>
      </c>
      <c r="U506" s="77"/>
      <c r="V506" s="77"/>
      <c r="W506" s="77">
        <f t="shared" si="293"/>
        <v>654.985385925085</v>
      </c>
      <c r="X506" s="79">
        <f t="shared" si="284"/>
        <v>8.47680476730988</v>
      </c>
      <c r="Y506" s="79"/>
      <c r="Z506" s="79"/>
      <c r="AA506" s="79">
        <f t="shared" si="281"/>
        <v>8.47680476730988</v>
      </c>
      <c r="AB506" s="91">
        <v>7.27</v>
      </c>
      <c r="AC506" s="77">
        <f t="shared" si="297"/>
        <v>61.6263706583428</v>
      </c>
      <c r="AD506" s="77">
        <f t="shared" si="294"/>
        <v>716.611756583428</v>
      </c>
      <c r="AE506" s="77">
        <f t="shared" si="295"/>
        <v>202.388243416572</v>
      </c>
    </row>
    <row r="507" customFormat="1" spans="1:31">
      <c r="A507" s="22"/>
      <c r="B507" s="23"/>
      <c r="C507" s="24">
        <v>241214000010</v>
      </c>
      <c r="D507" s="25">
        <v>45644</v>
      </c>
      <c r="E507" s="25" t="s">
        <v>54</v>
      </c>
      <c r="F507" s="23" t="s">
        <v>55</v>
      </c>
      <c r="G507" s="23" t="s">
        <v>381</v>
      </c>
      <c r="H507" s="23">
        <v>60</v>
      </c>
      <c r="I507" s="43">
        <v>4200</v>
      </c>
      <c r="J507" s="44"/>
      <c r="K507" s="45"/>
      <c r="L507" s="23"/>
      <c r="M507" s="45"/>
      <c r="N507" s="57"/>
      <c r="O507" s="47">
        <f t="shared" si="300"/>
        <v>4200</v>
      </c>
      <c r="P507" s="49"/>
      <c r="Q507" s="49"/>
      <c r="R507" s="77">
        <f t="shared" si="282"/>
        <v>3565.91373439274</v>
      </c>
      <c r="S507" s="77"/>
      <c r="T507" s="78">
        <f t="shared" si="283"/>
        <v>6.73382519863791</v>
      </c>
      <c r="U507" s="77"/>
      <c r="V507" s="77"/>
      <c r="W507" s="77">
        <f t="shared" si="293"/>
        <v>3572.64755959137</v>
      </c>
      <c r="X507" s="79">
        <f t="shared" si="284"/>
        <v>46.2371169125993</v>
      </c>
      <c r="Y507" s="79"/>
      <c r="Z507" s="79"/>
      <c r="AA507" s="79">
        <f t="shared" si="281"/>
        <v>46.2371169125993</v>
      </c>
      <c r="AB507" s="91">
        <v>7.27</v>
      </c>
      <c r="AC507" s="77">
        <f t="shared" si="297"/>
        <v>336.143839954597</v>
      </c>
      <c r="AD507" s="77">
        <f t="shared" si="294"/>
        <v>3908.79139954597</v>
      </c>
      <c r="AE507" s="77">
        <f t="shared" si="295"/>
        <v>291.20860045403</v>
      </c>
    </row>
    <row r="508" customFormat="1" spans="1:31">
      <c r="A508" s="22"/>
      <c r="B508" s="23"/>
      <c r="C508" s="24">
        <v>241214000011</v>
      </c>
      <c r="D508" s="25">
        <v>45644</v>
      </c>
      <c r="E508" s="25" t="s">
        <v>44</v>
      </c>
      <c r="F508" s="23" t="s">
        <v>45</v>
      </c>
      <c r="G508" s="23" t="s">
        <v>382</v>
      </c>
      <c r="H508" s="23">
        <v>20.5</v>
      </c>
      <c r="I508" s="43">
        <v>1960</v>
      </c>
      <c r="J508" s="44"/>
      <c r="K508" s="45"/>
      <c r="L508" s="23"/>
      <c r="M508" s="45"/>
      <c r="N508" s="57"/>
      <c r="O508" s="47">
        <f t="shared" si="300"/>
        <v>1960</v>
      </c>
      <c r="P508" s="49"/>
      <c r="Q508" s="49"/>
      <c r="R508" s="77">
        <f t="shared" si="282"/>
        <v>1218.35385925085</v>
      </c>
      <c r="S508" s="77"/>
      <c r="T508" s="78">
        <f t="shared" si="283"/>
        <v>2.30072360953462</v>
      </c>
      <c r="U508" s="77"/>
      <c r="V508" s="77"/>
      <c r="W508" s="77">
        <f t="shared" si="293"/>
        <v>1220.65458286039</v>
      </c>
      <c r="X508" s="79">
        <f t="shared" si="284"/>
        <v>15.7976816118048</v>
      </c>
      <c r="Y508" s="79"/>
      <c r="Z508" s="79"/>
      <c r="AA508" s="79">
        <f t="shared" si="281"/>
        <v>15.7976816118048</v>
      </c>
      <c r="AB508" s="91">
        <v>7.27</v>
      </c>
      <c r="AC508" s="77">
        <f t="shared" si="297"/>
        <v>114.849145317821</v>
      </c>
      <c r="AD508" s="77">
        <f t="shared" si="294"/>
        <v>1335.50372817821</v>
      </c>
      <c r="AE508" s="77">
        <f t="shared" si="295"/>
        <v>624.496271821794</v>
      </c>
    </row>
    <row r="509" customFormat="1" spans="1:31">
      <c r="A509" s="22"/>
      <c r="B509" s="23"/>
      <c r="C509" s="24">
        <v>241214000015</v>
      </c>
      <c r="D509" s="25">
        <v>45644</v>
      </c>
      <c r="E509" s="25" t="s">
        <v>44</v>
      </c>
      <c r="F509" s="23" t="s">
        <v>45</v>
      </c>
      <c r="G509" s="23" t="s">
        <v>130</v>
      </c>
      <c r="H509" s="23">
        <v>43</v>
      </c>
      <c r="I509" s="96"/>
      <c r="J509" s="51">
        <v>753037.5</v>
      </c>
      <c r="K509" s="45"/>
      <c r="L509" s="52">
        <f>SUM(J509/M509)</f>
        <v>1697.55973850316</v>
      </c>
      <c r="M509" s="53">
        <v>443.6</v>
      </c>
      <c r="N509" s="57">
        <v>7.27</v>
      </c>
      <c r="O509" s="47">
        <f t="shared" si="299"/>
        <v>3224.972</v>
      </c>
      <c r="P509" s="49"/>
      <c r="Q509" s="49"/>
      <c r="R509" s="77">
        <f t="shared" si="282"/>
        <v>2555.57150964813</v>
      </c>
      <c r="S509" s="77"/>
      <c r="T509" s="78">
        <f t="shared" si="283"/>
        <v>4.82590805902384</v>
      </c>
      <c r="U509" s="77"/>
      <c r="V509" s="77"/>
      <c r="W509" s="77">
        <f t="shared" si="293"/>
        <v>2560.39741770715</v>
      </c>
      <c r="X509" s="79">
        <f t="shared" si="284"/>
        <v>33.1366004540295</v>
      </c>
      <c r="Y509" s="79"/>
      <c r="Z509" s="79"/>
      <c r="AA509" s="79">
        <f t="shared" si="281"/>
        <v>33.1366004540295</v>
      </c>
      <c r="AB509" s="91">
        <v>7.27</v>
      </c>
      <c r="AC509" s="77">
        <f t="shared" si="297"/>
        <v>240.903085300795</v>
      </c>
      <c r="AD509" s="77">
        <f t="shared" si="294"/>
        <v>2801.30050300795</v>
      </c>
      <c r="AE509" s="77">
        <f t="shared" si="295"/>
        <v>423.671496992055</v>
      </c>
    </row>
    <row r="510" customFormat="1" spans="1:31">
      <c r="A510" s="22"/>
      <c r="B510" s="23"/>
      <c r="C510" s="24">
        <v>241214000016</v>
      </c>
      <c r="D510" s="25">
        <v>45644</v>
      </c>
      <c r="E510" s="25" t="s">
        <v>44</v>
      </c>
      <c r="F510" s="23" t="s">
        <v>45</v>
      </c>
      <c r="G510" s="23" t="s">
        <v>130</v>
      </c>
      <c r="H510" s="23">
        <v>43.5</v>
      </c>
      <c r="I510" s="96"/>
      <c r="J510" s="51">
        <v>761793.75</v>
      </c>
      <c r="K510" s="45"/>
      <c r="L510" s="52">
        <f>SUM(J510/M510)</f>
        <v>1697.55270077547</v>
      </c>
      <c r="M510" s="53">
        <v>448.76</v>
      </c>
      <c r="N510" s="57">
        <v>7.27</v>
      </c>
      <c r="O510" s="47">
        <f t="shared" si="299"/>
        <v>3262.4852</v>
      </c>
      <c r="P510" s="49"/>
      <c r="Q510" s="49"/>
      <c r="R510" s="77">
        <f t="shared" si="282"/>
        <v>2585.28745743473</v>
      </c>
      <c r="S510" s="77"/>
      <c r="T510" s="78">
        <f t="shared" si="283"/>
        <v>4.88202326901249</v>
      </c>
      <c r="U510" s="77"/>
      <c r="V510" s="77"/>
      <c r="W510" s="77">
        <f t="shared" si="293"/>
        <v>2590.16948070375</v>
      </c>
      <c r="X510" s="79">
        <f t="shared" si="284"/>
        <v>33.5219097616345</v>
      </c>
      <c r="Y510" s="79"/>
      <c r="Z510" s="79"/>
      <c r="AA510" s="79">
        <f t="shared" si="281"/>
        <v>33.5219097616345</v>
      </c>
      <c r="AB510" s="91">
        <v>7.27</v>
      </c>
      <c r="AC510" s="77">
        <f t="shared" si="297"/>
        <v>243.704283967083</v>
      </c>
      <c r="AD510" s="77">
        <f t="shared" si="294"/>
        <v>2833.87376467083</v>
      </c>
      <c r="AE510" s="77">
        <f t="shared" si="295"/>
        <v>428.611435329171</v>
      </c>
    </row>
    <row r="511" customFormat="1" spans="1:31">
      <c r="A511" s="22"/>
      <c r="B511" s="23"/>
      <c r="C511" s="24">
        <v>241214000020</v>
      </c>
      <c r="D511" s="25">
        <v>45644</v>
      </c>
      <c r="E511" s="25" t="s">
        <v>44</v>
      </c>
      <c r="F511" s="23" t="s">
        <v>45</v>
      </c>
      <c r="G511" s="23" t="s">
        <v>299</v>
      </c>
      <c r="H511" s="23">
        <v>7</v>
      </c>
      <c r="I511" s="43">
        <v>525</v>
      </c>
      <c r="J511" s="44"/>
      <c r="K511" s="45"/>
      <c r="L511" s="23"/>
      <c r="M511" s="45"/>
      <c r="N511" s="57"/>
      <c r="O511" s="47">
        <f t="shared" ref="O511:O518" si="301">SUM(I511)</f>
        <v>525</v>
      </c>
      <c r="P511" s="49"/>
      <c r="Q511" s="49"/>
      <c r="R511" s="77">
        <f t="shared" si="282"/>
        <v>416.023269012486</v>
      </c>
      <c r="S511" s="77"/>
      <c r="T511" s="78">
        <f t="shared" si="283"/>
        <v>0.78561293984109</v>
      </c>
      <c r="U511" s="77"/>
      <c r="V511" s="77"/>
      <c r="W511" s="77">
        <f t="shared" si="293"/>
        <v>416.808881952327</v>
      </c>
      <c r="X511" s="79">
        <f t="shared" si="284"/>
        <v>5.39433030646992</v>
      </c>
      <c r="Y511" s="79"/>
      <c r="Z511" s="79"/>
      <c r="AA511" s="79">
        <f t="shared" si="281"/>
        <v>5.39433030646992</v>
      </c>
      <c r="AB511" s="91">
        <v>7.27</v>
      </c>
      <c r="AC511" s="77">
        <f t="shared" si="297"/>
        <v>39.2167813280363</v>
      </c>
      <c r="AD511" s="77">
        <f t="shared" si="294"/>
        <v>456.025663280363</v>
      </c>
      <c r="AE511" s="77">
        <f t="shared" si="295"/>
        <v>68.9743367196368</v>
      </c>
    </row>
    <row r="512" customFormat="1" spans="1:31">
      <c r="A512" s="22"/>
      <c r="B512" s="23"/>
      <c r="C512" s="24">
        <v>241214000025</v>
      </c>
      <c r="D512" s="26">
        <v>45644</v>
      </c>
      <c r="E512" s="25" t="s">
        <v>70</v>
      </c>
      <c r="F512" s="23" t="s">
        <v>70</v>
      </c>
      <c r="G512" s="23" t="s">
        <v>169</v>
      </c>
      <c r="H512" s="23">
        <v>181.5</v>
      </c>
      <c r="I512" s="43">
        <v>13805</v>
      </c>
      <c r="J512" s="44"/>
      <c r="K512" s="45"/>
      <c r="L512" s="23"/>
      <c r="M512" s="45"/>
      <c r="N512" s="57"/>
      <c r="O512" s="47">
        <f t="shared" si="301"/>
        <v>13805</v>
      </c>
      <c r="P512" s="55"/>
      <c r="Q512" s="55"/>
      <c r="R512" s="77">
        <f t="shared" si="282"/>
        <v>10786.889046538</v>
      </c>
      <c r="S512" s="77"/>
      <c r="T512" s="78">
        <f t="shared" si="283"/>
        <v>20.3698212258797</v>
      </c>
      <c r="U512" s="77"/>
      <c r="V512" s="77"/>
      <c r="W512" s="77">
        <f t="shared" si="293"/>
        <v>10807.2588677639</v>
      </c>
      <c r="X512" s="79">
        <f t="shared" si="284"/>
        <v>139.867278660613</v>
      </c>
      <c r="Y512" s="79"/>
      <c r="Z512" s="79"/>
      <c r="AA512" s="79">
        <f t="shared" si="281"/>
        <v>139.867278660613</v>
      </c>
      <c r="AB512" s="91">
        <v>7.27</v>
      </c>
      <c r="AC512" s="77">
        <f t="shared" si="297"/>
        <v>1016.83511586266</v>
      </c>
      <c r="AD512" s="77">
        <f t="shared" si="294"/>
        <v>11824.0939836266</v>
      </c>
      <c r="AE512" s="77">
        <f t="shared" si="295"/>
        <v>1980.90601637344</v>
      </c>
    </row>
    <row r="513" customFormat="1" spans="1:31">
      <c r="A513" s="22" t="s">
        <v>383</v>
      </c>
      <c r="B513" s="23" t="s">
        <v>384</v>
      </c>
      <c r="C513" s="24">
        <v>241214000037</v>
      </c>
      <c r="D513" s="26">
        <v>45646</v>
      </c>
      <c r="E513" s="25" t="s">
        <v>70</v>
      </c>
      <c r="F513" s="23" t="s">
        <v>109</v>
      </c>
      <c r="G513" s="23" t="s">
        <v>110</v>
      </c>
      <c r="H513" s="23">
        <v>10</v>
      </c>
      <c r="I513" s="43">
        <v>1300</v>
      </c>
      <c r="J513" s="44"/>
      <c r="K513" s="45"/>
      <c r="L513" s="23"/>
      <c r="M513" s="45"/>
      <c r="N513" s="57"/>
      <c r="O513" s="47">
        <f t="shared" si="301"/>
        <v>1300</v>
      </c>
      <c r="P513" s="48">
        <f>SUM(O513:O516)</f>
        <v>3312.5</v>
      </c>
      <c r="Q513" s="48" t="s">
        <v>40</v>
      </c>
      <c r="R513" s="77">
        <f>SUM(2600/32)*H513</f>
        <v>812.5</v>
      </c>
      <c r="S513" s="77"/>
      <c r="T513" s="77">
        <v>0</v>
      </c>
      <c r="U513" s="77"/>
      <c r="V513" s="77"/>
      <c r="W513" s="77">
        <f t="shared" si="293"/>
        <v>812.5</v>
      </c>
      <c r="X513" s="79">
        <f>SUM(46.46/32)*H513</f>
        <v>14.51875</v>
      </c>
      <c r="Y513" s="79"/>
      <c r="Z513" s="79"/>
      <c r="AA513" s="79">
        <f t="shared" si="281"/>
        <v>14.51875</v>
      </c>
      <c r="AB513" s="91">
        <v>7.27</v>
      </c>
      <c r="AC513" s="77">
        <f t="shared" si="297"/>
        <v>105.5513125</v>
      </c>
      <c r="AD513" s="77">
        <f t="shared" si="294"/>
        <v>918.0513125</v>
      </c>
      <c r="AE513" s="77">
        <f t="shared" si="295"/>
        <v>381.9486875</v>
      </c>
    </row>
    <row r="514" customFormat="1" spans="1:31">
      <c r="A514" s="22"/>
      <c r="B514" s="23"/>
      <c r="C514" s="24">
        <v>241216000021</v>
      </c>
      <c r="D514" s="25">
        <v>45646</v>
      </c>
      <c r="E514" s="25" t="s">
        <v>44</v>
      </c>
      <c r="F514" s="23" t="s">
        <v>45</v>
      </c>
      <c r="G514" s="23" t="s">
        <v>385</v>
      </c>
      <c r="H514" s="23">
        <v>4</v>
      </c>
      <c r="I514" s="43">
        <v>500</v>
      </c>
      <c r="J514" s="44"/>
      <c r="K514" s="45"/>
      <c r="L514" s="23"/>
      <c r="M514" s="45"/>
      <c r="N514" s="57"/>
      <c r="O514" s="47">
        <f t="shared" si="301"/>
        <v>500</v>
      </c>
      <c r="P514" s="49"/>
      <c r="Q514" s="49"/>
      <c r="R514" s="77">
        <f>SUM(2600/32)*H514</f>
        <v>325</v>
      </c>
      <c r="S514" s="77"/>
      <c r="T514" s="77">
        <v>0</v>
      </c>
      <c r="U514" s="77"/>
      <c r="V514" s="77"/>
      <c r="W514" s="77">
        <f t="shared" si="293"/>
        <v>325</v>
      </c>
      <c r="X514" s="79">
        <f>SUM(46.46/32)*H514</f>
        <v>5.8075</v>
      </c>
      <c r="Y514" s="79"/>
      <c r="Z514" s="79"/>
      <c r="AA514" s="79">
        <f t="shared" si="281"/>
        <v>5.8075</v>
      </c>
      <c r="AB514" s="91">
        <v>7.27</v>
      </c>
      <c r="AC514" s="77">
        <f t="shared" si="297"/>
        <v>42.220525</v>
      </c>
      <c r="AD514" s="77">
        <f t="shared" si="294"/>
        <v>367.220525</v>
      </c>
      <c r="AE514" s="77">
        <f t="shared" si="295"/>
        <v>132.779475</v>
      </c>
    </row>
    <row r="515" customFormat="1" spans="1:31">
      <c r="A515" s="22"/>
      <c r="B515" s="23"/>
      <c r="C515" s="24">
        <v>241217000023</v>
      </c>
      <c r="D515" s="25">
        <v>45646</v>
      </c>
      <c r="E515" s="25" t="s">
        <v>44</v>
      </c>
      <c r="F515" s="23" t="s">
        <v>45</v>
      </c>
      <c r="G515" s="23" t="s">
        <v>307</v>
      </c>
      <c r="H515" s="23">
        <v>0.70933336</v>
      </c>
      <c r="I515" s="43">
        <v>75</v>
      </c>
      <c r="J515" s="51"/>
      <c r="K515" s="45"/>
      <c r="L515" s="52"/>
      <c r="M515" s="45"/>
      <c r="N515" s="57"/>
      <c r="O515" s="47">
        <f t="shared" si="301"/>
        <v>75</v>
      </c>
      <c r="P515" s="49"/>
      <c r="Q515" s="49"/>
      <c r="R515" s="77">
        <f>SUM(2600/32)*H515</f>
        <v>57.6333355</v>
      </c>
      <c r="S515" s="77"/>
      <c r="T515" s="77">
        <v>0</v>
      </c>
      <c r="U515" s="77"/>
      <c r="V515" s="77"/>
      <c r="W515" s="77">
        <f t="shared" si="293"/>
        <v>57.6333355</v>
      </c>
      <c r="X515" s="79">
        <f>SUM(46.46/32)*H515</f>
        <v>1.02986337205</v>
      </c>
      <c r="Y515" s="79"/>
      <c r="Z515" s="79"/>
      <c r="AA515" s="79">
        <f t="shared" si="281"/>
        <v>1.02986337205</v>
      </c>
      <c r="AB515" s="91">
        <v>7.27</v>
      </c>
      <c r="AC515" s="77">
        <f t="shared" si="297"/>
        <v>7.4871067148035</v>
      </c>
      <c r="AD515" s="77">
        <f t="shared" si="294"/>
        <v>65.1204422148035</v>
      </c>
      <c r="AE515" s="77">
        <f t="shared" ref="AE515:AE538" si="302">SUM(O515-AD515)</f>
        <v>9.8795577851965</v>
      </c>
    </row>
    <row r="516" customFormat="1" spans="1:31">
      <c r="A516" s="22"/>
      <c r="B516" s="23"/>
      <c r="C516" s="24">
        <v>241217000051</v>
      </c>
      <c r="D516" s="26">
        <v>45646</v>
      </c>
      <c r="E516" s="25" t="s">
        <v>70</v>
      </c>
      <c r="F516" s="23" t="s">
        <v>70</v>
      </c>
      <c r="G516" s="23" t="s">
        <v>156</v>
      </c>
      <c r="H516" s="23">
        <v>11.5</v>
      </c>
      <c r="I516" s="43">
        <v>1437.5</v>
      </c>
      <c r="J516" s="44"/>
      <c r="K516" s="45"/>
      <c r="L516" s="23"/>
      <c r="M516" s="45"/>
      <c r="N516" s="57"/>
      <c r="O516" s="47">
        <f t="shared" si="301"/>
        <v>1437.5</v>
      </c>
      <c r="P516" s="55"/>
      <c r="Q516" s="55"/>
      <c r="R516" s="77">
        <f>SUM(2600/32)*H516</f>
        <v>934.375</v>
      </c>
      <c r="S516" s="77"/>
      <c r="T516" s="77">
        <v>0</v>
      </c>
      <c r="U516" s="77"/>
      <c r="V516" s="77"/>
      <c r="W516" s="77">
        <f t="shared" ref="W516:W538" si="303">SUM(R516:V516)</f>
        <v>934.375</v>
      </c>
      <c r="X516" s="79">
        <f>SUM(46.46/32)*H516</f>
        <v>16.6965625</v>
      </c>
      <c r="Y516" s="79"/>
      <c r="Z516" s="79"/>
      <c r="AA516" s="79">
        <f t="shared" ref="AA516:AA538" si="304">SUM(X516:Z516)</f>
        <v>16.6965625</v>
      </c>
      <c r="AB516" s="91">
        <v>7.27</v>
      </c>
      <c r="AC516" s="77">
        <f t="shared" ref="AC516:AC538" si="305">SUM(AA516*AB516)</f>
        <v>121.384009375</v>
      </c>
      <c r="AD516" s="77">
        <f t="shared" ref="AD516:AD538" si="306">SUM(W516+AC516)</f>
        <v>1055.759009375</v>
      </c>
      <c r="AE516" s="77">
        <f t="shared" si="302"/>
        <v>381.740990625</v>
      </c>
    </row>
    <row r="517" customFormat="1" spans="1:31">
      <c r="A517" s="22" t="s">
        <v>386</v>
      </c>
      <c r="B517" s="23" t="s">
        <v>387</v>
      </c>
      <c r="C517" s="24">
        <v>241213000017</v>
      </c>
      <c r="D517" s="25">
        <v>45647</v>
      </c>
      <c r="E517" s="25" t="s">
        <v>44</v>
      </c>
      <c r="F517" s="23" t="s">
        <v>45</v>
      </c>
      <c r="G517" s="23" t="s">
        <v>46</v>
      </c>
      <c r="H517" s="23">
        <v>1.5</v>
      </c>
      <c r="I517" s="43">
        <v>300</v>
      </c>
      <c r="J517" s="44"/>
      <c r="K517" s="45"/>
      <c r="L517" s="23"/>
      <c r="M517" s="45"/>
      <c r="N517" s="57"/>
      <c r="O517" s="47">
        <f t="shared" si="301"/>
        <v>300</v>
      </c>
      <c r="P517" s="48">
        <f>SUM(O517:O538)</f>
        <v>15434.1824</v>
      </c>
      <c r="Q517" s="48" t="s">
        <v>40</v>
      </c>
      <c r="R517" s="77">
        <f>SUM(7800/96)*H517</f>
        <v>121.875</v>
      </c>
      <c r="S517" s="77"/>
      <c r="T517" s="78">
        <f>SUM(223.92/96)*H517</f>
        <v>3.49875</v>
      </c>
      <c r="U517" s="77"/>
      <c r="V517" s="77"/>
      <c r="W517" s="77">
        <f t="shared" si="303"/>
        <v>125.37375</v>
      </c>
      <c r="X517" s="79">
        <f>SUM(178.51/96)*H517</f>
        <v>2.78921875</v>
      </c>
      <c r="Y517" s="79"/>
      <c r="Z517" s="79"/>
      <c r="AA517" s="79">
        <f t="shared" si="304"/>
        <v>2.78921875</v>
      </c>
      <c r="AB517" s="91">
        <v>7.27</v>
      </c>
      <c r="AC517" s="77">
        <f t="shared" si="305"/>
        <v>20.2776203125</v>
      </c>
      <c r="AD517" s="77">
        <f t="shared" si="306"/>
        <v>145.6513703125</v>
      </c>
      <c r="AE517" s="77">
        <f t="shared" si="302"/>
        <v>154.3486296875</v>
      </c>
    </row>
    <row r="518" customFormat="1" spans="1:31">
      <c r="A518" s="22"/>
      <c r="B518" s="23"/>
      <c r="C518" s="24">
        <v>241214000003</v>
      </c>
      <c r="D518" s="25">
        <v>45647</v>
      </c>
      <c r="E518" s="25" t="s">
        <v>54</v>
      </c>
      <c r="F518" s="23" t="s">
        <v>55</v>
      </c>
      <c r="G518" s="23" t="s">
        <v>125</v>
      </c>
      <c r="H518" s="23">
        <v>0.44</v>
      </c>
      <c r="I518" s="43">
        <v>125</v>
      </c>
      <c r="J518" s="44"/>
      <c r="K518" s="45"/>
      <c r="L518" s="23"/>
      <c r="M518" s="45"/>
      <c r="N518" s="57"/>
      <c r="O518" s="47">
        <f t="shared" si="301"/>
        <v>125</v>
      </c>
      <c r="P518" s="49"/>
      <c r="Q518" s="49"/>
      <c r="R518" s="77">
        <f t="shared" ref="R518:R538" si="307">SUM(7800/96)*H518</f>
        <v>35.75</v>
      </c>
      <c r="S518" s="77"/>
      <c r="T518" s="78">
        <f t="shared" ref="T518:T538" si="308">SUM(223.92/96)*H518</f>
        <v>1.0263</v>
      </c>
      <c r="U518" s="77"/>
      <c r="V518" s="77"/>
      <c r="W518" s="77">
        <f t="shared" si="303"/>
        <v>36.7763</v>
      </c>
      <c r="X518" s="79">
        <f t="shared" ref="X518:X538" si="309">SUM(178.51/96)*H518</f>
        <v>0.818170833333333</v>
      </c>
      <c r="Y518" s="79"/>
      <c r="Z518" s="79"/>
      <c r="AA518" s="79">
        <f t="shared" si="304"/>
        <v>0.818170833333333</v>
      </c>
      <c r="AB518" s="91">
        <v>7.27</v>
      </c>
      <c r="AC518" s="77">
        <f t="shared" si="305"/>
        <v>5.94810195833333</v>
      </c>
      <c r="AD518" s="77">
        <f t="shared" si="306"/>
        <v>42.7244019583333</v>
      </c>
      <c r="AE518" s="77">
        <f t="shared" si="302"/>
        <v>82.2755980416667</v>
      </c>
    </row>
    <row r="519" customFormat="1" spans="1:31">
      <c r="A519" s="22"/>
      <c r="B519" s="23"/>
      <c r="C519" s="24">
        <v>241214000019</v>
      </c>
      <c r="D519" s="25">
        <v>45647</v>
      </c>
      <c r="E519" s="25" t="s">
        <v>44</v>
      </c>
      <c r="F519" s="23" t="s">
        <v>45</v>
      </c>
      <c r="G519" s="23" t="s">
        <v>130</v>
      </c>
      <c r="H519" s="23">
        <v>0.92</v>
      </c>
      <c r="I519" s="96"/>
      <c r="J519" s="51">
        <v>30355</v>
      </c>
      <c r="K519" s="45"/>
      <c r="L519" s="52">
        <f>SUM(J519/M519)</f>
        <v>1697.70693512304</v>
      </c>
      <c r="M519" s="53">
        <v>17.88</v>
      </c>
      <c r="N519" s="57">
        <v>7.27</v>
      </c>
      <c r="O519" s="47">
        <f>SUM(M519*N519)</f>
        <v>129.9876</v>
      </c>
      <c r="P519" s="49"/>
      <c r="Q519" s="49"/>
      <c r="R519" s="77">
        <f t="shared" si="307"/>
        <v>74.75</v>
      </c>
      <c r="S519" s="77"/>
      <c r="T519" s="78">
        <f t="shared" si="308"/>
        <v>2.1459</v>
      </c>
      <c r="U519" s="77"/>
      <c r="V519" s="77"/>
      <c r="W519" s="77">
        <f t="shared" si="303"/>
        <v>76.8959</v>
      </c>
      <c r="X519" s="79">
        <f t="shared" si="309"/>
        <v>1.71072083333333</v>
      </c>
      <c r="Y519" s="79"/>
      <c r="Z519" s="79"/>
      <c r="AA519" s="79">
        <f t="shared" si="304"/>
        <v>1.71072083333333</v>
      </c>
      <c r="AB519" s="91">
        <v>7.27</v>
      </c>
      <c r="AC519" s="77">
        <f t="shared" si="305"/>
        <v>12.4369404583333</v>
      </c>
      <c r="AD519" s="77">
        <f t="shared" si="306"/>
        <v>89.3328404583333</v>
      </c>
      <c r="AE519" s="77">
        <f t="shared" si="302"/>
        <v>40.6547595416667</v>
      </c>
    </row>
    <row r="520" customFormat="1" spans="1:31">
      <c r="A520" s="22"/>
      <c r="B520" s="23"/>
      <c r="C520" s="24">
        <v>241214000024</v>
      </c>
      <c r="D520" s="25">
        <v>45647</v>
      </c>
      <c r="E520" s="25" t="s">
        <v>44</v>
      </c>
      <c r="F520" s="23" t="s">
        <v>45</v>
      </c>
      <c r="G520" s="23" t="s">
        <v>388</v>
      </c>
      <c r="H520" s="23">
        <v>3</v>
      </c>
      <c r="I520" s="43">
        <v>410</v>
      </c>
      <c r="J520" s="44"/>
      <c r="K520" s="45"/>
      <c r="L520" s="23"/>
      <c r="M520" s="45"/>
      <c r="N520" s="57"/>
      <c r="O520" s="47">
        <f t="shared" ref="O520:O524" si="310">SUM(I520)</f>
        <v>410</v>
      </c>
      <c r="P520" s="49"/>
      <c r="Q520" s="49"/>
      <c r="R520" s="77">
        <f t="shared" si="307"/>
        <v>243.75</v>
      </c>
      <c r="S520" s="77"/>
      <c r="T520" s="78">
        <f t="shared" si="308"/>
        <v>6.9975</v>
      </c>
      <c r="U520" s="77"/>
      <c r="V520" s="77"/>
      <c r="W520" s="77">
        <f t="shared" si="303"/>
        <v>250.7475</v>
      </c>
      <c r="X520" s="79">
        <f t="shared" si="309"/>
        <v>5.5784375</v>
      </c>
      <c r="Y520" s="79">
        <v>4.81</v>
      </c>
      <c r="Z520" s="79"/>
      <c r="AA520" s="79">
        <f t="shared" si="304"/>
        <v>10.3884375</v>
      </c>
      <c r="AB520" s="91">
        <v>7.27</v>
      </c>
      <c r="AC520" s="77">
        <f t="shared" si="305"/>
        <v>75.523940625</v>
      </c>
      <c r="AD520" s="77">
        <f t="shared" si="306"/>
        <v>326.271440625</v>
      </c>
      <c r="AE520" s="77">
        <f t="shared" si="302"/>
        <v>83.728559375</v>
      </c>
    </row>
    <row r="521" customFormat="1" spans="1:31">
      <c r="A521" s="22"/>
      <c r="B521" s="23"/>
      <c r="C521" s="24">
        <v>241215000001</v>
      </c>
      <c r="D521" s="25">
        <v>45647</v>
      </c>
      <c r="E521" s="25" t="s">
        <v>37</v>
      </c>
      <c r="F521" s="23" t="s">
        <v>38</v>
      </c>
      <c r="G521" s="23" t="s">
        <v>301</v>
      </c>
      <c r="H521" s="23">
        <v>0.64</v>
      </c>
      <c r="I521" s="43">
        <v>125</v>
      </c>
      <c r="J521" s="44"/>
      <c r="K521" s="45"/>
      <c r="L521" s="23"/>
      <c r="M521" s="45"/>
      <c r="N521" s="57"/>
      <c r="O521" s="47">
        <f t="shared" si="310"/>
        <v>125</v>
      </c>
      <c r="P521" s="49"/>
      <c r="Q521" s="49"/>
      <c r="R521" s="77">
        <f t="shared" si="307"/>
        <v>52</v>
      </c>
      <c r="S521" s="77"/>
      <c r="T521" s="78">
        <f t="shared" si="308"/>
        <v>1.4928</v>
      </c>
      <c r="U521" s="77"/>
      <c r="V521" s="77"/>
      <c r="W521" s="77">
        <f t="shared" si="303"/>
        <v>53.4928</v>
      </c>
      <c r="X521" s="79">
        <f t="shared" si="309"/>
        <v>1.19006666666667</v>
      </c>
      <c r="Y521" s="79"/>
      <c r="Z521" s="79"/>
      <c r="AA521" s="79">
        <f t="shared" si="304"/>
        <v>1.19006666666667</v>
      </c>
      <c r="AB521" s="91">
        <v>7.27</v>
      </c>
      <c r="AC521" s="77">
        <f t="shared" si="305"/>
        <v>8.65178466666667</v>
      </c>
      <c r="AD521" s="77">
        <f t="shared" si="306"/>
        <v>62.1445846666667</v>
      </c>
      <c r="AE521" s="77">
        <f t="shared" si="302"/>
        <v>62.8554153333333</v>
      </c>
    </row>
    <row r="522" customFormat="1" spans="1:31">
      <c r="A522" s="22"/>
      <c r="B522" s="23"/>
      <c r="C522" s="24">
        <v>241216000003</v>
      </c>
      <c r="D522" s="25">
        <v>45647</v>
      </c>
      <c r="E522" s="25" t="s">
        <v>37</v>
      </c>
      <c r="F522" s="23" t="s">
        <v>38</v>
      </c>
      <c r="G522" s="23" t="s">
        <v>49</v>
      </c>
      <c r="H522" s="23">
        <v>1</v>
      </c>
      <c r="I522" s="43">
        <v>250</v>
      </c>
      <c r="J522" s="44"/>
      <c r="K522" s="45"/>
      <c r="L522" s="23"/>
      <c r="M522" s="45"/>
      <c r="N522" s="57"/>
      <c r="O522" s="47">
        <f t="shared" si="310"/>
        <v>250</v>
      </c>
      <c r="P522" s="49"/>
      <c r="Q522" s="49"/>
      <c r="R522" s="77">
        <f t="shared" si="307"/>
        <v>81.25</v>
      </c>
      <c r="S522" s="77"/>
      <c r="T522" s="78">
        <f t="shared" si="308"/>
        <v>2.3325</v>
      </c>
      <c r="U522" s="77"/>
      <c r="V522" s="77"/>
      <c r="W522" s="77">
        <f t="shared" si="303"/>
        <v>83.5825</v>
      </c>
      <c r="X522" s="79">
        <f t="shared" si="309"/>
        <v>1.85947916666667</v>
      </c>
      <c r="Y522" s="79"/>
      <c r="Z522" s="79"/>
      <c r="AA522" s="79">
        <f t="shared" si="304"/>
        <v>1.85947916666667</v>
      </c>
      <c r="AB522" s="91">
        <v>7.27</v>
      </c>
      <c r="AC522" s="77">
        <f t="shared" si="305"/>
        <v>13.5184135416667</v>
      </c>
      <c r="AD522" s="77">
        <f t="shared" si="306"/>
        <v>97.1009135416667</v>
      </c>
      <c r="AE522" s="77">
        <f t="shared" si="302"/>
        <v>152.899086458333</v>
      </c>
    </row>
    <row r="523" customFormat="1" spans="1:31">
      <c r="A523" s="22"/>
      <c r="B523" s="23"/>
      <c r="C523" s="24">
        <v>241216000007</v>
      </c>
      <c r="D523" s="25">
        <v>45647</v>
      </c>
      <c r="E523" s="25" t="s">
        <v>37</v>
      </c>
      <c r="F523" s="23" t="s">
        <v>38</v>
      </c>
      <c r="G523" s="23" t="s">
        <v>389</v>
      </c>
      <c r="H523" s="23">
        <v>5.5</v>
      </c>
      <c r="I523" s="43">
        <v>716</v>
      </c>
      <c r="J523" s="44"/>
      <c r="K523" s="45"/>
      <c r="L523" s="23"/>
      <c r="M523" s="45"/>
      <c r="N523" s="57"/>
      <c r="O523" s="47">
        <f t="shared" si="310"/>
        <v>716</v>
      </c>
      <c r="P523" s="49"/>
      <c r="Q523" s="49"/>
      <c r="R523" s="77">
        <f t="shared" si="307"/>
        <v>446.875</v>
      </c>
      <c r="S523" s="77"/>
      <c r="T523" s="78">
        <f t="shared" si="308"/>
        <v>12.82875</v>
      </c>
      <c r="U523" s="77"/>
      <c r="V523" s="77"/>
      <c r="W523" s="77">
        <f t="shared" si="303"/>
        <v>459.70375</v>
      </c>
      <c r="X523" s="79">
        <f t="shared" si="309"/>
        <v>10.2271354166667</v>
      </c>
      <c r="Y523" s="79"/>
      <c r="Z523" s="79"/>
      <c r="AA523" s="79">
        <f t="shared" si="304"/>
        <v>10.2271354166667</v>
      </c>
      <c r="AB523" s="91">
        <v>7.27</v>
      </c>
      <c r="AC523" s="77">
        <f t="shared" si="305"/>
        <v>74.3512744791667</v>
      </c>
      <c r="AD523" s="77">
        <f t="shared" si="306"/>
        <v>534.055024479167</v>
      </c>
      <c r="AE523" s="77">
        <f t="shared" si="302"/>
        <v>181.944975520833</v>
      </c>
    </row>
    <row r="524" customFormat="1" spans="1:31">
      <c r="A524" s="22"/>
      <c r="B524" s="23"/>
      <c r="C524" s="24">
        <v>241216000009</v>
      </c>
      <c r="D524" s="25">
        <v>45647</v>
      </c>
      <c r="E524" s="25" t="s">
        <v>54</v>
      </c>
      <c r="F524" s="23" t="s">
        <v>55</v>
      </c>
      <c r="G524" s="23" t="s">
        <v>227</v>
      </c>
      <c r="H524" s="23">
        <v>3.5</v>
      </c>
      <c r="I524" s="43">
        <v>455</v>
      </c>
      <c r="J524" s="44"/>
      <c r="K524" s="45"/>
      <c r="L524" s="23"/>
      <c r="M524" s="45"/>
      <c r="N524" s="57"/>
      <c r="O524" s="47">
        <f t="shared" si="310"/>
        <v>455</v>
      </c>
      <c r="P524" s="49"/>
      <c r="Q524" s="49"/>
      <c r="R524" s="77">
        <f t="shared" si="307"/>
        <v>284.375</v>
      </c>
      <c r="S524" s="77"/>
      <c r="T524" s="78">
        <f t="shared" si="308"/>
        <v>8.16375</v>
      </c>
      <c r="U524" s="77"/>
      <c r="V524" s="77"/>
      <c r="W524" s="77">
        <f t="shared" si="303"/>
        <v>292.53875</v>
      </c>
      <c r="X524" s="79">
        <f t="shared" si="309"/>
        <v>6.50817708333333</v>
      </c>
      <c r="Y524" s="79"/>
      <c r="Z524" s="79"/>
      <c r="AA524" s="79">
        <f t="shared" si="304"/>
        <v>6.50817708333333</v>
      </c>
      <c r="AB524" s="91">
        <v>7.27</v>
      </c>
      <c r="AC524" s="77">
        <f t="shared" si="305"/>
        <v>47.3144473958333</v>
      </c>
      <c r="AD524" s="77">
        <f t="shared" si="306"/>
        <v>339.853197395833</v>
      </c>
      <c r="AE524" s="77">
        <f t="shared" si="302"/>
        <v>115.146802604167</v>
      </c>
    </row>
    <row r="525" customFormat="1" spans="1:31">
      <c r="A525" s="22"/>
      <c r="B525" s="23"/>
      <c r="C525" s="24">
        <v>241216000035</v>
      </c>
      <c r="D525" s="25">
        <v>45647</v>
      </c>
      <c r="E525" s="25" t="s">
        <v>44</v>
      </c>
      <c r="F525" s="23" t="s">
        <v>45</v>
      </c>
      <c r="G525" s="23" t="s">
        <v>141</v>
      </c>
      <c r="H525" s="23">
        <v>0.924</v>
      </c>
      <c r="I525" s="50"/>
      <c r="J525" s="51">
        <v>28500</v>
      </c>
      <c r="K525" s="45"/>
      <c r="L525" s="52">
        <f>SUM(J525/M525)</f>
        <v>1657.94066317627</v>
      </c>
      <c r="M525" s="53">
        <v>17.19</v>
      </c>
      <c r="N525" s="57">
        <v>7.27</v>
      </c>
      <c r="O525" s="47">
        <f>SUM(M525*N525)</f>
        <v>124.9713</v>
      </c>
      <c r="P525" s="49"/>
      <c r="Q525" s="49"/>
      <c r="R525" s="77">
        <f t="shared" si="307"/>
        <v>75.075</v>
      </c>
      <c r="S525" s="77"/>
      <c r="T525" s="78">
        <f t="shared" si="308"/>
        <v>2.15523</v>
      </c>
      <c r="U525" s="77"/>
      <c r="V525" s="77"/>
      <c r="W525" s="77">
        <f t="shared" si="303"/>
        <v>77.23023</v>
      </c>
      <c r="X525" s="79">
        <f t="shared" si="309"/>
        <v>1.71815875</v>
      </c>
      <c r="Y525" s="79"/>
      <c r="Z525" s="79"/>
      <c r="AA525" s="79">
        <f t="shared" si="304"/>
        <v>1.71815875</v>
      </c>
      <c r="AB525" s="91">
        <v>7.27</v>
      </c>
      <c r="AC525" s="77">
        <f t="shared" si="305"/>
        <v>12.4910141125</v>
      </c>
      <c r="AD525" s="77">
        <f t="shared" si="306"/>
        <v>89.7212441125</v>
      </c>
      <c r="AE525" s="77">
        <f t="shared" si="302"/>
        <v>35.2500558875</v>
      </c>
    </row>
    <row r="526" customFormat="1" spans="1:31">
      <c r="A526" s="22"/>
      <c r="B526" s="23"/>
      <c r="C526" s="24">
        <v>241216000049</v>
      </c>
      <c r="D526" s="25">
        <v>45647</v>
      </c>
      <c r="E526" s="25" t="s">
        <v>54</v>
      </c>
      <c r="F526" s="23" t="s">
        <v>55</v>
      </c>
      <c r="G526" s="23" t="s">
        <v>125</v>
      </c>
      <c r="H526" s="23">
        <v>2</v>
      </c>
      <c r="I526" s="43">
        <v>250</v>
      </c>
      <c r="J526" s="44"/>
      <c r="K526" s="45"/>
      <c r="L526" s="23"/>
      <c r="M526" s="45"/>
      <c r="N526" s="57"/>
      <c r="O526" s="47">
        <f t="shared" ref="O526:O530" si="311">SUM(I526)</f>
        <v>250</v>
      </c>
      <c r="P526" s="49"/>
      <c r="Q526" s="49"/>
      <c r="R526" s="77">
        <f t="shared" si="307"/>
        <v>162.5</v>
      </c>
      <c r="S526" s="77"/>
      <c r="T526" s="78">
        <f t="shared" si="308"/>
        <v>4.665</v>
      </c>
      <c r="U526" s="77"/>
      <c r="V526" s="77"/>
      <c r="W526" s="77">
        <f t="shared" si="303"/>
        <v>167.165</v>
      </c>
      <c r="X526" s="79">
        <f t="shared" si="309"/>
        <v>3.71895833333333</v>
      </c>
      <c r="Y526" s="79"/>
      <c r="Z526" s="79"/>
      <c r="AA526" s="79">
        <f t="shared" si="304"/>
        <v>3.71895833333333</v>
      </c>
      <c r="AB526" s="91">
        <v>7.27</v>
      </c>
      <c r="AC526" s="77">
        <f t="shared" si="305"/>
        <v>27.0368270833333</v>
      </c>
      <c r="AD526" s="77">
        <f t="shared" si="306"/>
        <v>194.201827083333</v>
      </c>
      <c r="AE526" s="77">
        <f t="shared" si="302"/>
        <v>55.7981729166667</v>
      </c>
    </row>
    <row r="527" customFormat="1" spans="1:31">
      <c r="A527" s="22"/>
      <c r="B527" s="23"/>
      <c r="C527" s="24">
        <v>241217000001</v>
      </c>
      <c r="D527" s="26">
        <v>45647</v>
      </c>
      <c r="E527" s="25" t="s">
        <v>70</v>
      </c>
      <c r="F527" s="23" t="s">
        <v>109</v>
      </c>
      <c r="G527" s="23" t="s">
        <v>110</v>
      </c>
      <c r="H527" s="23">
        <v>17</v>
      </c>
      <c r="I527" s="43">
        <v>2210</v>
      </c>
      <c r="J527" s="44"/>
      <c r="K527" s="45"/>
      <c r="L527" s="23"/>
      <c r="M527" s="45"/>
      <c r="N527" s="57"/>
      <c r="O527" s="47">
        <f t="shared" si="311"/>
        <v>2210</v>
      </c>
      <c r="P527" s="49"/>
      <c r="Q527" s="49"/>
      <c r="R527" s="77">
        <f t="shared" si="307"/>
        <v>1381.25</v>
      </c>
      <c r="S527" s="77"/>
      <c r="T527" s="78">
        <f t="shared" si="308"/>
        <v>39.6525</v>
      </c>
      <c r="U527" s="77"/>
      <c r="V527" s="77"/>
      <c r="W527" s="77">
        <f t="shared" si="303"/>
        <v>1420.9025</v>
      </c>
      <c r="X527" s="79">
        <f t="shared" si="309"/>
        <v>31.6111458333333</v>
      </c>
      <c r="Y527" s="79"/>
      <c r="Z527" s="79"/>
      <c r="AA527" s="79">
        <f t="shared" si="304"/>
        <v>31.6111458333333</v>
      </c>
      <c r="AB527" s="91">
        <v>7.27</v>
      </c>
      <c r="AC527" s="77">
        <f t="shared" si="305"/>
        <v>229.813030208333</v>
      </c>
      <c r="AD527" s="77">
        <f t="shared" si="306"/>
        <v>1650.71553020833</v>
      </c>
      <c r="AE527" s="77">
        <f t="shared" si="302"/>
        <v>559.284469791667</v>
      </c>
    </row>
    <row r="528" customFormat="1" spans="1:31">
      <c r="A528" s="22"/>
      <c r="B528" s="23"/>
      <c r="C528" s="24">
        <v>241217000003</v>
      </c>
      <c r="D528" s="26">
        <v>45647</v>
      </c>
      <c r="E528" s="25" t="s">
        <v>70</v>
      </c>
      <c r="F528" s="23" t="s">
        <v>109</v>
      </c>
      <c r="G528" s="23" t="s">
        <v>110</v>
      </c>
      <c r="H528" s="23">
        <v>1.5</v>
      </c>
      <c r="I528" s="43">
        <v>195</v>
      </c>
      <c r="J528" s="44"/>
      <c r="K528" s="45"/>
      <c r="L528" s="23"/>
      <c r="M528" s="45"/>
      <c r="N528" s="57"/>
      <c r="O528" s="47">
        <f t="shared" si="311"/>
        <v>195</v>
      </c>
      <c r="P528" s="49"/>
      <c r="Q528" s="49"/>
      <c r="R528" s="77">
        <f t="shared" si="307"/>
        <v>121.875</v>
      </c>
      <c r="S528" s="77"/>
      <c r="T528" s="78">
        <f t="shared" si="308"/>
        <v>3.49875</v>
      </c>
      <c r="U528" s="77"/>
      <c r="V528" s="77"/>
      <c r="W528" s="77">
        <f t="shared" si="303"/>
        <v>125.37375</v>
      </c>
      <c r="X528" s="79">
        <f t="shared" si="309"/>
        <v>2.78921875</v>
      </c>
      <c r="Y528" s="79"/>
      <c r="Z528" s="79"/>
      <c r="AA528" s="79">
        <f t="shared" si="304"/>
        <v>2.78921875</v>
      </c>
      <c r="AB528" s="91">
        <v>7.27</v>
      </c>
      <c r="AC528" s="77">
        <f t="shared" si="305"/>
        <v>20.2776203125</v>
      </c>
      <c r="AD528" s="77">
        <f t="shared" si="306"/>
        <v>145.6513703125</v>
      </c>
      <c r="AE528" s="77">
        <f t="shared" si="302"/>
        <v>49.3486296875</v>
      </c>
    </row>
    <row r="529" customFormat="1" spans="1:31">
      <c r="A529" s="22"/>
      <c r="B529" s="23"/>
      <c r="C529" s="24">
        <v>241217000004</v>
      </c>
      <c r="D529" s="26">
        <v>45647</v>
      </c>
      <c r="E529" s="25" t="s">
        <v>70</v>
      </c>
      <c r="F529" s="23" t="s">
        <v>109</v>
      </c>
      <c r="G529" s="23" t="s">
        <v>110</v>
      </c>
      <c r="H529" s="23">
        <v>13</v>
      </c>
      <c r="I529" s="43">
        <v>1690</v>
      </c>
      <c r="J529" s="44"/>
      <c r="K529" s="45"/>
      <c r="L529" s="23"/>
      <c r="M529" s="45"/>
      <c r="N529" s="57"/>
      <c r="O529" s="47">
        <f t="shared" si="311"/>
        <v>1690</v>
      </c>
      <c r="P529" s="49"/>
      <c r="Q529" s="49"/>
      <c r="R529" s="77">
        <f t="shared" si="307"/>
        <v>1056.25</v>
      </c>
      <c r="S529" s="77"/>
      <c r="T529" s="78">
        <f t="shared" si="308"/>
        <v>30.3225</v>
      </c>
      <c r="U529" s="77"/>
      <c r="V529" s="77"/>
      <c r="W529" s="77">
        <f t="shared" si="303"/>
        <v>1086.5725</v>
      </c>
      <c r="X529" s="79">
        <f t="shared" si="309"/>
        <v>24.1732291666667</v>
      </c>
      <c r="Y529" s="79"/>
      <c r="Z529" s="79"/>
      <c r="AA529" s="79">
        <f t="shared" si="304"/>
        <v>24.1732291666667</v>
      </c>
      <c r="AB529" s="91">
        <v>7.27</v>
      </c>
      <c r="AC529" s="77">
        <f t="shared" si="305"/>
        <v>175.739376041667</v>
      </c>
      <c r="AD529" s="77">
        <f t="shared" si="306"/>
        <v>1262.31187604167</v>
      </c>
      <c r="AE529" s="77">
        <f t="shared" si="302"/>
        <v>427.688123958333</v>
      </c>
    </row>
    <row r="530" customFormat="1" spans="1:31">
      <c r="A530" s="22"/>
      <c r="B530" s="23"/>
      <c r="C530" s="24">
        <v>241217000020</v>
      </c>
      <c r="D530" s="25">
        <v>45647</v>
      </c>
      <c r="E530" s="25" t="s">
        <v>44</v>
      </c>
      <c r="F530" s="23" t="s">
        <v>45</v>
      </c>
      <c r="G530" s="23" t="s">
        <v>346</v>
      </c>
      <c r="H530" s="23">
        <v>0.48</v>
      </c>
      <c r="I530" s="43">
        <v>130</v>
      </c>
      <c r="J530" s="44"/>
      <c r="K530" s="45"/>
      <c r="L530" s="23"/>
      <c r="M530" s="45"/>
      <c r="N530" s="57"/>
      <c r="O530" s="47">
        <f t="shared" si="311"/>
        <v>130</v>
      </c>
      <c r="P530" s="49"/>
      <c r="Q530" s="49"/>
      <c r="R530" s="77">
        <f t="shared" si="307"/>
        <v>39</v>
      </c>
      <c r="S530" s="77"/>
      <c r="T530" s="78">
        <f t="shared" si="308"/>
        <v>1.1196</v>
      </c>
      <c r="U530" s="77"/>
      <c r="V530" s="77"/>
      <c r="W530" s="77">
        <f t="shared" si="303"/>
        <v>40.1196</v>
      </c>
      <c r="X530" s="79">
        <f t="shared" si="309"/>
        <v>0.89255</v>
      </c>
      <c r="Y530" s="79"/>
      <c r="Z530" s="79"/>
      <c r="AA530" s="79">
        <f t="shared" si="304"/>
        <v>0.89255</v>
      </c>
      <c r="AB530" s="91">
        <v>7.27</v>
      </c>
      <c r="AC530" s="77">
        <f t="shared" si="305"/>
        <v>6.4888385</v>
      </c>
      <c r="AD530" s="77">
        <f t="shared" si="306"/>
        <v>46.6084385</v>
      </c>
      <c r="AE530" s="77">
        <f t="shared" si="302"/>
        <v>83.3915615</v>
      </c>
    </row>
    <row r="531" customFormat="1" spans="1:31">
      <c r="A531" s="22"/>
      <c r="B531" s="23"/>
      <c r="C531" s="24">
        <v>241217000031</v>
      </c>
      <c r="D531" s="26">
        <v>45647</v>
      </c>
      <c r="E531" s="25" t="s">
        <v>133</v>
      </c>
      <c r="F531" s="23" t="s">
        <v>147</v>
      </c>
      <c r="G531" s="23" t="s">
        <v>390</v>
      </c>
      <c r="H531" s="23">
        <v>0.5</v>
      </c>
      <c r="I531" s="47"/>
      <c r="J531" s="51">
        <v>29782</v>
      </c>
      <c r="K531" s="45"/>
      <c r="L531" s="52">
        <f>SUM(J531/M531)</f>
        <v>1649.97229916898</v>
      </c>
      <c r="M531" s="53">
        <v>18.05</v>
      </c>
      <c r="N531" s="57">
        <v>7.27</v>
      </c>
      <c r="O531" s="47">
        <f>SUM(M531*N531)</f>
        <v>131.2235</v>
      </c>
      <c r="P531" s="49"/>
      <c r="Q531" s="49"/>
      <c r="R531" s="77">
        <f t="shared" si="307"/>
        <v>40.625</v>
      </c>
      <c r="S531" s="77"/>
      <c r="T531" s="78">
        <f t="shared" si="308"/>
        <v>1.16625</v>
      </c>
      <c r="U531" s="77"/>
      <c r="V531" s="77"/>
      <c r="W531" s="77">
        <f t="shared" si="303"/>
        <v>41.79125</v>
      </c>
      <c r="X531" s="79">
        <f t="shared" si="309"/>
        <v>0.929739583333333</v>
      </c>
      <c r="Y531" s="79"/>
      <c r="Z531" s="79"/>
      <c r="AA531" s="79">
        <f t="shared" si="304"/>
        <v>0.929739583333333</v>
      </c>
      <c r="AB531" s="91">
        <v>7.27</v>
      </c>
      <c r="AC531" s="77">
        <f t="shared" si="305"/>
        <v>6.75920677083333</v>
      </c>
      <c r="AD531" s="77">
        <f t="shared" si="306"/>
        <v>48.5504567708333</v>
      </c>
      <c r="AE531" s="77">
        <f t="shared" si="302"/>
        <v>82.6730432291667</v>
      </c>
    </row>
    <row r="532" customFormat="1" spans="1:31">
      <c r="A532" s="22"/>
      <c r="B532" s="23"/>
      <c r="C532" s="24">
        <v>241217000036</v>
      </c>
      <c r="D532" s="26">
        <v>45647</v>
      </c>
      <c r="E532" s="25" t="s">
        <v>70</v>
      </c>
      <c r="F532" s="23" t="s">
        <v>70</v>
      </c>
      <c r="G532" s="23" t="s">
        <v>391</v>
      </c>
      <c r="H532" s="23">
        <v>0.4</v>
      </c>
      <c r="I532" s="43">
        <v>125</v>
      </c>
      <c r="J532" s="44"/>
      <c r="K532" s="45"/>
      <c r="L532" s="23"/>
      <c r="M532" s="45"/>
      <c r="N532" s="57"/>
      <c r="O532" s="47">
        <f t="shared" ref="O532:O539" si="312">SUM(I532)</f>
        <v>125</v>
      </c>
      <c r="P532" s="49"/>
      <c r="Q532" s="49"/>
      <c r="R532" s="77">
        <f t="shared" si="307"/>
        <v>32.5</v>
      </c>
      <c r="S532" s="77"/>
      <c r="T532" s="78">
        <f t="shared" si="308"/>
        <v>0.933</v>
      </c>
      <c r="U532" s="77"/>
      <c r="V532" s="77"/>
      <c r="W532" s="77">
        <f t="shared" si="303"/>
        <v>33.433</v>
      </c>
      <c r="X532" s="79">
        <f t="shared" si="309"/>
        <v>0.743791666666667</v>
      </c>
      <c r="Y532" s="79"/>
      <c r="Z532" s="79"/>
      <c r="AA532" s="79">
        <f t="shared" si="304"/>
        <v>0.743791666666667</v>
      </c>
      <c r="AB532" s="91">
        <v>7.27</v>
      </c>
      <c r="AC532" s="77">
        <f t="shared" si="305"/>
        <v>5.40736541666667</v>
      </c>
      <c r="AD532" s="77">
        <f t="shared" si="306"/>
        <v>38.8403654166667</v>
      </c>
      <c r="AE532" s="77">
        <f t="shared" si="302"/>
        <v>86.1596345833333</v>
      </c>
    </row>
    <row r="533" customFormat="1" spans="1:31">
      <c r="A533" s="22"/>
      <c r="B533" s="23"/>
      <c r="C533" s="24">
        <v>241217000039</v>
      </c>
      <c r="D533" s="25">
        <v>45647</v>
      </c>
      <c r="E533" s="25" t="s">
        <v>44</v>
      </c>
      <c r="F533" s="23" t="s">
        <v>45</v>
      </c>
      <c r="G533" s="23" t="s">
        <v>356</v>
      </c>
      <c r="H533" s="23">
        <v>2</v>
      </c>
      <c r="I533" s="43">
        <v>339</v>
      </c>
      <c r="J533" s="44"/>
      <c r="K533" s="45"/>
      <c r="L533" s="23"/>
      <c r="M533" s="45"/>
      <c r="N533" s="57"/>
      <c r="O533" s="47">
        <f t="shared" si="312"/>
        <v>339</v>
      </c>
      <c r="P533" s="49"/>
      <c r="Q533" s="49"/>
      <c r="R533" s="77">
        <f t="shared" si="307"/>
        <v>162.5</v>
      </c>
      <c r="S533" s="77"/>
      <c r="T533" s="78">
        <f t="shared" si="308"/>
        <v>4.665</v>
      </c>
      <c r="U533" s="77"/>
      <c r="V533" s="77"/>
      <c r="W533" s="77">
        <f t="shared" si="303"/>
        <v>167.165</v>
      </c>
      <c r="X533" s="79">
        <f t="shared" si="309"/>
        <v>3.71895833333333</v>
      </c>
      <c r="Y533" s="79"/>
      <c r="Z533" s="79">
        <v>12.24</v>
      </c>
      <c r="AA533" s="79">
        <f t="shared" si="304"/>
        <v>15.9589583333333</v>
      </c>
      <c r="AB533" s="91">
        <v>7.27</v>
      </c>
      <c r="AC533" s="77">
        <f t="shared" si="305"/>
        <v>116.021627083333</v>
      </c>
      <c r="AD533" s="77">
        <f t="shared" si="306"/>
        <v>283.186627083333</v>
      </c>
      <c r="AE533" s="77">
        <f t="shared" si="302"/>
        <v>55.8133729166667</v>
      </c>
    </row>
    <row r="534" customFormat="1" spans="1:31">
      <c r="A534" s="22"/>
      <c r="B534" s="23"/>
      <c r="C534" s="24">
        <v>241217000045</v>
      </c>
      <c r="D534" s="25">
        <v>45647</v>
      </c>
      <c r="E534" s="25" t="s">
        <v>44</v>
      </c>
      <c r="F534" s="23" t="s">
        <v>45</v>
      </c>
      <c r="G534" s="23" t="s">
        <v>178</v>
      </c>
      <c r="H534" s="23">
        <v>27.5</v>
      </c>
      <c r="I534" s="43">
        <v>3437.5</v>
      </c>
      <c r="J534" s="44"/>
      <c r="K534" s="45"/>
      <c r="L534" s="23"/>
      <c r="M534" s="45"/>
      <c r="N534" s="57"/>
      <c r="O534" s="47">
        <f t="shared" si="312"/>
        <v>3437.5</v>
      </c>
      <c r="P534" s="49"/>
      <c r="Q534" s="49"/>
      <c r="R534" s="77">
        <f t="shared" si="307"/>
        <v>2234.375</v>
      </c>
      <c r="S534" s="77"/>
      <c r="T534" s="78">
        <f t="shared" si="308"/>
        <v>64.14375</v>
      </c>
      <c r="U534" s="77"/>
      <c r="V534" s="77"/>
      <c r="W534" s="77">
        <f t="shared" si="303"/>
        <v>2298.51875</v>
      </c>
      <c r="X534" s="79">
        <f t="shared" si="309"/>
        <v>51.1356770833333</v>
      </c>
      <c r="Y534" s="79"/>
      <c r="Z534" s="79"/>
      <c r="AA534" s="79">
        <f t="shared" si="304"/>
        <v>51.1356770833333</v>
      </c>
      <c r="AB534" s="91">
        <v>7.27</v>
      </c>
      <c r="AC534" s="77">
        <f t="shared" si="305"/>
        <v>371.756372395833</v>
      </c>
      <c r="AD534" s="77">
        <f t="shared" si="306"/>
        <v>2670.27512239583</v>
      </c>
      <c r="AE534" s="77">
        <f t="shared" si="302"/>
        <v>767.224877604167</v>
      </c>
    </row>
    <row r="535" customFormat="1" spans="1:31">
      <c r="A535" s="22"/>
      <c r="B535" s="23"/>
      <c r="C535" s="24">
        <v>241217000049</v>
      </c>
      <c r="D535" s="25">
        <v>45647</v>
      </c>
      <c r="E535" s="25" t="s">
        <v>37</v>
      </c>
      <c r="F535" s="23" t="s">
        <v>38</v>
      </c>
      <c r="G535" s="23" t="s">
        <v>392</v>
      </c>
      <c r="H535" s="23">
        <v>10.5</v>
      </c>
      <c r="I535" s="43">
        <v>1110.5</v>
      </c>
      <c r="J535" s="44"/>
      <c r="K535" s="45"/>
      <c r="L535" s="23"/>
      <c r="M535" s="45"/>
      <c r="N535" s="57"/>
      <c r="O535" s="47">
        <f t="shared" si="312"/>
        <v>1110.5</v>
      </c>
      <c r="P535" s="49"/>
      <c r="Q535" s="49"/>
      <c r="R535" s="77">
        <f t="shared" si="307"/>
        <v>853.125</v>
      </c>
      <c r="S535" s="77"/>
      <c r="T535" s="78">
        <f t="shared" si="308"/>
        <v>24.49125</v>
      </c>
      <c r="U535" s="77"/>
      <c r="V535" s="77"/>
      <c r="W535" s="77">
        <f t="shared" si="303"/>
        <v>877.61625</v>
      </c>
      <c r="X535" s="79">
        <f t="shared" si="309"/>
        <v>19.52453125</v>
      </c>
      <c r="Y535" s="79"/>
      <c r="Z535" s="79"/>
      <c r="AA535" s="79">
        <f t="shared" si="304"/>
        <v>19.52453125</v>
      </c>
      <c r="AB535" s="91">
        <v>7.27</v>
      </c>
      <c r="AC535" s="77">
        <f t="shared" si="305"/>
        <v>141.9433421875</v>
      </c>
      <c r="AD535" s="77">
        <f t="shared" si="306"/>
        <v>1019.5595921875</v>
      </c>
      <c r="AE535" s="77">
        <f t="shared" si="302"/>
        <v>90.9404078125</v>
      </c>
    </row>
    <row r="536" customFormat="1" spans="1:31">
      <c r="A536" s="22"/>
      <c r="B536" s="23"/>
      <c r="C536" s="24">
        <v>241217000054</v>
      </c>
      <c r="D536" s="26">
        <v>45647</v>
      </c>
      <c r="E536" s="25" t="s">
        <v>54</v>
      </c>
      <c r="F536" s="23" t="s">
        <v>171</v>
      </c>
      <c r="G536" s="23" t="s">
        <v>172</v>
      </c>
      <c r="H536" s="23">
        <v>0.66</v>
      </c>
      <c r="I536" s="43">
        <v>125</v>
      </c>
      <c r="J536" s="44"/>
      <c r="K536" s="45"/>
      <c r="L536" s="23"/>
      <c r="M536" s="45"/>
      <c r="N536" s="57"/>
      <c r="O536" s="47">
        <f t="shared" si="312"/>
        <v>125</v>
      </c>
      <c r="P536" s="49"/>
      <c r="Q536" s="49"/>
      <c r="R536" s="77">
        <f t="shared" si="307"/>
        <v>53.625</v>
      </c>
      <c r="S536" s="77"/>
      <c r="T536" s="78">
        <f t="shared" si="308"/>
        <v>1.53945</v>
      </c>
      <c r="U536" s="77"/>
      <c r="V536" s="77"/>
      <c r="W536" s="77">
        <f t="shared" si="303"/>
        <v>55.16445</v>
      </c>
      <c r="X536" s="79">
        <f t="shared" si="309"/>
        <v>1.22725625</v>
      </c>
      <c r="Y536" s="79"/>
      <c r="Z536" s="79"/>
      <c r="AA536" s="79">
        <f t="shared" si="304"/>
        <v>1.22725625</v>
      </c>
      <c r="AB536" s="91">
        <v>7.27</v>
      </c>
      <c r="AC536" s="77">
        <f t="shared" si="305"/>
        <v>8.9221529375</v>
      </c>
      <c r="AD536" s="77">
        <f t="shared" si="306"/>
        <v>64.0866029375</v>
      </c>
      <c r="AE536" s="77">
        <f t="shared" si="302"/>
        <v>60.9133970625</v>
      </c>
    </row>
    <row r="537" customFormat="1" spans="1:31">
      <c r="A537" s="22"/>
      <c r="B537" s="23"/>
      <c r="C537" s="24">
        <v>241218000005</v>
      </c>
      <c r="D537" s="25">
        <v>45647</v>
      </c>
      <c r="E537" s="25" t="s">
        <v>54</v>
      </c>
      <c r="F537" s="23" t="s">
        <v>55</v>
      </c>
      <c r="G537" s="23" t="s">
        <v>87</v>
      </c>
      <c r="H537" s="23">
        <v>13.5</v>
      </c>
      <c r="I537" s="43">
        <v>1755</v>
      </c>
      <c r="J537" s="44"/>
      <c r="K537" s="45"/>
      <c r="L537" s="23"/>
      <c r="M537" s="45"/>
      <c r="N537" s="57"/>
      <c r="O537" s="47">
        <f t="shared" si="312"/>
        <v>1755</v>
      </c>
      <c r="P537" s="49"/>
      <c r="Q537" s="49"/>
      <c r="R537" s="77">
        <f t="shared" si="307"/>
        <v>1096.875</v>
      </c>
      <c r="S537" s="77"/>
      <c r="T537" s="78">
        <f t="shared" si="308"/>
        <v>31.48875</v>
      </c>
      <c r="U537" s="77"/>
      <c r="V537" s="77"/>
      <c r="W537" s="77">
        <f t="shared" si="303"/>
        <v>1128.36375</v>
      </c>
      <c r="X537" s="79">
        <f t="shared" si="309"/>
        <v>25.10296875</v>
      </c>
      <c r="Y537" s="79"/>
      <c r="Z537" s="79"/>
      <c r="AA537" s="79">
        <f t="shared" si="304"/>
        <v>25.10296875</v>
      </c>
      <c r="AB537" s="91">
        <v>7.27</v>
      </c>
      <c r="AC537" s="77">
        <f t="shared" si="305"/>
        <v>182.4985828125</v>
      </c>
      <c r="AD537" s="77">
        <f t="shared" ref="AD537:AD568" si="313">SUM(W537+AC537)</f>
        <v>1310.8623328125</v>
      </c>
      <c r="AE537" s="77">
        <f t="shared" ref="AE537:AE568" si="314">SUM(O537-AD537)</f>
        <v>444.1376671875</v>
      </c>
    </row>
    <row r="538" customFormat="1" spans="1:31">
      <c r="A538" s="22"/>
      <c r="B538" s="23"/>
      <c r="C538" s="24">
        <v>241219000001</v>
      </c>
      <c r="D538" s="26">
        <v>45647</v>
      </c>
      <c r="E538" s="25" t="s">
        <v>70</v>
      </c>
      <c r="F538" s="23" t="s">
        <v>109</v>
      </c>
      <c r="G538" s="23" t="s">
        <v>110</v>
      </c>
      <c r="H538" s="23">
        <v>10</v>
      </c>
      <c r="I538" s="43">
        <v>1300</v>
      </c>
      <c r="J538" s="44"/>
      <c r="K538" s="45"/>
      <c r="L538" s="23"/>
      <c r="M538" s="45"/>
      <c r="N538" s="57"/>
      <c r="O538" s="47">
        <f t="shared" si="312"/>
        <v>1300</v>
      </c>
      <c r="P538" s="55"/>
      <c r="Q538" s="55"/>
      <c r="R538" s="77">
        <f t="shared" si="307"/>
        <v>812.5</v>
      </c>
      <c r="S538" s="77"/>
      <c r="T538" s="78">
        <f t="shared" si="308"/>
        <v>23.325</v>
      </c>
      <c r="U538" s="77"/>
      <c r="V538" s="77"/>
      <c r="W538" s="77">
        <f t="shared" ref="W538:W569" si="315">SUM(R538:V538)</f>
        <v>835.825</v>
      </c>
      <c r="X538" s="79">
        <f t="shared" si="309"/>
        <v>18.5947916666667</v>
      </c>
      <c r="Y538" s="79"/>
      <c r="Z538" s="79"/>
      <c r="AA538" s="79">
        <f t="shared" ref="AA538:AA569" si="316">SUM(X538:Z538)</f>
        <v>18.5947916666667</v>
      </c>
      <c r="AB538" s="91">
        <v>7.27</v>
      </c>
      <c r="AC538" s="77">
        <f t="shared" ref="AC538:AC569" si="317">SUM(AA538*AB538)</f>
        <v>135.184135416667</v>
      </c>
      <c r="AD538" s="77">
        <f t="shared" si="313"/>
        <v>971.009135416667</v>
      </c>
      <c r="AE538" s="77">
        <f t="shared" si="314"/>
        <v>328.990864583333</v>
      </c>
    </row>
    <row r="539" customFormat="1" spans="1:31">
      <c r="A539" s="22" t="s">
        <v>393</v>
      </c>
      <c r="B539" s="23" t="s">
        <v>394</v>
      </c>
      <c r="C539" s="24">
        <v>241211000010</v>
      </c>
      <c r="D539" s="25">
        <v>45649</v>
      </c>
      <c r="E539" s="25" t="s">
        <v>54</v>
      </c>
      <c r="F539" s="23" t="s">
        <v>55</v>
      </c>
      <c r="G539" s="23" t="s">
        <v>79</v>
      </c>
      <c r="H539" s="23">
        <v>21.5</v>
      </c>
      <c r="I539" s="43">
        <v>1729</v>
      </c>
      <c r="J539" s="44"/>
      <c r="K539" s="45"/>
      <c r="L539" s="23"/>
      <c r="M539" s="45"/>
      <c r="N539" s="57"/>
      <c r="O539" s="47">
        <f t="shared" si="312"/>
        <v>1729</v>
      </c>
      <c r="P539" s="48">
        <f>SUM(O539:O602)</f>
        <v>265913.312</v>
      </c>
      <c r="Q539" s="48" t="s">
        <v>185</v>
      </c>
      <c r="R539" s="77">
        <f>SUM(171827/3370)*H539</f>
        <v>1096.22566765579</v>
      </c>
      <c r="S539" s="77"/>
      <c r="T539" s="78">
        <f>SUM(333.5/3370)*H539</f>
        <v>2.1276706231454</v>
      </c>
      <c r="U539" s="77"/>
      <c r="V539" s="77"/>
      <c r="W539" s="77">
        <f t="shared" si="315"/>
        <v>1098.35333827893</v>
      </c>
      <c r="X539" s="79">
        <f>SUM(2696.18/3370)*H539</f>
        <v>17.2011483679525</v>
      </c>
      <c r="Y539" s="79"/>
      <c r="Z539" s="79"/>
      <c r="AA539" s="79">
        <f t="shared" si="316"/>
        <v>17.2011483679525</v>
      </c>
      <c r="AB539" s="91">
        <v>7.27</v>
      </c>
      <c r="AC539" s="77">
        <f t="shared" si="317"/>
        <v>125.052348635015</v>
      </c>
      <c r="AD539" s="77">
        <f t="shared" si="313"/>
        <v>1223.40568691395</v>
      </c>
      <c r="AE539" s="77">
        <f t="shared" si="314"/>
        <v>505.59431308605</v>
      </c>
    </row>
    <row r="540" customFormat="1" spans="1:31">
      <c r="A540" s="22"/>
      <c r="B540" s="23"/>
      <c r="C540" s="24">
        <v>241211000034</v>
      </c>
      <c r="D540" s="25">
        <v>45649</v>
      </c>
      <c r="E540" s="25" t="s">
        <v>61</v>
      </c>
      <c r="F540" s="23" t="s">
        <v>62</v>
      </c>
      <c r="G540" s="23" t="s">
        <v>395</v>
      </c>
      <c r="H540" s="23">
        <v>6</v>
      </c>
      <c r="I540" s="50"/>
      <c r="J540" s="51">
        <v>115416</v>
      </c>
      <c r="K540" s="45"/>
      <c r="L540" s="52">
        <f>SUM(J540/M540)</f>
        <v>1664.97403346797</v>
      </c>
      <c r="M540" s="53">
        <v>69.32</v>
      </c>
      <c r="N540" s="57">
        <v>7.27</v>
      </c>
      <c r="O540" s="47">
        <f t="shared" ref="O540:O544" si="318">SUM(M540*N540)</f>
        <v>503.9564</v>
      </c>
      <c r="P540" s="49"/>
      <c r="Q540" s="49"/>
      <c r="R540" s="77">
        <f t="shared" ref="R540:R571" si="319">SUM(171827/3370)*H540</f>
        <v>305.923442136499</v>
      </c>
      <c r="S540" s="77"/>
      <c r="T540" s="78">
        <f t="shared" ref="T540:T571" si="320">SUM(333.5/3370)*H540</f>
        <v>0.593768545994065</v>
      </c>
      <c r="U540" s="77"/>
      <c r="V540" s="77"/>
      <c r="W540" s="77">
        <f t="shared" si="315"/>
        <v>306.517210682493</v>
      </c>
      <c r="X540" s="79">
        <f t="shared" ref="X540:X571" si="321">SUM(2696.18/3370)*H540</f>
        <v>4.80032047477745</v>
      </c>
      <c r="Y540" s="79"/>
      <c r="Z540" s="79"/>
      <c r="AA540" s="79">
        <f t="shared" si="316"/>
        <v>4.80032047477745</v>
      </c>
      <c r="AB540" s="91">
        <v>7.27</v>
      </c>
      <c r="AC540" s="77">
        <f t="shared" si="317"/>
        <v>34.898329851632</v>
      </c>
      <c r="AD540" s="77">
        <f t="shared" si="313"/>
        <v>341.415540534125</v>
      </c>
      <c r="AE540" s="77">
        <f t="shared" si="314"/>
        <v>162.540859465875</v>
      </c>
    </row>
    <row r="541" customFormat="1" spans="1:31">
      <c r="A541" s="22"/>
      <c r="B541" s="23"/>
      <c r="C541" s="24">
        <v>241211000049</v>
      </c>
      <c r="D541" s="25">
        <v>45649</v>
      </c>
      <c r="E541" s="25" t="s">
        <v>61</v>
      </c>
      <c r="F541" s="23" t="s">
        <v>62</v>
      </c>
      <c r="G541" s="23" t="s">
        <v>278</v>
      </c>
      <c r="H541" s="23">
        <v>159</v>
      </c>
      <c r="I541" s="43">
        <v>11766</v>
      </c>
      <c r="J541" s="44"/>
      <c r="K541" s="45"/>
      <c r="L541" s="23"/>
      <c r="M541" s="45"/>
      <c r="N541" s="57"/>
      <c r="O541" s="47">
        <f t="shared" ref="O541:O548" si="322">SUM(I541)</f>
        <v>11766</v>
      </c>
      <c r="P541" s="49"/>
      <c r="Q541" s="49"/>
      <c r="R541" s="77">
        <f t="shared" si="319"/>
        <v>8106.97121661721</v>
      </c>
      <c r="S541" s="77"/>
      <c r="T541" s="78">
        <f t="shared" si="320"/>
        <v>15.7348664688427</v>
      </c>
      <c r="U541" s="77"/>
      <c r="V541" s="77"/>
      <c r="W541" s="77">
        <f t="shared" si="315"/>
        <v>8122.70608308605</v>
      </c>
      <c r="X541" s="79">
        <f t="shared" si="321"/>
        <v>127.208492581602</v>
      </c>
      <c r="Y541" s="79"/>
      <c r="Z541" s="79"/>
      <c r="AA541" s="79">
        <f t="shared" si="316"/>
        <v>127.208492581602</v>
      </c>
      <c r="AB541" s="91">
        <v>7.27</v>
      </c>
      <c r="AC541" s="77">
        <f t="shared" si="317"/>
        <v>924.805741068249</v>
      </c>
      <c r="AD541" s="77">
        <f t="shared" si="313"/>
        <v>9047.5118241543</v>
      </c>
      <c r="AE541" s="77">
        <f t="shared" si="314"/>
        <v>2718.4881758457</v>
      </c>
    </row>
    <row r="542" customFormat="1" spans="1:31">
      <c r="A542" s="22"/>
      <c r="B542" s="23"/>
      <c r="C542" s="24">
        <v>241212000028</v>
      </c>
      <c r="D542" s="26">
        <v>45649</v>
      </c>
      <c r="E542" s="25" t="s">
        <v>57</v>
      </c>
      <c r="F542" s="23" t="s">
        <v>58</v>
      </c>
      <c r="G542" s="23" t="s">
        <v>148</v>
      </c>
      <c r="H542" s="23">
        <v>5</v>
      </c>
      <c r="I542" s="47"/>
      <c r="J542" s="44"/>
      <c r="K542" s="45"/>
      <c r="L542" s="23"/>
      <c r="M542" s="45">
        <v>56.01</v>
      </c>
      <c r="N542" s="57">
        <v>7.27</v>
      </c>
      <c r="O542" s="47">
        <f t="shared" si="318"/>
        <v>407.1927</v>
      </c>
      <c r="P542" s="49"/>
      <c r="Q542" s="49"/>
      <c r="R542" s="77">
        <f t="shared" si="319"/>
        <v>254.936201780415</v>
      </c>
      <c r="S542" s="77"/>
      <c r="T542" s="78">
        <f t="shared" si="320"/>
        <v>0.494807121661721</v>
      </c>
      <c r="U542" s="77"/>
      <c r="V542" s="77"/>
      <c r="W542" s="77">
        <f t="shared" si="315"/>
        <v>255.431008902077</v>
      </c>
      <c r="X542" s="79">
        <f t="shared" si="321"/>
        <v>4.00026706231454</v>
      </c>
      <c r="Y542" s="79"/>
      <c r="Z542" s="79"/>
      <c r="AA542" s="79">
        <f t="shared" si="316"/>
        <v>4.00026706231454</v>
      </c>
      <c r="AB542" s="91">
        <v>7.27</v>
      </c>
      <c r="AC542" s="77">
        <f t="shared" si="317"/>
        <v>29.0819415430267</v>
      </c>
      <c r="AD542" s="77">
        <f t="shared" si="313"/>
        <v>284.512950445104</v>
      </c>
      <c r="AE542" s="77">
        <f t="shared" si="314"/>
        <v>122.679749554896</v>
      </c>
    </row>
    <row r="543" customFormat="1" spans="1:31">
      <c r="A543" s="22"/>
      <c r="B543" s="23"/>
      <c r="C543" s="24">
        <v>241213000002</v>
      </c>
      <c r="D543" s="25">
        <v>45649</v>
      </c>
      <c r="E543" s="25" t="s">
        <v>37</v>
      </c>
      <c r="F543" s="23" t="s">
        <v>38</v>
      </c>
      <c r="G543" s="23" t="s">
        <v>396</v>
      </c>
      <c r="H543" s="23">
        <v>5.5</v>
      </c>
      <c r="I543" s="47"/>
      <c r="J543" s="51">
        <v>102260</v>
      </c>
      <c r="K543" s="45"/>
      <c r="L543" s="52">
        <f>SUM(J543/M543)</f>
        <v>1672.00784826684</v>
      </c>
      <c r="M543" s="53">
        <v>61.16</v>
      </c>
      <c r="N543" s="57">
        <v>7.27</v>
      </c>
      <c r="O543" s="47">
        <f t="shared" si="318"/>
        <v>444.6332</v>
      </c>
      <c r="P543" s="49"/>
      <c r="Q543" s="49"/>
      <c r="R543" s="77">
        <f t="shared" si="319"/>
        <v>280.429821958457</v>
      </c>
      <c r="S543" s="77"/>
      <c r="T543" s="78">
        <f t="shared" si="320"/>
        <v>0.544287833827893</v>
      </c>
      <c r="U543" s="77"/>
      <c r="V543" s="77"/>
      <c r="W543" s="77">
        <f t="shared" si="315"/>
        <v>280.974109792285</v>
      </c>
      <c r="X543" s="79">
        <f t="shared" si="321"/>
        <v>4.40029376854599</v>
      </c>
      <c r="Y543" s="79"/>
      <c r="Z543" s="79"/>
      <c r="AA543" s="79">
        <f t="shared" si="316"/>
        <v>4.40029376854599</v>
      </c>
      <c r="AB543" s="91">
        <v>7.27</v>
      </c>
      <c r="AC543" s="77">
        <f t="shared" si="317"/>
        <v>31.9901356973294</v>
      </c>
      <c r="AD543" s="77">
        <f t="shared" si="313"/>
        <v>312.964245489614</v>
      </c>
      <c r="AE543" s="77">
        <f t="shared" si="314"/>
        <v>131.668954510386</v>
      </c>
    </row>
    <row r="544" customFormat="1" spans="1:31">
      <c r="A544" s="22"/>
      <c r="B544" s="23"/>
      <c r="C544" s="24">
        <v>241213000006</v>
      </c>
      <c r="D544" s="25">
        <v>45649</v>
      </c>
      <c r="E544" s="25" t="s">
        <v>54</v>
      </c>
      <c r="F544" s="23" t="s">
        <v>55</v>
      </c>
      <c r="G544" s="23" t="s">
        <v>397</v>
      </c>
      <c r="H544" s="23">
        <v>15</v>
      </c>
      <c r="I544" s="47"/>
      <c r="J544" s="51">
        <v>259875</v>
      </c>
      <c r="K544" s="45"/>
      <c r="L544" s="52">
        <f>SUM(J544/M544)</f>
        <v>1650</v>
      </c>
      <c r="M544" s="53">
        <v>157.5</v>
      </c>
      <c r="N544" s="57">
        <v>7.27</v>
      </c>
      <c r="O544" s="47">
        <f t="shared" si="318"/>
        <v>1145.025</v>
      </c>
      <c r="P544" s="49"/>
      <c r="Q544" s="49"/>
      <c r="R544" s="77">
        <f t="shared" si="319"/>
        <v>764.808605341246</v>
      </c>
      <c r="S544" s="77"/>
      <c r="T544" s="78">
        <f t="shared" si="320"/>
        <v>1.48442136498516</v>
      </c>
      <c r="U544" s="77"/>
      <c r="V544" s="77"/>
      <c r="W544" s="77">
        <f t="shared" si="315"/>
        <v>766.293026706231</v>
      </c>
      <c r="X544" s="79">
        <f t="shared" si="321"/>
        <v>12.0008011869436</v>
      </c>
      <c r="Y544" s="79"/>
      <c r="Z544" s="79"/>
      <c r="AA544" s="79">
        <f t="shared" si="316"/>
        <v>12.0008011869436</v>
      </c>
      <c r="AB544" s="91">
        <v>7.27</v>
      </c>
      <c r="AC544" s="77">
        <f t="shared" si="317"/>
        <v>87.2458246290801</v>
      </c>
      <c r="AD544" s="77">
        <f t="shared" si="313"/>
        <v>853.538851335311</v>
      </c>
      <c r="AE544" s="77">
        <f t="shared" si="314"/>
        <v>291.486148664689</v>
      </c>
    </row>
    <row r="545" customFormat="1" spans="1:31">
      <c r="A545" s="22"/>
      <c r="B545" s="23"/>
      <c r="C545" s="24">
        <v>241213000011</v>
      </c>
      <c r="D545" s="25">
        <v>45649</v>
      </c>
      <c r="E545" s="25" t="s">
        <v>44</v>
      </c>
      <c r="F545" s="23" t="s">
        <v>45</v>
      </c>
      <c r="G545" s="23" t="s">
        <v>203</v>
      </c>
      <c r="H545" s="23">
        <v>0.62</v>
      </c>
      <c r="I545" s="43">
        <v>89</v>
      </c>
      <c r="J545" s="44"/>
      <c r="K545" s="45"/>
      <c r="L545" s="23"/>
      <c r="M545" s="45"/>
      <c r="N545" s="57"/>
      <c r="O545" s="47">
        <f t="shared" si="322"/>
        <v>89</v>
      </c>
      <c r="P545" s="49"/>
      <c r="Q545" s="49"/>
      <c r="R545" s="77">
        <f t="shared" si="319"/>
        <v>31.6120890207715</v>
      </c>
      <c r="S545" s="77"/>
      <c r="T545" s="78">
        <f t="shared" si="320"/>
        <v>0.0613560830860534</v>
      </c>
      <c r="U545" s="77"/>
      <c r="V545" s="77"/>
      <c r="W545" s="77">
        <f t="shared" si="315"/>
        <v>31.6734451038576</v>
      </c>
      <c r="X545" s="79">
        <f t="shared" si="321"/>
        <v>0.496033115727003</v>
      </c>
      <c r="Y545" s="79"/>
      <c r="Z545" s="79"/>
      <c r="AA545" s="79">
        <f t="shared" si="316"/>
        <v>0.496033115727003</v>
      </c>
      <c r="AB545" s="91">
        <v>7.27</v>
      </c>
      <c r="AC545" s="77">
        <f t="shared" si="317"/>
        <v>3.60616075133531</v>
      </c>
      <c r="AD545" s="77">
        <f t="shared" si="313"/>
        <v>35.2796058551929</v>
      </c>
      <c r="AE545" s="77">
        <f t="shared" si="314"/>
        <v>53.7203941448071</v>
      </c>
    </row>
    <row r="546" customFormat="1" spans="1:31">
      <c r="A546" s="22"/>
      <c r="B546" s="23"/>
      <c r="C546" s="24">
        <v>241213000014</v>
      </c>
      <c r="D546" s="25">
        <v>45649</v>
      </c>
      <c r="E546" s="25" t="s">
        <v>61</v>
      </c>
      <c r="F546" s="23" t="s">
        <v>62</v>
      </c>
      <c r="G546" s="23" t="s">
        <v>398</v>
      </c>
      <c r="H546" s="23">
        <v>11</v>
      </c>
      <c r="I546" s="43">
        <v>943</v>
      </c>
      <c r="J546" s="44"/>
      <c r="K546" s="45"/>
      <c r="L546" s="23"/>
      <c r="M546" s="45"/>
      <c r="N546" s="57"/>
      <c r="O546" s="47">
        <f t="shared" si="322"/>
        <v>943</v>
      </c>
      <c r="P546" s="49"/>
      <c r="Q546" s="49"/>
      <c r="R546" s="77">
        <f t="shared" si="319"/>
        <v>560.859643916914</v>
      </c>
      <c r="S546" s="77"/>
      <c r="T546" s="78">
        <f t="shared" si="320"/>
        <v>1.08857566765579</v>
      </c>
      <c r="U546" s="77"/>
      <c r="V546" s="78">
        <v>90</v>
      </c>
      <c r="W546" s="77">
        <f t="shared" si="315"/>
        <v>651.94821958457</v>
      </c>
      <c r="X546" s="79">
        <f t="shared" si="321"/>
        <v>8.80058753709199</v>
      </c>
      <c r="Y546" s="79"/>
      <c r="Z546" s="79"/>
      <c r="AA546" s="79">
        <f t="shared" si="316"/>
        <v>8.80058753709199</v>
      </c>
      <c r="AB546" s="91">
        <v>7.27</v>
      </c>
      <c r="AC546" s="77">
        <f t="shared" si="317"/>
        <v>63.9802713946587</v>
      </c>
      <c r="AD546" s="77">
        <f t="shared" si="313"/>
        <v>715.928490979228</v>
      </c>
      <c r="AE546" s="77">
        <f t="shared" si="314"/>
        <v>227.071509020772</v>
      </c>
    </row>
    <row r="547" customFormat="1" spans="1:31">
      <c r="A547" s="22"/>
      <c r="B547" s="23"/>
      <c r="C547" s="24">
        <v>241213000024</v>
      </c>
      <c r="D547" s="25">
        <v>45649</v>
      </c>
      <c r="E547" s="25" t="s">
        <v>44</v>
      </c>
      <c r="F547" s="23" t="s">
        <v>45</v>
      </c>
      <c r="G547" s="23" t="s">
        <v>307</v>
      </c>
      <c r="H547" s="23">
        <v>101.5</v>
      </c>
      <c r="I547" s="43">
        <v>7612.5</v>
      </c>
      <c r="J547" s="51"/>
      <c r="K547" s="45"/>
      <c r="L547" s="127"/>
      <c r="M547" s="45"/>
      <c r="N547" s="57"/>
      <c r="O547" s="47">
        <f t="shared" si="322"/>
        <v>7612.5</v>
      </c>
      <c r="P547" s="49"/>
      <c r="Q547" s="49"/>
      <c r="R547" s="77">
        <f t="shared" si="319"/>
        <v>5175.20489614243</v>
      </c>
      <c r="S547" s="77"/>
      <c r="T547" s="78">
        <f t="shared" si="320"/>
        <v>10.0445845697329</v>
      </c>
      <c r="U547" s="77"/>
      <c r="V547" s="77"/>
      <c r="W547" s="77">
        <f t="shared" si="315"/>
        <v>5185.24948071217</v>
      </c>
      <c r="X547" s="79">
        <f t="shared" si="321"/>
        <v>81.2054213649852</v>
      </c>
      <c r="Y547" s="79"/>
      <c r="Z547" s="79"/>
      <c r="AA547" s="79">
        <f t="shared" si="316"/>
        <v>81.2054213649852</v>
      </c>
      <c r="AB547" s="91">
        <v>7.27</v>
      </c>
      <c r="AC547" s="77">
        <f t="shared" si="317"/>
        <v>590.363413323442</v>
      </c>
      <c r="AD547" s="77">
        <f t="shared" si="313"/>
        <v>5775.61289403561</v>
      </c>
      <c r="AE547" s="77">
        <f t="shared" si="314"/>
        <v>1836.88710596439</v>
      </c>
    </row>
    <row r="548" customFormat="1" spans="1:31">
      <c r="A548" s="22"/>
      <c r="B548" s="23"/>
      <c r="C548" s="24">
        <v>241213000042</v>
      </c>
      <c r="D548" s="25">
        <v>45649</v>
      </c>
      <c r="E548" s="25" t="s">
        <v>41</v>
      </c>
      <c r="F548" s="23" t="s">
        <v>42</v>
      </c>
      <c r="G548" s="23" t="s">
        <v>300</v>
      </c>
      <c r="H548" s="23">
        <v>3.5</v>
      </c>
      <c r="I548" s="50">
        <v>283</v>
      </c>
      <c r="J548" s="44"/>
      <c r="K548" s="45"/>
      <c r="L548" s="23"/>
      <c r="M548" s="45"/>
      <c r="N548" s="57"/>
      <c r="O548" s="47">
        <f t="shared" si="322"/>
        <v>283</v>
      </c>
      <c r="P548" s="49"/>
      <c r="Q548" s="49"/>
      <c r="R548" s="77">
        <f t="shared" si="319"/>
        <v>178.455341246291</v>
      </c>
      <c r="S548" s="77"/>
      <c r="T548" s="78">
        <f t="shared" si="320"/>
        <v>0.346364985163205</v>
      </c>
      <c r="U548" s="77"/>
      <c r="V548" s="77"/>
      <c r="W548" s="77">
        <f t="shared" si="315"/>
        <v>178.801706231454</v>
      </c>
      <c r="X548" s="79">
        <f t="shared" si="321"/>
        <v>2.80018694362018</v>
      </c>
      <c r="Y548" s="79"/>
      <c r="Z548" s="79"/>
      <c r="AA548" s="79">
        <f t="shared" si="316"/>
        <v>2.80018694362018</v>
      </c>
      <c r="AB548" s="91">
        <v>7.27</v>
      </c>
      <c r="AC548" s="77">
        <f t="shared" si="317"/>
        <v>20.3573590801187</v>
      </c>
      <c r="AD548" s="77">
        <f t="shared" si="313"/>
        <v>199.159065311573</v>
      </c>
      <c r="AE548" s="77">
        <f t="shared" si="314"/>
        <v>83.840934688427</v>
      </c>
    </row>
    <row r="549" customFormat="1" spans="1:31">
      <c r="A549" s="22"/>
      <c r="B549" s="23"/>
      <c r="C549" s="24">
        <v>241213000049</v>
      </c>
      <c r="D549" s="26">
        <v>45649</v>
      </c>
      <c r="E549" s="25" t="s">
        <v>57</v>
      </c>
      <c r="F549" s="23" t="s">
        <v>58</v>
      </c>
      <c r="G549" s="23" t="s">
        <v>345</v>
      </c>
      <c r="H549" s="23">
        <v>1.5</v>
      </c>
      <c r="I549" s="47"/>
      <c r="J549" s="51">
        <v>19198</v>
      </c>
      <c r="K549" s="45"/>
      <c r="L549" s="52">
        <f t="shared" ref="L549:L553" si="323">SUM(J549/M549)</f>
        <v>1665.04770164788</v>
      </c>
      <c r="M549" s="53">
        <v>11.53</v>
      </c>
      <c r="N549" s="57">
        <v>7.27</v>
      </c>
      <c r="O549" s="47">
        <f t="shared" ref="O549:O553" si="324">SUM(M549*N549)</f>
        <v>83.8231</v>
      </c>
      <c r="P549" s="49"/>
      <c r="Q549" s="49"/>
      <c r="R549" s="77">
        <f t="shared" si="319"/>
        <v>76.4808605341246</v>
      </c>
      <c r="S549" s="77"/>
      <c r="T549" s="78">
        <f t="shared" si="320"/>
        <v>0.148442136498516</v>
      </c>
      <c r="U549" s="77"/>
      <c r="V549" s="77"/>
      <c r="W549" s="77">
        <f t="shared" si="315"/>
        <v>76.6293026706231</v>
      </c>
      <c r="X549" s="79">
        <f t="shared" si="321"/>
        <v>1.20008011869436</v>
      </c>
      <c r="Y549" s="79"/>
      <c r="Z549" s="79"/>
      <c r="AA549" s="79">
        <f t="shared" si="316"/>
        <v>1.20008011869436</v>
      </c>
      <c r="AB549" s="91">
        <v>7.27</v>
      </c>
      <c r="AC549" s="77">
        <f t="shared" si="317"/>
        <v>8.72458246290801</v>
      </c>
      <c r="AD549" s="77">
        <f t="shared" si="313"/>
        <v>85.3538851335312</v>
      </c>
      <c r="AE549" s="77">
        <f t="shared" si="314"/>
        <v>-1.5307851335312</v>
      </c>
    </row>
    <row r="550" customFormat="1" spans="1:31">
      <c r="A550" s="22"/>
      <c r="B550" s="23"/>
      <c r="C550" s="24">
        <v>241213000050</v>
      </c>
      <c r="D550" s="25">
        <v>45649</v>
      </c>
      <c r="E550" s="25" t="s">
        <v>44</v>
      </c>
      <c r="F550" s="23" t="s">
        <v>45</v>
      </c>
      <c r="G550" s="23" t="s">
        <v>135</v>
      </c>
      <c r="H550" s="23">
        <v>21</v>
      </c>
      <c r="I550" s="43">
        <v>1512</v>
      </c>
      <c r="J550" s="44"/>
      <c r="K550" s="45"/>
      <c r="L550" s="23"/>
      <c r="M550" s="45"/>
      <c r="N550" s="57"/>
      <c r="O550" s="47">
        <f t="shared" ref="O550:O559" si="325">SUM(I550)</f>
        <v>1512</v>
      </c>
      <c r="P550" s="49"/>
      <c r="Q550" s="49"/>
      <c r="R550" s="77">
        <f t="shared" si="319"/>
        <v>1070.73204747774</v>
      </c>
      <c r="S550" s="77"/>
      <c r="T550" s="78">
        <f t="shared" si="320"/>
        <v>2.07818991097923</v>
      </c>
      <c r="U550" s="77"/>
      <c r="V550" s="77"/>
      <c r="W550" s="77">
        <f t="shared" si="315"/>
        <v>1072.81023738872</v>
      </c>
      <c r="X550" s="79">
        <f t="shared" si="321"/>
        <v>16.8011216617211</v>
      </c>
      <c r="Y550" s="79"/>
      <c r="Z550" s="79"/>
      <c r="AA550" s="79">
        <f t="shared" si="316"/>
        <v>16.8011216617211</v>
      </c>
      <c r="AB550" s="91">
        <v>7.27</v>
      </c>
      <c r="AC550" s="77">
        <f t="shared" si="317"/>
        <v>122.144154480712</v>
      </c>
      <c r="AD550" s="77">
        <f t="shared" si="313"/>
        <v>1194.95439186944</v>
      </c>
      <c r="AE550" s="77">
        <f t="shared" si="314"/>
        <v>317.04560813056</v>
      </c>
    </row>
    <row r="551" customFormat="1" spans="1:31">
      <c r="A551" s="22"/>
      <c r="B551" s="23"/>
      <c r="C551" s="24">
        <v>241213000060</v>
      </c>
      <c r="D551" s="26">
        <v>45649</v>
      </c>
      <c r="E551" s="25" t="s">
        <v>70</v>
      </c>
      <c r="F551" s="23" t="s">
        <v>70</v>
      </c>
      <c r="G551" s="23" t="s">
        <v>342</v>
      </c>
      <c r="H551" s="23">
        <v>0.37</v>
      </c>
      <c r="I551" s="47"/>
      <c r="J551" s="51">
        <v>19000</v>
      </c>
      <c r="K551" s="45"/>
      <c r="L551" s="52">
        <f>SUM(J551/M551)</f>
        <v>1647.87510841284</v>
      </c>
      <c r="M551" s="53">
        <v>11.53</v>
      </c>
      <c r="N551" s="57">
        <v>7.27</v>
      </c>
      <c r="O551" s="47">
        <f t="shared" si="324"/>
        <v>83.8231</v>
      </c>
      <c r="P551" s="49"/>
      <c r="Q551" s="49"/>
      <c r="R551" s="77">
        <f t="shared" si="319"/>
        <v>18.8652789317507</v>
      </c>
      <c r="S551" s="77"/>
      <c r="T551" s="78">
        <f t="shared" si="320"/>
        <v>0.0366157270029674</v>
      </c>
      <c r="U551" s="77"/>
      <c r="V551" s="77"/>
      <c r="W551" s="77">
        <f t="shared" si="315"/>
        <v>18.9018946587537</v>
      </c>
      <c r="X551" s="79">
        <f t="shared" si="321"/>
        <v>0.296019762611276</v>
      </c>
      <c r="Y551" s="79"/>
      <c r="Z551" s="79"/>
      <c r="AA551" s="79">
        <f t="shared" si="316"/>
        <v>0.296019762611276</v>
      </c>
      <c r="AB551" s="91">
        <v>7.27</v>
      </c>
      <c r="AC551" s="77">
        <f t="shared" si="317"/>
        <v>2.15206367418398</v>
      </c>
      <c r="AD551" s="77">
        <f t="shared" si="313"/>
        <v>21.0539583329377</v>
      </c>
      <c r="AE551" s="77">
        <f t="shared" si="314"/>
        <v>62.7691416670623</v>
      </c>
    </row>
    <row r="552" customFormat="1" spans="1:31">
      <c r="A552" s="22"/>
      <c r="B552" s="23"/>
      <c r="C552" s="24">
        <v>241214000007</v>
      </c>
      <c r="D552" s="25">
        <v>45649</v>
      </c>
      <c r="E552" s="25" t="s">
        <v>54</v>
      </c>
      <c r="F552" s="23" t="s">
        <v>55</v>
      </c>
      <c r="G552" s="23" t="s">
        <v>399</v>
      </c>
      <c r="H552" s="23">
        <v>3</v>
      </c>
      <c r="I552" s="50"/>
      <c r="J552" s="51">
        <v>60227</v>
      </c>
      <c r="K552" s="45"/>
      <c r="L552" s="52">
        <f t="shared" si="323"/>
        <v>1665.10920652474</v>
      </c>
      <c r="M552" s="53">
        <v>36.17</v>
      </c>
      <c r="N552" s="57">
        <v>7.27</v>
      </c>
      <c r="O552" s="47">
        <f t="shared" si="324"/>
        <v>262.9559</v>
      </c>
      <c r="P552" s="49"/>
      <c r="Q552" s="49"/>
      <c r="R552" s="77">
        <f t="shared" si="319"/>
        <v>152.961721068249</v>
      </c>
      <c r="S552" s="77"/>
      <c r="T552" s="78">
        <f t="shared" si="320"/>
        <v>0.296884272997033</v>
      </c>
      <c r="U552" s="77"/>
      <c r="V552" s="77"/>
      <c r="W552" s="77">
        <f t="shared" si="315"/>
        <v>153.258605341246</v>
      </c>
      <c r="X552" s="79">
        <f t="shared" si="321"/>
        <v>2.40016023738872</v>
      </c>
      <c r="Y552" s="79"/>
      <c r="Z552" s="79"/>
      <c r="AA552" s="79">
        <f t="shared" si="316"/>
        <v>2.40016023738872</v>
      </c>
      <c r="AB552" s="91">
        <v>7.27</v>
      </c>
      <c r="AC552" s="77">
        <f t="shared" si="317"/>
        <v>17.449164925816</v>
      </c>
      <c r="AD552" s="77">
        <f t="shared" si="313"/>
        <v>170.707770267062</v>
      </c>
      <c r="AE552" s="77">
        <f t="shared" si="314"/>
        <v>92.248129732938</v>
      </c>
    </row>
    <row r="553" customFormat="1" spans="1:31">
      <c r="A553" s="22"/>
      <c r="B553" s="23"/>
      <c r="C553" s="24">
        <v>241214000018</v>
      </c>
      <c r="D553" s="25">
        <v>45649</v>
      </c>
      <c r="E553" s="25" t="s">
        <v>44</v>
      </c>
      <c r="F553" s="23" t="s">
        <v>45</v>
      </c>
      <c r="G553" s="23" t="s">
        <v>130</v>
      </c>
      <c r="H553" s="23">
        <v>7.5</v>
      </c>
      <c r="I553" s="96"/>
      <c r="J553" s="51">
        <v>126090</v>
      </c>
      <c r="K553" s="45"/>
      <c r="L553" s="52">
        <f t="shared" si="323"/>
        <v>1697.72451864818</v>
      </c>
      <c r="M553" s="53">
        <v>74.27</v>
      </c>
      <c r="N553" s="57">
        <v>7.27</v>
      </c>
      <c r="O553" s="47">
        <f t="shared" si="324"/>
        <v>539.9429</v>
      </c>
      <c r="P553" s="49"/>
      <c r="Q553" s="49"/>
      <c r="R553" s="77">
        <f t="shared" si="319"/>
        <v>382.404302670623</v>
      </c>
      <c r="S553" s="77"/>
      <c r="T553" s="78">
        <f t="shared" si="320"/>
        <v>0.742210682492582</v>
      </c>
      <c r="U553" s="77"/>
      <c r="V553" s="77"/>
      <c r="W553" s="77">
        <f t="shared" si="315"/>
        <v>383.146513353116</v>
      </c>
      <c r="X553" s="79">
        <f t="shared" si="321"/>
        <v>6.00040059347181</v>
      </c>
      <c r="Y553" s="79"/>
      <c r="Z553" s="79"/>
      <c r="AA553" s="79">
        <f t="shared" si="316"/>
        <v>6.00040059347181</v>
      </c>
      <c r="AB553" s="91">
        <v>7.27</v>
      </c>
      <c r="AC553" s="77">
        <f t="shared" si="317"/>
        <v>43.6229123145401</v>
      </c>
      <c r="AD553" s="77">
        <f t="shared" si="313"/>
        <v>426.769425667656</v>
      </c>
      <c r="AE553" s="77">
        <f t="shared" si="314"/>
        <v>113.173474332344</v>
      </c>
    </row>
    <row r="554" customFormat="1" spans="1:31">
      <c r="A554" s="22"/>
      <c r="B554" s="23"/>
      <c r="C554" s="24">
        <v>241214000026</v>
      </c>
      <c r="D554" s="25">
        <v>45649</v>
      </c>
      <c r="E554" s="25" t="s">
        <v>44</v>
      </c>
      <c r="F554" s="23" t="s">
        <v>45</v>
      </c>
      <c r="G554" s="23" t="s">
        <v>306</v>
      </c>
      <c r="H554" s="23">
        <v>1.5</v>
      </c>
      <c r="I554" s="43">
        <v>132.5</v>
      </c>
      <c r="J554" s="44"/>
      <c r="K554" s="45"/>
      <c r="L554" s="23"/>
      <c r="M554" s="45"/>
      <c r="N554" s="57"/>
      <c r="O554" s="47">
        <f t="shared" si="325"/>
        <v>132.5</v>
      </c>
      <c r="P554" s="49"/>
      <c r="Q554" s="49"/>
      <c r="R554" s="77">
        <f t="shared" si="319"/>
        <v>76.4808605341246</v>
      </c>
      <c r="S554" s="77"/>
      <c r="T554" s="78">
        <f t="shared" si="320"/>
        <v>0.148442136498516</v>
      </c>
      <c r="U554" s="77"/>
      <c r="V554" s="77"/>
      <c r="W554" s="77">
        <f t="shared" si="315"/>
        <v>76.6293026706231</v>
      </c>
      <c r="X554" s="79">
        <f t="shared" si="321"/>
        <v>1.20008011869436</v>
      </c>
      <c r="Y554" s="79"/>
      <c r="Z554" s="79"/>
      <c r="AA554" s="79">
        <f t="shared" si="316"/>
        <v>1.20008011869436</v>
      </c>
      <c r="AB554" s="91">
        <v>7.27</v>
      </c>
      <c r="AC554" s="77">
        <f t="shared" si="317"/>
        <v>8.72458246290801</v>
      </c>
      <c r="AD554" s="77">
        <f t="shared" si="313"/>
        <v>85.3538851335312</v>
      </c>
      <c r="AE554" s="77">
        <f t="shared" si="314"/>
        <v>47.1461148664688</v>
      </c>
    </row>
    <row r="555" customFormat="1" spans="1:31">
      <c r="A555" s="22"/>
      <c r="B555" s="23"/>
      <c r="C555" s="24">
        <v>241214000032</v>
      </c>
      <c r="D555" s="25">
        <v>45649</v>
      </c>
      <c r="E555" s="25" t="s">
        <v>37</v>
      </c>
      <c r="F555" s="23" t="s">
        <v>38</v>
      </c>
      <c r="G555" s="23" t="s">
        <v>400</v>
      </c>
      <c r="H555" s="23">
        <v>1</v>
      </c>
      <c r="I555" s="43">
        <v>83</v>
      </c>
      <c r="J555" s="44"/>
      <c r="K555" s="45"/>
      <c r="L555" s="23"/>
      <c r="M555" s="45"/>
      <c r="N555" s="57"/>
      <c r="O555" s="47">
        <f t="shared" si="325"/>
        <v>83</v>
      </c>
      <c r="P555" s="49"/>
      <c r="Q555" s="49"/>
      <c r="R555" s="77">
        <f t="shared" si="319"/>
        <v>50.9872403560831</v>
      </c>
      <c r="S555" s="77"/>
      <c r="T555" s="78">
        <f t="shared" si="320"/>
        <v>0.0989614243323442</v>
      </c>
      <c r="U555" s="77"/>
      <c r="V555" s="77"/>
      <c r="W555" s="77">
        <f t="shared" si="315"/>
        <v>51.0862017804154</v>
      </c>
      <c r="X555" s="79">
        <f t="shared" si="321"/>
        <v>0.800053412462908</v>
      </c>
      <c r="Y555" s="79"/>
      <c r="Z555" s="79"/>
      <c r="AA555" s="79">
        <f t="shared" si="316"/>
        <v>0.800053412462908</v>
      </c>
      <c r="AB555" s="91">
        <v>7.27</v>
      </c>
      <c r="AC555" s="77">
        <f t="shared" si="317"/>
        <v>5.81638830860534</v>
      </c>
      <c r="AD555" s="77">
        <f t="shared" si="313"/>
        <v>56.9025900890208</v>
      </c>
      <c r="AE555" s="77">
        <f t="shared" si="314"/>
        <v>26.0974099109792</v>
      </c>
    </row>
    <row r="556" customFormat="1" spans="1:31">
      <c r="A556" s="22"/>
      <c r="B556" s="23"/>
      <c r="C556" s="24">
        <v>241214000033</v>
      </c>
      <c r="D556" s="25">
        <v>45649</v>
      </c>
      <c r="E556" s="25" t="s">
        <v>61</v>
      </c>
      <c r="F556" s="23" t="s">
        <v>62</v>
      </c>
      <c r="G556" s="23" t="s">
        <v>401</v>
      </c>
      <c r="H556" s="23">
        <v>34</v>
      </c>
      <c r="I556" s="43">
        <v>2550</v>
      </c>
      <c r="J556" s="44"/>
      <c r="K556" s="45"/>
      <c r="L556" s="23"/>
      <c r="M556" s="45"/>
      <c r="N556" s="57"/>
      <c r="O556" s="47">
        <f t="shared" si="325"/>
        <v>2550</v>
      </c>
      <c r="P556" s="49"/>
      <c r="Q556" s="49"/>
      <c r="R556" s="77">
        <f t="shared" si="319"/>
        <v>1733.56617210682</v>
      </c>
      <c r="S556" s="77"/>
      <c r="T556" s="78">
        <f t="shared" si="320"/>
        <v>3.3646884272997</v>
      </c>
      <c r="U556" s="77"/>
      <c r="V556" s="77"/>
      <c r="W556" s="77">
        <f t="shared" si="315"/>
        <v>1736.93086053412</v>
      </c>
      <c r="X556" s="79">
        <f t="shared" si="321"/>
        <v>27.2018160237389</v>
      </c>
      <c r="Y556" s="79"/>
      <c r="Z556" s="79"/>
      <c r="AA556" s="79">
        <f t="shared" si="316"/>
        <v>27.2018160237389</v>
      </c>
      <c r="AB556" s="91">
        <v>7.27</v>
      </c>
      <c r="AC556" s="77">
        <f t="shared" si="317"/>
        <v>197.757202492582</v>
      </c>
      <c r="AD556" s="77">
        <f t="shared" si="313"/>
        <v>1934.68806302671</v>
      </c>
      <c r="AE556" s="77">
        <f t="shared" si="314"/>
        <v>615.31193697329</v>
      </c>
    </row>
    <row r="557" customFormat="1" spans="1:31">
      <c r="A557" s="22"/>
      <c r="B557" s="23"/>
      <c r="C557" s="24">
        <v>241214000034</v>
      </c>
      <c r="D557" s="25">
        <v>45649</v>
      </c>
      <c r="E557" s="25" t="s">
        <v>61</v>
      </c>
      <c r="F557" s="23" t="s">
        <v>62</v>
      </c>
      <c r="G557" s="23" t="s">
        <v>402</v>
      </c>
      <c r="H557" s="23">
        <v>5.5</v>
      </c>
      <c r="I557" s="43">
        <v>513</v>
      </c>
      <c r="J557" s="44"/>
      <c r="K557" s="45"/>
      <c r="L557" s="23"/>
      <c r="M557" s="45"/>
      <c r="N557" s="57"/>
      <c r="O557" s="47">
        <f t="shared" si="325"/>
        <v>513</v>
      </c>
      <c r="P557" s="49"/>
      <c r="Q557" s="49"/>
      <c r="R557" s="77">
        <f t="shared" si="319"/>
        <v>280.429821958457</v>
      </c>
      <c r="S557" s="77"/>
      <c r="T557" s="78">
        <f t="shared" si="320"/>
        <v>0.544287833827893</v>
      </c>
      <c r="U557" s="77"/>
      <c r="V557" s="77"/>
      <c r="W557" s="77">
        <f t="shared" si="315"/>
        <v>280.974109792285</v>
      </c>
      <c r="X557" s="79">
        <f t="shared" si="321"/>
        <v>4.40029376854599</v>
      </c>
      <c r="Y557" s="79">
        <v>9.62</v>
      </c>
      <c r="Z557" s="79"/>
      <c r="AA557" s="79">
        <f t="shared" si="316"/>
        <v>14.020293768546</v>
      </c>
      <c r="AB557" s="91">
        <v>7.27</v>
      </c>
      <c r="AC557" s="77">
        <f t="shared" si="317"/>
        <v>101.927535697329</v>
      </c>
      <c r="AD557" s="77">
        <f t="shared" si="313"/>
        <v>382.901645489614</v>
      </c>
      <c r="AE557" s="77">
        <f t="shared" si="314"/>
        <v>130.098354510386</v>
      </c>
    </row>
    <row r="558" customFormat="1" spans="1:31">
      <c r="A558" s="22"/>
      <c r="B558" s="23"/>
      <c r="C558" s="24">
        <v>241214000036</v>
      </c>
      <c r="D558" s="26">
        <v>45649</v>
      </c>
      <c r="E558" s="25" t="s">
        <v>70</v>
      </c>
      <c r="F558" s="23" t="s">
        <v>70</v>
      </c>
      <c r="G558" s="23" t="s">
        <v>156</v>
      </c>
      <c r="H558" s="23">
        <v>7.5</v>
      </c>
      <c r="I558" s="43">
        <v>583.5</v>
      </c>
      <c r="J558" s="44"/>
      <c r="K558" s="45"/>
      <c r="L558" s="23"/>
      <c r="M558" s="45"/>
      <c r="N558" s="57"/>
      <c r="O558" s="47">
        <f t="shared" si="325"/>
        <v>583.5</v>
      </c>
      <c r="P558" s="49"/>
      <c r="Q558" s="49"/>
      <c r="R558" s="77">
        <f t="shared" si="319"/>
        <v>382.404302670623</v>
      </c>
      <c r="S558" s="77"/>
      <c r="T558" s="78">
        <f t="shared" si="320"/>
        <v>0.742210682492582</v>
      </c>
      <c r="U558" s="77"/>
      <c r="V558" s="77"/>
      <c r="W558" s="77">
        <f t="shared" si="315"/>
        <v>383.146513353116</v>
      </c>
      <c r="X558" s="79">
        <f t="shared" si="321"/>
        <v>6.00040059347181</v>
      </c>
      <c r="Y558" s="79"/>
      <c r="Z558" s="79"/>
      <c r="AA558" s="79">
        <f t="shared" si="316"/>
        <v>6.00040059347181</v>
      </c>
      <c r="AB558" s="91">
        <v>7.27</v>
      </c>
      <c r="AC558" s="77">
        <f t="shared" si="317"/>
        <v>43.6229123145401</v>
      </c>
      <c r="AD558" s="77">
        <f t="shared" si="313"/>
        <v>426.769425667656</v>
      </c>
      <c r="AE558" s="77">
        <f t="shared" si="314"/>
        <v>156.730574332344</v>
      </c>
    </row>
    <row r="559" customFormat="1" spans="1:31">
      <c r="A559" s="22"/>
      <c r="B559" s="23"/>
      <c r="C559" s="24">
        <v>241215000002</v>
      </c>
      <c r="D559" s="26">
        <v>45649</v>
      </c>
      <c r="E559" s="25" t="s">
        <v>70</v>
      </c>
      <c r="F559" s="23" t="s">
        <v>70</v>
      </c>
      <c r="G559" s="23" t="s">
        <v>237</v>
      </c>
      <c r="H559" s="23">
        <v>65</v>
      </c>
      <c r="I559" s="43">
        <v>5405</v>
      </c>
      <c r="J559" s="44"/>
      <c r="K559" s="45"/>
      <c r="L559" s="23"/>
      <c r="M559" s="45"/>
      <c r="N559" s="57"/>
      <c r="O559" s="47">
        <f t="shared" si="325"/>
        <v>5405</v>
      </c>
      <c r="P559" s="49"/>
      <c r="Q559" s="49"/>
      <c r="R559" s="77">
        <f t="shared" si="319"/>
        <v>3314.1706231454</v>
      </c>
      <c r="S559" s="77"/>
      <c r="T559" s="78">
        <f t="shared" si="320"/>
        <v>6.43249258160237</v>
      </c>
      <c r="U559" s="77"/>
      <c r="V559" s="77"/>
      <c r="W559" s="77">
        <f t="shared" si="315"/>
        <v>3320.603115727</v>
      </c>
      <c r="X559" s="79">
        <f t="shared" si="321"/>
        <v>52.003471810089</v>
      </c>
      <c r="Y559" s="79"/>
      <c r="Z559" s="79"/>
      <c r="AA559" s="79">
        <f t="shared" si="316"/>
        <v>52.003471810089</v>
      </c>
      <c r="AB559" s="91">
        <v>7.27</v>
      </c>
      <c r="AC559" s="77">
        <f t="shared" si="317"/>
        <v>378.065240059347</v>
      </c>
      <c r="AD559" s="77">
        <f t="shared" si="313"/>
        <v>3698.66835578635</v>
      </c>
      <c r="AE559" s="77">
        <f t="shared" si="314"/>
        <v>1706.33164421365</v>
      </c>
    </row>
    <row r="560" customFormat="1" spans="1:31">
      <c r="A560" s="22"/>
      <c r="B560" s="23"/>
      <c r="C560" s="92">
        <v>241216000002</v>
      </c>
      <c r="D560" s="94">
        <v>45649</v>
      </c>
      <c r="E560" s="25" t="s">
        <v>37</v>
      </c>
      <c r="F560" s="95" t="s">
        <v>38</v>
      </c>
      <c r="G560" s="95" t="s">
        <v>127</v>
      </c>
      <c r="H560" s="95">
        <v>5</v>
      </c>
      <c r="I560" s="50"/>
      <c r="J560" s="52">
        <v>92334</v>
      </c>
      <c r="K560" s="97"/>
      <c r="L560" s="52">
        <f>SUM(J560/M560)</f>
        <v>1650</v>
      </c>
      <c r="M560" s="98">
        <v>55.96</v>
      </c>
      <c r="N560" s="57">
        <v>7.27</v>
      </c>
      <c r="O560" s="47">
        <f t="shared" ref="O560:O563" si="326">SUM(M560*N560)</f>
        <v>406.8292</v>
      </c>
      <c r="P560" s="49"/>
      <c r="Q560" s="49"/>
      <c r="R560" s="77">
        <f t="shared" si="319"/>
        <v>254.936201780415</v>
      </c>
      <c r="S560" s="77"/>
      <c r="T560" s="78">
        <f t="shared" si="320"/>
        <v>0.494807121661721</v>
      </c>
      <c r="U560" s="77"/>
      <c r="V560" s="77"/>
      <c r="W560" s="77">
        <f t="shared" si="315"/>
        <v>255.431008902077</v>
      </c>
      <c r="X560" s="79">
        <f t="shared" si="321"/>
        <v>4.00026706231454</v>
      </c>
      <c r="Y560" s="79"/>
      <c r="Z560" s="79"/>
      <c r="AA560" s="79">
        <f t="shared" si="316"/>
        <v>4.00026706231454</v>
      </c>
      <c r="AB560" s="91">
        <v>7.27</v>
      </c>
      <c r="AC560" s="77">
        <f t="shared" si="317"/>
        <v>29.0819415430267</v>
      </c>
      <c r="AD560" s="77">
        <f t="shared" si="313"/>
        <v>284.512950445104</v>
      </c>
      <c r="AE560" s="77">
        <f t="shared" si="314"/>
        <v>122.316249554896</v>
      </c>
    </row>
    <row r="561" customFormat="1" spans="1:31">
      <c r="A561" s="22"/>
      <c r="B561" s="23"/>
      <c r="C561" s="24">
        <v>241216000005</v>
      </c>
      <c r="D561" s="25">
        <v>45649</v>
      </c>
      <c r="E561" s="25" t="s">
        <v>37</v>
      </c>
      <c r="F561" s="23" t="s">
        <v>38</v>
      </c>
      <c r="G561" s="23" t="s">
        <v>127</v>
      </c>
      <c r="H561" s="23">
        <v>0.46</v>
      </c>
      <c r="I561" s="47"/>
      <c r="J561" s="51">
        <v>19024.5</v>
      </c>
      <c r="K561" s="45"/>
      <c r="L561" s="52">
        <f>SUM(J561/M561)</f>
        <v>1650</v>
      </c>
      <c r="M561" s="53">
        <v>11.53</v>
      </c>
      <c r="N561" s="57">
        <v>7.27</v>
      </c>
      <c r="O561" s="47">
        <f t="shared" si="326"/>
        <v>83.8231</v>
      </c>
      <c r="P561" s="49"/>
      <c r="Q561" s="49"/>
      <c r="R561" s="77">
        <f t="shared" si="319"/>
        <v>23.4541305637982</v>
      </c>
      <c r="S561" s="77"/>
      <c r="T561" s="78">
        <f t="shared" si="320"/>
        <v>0.0455222551928783</v>
      </c>
      <c r="U561" s="77"/>
      <c r="V561" s="77"/>
      <c r="W561" s="77">
        <f t="shared" si="315"/>
        <v>23.4996528189911</v>
      </c>
      <c r="X561" s="79">
        <f t="shared" si="321"/>
        <v>0.368024569732938</v>
      </c>
      <c r="Y561" s="79"/>
      <c r="Z561" s="79"/>
      <c r="AA561" s="79">
        <f t="shared" si="316"/>
        <v>0.368024569732938</v>
      </c>
      <c r="AB561" s="91">
        <v>7.27</v>
      </c>
      <c r="AC561" s="77">
        <f t="shared" si="317"/>
        <v>2.67553862195846</v>
      </c>
      <c r="AD561" s="77">
        <f t="shared" si="313"/>
        <v>26.1751914409496</v>
      </c>
      <c r="AE561" s="77">
        <f t="shared" si="314"/>
        <v>57.6479085590504</v>
      </c>
    </row>
    <row r="562" customFormat="1" spans="1:31">
      <c r="A562" s="22"/>
      <c r="B562" s="23"/>
      <c r="C562" s="24">
        <v>241216000006</v>
      </c>
      <c r="D562" s="25">
        <v>45649</v>
      </c>
      <c r="E562" s="25" t="s">
        <v>54</v>
      </c>
      <c r="F562" s="23" t="s">
        <v>55</v>
      </c>
      <c r="G562" s="23" t="s">
        <v>118</v>
      </c>
      <c r="H562" s="23">
        <v>26</v>
      </c>
      <c r="I562" s="47"/>
      <c r="J562" s="51">
        <v>453726.63</v>
      </c>
      <c r="K562" s="45"/>
      <c r="L562" s="52">
        <f>SUM(J562/M562)</f>
        <v>1671</v>
      </c>
      <c r="M562" s="53">
        <v>271.53</v>
      </c>
      <c r="N562" s="57">
        <v>7.27</v>
      </c>
      <c r="O562" s="47">
        <f t="shared" si="326"/>
        <v>1974.0231</v>
      </c>
      <c r="P562" s="49"/>
      <c r="Q562" s="49"/>
      <c r="R562" s="77">
        <f t="shared" si="319"/>
        <v>1325.66824925816</v>
      </c>
      <c r="S562" s="77"/>
      <c r="T562" s="78">
        <f t="shared" si="320"/>
        <v>2.57299703264095</v>
      </c>
      <c r="U562" s="77"/>
      <c r="V562" s="77"/>
      <c r="W562" s="77">
        <f t="shared" si="315"/>
        <v>1328.2412462908</v>
      </c>
      <c r="X562" s="79">
        <f t="shared" si="321"/>
        <v>20.8013887240356</v>
      </c>
      <c r="Y562" s="79"/>
      <c r="Z562" s="79"/>
      <c r="AA562" s="79">
        <f t="shared" si="316"/>
        <v>20.8013887240356</v>
      </c>
      <c r="AB562" s="91">
        <v>7.27</v>
      </c>
      <c r="AC562" s="77">
        <f t="shared" si="317"/>
        <v>151.226096023739</v>
      </c>
      <c r="AD562" s="77">
        <f t="shared" si="313"/>
        <v>1479.46734231454</v>
      </c>
      <c r="AE562" s="77">
        <f t="shared" si="314"/>
        <v>494.55575768546</v>
      </c>
    </row>
    <row r="563" customFormat="1" spans="1:31">
      <c r="A563" s="22"/>
      <c r="B563" s="23"/>
      <c r="C563" s="24">
        <v>241216000012</v>
      </c>
      <c r="D563" s="25">
        <v>45649</v>
      </c>
      <c r="E563" s="25" t="s">
        <v>54</v>
      </c>
      <c r="F563" s="23" t="s">
        <v>55</v>
      </c>
      <c r="G563" s="23" t="s">
        <v>397</v>
      </c>
      <c r="H563" s="23">
        <v>12</v>
      </c>
      <c r="I563" s="47"/>
      <c r="J563" s="51">
        <v>212850</v>
      </c>
      <c r="K563" s="45"/>
      <c r="L563" s="52">
        <f>SUM(J563/M563)</f>
        <v>1650</v>
      </c>
      <c r="M563" s="53">
        <v>129</v>
      </c>
      <c r="N563" s="57">
        <v>7.27</v>
      </c>
      <c r="O563" s="47">
        <f t="shared" si="326"/>
        <v>937.83</v>
      </c>
      <c r="P563" s="49"/>
      <c r="Q563" s="49"/>
      <c r="R563" s="77">
        <f t="shared" si="319"/>
        <v>611.846884272997</v>
      </c>
      <c r="S563" s="77"/>
      <c r="T563" s="78">
        <f t="shared" si="320"/>
        <v>1.18753709198813</v>
      </c>
      <c r="U563" s="77"/>
      <c r="V563" s="77"/>
      <c r="W563" s="77">
        <f t="shared" si="315"/>
        <v>613.034421364985</v>
      </c>
      <c r="X563" s="79">
        <f t="shared" si="321"/>
        <v>9.6006409495549</v>
      </c>
      <c r="Y563" s="79"/>
      <c r="Z563" s="79"/>
      <c r="AA563" s="79">
        <f t="shared" si="316"/>
        <v>9.6006409495549</v>
      </c>
      <c r="AB563" s="91">
        <v>7.27</v>
      </c>
      <c r="AC563" s="77">
        <f t="shared" si="317"/>
        <v>69.7966597032641</v>
      </c>
      <c r="AD563" s="77">
        <f t="shared" si="313"/>
        <v>682.831081068249</v>
      </c>
      <c r="AE563" s="77">
        <f t="shared" si="314"/>
        <v>254.998918931751</v>
      </c>
    </row>
    <row r="564" customFormat="1" spans="1:31">
      <c r="A564" s="22"/>
      <c r="B564" s="23"/>
      <c r="C564" s="24">
        <v>241216000014</v>
      </c>
      <c r="D564" s="25">
        <v>45649</v>
      </c>
      <c r="E564" s="25" t="s">
        <v>37</v>
      </c>
      <c r="F564" s="23" t="s">
        <v>38</v>
      </c>
      <c r="G564" s="23" t="s">
        <v>403</v>
      </c>
      <c r="H564" s="23">
        <v>20.5</v>
      </c>
      <c r="I564" s="43">
        <v>1584</v>
      </c>
      <c r="J564" s="44"/>
      <c r="K564" s="45"/>
      <c r="L564" s="23"/>
      <c r="M564" s="45"/>
      <c r="N564" s="57"/>
      <c r="O564" s="47">
        <f t="shared" ref="O564:O567" si="327">SUM(I564)</f>
        <v>1584</v>
      </c>
      <c r="P564" s="49"/>
      <c r="Q564" s="49"/>
      <c r="R564" s="77">
        <f t="shared" si="319"/>
        <v>1045.2384272997</v>
      </c>
      <c r="S564" s="77"/>
      <c r="T564" s="78">
        <f t="shared" si="320"/>
        <v>2.02870919881306</v>
      </c>
      <c r="U564" s="77"/>
      <c r="V564" s="77"/>
      <c r="W564" s="77">
        <f t="shared" si="315"/>
        <v>1047.26713649852</v>
      </c>
      <c r="X564" s="79">
        <f t="shared" si="321"/>
        <v>16.4010949554896</v>
      </c>
      <c r="Y564" s="79"/>
      <c r="Z564" s="79"/>
      <c r="AA564" s="79">
        <f t="shared" si="316"/>
        <v>16.4010949554896</v>
      </c>
      <c r="AB564" s="91">
        <v>7.27</v>
      </c>
      <c r="AC564" s="77">
        <f t="shared" si="317"/>
        <v>119.235960326409</v>
      </c>
      <c r="AD564" s="77">
        <f t="shared" si="313"/>
        <v>1166.50309682493</v>
      </c>
      <c r="AE564" s="77">
        <f t="shared" si="314"/>
        <v>417.49690317507</v>
      </c>
    </row>
    <row r="565" customFormat="1" spans="1:31">
      <c r="A565" s="22"/>
      <c r="B565" s="23"/>
      <c r="C565" s="24">
        <v>241216000019</v>
      </c>
      <c r="D565" s="25">
        <v>45649</v>
      </c>
      <c r="E565" s="25" t="s">
        <v>37</v>
      </c>
      <c r="F565" s="23" t="s">
        <v>38</v>
      </c>
      <c r="G565" s="23" t="s">
        <v>152</v>
      </c>
      <c r="H565" s="23">
        <v>599.5</v>
      </c>
      <c r="I565" s="43">
        <v>41000</v>
      </c>
      <c r="J565" s="44"/>
      <c r="K565" s="45"/>
      <c r="L565" s="23"/>
      <c r="M565" s="45"/>
      <c r="N565" s="57"/>
      <c r="O565" s="47">
        <f t="shared" si="327"/>
        <v>41000</v>
      </c>
      <c r="P565" s="49"/>
      <c r="Q565" s="49"/>
      <c r="R565" s="77">
        <f t="shared" si="319"/>
        <v>30566.8505934718</v>
      </c>
      <c r="S565" s="77"/>
      <c r="T565" s="78">
        <f t="shared" si="320"/>
        <v>59.3273738872404</v>
      </c>
      <c r="U565" s="77"/>
      <c r="V565" s="77"/>
      <c r="W565" s="77">
        <f t="shared" si="315"/>
        <v>30626.177967359</v>
      </c>
      <c r="X565" s="79">
        <f t="shared" si="321"/>
        <v>479.632020771513</v>
      </c>
      <c r="Y565" s="79">
        <v>114.2</v>
      </c>
      <c r="Z565" s="79"/>
      <c r="AA565" s="79">
        <f t="shared" si="316"/>
        <v>593.832020771513</v>
      </c>
      <c r="AB565" s="91">
        <v>7.27</v>
      </c>
      <c r="AC565" s="77">
        <f t="shared" si="317"/>
        <v>4317.1587910089</v>
      </c>
      <c r="AD565" s="77">
        <f t="shared" si="313"/>
        <v>34943.336758368</v>
      </c>
      <c r="AE565" s="77">
        <f t="shared" si="314"/>
        <v>6056.663241632</v>
      </c>
    </row>
    <row r="566" customFormat="1" spans="1:31">
      <c r="A566" s="22"/>
      <c r="B566" s="23"/>
      <c r="C566" s="24">
        <v>241216000020</v>
      </c>
      <c r="D566" s="25">
        <v>45649</v>
      </c>
      <c r="E566" s="25" t="s">
        <v>54</v>
      </c>
      <c r="F566" s="23" t="s">
        <v>55</v>
      </c>
      <c r="G566" s="23" t="s">
        <v>104</v>
      </c>
      <c r="H566" s="23">
        <v>9</v>
      </c>
      <c r="I566" s="43">
        <v>699</v>
      </c>
      <c r="J566" s="44"/>
      <c r="K566" s="45"/>
      <c r="L566" s="23"/>
      <c r="M566" s="45"/>
      <c r="N566" s="57"/>
      <c r="O566" s="47">
        <f t="shared" si="327"/>
        <v>699</v>
      </c>
      <c r="P566" s="49"/>
      <c r="Q566" s="49"/>
      <c r="R566" s="77">
        <f t="shared" si="319"/>
        <v>458.885163204748</v>
      </c>
      <c r="S566" s="77"/>
      <c r="T566" s="78">
        <f t="shared" si="320"/>
        <v>0.890652818991098</v>
      </c>
      <c r="U566" s="77"/>
      <c r="V566" s="77"/>
      <c r="W566" s="77">
        <f t="shared" si="315"/>
        <v>459.775816023739</v>
      </c>
      <c r="X566" s="79">
        <f t="shared" si="321"/>
        <v>7.20048071216617</v>
      </c>
      <c r="Y566" s="79"/>
      <c r="Z566" s="79"/>
      <c r="AA566" s="79">
        <f t="shared" si="316"/>
        <v>7.20048071216617</v>
      </c>
      <c r="AB566" s="91">
        <v>7.27</v>
      </c>
      <c r="AC566" s="77">
        <f t="shared" si="317"/>
        <v>52.3474947774481</v>
      </c>
      <c r="AD566" s="77">
        <f t="shared" si="313"/>
        <v>512.123310801187</v>
      </c>
      <c r="AE566" s="77">
        <f t="shared" si="314"/>
        <v>186.876689198813</v>
      </c>
    </row>
    <row r="567" customFormat="1" spans="1:31">
      <c r="A567" s="22"/>
      <c r="B567" s="23"/>
      <c r="C567" s="24">
        <v>241216000023</v>
      </c>
      <c r="D567" s="25">
        <v>45649</v>
      </c>
      <c r="E567" s="25" t="s">
        <v>37</v>
      </c>
      <c r="F567" s="23" t="s">
        <v>38</v>
      </c>
      <c r="G567" s="23" t="s">
        <v>154</v>
      </c>
      <c r="H567" s="23">
        <v>25</v>
      </c>
      <c r="I567" s="43">
        <v>1694</v>
      </c>
      <c r="J567" s="44"/>
      <c r="K567" s="45"/>
      <c r="L567" s="23"/>
      <c r="M567" s="45"/>
      <c r="N567" s="57"/>
      <c r="O567" s="47">
        <f t="shared" si="327"/>
        <v>1694</v>
      </c>
      <c r="P567" s="49"/>
      <c r="Q567" s="49"/>
      <c r="R567" s="77">
        <f t="shared" si="319"/>
        <v>1274.68100890208</v>
      </c>
      <c r="S567" s="77"/>
      <c r="T567" s="78">
        <f t="shared" si="320"/>
        <v>2.47403560830861</v>
      </c>
      <c r="U567" s="77"/>
      <c r="V567" s="77"/>
      <c r="W567" s="77">
        <f t="shared" si="315"/>
        <v>1277.15504451039</v>
      </c>
      <c r="X567" s="79">
        <f t="shared" si="321"/>
        <v>20.0013353115727</v>
      </c>
      <c r="Y567" s="79"/>
      <c r="Z567" s="79"/>
      <c r="AA567" s="79">
        <f t="shared" si="316"/>
        <v>20.0013353115727</v>
      </c>
      <c r="AB567" s="91">
        <v>7.27</v>
      </c>
      <c r="AC567" s="77">
        <f t="shared" si="317"/>
        <v>145.409707715134</v>
      </c>
      <c r="AD567" s="77">
        <f t="shared" si="313"/>
        <v>1422.56475222552</v>
      </c>
      <c r="AE567" s="77">
        <f t="shared" si="314"/>
        <v>271.43524777448</v>
      </c>
    </row>
    <row r="568" customFormat="1" spans="1:31">
      <c r="A568" s="22"/>
      <c r="B568" s="23"/>
      <c r="C568" s="24">
        <v>241216000024</v>
      </c>
      <c r="D568" s="25">
        <v>45649</v>
      </c>
      <c r="E568" s="25" t="s">
        <v>61</v>
      </c>
      <c r="F568" s="23" t="s">
        <v>62</v>
      </c>
      <c r="G568" s="23" t="s">
        <v>207</v>
      </c>
      <c r="H568" s="23">
        <v>4</v>
      </c>
      <c r="I568" s="50"/>
      <c r="J568" s="51">
        <v>80150</v>
      </c>
      <c r="K568" s="45"/>
      <c r="L568" s="52">
        <f>SUM(J568/M568)</f>
        <v>1664.93560448691</v>
      </c>
      <c r="M568" s="53">
        <v>48.14</v>
      </c>
      <c r="N568" s="57">
        <v>7.27</v>
      </c>
      <c r="O568" s="47">
        <f>SUM(M568*N568)</f>
        <v>349.9778</v>
      </c>
      <c r="P568" s="49"/>
      <c r="Q568" s="49"/>
      <c r="R568" s="77">
        <f t="shared" si="319"/>
        <v>203.948961424332</v>
      </c>
      <c r="S568" s="77"/>
      <c r="T568" s="78">
        <f t="shared" si="320"/>
        <v>0.395845697329377</v>
      </c>
      <c r="U568" s="77"/>
      <c r="V568" s="77"/>
      <c r="W568" s="77">
        <f t="shared" si="315"/>
        <v>204.344807121662</v>
      </c>
      <c r="X568" s="79">
        <f t="shared" si="321"/>
        <v>3.20021364985163</v>
      </c>
      <c r="Y568" s="79"/>
      <c r="Z568" s="79"/>
      <c r="AA568" s="79">
        <f t="shared" si="316"/>
        <v>3.20021364985163</v>
      </c>
      <c r="AB568" s="91">
        <v>7.27</v>
      </c>
      <c r="AC568" s="77">
        <f t="shared" si="317"/>
        <v>23.2655532344214</v>
      </c>
      <c r="AD568" s="77">
        <f t="shared" si="313"/>
        <v>227.610360356083</v>
      </c>
      <c r="AE568" s="77">
        <f t="shared" si="314"/>
        <v>122.367439643917</v>
      </c>
    </row>
    <row r="569" customFormat="1" spans="1:31">
      <c r="A569" s="22"/>
      <c r="B569" s="23"/>
      <c r="C569" s="24">
        <v>241216000025</v>
      </c>
      <c r="D569" s="25">
        <v>45649</v>
      </c>
      <c r="E569" s="25" t="s">
        <v>61</v>
      </c>
      <c r="F569" s="23" t="s">
        <v>62</v>
      </c>
      <c r="G569" s="23" t="s">
        <v>404</v>
      </c>
      <c r="H569" s="23">
        <v>8</v>
      </c>
      <c r="I569" s="50"/>
      <c r="J569" s="51">
        <v>153430</v>
      </c>
      <c r="K569" s="45"/>
      <c r="L569" s="52">
        <f>SUM(J569/M569)</f>
        <v>1665.00271296799</v>
      </c>
      <c r="M569" s="53">
        <v>92.15</v>
      </c>
      <c r="N569" s="57">
        <v>7.27</v>
      </c>
      <c r="O569" s="47">
        <f>SUM(M569*N569)</f>
        <v>669.9305</v>
      </c>
      <c r="P569" s="49"/>
      <c r="Q569" s="49"/>
      <c r="R569" s="77">
        <f t="shared" si="319"/>
        <v>407.897922848665</v>
      </c>
      <c r="S569" s="77"/>
      <c r="T569" s="78">
        <f t="shared" si="320"/>
        <v>0.791691394658754</v>
      </c>
      <c r="U569" s="77"/>
      <c r="V569" s="77"/>
      <c r="W569" s="77">
        <f t="shared" si="315"/>
        <v>408.689614243323</v>
      </c>
      <c r="X569" s="79">
        <f t="shared" si="321"/>
        <v>6.40042729970326</v>
      </c>
      <c r="Y569" s="79"/>
      <c r="Z569" s="79"/>
      <c r="AA569" s="79">
        <f t="shared" si="316"/>
        <v>6.40042729970326</v>
      </c>
      <c r="AB569" s="91">
        <v>7.27</v>
      </c>
      <c r="AC569" s="77">
        <f t="shared" si="317"/>
        <v>46.5311064688427</v>
      </c>
      <c r="AD569" s="77">
        <f t="shared" ref="AD569:AD603" si="328">SUM(W569+AC569)</f>
        <v>455.220720712166</v>
      </c>
      <c r="AE569" s="77">
        <f t="shared" ref="AE569:AE601" si="329">SUM(O569-AD569)</f>
        <v>214.709779287834</v>
      </c>
    </row>
    <row r="570" customFormat="1" spans="1:31">
      <c r="A570" s="22"/>
      <c r="B570" s="23"/>
      <c r="C570" s="24">
        <v>241216000027</v>
      </c>
      <c r="D570" s="25">
        <v>45649</v>
      </c>
      <c r="E570" s="25" t="s">
        <v>44</v>
      </c>
      <c r="F570" s="23" t="s">
        <v>45</v>
      </c>
      <c r="G570" s="23" t="s">
        <v>405</v>
      </c>
      <c r="H570" s="23">
        <v>196.5</v>
      </c>
      <c r="I570" s="43">
        <v>13700</v>
      </c>
      <c r="J570" s="44"/>
      <c r="K570" s="45"/>
      <c r="L570" s="23"/>
      <c r="M570" s="45"/>
      <c r="N570" s="57"/>
      <c r="O570" s="47">
        <f t="shared" ref="O570:O574" si="330">SUM(I570)</f>
        <v>13700</v>
      </c>
      <c r="P570" s="49"/>
      <c r="Q570" s="49"/>
      <c r="R570" s="77">
        <f t="shared" si="319"/>
        <v>10018.9927299703</v>
      </c>
      <c r="S570" s="77"/>
      <c r="T570" s="78">
        <f t="shared" si="320"/>
        <v>19.4459198813056</v>
      </c>
      <c r="U570" s="77"/>
      <c r="V570" s="77"/>
      <c r="W570" s="77">
        <f t="shared" ref="W570:W601" si="331">SUM(R570:V570)</f>
        <v>10038.4386498516</v>
      </c>
      <c r="X570" s="79">
        <f t="shared" si="321"/>
        <v>157.210495548961</v>
      </c>
      <c r="Y570" s="79"/>
      <c r="Z570" s="79"/>
      <c r="AA570" s="79">
        <f t="shared" ref="AA570:AA601" si="332">SUM(X570:Z570)</f>
        <v>157.210495548961</v>
      </c>
      <c r="AB570" s="91">
        <v>7.27</v>
      </c>
      <c r="AC570" s="77">
        <f t="shared" ref="AC570:AC601" si="333">SUM(AA570*AB570)</f>
        <v>1142.92030264095</v>
      </c>
      <c r="AD570" s="77">
        <f t="shared" si="328"/>
        <v>11181.3589524926</v>
      </c>
      <c r="AE570" s="77">
        <f t="shared" si="329"/>
        <v>2518.64104750742</v>
      </c>
    </row>
    <row r="571" customFormat="1" spans="1:31">
      <c r="A571" s="22"/>
      <c r="B571" s="23"/>
      <c r="C571" s="24">
        <v>241216000029</v>
      </c>
      <c r="D571" s="25">
        <v>45649</v>
      </c>
      <c r="E571" s="25" t="s">
        <v>44</v>
      </c>
      <c r="F571" s="23" t="s">
        <v>45</v>
      </c>
      <c r="G571" s="23" t="s">
        <v>162</v>
      </c>
      <c r="H571" s="23">
        <v>59</v>
      </c>
      <c r="I571" s="43">
        <v>3835</v>
      </c>
      <c r="J571" s="44"/>
      <c r="K571" s="45"/>
      <c r="L571" s="23"/>
      <c r="M571" s="45"/>
      <c r="N571" s="57"/>
      <c r="O571" s="47">
        <f t="shared" si="330"/>
        <v>3835</v>
      </c>
      <c r="P571" s="49"/>
      <c r="Q571" s="49"/>
      <c r="R571" s="77">
        <f t="shared" si="319"/>
        <v>3008.2471810089</v>
      </c>
      <c r="S571" s="77"/>
      <c r="T571" s="78">
        <f t="shared" si="320"/>
        <v>5.83872403560831</v>
      </c>
      <c r="U571" s="77"/>
      <c r="V571" s="77"/>
      <c r="W571" s="77">
        <f t="shared" si="331"/>
        <v>3014.08590504451</v>
      </c>
      <c r="X571" s="79">
        <f t="shared" si="321"/>
        <v>47.2031513353116</v>
      </c>
      <c r="Y571" s="79"/>
      <c r="Z571" s="79"/>
      <c r="AA571" s="79">
        <f t="shared" si="332"/>
        <v>47.2031513353116</v>
      </c>
      <c r="AB571" s="91">
        <v>7.27</v>
      </c>
      <c r="AC571" s="77">
        <f t="shared" si="333"/>
        <v>343.166910207715</v>
      </c>
      <c r="AD571" s="77">
        <f t="shared" si="328"/>
        <v>3357.25281525223</v>
      </c>
      <c r="AE571" s="77">
        <f t="shared" si="329"/>
        <v>477.747184747775</v>
      </c>
    </row>
    <row r="572" customFormat="1" spans="1:31">
      <c r="A572" s="22"/>
      <c r="B572" s="23"/>
      <c r="C572" s="24">
        <v>241216000030</v>
      </c>
      <c r="D572" s="26">
        <v>45649</v>
      </c>
      <c r="E572" s="25" t="s">
        <v>70</v>
      </c>
      <c r="F572" s="23" t="s">
        <v>406</v>
      </c>
      <c r="G572" s="23" t="s">
        <v>407</v>
      </c>
      <c r="H572" s="23">
        <v>518</v>
      </c>
      <c r="I572" s="43">
        <v>59670</v>
      </c>
      <c r="J572" s="44"/>
      <c r="K572" s="45"/>
      <c r="L572" s="23"/>
      <c r="M572" s="45"/>
      <c r="N572" s="57"/>
      <c r="O572" s="47">
        <f t="shared" si="330"/>
        <v>59670</v>
      </c>
      <c r="P572" s="49"/>
      <c r="Q572" s="49"/>
      <c r="R572" s="77">
        <f t="shared" ref="R572:R602" si="334">SUM(171827/3370)*H572</f>
        <v>26411.390504451</v>
      </c>
      <c r="S572" s="77"/>
      <c r="T572" s="78">
        <f t="shared" ref="T572:T602" si="335">SUM(333.5/3370)*H572</f>
        <v>51.2620178041543</v>
      </c>
      <c r="U572" s="77"/>
      <c r="V572" s="77"/>
      <c r="W572" s="77">
        <f t="shared" si="331"/>
        <v>26462.6525222552</v>
      </c>
      <c r="X572" s="79">
        <f t="shared" ref="X572:X602" si="336">SUM(2696.18/3370)*H572</f>
        <v>414.427667655786</v>
      </c>
      <c r="Y572" s="79"/>
      <c r="Z572" s="79"/>
      <c r="AA572" s="79">
        <f t="shared" si="332"/>
        <v>414.427667655786</v>
      </c>
      <c r="AB572" s="91">
        <v>7.27</v>
      </c>
      <c r="AC572" s="77">
        <f t="shared" si="333"/>
        <v>3012.88914385757</v>
      </c>
      <c r="AD572" s="77">
        <f t="shared" si="328"/>
        <v>29475.5416661128</v>
      </c>
      <c r="AE572" s="77">
        <f t="shared" si="329"/>
        <v>30194.4583338872</v>
      </c>
    </row>
    <row r="573" customFormat="1" spans="1:31">
      <c r="A573" s="22"/>
      <c r="B573" s="23"/>
      <c r="C573" s="24">
        <v>241216000031</v>
      </c>
      <c r="D573" s="25">
        <v>45649</v>
      </c>
      <c r="E573" s="25" t="s">
        <v>44</v>
      </c>
      <c r="F573" s="23" t="s">
        <v>45</v>
      </c>
      <c r="G573" s="23" t="s">
        <v>162</v>
      </c>
      <c r="H573" s="23">
        <v>9.5</v>
      </c>
      <c r="I573" s="43">
        <v>617.5</v>
      </c>
      <c r="J573" s="44"/>
      <c r="K573" s="45"/>
      <c r="L573" s="23"/>
      <c r="M573" s="45"/>
      <c r="N573" s="57"/>
      <c r="O573" s="47">
        <f t="shared" si="330"/>
        <v>617.5</v>
      </c>
      <c r="P573" s="49"/>
      <c r="Q573" s="49"/>
      <c r="R573" s="77">
        <f t="shared" si="334"/>
        <v>484.378783382789</v>
      </c>
      <c r="S573" s="77"/>
      <c r="T573" s="78">
        <f t="shared" si="335"/>
        <v>0.94013353115727</v>
      </c>
      <c r="U573" s="77"/>
      <c r="V573" s="77"/>
      <c r="W573" s="77">
        <f t="shared" si="331"/>
        <v>485.318916913947</v>
      </c>
      <c r="X573" s="79">
        <f t="shared" si="336"/>
        <v>7.60050741839763</v>
      </c>
      <c r="Y573" s="79"/>
      <c r="Z573" s="79"/>
      <c r="AA573" s="79">
        <f t="shared" si="332"/>
        <v>7.60050741839763</v>
      </c>
      <c r="AB573" s="91">
        <v>7.27</v>
      </c>
      <c r="AC573" s="77">
        <f t="shared" si="333"/>
        <v>55.2556889317507</v>
      </c>
      <c r="AD573" s="77">
        <f t="shared" si="328"/>
        <v>540.574605845697</v>
      </c>
      <c r="AE573" s="77">
        <f t="shared" si="329"/>
        <v>76.9253941543027</v>
      </c>
    </row>
    <row r="574" customFormat="1" spans="1:31">
      <c r="A574" s="22"/>
      <c r="B574" s="23"/>
      <c r="C574" s="24">
        <v>241216000033</v>
      </c>
      <c r="D574" s="25">
        <v>45649</v>
      </c>
      <c r="E574" s="25" t="s">
        <v>44</v>
      </c>
      <c r="F574" s="23" t="s">
        <v>45</v>
      </c>
      <c r="G574" s="23" t="s">
        <v>302</v>
      </c>
      <c r="H574" s="23">
        <v>0.84</v>
      </c>
      <c r="I574" s="43">
        <v>111</v>
      </c>
      <c r="J574" s="44"/>
      <c r="K574" s="45"/>
      <c r="L574" s="23"/>
      <c r="M574" s="45"/>
      <c r="N574" s="57"/>
      <c r="O574" s="47">
        <f t="shared" si="330"/>
        <v>111</v>
      </c>
      <c r="P574" s="49"/>
      <c r="Q574" s="49"/>
      <c r="R574" s="77">
        <f t="shared" si="334"/>
        <v>42.8292818991098</v>
      </c>
      <c r="S574" s="77"/>
      <c r="T574" s="78">
        <f t="shared" si="335"/>
        <v>0.0831275964391691</v>
      </c>
      <c r="U574" s="77"/>
      <c r="V574" s="77"/>
      <c r="W574" s="77">
        <f t="shared" si="331"/>
        <v>42.912409495549</v>
      </c>
      <c r="X574" s="79">
        <f t="shared" si="336"/>
        <v>0.672044866468843</v>
      </c>
      <c r="Y574" s="79">
        <v>5</v>
      </c>
      <c r="Z574" s="79"/>
      <c r="AA574" s="79">
        <f t="shared" si="332"/>
        <v>5.67204486646884</v>
      </c>
      <c r="AB574" s="91">
        <v>7.27</v>
      </c>
      <c r="AC574" s="77">
        <f t="shared" si="333"/>
        <v>41.2357661792285</v>
      </c>
      <c r="AD574" s="77">
        <f t="shared" si="328"/>
        <v>84.1481756747774</v>
      </c>
      <c r="AE574" s="77">
        <f t="shared" si="329"/>
        <v>26.8518243252226</v>
      </c>
    </row>
    <row r="575" customFormat="1" spans="1:31">
      <c r="A575" s="22"/>
      <c r="B575" s="23"/>
      <c r="C575" s="24">
        <v>241216000036</v>
      </c>
      <c r="D575" s="25">
        <v>45649</v>
      </c>
      <c r="E575" s="25" t="s">
        <v>44</v>
      </c>
      <c r="F575" s="23" t="s">
        <v>45</v>
      </c>
      <c r="G575" s="23" t="s">
        <v>141</v>
      </c>
      <c r="H575" s="23">
        <v>4</v>
      </c>
      <c r="I575" s="50"/>
      <c r="J575" s="51">
        <v>73967</v>
      </c>
      <c r="K575" s="45"/>
      <c r="L575" s="52">
        <f>SUM(J575/M575)</f>
        <v>1665.17334533994</v>
      </c>
      <c r="M575" s="53">
        <v>44.42</v>
      </c>
      <c r="N575" s="57">
        <v>7.27</v>
      </c>
      <c r="O575" s="47">
        <f>SUM(M575*N575)</f>
        <v>322.9334</v>
      </c>
      <c r="P575" s="49"/>
      <c r="Q575" s="49"/>
      <c r="R575" s="77">
        <f t="shared" si="334"/>
        <v>203.948961424332</v>
      </c>
      <c r="S575" s="77"/>
      <c r="T575" s="78">
        <f t="shared" si="335"/>
        <v>0.395845697329377</v>
      </c>
      <c r="U575" s="77"/>
      <c r="V575" s="77"/>
      <c r="W575" s="77">
        <f t="shared" si="331"/>
        <v>204.344807121662</v>
      </c>
      <c r="X575" s="79">
        <f t="shared" si="336"/>
        <v>3.20021364985163</v>
      </c>
      <c r="Y575" s="79"/>
      <c r="Z575" s="79"/>
      <c r="AA575" s="79">
        <f t="shared" si="332"/>
        <v>3.20021364985163</v>
      </c>
      <c r="AB575" s="91">
        <v>7.27</v>
      </c>
      <c r="AC575" s="77">
        <f t="shared" si="333"/>
        <v>23.2655532344214</v>
      </c>
      <c r="AD575" s="77">
        <f t="shared" si="328"/>
        <v>227.610360356083</v>
      </c>
      <c r="AE575" s="77">
        <f t="shared" si="329"/>
        <v>95.3230396439169</v>
      </c>
    </row>
    <row r="576" customFormat="1" spans="1:31">
      <c r="A576" s="22"/>
      <c r="B576" s="23"/>
      <c r="C576" s="24">
        <v>241216000038</v>
      </c>
      <c r="D576" s="25">
        <v>45649</v>
      </c>
      <c r="E576" s="25" t="s">
        <v>44</v>
      </c>
      <c r="F576" s="23" t="s">
        <v>45</v>
      </c>
      <c r="G576" s="23" t="s">
        <v>408</v>
      </c>
      <c r="H576" s="23">
        <v>2</v>
      </c>
      <c r="I576" s="43">
        <v>176</v>
      </c>
      <c r="J576" s="44"/>
      <c r="K576" s="45"/>
      <c r="L576" s="23"/>
      <c r="M576" s="45"/>
      <c r="N576" s="57"/>
      <c r="O576" s="47">
        <f t="shared" ref="O576:O580" si="337">SUM(I576)</f>
        <v>176</v>
      </c>
      <c r="P576" s="49"/>
      <c r="Q576" s="49"/>
      <c r="R576" s="77">
        <f t="shared" si="334"/>
        <v>101.974480712166</v>
      </c>
      <c r="S576" s="77"/>
      <c r="T576" s="78">
        <f t="shared" si="335"/>
        <v>0.197922848664688</v>
      </c>
      <c r="U576" s="77"/>
      <c r="V576" s="77"/>
      <c r="W576" s="77">
        <f t="shared" si="331"/>
        <v>102.172403560831</v>
      </c>
      <c r="X576" s="79">
        <f t="shared" si="336"/>
        <v>1.60010682492582</v>
      </c>
      <c r="Y576" s="79"/>
      <c r="Z576" s="79"/>
      <c r="AA576" s="79">
        <f t="shared" si="332"/>
        <v>1.60010682492582</v>
      </c>
      <c r="AB576" s="91">
        <v>7.27</v>
      </c>
      <c r="AC576" s="77">
        <f t="shared" si="333"/>
        <v>11.6327766172107</v>
      </c>
      <c r="AD576" s="77">
        <f t="shared" si="328"/>
        <v>113.805180178042</v>
      </c>
      <c r="AE576" s="77">
        <f t="shared" si="329"/>
        <v>62.1948198219585</v>
      </c>
    </row>
    <row r="577" customFormat="1" spans="1:31">
      <c r="A577" s="22"/>
      <c r="B577" s="23"/>
      <c r="C577" s="24">
        <v>241216000040</v>
      </c>
      <c r="D577" s="25">
        <v>45649</v>
      </c>
      <c r="E577" s="25" t="s">
        <v>44</v>
      </c>
      <c r="F577" s="23" t="s">
        <v>45</v>
      </c>
      <c r="G577" s="23" t="s">
        <v>135</v>
      </c>
      <c r="H577" s="23">
        <v>11</v>
      </c>
      <c r="I577" s="43">
        <v>770</v>
      </c>
      <c r="J577" s="44"/>
      <c r="K577" s="45"/>
      <c r="L577" s="23"/>
      <c r="M577" s="45"/>
      <c r="N577" s="57"/>
      <c r="O577" s="47">
        <f t="shared" si="337"/>
        <v>770</v>
      </c>
      <c r="P577" s="49"/>
      <c r="Q577" s="49"/>
      <c r="R577" s="77">
        <f t="shared" si="334"/>
        <v>560.859643916914</v>
      </c>
      <c r="S577" s="77"/>
      <c r="T577" s="78">
        <f t="shared" si="335"/>
        <v>1.08857566765579</v>
      </c>
      <c r="U577" s="77"/>
      <c r="V577" s="77"/>
      <c r="W577" s="77">
        <f t="shared" si="331"/>
        <v>561.94821958457</v>
      </c>
      <c r="X577" s="79">
        <f t="shared" si="336"/>
        <v>8.80058753709199</v>
      </c>
      <c r="Y577" s="79"/>
      <c r="Z577" s="79"/>
      <c r="AA577" s="79">
        <f t="shared" si="332"/>
        <v>8.80058753709199</v>
      </c>
      <c r="AB577" s="91">
        <v>7.27</v>
      </c>
      <c r="AC577" s="77">
        <f t="shared" si="333"/>
        <v>63.9802713946587</v>
      </c>
      <c r="AD577" s="77">
        <f t="shared" si="328"/>
        <v>625.928490979228</v>
      </c>
      <c r="AE577" s="77">
        <f t="shared" si="329"/>
        <v>144.071509020772</v>
      </c>
    </row>
    <row r="578" customFormat="1" spans="1:31">
      <c r="A578" s="22"/>
      <c r="B578" s="23"/>
      <c r="C578" s="24">
        <v>241216000042</v>
      </c>
      <c r="D578" s="25">
        <v>45649</v>
      </c>
      <c r="E578" s="25" t="s">
        <v>37</v>
      </c>
      <c r="F578" s="23" t="s">
        <v>38</v>
      </c>
      <c r="G578" s="23" t="s">
        <v>409</v>
      </c>
      <c r="H578" s="23">
        <v>4</v>
      </c>
      <c r="I578" s="50"/>
      <c r="J578" s="51">
        <v>64120</v>
      </c>
      <c r="K578" s="45"/>
      <c r="L578" s="52">
        <f t="shared" ref="L578:L582" si="338">SUM(J578/M578)</f>
        <v>1665.02207218904</v>
      </c>
      <c r="M578" s="53">
        <v>38.51</v>
      </c>
      <c r="N578" s="57">
        <v>7.27</v>
      </c>
      <c r="O578" s="47">
        <f t="shared" ref="O578:O582" si="339">SUM(M578*N578)</f>
        <v>279.9677</v>
      </c>
      <c r="P578" s="49"/>
      <c r="Q578" s="49"/>
      <c r="R578" s="77">
        <f t="shared" si="334"/>
        <v>203.948961424332</v>
      </c>
      <c r="S578" s="77"/>
      <c r="T578" s="78">
        <f t="shared" si="335"/>
        <v>0.395845697329377</v>
      </c>
      <c r="U578" s="77"/>
      <c r="V578" s="77"/>
      <c r="W578" s="77">
        <f t="shared" si="331"/>
        <v>204.344807121662</v>
      </c>
      <c r="X578" s="79">
        <f t="shared" si="336"/>
        <v>3.20021364985163</v>
      </c>
      <c r="Y578" s="79"/>
      <c r="Z578" s="79"/>
      <c r="AA578" s="79">
        <f t="shared" si="332"/>
        <v>3.20021364985163</v>
      </c>
      <c r="AB578" s="91">
        <v>7.27</v>
      </c>
      <c r="AC578" s="77">
        <f t="shared" si="333"/>
        <v>23.2655532344214</v>
      </c>
      <c r="AD578" s="77">
        <f t="shared" si="328"/>
        <v>227.610360356083</v>
      </c>
      <c r="AE578" s="77">
        <f t="shared" si="329"/>
        <v>52.3573396439169</v>
      </c>
    </row>
    <row r="579" customFormat="1" spans="1:31">
      <c r="A579" s="22"/>
      <c r="B579" s="23"/>
      <c r="C579" s="24">
        <v>241216000045</v>
      </c>
      <c r="D579" s="25">
        <v>45649</v>
      </c>
      <c r="E579" s="25" t="s">
        <v>44</v>
      </c>
      <c r="F579" s="23" t="s">
        <v>45</v>
      </c>
      <c r="G579" s="23" t="s">
        <v>410</v>
      </c>
      <c r="H579" s="23">
        <v>4.5</v>
      </c>
      <c r="I579" s="43">
        <v>393.5</v>
      </c>
      <c r="J579" s="44"/>
      <c r="K579" s="45"/>
      <c r="L579" s="23"/>
      <c r="M579" s="45"/>
      <c r="N579" s="57"/>
      <c r="O579" s="47">
        <f t="shared" si="337"/>
        <v>393.5</v>
      </c>
      <c r="P579" s="49"/>
      <c r="Q579" s="49"/>
      <c r="R579" s="77">
        <f t="shared" si="334"/>
        <v>229.442581602374</v>
      </c>
      <c r="S579" s="77"/>
      <c r="T579" s="78">
        <f t="shared" si="335"/>
        <v>0.445326409495549</v>
      </c>
      <c r="U579" s="77"/>
      <c r="V579" s="77"/>
      <c r="W579" s="77">
        <f t="shared" si="331"/>
        <v>229.887908011869</v>
      </c>
      <c r="X579" s="79">
        <f t="shared" si="336"/>
        <v>3.60024035608309</v>
      </c>
      <c r="Y579" s="79"/>
      <c r="Z579" s="79"/>
      <c r="AA579" s="79">
        <f t="shared" si="332"/>
        <v>3.60024035608309</v>
      </c>
      <c r="AB579" s="91">
        <v>7.27</v>
      </c>
      <c r="AC579" s="77">
        <f t="shared" si="333"/>
        <v>26.173747388724</v>
      </c>
      <c r="AD579" s="77">
        <f t="shared" si="328"/>
        <v>256.061655400593</v>
      </c>
      <c r="AE579" s="77">
        <f t="shared" si="329"/>
        <v>137.438344599407</v>
      </c>
    </row>
    <row r="580" customFormat="1" spans="1:31">
      <c r="A580" s="22"/>
      <c r="B580" s="23"/>
      <c r="C580" s="24">
        <v>241216000048</v>
      </c>
      <c r="D580" s="25">
        <v>45649</v>
      </c>
      <c r="E580" s="25" t="s">
        <v>37</v>
      </c>
      <c r="F580" s="23" t="s">
        <v>38</v>
      </c>
      <c r="G580" s="23" t="s">
        <v>400</v>
      </c>
      <c r="H580" s="23">
        <v>3</v>
      </c>
      <c r="I580" s="43">
        <v>243</v>
      </c>
      <c r="J580" s="44"/>
      <c r="K580" s="45"/>
      <c r="L580" s="23"/>
      <c r="M580" s="45"/>
      <c r="N580" s="57"/>
      <c r="O580" s="47">
        <f t="shared" si="337"/>
        <v>243</v>
      </c>
      <c r="P580" s="49"/>
      <c r="Q580" s="49"/>
      <c r="R580" s="77">
        <f t="shared" si="334"/>
        <v>152.961721068249</v>
      </c>
      <c r="S580" s="77"/>
      <c r="T580" s="78">
        <f t="shared" si="335"/>
        <v>0.296884272997033</v>
      </c>
      <c r="U580" s="77"/>
      <c r="V580" s="77"/>
      <c r="W580" s="77">
        <f t="shared" si="331"/>
        <v>153.258605341246</v>
      </c>
      <c r="X580" s="79">
        <f t="shared" si="336"/>
        <v>2.40016023738872</v>
      </c>
      <c r="Y580" s="79"/>
      <c r="Z580" s="79"/>
      <c r="AA580" s="79">
        <f t="shared" si="332"/>
        <v>2.40016023738872</v>
      </c>
      <c r="AB580" s="91">
        <v>7.27</v>
      </c>
      <c r="AC580" s="77">
        <f t="shared" si="333"/>
        <v>17.449164925816</v>
      </c>
      <c r="AD580" s="77">
        <f t="shared" si="328"/>
        <v>170.707770267062</v>
      </c>
      <c r="AE580" s="77">
        <f t="shared" si="329"/>
        <v>72.2922297329377</v>
      </c>
    </row>
    <row r="581" customFormat="1" spans="1:31">
      <c r="A581" s="22"/>
      <c r="B581" s="23"/>
      <c r="C581" s="24">
        <v>241216000050</v>
      </c>
      <c r="D581" s="25">
        <v>45649</v>
      </c>
      <c r="E581" s="25" t="s">
        <v>44</v>
      </c>
      <c r="F581" s="23" t="s">
        <v>45</v>
      </c>
      <c r="G581" s="23" t="s">
        <v>307</v>
      </c>
      <c r="H581" s="23">
        <v>4.5</v>
      </c>
      <c r="I581" s="96"/>
      <c r="J581" s="51">
        <v>70650</v>
      </c>
      <c r="K581" s="45"/>
      <c r="L581" s="52">
        <f t="shared" si="338"/>
        <v>1712.31216674746</v>
      </c>
      <c r="M581" s="53">
        <v>41.26</v>
      </c>
      <c r="N581" s="57">
        <v>7.27</v>
      </c>
      <c r="O581" s="47">
        <f t="shared" si="339"/>
        <v>299.9602</v>
      </c>
      <c r="P581" s="49"/>
      <c r="Q581" s="49"/>
      <c r="R581" s="77">
        <f t="shared" si="334"/>
        <v>229.442581602374</v>
      </c>
      <c r="S581" s="77"/>
      <c r="T581" s="78">
        <f t="shared" si="335"/>
        <v>0.445326409495549</v>
      </c>
      <c r="U581" s="77"/>
      <c r="V581" s="77"/>
      <c r="W581" s="77">
        <f t="shared" si="331"/>
        <v>229.887908011869</v>
      </c>
      <c r="X581" s="79">
        <f t="shared" si="336"/>
        <v>3.60024035608309</v>
      </c>
      <c r="Y581" s="79"/>
      <c r="Z581" s="79"/>
      <c r="AA581" s="79">
        <f t="shared" si="332"/>
        <v>3.60024035608309</v>
      </c>
      <c r="AB581" s="91">
        <v>7.27</v>
      </c>
      <c r="AC581" s="77">
        <f t="shared" si="333"/>
        <v>26.173747388724</v>
      </c>
      <c r="AD581" s="77">
        <f t="shared" si="328"/>
        <v>256.061655400593</v>
      </c>
      <c r="AE581" s="77">
        <f t="shared" si="329"/>
        <v>43.8985445994065</v>
      </c>
    </row>
    <row r="582" customFormat="1" spans="1:31">
      <c r="A582" s="22"/>
      <c r="B582" s="23"/>
      <c r="C582" s="92">
        <v>241216000052</v>
      </c>
      <c r="D582" s="94">
        <v>45649</v>
      </c>
      <c r="E582" s="25" t="s">
        <v>37</v>
      </c>
      <c r="F582" s="95" t="s">
        <v>38</v>
      </c>
      <c r="G582" s="95" t="s">
        <v>411</v>
      </c>
      <c r="H582" s="95">
        <v>2.5</v>
      </c>
      <c r="I582" s="50"/>
      <c r="J582" s="52">
        <v>47167</v>
      </c>
      <c r="K582" s="97"/>
      <c r="L582" s="52">
        <f t="shared" si="338"/>
        <v>1671.99574618929</v>
      </c>
      <c r="M582" s="98">
        <v>28.21</v>
      </c>
      <c r="N582" s="57">
        <v>7.27</v>
      </c>
      <c r="O582" s="47">
        <f t="shared" si="339"/>
        <v>205.0867</v>
      </c>
      <c r="P582" s="49"/>
      <c r="Q582" s="49"/>
      <c r="R582" s="77">
        <f t="shared" si="334"/>
        <v>127.468100890208</v>
      </c>
      <c r="S582" s="77"/>
      <c r="T582" s="78">
        <f t="shared" si="335"/>
        <v>0.247403560830861</v>
      </c>
      <c r="U582" s="77"/>
      <c r="V582" s="77"/>
      <c r="W582" s="77">
        <f t="shared" si="331"/>
        <v>127.715504451039</v>
      </c>
      <c r="X582" s="79">
        <f t="shared" si="336"/>
        <v>2.00013353115727</v>
      </c>
      <c r="Y582" s="79"/>
      <c r="Z582" s="79"/>
      <c r="AA582" s="79">
        <f t="shared" si="332"/>
        <v>2.00013353115727</v>
      </c>
      <c r="AB582" s="91">
        <v>7.27</v>
      </c>
      <c r="AC582" s="77">
        <f t="shared" si="333"/>
        <v>14.5409707715134</v>
      </c>
      <c r="AD582" s="77">
        <f t="shared" si="328"/>
        <v>142.256475222552</v>
      </c>
      <c r="AE582" s="77">
        <f t="shared" si="329"/>
        <v>62.8302247774481</v>
      </c>
    </row>
    <row r="583" customFormat="1" spans="1:31">
      <c r="A583" s="22"/>
      <c r="B583" s="23"/>
      <c r="C583" s="24">
        <v>241216000053</v>
      </c>
      <c r="D583" s="25">
        <v>45649</v>
      </c>
      <c r="E583" s="25" t="s">
        <v>37</v>
      </c>
      <c r="F583" s="23" t="s">
        <v>38</v>
      </c>
      <c r="G583" s="23" t="s">
        <v>152</v>
      </c>
      <c r="H583" s="23">
        <v>847</v>
      </c>
      <c r="I583" s="43">
        <v>56749</v>
      </c>
      <c r="J583" s="44"/>
      <c r="K583" s="45"/>
      <c r="L583" s="23"/>
      <c r="M583" s="45"/>
      <c r="N583" s="57"/>
      <c r="O583" s="47">
        <f t="shared" ref="O583:O592" si="340">SUM(I583)</f>
        <v>56749</v>
      </c>
      <c r="P583" s="49"/>
      <c r="Q583" s="49"/>
      <c r="R583" s="77">
        <f t="shared" si="334"/>
        <v>43186.1925816024</v>
      </c>
      <c r="S583" s="77"/>
      <c r="T583" s="78">
        <f t="shared" si="335"/>
        <v>83.8203264094955</v>
      </c>
      <c r="U583" s="77"/>
      <c r="V583" s="77"/>
      <c r="W583" s="77">
        <f t="shared" si="331"/>
        <v>43270.0129080119</v>
      </c>
      <c r="X583" s="79">
        <f t="shared" si="336"/>
        <v>677.645240356083</v>
      </c>
      <c r="Y583" s="79"/>
      <c r="Z583" s="79"/>
      <c r="AA583" s="79">
        <f t="shared" si="332"/>
        <v>677.645240356083</v>
      </c>
      <c r="AB583" s="91">
        <v>7.27</v>
      </c>
      <c r="AC583" s="77">
        <f t="shared" si="333"/>
        <v>4926.48089738872</v>
      </c>
      <c r="AD583" s="77">
        <f t="shared" si="328"/>
        <v>48196.4938054006</v>
      </c>
      <c r="AE583" s="77">
        <f t="shared" si="329"/>
        <v>8552.50619459941</v>
      </c>
    </row>
    <row r="584" customFormat="1" spans="1:31">
      <c r="A584" s="22"/>
      <c r="B584" s="23"/>
      <c r="C584" s="24">
        <v>241216000055</v>
      </c>
      <c r="D584" s="25">
        <v>45649</v>
      </c>
      <c r="E584" s="25" t="s">
        <v>44</v>
      </c>
      <c r="F584" s="23" t="s">
        <v>45</v>
      </c>
      <c r="G584" s="23" t="s">
        <v>159</v>
      </c>
      <c r="H584" s="23">
        <v>6</v>
      </c>
      <c r="I584" s="50"/>
      <c r="J584" s="51">
        <v>109872</v>
      </c>
      <c r="K584" s="45"/>
      <c r="L584" s="52">
        <f>SUM(J584/M584)</f>
        <v>1584.99711482977</v>
      </c>
      <c r="M584" s="53">
        <v>69.32</v>
      </c>
      <c r="N584" s="57">
        <v>7.27</v>
      </c>
      <c r="O584" s="47">
        <f>SUM(M584*N584)</f>
        <v>503.9564</v>
      </c>
      <c r="P584" s="49"/>
      <c r="Q584" s="49"/>
      <c r="R584" s="77">
        <f t="shared" si="334"/>
        <v>305.923442136499</v>
      </c>
      <c r="S584" s="77"/>
      <c r="T584" s="78">
        <f t="shared" si="335"/>
        <v>0.593768545994065</v>
      </c>
      <c r="U584" s="77"/>
      <c r="V584" s="77"/>
      <c r="W584" s="77">
        <f t="shared" si="331"/>
        <v>306.517210682493</v>
      </c>
      <c r="X584" s="79">
        <f t="shared" si="336"/>
        <v>4.80032047477745</v>
      </c>
      <c r="Y584" s="79"/>
      <c r="Z584" s="79"/>
      <c r="AA584" s="79">
        <f t="shared" si="332"/>
        <v>4.80032047477745</v>
      </c>
      <c r="AB584" s="91">
        <v>7.27</v>
      </c>
      <c r="AC584" s="77">
        <f t="shared" si="333"/>
        <v>34.898329851632</v>
      </c>
      <c r="AD584" s="77">
        <f t="shared" si="328"/>
        <v>341.415540534125</v>
      </c>
      <c r="AE584" s="77">
        <f t="shared" si="329"/>
        <v>162.540859465875</v>
      </c>
    </row>
    <row r="585" customFormat="1" spans="1:31">
      <c r="A585" s="22"/>
      <c r="B585" s="23"/>
      <c r="C585" s="24">
        <v>241216000058</v>
      </c>
      <c r="D585" s="26">
        <v>45649</v>
      </c>
      <c r="E585" s="25" t="s">
        <v>70</v>
      </c>
      <c r="F585" s="23" t="s">
        <v>70</v>
      </c>
      <c r="G585" s="23" t="s">
        <v>412</v>
      </c>
      <c r="H585" s="23">
        <v>9.5</v>
      </c>
      <c r="I585" s="50"/>
      <c r="J585" s="51">
        <v>283387.5</v>
      </c>
      <c r="K585" s="45"/>
      <c r="L585" s="52">
        <f>SUM(J585/M585)</f>
        <v>1664.83080719069</v>
      </c>
      <c r="M585" s="53">
        <v>170.22</v>
      </c>
      <c r="N585" s="57">
        <v>7.27</v>
      </c>
      <c r="O585" s="47">
        <f>SUM(M585*N585)</f>
        <v>1237.4994</v>
      </c>
      <c r="P585" s="49"/>
      <c r="Q585" s="49"/>
      <c r="R585" s="77">
        <f t="shared" si="334"/>
        <v>484.378783382789</v>
      </c>
      <c r="S585" s="77"/>
      <c r="T585" s="78">
        <f t="shared" si="335"/>
        <v>0.94013353115727</v>
      </c>
      <c r="U585" s="77"/>
      <c r="V585" s="77"/>
      <c r="W585" s="77">
        <f t="shared" si="331"/>
        <v>485.318916913947</v>
      </c>
      <c r="X585" s="79">
        <f t="shared" si="336"/>
        <v>7.60050741839763</v>
      </c>
      <c r="Y585" s="79"/>
      <c r="Z585" s="79"/>
      <c r="AA585" s="79">
        <f t="shared" si="332"/>
        <v>7.60050741839763</v>
      </c>
      <c r="AB585" s="91">
        <v>7.27</v>
      </c>
      <c r="AC585" s="77">
        <f t="shared" si="333"/>
        <v>55.2556889317507</v>
      </c>
      <c r="AD585" s="77">
        <f t="shared" si="328"/>
        <v>540.574605845697</v>
      </c>
      <c r="AE585" s="77">
        <f t="shared" si="329"/>
        <v>696.924794154303</v>
      </c>
    </row>
    <row r="586" customFormat="1" spans="1:31">
      <c r="A586" s="22"/>
      <c r="B586" s="23"/>
      <c r="C586" s="24">
        <v>241217000005</v>
      </c>
      <c r="D586" s="26">
        <v>45649</v>
      </c>
      <c r="E586" s="25" t="s">
        <v>70</v>
      </c>
      <c r="F586" s="23" t="s">
        <v>109</v>
      </c>
      <c r="G586" s="23" t="s">
        <v>110</v>
      </c>
      <c r="H586" s="23">
        <v>14</v>
      </c>
      <c r="I586" s="43">
        <v>1168</v>
      </c>
      <c r="J586" s="44"/>
      <c r="K586" s="45"/>
      <c r="L586" s="23"/>
      <c r="M586" s="45"/>
      <c r="N586" s="57"/>
      <c r="O586" s="47">
        <f t="shared" si="340"/>
        <v>1168</v>
      </c>
      <c r="P586" s="49"/>
      <c r="Q586" s="49"/>
      <c r="R586" s="77">
        <f t="shared" si="334"/>
        <v>713.821364985163</v>
      </c>
      <c r="S586" s="77"/>
      <c r="T586" s="78">
        <f t="shared" si="335"/>
        <v>1.38545994065282</v>
      </c>
      <c r="U586" s="77"/>
      <c r="V586" s="77"/>
      <c r="W586" s="77">
        <f t="shared" si="331"/>
        <v>715.206824925816</v>
      </c>
      <c r="X586" s="79">
        <f t="shared" si="336"/>
        <v>11.2007477744807</v>
      </c>
      <c r="Y586" s="79"/>
      <c r="Z586" s="79"/>
      <c r="AA586" s="79">
        <f t="shared" si="332"/>
        <v>11.2007477744807</v>
      </c>
      <c r="AB586" s="91">
        <v>7.27</v>
      </c>
      <c r="AC586" s="77">
        <f t="shared" si="333"/>
        <v>81.4294363204748</v>
      </c>
      <c r="AD586" s="77">
        <f t="shared" si="328"/>
        <v>796.636261246291</v>
      </c>
      <c r="AE586" s="77">
        <f t="shared" si="329"/>
        <v>371.363738753709</v>
      </c>
    </row>
    <row r="587" customFormat="1" spans="1:31">
      <c r="A587" s="22"/>
      <c r="B587" s="23"/>
      <c r="C587" s="24">
        <v>241217000008</v>
      </c>
      <c r="D587" s="25">
        <v>45649</v>
      </c>
      <c r="E587" s="25" t="s">
        <v>37</v>
      </c>
      <c r="F587" s="23" t="s">
        <v>38</v>
      </c>
      <c r="G587" s="23" t="s">
        <v>154</v>
      </c>
      <c r="H587" s="23">
        <v>2</v>
      </c>
      <c r="I587" s="43">
        <v>115.5</v>
      </c>
      <c r="J587" s="44"/>
      <c r="K587" s="45"/>
      <c r="L587" s="23"/>
      <c r="M587" s="45"/>
      <c r="N587" s="57"/>
      <c r="O587" s="47">
        <f t="shared" si="340"/>
        <v>115.5</v>
      </c>
      <c r="P587" s="49"/>
      <c r="Q587" s="49"/>
      <c r="R587" s="77">
        <f t="shared" si="334"/>
        <v>101.974480712166</v>
      </c>
      <c r="S587" s="77"/>
      <c r="T587" s="78">
        <f t="shared" si="335"/>
        <v>0.197922848664688</v>
      </c>
      <c r="U587" s="77"/>
      <c r="V587" s="77"/>
      <c r="W587" s="77">
        <f t="shared" si="331"/>
        <v>102.172403560831</v>
      </c>
      <c r="X587" s="79">
        <f t="shared" si="336"/>
        <v>1.60010682492582</v>
      </c>
      <c r="Y587" s="79"/>
      <c r="Z587" s="79"/>
      <c r="AA587" s="79">
        <f t="shared" si="332"/>
        <v>1.60010682492582</v>
      </c>
      <c r="AB587" s="91">
        <v>7.27</v>
      </c>
      <c r="AC587" s="77">
        <f t="shared" si="333"/>
        <v>11.6327766172107</v>
      </c>
      <c r="AD587" s="77">
        <f t="shared" si="328"/>
        <v>113.805180178042</v>
      </c>
      <c r="AE587" s="77">
        <f t="shared" si="329"/>
        <v>1.69481982195846</v>
      </c>
    </row>
    <row r="588" customFormat="1" spans="1:31">
      <c r="A588" s="22"/>
      <c r="B588" s="23"/>
      <c r="C588" s="24">
        <v>241217000009</v>
      </c>
      <c r="D588" s="25">
        <v>45649</v>
      </c>
      <c r="E588" s="25" t="s">
        <v>37</v>
      </c>
      <c r="F588" s="23" t="s">
        <v>38</v>
      </c>
      <c r="G588" s="23" t="s">
        <v>375</v>
      </c>
      <c r="H588" s="23">
        <v>94.5</v>
      </c>
      <c r="I588" s="43">
        <v>6820.5</v>
      </c>
      <c r="J588" s="44"/>
      <c r="K588" s="45"/>
      <c r="L588" s="23"/>
      <c r="M588" s="45"/>
      <c r="N588" s="57"/>
      <c r="O588" s="47">
        <f t="shared" si="340"/>
        <v>6820.5</v>
      </c>
      <c r="P588" s="49"/>
      <c r="Q588" s="49"/>
      <c r="R588" s="77">
        <f t="shared" si="334"/>
        <v>4818.29421364985</v>
      </c>
      <c r="S588" s="77"/>
      <c r="T588" s="78">
        <f t="shared" si="335"/>
        <v>9.35185459940653</v>
      </c>
      <c r="U588" s="77"/>
      <c r="V588" s="77"/>
      <c r="W588" s="77">
        <f t="shared" si="331"/>
        <v>4827.64606824926</v>
      </c>
      <c r="X588" s="79">
        <f t="shared" si="336"/>
        <v>75.6050474777448</v>
      </c>
      <c r="Y588" s="79">
        <v>41.26</v>
      </c>
      <c r="Z588" s="79"/>
      <c r="AA588" s="79">
        <f t="shared" si="332"/>
        <v>116.865047477745</v>
      </c>
      <c r="AB588" s="91">
        <v>7.27</v>
      </c>
      <c r="AC588" s="77">
        <f t="shared" si="333"/>
        <v>849.608895163205</v>
      </c>
      <c r="AD588" s="77">
        <f t="shared" si="328"/>
        <v>5677.25496341246</v>
      </c>
      <c r="AE588" s="77">
        <f t="shared" si="329"/>
        <v>1143.24503658754</v>
      </c>
    </row>
    <row r="589" customFormat="1" spans="1:31">
      <c r="A589" s="22"/>
      <c r="B589" s="23"/>
      <c r="C589" s="24">
        <v>241217000017</v>
      </c>
      <c r="D589" s="25">
        <v>45649</v>
      </c>
      <c r="E589" s="25" t="s">
        <v>54</v>
      </c>
      <c r="F589" s="23" t="s">
        <v>55</v>
      </c>
      <c r="G589" s="23" t="s">
        <v>125</v>
      </c>
      <c r="H589" s="23">
        <v>4.5</v>
      </c>
      <c r="I589" s="43">
        <v>363</v>
      </c>
      <c r="J589" s="44"/>
      <c r="K589" s="45"/>
      <c r="L589" s="23"/>
      <c r="M589" s="45"/>
      <c r="N589" s="57"/>
      <c r="O589" s="47">
        <f t="shared" si="340"/>
        <v>363</v>
      </c>
      <c r="P589" s="49"/>
      <c r="Q589" s="49"/>
      <c r="R589" s="77">
        <f t="shared" si="334"/>
        <v>229.442581602374</v>
      </c>
      <c r="S589" s="77"/>
      <c r="T589" s="78">
        <f t="shared" si="335"/>
        <v>0.445326409495549</v>
      </c>
      <c r="U589" s="77"/>
      <c r="V589" s="77"/>
      <c r="W589" s="77">
        <f t="shared" si="331"/>
        <v>229.887908011869</v>
      </c>
      <c r="X589" s="79">
        <f t="shared" si="336"/>
        <v>3.60024035608309</v>
      </c>
      <c r="Y589" s="79"/>
      <c r="Z589" s="79"/>
      <c r="AA589" s="79">
        <f t="shared" si="332"/>
        <v>3.60024035608309</v>
      </c>
      <c r="AB589" s="91">
        <v>7.27</v>
      </c>
      <c r="AC589" s="77">
        <f t="shared" si="333"/>
        <v>26.173747388724</v>
      </c>
      <c r="AD589" s="77">
        <f t="shared" si="328"/>
        <v>256.061655400593</v>
      </c>
      <c r="AE589" s="77">
        <f t="shared" si="329"/>
        <v>106.938344599407</v>
      </c>
    </row>
    <row r="590" customFormat="1" spans="1:31">
      <c r="A590" s="22"/>
      <c r="B590" s="23"/>
      <c r="C590" s="24">
        <v>241217000019</v>
      </c>
      <c r="D590" s="25">
        <v>45649</v>
      </c>
      <c r="E590" s="25" t="s">
        <v>44</v>
      </c>
      <c r="F590" s="23" t="s">
        <v>45</v>
      </c>
      <c r="G590" s="23" t="s">
        <v>178</v>
      </c>
      <c r="H590" s="23">
        <v>10</v>
      </c>
      <c r="I590" s="43">
        <v>750</v>
      </c>
      <c r="J590" s="44"/>
      <c r="K590" s="45"/>
      <c r="L590" s="23"/>
      <c r="M590" s="45"/>
      <c r="N590" s="57"/>
      <c r="O590" s="47">
        <f t="shared" si="340"/>
        <v>750</v>
      </c>
      <c r="P590" s="49"/>
      <c r="Q590" s="49"/>
      <c r="R590" s="77">
        <f t="shared" si="334"/>
        <v>509.872403560831</v>
      </c>
      <c r="S590" s="77"/>
      <c r="T590" s="78">
        <f t="shared" si="335"/>
        <v>0.989614243323442</v>
      </c>
      <c r="U590" s="77"/>
      <c r="V590" s="77"/>
      <c r="W590" s="77">
        <f t="shared" si="331"/>
        <v>510.862017804154</v>
      </c>
      <c r="X590" s="79">
        <f t="shared" si="336"/>
        <v>8.00053412462908</v>
      </c>
      <c r="Y590" s="79"/>
      <c r="Z590" s="79"/>
      <c r="AA590" s="79">
        <f t="shared" si="332"/>
        <v>8.00053412462908</v>
      </c>
      <c r="AB590" s="91">
        <v>7.27</v>
      </c>
      <c r="AC590" s="77">
        <f t="shared" si="333"/>
        <v>58.1638830860534</v>
      </c>
      <c r="AD590" s="77">
        <f t="shared" si="328"/>
        <v>569.025900890208</v>
      </c>
      <c r="AE590" s="77">
        <f t="shared" si="329"/>
        <v>180.974099109792</v>
      </c>
    </row>
    <row r="591" customFormat="1" spans="1:31">
      <c r="A591" s="22"/>
      <c r="B591" s="23"/>
      <c r="C591" s="24">
        <v>241217000021</v>
      </c>
      <c r="D591" s="25">
        <v>45649</v>
      </c>
      <c r="E591" s="25" t="s">
        <v>44</v>
      </c>
      <c r="F591" s="23" t="s">
        <v>45</v>
      </c>
      <c r="G591" s="23" t="s">
        <v>382</v>
      </c>
      <c r="H591" s="23">
        <v>2.5</v>
      </c>
      <c r="I591" s="43">
        <v>225</v>
      </c>
      <c r="J591" s="44"/>
      <c r="K591" s="45"/>
      <c r="L591" s="23"/>
      <c r="M591" s="45"/>
      <c r="N591" s="57"/>
      <c r="O591" s="47">
        <f t="shared" si="340"/>
        <v>225</v>
      </c>
      <c r="P591" s="49"/>
      <c r="Q591" s="49"/>
      <c r="R591" s="77">
        <f t="shared" si="334"/>
        <v>127.468100890208</v>
      </c>
      <c r="S591" s="77"/>
      <c r="T591" s="78">
        <f t="shared" si="335"/>
        <v>0.247403560830861</v>
      </c>
      <c r="U591" s="77"/>
      <c r="V591" s="77"/>
      <c r="W591" s="77">
        <f t="shared" si="331"/>
        <v>127.715504451039</v>
      </c>
      <c r="X591" s="79">
        <f t="shared" si="336"/>
        <v>2.00013353115727</v>
      </c>
      <c r="Y591" s="79"/>
      <c r="Z591" s="79"/>
      <c r="AA591" s="79">
        <f t="shared" si="332"/>
        <v>2.00013353115727</v>
      </c>
      <c r="AB591" s="91">
        <v>7.27</v>
      </c>
      <c r="AC591" s="77">
        <f t="shared" si="333"/>
        <v>14.5409707715134</v>
      </c>
      <c r="AD591" s="77">
        <f t="shared" si="328"/>
        <v>142.256475222552</v>
      </c>
      <c r="AE591" s="77">
        <f t="shared" si="329"/>
        <v>82.7435247774481</v>
      </c>
    </row>
    <row r="592" customFormat="1" spans="1:31">
      <c r="A592" s="22"/>
      <c r="B592" s="23"/>
      <c r="C592" s="24">
        <v>241217000022</v>
      </c>
      <c r="D592" s="25">
        <v>45649</v>
      </c>
      <c r="E592" s="25" t="s">
        <v>44</v>
      </c>
      <c r="F592" s="23" t="s">
        <v>45</v>
      </c>
      <c r="G592" s="23" t="s">
        <v>225</v>
      </c>
      <c r="H592" s="23">
        <v>0.84</v>
      </c>
      <c r="I592" s="43">
        <v>70</v>
      </c>
      <c r="J592" s="44"/>
      <c r="K592" s="45"/>
      <c r="L592" s="23"/>
      <c r="M592" s="45"/>
      <c r="N592" s="57"/>
      <c r="O592" s="47">
        <f t="shared" si="340"/>
        <v>70</v>
      </c>
      <c r="P592" s="49"/>
      <c r="Q592" s="49"/>
      <c r="R592" s="77">
        <f t="shared" si="334"/>
        <v>42.8292818991098</v>
      </c>
      <c r="S592" s="77"/>
      <c r="T592" s="78">
        <f t="shared" si="335"/>
        <v>0.0831275964391691</v>
      </c>
      <c r="U592" s="77"/>
      <c r="V592" s="77"/>
      <c r="W592" s="77">
        <f t="shared" si="331"/>
        <v>42.912409495549</v>
      </c>
      <c r="X592" s="79">
        <f t="shared" si="336"/>
        <v>0.672044866468843</v>
      </c>
      <c r="Y592" s="79"/>
      <c r="Z592" s="79"/>
      <c r="AA592" s="79">
        <f t="shared" si="332"/>
        <v>0.672044866468843</v>
      </c>
      <c r="AB592" s="91">
        <v>7.27</v>
      </c>
      <c r="AC592" s="77">
        <f t="shared" si="333"/>
        <v>4.88576617922849</v>
      </c>
      <c r="AD592" s="77">
        <f t="shared" si="328"/>
        <v>47.7981756747774</v>
      </c>
      <c r="AE592" s="77">
        <f t="shared" si="329"/>
        <v>22.2018243252226</v>
      </c>
    </row>
    <row r="593" customFormat="1" spans="1:31">
      <c r="A593" s="22"/>
      <c r="B593" s="23"/>
      <c r="C593" s="24">
        <v>241217000029</v>
      </c>
      <c r="D593" s="26">
        <v>45649</v>
      </c>
      <c r="E593" s="25" t="s">
        <v>70</v>
      </c>
      <c r="F593" s="23" t="s">
        <v>70</v>
      </c>
      <c r="G593" s="23" t="s">
        <v>413</v>
      </c>
      <c r="H593" s="23">
        <v>33.5</v>
      </c>
      <c r="I593" s="47"/>
      <c r="J593" s="44"/>
      <c r="K593" s="45"/>
      <c r="L593" s="23"/>
      <c r="M593" s="45">
        <v>357.86</v>
      </c>
      <c r="N593" s="57">
        <v>7.27</v>
      </c>
      <c r="O593" s="47">
        <f>SUM(M593*N593)</f>
        <v>2601.6422</v>
      </c>
      <c r="P593" s="49"/>
      <c r="Q593" s="49"/>
      <c r="R593" s="77">
        <f t="shared" si="334"/>
        <v>1708.07255192878</v>
      </c>
      <c r="S593" s="77"/>
      <c r="T593" s="78">
        <f t="shared" si="335"/>
        <v>3.31520771513353</v>
      </c>
      <c r="U593" s="78">
        <v>60</v>
      </c>
      <c r="V593" s="77"/>
      <c r="W593" s="77">
        <f t="shared" si="331"/>
        <v>1771.38775964392</v>
      </c>
      <c r="X593" s="79">
        <f t="shared" si="336"/>
        <v>26.8017893175074</v>
      </c>
      <c r="Y593" s="79"/>
      <c r="Z593" s="79"/>
      <c r="AA593" s="79">
        <f t="shared" si="332"/>
        <v>26.8017893175074</v>
      </c>
      <c r="AB593" s="91">
        <v>7.27</v>
      </c>
      <c r="AC593" s="77">
        <f t="shared" si="333"/>
        <v>194.849008338279</v>
      </c>
      <c r="AD593" s="77">
        <f t="shared" si="328"/>
        <v>1966.2367679822</v>
      </c>
      <c r="AE593" s="77">
        <f t="shared" si="329"/>
        <v>635.405432017804</v>
      </c>
    </row>
    <row r="594" customFormat="1" spans="1:31">
      <c r="A594" s="22"/>
      <c r="B594" s="23"/>
      <c r="C594" s="24">
        <v>241217000033</v>
      </c>
      <c r="D594" s="25">
        <v>45649</v>
      </c>
      <c r="E594" s="25" t="s">
        <v>44</v>
      </c>
      <c r="F594" s="23" t="s">
        <v>45</v>
      </c>
      <c r="G594" s="23" t="s">
        <v>135</v>
      </c>
      <c r="H594" s="23">
        <v>24</v>
      </c>
      <c r="I594" s="43">
        <v>1800</v>
      </c>
      <c r="J594" s="44"/>
      <c r="K594" s="45"/>
      <c r="L594" s="23"/>
      <c r="M594" s="45"/>
      <c r="N594" s="57"/>
      <c r="O594" s="47">
        <f t="shared" ref="O594:O610" si="341">SUM(I594)</f>
        <v>1800</v>
      </c>
      <c r="P594" s="49"/>
      <c r="Q594" s="49"/>
      <c r="R594" s="77">
        <f t="shared" si="334"/>
        <v>1223.69376854599</v>
      </c>
      <c r="S594" s="77"/>
      <c r="T594" s="78">
        <f t="shared" si="335"/>
        <v>2.37507418397626</v>
      </c>
      <c r="U594" s="77"/>
      <c r="V594" s="77"/>
      <c r="W594" s="77">
        <f t="shared" si="331"/>
        <v>1226.06884272997</v>
      </c>
      <c r="X594" s="79">
        <f t="shared" si="336"/>
        <v>19.2012818991098</v>
      </c>
      <c r="Y594" s="79"/>
      <c r="Z594" s="79"/>
      <c r="AA594" s="79">
        <f t="shared" si="332"/>
        <v>19.2012818991098</v>
      </c>
      <c r="AB594" s="91">
        <v>7.27</v>
      </c>
      <c r="AC594" s="77">
        <f t="shared" si="333"/>
        <v>139.593319406528</v>
      </c>
      <c r="AD594" s="77">
        <f t="shared" si="328"/>
        <v>1365.6621621365</v>
      </c>
      <c r="AE594" s="77">
        <f t="shared" si="329"/>
        <v>434.337837863502</v>
      </c>
    </row>
    <row r="595" customFormat="1" spans="1:31">
      <c r="A595" s="22"/>
      <c r="B595" s="23"/>
      <c r="C595" s="24">
        <v>241217000034</v>
      </c>
      <c r="D595" s="25">
        <v>45649</v>
      </c>
      <c r="E595" s="25" t="s">
        <v>61</v>
      </c>
      <c r="F595" s="23" t="s">
        <v>62</v>
      </c>
      <c r="G595" s="23" t="s">
        <v>414</v>
      </c>
      <c r="H595" s="23">
        <v>0.46</v>
      </c>
      <c r="I595" s="43">
        <v>153</v>
      </c>
      <c r="J595" s="44"/>
      <c r="K595" s="45"/>
      <c r="L595" s="23"/>
      <c r="M595" s="45"/>
      <c r="N595" s="57"/>
      <c r="O595" s="47">
        <f t="shared" si="341"/>
        <v>153</v>
      </c>
      <c r="P595" s="49"/>
      <c r="Q595" s="49"/>
      <c r="R595" s="77">
        <f t="shared" si="334"/>
        <v>23.4541305637982</v>
      </c>
      <c r="S595" s="77"/>
      <c r="T595" s="78">
        <f t="shared" si="335"/>
        <v>0.0455222551928783</v>
      </c>
      <c r="U595" s="77"/>
      <c r="V595" s="77"/>
      <c r="W595" s="77">
        <f t="shared" si="331"/>
        <v>23.4996528189911</v>
      </c>
      <c r="X595" s="79">
        <f t="shared" si="336"/>
        <v>0.368024569732938</v>
      </c>
      <c r="Y595" s="79">
        <v>9.62</v>
      </c>
      <c r="Z595" s="79"/>
      <c r="AA595" s="79">
        <f t="shared" si="332"/>
        <v>9.98802456973294</v>
      </c>
      <c r="AB595" s="91">
        <v>7.27</v>
      </c>
      <c r="AC595" s="77">
        <f t="shared" si="333"/>
        <v>72.6129386219584</v>
      </c>
      <c r="AD595" s="77">
        <f t="shared" si="328"/>
        <v>96.1125914409495</v>
      </c>
      <c r="AE595" s="77">
        <f t="shared" si="329"/>
        <v>56.8874085590505</v>
      </c>
    </row>
    <row r="596" customFormat="1" spans="1:31">
      <c r="A596" s="22"/>
      <c r="B596" s="23"/>
      <c r="C596" s="24">
        <v>241217000048</v>
      </c>
      <c r="D596" s="25">
        <v>45649</v>
      </c>
      <c r="E596" s="25" t="s">
        <v>44</v>
      </c>
      <c r="F596" s="23" t="s">
        <v>45</v>
      </c>
      <c r="G596" s="23" t="s">
        <v>146</v>
      </c>
      <c r="H596" s="23">
        <v>105</v>
      </c>
      <c r="I596" s="43">
        <v>6825</v>
      </c>
      <c r="J596" s="44"/>
      <c r="K596" s="45"/>
      <c r="L596" s="23"/>
      <c r="M596" s="45"/>
      <c r="N596" s="57"/>
      <c r="O596" s="47">
        <f t="shared" si="341"/>
        <v>6825</v>
      </c>
      <c r="P596" s="49"/>
      <c r="Q596" s="49"/>
      <c r="R596" s="77">
        <f t="shared" si="334"/>
        <v>5353.66023738872</v>
      </c>
      <c r="S596" s="77"/>
      <c r="T596" s="78">
        <f t="shared" si="335"/>
        <v>10.3909495548961</v>
      </c>
      <c r="U596" s="77"/>
      <c r="V596" s="77"/>
      <c r="W596" s="77">
        <f t="shared" si="331"/>
        <v>5364.05118694362</v>
      </c>
      <c r="X596" s="79">
        <f t="shared" si="336"/>
        <v>84.0056083086053</v>
      </c>
      <c r="Y596" s="79"/>
      <c r="Z596" s="79"/>
      <c r="AA596" s="79">
        <f t="shared" si="332"/>
        <v>84.0056083086053</v>
      </c>
      <c r="AB596" s="91">
        <v>7.27</v>
      </c>
      <c r="AC596" s="77">
        <f t="shared" si="333"/>
        <v>610.720772403561</v>
      </c>
      <c r="AD596" s="77">
        <f t="shared" si="328"/>
        <v>5974.77195934718</v>
      </c>
      <c r="AE596" s="77">
        <f t="shared" si="329"/>
        <v>850.22804065282</v>
      </c>
    </row>
    <row r="597" customFormat="1" spans="1:31">
      <c r="A597" s="22"/>
      <c r="B597" s="23"/>
      <c r="C597" s="24">
        <v>241217000050</v>
      </c>
      <c r="D597" s="25">
        <v>45649</v>
      </c>
      <c r="E597" s="25" t="s">
        <v>41</v>
      </c>
      <c r="F597" s="23" t="s">
        <v>42</v>
      </c>
      <c r="G597" s="23" t="s">
        <v>415</v>
      </c>
      <c r="H597" s="23">
        <v>2.5</v>
      </c>
      <c r="I597" s="43">
        <v>203</v>
      </c>
      <c r="J597" s="44"/>
      <c r="K597" s="45"/>
      <c r="L597" s="23"/>
      <c r="M597" s="45"/>
      <c r="N597" s="57"/>
      <c r="O597" s="47">
        <f t="shared" si="341"/>
        <v>203</v>
      </c>
      <c r="P597" s="49"/>
      <c r="Q597" s="49"/>
      <c r="R597" s="77">
        <f t="shared" si="334"/>
        <v>127.468100890208</v>
      </c>
      <c r="S597" s="77"/>
      <c r="T597" s="78">
        <f t="shared" si="335"/>
        <v>0.247403560830861</v>
      </c>
      <c r="U597" s="77"/>
      <c r="V597" s="77"/>
      <c r="W597" s="77">
        <f t="shared" si="331"/>
        <v>127.715504451039</v>
      </c>
      <c r="X597" s="79">
        <f t="shared" si="336"/>
        <v>2.00013353115727</v>
      </c>
      <c r="Y597" s="79"/>
      <c r="Z597" s="79"/>
      <c r="AA597" s="79">
        <f t="shared" si="332"/>
        <v>2.00013353115727</v>
      </c>
      <c r="AB597" s="91">
        <v>7.27</v>
      </c>
      <c r="AC597" s="77">
        <f t="shared" si="333"/>
        <v>14.5409707715134</v>
      </c>
      <c r="AD597" s="77">
        <f t="shared" si="328"/>
        <v>142.256475222552</v>
      </c>
      <c r="AE597" s="77">
        <f t="shared" si="329"/>
        <v>60.7435247774481</v>
      </c>
    </row>
    <row r="598" customFormat="1" spans="1:31">
      <c r="A598" s="22"/>
      <c r="B598" s="23"/>
      <c r="C598" s="24">
        <v>241218000006</v>
      </c>
      <c r="D598" s="25">
        <v>45649</v>
      </c>
      <c r="E598" s="25" t="s">
        <v>54</v>
      </c>
      <c r="F598" s="23" t="s">
        <v>55</v>
      </c>
      <c r="G598" s="23" t="s">
        <v>124</v>
      </c>
      <c r="H598" s="23">
        <v>5</v>
      </c>
      <c r="I598" s="43">
        <v>403</v>
      </c>
      <c r="J598" s="44"/>
      <c r="K598" s="45"/>
      <c r="L598" s="23"/>
      <c r="M598" s="45"/>
      <c r="N598" s="57"/>
      <c r="O598" s="47">
        <f t="shared" si="341"/>
        <v>403</v>
      </c>
      <c r="P598" s="49"/>
      <c r="Q598" s="49"/>
      <c r="R598" s="77">
        <f t="shared" si="334"/>
        <v>254.936201780415</v>
      </c>
      <c r="S598" s="77"/>
      <c r="T598" s="78">
        <f t="shared" si="335"/>
        <v>0.494807121661721</v>
      </c>
      <c r="U598" s="77"/>
      <c r="V598" s="77"/>
      <c r="W598" s="77">
        <f t="shared" si="331"/>
        <v>255.431008902077</v>
      </c>
      <c r="X598" s="79">
        <f t="shared" si="336"/>
        <v>4.00026706231454</v>
      </c>
      <c r="Y598" s="79"/>
      <c r="Z598" s="79"/>
      <c r="AA598" s="79">
        <f t="shared" si="332"/>
        <v>4.00026706231454</v>
      </c>
      <c r="AB598" s="91">
        <v>7.27</v>
      </c>
      <c r="AC598" s="77">
        <f t="shared" si="333"/>
        <v>29.0819415430267</v>
      </c>
      <c r="AD598" s="77">
        <f t="shared" si="328"/>
        <v>284.512950445104</v>
      </c>
      <c r="AE598" s="77">
        <f t="shared" si="329"/>
        <v>118.487049554896</v>
      </c>
    </row>
    <row r="599" customFormat="1" spans="1:31">
      <c r="A599" s="22"/>
      <c r="B599" s="23"/>
      <c r="C599" s="24">
        <v>241218000012</v>
      </c>
      <c r="D599" s="25">
        <v>45649</v>
      </c>
      <c r="E599" s="25" t="s">
        <v>54</v>
      </c>
      <c r="F599" s="23" t="s">
        <v>55</v>
      </c>
      <c r="G599" s="23" t="s">
        <v>416</v>
      </c>
      <c r="H599" s="23">
        <v>43</v>
      </c>
      <c r="I599" s="43">
        <v>3300</v>
      </c>
      <c r="J599" s="44"/>
      <c r="K599" s="45"/>
      <c r="L599" s="23"/>
      <c r="M599" s="45"/>
      <c r="N599" s="57"/>
      <c r="O599" s="47">
        <f t="shared" si="341"/>
        <v>3300</v>
      </c>
      <c r="P599" s="49"/>
      <c r="Q599" s="49"/>
      <c r="R599" s="77">
        <f t="shared" si="334"/>
        <v>2192.45133531157</v>
      </c>
      <c r="S599" s="77"/>
      <c r="T599" s="78">
        <f t="shared" si="335"/>
        <v>4.2553412462908</v>
      </c>
      <c r="U599" s="77"/>
      <c r="V599" s="77"/>
      <c r="W599" s="77">
        <f t="shared" si="331"/>
        <v>2196.70667655786</v>
      </c>
      <c r="X599" s="79">
        <f t="shared" si="336"/>
        <v>34.402296735905</v>
      </c>
      <c r="Y599" s="79">
        <v>41.26</v>
      </c>
      <c r="Z599" s="79"/>
      <c r="AA599" s="79">
        <f t="shared" si="332"/>
        <v>75.662296735905</v>
      </c>
      <c r="AB599" s="91">
        <v>7.27</v>
      </c>
      <c r="AC599" s="77">
        <f t="shared" si="333"/>
        <v>550.06489727003</v>
      </c>
      <c r="AD599" s="77">
        <f t="shared" si="328"/>
        <v>2746.77157382789</v>
      </c>
      <c r="AE599" s="77">
        <f t="shared" si="329"/>
        <v>553.228426172107</v>
      </c>
    </row>
    <row r="600" customFormat="1" spans="1:31">
      <c r="A600" s="22"/>
      <c r="B600" s="23"/>
      <c r="C600" s="24">
        <v>241218000014</v>
      </c>
      <c r="D600" s="25">
        <v>45649</v>
      </c>
      <c r="E600" s="25" t="s">
        <v>44</v>
      </c>
      <c r="F600" s="23" t="s">
        <v>45</v>
      </c>
      <c r="G600" s="23" t="s">
        <v>225</v>
      </c>
      <c r="H600" s="23">
        <v>0.62</v>
      </c>
      <c r="I600" s="43">
        <v>70</v>
      </c>
      <c r="J600" s="44"/>
      <c r="K600" s="45"/>
      <c r="L600" s="23"/>
      <c r="M600" s="45"/>
      <c r="N600" s="57"/>
      <c r="O600" s="47">
        <f t="shared" si="341"/>
        <v>70</v>
      </c>
      <c r="P600" s="49"/>
      <c r="Q600" s="49"/>
      <c r="R600" s="77">
        <f t="shared" si="334"/>
        <v>31.6120890207715</v>
      </c>
      <c r="S600" s="77"/>
      <c r="T600" s="78">
        <f t="shared" si="335"/>
        <v>0.0613560830860534</v>
      </c>
      <c r="U600" s="77"/>
      <c r="V600" s="77"/>
      <c r="W600" s="77">
        <f t="shared" si="331"/>
        <v>31.6734451038576</v>
      </c>
      <c r="X600" s="79">
        <f t="shared" si="336"/>
        <v>0.496033115727003</v>
      </c>
      <c r="Y600" s="79"/>
      <c r="Z600" s="79"/>
      <c r="AA600" s="79">
        <f t="shared" si="332"/>
        <v>0.496033115727003</v>
      </c>
      <c r="AB600" s="91">
        <v>7.27</v>
      </c>
      <c r="AC600" s="77">
        <f t="shared" si="333"/>
        <v>3.60616075133531</v>
      </c>
      <c r="AD600" s="77">
        <f t="shared" si="328"/>
        <v>35.2796058551929</v>
      </c>
      <c r="AE600" s="77">
        <f t="shared" si="329"/>
        <v>34.7203941448071</v>
      </c>
    </row>
    <row r="601" customFormat="1" spans="1:31">
      <c r="A601" s="22"/>
      <c r="B601" s="23"/>
      <c r="C601" s="24">
        <v>241218000020</v>
      </c>
      <c r="D601" s="26">
        <v>45649</v>
      </c>
      <c r="E601" s="25" t="s">
        <v>70</v>
      </c>
      <c r="F601" s="23" t="s">
        <v>70</v>
      </c>
      <c r="G601" s="23" t="s">
        <v>169</v>
      </c>
      <c r="H601" s="23">
        <v>183.5</v>
      </c>
      <c r="I601" s="43">
        <v>14313</v>
      </c>
      <c r="J601" s="44"/>
      <c r="K601" s="45"/>
      <c r="L601" s="23"/>
      <c r="M601" s="45"/>
      <c r="N601" s="57"/>
      <c r="O601" s="47">
        <f t="shared" si="341"/>
        <v>14313</v>
      </c>
      <c r="P601" s="49"/>
      <c r="Q601" s="49"/>
      <c r="R601" s="77">
        <f t="shared" si="334"/>
        <v>9356.15860534125</v>
      </c>
      <c r="S601" s="77"/>
      <c r="T601" s="78">
        <f t="shared" si="335"/>
        <v>18.1594213649852</v>
      </c>
      <c r="U601" s="77"/>
      <c r="V601" s="77"/>
      <c r="W601" s="77">
        <f t="shared" si="331"/>
        <v>9374.31802670623</v>
      </c>
      <c r="X601" s="79">
        <f t="shared" si="336"/>
        <v>146.809801186944</v>
      </c>
      <c r="Y601" s="79"/>
      <c r="Z601" s="79"/>
      <c r="AA601" s="79">
        <f t="shared" si="332"/>
        <v>146.809801186944</v>
      </c>
      <c r="AB601" s="91">
        <v>7.27</v>
      </c>
      <c r="AC601" s="77">
        <f t="shared" ref="AC601:AC608" si="342">SUM(AA601*AB601)</f>
        <v>1067.30725462908</v>
      </c>
      <c r="AD601" s="77">
        <f t="shared" si="328"/>
        <v>10441.6252813353</v>
      </c>
      <c r="AE601" s="77">
        <f t="shared" si="329"/>
        <v>3871.37471866469</v>
      </c>
    </row>
    <row r="602" customFormat="1" spans="1:31">
      <c r="A602" s="22"/>
      <c r="B602" s="23"/>
      <c r="C602" s="24">
        <v>241218000029</v>
      </c>
      <c r="D602" s="26">
        <v>45649</v>
      </c>
      <c r="E602" s="25" t="s">
        <v>70</v>
      </c>
      <c r="F602" s="23" t="s">
        <v>70</v>
      </c>
      <c r="G602" s="23" t="s">
        <v>156</v>
      </c>
      <c r="H602" s="23">
        <v>20</v>
      </c>
      <c r="I602" s="43">
        <v>1546</v>
      </c>
      <c r="J602" s="44"/>
      <c r="K602" s="45"/>
      <c r="L602" s="23"/>
      <c r="M602" s="45"/>
      <c r="N602" s="57"/>
      <c r="O602" s="47">
        <f t="shared" si="341"/>
        <v>1546</v>
      </c>
      <c r="P602" s="55"/>
      <c r="Q602" s="55"/>
      <c r="R602" s="77">
        <f t="shared" si="334"/>
        <v>1019.74480712166</v>
      </c>
      <c r="S602" s="77"/>
      <c r="T602" s="78">
        <f t="shared" si="335"/>
        <v>1.97922848664688</v>
      </c>
      <c r="U602" s="77"/>
      <c r="V602" s="77"/>
      <c r="W602" s="77">
        <f t="shared" ref="W602:W608" si="343">SUM(R602:V602)</f>
        <v>1021.72403560831</v>
      </c>
      <c r="X602" s="79">
        <f t="shared" si="336"/>
        <v>16.0010682492582</v>
      </c>
      <c r="Y602" s="79"/>
      <c r="Z602" s="79"/>
      <c r="AA602" s="79">
        <f t="shared" ref="AA602:AA608" si="344">SUM(X602:Z602)</f>
        <v>16.0010682492582</v>
      </c>
      <c r="AB602" s="91">
        <v>7.27</v>
      </c>
      <c r="AC602" s="77">
        <f t="shared" si="342"/>
        <v>116.327766172107</v>
      </c>
      <c r="AD602" s="77">
        <f t="shared" si="328"/>
        <v>1138.05180178042</v>
      </c>
      <c r="AE602" s="77">
        <f t="shared" ref="AE602:AE633" si="345">SUM(O602-AD602)</f>
        <v>407.948198219585</v>
      </c>
    </row>
    <row r="603" customFormat="1" spans="1:31">
      <c r="A603" s="22" t="s">
        <v>417</v>
      </c>
      <c r="B603" s="23" t="s">
        <v>418</v>
      </c>
      <c r="C603" s="24">
        <v>241210000031</v>
      </c>
      <c r="D603" s="25">
        <v>45649</v>
      </c>
      <c r="E603" s="25" t="s">
        <v>37</v>
      </c>
      <c r="F603" s="23" t="s">
        <v>38</v>
      </c>
      <c r="G603" s="23" t="s">
        <v>238</v>
      </c>
      <c r="H603" s="23">
        <v>73</v>
      </c>
      <c r="I603" s="43">
        <v>6059</v>
      </c>
      <c r="J603" s="44"/>
      <c r="K603" s="45"/>
      <c r="L603" s="23"/>
      <c r="M603" s="45"/>
      <c r="N603" s="57"/>
      <c r="O603" s="47">
        <f t="shared" si="341"/>
        <v>6059</v>
      </c>
      <c r="P603" s="48">
        <f>SUM(O603:O608)</f>
        <v>106748.7</v>
      </c>
      <c r="Q603" s="48" t="s">
        <v>185</v>
      </c>
      <c r="R603" s="77">
        <f t="shared" ref="R603:R608" si="346">SUM(82595/1250)*H603</f>
        <v>4823.548</v>
      </c>
      <c r="S603" s="77"/>
      <c r="T603" s="78">
        <f t="shared" ref="T603:T608" si="347">SUM(136.5/1250)*H603</f>
        <v>7.9716</v>
      </c>
      <c r="U603" s="77"/>
      <c r="V603" s="77"/>
      <c r="W603" s="77">
        <f t="shared" si="343"/>
        <v>4831.5196</v>
      </c>
      <c r="X603" s="79">
        <f t="shared" ref="X603:X608" si="348">SUM(938.96/1250)*H603</f>
        <v>54.835264</v>
      </c>
      <c r="Y603" s="79"/>
      <c r="Z603" s="79"/>
      <c r="AA603" s="79">
        <f t="shared" si="344"/>
        <v>54.835264</v>
      </c>
      <c r="AB603" s="91">
        <v>7.27</v>
      </c>
      <c r="AC603" s="77">
        <f t="shared" si="342"/>
        <v>398.65236928</v>
      </c>
      <c r="AD603" s="77">
        <f t="shared" si="328"/>
        <v>5230.17196928</v>
      </c>
      <c r="AE603" s="77">
        <f t="shared" si="345"/>
        <v>828.82803072</v>
      </c>
    </row>
    <row r="604" customFormat="1" spans="1:31">
      <c r="A604" s="22"/>
      <c r="B604" s="23"/>
      <c r="C604" s="24">
        <v>241212000017</v>
      </c>
      <c r="D604" s="25">
        <v>45649</v>
      </c>
      <c r="E604" s="25" t="s">
        <v>61</v>
      </c>
      <c r="F604" s="23" t="s">
        <v>62</v>
      </c>
      <c r="G604" s="23" t="s">
        <v>419</v>
      </c>
      <c r="H604" s="23">
        <v>134.5</v>
      </c>
      <c r="I604" s="43">
        <v>9764.7</v>
      </c>
      <c r="J604" s="44"/>
      <c r="K604" s="45"/>
      <c r="L604" s="23"/>
      <c r="M604" s="45"/>
      <c r="N604" s="57"/>
      <c r="O604" s="47">
        <f t="shared" si="341"/>
        <v>9764.7</v>
      </c>
      <c r="P604" s="49"/>
      <c r="Q604" s="49"/>
      <c r="R604" s="77">
        <f t="shared" si="346"/>
        <v>8887.222</v>
      </c>
      <c r="S604" s="77"/>
      <c r="T604" s="78">
        <f t="shared" si="347"/>
        <v>14.6874</v>
      </c>
      <c r="U604" s="77"/>
      <c r="V604" s="77"/>
      <c r="W604" s="77">
        <f t="shared" si="343"/>
        <v>8901.9094</v>
      </c>
      <c r="X604" s="79">
        <f t="shared" si="348"/>
        <v>101.032096</v>
      </c>
      <c r="Y604" s="79"/>
      <c r="Z604" s="79"/>
      <c r="AA604" s="79">
        <f t="shared" si="344"/>
        <v>101.032096</v>
      </c>
      <c r="AB604" s="91">
        <v>7.27</v>
      </c>
      <c r="AC604" s="77">
        <f t="shared" si="342"/>
        <v>734.50333792</v>
      </c>
      <c r="AD604" s="77">
        <f t="shared" ref="AD604:AD635" si="349">SUM(W604+AC604)</f>
        <v>9636.41273792</v>
      </c>
      <c r="AE604" s="77">
        <f t="shared" si="345"/>
        <v>128.287262080001</v>
      </c>
    </row>
    <row r="605" customFormat="1" spans="1:31">
      <c r="A605" s="22"/>
      <c r="B605" s="23"/>
      <c r="C605" s="24">
        <v>241217000046</v>
      </c>
      <c r="D605" s="26">
        <v>45649</v>
      </c>
      <c r="E605" s="25" t="s">
        <v>70</v>
      </c>
      <c r="F605" s="23" t="s">
        <v>70</v>
      </c>
      <c r="G605" s="23" t="s">
        <v>218</v>
      </c>
      <c r="H605" s="23">
        <v>195</v>
      </c>
      <c r="I605" s="43">
        <v>20925</v>
      </c>
      <c r="J605" s="44"/>
      <c r="K605" s="45"/>
      <c r="L605" s="23"/>
      <c r="M605" s="45"/>
      <c r="N605" s="57"/>
      <c r="O605" s="47">
        <f t="shared" si="341"/>
        <v>20925</v>
      </c>
      <c r="P605" s="49"/>
      <c r="Q605" s="49"/>
      <c r="R605" s="77">
        <f t="shared" si="346"/>
        <v>12884.82</v>
      </c>
      <c r="S605" s="77"/>
      <c r="T605" s="78">
        <f t="shared" si="347"/>
        <v>21.294</v>
      </c>
      <c r="U605" s="77"/>
      <c r="V605" s="77"/>
      <c r="W605" s="77">
        <f t="shared" si="343"/>
        <v>12906.114</v>
      </c>
      <c r="X605" s="79">
        <f t="shared" si="348"/>
        <v>146.47776</v>
      </c>
      <c r="Y605" s="79"/>
      <c r="Z605" s="79"/>
      <c r="AA605" s="79">
        <f t="shared" si="344"/>
        <v>146.47776</v>
      </c>
      <c r="AB605" s="91">
        <v>7.27</v>
      </c>
      <c r="AC605" s="77">
        <f t="shared" si="342"/>
        <v>1064.8933152</v>
      </c>
      <c r="AD605" s="77">
        <f t="shared" si="349"/>
        <v>13971.0073152</v>
      </c>
      <c r="AE605" s="77">
        <f t="shared" si="345"/>
        <v>6953.9926848</v>
      </c>
    </row>
    <row r="606" customFormat="1" spans="1:31">
      <c r="A606" s="22"/>
      <c r="B606" s="23"/>
      <c r="C606" s="24">
        <v>241218000011</v>
      </c>
      <c r="D606" s="26">
        <v>45649</v>
      </c>
      <c r="E606" s="25" t="s">
        <v>143</v>
      </c>
      <c r="F606" s="23" t="s">
        <v>144</v>
      </c>
      <c r="G606" s="23" t="s">
        <v>234</v>
      </c>
      <c r="H606" s="23">
        <v>352</v>
      </c>
      <c r="I606" s="96">
        <v>27280</v>
      </c>
      <c r="J606" s="44"/>
      <c r="K606" s="45"/>
      <c r="L606" s="23"/>
      <c r="M606" s="45"/>
      <c r="N606" s="57"/>
      <c r="O606" s="47">
        <f t="shared" si="341"/>
        <v>27280</v>
      </c>
      <c r="P606" s="49"/>
      <c r="Q606" s="49"/>
      <c r="R606" s="77">
        <f t="shared" si="346"/>
        <v>23258.752</v>
      </c>
      <c r="S606" s="77"/>
      <c r="T606" s="78">
        <f t="shared" si="347"/>
        <v>38.4384</v>
      </c>
      <c r="U606" s="77"/>
      <c r="V606" s="77"/>
      <c r="W606" s="77">
        <f t="shared" si="343"/>
        <v>23297.1904</v>
      </c>
      <c r="X606" s="79">
        <f t="shared" si="348"/>
        <v>264.411136</v>
      </c>
      <c r="Y606" s="79"/>
      <c r="Z606" s="79"/>
      <c r="AA606" s="79">
        <f t="shared" si="344"/>
        <v>264.411136</v>
      </c>
      <c r="AB606" s="91">
        <v>7.27</v>
      </c>
      <c r="AC606" s="77">
        <f t="shared" ref="AC606:AC637" si="350">SUM(AA606*AB606)</f>
        <v>1922.26895872</v>
      </c>
      <c r="AD606" s="77">
        <f t="shared" si="349"/>
        <v>25219.45935872</v>
      </c>
      <c r="AE606" s="77">
        <f t="shared" si="345"/>
        <v>2060.54064128</v>
      </c>
    </row>
    <row r="607" customFormat="1" spans="1:31">
      <c r="A607" s="22"/>
      <c r="B607" s="23"/>
      <c r="C607" s="24">
        <v>241219000010</v>
      </c>
      <c r="D607" s="26">
        <v>45649</v>
      </c>
      <c r="E607" s="25" t="s">
        <v>70</v>
      </c>
      <c r="F607" s="23" t="s">
        <v>70</v>
      </c>
      <c r="G607" s="23" t="s">
        <v>218</v>
      </c>
      <c r="H607" s="23">
        <v>97</v>
      </c>
      <c r="I607" s="43">
        <v>10635</v>
      </c>
      <c r="J607" s="44"/>
      <c r="K607" s="45"/>
      <c r="L607" s="23"/>
      <c r="M607" s="45"/>
      <c r="N607" s="57"/>
      <c r="O607" s="47">
        <f t="shared" si="341"/>
        <v>10635</v>
      </c>
      <c r="P607" s="49"/>
      <c r="Q607" s="49"/>
      <c r="R607" s="77">
        <f t="shared" si="346"/>
        <v>6409.372</v>
      </c>
      <c r="S607" s="77"/>
      <c r="T607" s="78">
        <f t="shared" si="347"/>
        <v>10.5924</v>
      </c>
      <c r="U607" s="77"/>
      <c r="V607" s="77"/>
      <c r="W607" s="77">
        <f t="shared" si="343"/>
        <v>6419.9644</v>
      </c>
      <c r="X607" s="79">
        <f t="shared" si="348"/>
        <v>72.863296</v>
      </c>
      <c r="Y607" s="79"/>
      <c r="Z607" s="79"/>
      <c r="AA607" s="79">
        <f t="shared" si="344"/>
        <v>72.863296</v>
      </c>
      <c r="AB607" s="91">
        <v>7.27</v>
      </c>
      <c r="AC607" s="77">
        <f t="shared" si="350"/>
        <v>529.71616192</v>
      </c>
      <c r="AD607" s="77">
        <f t="shared" si="349"/>
        <v>6949.68056192</v>
      </c>
      <c r="AE607" s="77">
        <f t="shared" si="345"/>
        <v>3685.31943808</v>
      </c>
    </row>
    <row r="608" customFormat="1" spans="1:31">
      <c r="A608" s="22"/>
      <c r="B608" s="23"/>
      <c r="C608" s="24">
        <v>241220000005</v>
      </c>
      <c r="D608" s="26">
        <v>45649</v>
      </c>
      <c r="E608" s="25" t="s">
        <v>143</v>
      </c>
      <c r="F608" s="23" t="s">
        <v>144</v>
      </c>
      <c r="G608" s="23" t="s">
        <v>214</v>
      </c>
      <c r="H608" s="23">
        <v>414</v>
      </c>
      <c r="I608" s="43">
        <v>32085</v>
      </c>
      <c r="J608" s="44"/>
      <c r="K608" s="45"/>
      <c r="L608" s="23"/>
      <c r="M608" s="45"/>
      <c r="N608" s="57"/>
      <c r="O608" s="47">
        <f t="shared" si="341"/>
        <v>32085</v>
      </c>
      <c r="P608" s="55"/>
      <c r="Q608" s="55"/>
      <c r="R608" s="77">
        <f t="shared" si="346"/>
        <v>27355.464</v>
      </c>
      <c r="S608" s="77"/>
      <c r="T608" s="78">
        <f t="shared" si="347"/>
        <v>45.2088</v>
      </c>
      <c r="U608" s="77"/>
      <c r="V608" s="77"/>
      <c r="W608" s="77">
        <f t="shared" ref="W608:W639" si="351">SUM(R608:V608)</f>
        <v>27400.6728</v>
      </c>
      <c r="X608" s="79">
        <f t="shared" si="348"/>
        <v>310.983552</v>
      </c>
      <c r="Y608" s="79"/>
      <c r="Z608" s="79"/>
      <c r="AA608" s="79">
        <f t="shared" ref="AA608:AA639" si="352">SUM(X608:Z608)</f>
        <v>310.983552</v>
      </c>
      <c r="AB608" s="91">
        <v>7.27</v>
      </c>
      <c r="AC608" s="77">
        <f t="shared" si="350"/>
        <v>2260.85042304</v>
      </c>
      <c r="AD608" s="77">
        <f t="shared" si="349"/>
        <v>29661.52322304</v>
      </c>
      <c r="AE608" s="77">
        <f t="shared" si="345"/>
        <v>2423.47677696</v>
      </c>
    </row>
    <row r="609" customFormat="1" spans="1:31">
      <c r="A609" s="22" t="s">
        <v>420</v>
      </c>
      <c r="B609" s="23" t="s">
        <v>421</v>
      </c>
      <c r="C609" s="24">
        <v>241205000018</v>
      </c>
      <c r="D609" s="25">
        <v>45651</v>
      </c>
      <c r="E609" s="25" t="s">
        <v>54</v>
      </c>
      <c r="F609" s="23" t="s">
        <v>55</v>
      </c>
      <c r="G609" s="23" t="s">
        <v>422</v>
      </c>
      <c r="H609" s="23">
        <v>4</v>
      </c>
      <c r="I609" s="43">
        <v>411</v>
      </c>
      <c r="J609" s="44"/>
      <c r="K609" s="45"/>
      <c r="L609" s="23"/>
      <c r="M609" s="45"/>
      <c r="N609" s="57"/>
      <c r="O609" s="47">
        <f t="shared" si="341"/>
        <v>411</v>
      </c>
      <c r="P609" s="48">
        <f>SUM(O609:O718)</f>
        <v>223738.72122003</v>
      </c>
      <c r="Q609" s="48" t="s">
        <v>185</v>
      </c>
      <c r="R609" s="77">
        <f>SUM(157976.2/2691)*H609</f>
        <v>234.821553325901</v>
      </c>
      <c r="S609" s="77"/>
      <c r="T609" s="78">
        <f>SUM(234.7/2691)*H609</f>
        <v>0.348866592344853</v>
      </c>
      <c r="U609" s="77"/>
      <c r="V609" s="77"/>
      <c r="W609" s="77">
        <f t="shared" si="351"/>
        <v>235.170419918246</v>
      </c>
      <c r="X609" s="79">
        <f>SUM(1919.43/2691)*H609</f>
        <v>2.85311036789298</v>
      </c>
      <c r="Y609" s="79"/>
      <c r="Z609" s="79"/>
      <c r="AA609" s="79">
        <f t="shared" si="352"/>
        <v>2.85311036789298</v>
      </c>
      <c r="AB609" s="91">
        <v>7.27</v>
      </c>
      <c r="AC609" s="77">
        <f t="shared" si="350"/>
        <v>20.7421123745819</v>
      </c>
      <c r="AD609" s="77">
        <f t="shared" si="349"/>
        <v>255.912532292828</v>
      </c>
      <c r="AE609" s="77">
        <f t="shared" si="345"/>
        <v>155.087467707172</v>
      </c>
    </row>
    <row r="610" customFormat="1" spans="1:31">
      <c r="A610" s="22"/>
      <c r="B610" s="23"/>
      <c r="C610" s="24">
        <v>241205000019</v>
      </c>
      <c r="D610" s="25">
        <v>45651</v>
      </c>
      <c r="E610" s="25" t="s">
        <v>41</v>
      </c>
      <c r="F610" s="23" t="s">
        <v>42</v>
      </c>
      <c r="G610" s="23" t="s">
        <v>423</v>
      </c>
      <c r="H610" s="23">
        <v>3.5</v>
      </c>
      <c r="I610" s="43">
        <v>396.2</v>
      </c>
      <c r="J610" s="44"/>
      <c r="K610" s="45"/>
      <c r="L610" s="23"/>
      <c r="M610" s="45"/>
      <c r="N610" s="57"/>
      <c r="O610" s="47">
        <f t="shared" si="341"/>
        <v>396.2</v>
      </c>
      <c r="P610" s="49"/>
      <c r="Q610" s="49"/>
      <c r="R610" s="77">
        <f t="shared" ref="R610:R641" si="353">SUM(157976.2/2691)*H610</f>
        <v>205.468859160164</v>
      </c>
      <c r="S610" s="77"/>
      <c r="T610" s="78">
        <f t="shared" ref="T610:T641" si="354">SUM(234.7/2691)*H610</f>
        <v>0.305258268301747</v>
      </c>
      <c r="U610" s="77"/>
      <c r="V610" s="77"/>
      <c r="W610" s="77">
        <f t="shared" si="351"/>
        <v>205.774117428465</v>
      </c>
      <c r="X610" s="79">
        <f t="shared" ref="X610:X641" si="355">SUM(1919.43/2691)*H610</f>
        <v>2.49647157190635</v>
      </c>
      <c r="Y610" s="79"/>
      <c r="Z610" s="79"/>
      <c r="AA610" s="79">
        <f t="shared" si="352"/>
        <v>2.49647157190635</v>
      </c>
      <c r="AB610" s="91">
        <v>7.27</v>
      </c>
      <c r="AC610" s="77">
        <f t="shared" si="350"/>
        <v>18.1493483277592</v>
      </c>
      <c r="AD610" s="77">
        <f t="shared" si="349"/>
        <v>223.923465756224</v>
      </c>
      <c r="AE610" s="77">
        <f t="shared" si="345"/>
        <v>172.276534243776</v>
      </c>
    </row>
    <row r="611" customFormat="1" spans="1:31">
      <c r="A611" s="22"/>
      <c r="B611" s="23"/>
      <c r="C611" s="24">
        <v>241206000005</v>
      </c>
      <c r="D611" s="25">
        <v>45651</v>
      </c>
      <c r="E611" s="25" t="s">
        <v>37</v>
      </c>
      <c r="F611" s="23" t="s">
        <v>38</v>
      </c>
      <c r="G611" s="23" t="s">
        <v>424</v>
      </c>
      <c r="H611" s="23">
        <v>59.5</v>
      </c>
      <c r="I611" s="47"/>
      <c r="J611" s="51">
        <v>1147660</v>
      </c>
      <c r="K611" s="45"/>
      <c r="L611" s="52">
        <f t="shared" ref="L611:L617" si="356">SUM(J611/M611)</f>
        <v>1671.99883449883</v>
      </c>
      <c r="M611" s="98">
        <v>686.4</v>
      </c>
      <c r="N611" s="57">
        <v>7.27</v>
      </c>
      <c r="O611" s="47">
        <f>SUM(M611*N611)</f>
        <v>4990.128</v>
      </c>
      <c r="P611" s="49"/>
      <c r="Q611" s="49"/>
      <c r="R611" s="77">
        <f t="shared" si="353"/>
        <v>3492.97060572278</v>
      </c>
      <c r="S611" s="77"/>
      <c r="T611" s="78">
        <f t="shared" si="354"/>
        <v>5.18939056112969</v>
      </c>
      <c r="U611" s="77"/>
      <c r="V611" s="77"/>
      <c r="W611" s="77">
        <f t="shared" si="351"/>
        <v>3498.15999628391</v>
      </c>
      <c r="X611" s="79">
        <f t="shared" si="355"/>
        <v>42.440016722408</v>
      </c>
      <c r="Y611" s="79"/>
      <c r="Z611" s="79"/>
      <c r="AA611" s="79">
        <f t="shared" si="352"/>
        <v>42.440016722408</v>
      </c>
      <c r="AB611" s="91">
        <v>7.27</v>
      </c>
      <c r="AC611" s="77">
        <f t="shared" si="350"/>
        <v>308.538921571906</v>
      </c>
      <c r="AD611" s="77">
        <f t="shared" si="349"/>
        <v>3806.69891785582</v>
      </c>
      <c r="AE611" s="77">
        <f t="shared" si="345"/>
        <v>1183.42908214418</v>
      </c>
    </row>
    <row r="612" customFormat="1" spans="1:31">
      <c r="A612" s="22"/>
      <c r="B612" s="23"/>
      <c r="C612" s="24">
        <v>241206000010</v>
      </c>
      <c r="D612" s="25">
        <v>45651</v>
      </c>
      <c r="E612" s="25" t="s">
        <v>44</v>
      </c>
      <c r="F612" s="23" t="s">
        <v>45</v>
      </c>
      <c r="G612" s="23" t="s">
        <v>425</v>
      </c>
      <c r="H612" s="23">
        <v>13.5</v>
      </c>
      <c r="I612" s="43">
        <v>1188</v>
      </c>
      <c r="J612" s="44"/>
      <c r="K612" s="45"/>
      <c r="L612" s="23"/>
      <c r="M612" s="45"/>
      <c r="N612" s="57"/>
      <c r="O612" s="47">
        <f t="shared" ref="O612:O615" si="357">SUM(I612)</f>
        <v>1188</v>
      </c>
      <c r="P612" s="49"/>
      <c r="Q612" s="49"/>
      <c r="R612" s="77">
        <f t="shared" si="353"/>
        <v>792.522742474916</v>
      </c>
      <c r="S612" s="77"/>
      <c r="T612" s="78">
        <f t="shared" si="354"/>
        <v>1.17742474916388</v>
      </c>
      <c r="U612" s="77"/>
      <c r="V612" s="77"/>
      <c r="W612" s="77">
        <f t="shared" si="351"/>
        <v>793.70016722408</v>
      </c>
      <c r="X612" s="79">
        <f t="shared" si="355"/>
        <v>9.6292474916388</v>
      </c>
      <c r="Y612" s="79"/>
      <c r="Z612" s="79"/>
      <c r="AA612" s="79">
        <f t="shared" si="352"/>
        <v>9.6292474916388</v>
      </c>
      <c r="AB612" s="91">
        <v>7.27</v>
      </c>
      <c r="AC612" s="77">
        <f t="shared" si="350"/>
        <v>70.004629264214</v>
      </c>
      <c r="AD612" s="77">
        <f t="shared" si="349"/>
        <v>863.704796488294</v>
      </c>
      <c r="AE612" s="77">
        <f t="shared" si="345"/>
        <v>324.295203511706</v>
      </c>
    </row>
    <row r="613" customFormat="1" spans="1:31">
      <c r="A613" s="22"/>
      <c r="B613" s="23"/>
      <c r="C613" s="24">
        <v>241206000013</v>
      </c>
      <c r="D613" s="25">
        <v>45651</v>
      </c>
      <c r="E613" s="25" t="s">
        <v>44</v>
      </c>
      <c r="F613" s="23" t="s">
        <v>45</v>
      </c>
      <c r="G613" s="23" t="s">
        <v>426</v>
      </c>
      <c r="H613" s="23">
        <v>3</v>
      </c>
      <c r="I613" s="43">
        <v>264</v>
      </c>
      <c r="J613" s="44"/>
      <c r="K613" s="45"/>
      <c r="L613" s="23"/>
      <c r="M613" s="45"/>
      <c r="N613" s="57"/>
      <c r="O613" s="47">
        <f t="shared" si="357"/>
        <v>264</v>
      </c>
      <c r="P613" s="49"/>
      <c r="Q613" s="49"/>
      <c r="R613" s="77">
        <f t="shared" si="353"/>
        <v>176.116164994426</v>
      </c>
      <c r="S613" s="77"/>
      <c r="T613" s="78">
        <f t="shared" si="354"/>
        <v>0.26164994425864</v>
      </c>
      <c r="U613" s="77"/>
      <c r="V613" s="77"/>
      <c r="W613" s="77">
        <f t="shared" si="351"/>
        <v>176.377814938685</v>
      </c>
      <c r="X613" s="79">
        <f t="shared" si="355"/>
        <v>2.13983277591973</v>
      </c>
      <c r="Y613" s="79"/>
      <c r="Z613" s="79"/>
      <c r="AA613" s="79">
        <f t="shared" si="352"/>
        <v>2.13983277591973</v>
      </c>
      <c r="AB613" s="91">
        <v>7.27</v>
      </c>
      <c r="AC613" s="77">
        <f t="shared" si="350"/>
        <v>15.5565842809365</v>
      </c>
      <c r="AD613" s="77">
        <f t="shared" si="349"/>
        <v>191.934399219621</v>
      </c>
      <c r="AE613" s="77">
        <f t="shared" si="345"/>
        <v>72.065600780379</v>
      </c>
    </row>
    <row r="614" customFormat="1" spans="1:31">
      <c r="A614" s="22"/>
      <c r="B614" s="23"/>
      <c r="C614" s="24">
        <v>241206000022</v>
      </c>
      <c r="D614" s="26">
        <v>45651</v>
      </c>
      <c r="E614" s="25" t="s">
        <v>70</v>
      </c>
      <c r="F614" s="23" t="s">
        <v>70</v>
      </c>
      <c r="G614" s="23" t="s">
        <v>351</v>
      </c>
      <c r="H614" s="23">
        <v>31</v>
      </c>
      <c r="I614" s="50"/>
      <c r="J614" s="51">
        <v>529992</v>
      </c>
      <c r="K614" s="45"/>
      <c r="L614" s="52">
        <f t="shared" si="356"/>
        <v>1483.11739191269</v>
      </c>
      <c r="M614" s="53">
        <v>357.35</v>
      </c>
      <c r="N614" s="57">
        <v>7.27</v>
      </c>
      <c r="O614" s="47">
        <f>SUM(M614*N614+I614)</f>
        <v>2597.9345</v>
      </c>
      <c r="P614" s="49"/>
      <c r="Q614" s="49"/>
      <c r="R614" s="77">
        <f t="shared" si="353"/>
        <v>1819.86703827573</v>
      </c>
      <c r="S614" s="77"/>
      <c r="T614" s="78">
        <f t="shared" si="354"/>
        <v>2.70371609067261</v>
      </c>
      <c r="U614" s="77"/>
      <c r="V614" s="77"/>
      <c r="W614" s="77">
        <f t="shared" si="351"/>
        <v>1822.57075436641</v>
      </c>
      <c r="X614" s="79">
        <f t="shared" si="355"/>
        <v>22.1116053511706</v>
      </c>
      <c r="Y614" s="79"/>
      <c r="Z614" s="79"/>
      <c r="AA614" s="79">
        <f t="shared" si="352"/>
        <v>22.1116053511706</v>
      </c>
      <c r="AB614" s="91">
        <v>7.27</v>
      </c>
      <c r="AC614" s="77">
        <f t="shared" si="350"/>
        <v>160.75137090301</v>
      </c>
      <c r="AD614" s="77">
        <f t="shared" si="349"/>
        <v>1983.32212526942</v>
      </c>
      <c r="AE614" s="77">
        <f t="shared" si="345"/>
        <v>614.612374730583</v>
      </c>
    </row>
    <row r="615" customFormat="1" spans="1:31">
      <c r="A615" s="22"/>
      <c r="B615" s="23"/>
      <c r="C615" s="24">
        <v>241206000023</v>
      </c>
      <c r="D615" s="25">
        <v>45651</v>
      </c>
      <c r="E615" s="25" t="s">
        <v>61</v>
      </c>
      <c r="F615" s="23" t="s">
        <v>62</v>
      </c>
      <c r="G615" s="23" t="s">
        <v>92</v>
      </c>
      <c r="H615" s="23">
        <v>4</v>
      </c>
      <c r="I615" s="43">
        <v>395.3</v>
      </c>
      <c r="J615" s="44"/>
      <c r="K615" s="45"/>
      <c r="L615" s="23"/>
      <c r="M615" s="45"/>
      <c r="N615" s="57"/>
      <c r="O615" s="47">
        <f t="shared" si="357"/>
        <v>395.3</v>
      </c>
      <c r="P615" s="49"/>
      <c r="Q615" s="49"/>
      <c r="R615" s="77">
        <f t="shared" si="353"/>
        <v>234.821553325901</v>
      </c>
      <c r="S615" s="77"/>
      <c r="T615" s="78">
        <f t="shared" si="354"/>
        <v>0.348866592344853</v>
      </c>
      <c r="U615" s="77"/>
      <c r="V615" s="77"/>
      <c r="W615" s="77">
        <f t="shared" si="351"/>
        <v>235.170419918246</v>
      </c>
      <c r="X615" s="79">
        <f t="shared" si="355"/>
        <v>2.85311036789298</v>
      </c>
      <c r="Y615" s="79">
        <v>5.5</v>
      </c>
      <c r="Z615" s="79"/>
      <c r="AA615" s="79">
        <f t="shared" si="352"/>
        <v>8.35311036789298</v>
      </c>
      <c r="AB615" s="91">
        <v>7.27</v>
      </c>
      <c r="AC615" s="77">
        <f t="shared" si="350"/>
        <v>60.7271123745819</v>
      </c>
      <c r="AD615" s="77">
        <f t="shared" si="349"/>
        <v>295.897532292828</v>
      </c>
      <c r="AE615" s="77">
        <f t="shared" si="345"/>
        <v>99.402467707172</v>
      </c>
    </row>
    <row r="616" customFormat="1" spans="1:31">
      <c r="A616" s="22"/>
      <c r="B616" s="23"/>
      <c r="C616" s="24">
        <v>241206000026</v>
      </c>
      <c r="D616" s="25">
        <v>45651</v>
      </c>
      <c r="E616" s="25" t="s">
        <v>44</v>
      </c>
      <c r="F616" s="23" t="s">
        <v>45</v>
      </c>
      <c r="G616" s="23" t="s">
        <v>219</v>
      </c>
      <c r="H616" s="23">
        <v>3.5</v>
      </c>
      <c r="I616" s="47"/>
      <c r="J616" s="51">
        <v>71362</v>
      </c>
      <c r="K616" s="45"/>
      <c r="L616" s="52">
        <f t="shared" si="356"/>
        <v>1649.98843930636</v>
      </c>
      <c r="M616" s="53">
        <v>43.25</v>
      </c>
      <c r="N616" s="57">
        <v>7.27</v>
      </c>
      <c r="O616" s="47">
        <f t="shared" ref="O616:O622" si="358">SUM(M616*N616)</f>
        <v>314.4275</v>
      </c>
      <c r="P616" s="49"/>
      <c r="Q616" s="49"/>
      <c r="R616" s="77">
        <f t="shared" si="353"/>
        <v>205.468859160164</v>
      </c>
      <c r="S616" s="77"/>
      <c r="T616" s="78">
        <f t="shared" si="354"/>
        <v>0.305258268301747</v>
      </c>
      <c r="U616" s="77"/>
      <c r="V616" s="77"/>
      <c r="W616" s="77">
        <f t="shared" si="351"/>
        <v>205.774117428465</v>
      </c>
      <c r="X616" s="79">
        <f t="shared" si="355"/>
        <v>2.49647157190635</v>
      </c>
      <c r="Y616" s="79"/>
      <c r="Z616" s="79"/>
      <c r="AA616" s="79">
        <f t="shared" si="352"/>
        <v>2.49647157190635</v>
      </c>
      <c r="AB616" s="91">
        <v>7.27</v>
      </c>
      <c r="AC616" s="77">
        <f t="shared" si="350"/>
        <v>18.1493483277592</v>
      </c>
      <c r="AD616" s="77">
        <f t="shared" si="349"/>
        <v>223.923465756224</v>
      </c>
      <c r="AE616" s="77">
        <f t="shared" si="345"/>
        <v>90.5040342437756</v>
      </c>
    </row>
    <row r="617" customFormat="1" spans="1:31">
      <c r="A617" s="22"/>
      <c r="B617" s="23"/>
      <c r="C617" s="24">
        <v>241206000045</v>
      </c>
      <c r="D617" s="25">
        <v>45651</v>
      </c>
      <c r="E617" s="25" t="s">
        <v>44</v>
      </c>
      <c r="F617" s="23" t="s">
        <v>45</v>
      </c>
      <c r="G617" s="23" t="s">
        <v>192</v>
      </c>
      <c r="H617" s="23">
        <v>15</v>
      </c>
      <c r="I617" s="50"/>
      <c r="J617" s="51">
        <v>302760.9</v>
      </c>
      <c r="K617" s="45"/>
      <c r="L617" s="52">
        <f t="shared" si="356"/>
        <v>1726.41215715345</v>
      </c>
      <c r="M617" s="53">
        <v>175.37</v>
      </c>
      <c r="N617" s="57">
        <v>7.27</v>
      </c>
      <c r="O617" s="47">
        <f t="shared" si="358"/>
        <v>1274.9399</v>
      </c>
      <c r="P617" s="49"/>
      <c r="Q617" s="49"/>
      <c r="R617" s="77">
        <f t="shared" si="353"/>
        <v>880.580824972129</v>
      </c>
      <c r="S617" s="77"/>
      <c r="T617" s="78">
        <f t="shared" si="354"/>
        <v>1.3082497212932</v>
      </c>
      <c r="U617" s="77"/>
      <c r="V617" s="77"/>
      <c r="W617" s="77">
        <f t="shared" si="351"/>
        <v>881.889074693423</v>
      </c>
      <c r="X617" s="79">
        <f t="shared" si="355"/>
        <v>10.6991638795987</v>
      </c>
      <c r="Y617" s="79"/>
      <c r="Z617" s="79"/>
      <c r="AA617" s="79">
        <f t="shared" si="352"/>
        <v>10.6991638795987</v>
      </c>
      <c r="AB617" s="91">
        <v>7.27</v>
      </c>
      <c r="AC617" s="77">
        <f t="shared" si="350"/>
        <v>77.7829214046823</v>
      </c>
      <c r="AD617" s="77">
        <f t="shared" si="349"/>
        <v>959.671996098105</v>
      </c>
      <c r="AE617" s="77">
        <f t="shared" si="345"/>
        <v>315.267903901895</v>
      </c>
    </row>
    <row r="618" customFormat="1" spans="1:31">
      <c r="A618" s="22"/>
      <c r="B618" s="23"/>
      <c r="C618" s="24">
        <v>241206000052</v>
      </c>
      <c r="D618" s="25">
        <v>45651</v>
      </c>
      <c r="E618" s="25" t="s">
        <v>54</v>
      </c>
      <c r="F618" s="23" t="s">
        <v>55</v>
      </c>
      <c r="G618" s="23" t="s">
        <v>427</v>
      </c>
      <c r="H618" s="23">
        <v>9.5</v>
      </c>
      <c r="I618" s="43">
        <v>794.5</v>
      </c>
      <c r="J618" s="44"/>
      <c r="K618" s="45"/>
      <c r="L618" s="23"/>
      <c r="M618" s="45"/>
      <c r="N618" s="57"/>
      <c r="O618" s="47">
        <f t="shared" ref="O618:O620" si="359">SUM(I618)</f>
        <v>794.5</v>
      </c>
      <c r="P618" s="49"/>
      <c r="Q618" s="49"/>
      <c r="R618" s="77">
        <f t="shared" si="353"/>
        <v>557.701189149015</v>
      </c>
      <c r="S618" s="77"/>
      <c r="T618" s="78">
        <f t="shared" si="354"/>
        <v>0.828558156819026</v>
      </c>
      <c r="U618" s="77"/>
      <c r="V618" s="77"/>
      <c r="W618" s="77">
        <f t="shared" si="351"/>
        <v>558.529747305834</v>
      </c>
      <c r="X618" s="79">
        <f t="shared" si="355"/>
        <v>6.77613712374582</v>
      </c>
      <c r="Y618" s="79"/>
      <c r="Z618" s="79"/>
      <c r="AA618" s="79">
        <f t="shared" si="352"/>
        <v>6.77613712374582</v>
      </c>
      <c r="AB618" s="91">
        <v>7.27</v>
      </c>
      <c r="AC618" s="77">
        <f t="shared" si="350"/>
        <v>49.2625168896321</v>
      </c>
      <c r="AD618" s="77">
        <f t="shared" si="349"/>
        <v>607.792264195466</v>
      </c>
      <c r="AE618" s="77">
        <f t="shared" si="345"/>
        <v>186.707735804534</v>
      </c>
    </row>
    <row r="619" customFormat="1" spans="1:31">
      <c r="A619" s="22"/>
      <c r="B619" s="23"/>
      <c r="C619" s="24">
        <v>241206000053</v>
      </c>
      <c r="D619" s="25">
        <v>45651</v>
      </c>
      <c r="E619" s="25" t="s">
        <v>41</v>
      </c>
      <c r="F619" s="23" t="s">
        <v>42</v>
      </c>
      <c r="G619" s="23" t="s">
        <v>190</v>
      </c>
      <c r="H619" s="23">
        <v>7.5</v>
      </c>
      <c r="I619" s="43">
        <v>641</v>
      </c>
      <c r="J619" s="44"/>
      <c r="K619" s="45"/>
      <c r="L619" s="23"/>
      <c r="M619" s="45"/>
      <c r="N619" s="57"/>
      <c r="O619" s="47">
        <f t="shared" si="359"/>
        <v>641</v>
      </c>
      <c r="P619" s="49"/>
      <c r="Q619" s="49"/>
      <c r="R619" s="77">
        <f t="shared" si="353"/>
        <v>440.290412486065</v>
      </c>
      <c r="S619" s="77"/>
      <c r="T619" s="78">
        <f t="shared" si="354"/>
        <v>0.6541248606466</v>
      </c>
      <c r="U619" s="77"/>
      <c r="V619" s="77"/>
      <c r="W619" s="77">
        <f t="shared" si="351"/>
        <v>440.944537346711</v>
      </c>
      <c r="X619" s="79">
        <f t="shared" si="355"/>
        <v>5.34958193979933</v>
      </c>
      <c r="Y619" s="79"/>
      <c r="Z619" s="79"/>
      <c r="AA619" s="79">
        <f t="shared" si="352"/>
        <v>5.34958193979933</v>
      </c>
      <c r="AB619" s="91">
        <v>7.27</v>
      </c>
      <c r="AC619" s="77">
        <f t="shared" si="350"/>
        <v>38.8914607023411</v>
      </c>
      <c r="AD619" s="77">
        <f t="shared" si="349"/>
        <v>479.835998049052</v>
      </c>
      <c r="AE619" s="77">
        <f t="shared" si="345"/>
        <v>161.164001950948</v>
      </c>
    </row>
    <row r="620" customFormat="1" spans="1:31">
      <c r="A620" s="22"/>
      <c r="B620" s="23"/>
      <c r="C620" s="24">
        <v>241208000001</v>
      </c>
      <c r="D620" s="25">
        <v>45651</v>
      </c>
      <c r="E620" s="25" t="s">
        <v>44</v>
      </c>
      <c r="F620" s="23" t="s">
        <v>45</v>
      </c>
      <c r="G620" s="23" t="s">
        <v>428</v>
      </c>
      <c r="H620" s="23">
        <v>9.5</v>
      </c>
      <c r="I620" s="43">
        <v>760</v>
      </c>
      <c r="J620" s="44"/>
      <c r="K620" s="45"/>
      <c r="L620" s="23"/>
      <c r="M620" s="45"/>
      <c r="N620" s="57"/>
      <c r="O620" s="47">
        <f t="shared" si="359"/>
        <v>760</v>
      </c>
      <c r="P620" s="49"/>
      <c r="Q620" s="49"/>
      <c r="R620" s="77">
        <f t="shared" si="353"/>
        <v>557.701189149015</v>
      </c>
      <c r="S620" s="77"/>
      <c r="T620" s="78">
        <f t="shared" si="354"/>
        <v>0.828558156819026</v>
      </c>
      <c r="U620" s="77"/>
      <c r="V620" s="77"/>
      <c r="W620" s="77">
        <f t="shared" si="351"/>
        <v>558.529747305834</v>
      </c>
      <c r="X620" s="79">
        <f t="shared" si="355"/>
        <v>6.77613712374582</v>
      </c>
      <c r="Y620" s="79"/>
      <c r="Z620" s="79"/>
      <c r="AA620" s="79">
        <f t="shared" si="352"/>
        <v>6.77613712374582</v>
      </c>
      <c r="AB620" s="91">
        <v>7.27</v>
      </c>
      <c r="AC620" s="77">
        <f t="shared" si="350"/>
        <v>49.2625168896321</v>
      </c>
      <c r="AD620" s="77">
        <f t="shared" si="349"/>
        <v>607.792264195466</v>
      </c>
      <c r="AE620" s="77">
        <f t="shared" si="345"/>
        <v>152.207735804534</v>
      </c>
    </row>
    <row r="621" customFormat="1" spans="1:31">
      <c r="A621" s="22"/>
      <c r="B621" s="23"/>
      <c r="C621" s="24">
        <v>241209000001</v>
      </c>
      <c r="D621" s="25">
        <v>45651</v>
      </c>
      <c r="E621" s="25" t="s">
        <v>44</v>
      </c>
      <c r="F621" s="23" t="s">
        <v>45</v>
      </c>
      <c r="G621" s="23" t="s">
        <v>429</v>
      </c>
      <c r="H621" s="23">
        <v>13</v>
      </c>
      <c r="I621" s="50"/>
      <c r="J621" s="51">
        <v>299005.3</v>
      </c>
      <c r="K621" s="45"/>
      <c r="L621" s="52">
        <f>SUM(J621/M621)</f>
        <v>1664.84020044543</v>
      </c>
      <c r="M621" s="53">
        <v>179.6</v>
      </c>
      <c r="N621" s="57">
        <v>7.27</v>
      </c>
      <c r="O621" s="47">
        <f t="shared" si="358"/>
        <v>1305.692</v>
      </c>
      <c r="P621" s="49"/>
      <c r="Q621" s="49"/>
      <c r="R621" s="77">
        <f t="shared" si="353"/>
        <v>763.170048309179</v>
      </c>
      <c r="S621" s="77"/>
      <c r="T621" s="78">
        <f t="shared" si="354"/>
        <v>1.13381642512077</v>
      </c>
      <c r="U621" s="78">
        <v>60</v>
      </c>
      <c r="V621" s="77"/>
      <c r="W621" s="77">
        <f t="shared" si="351"/>
        <v>824.3038647343</v>
      </c>
      <c r="X621" s="79">
        <f t="shared" si="355"/>
        <v>9.27260869565217</v>
      </c>
      <c r="Y621" s="79"/>
      <c r="Z621" s="79"/>
      <c r="AA621" s="79">
        <f t="shared" si="352"/>
        <v>9.27260869565217</v>
      </c>
      <c r="AB621" s="91">
        <v>7.27</v>
      </c>
      <c r="AC621" s="77">
        <f t="shared" si="350"/>
        <v>67.4118652173913</v>
      </c>
      <c r="AD621" s="77">
        <f t="shared" si="349"/>
        <v>891.715729951691</v>
      </c>
      <c r="AE621" s="77">
        <f t="shared" si="345"/>
        <v>413.976270048309</v>
      </c>
    </row>
    <row r="622" customFormat="1" spans="1:31">
      <c r="A622" s="22"/>
      <c r="B622" s="23"/>
      <c r="C622" s="24">
        <v>241209000003</v>
      </c>
      <c r="D622" s="25">
        <v>45651</v>
      </c>
      <c r="E622" s="25" t="s">
        <v>44</v>
      </c>
      <c r="F622" s="23" t="s">
        <v>45</v>
      </c>
      <c r="G622" s="23" t="s">
        <v>430</v>
      </c>
      <c r="H622" s="23">
        <v>9</v>
      </c>
      <c r="I622" s="50"/>
      <c r="J622" s="51">
        <v>257040</v>
      </c>
      <c r="K622" s="45"/>
      <c r="L622" s="52">
        <f>SUM(J622/M622)</f>
        <v>1744.89172493381</v>
      </c>
      <c r="M622" s="53">
        <v>147.31</v>
      </c>
      <c r="N622" s="57">
        <v>7.27</v>
      </c>
      <c r="O622" s="47">
        <f t="shared" si="358"/>
        <v>1070.9437</v>
      </c>
      <c r="P622" s="49"/>
      <c r="Q622" s="49"/>
      <c r="R622" s="77">
        <f t="shared" si="353"/>
        <v>528.348494983278</v>
      </c>
      <c r="S622" s="77"/>
      <c r="T622" s="78">
        <f t="shared" si="354"/>
        <v>0.78494983277592</v>
      </c>
      <c r="U622" s="77"/>
      <c r="V622" s="77"/>
      <c r="W622" s="77">
        <f t="shared" si="351"/>
        <v>529.133444816054</v>
      </c>
      <c r="X622" s="79">
        <f t="shared" si="355"/>
        <v>6.4194983277592</v>
      </c>
      <c r="Y622" s="79">
        <v>15.26</v>
      </c>
      <c r="Z622" s="79"/>
      <c r="AA622" s="79">
        <f t="shared" si="352"/>
        <v>21.6794983277592</v>
      </c>
      <c r="AB622" s="91">
        <v>7.27</v>
      </c>
      <c r="AC622" s="77">
        <f t="shared" si="350"/>
        <v>157.609952842809</v>
      </c>
      <c r="AD622" s="77">
        <f t="shared" si="349"/>
        <v>686.743397658863</v>
      </c>
      <c r="AE622" s="77">
        <f t="shared" si="345"/>
        <v>384.200302341137</v>
      </c>
    </row>
    <row r="623" customFormat="1" spans="1:31">
      <c r="A623" s="22"/>
      <c r="B623" s="23"/>
      <c r="C623" s="24">
        <v>241209000015</v>
      </c>
      <c r="D623" s="25">
        <v>45651</v>
      </c>
      <c r="E623" s="25" t="s">
        <v>44</v>
      </c>
      <c r="F623" s="23" t="s">
        <v>45</v>
      </c>
      <c r="G623" s="23" t="s">
        <v>431</v>
      </c>
      <c r="H623" s="23">
        <v>17.5</v>
      </c>
      <c r="I623" s="43">
        <v>1452.5</v>
      </c>
      <c r="J623" s="44"/>
      <c r="K623" s="45"/>
      <c r="L623" s="23"/>
      <c r="M623" s="45"/>
      <c r="N623" s="57"/>
      <c r="O623" s="47">
        <f t="shared" ref="O623:O626" si="360">SUM(I623)</f>
        <v>1452.5</v>
      </c>
      <c r="P623" s="49"/>
      <c r="Q623" s="49"/>
      <c r="R623" s="77">
        <f t="shared" si="353"/>
        <v>1027.34429580082</v>
      </c>
      <c r="S623" s="77"/>
      <c r="T623" s="78">
        <f t="shared" si="354"/>
        <v>1.52629134150873</v>
      </c>
      <c r="U623" s="77"/>
      <c r="V623" s="77"/>
      <c r="W623" s="77">
        <f t="shared" si="351"/>
        <v>1028.87058714233</v>
      </c>
      <c r="X623" s="79">
        <f t="shared" si="355"/>
        <v>12.4823578595318</v>
      </c>
      <c r="Y623" s="79"/>
      <c r="Z623" s="79"/>
      <c r="AA623" s="79">
        <f t="shared" si="352"/>
        <v>12.4823578595318</v>
      </c>
      <c r="AB623" s="91">
        <v>7.27</v>
      </c>
      <c r="AC623" s="77">
        <f t="shared" si="350"/>
        <v>90.746741638796</v>
      </c>
      <c r="AD623" s="77">
        <f t="shared" si="349"/>
        <v>1119.61732878112</v>
      </c>
      <c r="AE623" s="77">
        <f t="shared" si="345"/>
        <v>332.882671218877</v>
      </c>
    </row>
    <row r="624" customFormat="1" spans="1:31">
      <c r="A624" s="22"/>
      <c r="B624" s="23"/>
      <c r="C624" s="24">
        <v>241209000019</v>
      </c>
      <c r="D624" s="25">
        <v>45651</v>
      </c>
      <c r="E624" s="25" t="s">
        <v>84</v>
      </c>
      <c r="F624" s="23" t="s">
        <v>85</v>
      </c>
      <c r="G624" s="23" t="s">
        <v>432</v>
      </c>
      <c r="H624" s="23">
        <v>3</v>
      </c>
      <c r="I624" s="43">
        <v>274</v>
      </c>
      <c r="J624" s="44"/>
      <c r="K624" s="45"/>
      <c r="L624" s="23"/>
      <c r="M624" s="45"/>
      <c r="N624" s="57"/>
      <c r="O624" s="47">
        <f t="shared" si="360"/>
        <v>274</v>
      </c>
      <c r="P624" s="49"/>
      <c r="Q624" s="49"/>
      <c r="R624" s="77">
        <f t="shared" si="353"/>
        <v>176.116164994426</v>
      </c>
      <c r="S624" s="77"/>
      <c r="T624" s="78">
        <f t="shared" si="354"/>
        <v>0.26164994425864</v>
      </c>
      <c r="U624" s="77"/>
      <c r="V624" s="77"/>
      <c r="W624" s="77">
        <f t="shared" si="351"/>
        <v>176.377814938685</v>
      </c>
      <c r="X624" s="79">
        <f t="shared" si="355"/>
        <v>2.13983277591973</v>
      </c>
      <c r="Y624" s="79"/>
      <c r="Z624" s="79"/>
      <c r="AA624" s="79">
        <f t="shared" si="352"/>
        <v>2.13983277591973</v>
      </c>
      <c r="AB624" s="91">
        <v>7.27</v>
      </c>
      <c r="AC624" s="77">
        <f t="shared" si="350"/>
        <v>15.5565842809365</v>
      </c>
      <c r="AD624" s="77">
        <f t="shared" si="349"/>
        <v>191.934399219621</v>
      </c>
      <c r="AE624" s="77">
        <f t="shared" si="345"/>
        <v>82.065600780379</v>
      </c>
    </row>
    <row r="625" customFormat="1" spans="1:31">
      <c r="A625" s="22"/>
      <c r="B625" s="23"/>
      <c r="C625" s="24">
        <v>241209000020</v>
      </c>
      <c r="D625" s="25">
        <v>45651</v>
      </c>
      <c r="E625" s="25" t="s">
        <v>84</v>
      </c>
      <c r="F625" s="23" t="s">
        <v>85</v>
      </c>
      <c r="G625" s="23" t="s">
        <v>193</v>
      </c>
      <c r="H625" s="23">
        <v>1</v>
      </c>
      <c r="I625" s="43">
        <v>122.3</v>
      </c>
      <c r="J625" s="44"/>
      <c r="K625" s="45"/>
      <c r="L625" s="23"/>
      <c r="M625" s="45"/>
      <c r="N625" s="57"/>
      <c r="O625" s="47">
        <f t="shared" si="360"/>
        <v>122.3</v>
      </c>
      <c r="P625" s="49"/>
      <c r="Q625" s="49"/>
      <c r="R625" s="77">
        <f t="shared" si="353"/>
        <v>58.7053883314753</v>
      </c>
      <c r="S625" s="77"/>
      <c r="T625" s="78">
        <f t="shared" si="354"/>
        <v>0.0872166480862133</v>
      </c>
      <c r="U625" s="77"/>
      <c r="V625" s="77"/>
      <c r="W625" s="77">
        <f t="shared" si="351"/>
        <v>58.7926049795615</v>
      </c>
      <c r="X625" s="79">
        <f t="shared" si="355"/>
        <v>0.713277591973244</v>
      </c>
      <c r="Y625" s="79">
        <v>4.12</v>
      </c>
      <c r="Z625" s="79"/>
      <c r="AA625" s="79">
        <f t="shared" si="352"/>
        <v>4.83327759197324</v>
      </c>
      <c r="AB625" s="91">
        <v>7.27</v>
      </c>
      <c r="AC625" s="77">
        <f t="shared" si="350"/>
        <v>35.1379280936455</v>
      </c>
      <c r="AD625" s="77">
        <f t="shared" si="349"/>
        <v>93.930533073207</v>
      </c>
      <c r="AE625" s="77">
        <f t="shared" si="345"/>
        <v>28.369466926793</v>
      </c>
    </row>
    <row r="626" customFormat="1" spans="1:31">
      <c r="A626" s="22"/>
      <c r="B626" s="23"/>
      <c r="C626" s="24">
        <v>241209000026</v>
      </c>
      <c r="D626" s="25">
        <v>45651</v>
      </c>
      <c r="E626" s="25" t="s">
        <v>44</v>
      </c>
      <c r="F626" s="23" t="s">
        <v>45</v>
      </c>
      <c r="G626" s="23" t="s">
        <v>433</v>
      </c>
      <c r="H626" s="23">
        <v>5.5</v>
      </c>
      <c r="I626" s="43">
        <v>520</v>
      </c>
      <c r="J626" s="44"/>
      <c r="K626" s="45"/>
      <c r="L626" s="23"/>
      <c r="M626" s="45"/>
      <c r="N626" s="57"/>
      <c r="O626" s="47">
        <f t="shared" si="360"/>
        <v>520</v>
      </c>
      <c r="P626" s="49"/>
      <c r="Q626" s="49"/>
      <c r="R626" s="77">
        <f t="shared" si="353"/>
        <v>322.879635823114</v>
      </c>
      <c r="S626" s="77"/>
      <c r="T626" s="78">
        <f t="shared" si="354"/>
        <v>0.479691564474173</v>
      </c>
      <c r="U626" s="77"/>
      <c r="V626" s="77"/>
      <c r="W626" s="77">
        <f t="shared" si="351"/>
        <v>323.359327387588</v>
      </c>
      <c r="X626" s="79">
        <f t="shared" si="355"/>
        <v>3.92302675585284</v>
      </c>
      <c r="Y626" s="79"/>
      <c r="Z626" s="79"/>
      <c r="AA626" s="79">
        <f t="shared" si="352"/>
        <v>3.92302675585284</v>
      </c>
      <c r="AB626" s="91">
        <v>7.27</v>
      </c>
      <c r="AC626" s="77">
        <f t="shared" si="350"/>
        <v>28.5204045150502</v>
      </c>
      <c r="AD626" s="77">
        <f t="shared" si="349"/>
        <v>351.879731902638</v>
      </c>
      <c r="AE626" s="77">
        <f t="shared" si="345"/>
        <v>168.120268097362</v>
      </c>
    </row>
    <row r="627" customFormat="1" spans="1:31">
      <c r="A627" s="22"/>
      <c r="B627" s="23"/>
      <c r="C627" s="24">
        <v>241209000027</v>
      </c>
      <c r="D627" s="25">
        <v>45651</v>
      </c>
      <c r="E627" s="25" t="s">
        <v>37</v>
      </c>
      <c r="F627" s="23" t="s">
        <v>38</v>
      </c>
      <c r="G627" s="23" t="s">
        <v>434</v>
      </c>
      <c r="H627" s="23">
        <v>10</v>
      </c>
      <c r="I627" s="50"/>
      <c r="J627" s="51">
        <v>195581</v>
      </c>
      <c r="K627" s="45"/>
      <c r="L627" s="52">
        <f>SUM(J627/M627)</f>
        <v>1665.79507708032</v>
      </c>
      <c r="M627" s="53">
        <v>117.41</v>
      </c>
      <c r="N627" s="57">
        <v>7.27</v>
      </c>
      <c r="O627" s="47">
        <f>SUM(M627*N627)</f>
        <v>853.5707</v>
      </c>
      <c r="P627" s="49"/>
      <c r="Q627" s="49"/>
      <c r="R627" s="77">
        <f t="shared" si="353"/>
        <v>587.053883314753</v>
      </c>
      <c r="S627" s="77"/>
      <c r="T627" s="78">
        <f t="shared" si="354"/>
        <v>0.872166480862133</v>
      </c>
      <c r="U627" s="77"/>
      <c r="V627" s="77"/>
      <c r="W627" s="77">
        <f t="shared" si="351"/>
        <v>587.926049795615</v>
      </c>
      <c r="X627" s="79">
        <f t="shared" si="355"/>
        <v>7.13277591973244</v>
      </c>
      <c r="Y627" s="79"/>
      <c r="Z627" s="79"/>
      <c r="AA627" s="79">
        <f t="shared" si="352"/>
        <v>7.13277591973244</v>
      </c>
      <c r="AB627" s="91">
        <v>7.27</v>
      </c>
      <c r="AC627" s="77">
        <f t="shared" si="350"/>
        <v>51.8552809364548</v>
      </c>
      <c r="AD627" s="77">
        <f t="shared" si="349"/>
        <v>639.78133073207</v>
      </c>
      <c r="AE627" s="77">
        <f t="shared" si="345"/>
        <v>213.78936926793</v>
      </c>
    </row>
    <row r="628" customFormat="1" spans="1:31">
      <c r="A628" s="22"/>
      <c r="B628" s="23"/>
      <c r="C628" s="24">
        <v>241209000030</v>
      </c>
      <c r="D628" s="25">
        <v>45651</v>
      </c>
      <c r="E628" s="25" t="s">
        <v>54</v>
      </c>
      <c r="F628" s="23" t="s">
        <v>55</v>
      </c>
      <c r="G628" s="23" t="s">
        <v>435</v>
      </c>
      <c r="H628" s="23">
        <v>6</v>
      </c>
      <c r="I628" s="43">
        <v>559</v>
      </c>
      <c r="J628" s="44"/>
      <c r="K628" s="45"/>
      <c r="L628" s="23"/>
      <c r="M628" s="45"/>
      <c r="N628" s="57"/>
      <c r="O628" s="47">
        <f t="shared" ref="O628:O649" si="361">SUM(I628)</f>
        <v>559</v>
      </c>
      <c r="P628" s="49"/>
      <c r="Q628" s="49"/>
      <c r="R628" s="77">
        <f t="shared" si="353"/>
        <v>352.232329988852</v>
      </c>
      <c r="S628" s="77"/>
      <c r="T628" s="78">
        <f t="shared" si="354"/>
        <v>0.52329988851728</v>
      </c>
      <c r="U628" s="78">
        <v>45</v>
      </c>
      <c r="V628" s="77"/>
      <c r="W628" s="77">
        <f t="shared" si="351"/>
        <v>397.755629877369</v>
      </c>
      <c r="X628" s="79">
        <f t="shared" si="355"/>
        <v>4.27966555183946</v>
      </c>
      <c r="Y628" s="79"/>
      <c r="Z628" s="79"/>
      <c r="AA628" s="79">
        <f t="shared" si="352"/>
        <v>4.27966555183946</v>
      </c>
      <c r="AB628" s="91">
        <v>7.27</v>
      </c>
      <c r="AC628" s="77">
        <f t="shared" si="350"/>
        <v>31.1131685618729</v>
      </c>
      <c r="AD628" s="77">
        <f t="shared" si="349"/>
        <v>428.868798439242</v>
      </c>
      <c r="AE628" s="77">
        <f t="shared" si="345"/>
        <v>130.131201560758</v>
      </c>
    </row>
    <row r="629" customFormat="1" spans="1:31">
      <c r="A629" s="22"/>
      <c r="B629" s="23"/>
      <c r="C629" s="24">
        <v>241209000039</v>
      </c>
      <c r="D629" s="25">
        <v>45651</v>
      </c>
      <c r="E629" s="25" t="s">
        <v>54</v>
      </c>
      <c r="F629" s="23" t="s">
        <v>55</v>
      </c>
      <c r="G629" s="23" t="s">
        <v>124</v>
      </c>
      <c r="H629" s="23">
        <v>5.5</v>
      </c>
      <c r="I629" s="43">
        <v>487.3</v>
      </c>
      <c r="J629" s="44"/>
      <c r="K629" s="45"/>
      <c r="L629" s="23"/>
      <c r="M629" s="45"/>
      <c r="N629" s="57"/>
      <c r="O629" s="47">
        <f t="shared" si="361"/>
        <v>487.3</v>
      </c>
      <c r="P629" s="49"/>
      <c r="Q629" s="49"/>
      <c r="R629" s="77">
        <f t="shared" si="353"/>
        <v>322.879635823114</v>
      </c>
      <c r="S629" s="77"/>
      <c r="T629" s="78">
        <f t="shared" si="354"/>
        <v>0.479691564474173</v>
      </c>
      <c r="U629" s="77"/>
      <c r="V629" s="77"/>
      <c r="W629" s="77">
        <f t="shared" si="351"/>
        <v>323.359327387588</v>
      </c>
      <c r="X629" s="79">
        <f t="shared" si="355"/>
        <v>3.92302675585284</v>
      </c>
      <c r="Y629" s="79"/>
      <c r="Z629" s="79"/>
      <c r="AA629" s="79">
        <f t="shared" si="352"/>
        <v>3.92302675585284</v>
      </c>
      <c r="AB629" s="91">
        <v>7.27</v>
      </c>
      <c r="AC629" s="77">
        <f t="shared" si="350"/>
        <v>28.5204045150502</v>
      </c>
      <c r="AD629" s="77">
        <f t="shared" si="349"/>
        <v>351.879731902638</v>
      </c>
      <c r="AE629" s="77">
        <f t="shared" si="345"/>
        <v>135.420268097362</v>
      </c>
    </row>
    <row r="630" customFormat="1" spans="1:31">
      <c r="A630" s="22"/>
      <c r="B630" s="23"/>
      <c r="C630" s="92">
        <v>241209000045</v>
      </c>
      <c r="D630" s="94">
        <v>45651</v>
      </c>
      <c r="E630" s="25" t="s">
        <v>61</v>
      </c>
      <c r="F630" s="95" t="s">
        <v>62</v>
      </c>
      <c r="G630" s="95" t="s">
        <v>63</v>
      </c>
      <c r="H630" s="95">
        <v>0.3</v>
      </c>
      <c r="I630" s="43">
        <v>83</v>
      </c>
      <c r="J630" s="44"/>
      <c r="K630" s="45"/>
      <c r="L630" s="23"/>
      <c r="M630" s="45"/>
      <c r="N630" s="57"/>
      <c r="O630" s="47">
        <f t="shared" si="361"/>
        <v>83</v>
      </c>
      <c r="P630" s="49"/>
      <c r="Q630" s="49"/>
      <c r="R630" s="77">
        <f t="shared" si="353"/>
        <v>17.6116164994426</v>
      </c>
      <c r="S630" s="77"/>
      <c r="T630" s="78">
        <f t="shared" si="354"/>
        <v>0.026164994425864</v>
      </c>
      <c r="U630" s="77"/>
      <c r="V630" s="77"/>
      <c r="W630" s="77">
        <f t="shared" si="351"/>
        <v>17.6377814938685</v>
      </c>
      <c r="X630" s="79">
        <f t="shared" si="355"/>
        <v>0.213983277591973</v>
      </c>
      <c r="Y630" s="79"/>
      <c r="Z630" s="79"/>
      <c r="AA630" s="79">
        <f t="shared" si="352"/>
        <v>0.213983277591973</v>
      </c>
      <c r="AB630" s="91">
        <v>7.27</v>
      </c>
      <c r="AC630" s="77">
        <f t="shared" si="350"/>
        <v>1.55565842809365</v>
      </c>
      <c r="AD630" s="77">
        <f t="shared" si="349"/>
        <v>19.1934399219621</v>
      </c>
      <c r="AE630" s="77">
        <f t="shared" si="345"/>
        <v>63.8065600780379</v>
      </c>
    </row>
    <row r="631" customFormat="1" spans="1:31">
      <c r="A631" s="22"/>
      <c r="B631" s="23"/>
      <c r="C631" s="24">
        <v>241209000046</v>
      </c>
      <c r="D631" s="25">
        <v>45651</v>
      </c>
      <c r="E631" s="25" t="s">
        <v>41</v>
      </c>
      <c r="F631" s="23" t="s">
        <v>42</v>
      </c>
      <c r="G631" s="23" t="s">
        <v>436</v>
      </c>
      <c r="H631" s="23">
        <v>17</v>
      </c>
      <c r="I631" s="43">
        <v>1446.5</v>
      </c>
      <c r="J631" s="44"/>
      <c r="K631" s="45"/>
      <c r="L631" s="23"/>
      <c r="M631" s="45"/>
      <c r="N631" s="57"/>
      <c r="O631" s="47">
        <f t="shared" si="361"/>
        <v>1446.5</v>
      </c>
      <c r="P631" s="49"/>
      <c r="Q631" s="49"/>
      <c r="R631" s="77">
        <f t="shared" si="353"/>
        <v>997.99160163508</v>
      </c>
      <c r="S631" s="77"/>
      <c r="T631" s="78">
        <f t="shared" si="354"/>
        <v>1.48268301746563</v>
      </c>
      <c r="U631" s="77"/>
      <c r="V631" s="77"/>
      <c r="W631" s="77">
        <f t="shared" si="351"/>
        <v>999.474284652546</v>
      </c>
      <c r="X631" s="79">
        <f t="shared" si="355"/>
        <v>12.1257190635451</v>
      </c>
      <c r="Y631" s="79"/>
      <c r="Z631" s="79"/>
      <c r="AA631" s="79">
        <f t="shared" si="352"/>
        <v>12.1257190635451</v>
      </c>
      <c r="AB631" s="91">
        <v>7.27</v>
      </c>
      <c r="AC631" s="77">
        <f t="shared" si="350"/>
        <v>88.1539775919732</v>
      </c>
      <c r="AD631" s="77">
        <f t="shared" si="349"/>
        <v>1087.62826224452</v>
      </c>
      <c r="AE631" s="77">
        <f t="shared" si="345"/>
        <v>358.871737755481</v>
      </c>
    </row>
    <row r="632" customFormat="1" spans="1:31">
      <c r="A632" s="22"/>
      <c r="B632" s="23"/>
      <c r="C632" s="24">
        <v>241209000047</v>
      </c>
      <c r="D632" s="25">
        <v>45651</v>
      </c>
      <c r="E632" s="25" t="s">
        <v>61</v>
      </c>
      <c r="F632" s="23" t="s">
        <v>62</v>
      </c>
      <c r="G632" s="23" t="s">
        <v>298</v>
      </c>
      <c r="H632" s="23">
        <v>21</v>
      </c>
      <c r="I632" s="43">
        <v>1857.9</v>
      </c>
      <c r="J632" s="44"/>
      <c r="K632" s="45"/>
      <c r="L632" s="23"/>
      <c r="M632" s="45"/>
      <c r="N632" s="57"/>
      <c r="O632" s="47">
        <f t="shared" si="361"/>
        <v>1857.9</v>
      </c>
      <c r="P632" s="49"/>
      <c r="Q632" s="49"/>
      <c r="R632" s="77">
        <f t="shared" si="353"/>
        <v>1232.81315496098</v>
      </c>
      <c r="S632" s="77"/>
      <c r="T632" s="78">
        <f t="shared" si="354"/>
        <v>1.83154960981048</v>
      </c>
      <c r="U632" s="77"/>
      <c r="V632" s="77"/>
      <c r="W632" s="77">
        <f t="shared" si="351"/>
        <v>1234.64470457079</v>
      </c>
      <c r="X632" s="79">
        <f t="shared" si="355"/>
        <v>14.9788294314381</v>
      </c>
      <c r="Y632" s="79"/>
      <c r="Z632" s="79"/>
      <c r="AA632" s="79">
        <f t="shared" si="352"/>
        <v>14.9788294314381</v>
      </c>
      <c r="AB632" s="91">
        <v>7.27</v>
      </c>
      <c r="AC632" s="77">
        <f t="shared" si="350"/>
        <v>108.896089966555</v>
      </c>
      <c r="AD632" s="77">
        <f t="shared" si="349"/>
        <v>1343.54079453735</v>
      </c>
      <c r="AE632" s="77">
        <f t="shared" si="345"/>
        <v>514.359205462653</v>
      </c>
    </row>
    <row r="633" customFormat="1" spans="1:31">
      <c r="A633" s="22"/>
      <c r="B633" s="23"/>
      <c r="C633" s="24">
        <v>241209000056</v>
      </c>
      <c r="D633" s="25">
        <v>45651</v>
      </c>
      <c r="E633" s="25" t="s">
        <v>61</v>
      </c>
      <c r="F633" s="23" t="s">
        <v>62</v>
      </c>
      <c r="G633" s="23" t="s">
        <v>437</v>
      </c>
      <c r="H633" s="23">
        <v>7.5</v>
      </c>
      <c r="I633" s="43">
        <v>706.85</v>
      </c>
      <c r="J633" s="44"/>
      <c r="K633" s="45"/>
      <c r="L633" s="23"/>
      <c r="M633" s="45"/>
      <c r="N633" s="57"/>
      <c r="O633" s="47">
        <f t="shared" si="361"/>
        <v>706.85</v>
      </c>
      <c r="P633" s="49"/>
      <c r="Q633" s="49"/>
      <c r="R633" s="77">
        <f t="shared" si="353"/>
        <v>440.290412486065</v>
      </c>
      <c r="S633" s="77"/>
      <c r="T633" s="78">
        <f t="shared" si="354"/>
        <v>0.6541248606466</v>
      </c>
      <c r="U633" s="77">
        <v>65</v>
      </c>
      <c r="V633" s="77"/>
      <c r="W633" s="77">
        <f t="shared" si="351"/>
        <v>505.944537346711</v>
      </c>
      <c r="X633" s="79">
        <f t="shared" si="355"/>
        <v>5.34958193979933</v>
      </c>
      <c r="Y633" s="79"/>
      <c r="Z633" s="79"/>
      <c r="AA633" s="79">
        <f t="shared" si="352"/>
        <v>5.34958193979933</v>
      </c>
      <c r="AB633" s="91">
        <v>7.27</v>
      </c>
      <c r="AC633" s="77">
        <f t="shared" si="350"/>
        <v>38.8914607023411</v>
      </c>
      <c r="AD633" s="77">
        <f t="shared" si="349"/>
        <v>544.835998049052</v>
      </c>
      <c r="AE633" s="77">
        <f t="shared" si="345"/>
        <v>162.014001950948</v>
      </c>
    </row>
    <row r="634" customFormat="1" spans="1:31">
      <c r="A634" s="22"/>
      <c r="B634" s="23"/>
      <c r="C634" s="24">
        <v>241209000063</v>
      </c>
      <c r="D634" s="25">
        <v>45651</v>
      </c>
      <c r="E634" s="25" t="s">
        <v>61</v>
      </c>
      <c r="F634" s="23" t="s">
        <v>62</v>
      </c>
      <c r="G634" s="23" t="s">
        <v>438</v>
      </c>
      <c r="H634" s="23">
        <v>20</v>
      </c>
      <c r="I634" s="43">
        <v>1700.6</v>
      </c>
      <c r="J634" s="44"/>
      <c r="K634" s="45"/>
      <c r="L634" s="23"/>
      <c r="M634" s="45"/>
      <c r="N634" s="57"/>
      <c r="O634" s="47">
        <f t="shared" si="361"/>
        <v>1700.6</v>
      </c>
      <c r="P634" s="49"/>
      <c r="Q634" s="49"/>
      <c r="R634" s="77">
        <f t="shared" si="353"/>
        <v>1174.10776662951</v>
      </c>
      <c r="S634" s="77"/>
      <c r="T634" s="78">
        <f t="shared" si="354"/>
        <v>1.74433296172427</v>
      </c>
      <c r="U634" s="77"/>
      <c r="V634" s="77"/>
      <c r="W634" s="77">
        <f t="shared" si="351"/>
        <v>1175.85209959123</v>
      </c>
      <c r="X634" s="79">
        <f t="shared" si="355"/>
        <v>14.2655518394649</v>
      </c>
      <c r="Y634" s="79"/>
      <c r="Z634" s="79"/>
      <c r="AA634" s="79">
        <f t="shared" si="352"/>
        <v>14.2655518394649</v>
      </c>
      <c r="AB634" s="91">
        <v>7.27</v>
      </c>
      <c r="AC634" s="77">
        <f t="shared" si="350"/>
        <v>103.71056187291</v>
      </c>
      <c r="AD634" s="77">
        <f t="shared" si="349"/>
        <v>1279.56266146414</v>
      </c>
      <c r="AE634" s="77">
        <f t="shared" ref="AE634:AE665" si="362">SUM(O634-AD634)</f>
        <v>421.03733853586</v>
      </c>
    </row>
    <row r="635" customFormat="1" spans="1:31">
      <c r="A635" s="22"/>
      <c r="B635" s="23"/>
      <c r="C635" s="24">
        <v>241209000072</v>
      </c>
      <c r="D635" s="26">
        <v>45651</v>
      </c>
      <c r="E635" s="25" t="s">
        <v>70</v>
      </c>
      <c r="F635" s="23" t="s">
        <v>70</v>
      </c>
      <c r="G635" s="23" t="s">
        <v>237</v>
      </c>
      <c r="H635" s="23">
        <v>30.5</v>
      </c>
      <c r="I635" s="43">
        <v>2994.5</v>
      </c>
      <c r="J635" s="44"/>
      <c r="K635" s="45"/>
      <c r="L635" s="23"/>
      <c r="M635" s="45"/>
      <c r="N635" s="57"/>
      <c r="O635" s="47">
        <f t="shared" si="361"/>
        <v>2994.5</v>
      </c>
      <c r="P635" s="49"/>
      <c r="Q635" s="49"/>
      <c r="R635" s="77">
        <f t="shared" si="353"/>
        <v>1790.51434411</v>
      </c>
      <c r="S635" s="77"/>
      <c r="T635" s="78">
        <f t="shared" si="354"/>
        <v>2.66010776662951</v>
      </c>
      <c r="U635" s="77"/>
      <c r="V635" s="77"/>
      <c r="W635" s="77">
        <f t="shared" si="351"/>
        <v>1793.17445187663</v>
      </c>
      <c r="X635" s="79">
        <f t="shared" si="355"/>
        <v>21.7549665551839</v>
      </c>
      <c r="Y635" s="79"/>
      <c r="Z635" s="79"/>
      <c r="AA635" s="79">
        <f t="shared" si="352"/>
        <v>21.7549665551839</v>
      </c>
      <c r="AB635" s="91">
        <v>7.27</v>
      </c>
      <c r="AC635" s="77">
        <f t="shared" si="350"/>
        <v>158.158606856187</v>
      </c>
      <c r="AD635" s="77">
        <f t="shared" si="349"/>
        <v>1951.33305873281</v>
      </c>
      <c r="AE635" s="77">
        <f t="shared" si="362"/>
        <v>1043.16694126719</v>
      </c>
    </row>
    <row r="636" customFormat="1" spans="1:31">
      <c r="A636" s="22"/>
      <c r="B636" s="23"/>
      <c r="C636" s="24">
        <v>241209000076</v>
      </c>
      <c r="D636" s="25">
        <v>45651</v>
      </c>
      <c r="E636" s="25" t="s">
        <v>61</v>
      </c>
      <c r="F636" s="23" t="s">
        <v>62</v>
      </c>
      <c r="G636" s="23" t="s">
        <v>439</v>
      </c>
      <c r="H636" s="23">
        <v>12</v>
      </c>
      <c r="I636" s="43">
        <v>1102.2</v>
      </c>
      <c r="J636" s="44"/>
      <c r="K636" s="45"/>
      <c r="L636" s="23"/>
      <c r="M636" s="45"/>
      <c r="N636" s="57"/>
      <c r="O636" s="47">
        <f t="shared" si="361"/>
        <v>1102.2</v>
      </c>
      <c r="P636" s="49"/>
      <c r="Q636" s="49"/>
      <c r="R636" s="77">
        <f t="shared" si="353"/>
        <v>704.464659977703</v>
      </c>
      <c r="S636" s="77"/>
      <c r="T636" s="78">
        <f t="shared" si="354"/>
        <v>1.04659977703456</v>
      </c>
      <c r="U636" s="77"/>
      <c r="V636" s="77"/>
      <c r="W636" s="77">
        <f t="shared" si="351"/>
        <v>705.511259754738</v>
      </c>
      <c r="X636" s="79">
        <f t="shared" si="355"/>
        <v>8.55933110367893</v>
      </c>
      <c r="Y636" s="79"/>
      <c r="Z636" s="79"/>
      <c r="AA636" s="79">
        <f t="shared" si="352"/>
        <v>8.55933110367893</v>
      </c>
      <c r="AB636" s="91">
        <v>7.27</v>
      </c>
      <c r="AC636" s="77">
        <f t="shared" si="350"/>
        <v>62.2263371237458</v>
      </c>
      <c r="AD636" s="77">
        <f t="shared" ref="AD636:AD667" si="363">SUM(W636+AC636)</f>
        <v>767.737596878484</v>
      </c>
      <c r="AE636" s="77">
        <f t="shared" si="362"/>
        <v>334.462403121516</v>
      </c>
    </row>
    <row r="637" customFormat="1" spans="1:31">
      <c r="A637" s="22"/>
      <c r="B637" s="23"/>
      <c r="C637" s="24">
        <v>241210000001</v>
      </c>
      <c r="D637" s="25">
        <v>45651</v>
      </c>
      <c r="E637" s="25" t="s">
        <v>44</v>
      </c>
      <c r="F637" s="23" t="s">
        <v>45</v>
      </c>
      <c r="G637" s="23" t="s">
        <v>440</v>
      </c>
      <c r="H637" s="23">
        <v>1</v>
      </c>
      <c r="I637" s="43">
        <v>170</v>
      </c>
      <c r="J637" s="44"/>
      <c r="K637" s="45"/>
      <c r="L637" s="23"/>
      <c r="M637" s="45"/>
      <c r="N637" s="57"/>
      <c r="O637" s="47">
        <f t="shared" si="361"/>
        <v>170</v>
      </c>
      <c r="P637" s="49"/>
      <c r="Q637" s="49"/>
      <c r="R637" s="77">
        <f t="shared" si="353"/>
        <v>58.7053883314753</v>
      </c>
      <c r="S637" s="77"/>
      <c r="T637" s="78">
        <f t="shared" si="354"/>
        <v>0.0872166480862133</v>
      </c>
      <c r="U637" s="77"/>
      <c r="V637" s="77"/>
      <c r="W637" s="77">
        <f t="shared" si="351"/>
        <v>58.7926049795615</v>
      </c>
      <c r="X637" s="79">
        <f t="shared" si="355"/>
        <v>0.713277591973244</v>
      </c>
      <c r="Y637" s="79"/>
      <c r="Z637" s="79"/>
      <c r="AA637" s="79">
        <f t="shared" si="352"/>
        <v>0.713277591973244</v>
      </c>
      <c r="AB637" s="91">
        <v>7.27</v>
      </c>
      <c r="AC637" s="77">
        <f t="shared" si="350"/>
        <v>5.18552809364548</v>
      </c>
      <c r="AD637" s="77">
        <f t="shared" si="363"/>
        <v>63.978133073207</v>
      </c>
      <c r="AE637" s="77">
        <f t="shared" si="362"/>
        <v>106.021866926793</v>
      </c>
    </row>
    <row r="638" customFormat="1" spans="1:31">
      <c r="A638" s="22"/>
      <c r="B638" s="23"/>
      <c r="C638" s="24">
        <v>241210000004</v>
      </c>
      <c r="D638" s="25">
        <v>45651</v>
      </c>
      <c r="E638" s="25" t="s">
        <v>84</v>
      </c>
      <c r="F638" s="23" t="s">
        <v>85</v>
      </c>
      <c r="G638" s="23" t="s">
        <v>441</v>
      </c>
      <c r="H638" s="23">
        <v>3</v>
      </c>
      <c r="I638" s="43">
        <v>267.3</v>
      </c>
      <c r="J638" s="44"/>
      <c r="K638" s="45"/>
      <c r="L638" s="23"/>
      <c r="M638" s="45"/>
      <c r="N638" s="57"/>
      <c r="O638" s="47">
        <f t="shared" si="361"/>
        <v>267.3</v>
      </c>
      <c r="P638" s="49"/>
      <c r="Q638" s="49"/>
      <c r="R638" s="77">
        <f t="shared" si="353"/>
        <v>176.116164994426</v>
      </c>
      <c r="S638" s="77"/>
      <c r="T638" s="78">
        <f t="shared" si="354"/>
        <v>0.26164994425864</v>
      </c>
      <c r="U638" s="77"/>
      <c r="V638" s="77"/>
      <c r="W638" s="77">
        <f t="shared" si="351"/>
        <v>176.377814938685</v>
      </c>
      <c r="X638" s="79">
        <f t="shared" si="355"/>
        <v>2.13983277591973</v>
      </c>
      <c r="Y638" s="79"/>
      <c r="Z638" s="79"/>
      <c r="AA638" s="79">
        <f t="shared" si="352"/>
        <v>2.13983277591973</v>
      </c>
      <c r="AB638" s="91">
        <v>7.27</v>
      </c>
      <c r="AC638" s="77">
        <f t="shared" ref="AC638:AC669" si="364">SUM(AA638*AB638)</f>
        <v>15.5565842809365</v>
      </c>
      <c r="AD638" s="77">
        <f t="shared" si="363"/>
        <v>191.934399219621</v>
      </c>
      <c r="AE638" s="77">
        <f t="shared" si="362"/>
        <v>75.3656007803791</v>
      </c>
    </row>
    <row r="639" customFormat="1" spans="1:31">
      <c r="A639" s="22"/>
      <c r="B639" s="23"/>
      <c r="C639" s="24">
        <v>241210000021</v>
      </c>
      <c r="D639" s="25">
        <v>45651</v>
      </c>
      <c r="E639" s="25" t="s">
        <v>61</v>
      </c>
      <c r="F639" s="23" t="s">
        <v>62</v>
      </c>
      <c r="G639" s="23" t="s">
        <v>438</v>
      </c>
      <c r="H639" s="23">
        <v>26</v>
      </c>
      <c r="I639" s="43">
        <v>2213.8</v>
      </c>
      <c r="J639" s="44"/>
      <c r="K639" s="45"/>
      <c r="L639" s="23"/>
      <c r="M639" s="45"/>
      <c r="N639" s="57"/>
      <c r="O639" s="47">
        <f t="shared" si="361"/>
        <v>2213.8</v>
      </c>
      <c r="P639" s="49"/>
      <c r="Q639" s="49"/>
      <c r="R639" s="77">
        <f t="shared" si="353"/>
        <v>1526.34009661836</v>
      </c>
      <c r="S639" s="77"/>
      <c r="T639" s="78">
        <f t="shared" si="354"/>
        <v>2.26763285024155</v>
      </c>
      <c r="U639" s="78">
        <v>60</v>
      </c>
      <c r="V639" s="77"/>
      <c r="W639" s="77">
        <f t="shared" si="351"/>
        <v>1588.6077294686</v>
      </c>
      <c r="X639" s="79">
        <f t="shared" si="355"/>
        <v>18.5452173913043</v>
      </c>
      <c r="Y639" s="79"/>
      <c r="Z639" s="79"/>
      <c r="AA639" s="79">
        <f t="shared" si="352"/>
        <v>18.5452173913043</v>
      </c>
      <c r="AB639" s="91">
        <v>7.27</v>
      </c>
      <c r="AC639" s="77">
        <f t="shared" si="364"/>
        <v>134.823730434783</v>
      </c>
      <c r="AD639" s="77">
        <f t="shared" si="363"/>
        <v>1723.43145990338</v>
      </c>
      <c r="AE639" s="77">
        <f t="shared" si="362"/>
        <v>490.368540096618</v>
      </c>
    </row>
    <row r="640" customFormat="1" spans="1:31">
      <c r="A640" s="22"/>
      <c r="B640" s="23"/>
      <c r="C640" s="24">
        <v>241210000023</v>
      </c>
      <c r="D640" s="25">
        <v>45651</v>
      </c>
      <c r="E640" s="25" t="s">
        <v>37</v>
      </c>
      <c r="F640" s="23" t="s">
        <v>38</v>
      </c>
      <c r="G640" s="23" t="s">
        <v>273</v>
      </c>
      <c r="H640" s="23">
        <v>15.5</v>
      </c>
      <c r="I640" s="43">
        <v>1421</v>
      </c>
      <c r="J640" s="44"/>
      <c r="K640" s="45"/>
      <c r="L640" s="23"/>
      <c r="M640" s="45"/>
      <c r="N640" s="57"/>
      <c r="O640" s="47">
        <f t="shared" si="361"/>
        <v>1421</v>
      </c>
      <c r="P640" s="49"/>
      <c r="Q640" s="49"/>
      <c r="R640" s="77">
        <f t="shared" si="353"/>
        <v>909.933519137867</v>
      </c>
      <c r="S640" s="77"/>
      <c r="T640" s="78">
        <f t="shared" si="354"/>
        <v>1.35185804533631</v>
      </c>
      <c r="U640" s="77"/>
      <c r="V640" s="77"/>
      <c r="W640" s="77">
        <f t="shared" ref="W640:W671" si="365">SUM(R640:V640)</f>
        <v>911.285377183203</v>
      </c>
      <c r="X640" s="79">
        <f t="shared" si="355"/>
        <v>11.0558026755853</v>
      </c>
      <c r="Y640" s="79"/>
      <c r="Z640" s="79"/>
      <c r="AA640" s="79">
        <f t="shared" ref="AA640:AA671" si="366">SUM(X640:Z640)</f>
        <v>11.0558026755853</v>
      </c>
      <c r="AB640" s="91">
        <v>7.27</v>
      </c>
      <c r="AC640" s="77">
        <f t="shared" si="364"/>
        <v>80.375685451505</v>
      </c>
      <c r="AD640" s="77">
        <f t="shared" si="363"/>
        <v>991.661062634708</v>
      </c>
      <c r="AE640" s="77">
        <f t="shared" si="362"/>
        <v>429.338937365292</v>
      </c>
    </row>
    <row r="641" customFormat="1" spans="1:31">
      <c r="A641" s="22"/>
      <c r="B641" s="23"/>
      <c r="C641" s="24">
        <v>241210000035</v>
      </c>
      <c r="D641" s="26">
        <v>45651</v>
      </c>
      <c r="E641" s="25" t="s">
        <v>143</v>
      </c>
      <c r="F641" s="23" t="s">
        <v>144</v>
      </c>
      <c r="G641" s="23" t="s">
        <v>145</v>
      </c>
      <c r="H641" s="23">
        <v>13.5</v>
      </c>
      <c r="I641" s="43">
        <v>1150.05</v>
      </c>
      <c r="J641" s="44"/>
      <c r="K641" s="45"/>
      <c r="L641" s="23"/>
      <c r="M641" s="45"/>
      <c r="N641" s="57"/>
      <c r="O641" s="47">
        <f t="shared" si="361"/>
        <v>1150.05</v>
      </c>
      <c r="P641" s="49"/>
      <c r="Q641" s="49"/>
      <c r="R641" s="77">
        <f t="shared" si="353"/>
        <v>792.522742474916</v>
      </c>
      <c r="S641" s="77"/>
      <c r="T641" s="78">
        <f t="shared" si="354"/>
        <v>1.17742474916388</v>
      </c>
      <c r="U641" s="77"/>
      <c r="V641" s="77"/>
      <c r="W641" s="77">
        <f t="shared" si="365"/>
        <v>793.70016722408</v>
      </c>
      <c r="X641" s="79">
        <f t="shared" si="355"/>
        <v>9.6292474916388</v>
      </c>
      <c r="Y641" s="79"/>
      <c r="Z641" s="79"/>
      <c r="AA641" s="79">
        <f t="shared" si="366"/>
        <v>9.6292474916388</v>
      </c>
      <c r="AB641" s="91">
        <v>7.27</v>
      </c>
      <c r="AC641" s="77">
        <f t="shared" si="364"/>
        <v>70.004629264214</v>
      </c>
      <c r="AD641" s="77">
        <f t="shared" si="363"/>
        <v>863.704796488294</v>
      </c>
      <c r="AE641" s="77">
        <f t="shared" si="362"/>
        <v>286.345203511706</v>
      </c>
    </row>
    <row r="642" customFormat="1" spans="1:31">
      <c r="A642" s="22"/>
      <c r="B642" s="23"/>
      <c r="C642" s="24">
        <v>241210000037</v>
      </c>
      <c r="D642" s="25">
        <v>45651</v>
      </c>
      <c r="E642" s="25" t="s">
        <v>54</v>
      </c>
      <c r="F642" s="23" t="s">
        <v>55</v>
      </c>
      <c r="G642" s="23" t="s">
        <v>227</v>
      </c>
      <c r="H642" s="23">
        <v>8.5</v>
      </c>
      <c r="I642" s="43">
        <v>873.95</v>
      </c>
      <c r="J642" s="44"/>
      <c r="K642" s="45"/>
      <c r="L642" s="23"/>
      <c r="M642" s="45"/>
      <c r="N642" s="57"/>
      <c r="O642" s="47">
        <f t="shared" si="361"/>
        <v>873.95</v>
      </c>
      <c r="P642" s="49"/>
      <c r="Q642" s="49"/>
      <c r="R642" s="77">
        <f t="shared" ref="R642:R673" si="367">SUM(157976.2/2691)*H642</f>
        <v>498.99580081754</v>
      </c>
      <c r="S642" s="77"/>
      <c r="T642" s="78">
        <f t="shared" ref="T642:T673" si="368">SUM(234.7/2691)*H642</f>
        <v>0.741341508732813</v>
      </c>
      <c r="U642" s="77"/>
      <c r="V642" s="77"/>
      <c r="W642" s="77">
        <f t="shared" si="365"/>
        <v>499.737142326273</v>
      </c>
      <c r="X642" s="79">
        <f t="shared" ref="X642:X673" si="369">SUM(1919.43/2691)*H642</f>
        <v>6.06285953177257</v>
      </c>
      <c r="Y642" s="79"/>
      <c r="Z642" s="79"/>
      <c r="AA642" s="79">
        <f t="shared" si="366"/>
        <v>6.06285953177257</v>
      </c>
      <c r="AB642" s="91">
        <v>7.27</v>
      </c>
      <c r="AC642" s="77">
        <f t="shared" si="364"/>
        <v>44.0769887959866</v>
      </c>
      <c r="AD642" s="77">
        <f t="shared" si="363"/>
        <v>543.814131122259</v>
      </c>
      <c r="AE642" s="77">
        <f t="shared" si="362"/>
        <v>330.135868877741</v>
      </c>
    </row>
    <row r="643" customFormat="1" spans="1:31">
      <c r="A643" s="22"/>
      <c r="B643" s="23"/>
      <c r="C643" s="24">
        <v>241210000042</v>
      </c>
      <c r="D643" s="25">
        <v>45651</v>
      </c>
      <c r="E643" s="25" t="s">
        <v>61</v>
      </c>
      <c r="F643" s="23" t="s">
        <v>62</v>
      </c>
      <c r="G643" s="23" t="s">
        <v>442</v>
      </c>
      <c r="H643" s="23">
        <v>24.5</v>
      </c>
      <c r="I643" s="43">
        <v>2165.9</v>
      </c>
      <c r="J643" s="44"/>
      <c r="K643" s="45"/>
      <c r="L643" s="23"/>
      <c r="M643" s="45"/>
      <c r="N643" s="57"/>
      <c r="O643" s="47">
        <f t="shared" si="361"/>
        <v>2165.9</v>
      </c>
      <c r="P643" s="49"/>
      <c r="Q643" s="49"/>
      <c r="R643" s="77">
        <f t="shared" si="367"/>
        <v>1438.28201412114</v>
      </c>
      <c r="S643" s="77"/>
      <c r="T643" s="78">
        <f t="shared" si="368"/>
        <v>2.13680787811223</v>
      </c>
      <c r="U643" s="77"/>
      <c r="V643" s="77"/>
      <c r="W643" s="77">
        <f t="shared" si="365"/>
        <v>1440.41882199926</v>
      </c>
      <c r="X643" s="79">
        <f t="shared" si="369"/>
        <v>17.4753010033445</v>
      </c>
      <c r="Y643" s="79"/>
      <c r="Z643" s="79"/>
      <c r="AA643" s="79">
        <f t="shared" si="366"/>
        <v>17.4753010033445</v>
      </c>
      <c r="AB643" s="91">
        <v>7.27</v>
      </c>
      <c r="AC643" s="77">
        <f t="shared" si="364"/>
        <v>127.045438294314</v>
      </c>
      <c r="AD643" s="77">
        <f t="shared" si="363"/>
        <v>1567.46426029357</v>
      </c>
      <c r="AE643" s="77">
        <f t="shared" si="362"/>
        <v>598.435739706429</v>
      </c>
    </row>
    <row r="644" customFormat="1" spans="1:31">
      <c r="A644" s="22"/>
      <c r="B644" s="23"/>
      <c r="C644" s="24">
        <v>241210000051</v>
      </c>
      <c r="D644" s="25">
        <v>45651</v>
      </c>
      <c r="E644" s="25" t="s">
        <v>44</v>
      </c>
      <c r="F644" s="23" t="s">
        <v>45</v>
      </c>
      <c r="G644" s="23" t="s">
        <v>146</v>
      </c>
      <c r="H644" s="23">
        <v>64.5</v>
      </c>
      <c r="I644" s="43">
        <v>4524</v>
      </c>
      <c r="J644" s="44"/>
      <c r="K644" s="45"/>
      <c r="L644" s="23"/>
      <c r="M644" s="45"/>
      <c r="N644" s="57"/>
      <c r="O644" s="47">
        <f t="shared" si="361"/>
        <v>4524</v>
      </c>
      <c r="P644" s="49"/>
      <c r="Q644" s="49"/>
      <c r="R644" s="77">
        <f t="shared" si="367"/>
        <v>3786.49754738016</v>
      </c>
      <c r="S644" s="77"/>
      <c r="T644" s="78">
        <f t="shared" si="368"/>
        <v>5.62547380156076</v>
      </c>
      <c r="U644" s="77"/>
      <c r="V644" s="77"/>
      <c r="W644" s="77">
        <f t="shared" si="365"/>
        <v>3792.12302118172</v>
      </c>
      <c r="X644" s="79">
        <f t="shared" si="369"/>
        <v>46.0064046822742</v>
      </c>
      <c r="Y644" s="79"/>
      <c r="Z644" s="79"/>
      <c r="AA644" s="79">
        <f t="shared" si="366"/>
        <v>46.0064046822742</v>
      </c>
      <c r="AB644" s="91">
        <v>7.27</v>
      </c>
      <c r="AC644" s="77">
        <f t="shared" si="364"/>
        <v>334.466562040134</v>
      </c>
      <c r="AD644" s="77">
        <f t="shared" si="363"/>
        <v>4126.58958322185</v>
      </c>
      <c r="AE644" s="77">
        <f t="shared" si="362"/>
        <v>397.410416778149</v>
      </c>
    </row>
    <row r="645" customFormat="1" spans="1:31">
      <c r="A645" s="22"/>
      <c r="B645" s="23"/>
      <c r="C645" s="24">
        <v>241210000056</v>
      </c>
      <c r="D645" s="26">
        <v>45651</v>
      </c>
      <c r="E645" s="25" t="s">
        <v>143</v>
      </c>
      <c r="F645" s="23" t="s">
        <v>144</v>
      </c>
      <c r="G645" s="23" t="s">
        <v>234</v>
      </c>
      <c r="H645" s="23">
        <v>440.5</v>
      </c>
      <c r="I645" s="96">
        <v>34138.75</v>
      </c>
      <c r="J645" s="44"/>
      <c r="K645" s="45"/>
      <c r="L645" s="23"/>
      <c r="M645" s="45"/>
      <c r="N645" s="57"/>
      <c r="O645" s="47">
        <f t="shared" si="361"/>
        <v>34138.75</v>
      </c>
      <c r="P645" s="49"/>
      <c r="Q645" s="49"/>
      <c r="R645" s="77">
        <f t="shared" si="367"/>
        <v>25859.7235600149</v>
      </c>
      <c r="S645" s="77"/>
      <c r="T645" s="78">
        <f t="shared" si="368"/>
        <v>38.418933481977</v>
      </c>
      <c r="U645" s="77"/>
      <c r="V645" s="77"/>
      <c r="W645" s="77">
        <f t="shared" si="365"/>
        <v>25898.1424934968</v>
      </c>
      <c r="X645" s="79">
        <f t="shared" si="369"/>
        <v>314.198779264214</v>
      </c>
      <c r="Y645" s="79"/>
      <c r="Z645" s="79"/>
      <c r="AA645" s="79">
        <f t="shared" si="366"/>
        <v>314.198779264214</v>
      </c>
      <c r="AB645" s="91">
        <v>7.27</v>
      </c>
      <c r="AC645" s="77">
        <f t="shared" si="364"/>
        <v>2284.22512525084</v>
      </c>
      <c r="AD645" s="77">
        <f t="shared" si="363"/>
        <v>28182.3676187477</v>
      </c>
      <c r="AE645" s="77">
        <f t="shared" si="362"/>
        <v>5956.38238125232</v>
      </c>
    </row>
    <row r="646" customFormat="1" spans="1:31">
      <c r="A646" s="22"/>
      <c r="B646" s="23"/>
      <c r="C646" s="24">
        <v>241210000058</v>
      </c>
      <c r="D646" s="26">
        <v>45651</v>
      </c>
      <c r="E646" s="25" t="s">
        <v>70</v>
      </c>
      <c r="F646" s="23" t="s">
        <v>70</v>
      </c>
      <c r="G646" s="23" t="s">
        <v>443</v>
      </c>
      <c r="H646" s="23">
        <v>13.5</v>
      </c>
      <c r="I646" s="43">
        <v>1239.15</v>
      </c>
      <c r="J646" s="44"/>
      <c r="K646" s="45"/>
      <c r="L646" s="23"/>
      <c r="M646" s="45"/>
      <c r="N646" s="57"/>
      <c r="O646" s="47">
        <f t="shared" si="361"/>
        <v>1239.15</v>
      </c>
      <c r="P646" s="49"/>
      <c r="Q646" s="49"/>
      <c r="R646" s="77">
        <f t="shared" si="367"/>
        <v>792.522742474916</v>
      </c>
      <c r="S646" s="77"/>
      <c r="T646" s="78">
        <f t="shared" si="368"/>
        <v>1.17742474916388</v>
      </c>
      <c r="U646" s="77"/>
      <c r="V646" s="77"/>
      <c r="W646" s="77">
        <f t="shared" si="365"/>
        <v>793.70016722408</v>
      </c>
      <c r="X646" s="79">
        <f t="shared" si="369"/>
        <v>9.6292474916388</v>
      </c>
      <c r="Y646" s="79"/>
      <c r="Z646" s="79"/>
      <c r="AA646" s="79">
        <f t="shared" si="366"/>
        <v>9.6292474916388</v>
      </c>
      <c r="AB646" s="91">
        <v>7.27</v>
      </c>
      <c r="AC646" s="77">
        <f t="shared" si="364"/>
        <v>70.004629264214</v>
      </c>
      <c r="AD646" s="77">
        <f t="shared" si="363"/>
        <v>863.704796488294</v>
      </c>
      <c r="AE646" s="77">
        <f t="shared" si="362"/>
        <v>375.445203511706</v>
      </c>
    </row>
    <row r="647" customFormat="1" spans="1:31">
      <c r="A647" s="22"/>
      <c r="B647" s="23"/>
      <c r="C647" s="24">
        <v>241211000007</v>
      </c>
      <c r="D647" s="25">
        <v>45651</v>
      </c>
      <c r="E647" s="25" t="s">
        <v>37</v>
      </c>
      <c r="F647" s="23" t="s">
        <v>38</v>
      </c>
      <c r="G647" s="23" t="s">
        <v>444</v>
      </c>
      <c r="H647" s="23">
        <v>6</v>
      </c>
      <c r="I647" s="43">
        <v>514</v>
      </c>
      <c r="J647" s="44"/>
      <c r="K647" s="45"/>
      <c r="L647" s="23"/>
      <c r="M647" s="45"/>
      <c r="N647" s="57"/>
      <c r="O647" s="47">
        <f t="shared" si="361"/>
        <v>514</v>
      </c>
      <c r="P647" s="49"/>
      <c r="Q647" s="49"/>
      <c r="R647" s="77">
        <f t="shared" si="367"/>
        <v>352.232329988852</v>
      </c>
      <c r="S647" s="77"/>
      <c r="T647" s="78">
        <f t="shared" si="368"/>
        <v>0.52329988851728</v>
      </c>
      <c r="U647" s="77"/>
      <c r="V647" s="77"/>
      <c r="W647" s="77">
        <f t="shared" si="365"/>
        <v>352.755629877369</v>
      </c>
      <c r="X647" s="79">
        <f t="shared" si="369"/>
        <v>4.27966555183946</v>
      </c>
      <c r="Y647" s="79"/>
      <c r="Z647" s="79"/>
      <c r="AA647" s="79">
        <f t="shared" si="366"/>
        <v>4.27966555183946</v>
      </c>
      <c r="AB647" s="91">
        <v>7.27</v>
      </c>
      <c r="AC647" s="77">
        <f t="shared" si="364"/>
        <v>31.1131685618729</v>
      </c>
      <c r="AD647" s="77">
        <f t="shared" si="363"/>
        <v>383.868798439242</v>
      </c>
      <c r="AE647" s="77">
        <f t="shared" si="362"/>
        <v>130.131201560758</v>
      </c>
    </row>
    <row r="648" customFormat="1" spans="1:31">
      <c r="A648" s="22"/>
      <c r="B648" s="23"/>
      <c r="C648" s="24">
        <v>241211000008</v>
      </c>
      <c r="D648" s="25">
        <v>45651</v>
      </c>
      <c r="E648" s="25" t="s">
        <v>54</v>
      </c>
      <c r="F648" s="23" t="s">
        <v>55</v>
      </c>
      <c r="G648" s="23" t="s">
        <v>124</v>
      </c>
      <c r="H648" s="23">
        <v>5</v>
      </c>
      <c r="I648" s="43">
        <v>443.3</v>
      </c>
      <c r="J648" s="44"/>
      <c r="K648" s="45"/>
      <c r="L648" s="23"/>
      <c r="M648" s="45"/>
      <c r="N648" s="57"/>
      <c r="O648" s="47">
        <f t="shared" si="361"/>
        <v>443.3</v>
      </c>
      <c r="P648" s="49"/>
      <c r="Q648" s="49"/>
      <c r="R648" s="77">
        <f t="shared" si="367"/>
        <v>293.526941657376</v>
      </c>
      <c r="S648" s="77"/>
      <c r="T648" s="78">
        <f t="shared" si="368"/>
        <v>0.436083240431066</v>
      </c>
      <c r="U648" s="77"/>
      <c r="V648" s="77"/>
      <c r="W648" s="77">
        <f t="shared" si="365"/>
        <v>293.963024897808</v>
      </c>
      <c r="X648" s="79">
        <f t="shared" si="369"/>
        <v>3.56638795986622</v>
      </c>
      <c r="Y648" s="79"/>
      <c r="Z648" s="79"/>
      <c r="AA648" s="79">
        <f t="shared" si="366"/>
        <v>3.56638795986622</v>
      </c>
      <c r="AB648" s="91">
        <v>7.27</v>
      </c>
      <c r="AC648" s="77">
        <f t="shared" si="364"/>
        <v>25.9276404682274</v>
      </c>
      <c r="AD648" s="77">
        <f t="shared" si="363"/>
        <v>319.890665366035</v>
      </c>
      <c r="AE648" s="77">
        <f t="shared" si="362"/>
        <v>123.409334633965</v>
      </c>
    </row>
    <row r="649" customFormat="1" spans="1:31">
      <c r="A649" s="22"/>
      <c r="B649" s="23"/>
      <c r="C649" s="24">
        <v>241211000013</v>
      </c>
      <c r="D649" s="25">
        <v>45651</v>
      </c>
      <c r="E649" s="25" t="s">
        <v>54</v>
      </c>
      <c r="F649" s="23" t="s">
        <v>55</v>
      </c>
      <c r="G649" s="23" t="s">
        <v>445</v>
      </c>
      <c r="H649" s="23">
        <v>9</v>
      </c>
      <c r="I649" s="43">
        <v>1239</v>
      </c>
      <c r="J649" s="44"/>
      <c r="K649" s="45"/>
      <c r="L649" s="23"/>
      <c r="M649" s="45"/>
      <c r="N649" s="57"/>
      <c r="O649" s="47">
        <f t="shared" si="361"/>
        <v>1239</v>
      </c>
      <c r="P649" s="49"/>
      <c r="Q649" s="49"/>
      <c r="R649" s="77">
        <f t="shared" si="367"/>
        <v>528.348494983278</v>
      </c>
      <c r="S649" s="77"/>
      <c r="T649" s="78">
        <f t="shared" si="368"/>
        <v>0.78494983277592</v>
      </c>
      <c r="U649" s="77"/>
      <c r="V649" s="77"/>
      <c r="W649" s="77">
        <f t="shared" si="365"/>
        <v>529.133444816054</v>
      </c>
      <c r="X649" s="79">
        <f t="shared" si="369"/>
        <v>6.4194983277592</v>
      </c>
      <c r="Y649" s="79"/>
      <c r="Z649" s="79"/>
      <c r="AA649" s="79">
        <f t="shared" si="366"/>
        <v>6.4194983277592</v>
      </c>
      <c r="AB649" s="91">
        <v>7.27</v>
      </c>
      <c r="AC649" s="77">
        <f t="shared" si="364"/>
        <v>46.6697528428094</v>
      </c>
      <c r="AD649" s="77">
        <f t="shared" si="363"/>
        <v>575.803197658863</v>
      </c>
      <c r="AE649" s="77">
        <f t="shared" si="362"/>
        <v>663.196802341137</v>
      </c>
    </row>
    <row r="650" customFormat="1" spans="1:31">
      <c r="A650" s="22"/>
      <c r="B650" s="23"/>
      <c r="C650" s="24">
        <v>241211000017</v>
      </c>
      <c r="D650" s="25">
        <v>45651</v>
      </c>
      <c r="E650" s="25" t="s">
        <v>61</v>
      </c>
      <c r="F650" s="23" t="s">
        <v>62</v>
      </c>
      <c r="G650" s="23" t="s">
        <v>105</v>
      </c>
      <c r="H650" s="23">
        <v>15.5</v>
      </c>
      <c r="I650" s="50"/>
      <c r="J650" s="51">
        <v>275765.05</v>
      </c>
      <c r="K650" s="45"/>
      <c r="L650" s="52">
        <f t="shared" ref="L650:L655" si="370">SUM(J650/M650)</f>
        <v>1519.45038294121</v>
      </c>
      <c r="M650" s="53">
        <v>181.49</v>
      </c>
      <c r="N650" s="57">
        <v>7.27</v>
      </c>
      <c r="O650" s="47">
        <f t="shared" ref="O650:O655" si="371">SUM(M650*N650)</f>
        <v>1319.4323</v>
      </c>
      <c r="P650" s="49"/>
      <c r="Q650" s="49"/>
      <c r="R650" s="77">
        <f t="shared" si="367"/>
        <v>909.933519137867</v>
      </c>
      <c r="S650" s="77"/>
      <c r="T650" s="78">
        <f t="shared" si="368"/>
        <v>1.35185804533631</v>
      </c>
      <c r="U650" s="77"/>
      <c r="V650" s="77"/>
      <c r="W650" s="77">
        <f t="shared" si="365"/>
        <v>911.285377183203</v>
      </c>
      <c r="X650" s="79">
        <f t="shared" si="369"/>
        <v>11.0558026755853</v>
      </c>
      <c r="Y650" s="79"/>
      <c r="Z650" s="79"/>
      <c r="AA650" s="79">
        <f t="shared" si="366"/>
        <v>11.0558026755853</v>
      </c>
      <c r="AB650" s="91">
        <v>7.27</v>
      </c>
      <c r="AC650" s="77">
        <f t="shared" si="364"/>
        <v>80.375685451505</v>
      </c>
      <c r="AD650" s="77">
        <f t="shared" si="363"/>
        <v>991.661062634708</v>
      </c>
      <c r="AE650" s="77">
        <f t="shared" si="362"/>
        <v>327.771237365292</v>
      </c>
    </row>
    <row r="651" customFormat="1" spans="1:31">
      <c r="A651" s="22"/>
      <c r="B651" s="23"/>
      <c r="C651" s="24">
        <v>241211000018</v>
      </c>
      <c r="D651" s="26">
        <v>45651</v>
      </c>
      <c r="E651" s="25" t="s">
        <v>70</v>
      </c>
      <c r="F651" s="23" t="s">
        <v>70</v>
      </c>
      <c r="G651" s="23" t="s">
        <v>446</v>
      </c>
      <c r="H651" s="23">
        <v>3.5</v>
      </c>
      <c r="I651" s="43">
        <v>337.15</v>
      </c>
      <c r="J651" s="44"/>
      <c r="K651" s="45"/>
      <c r="L651" s="23"/>
      <c r="M651" s="45"/>
      <c r="N651" s="57"/>
      <c r="O651" s="47">
        <f t="shared" ref="O651:O653" si="372">SUM(I651)</f>
        <v>337.15</v>
      </c>
      <c r="P651" s="49"/>
      <c r="Q651" s="49"/>
      <c r="R651" s="77">
        <f t="shared" si="367"/>
        <v>205.468859160164</v>
      </c>
      <c r="S651" s="77"/>
      <c r="T651" s="78">
        <f t="shared" si="368"/>
        <v>0.305258268301747</v>
      </c>
      <c r="U651" s="77"/>
      <c r="V651" s="77"/>
      <c r="W651" s="77">
        <f t="shared" si="365"/>
        <v>205.774117428465</v>
      </c>
      <c r="X651" s="79">
        <f t="shared" si="369"/>
        <v>2.49647157190635</v>
      </c>
      <c r="Y651" s="79"/>
      <c r="Z651" s="79"/>
      <c r="AA651" s="79">
        <f t="shared" si="366"/>
        <v>2.49647157190635</v>
      </c>
      <c r="AB651" s="91">
        <v>7.27</v>
      </c>
      <c r="AC651" s="77">
        <f t="shared" si="364"/>
        <v>18.1493483277592</v>
      </c>
      <c r="AD651" s="77">
        <f t="shared" si="363"/>
        <v>223.923465756224</v>
      </c>
      <c r="AE651" s="77">
        <f t="shared" si="362"/>
        <v>113.226534243776</v>
      </c>
    </row>
    <row r="652" customFormat="1" spans="1:31">
      <c r="A652" s="22"/>
      <c r="B652" s="23"/>
      <c r="C652" s="92">
        <v>241211000026</v>
      </c>
      <c r="D652" s="94">
        <v>45651</v>
      </c>
      <c r="E652" s="25" t="s">
        <v>61</v>
      </c>
      <c r="F652" s="95" t="s">
        <v>62</v>
      </c>
      <c r="G652" s="95" t="s">
        <v>447</v>
      </c>
      <c r="H652" s="95">
        <v>0.32</v>
      </c>
      <c r="I652" s="96">
        <v>91.3</v>
      </c>
      <c r="J652" s="44"/>
      <c r="K652" s="45"/>
      <c r="L652" s="23"/>
      <c r="M652" s="45"/>
      <c r="N652" s="57"/>
      <c r="O652" s="47">
        <f t="shared" si="372"/>
        <v>91.3</v>
      </c>
      <c r="P652" s="49"/>
      <c r="Q652" s="49"/>
      <c r="R652" s="77">
        <f t="shared" si="367"/>
        <v>18.7857242660721</v>
      </c>
      <c r="S652" s="77"/>
      <c r="T652" s="78">
        <f t="shared" si="368"/>
        <v>0.0279093273875883</v>
      </c>
      <c r="U652" s="77"/>
      <c r="V652" s="77"/>
      <c r="W652" s="77">
        <f t="shared" si="365"/>
        <v>18.8136335934597</v>
      </c>
      <c r="X652" s="79">
        <f t="shared" si="369"/>
        <v>0.228248829431438</v>
      </c>
      <c r="Y652" s="79"/>
      <c r="Z652" s="79"/>
      <c r="AA652" s="79">
        <f t="shared" si="366"/>
        <v>0.228248829431438</v>
      </c>
      <c r="AB652" s="91">
        <v>7.27</v>
      </c>
      <c r="AC652" s="77">
        <f t="shared" si="364"/>
        <v>1.65936898996656</v>
      </c>
      <c r="AD652" s="77">
        <f t="shared" si="363"/>
        <v>20.4730025834262</v>
      </c>
      <c r="AE652" s="77">
        <f t="shared" si="362"/>
        <v>70.8269974165738</v>
      </c>
    </row>
    <row r="653" customFormat="1" spans="1:31">
      <c r="A653" s="22"/>
      <c r="B653" s="23"/>
      <c r="C653" s="24">
        <v>241211000046</v>
      </c>
      <c r="D653" s="25">
        <v>45651</v>
      </c>
      <c r="E653" s="25" t="s">
        <v>44</v>
      </c>
      <c r="F653" s="23" t="s">
        <v>45</v>
      </c>
      <c r="G653" s="23" t="s">
        <v>448</v>
      </c>
      <c r="H653" s="23">
        <v>3</v>
      </c>
      <c r="I653" s="43">
        <v>285</v>
      </c>
      <c r="J653" s="44"/>
      <c r="K653" s="45"/>
      <c r="L653" s="23"/>
      <c r="M653" s="45"/>
      <c r="N653" s="57"/>
      <c r="O653" s="47">
        <f t="shared" si="372"/>
        <v>285</v>
      </c>
      <c r="P653" s="49"/>
      <c r="Q653" s="49"/>
      <c r="R653" s="77">
        <f t="shared" si="367"/>
        <v>176.116164994426</v>
      </c>
      <c r="S653" s="77"/>
      <c r="T653" s="78">
        <f t="shared" si="368"/>
        <v>0.26164994425864</v>
      </c>
      <c r="U653" s="77"/>
      <c r="V653" s="77"/>
      <c r="W653" s="77">
        <f t="shared" si="365"/>
        <v>176.377814938685</v>
      </c>
      <c r="X653" s="79">
        <f t="shared" si="369"/>
        <v>2.13983277591973</v>
      </c>
      <c r="Y653" s="79"/>
      <c r="Z653" s="79"/>
      <c r="AA653" s="79">
        <f t="shared" si="366"/>
        <v>2.13983277591973</v>
      </c>
      <c r="AB653" s="91">
        <v>7.27</v>
      </c>
      <c r="AC653" s="77">
        <f t="shared" si="364"/>
        <v>15.5565842809365</v>
      </c>
      <c r="AD653" s="77">
        <f t="shared" si="363"/>
        <v>191.934399219621</v>
      </c>
      <c r="AE653" s="77">
        <f t="shared" si="362"/>
        <v>93.065600780379</v>
      </c>
    </row>
    <row r="654" customFormat="1" spans="1:31">
      <c r="A654" s="22"/>
      <c r="B654" s="23"/>
      <c r="C654" s="24">
        <v>241212000001</v>
      </c>
      <c r="D654" s="26">
        <v>45651</v>
      </c>
      <c r="E654" s="25" t="s">
        <v>133</v>
      </c>
      <c r="F654" s="23" t="s">
        <v>147</v>
      </c>
      <c r="G654" s="23" t="s">
        <v>148</v>
      </c>
      <c r="H654" s="23">
        <v>1.5</v>
      </c>
      <c r="I654" s="47"/>
      <c r="J654" s="51">
        <v>33699</v>
      </c>
      <c r="K654" s="45"/>
      <c r="L654" s="52">
        <f t="shared" si="370"/>
        <v>1664.97035573123</v>
      </c>
      <c r="M654" s="53">
        <v>20.24</v>
      </c>
      <c r="N654" s="57">
        <v>7.27</v>
      </c>
      <c r="O654" s="47">
        <f t="shared" si="371"/>
        <v>147.1448</v>
      </c>
      <c r="P654" s="49"/>
      <c r="Q654" s="49"/>
      <c r="R654" s="77">
        <f t="shared" si="367"/>
        <v>88.0580824972129</v>
      </c>
      <c r="S654" s="77"/>
      <c r="T654" s="78">
        <f t="shared" si="368"/>
        <v>0.13082497212932</v>
      </c>
      <c r="U654" s="77"/>
      <c r="V654" s="77"/>
      <c r="W654" s="77">
        <f t="shared" si="365"/>
        <v>88.1889074693423</v>
      </c>
      <c r="X654" s="79">
        <f t="shared" si="369"/>
        <v>1.06991638795987</v>
      </c>
      <c r="Y654" s="79"/>
      <c r="Z654" s="79"/>
      <c r="AA654" s="79">
        <f t="shared" si="366"/>
        <v>1.06991638795987</v>
      </c>
      <c r="AB654" s="91">
        <v>7.27</v>
      </c>
      <c r="AC654" s="77">
        <f t="shared" si="364"/>
        <v>7.77829214046823</v>
      </c>
      <c r="AD654" s="77">
        <f t="shared" si="363"/>
        <v>95.9671996098105</v>
      </c>
      <c r="AE654" s="77">
        <f t="shared" si="362"/>
        <v>51.1776003901895</v>
      </c>
    </row>
    <row r="655" customFormat="1" spans="1:31">
      <c r="A655" s="22"/>
      <c r="B655" s="23"/>
      <c r="C655" s="24">
        <v>241212000010</v>
      </c>
      <c r="D655" s="25">
        <v>45651</v>
      </c>
      <c r="E655" s="25" t="s">
        <v>54</v>
      </c>
      <c r="F655" s="23" t="s">
        <v>55</v>
      </c>
      <c r="G655" s="23" t="s">
        <v>449</v>
      </c>
      <c r="H655" s="23">
        <v>3</v>
      </c>
      <c r="I655" s="47"/>
      <c r="J655" s="51">
        <v>84348</v>
      </c>
      <c r="K655" s="45"/>
      <c r="L655" s="52">
        <f t="shared" si="370"/>
        <v>1649.99990316902</v>
      </c>
      <c r="M655" s="53">
        <v>51.120003</v>
      </c>
      <c r="N655" s="57">
        <v>7.27</v>
      </c>
      <c r="O655" s="47">
        <f t="shared" si="371"/>
        <v>371.64242181</v>
      </c>
      <c r="P655" s="49"/>
      <c r="Q655" s="49"/>
      <c r="R655" s="77">
        <f t="shared" si="367"/>
        <v>176.116164994426</v>
      </c>
      <c r="S655" s="77"/>
      <c r="T655" s="78">
        <f t="shared" si="368"/>
        <v>0.26164994425864</v>
      </c>
      <c r="U655" s="77"/>
      <c r="V655" s="77"/>
      <c r="W655" s="77">
        <f t="shared" si="365"/>
        <v>176.377814938685</v>
      </c>
      <c r="X655" s="79">
        <f t="shared" si="369"/>
        <v>2.13983277591973</v>
      </c>
      <c r="Y655" s="79"/>
      <c r="Z655" s="79"/>
      <c r="AA655" s="79">
        <f t="shared" si="366"/>
        <v>2.13983277591973</v>
      </c>
      <c r="AB655" s="91">
        <v>7.27</v>
      </c>
      <c r="AC655" s="77">
        <f t="shared" si="364"/>
        <v>15.5565842809365</v>
      </c>
      <c r="AD655" s="77">
        <f t="shared" si="363"/>
        <v>191.934399219621</v>
      </c>
      <c r="AE655" s="77">
        <f t="shared" si="362"/>
        <v>179.708022590379</v>
      </c>
    </row>
    <row r="656" customFormat="1" spans="1:31">
      <c r="A656" s="22"/>
      <c r="B656" s="23"/>
      <c r="C656" s="24">
        <v>241212000012</v>
      </c>
      <c r="D656" s="25">
        <v>45651</v>
      </c>
      <c r="E656" s="25" t="s">
        <v>61</v>
      </c>
      <c r="F656" s="23" t="s">
        <v>62</v>
      </c>
      <c r="G656" s="23" t="s">
        <v>450</v>
      </c>
      <c r="H656" s="23">
        <v>5.5</v>
      </c>
      <c r="I656" s="43">
        <v>522.3</v>
      </c>
      <c r="J656" s="44"/>
      <c r="K656" s="45"/>
      <c r="L656" s="23"/>
      <c r="M656" s="45"/>
      <c r="N656" s="57"/>
      <c r="O656" s="47">
        <f t="shared" ref="O656:O658" si="373">SUM(I656)</f>
        <v>522.3</v>
      </c>
      <c r="P656" s="49"/>
      <c r="Q656" s="49"/>
      <c r="R656" s="77">
        <f t="shared" si="367"/>
        <v>322.879635823114</v>
      </c>
      <c r="S656" s="77"/>
      <c r="T656" s="78">
        <f t="shared" si="368"/>
        <v>0.479691564474173</v>
      </c>
      <c r="U656" s="77"/>
      <c r="V656" s="77"/>
      <c r="W656" s="77">
        <f t="shared" si="365"/>
        <v>323.359327387588</v>
      </c>
      <c r="X656" s="79">
        <f t="shared" si="369"/>
        <v>3.92302675585284</v>
      </c>
      <c r="Y656" s="79"/>
      <c r="Z656" s="79"/>
      <c r="AA656" s="79">
        <f t="shared" si="366"/>
        <v>3.92302675585284</v>
      </c>
      <c r="AB656" s="91">
        <v>7.27</v>
      </c>
      <c r="AC656" s="77">
        <f t="shared" si="364"/>
        <v>28.5204045150502</v>
      </c>
      <c r="AD656" s="77">
        <f t="shared" si="363"/>
        <v>351.879731902638</v>
      </c>
      <c r="AE656" s="77">
        <f t="shared" si="362"/>
        <v>170.420268097361</v>
      </c>
    </row>
    <row r="657" customFormat="1" spans="1:31">
      <c r="A657" s="22"/>
      <c r="B657" s="23"/>
      <c r="C657" s="24">
        <v>241212000025</v>
      </c>
      <c r="D657" s="25">
        <v>45651</v>
      </c>
      <c r="E657" s="25" t="s">
        <v>61</v>
      </c>
      <c r="F657" s="23" t="s">
        <v>62</v>
      </c>
      <c r="G657" s="23" t="s">
        <v>120</v>
      </c>
      <c r="H657" s="23">
        <v>0.41</v>
      </c>
      <c r="I657" s="43">
        <v>91.3</v>
      </c>
      <c r="J657" s="44"/>
      <c r="K657" s="45"/>
      <c r="L657" s="23"/>
      <c r="M657" s="45"/>
      <c r="N657" s="57"/>
      <c r="O657" s="47">
        <f t="shared" si="373"/>
        <v>91.3</v>
      </c>
      <c r="P657" s="49"/>
      <c r="Q657" s="49"/>
      <c r="R657" s="77">
        <f t="shared" si="367"/>
        <v>24.0692092159049</v>
      </c>
      <c r="S657" s="77"/>
      <c r="T657" s="78">
        <f t="shared" si="368"/>
        <v>0.0357588257153474</v>
      </c>
      <c r="U657" s="77"/>
      <c r="V657" s="77"/>
      <c r="W657" s="77">
        <f t="shared" si="365"/>
        <v>24.1049680416202</v>
      </c>
      <c r="X657" s="79">
        <f t="shared" si="369"/>
        <v>0.29244381270903</v>
      </c>
      <c r="Y657" s="79"/>
      <c r="Z657" s="79"/>
      <c r="AA657" s="79">
        <f t="shared" si="366"/>
        <v>0.29244381270903</v>
      </c>
      <c r="AB657" s="91">
        <v>7.27</v>
      </c>
      <c r="AC657" s="77">
        <f t="shared" si="364"/>
        <v>2.12606651839465</v>
      </c>
      <c r="AD657" s="77">
        <f t="shared" si="363"/>
        <v>26.2310345600149</v>
      </c>
      <c r="AE657" s="77">
        <f t="shared" si="362"/>
        <v>65.0689654399851</v>
      </c>
    </row>
    <row r="658" customFormat="1" spans="1:31">
      <c r="A658" s="22"/>
      <c r="B658" s="23"/>
      <c r="C658" s="24">
        <v>241212000026</v>
      </c>
      <c r="D658" s="25">
        <v>45651</v>
      </c>
      <c r="E658" s="25" t="s">
        <v>54</v>
      </c>
      <c r="F658" s="23" t="s">
        <v>55</v>
      </c>
      <c r="G658" s="23" t="s">
        <v>427</v>
      </c>
      <c r="H658" s="23">
        <v>7</v>
      </c>
      <c r="I658" s="43">
        <v>782.5</v>
      </c>
      <c r="J658" s="44"/>
      <c r="K658" s="45"/>
      <c r="L658" s="23"/>
      <c r="M658" s="45"/>
      <c r="N658" s="57"/>
      <c r="O658" s="47">
        <f t="shared" si="373"/>
        <v>782.5</v>
      </c>
      <c r="P658" s="49"/>
      <c r="Q658" s="49"/>
      <c r="R658" s="77">
        <f t="shared" si="367"/>
        <v>410.937718320327</v>
      </c>
      <c r="S658" s="77"/>
      <c r="T658" s="78">
        <f t="shared" si="368"/>
        <v>0.610516536603493</v>
      </c>
      <c r="U658" s="77"/>
      <c r="V658" s="77"/>
      <c r="W658" s="77">
        <f t="shared" si="365"/>
        <v>411.54823485693</v>
      </c>
      <c r="X658" s="79">
        <f t="shared" si="369"/>
        <v>4.99294314381271</v>
      </c>
      <c r="Y658" s="79"/>
      <c r="Z658" s="79"/>
      <c r="AA658" s="79">
        <f t="shared" si="366"/>
        <v>4.99294314381271</v>
      </c>
      <c r="AB658" s="91">
        <v>7.27</v>
      </c>
      <c r="AC658" s="77">
        <f t="shared" si="364"/>
        <v>36.2986966555184</v>
      </c>
      <c r="AD658" s="77">
        <f t="shared" si="363"/>
        <v>447.846931512449</v>
      </c>
      <c r="AE658" s="77">
        <f t="shared" si="362"/>
        <v>334.653068487551</v>
      </c>
    </row>
    <row r="659" customFormat="1" spans="1:31">
      <c r="A659" s="22"/>
      <c r="B659" s="23"/>
      <c r="C659" s="24">
        <v>241213000003</v>
      </c>
      <c r="D659" s="25">
        <v>45651</v>
      </c>
      <c r="E659" s="25" t="s">
        <v>37</v>
      </c>
      <c r="F659" s="23" t="s">
        <v>38</v>
      </c>
      <c r="G659" s="23" t="s">
        <v>451</v>
      </c>
      <c r="H659" s="23">
        <v>4</v>
      </c>
      <c r="I659" s="47"/>
      <c r="J659" s="51">
        <v>78700</v>
      </c>
      <c r="K659" s="45"/>
      <c r="L659" s="52">
        <f>SUM(J659/M659)</f>
        <v>1671.62276975361</v>
      </c>
      <c r="M659" s="53">
        <v>47.08</v>
      </c>
      <c r="N659" s="57">
        <v>7.27</v>
      </c>
      <c r="O659" s="47">
        <f>SUM(M659*N659)</f>
        <v>342.2716</v>
      </c>
      <c r="P659" s="49"/>
      <c r="Q659" s="49"/>
      <c r="R659" s="77">
        <f t="shared" si="367"/>
        <v>234.821553325901</v>
      </c>
      <c r="S659" s="77"/>
      <c r="T659" s="78">
        <f t="shared" si="368"/>
        <v>0.348866592344853</v>
      </c>
      <c r="U659" s="77"/>
      <c r="V659" s="77"/>
      <c r="W659" s="77">
        <f t="shared" si="365"/>
        <v>235.170419918246</v>
      </c>
      <c r="X659" s="79">
        <f t="shared" si="369"/>
        <v>2.85311036789298</v>
      </c>
      <c r="Y659" s="79"/>
      <c r="Z659" s="79"/>
      <c r="AA659" s="79">
        <f t="shared" si="366"/>
        <v>2.85311036789298</v>
      </c>
      <c r="AB659" s="91">
        <v>7.27</v>
      </c>
      <c r="AC659" s="77">
        <f t="shared" si="364"/>
        <v>20.7421123745819</v>
      </c>
      <c r="AD659" s="77">
        <f t="shared" si="363"/>
        <v>255.912532292828</v>
      </c>
      <c r="AE659" s="77">
        <f t="shared" si="362"/>
        <v>86.359067707172</v>
      </c>
    </row>
    <row r="660" customFormat="1" spans="1:31">
      <c r="A660" s="22"/>
      <c r="B660" s="23"/>
      <c r="C660" s="24">
        <v>241213000004</v>
      </c>
      <c r="D660" s="25">
        <v>45651</v>
      </c>
      <c r="E660" s="25" t="s">
        <v>37</v>
      </c>
      <c r="F660" s="23" t="s">
        <v>38</v>
      </c>
      <c r="G660" s="23" t="s">
        <v>154</v>
      </c>
      <c r="H660" s="23">
        <v>0.4</v>
      </c>
      <c r="I660" s="43">
        <v>109</v>
      </c>
      <c r="J660" s="44"/>
      <c r="K660" s="45"/>
      <c r="L660" s="23"/>
      <c r="M660" s="45"/>
      <c r="N660" s="57"/>
      <c r="O660" s="47">
        <f t="shared" ref="O660:O666" si="374">SUM(I660)</f>
        <v>109</v>
      </c>
      <c r="P660" s="49"/>
      <c r="Q660" s="49"/>
      <c r="R660" s="77">
        <f t="shared" si="367"/>
        <v>23.4821553325901</v>
      </c>
      <c r="S660" s="77"/>
      <c r="T660" s="78">
        <f t="shared" si="368"/>
        <v>0.0348866592344853</v>
      </c>
      <c r="U660" s="77"/>
      <c r="V660" s="77"/>
      <c r="W660" s="77">
        <f t="shared" si="365"/>
        <v>23.5170419918246</v>
      </c>
      <c r="X660" s="79">
        <f t="shared" si="369"/>
        <v>0.285311036789298</v>
      </c>
      <c r="Y660" s="79"/>
      <c r="Z660" s="79"/>
      <c r="AA660" s="79">
        <f t="shared" si="366"/>
        <v>0.285311036789298</v>
      </c>
      <c r="AB660" s="91">
        <v>7.27</v>
      </c>
      <c r="AC660" s="77">
        <f t="shared" si="364"/>
        <v>2.07421123745819</v>
      </c>
      <c r="AD660" s="77">
        <f t="shared" si="363"/>
        <v>25.5912532292828</v>
      </c>
      <c r="AE660" s="77">
        <f t="shared" si="362"/>
        <v>83.4087467707172</v>
      </c>
    </row>
    <row r="661" customFormat="1" spans="1:31">
      <c r="A661" s="22"/>
      <c r="B661" s="23"/>
      <c r="C661" s="24">
        <v>241213000009</v>
      </c>
      <c r="D661" s="25">
        <v>45651</v>
      </c>
      <c r="E661" s="25" t="s">
        <v>61</v>
      </c>
      <c r="F661" s="23" t="s">
        <v>62</v>
      </c>
      <c r="G661" s="23" t="s">
        <v>437</v>
      </c>
      <c r="H661" s="23">
        <v>7</v>
      </c>
      <c r="I661" s="43">
        <v>599.5</v>
      </c>
      <c r="J661" s="44"/>
      <c r="K661" s="45"/>
      <c r="L661" s="23"/>
      <c r="M661" s="45"/>
      <c r="N661" s="57"/>
      <c r="O661" s="47">
        <f t="shared" si="374"/>
        <v>599.5</v>
      </c>
      <c r="P661" s="49"/>
      <c r="Q661" s="49"/>
      <c r="R661" s="77">
        <f t="shared" si="367"/>
        <v>410.937718320327</v>
      </c>
      <c r="S661" s="77"/>
      <c r="T661" s="78">
        <f t="shared" si="368"/>
        <v>0.610516536603493</v>
      </c>
      <c r="U661" s="77"/>
      <c r="V661" s="77"/>
      <c r="W661" s="77">
        <f t="shared" si="365"/>
        <v>411.54823485693</v>
      </c>
      <c r="X661" s="79">
        <f t="shared" si="369"/>
        <v>4.99294314381271</v>
      </c>
      <c r="Y661" s="79"/>
      <c r="Z661" s="79"/>
      <c r="AA661" s="79">
        <f t="shared" si="366"/>
        <v>4.99294314381271</v>
      </c>
      <c r="AB661" s="91">
        <v>7.27</v>
      </c>
      <c r="AC661" s="77">
        <f t="shared" si="364"/>
        <v>36.2986966555184</v>
      </c>
      <c r="AD661" s="77">
        <f t="shared" si="363"/>
        <v>447.846931512449</v>
      </c>
      <c r="AE661" s="77">
        <f t="shared" si="362"/>
        <v>151.653068487551</v>
      </c>
    </row>
    <row r="662" customFormat="1" spans="1:31">
      <c r="A662" s="22"/>
      <c r="B662" s="23"/>
      <c r="C662" s="24">
        <v>241213000010</v>
      </c>
      <c r="D662" s="25">
        <v>45651</v>
      </c>
      <c r="E662" s="25" t="s">
        <v>44</v>
      </c>
      <c r="F662" s="23" t="s">
        <v>45</v>
      </c>
      <c r="G662" s="23" t="s">
        <v>358</v>
      </c>
      <c r="H662" s="23">
        <v>1.5</v>
      </c>
      <c r="I662" s="43">
        <v>170</v>
      </c>
      <c r="J662" s="44"/>
      <c r="K662" s="45"/>
      <c r="L662" s="23"/>
      <c r="M662" s="45"/>
      <c r="N662" s="57"/>
      <c r="O662" s="47">
        <f t="shared" si="374"/>
        <v>170</v>
      </c>
      <c r="P662" s="49"/>
      <c r="Q662" s="49"/>
      <c r="R662" s="77">
        <f t="shared" si="367"/>
        <v>88.0580824972129</v>
      </c>
      <c r="S662" s="77"/>
      <c r="T662" s="78">
        <f t="shared" si="368"/>
        <v>0.13082497212932</v>
      </c>
      <c r="U662" s="77"/>
      <c r="V662" s="77"/>
      <c r="W662" s="77">
        <f t="shared" si="365"/>
        <v>88.1889074693423</v>
      </c>
      <c r="X662" s="79">
        <f t="shared" si="369"/>
        <v>1.06991638795987</v>
      </c>
      <c r="Y662" s="79"/>
      <c r="Z662" s="79"/>
      <c r="AA662" s="79">
        <f t="shared" si="366"/>
        <v>1.06991638795987</v>
      </c>
      <c r="AB662" s="91">
        <v>7.27</v>
      </c>
      <c r="AC662" s="77">
        <f t="shared" si="364"/>
        <v>7.77829214046823</v>
      </c>
      <c r="AD662" s="77">
        <f t="shared" si="363"/>
        <v>95.9671996098105</v>
      </c>
      <c r="AE662" s="77">
        <f t="shared" si="362"/>
        <v>74.0328003901895</v>
      </c>
    </row>
    <row r="663" customFormat="1" spans="1:31">
      <c r="A663" s="22"/>
      <c r="B663" s="23"/>
      <c r="C663" s="24">
        <v>241213000018</v>
      </c>
      <c r="D663" s="26">
        <v>45651</v>
      </c>
      <c r="E663" s="25" t="s">
        <v>143</v>
      </c>
      <c r="F663" s="23" t="s">
        <v>144</v>
      </c>
      <c r="G663" s="23" t="s">
        <v>145</v>
      </c>
      <c r="H663" s="23">
        <v>8.5</v>
      </c>
      <c r="I663" s="43">
        <v>726.55</v>
      </c>
      <c r="J663" s="44"/>
      <c r="K663" s="45"/>
      <c r="L663" s="23"/>
      <c r="M663" s="45"/>
      <c r="N663" s="57"/>
      <c r="O663" s="47">
        <f t="shared" si="374"/>
        <v>726.55</v>
      </c>
      <c r="P663" s="49"/>
      <c r="Q663" s="49"/>
      <c r="R663" s="77">
        <f t="shared" si="367"/>
        <v>498.99580081754</v>
      </c>
      <c r="S663" s="77"/>
      <c r="T663" s="78">
        <f t="shared" si="368"/>
        <v>0.741341508732813</v>
      </c>
      <c r="U663" s="77"/>
      <c r="V663" s="77"/>
      <c r="W663" s="77">
        <f t="shared" si="365"/>
        <v>499.737142326273</v>
      </c>
      <c r="X663" s="79">
        <f t="shared" si="369"/>
        <v>6.06285953177257</v>
      </c>
      <c r="Y663" s="79"/>
      <c r="Z663" s="79"/>
      <c r="AA663" s="79">
        <f t="shared" si="366"/>
        <v>6.06285953177257</v>
      </c>
      <c r="AB663" s="91">
        <v>7.27</v>
      </c>
      <c r="AC663" s="77">
        <f t="shared" si="364"/>
        <v>44.0769887959866</v>
      </c>
      <c r="AD663" s="77">
        <f t="shared" si="363"/>
        <v>543.814131122259</v>
      </c>
      <c r="AE663" s="77">
        <f t="shared" si="362"/>
        <v>182.73586887774</v>
      </c>
    </row>
    <row r="664" customFormat="1" spans="1:31">
      <c r="A664" s="22"/>
      <c r="B664" s="23"/>
      <c r="C664" s="24">
        <v>241213000033</v>
      </c>
      <c r="D664" s="25">
        <v>45651</v>
      </c>
      <c r="E664" s="25" t="s">
        <v>61</v>
      </c>
      <c r="F664" s="23" t="s">
        <v>62</v>
      </c>
      <c r="G664" s="23" t="s">
        <v>452</v>
      </c>
      <c r="H664" s="23">
        <v>0.5</v>
      </c>
      <c r="I664" s="43">
        <v>124.6</v>
      </c>
      <c r="J664" s="44"/>
      <c r="K664" s="45"/>
      <c r="L664" s="23"/>
      <c r="M664" s="45"/>
      <c r="N664" s="57"/>
      <c r="O664" s="47">
        <f t="shared" si="374"/>
        <v>124.6</v>
      </c>
      <c r="P664" s="49"/>
      <c r="Q664" s="49"/>
      <c r="R664" s="77">
        <f t="shared" si="367"/>
        <v>29.3526941657376</v>
      </c>
      <c r="S664" s="77"/>
      <c r="T664" s="78">
        <f t="shared" si="368"/>
        <v>0.0436083240431066</v>
      </c>
      <c r="U664" s="77"/>
      <c r="V664" s="77"/>
      <c r="W664" s="77">
        <f t="shared" si="365"/>
        <v>29.3963024897808</v>
      </c>
      <c r="X664" s="79">
        <f t="shared" si="369"/>
        <v>0.356638795986622</v>
      </c>
      <c r="Y664" s="79"/>
      <c r="Z664" s="79"/>
      <c r="AA664" s="79">
        <f t="shared" si="366"/>
        <v>0.356638795986622</v>
      </c>
      <c r="AB664" s="91">
        <v>7.27</v>
      </c>
      <c r="AC664" s="77">
        <f t="shared" si="364"/>
        <v>2.59276404682274</v>
      </c>
      <c r="AD664" s="77">
        <f t="shared" si="363"/>
        <v>31.9890665366035</v>
      </c>
      <c r="AE664" s="77">
        <f t="shared" si="362"/>
        <v>92.6109334633965</v>
      </c>
    </row>
    <row r="665" customFormat="1" spans="1:31">
      <c r="A665" s="22"/>
      <c r="B665" s="23"/>
      <c r="C665" s="24">
        <v>241213000034</v>
      </c>
      <c r="D665" s="25">
        <v>45651</v>
      </c>
      <c r="E665" s="25" t="s">
        <v>44</v>
      </c>
      <c r="F665" s="23" t="s">
        <v>45</v>
      </c>
      <c r="G665" s="23" t="s">
        <v>178</v>
      </c>
      <c r="H665" s="23">
        <v>13.5</v>
      </c>
      <c r="I665" s="43">
        <v>1147.5</v>
      </c>
      <c r="J665" s="44"/>
      <c r="K665" s="45"/>
      <c r="L665" s="23"/>
      <c r="M665" s="45"/>
      <c r="N665" s="57"/>
      <c r="O665" s="47">
        <f t="shared" si="374"/>
        <v>1147.5</v>
      </c>
      <c r="P665" s="49"/>
      <c r="Q665" s="49"/>
      <c r="R665" s="77">
        <f t="shared" si="367"/>
        <v>792.522742474916</v>
      </c>
      <c r="S665" s="77"/>
      <c r="T665" s="78">
        <f t="shared" si="368"/>
        <v>1.17742474916388</v>
      </c>
      <c r="U665" s="77"/>
      <c r="V665" s="77"/>
      <c r="W665" s="77">
        <f t="shared" si="365"/>
        <v>793.70016722408</v>
      </c>
      <c r="X665" s="79">
        <f t="shared" si="369"/>
        <v>9.6292474916388</v>
      </c>
      <c r="Y665" s="79"/>
      <c r="Z665" s="79"/>
      <c r="AA665" s="79">
        <f t="shared" si="366"/>
        <v>9.6292474916388</v>
      </c>
      <c r="AB665" s="91">
        <v>7.27</v>
      </c>
      <c r="AC665" s="77">
        <f t="shared" si="364"/>
        <v>70.004629264214</v>
      </c>
      <c r="AD665" s="77">
        <f t="shared" si="363"/>
        <v>863.704796488294</v>
      </c>
      <c r="AE665" s="77">
        <f t="shared" si="362"/>
        <v>283.795203511706</v>
      </c>
    </row>
    <row r="666" customFormat="1" spans="1:31">
      <c r="A666" s="22"/>
      <c r="B666" s="23"/>
      <c r="C666" s="24">
        <v>241213000037</v>
      </c>
      <c r="D666" s="25">
        <v>45651</v>
      </c>
      <c r="E666" s="25" t="s">
        <v>44</v>
      </c>
      <c r="F666" s="23" t="s">
        <v>45</v>
      </c>
      <c r="G666" s="23" t="s">
        <v>90</v>
      </c>
      <c r="H666" s="23">
        <v>11.5</v>
      </c>
      <c r="I666" s="43">
        <v>920</v>
      </c>
      <c r="J666" s="44"/>
      <c r="K666" s="45"/>
      <c r="L666" s="23"/>
      <c r="M666" s="45"/>
      <c r="N666" s="57"/>
      <c r="O666" s="47">
        <f t="shared" si="374"/>
        <v>920</v>
      </c>
      <c r="P666" s="49"/>
      <c r="Q666" s="49"/>
      <c r="R666" s="77">
        <f t="shared" si="367"/>
        <v>675.111965811966</v>
      </c>
      <c r="S666" s="77"/>
      <c r="T666" s="78">
        <f t="shared" si="368"/>
        <v>1.00299145299145</v>
      </c>
      <c r="U666" s="77"/>
      <c r="V666" s="77"/>
      <c r="W666" s="77">
        <f t="shared" si="365"/>
        <v>676.114957264957</v>
      </c>
      <c r="X666" s="79">
        <f t="shared" si="369"/>
        <v>8.20269230769231</v>
      </c>
      <c r="Y666" s="79"/>
      <c r="Z666" s="79"/>
      <c r="AA666" s="79">
        <f t="shared" si="366"/>
        <v>8.20269230769231</v>
      </c>
      <c r="AB666" s="91">
        <v>7.27</v>
      </c>
      <c r="AC666" s="77">
        <f t="shared" si="364"/>
        <v>59.6335730769231</v>
      </c>
      <c r="AD666" s="77">
        <f t="shared" si="363"/>
        <v>735.74853034188</v>
      </c>
      <c r="AE666" s="77">
        <f t="shared" ref="AE666:AE697" si="375">SUM(O666-AD666)</f>
        <v>184.25146965812</v>
      </c>
    </row>
    <row r="667" customFormat="1" spans="1:31">
      <c r="A667" s="22"/>
      <c r="B667" s="23"/>
      <c r="C667" s="24">
        <v>241213000038</v>
      </c>
      <c r="D667" s="25">
        <v>45651</v>
      </c>
      <c r="E667" s="25" t="s">
        <v>44</v>
      </c>
      <c r="F667" s="23" t="s">
        <v>45</v>
      </c>
      <c r="G667" s="23" t="s">
        <v>148</v>
      </c>
      <c r="H667" s="23">
        <v>2</v>
      </c>
      <c r="I667" s="50"/>
      <c r="J667" s="51">
        <v>38930</v>
      </c>
      <c r="K667" s="45"/>
      <c r="L667" s="52">
        <f t="shared" ref="L667:L670" si="376">SUM(J667/M667)</f>
        <v>1665.09837467921</v>
      </c>
      <c r="M667" s="53">
        <v>23.38</v>
      </c>
      <c r="N667" s="57">
        <v>7.27</v>
      </c>
      <c r="O667" s="47">
        <f t="shared" ref="O667:O670" si="377">SUM(M667*N667)</f>
        <v>169.9726</v>
      </c>
      <c r="P667" s="49"/>
      <c r="Q667" s="49"/>
      <c r="R667" s="77">
        <f t="shared" si="367"/>
        <v>117.410776662951</v>
      </c>
      <c r="S667" s="77"/>
      <c r="T667" s="78">
        <f t="shared" si="368"/>
        <v>0.174433296172427</v>
      </c>
      <c r="U667" s="77"/>
      <c r="V667" s="77"/>
      <c r="W667" s="77">
        <f t="shared" si="365"/>
        <v>117.585209959123</v>
      </c>
      <c r="X667" s="79">
        <f t="shared" si="369"/>
        <v>1.42655518394649</v>
      </c>
      <c r="Y667" s="79"/>
      <c r="Z667" s="79"/>
      <c r="AA667" s="79">
        <f t="shared" si="366"/>
        <v>1.42655518394649</v>
      </c>
      <c r="AB667" s="91">
        <v>7.27</v>
      </c>
      <c r="AC667" s="77">
        <f t="shared" si="364"/>
        <v>10.371056187291</v>
      </c>
      <c r="AD667" s="77">
        <f t="shared" si="363"/>
        <v>127.956266146414</v>
      </c>
      <c r="AE667" s="77">
        <f t="shared" si="375"/>
        <v>42.016333853586</v>
      </c>
    </row>
    <row r="668" customFormat="1" spans="1:31">
      <c r="A668" s="22"/>
      <c r="B668" s="23"/>
      <c r="C668" s="24">
        <v>241213000041</v>
      </c>
      <c r="D668" s="25">
        <v>45651</v>
      </c>
      <c r="E668" s="25" t="s">
        <v>44</v>
      </c>
      <c r="F668" s="23" t="s">
        <v>45</v>
      </c>
      <c r="G668" s="23" t="s">
        <v>453</v>
      </c>
      <c r="H668" s="23">
        <v>1.5</v>
      </c>
      <c r="I668" s="43">
        <v>123</v>
      </c>
      <c r="J668" s="44"/>
      <c r="K668" s="45"/>
      <c r="L668" s="23"/>
      <c r="M668" s="45"/>
      <c r="N668" s="57"/>
      <c r="O668" s="47">
        <f t="shared" ref="O668:O673" si="378">SUM(I668)</f>
        <v>123</v>
      </c>
      <c r="P668" s="49"/>
      <c r="Q668" s="49"/>
      <c r="R668" s="77">
        <f t="shared" si="367"/>
        <v>88.0580824972129</v>
      </c>
      <c r="S668" s="77"/>
      <c r="T668" s="78">
        <f t="shared" si="368"/>
        <v>0.13082497212932</v>
      </c>
      <c r="U668" s="77"/>
      <c r="V668" s="77"/>
      <c r="W668" s="77">
        <f t="shared" si="365"/>
        <v>88.1889074693423</v>
      </c>
      <c r="X668" s="79">
        <f t="shared" si="369"/>
        <v>1.06991638795987</v>
      </c>
      <c r="Y668" s="79"/>
      <c r="Z668" s="79"/>
      <c r="AA668" s="79">
        <f t="shared" si="366"/>
        <v>1.06991638795987</v>
      </c>
      <c r="AB668" s="91">
        <v>7.27</v>
      </c>
      <c r="AC668" s="77">
        <f t="shared" si="364"/>
        <v>7.77829214046823</v>
      </c>
      <c r="AD668" s="77">
        <f t="shared" ref="AD668:AD699" si="379">SUM(W668+AC668)</f>
        <v>95.9671996098105</v>
      </c>
      <c r="AE668" s="77">
        <f t="shared" si="375"/>
        <v>27.0328003901895</v>
      </c>
    </row>
    <row r="669" customFormat="1" spans="1:31">
      <c r="A669" s="22"/>
      <c r="B669" s="23"/>
      <c r="C669" s="24">
        <v>241213000045</v>
      </c>
      <c r="D669" s="25">
        <v>45651</v>
      </c>
      <c r="E669" s="25" t="s">
        <v>61</v>
      </c>
      <c r="F669" s="23" t="s">
        <v>62</v>
      </c>
      <c r="G669" s="23" t="s">
        <v>367</v>
      </c>
      <c r="H669" s="23">
        <v>0.93</v>
      </c>
      <c r="I669" s="50"/>
      <c r="J669" s="51">
        <v>22419</v>
      </c>
      <c r="K669" s="45"/>
      <c r="L669" s="52">
        <f t="shared" si="376"/>
        <v>1665.60178306092</v>
      </c>
      <c r="M669" s="53">
        <v>13.46</v>
      </c>
      <c r="N669" s="57">
        <v>7.27</v>
      </c>
      <c r="O669" s="47">
        <f t="shared" si="377"/>
        <v>97.8542</v>
      </c>
      <c r="P669" s="49"/>
      <c r="Q669" s="49"/>
      <c r="R669" s="77">
        <f t="shared" si="367"/>
        <v>54.596011148272</v>
      </c>
      <c r="S669" s="77"/>
      <c r="T669" s="78">
        <f t="shared" si="368"/>
        <v>0.0811114827201784</v>
      </c>
      <c r="U669" s="77"/>
      <c r="V669" s="77"/>
      <c r="W669" s="77">
        <f t="shared" si="365"/>
        <v>54.6771226309922</v>
      </c>
      <c r="X669" s="79">
        <f t="shared" si="369"/>
        <v>0.663348160535117</v>
      </c>
      <c r="Y669" s="79"/>
      <c r="Z669" s="79"/>
      <c r="AA669" s="79">
        <f t="shared" si="366"/>
        <v>0.663348160535117</v>
      </c>
      <c r="AB669" s="91">
        <v>7.27</v>
      </c>
      <c r="AC669" s="77">
        <f t="shared" si="364"/>
        <v>4.8225411270903</v>
      </c>
      <c r="AD669" s="77">
        <f t="shared" si="379"/>
        <v>59.4996637580825</v>
      </c>
      <c r="AE669" s="77">
        <f t="shared" si="375"/>
        <v>38.3545362419175</v>
      </c>
    </row>
    <row r="670" customFormat="1" spans="1:31">
      <c r="A670" s="22"/>
      <c r="B670" s="23"/>
      <c r="C670" s="24">
        <v>241213000062</v>
      </c>
      <c r="D670" s="25">
        <v>45651</v>
      </c>
      <c r="E670" s="25" t="s">
        <v>37</v>
      </c>
      <c r="F670" s="23" t="s">
        <v>38</v>
      </c>
      <c r="G670" s="23" t="s">
        <v>454</v>
      </c>
      <c r="H670" s="23">
        <v>1</v>
      </c>
      <c r="I670" s="50"/>
      <c r="J670" s="51">
        <v>22442</v>
      </c>
      <c r="K670" s="45"/>
      <c r="L670" s="52">
        <f t="shared" si="376"/>
        <v>1667.31054977712</v>
      </c>
      <c r="M670" s="53">
        <v>13.46</v>
      </c>
      <c r="N670" s="57">
        <v>7.27</v>
      </c>
      <c r="O670" s="47">
        <f t="shared" si="377"/>
        <v>97.8542</v>
      </c>
      <c r="P670" s="49"/>
      <c r="Q670" s="49"/>
      <c r="R670" s="77">
        <f t="shared" si="367"/>
        <v>58.7053883314753</v>
      </c>
      <c r="S670" s="77"/>
      <c r="T670" s="78">
        <f t="shared" si="368"/>
        <v>0.0872166480862133</v>
      </c>
      <c r="U670" s="77"/>
      <c r="V670" s="77"/>
      <c r="W670" s="77">
        <f t="shared" si="365"/>
        <v>58.7926049795615</v>
      </c>
      <c r="X670" s="79">
        <f t="shared" si="369"/>
        <v>0.713277591973244</v>
      </c>
      <c r="Y670" s="79"/>
      <c r="Z670" s="79"/>
      <c r="AA670" s="79">
        <f t="shared" si="366"/>
        <v>0.713277591973244</v>
      </c>
      <c r="AB670" s="91">
        <v>7.27</v>
      </c>
      <c r="AC670" s="77">
        <f t="shared" ref="AC670:AC701" si="380">SUM(AA670*AB670)</f>
        <v>5.18552809364548</v>
      </c>
      <c r="AD670" s="77">
        <f t="shared" si="379"/>
        <v>63.978133073207</v>
      </c>
      <c r="AE670" s="77">
        <f t="shared" si="375"/>
        <v>33.876066926793</v>
      </c>
    </row>
    <row r="671" customFormat="1" spans="1:31">
      <c r="A671" s="22"/>
      <c r="B671" s="23"/>
      <c r="C671" s="24">
        <v>241213000063</v>
      </c>
      <c r="D671" s="25">
        <v>45651</v>
      </c>
      <c r="E671" s="25" t="s">
        <v>61</v>
      </c>
      <c r="F671" s="23" t="s">
        <v>62</v>
      </c>
      <c r="G671" s="23" t="s">
        <v>455</v>
      </c>
      <c r="H671" s="23">
        <v>3</v>
      </c>
      <c r="I671" s="54">
        <v>398</v>
      </c>
      <c r="J671" s="44"/>
      <c r="K671" s="45"/>
      <c r="L671" s="23"/>
      <c r="M671" s="45"/>
      <c r="N671" s="57"/>
      <c r="O671" s="47">
        <f>SUBTOTAL(9,I671)</f>
        <v>398</v>
      </c>
      <c r="P671" s="49"/>
      <c r="Q671" s="49"/>
      <c r="R671" s="77">
        <f t="shared" si="367"/>
        <v>176.116164994426</v>
      </c>
      <c r="S671" s="77"/>
      <c r="T671" s="78">
        <f t="shared" si="368"/>
        <v>0.26164994425864</v>
      </c>
      <c r="U671" s="77"/>
      <c r="V671" s="77"/>
      <c r="W671" s="77">
        <f t="shared" si="365"/>
        <v>176.377814938685</v>
      </c>
      <c r="X671" s="79">
        <f t="shared" si="369"/>
        <v>2.13983277591973</v>
      </c>
      <c r="Y671" s="79"/>
      <c r="Z671" s="79"/>
      <c r="AA671" s="79">
        <f t="shared" si="366"/>
        <v>2.13983277591973</v>
      </c>
      <c r="AB671" s="91">
        <v>7.27</v>
      </c>
      <c r="AC671" s="77">
        <f t="shared" si="380"/>
        <v>15.5565842809365</v>
      </c>
      <c r="AD671" s="77">
        <f t="shared" si="379"/>
        <v>191.934399219621</v>
      </c>
      <c r="AE671" s="77">
        <f t="shared" si="375"/>
        <v>206.065600780379</v>
      </c>
    </row>
    <row r="672" customFormat="1" spans="1:31">
      <c r="A672" s="22"/>
      <c r="B672" s="23"/>
      <c r="C672" s="24">
        <v>241214000001</v>
      </c>
      <c r="D672" s="25">
        <v>45651</v>
      </c>
      <c r="E672" s="25" t="s">
        <v>84</v>
      </c>
      <c r="F672" s="23" t="s">
        <v>85</v>
      </c>
      <c r="G672" s="23" t="s">
        <v>456</v>
      </c>
      <c r="H672" s="23">
        <v>20.5</v>
      </c>
      <c r="I672" s="43">
        <v>1707.5</v>
      </c>
      <c r="J672" s="44"/>
      <c r="K672" s="45"/>
      <c r="L672" s="23"/>
      <c r="M672" s="45"/>
      <c r="N672" s="57"/>
      <c r="O672" s="47">
        <f t="shared" si="378"/>
        <v>1707.5</v>
      </c>
      <c r="P672" s="49"/>
      <c r="Q672" s="49"/>
      <c r="R672" s="77">
        <f t="shared" si="367"/>
        <v>1203.46046079524</v>
      </c>
      <c r="S672" s="77"/>
      <c r="T672" s="78">
        <f t="shared" si="368"/>
        <v>1.78794128576737</v>
      </c>
      <c r="U672" s="77"/>
      <c r="V672" s="77"/>
      <c r="W672" s="77">
        <f t="shared" ref="W672:W716" si="381">SUM(R672:V672)</f>
        <v>1205.24840208101</v>
      </c>
      <c r="X672" s="79">
        <f t="shared" si="369"/>
        <v>14.6221906354515</v>
      </c>
      <c r="Y672" s="79"/>
      <c r="Z672" s="79"/>
      <c r="AA672" s="79">
        <f t="shared" ref="AA672:AA717" si="382">SUM(X672:Z672)</f>
        <v>14.6221906354515</v>
      </c>
      <c r="AB672" s="91">
        <v>7.27</v>
      </c>
      <c r="AC672" s="77">
        <f t="shared" si="380"/>
        <v>106.303325919732</v>
      </c>
      <c r="AD672" s="77">
        <f t="shared" si="379"/>
        <v>1311.55172800074</v>
      </c>
      <c r="AE672" s="77">
        <f t="shared" si="375"/>
        <v>395.948271999257</v>
      </c>
    </row>
    <row r="673" customFormat="1" spans="1:31">
      <c r="A673" s="22"/>
      <c r="B673" s="23"/>
      <c r="C673" s="24">
        <v>241214000002</v>
      </c>
      <c r="D673" s="25">
        <v>45651</v>
      </c>
      <c r="E673" s="25" t="s">
        <v>84</v>
      </c>
      <c r="F673" s="23" t="s">
        <v>85</v>
      </c>
      <c r="G673" s="23" t="s">
        <v>456</v>
      </c>
      <c r="H673" s="23">
        <v>4.5</v>
      </c>
      <c r="I673" s="43">
        <v>454.85</v>
      </c>
      <c r="J673" s="44"/>
      <c r="K673" s="45"/>
      <c r="L673" s="23"/>
      <c r="M673" s="45"/>
      <c r="N673" s="57"/>
      <c r="O673" s="47">
        <f t="shared" si="378"/>
        <v>454.85</v>
      </c>
      <c r="P673" s="49"/>
      <c r="Q673" s="49"/>
      <c r="R673" s="77">
        <f t="shared" si="367"/>
        <v>264.174247491639</v>
      </c>
      <c r="S673" s="77"/>
      <c r="T673" s="78">
        <f t="shared" si="368"/>
        <v>0.39247491638796</v>
      </c>
      <c r="U673" s="77"/>
      <c r="V673" s="77">
        <v>22</v>
      </c>
      <c r="W673" s="77">
        <f t="shared" si="381"/>
        <v>286.566722408027</v>
      </c>
      <c r="X673" s="79">
        <f t="shared" si="369"/>
        <v>3.2097491638796</v>
      </c>
      <c r="Y673" s="79"/>
      <c r="Z673" s="79"/>
      <c r="AA673" s="79">
        <f t="shared" si="382"/>
        <v>3.2097491638796</v>
      </c>
      <c r="AB673" s="91">
        <v>7.27</v>
      </c>
      <c r="AC673" s="77">
        <f t="shared" si="380"/>
        <v>23.3348764214047</v>
      </c>
      <c r="AD673" s="77">
        <f t="shared" si="379"/>
        <v>309.901598829431</v>
      </c>
      <c r="AE673" s="77">
        <f t="shared" si="375"/>
        <v>144.948401170569</v>
      </c>
    </row>
    <row r="674" customFormat="1" spans="1:31">
      <c r="A674" s="22"/>
      <c r="B674" s="23"/>
      <c r="C674" s="92">
        <v>241214000005</v>
      </c>
      <c r="D674" s="94">
        <v>45651</v>
      </c>
      <c r="E674" s="25" t="s">
        <v>54</v>
      </c>
      <c r="F674" s="95" t="s">
        <v>55</v>
      </c>
      <c r="G674" s="95" t="s">
        <v>397</v>
      </c>
      <c r="H674" s="95">
        <v>12</v>
      </c>
      <c r="I674" s="50"/>
      <c r="J674" s="52">
        <v>269494.5</v>
      </c>
      <c r="K674" s="97"/>
      <c r="L674" s="52">
        <f>SUM(J674/M674)</f>
        <v>1650.00010102248</v>
      </c>
      <c r="M674" s="98">
        <v>163.32999</v>
      </c>
      <c r="N674" s="57">
        <v>7.27</v>
      </c>
      <c r="O674" s="47">
        <f>SUM(M674*N674)</f>
        <v>1187.4090273</v>
      </c>
      <c r="P674" s="49"/>
      <c r="Q674" s="49"/>
      <c r="R674" s="77">
        <f t="shared" ref="R674:R718" si="383">SUM(157976.2/2691)*H674</f>
        <v>704.464659977703</v>
      </c>
      <c r="S674" s="77"/>
      <c r="T674" s="78">
        <f t="shared" ref="T674:T718" si="384">SUM(234.7/2691)*H674</f>
        <v>1.04659977703456</v>
      </c>
      <c r="U674" s="77"/>
      <c r="V674" s="77"/>
      <c r="W674" s="77">
        <f t="shared" si="381"/>
        <v>705.511259754738</v>
      </c>
      <c r="X674" s="79">
        <f t="shared" ref="X674:X718" si="385">SUM(1919.43/2691)*H674</f>
        <v>8.55933110367893</v>
      </c>
      <c r="Y674" s="79"/>
      <c r="Z674" s="79"/>
      <c r="AA674" s="79">
        <f t="shared" si="382"/>
        <v>8.55933110367893</v>
      </c>
      <c r="AB674" s="91">
        <v>7.27</v>
      </c>
      <c r="AC674" s="77">
        <f t="shared" si="380"/>
        <v>62.2263371237458</v>
      </c>
      <c r="AD674" s="77">
        <f t="shared" si="379"/>
        <v>767.737596878484</v>
      </c>
      <c r="AE674" s="77">
        <f t="shared" si="375"/>
        <v>419.671430421516</v>
      </c>
    </row>
    <row r="675" customFormat="1" spans="1:31">
      <c r="A675" s="22"/>
      <c r="B675" s="23"/>
      <c r="C675" s="24">
        <v>241214000006</v>
      </c>
      <c r="D675" s="25">
        <v>45651</v>
      </c>
      <c r="E675" s="25" t="s">
        <v>54</v>
      </c>
      <c r="F675" s="23" t="s">
        <v>55</v>
      </c>
      <c r="G675" s="23" t="s">
        <v>79</v>
      </c>
      <c r="H675" s="23">
        <v>2.5</v>
      </c>
      <c r="I675" s="43">
        <v>219</v>
      </c>
      <c r="J675" s="44"/>
      <c r="K675" s="45"/>
      <c r="L675" s="23"/>
      <c r="M675" s="45"/>
      <c r="N675" s="57"/>
      <c r="O675" s="47">
        <f t="shared" ref="O675:O678" si="386">SUM(I675)</f>
        <v>219</v>
      </c>
      <c r="P675" s="49"/>
      <c r="Q675" s="49"/>
      <c r="R675" s="77">
        <f t="shared" si="383"/>
        <v>146.763470828688</v>
      </c>
      <c r="S675" s="77"/>
      <c r="T675" s="78">
        <f t="shared" si="384"/>
        <v>0.218041620215533</v>
      </c>
      <c r="U675" s="77"/>
      <c r="V675" s="77"/>
      <c r="W675" s="77">
        <f t="shared" si="381"/>
        <v>146.981512448904</v>
      </c>
      <c r="X675" s="79">
        <f t="shared" si="385"/>
        <v>1.78319397993311</v>
      </c>
      <c r="Y675" s="79"/>
      <c r="Z675" s="79"/>
      <c r="AA675" s="79">
        <f t="shared" si="382"/>
        <v>1.78319397993311</v>
      </c>
      <c r="AB675" s="91">
        <v>7.27</v>
      </c>
      <c r="AC675" s="77">
        <f t="shared" si="380"/>
        <v>12.9638202341137</v>
      </c>
      <c r="AD675" s="77">
        <f t="shared" si="379"/>
        <v>159.945332683017</v>
      </c>
      <c r="AE675" s="77">
        <f t="shared" si="375"/>
        <v>59.0546673169825</v>
      </c>
    </row>
    <row r="676" customFormat="1" spans="1:31">
      <c r="A676" s="22"/>
      <c r="B676" s="23"/>
      <c r="C676" s="24">
        <v>241214000012</v>
      </c>
      <c r="D676" s="25">
        <v>45651</v>
      </c>
      <c r="E676" s="25" t="s">
        <v>54</v>
      </c>
      <c r="F676" s="23" t="s">
        <v>55</v>
      </c>
      <c r="G676" s="23" t="s">
        <v>87</v>
      </c>
      <c r="H676" s="23">
        <v>0.96</v>
      </c>
      <c r="I676" s="43">
        <v>97</v>
      </c>
      <c r="J676" s="44"/>
      <c r="K676" s="45"/>
      <c r="L676" s="23"/>
      <c r="M676" s="45"/>
      <c r="N676" s="57"/>
      <c r="O676" s="47">
        <f t="shared" si="386"/>
        <v>97</v>
      </c>
      <c r="P676" s="49"/>
      <c r="Q676" s="49"/>
      <c r="R676" s="77">
        <f t="shared" si="383"/>
        <v>56.3571727982163</v>
      </c>
      <c r="S676" s="77"/>
      <c r="T676" s="78">
        <f t="shared" si="384"/>
        <v>0.0837279821627648</v>
      </c>
      <c r="U676" s="77"/>
      <c r="V676" s="77"/>
      <c r="W676" s="77">
        <f t="shared" si="381"/>
        <v>56.440900780379</v>
      </c>
      <c r="X676" s="79">
        <f t="shared" si="385"/>
        <v>0.684746488294314</v>
      </c>
      <c r="Y676" s="79"/>
      <c r="Z676" s="79"/>
      <c r="AA676" s="79">
        <f t="shared" si="382"/>
        <v>0.684746488294314</v>
      </c>
      <c r="AB676" s="91">
        <v>7.27</v>
      </c>
      <c r="AC676" s="77">
        <f t="shared" si="380"/>
        <v>4.97810696989966</v>
      </c>
      <c r="AD676" s="77">
        <f t="shared" si="379"/>
        <v>61.4190077502787</v>
      </c>
      <c r="AE676" s="77">
        <f t="shared" si="375"/>
        <v>35.5809922497213</v>
      </c>
    </row>
    <row r="677" customFormat="1" spans="1:31">
      <c r="A677" s="22"/>
      <c r="B677" s="23"/>
      <c r="C677" s="24">
        <v>241214000013</v>
      </c>
      <c r="D677" s="25">
        <v>45651</v>
      </c>
      <c r="E677" s="25" t="s">
        <v>44</v>
      </c>
      <c r="F677" s="23" t="s">
        <v>45</v>
      </c>
      <c r="G677" s="23" t="s">
        <v>306</v>
      </c>
      <c r="H677" s="23">
        <v>0.86</v>
      </c>
      <c r="I677" s="43">
        <v>95</v>
      </c>
      <c r="J677" s="44"/>
      <c r="K677" s="45"/>
      <c r="L677" s="23"/>
      <c r="M677" s="45"/>
      <c r="N677" s="57"/>
      <c r="O677" s="47">
        <f t="shared" si="386"/>
        <v>95</v>
      </c>
      <c r="P677" s="49"/>
      <c r="Q677" s="49"/>
      <c r="R677" s="77">
        <f t="shared" si="383"/>
        <v>50.4866339650687</v>
      </c>
      <c r="S677" s="77"/>
      <c r="T677" s="78">
        <f t="shared" si="384"/>
        <v>0.0750063173541434</v>
      </c>
      <c r="U677" s="77"/>
      <c r="V677" s="77"/>
      <c r="W677" s="77">
        <f t="shared" si="381"/>
        <v>50.5616402824229</v>
      </c>
      <c r="X677" s="79">
        <f t="shared" si="385"/>
        <v>0.61341872909699</v>
      </c>
      <c r="Y677" s="79"/>
      <c r="Z677" s="79"/>
      <c r="AA677" s="79">
        <f t="shared" si="382"/>
        <v>0.61341872909699</v>
      </c>
      <c r="AB677" s="91">
        <v>7.27</v>
      </c>
      <c r="AC677" s="77">
        <f t="shared" si="380"/>
        <v>4.45955416053512</v>
      </c>
      <c r="AD677" s="77">
        <f t="shared" si="379"/>
        <v>55.021194442958</v>
      </c>
      <c r="AE677" s="77">
        <f t="shared" si="375"/>
        <v>39.978805557042</v>
      </c>
    </row>
    <row r="678" customFormat="1" spans="1:31">
      <c r="A678" s="22"/>
      <c r="B678" s="23"/>
      <c r="C678" s="24">
        <v>241214000021</v>
      </c>
      <c r="D678" s="25">
        <v>45651</v>
      </c>
      <c r="E678" s="25" t="s">
        <v>44</v>
      </c>
      <c r="F678" s="23" t="s">
        <v>45</v>
      </c>
      <c r="G678" s="23" t="s">
        <v>457</v>
      </c>
      <c r="H678" s="23">
        <v>4</v>
      </c>
      <c r="I678" s="43">
        <v>355.3</v>
      </c>
      <c r="J678" s="44"/>
      <c r="K678" s="45"/>
      <c r="L678" s="23"/>
      <c r="M678" s="45"/>
      <c r="N678" s="57"/>
      <c r="O678" s="47">
        <f t="shared" si="386"/>
        <v>355.3</v>
      </c>
      <c r="P678" s="49"/>
      <c r="Q678" s="49"/>
      <c r="R678" s="77">
        <f t="shared" si="383"/>
        <v>234.821553325901</v>
      </c>
      <c r="S678" s="77"/>
      <c r="T678" s="78">
        <f t="shared" si="384"/>
        <v>0.348866592344853</v>
      </c>
      <c r="U678" s="77"/>
      <c r="V678" s="77"/>
      <c r="W678" s="77">
        <f t="shared" si="381"/>
        <v>235.170419918246</v>
      </c>
      <c r="X678" s="79">
        <f t="shared" si="385"/>
        <v>2.85311036789298</v>
      </c>
      <c r="Y678" s="79"/>
      <c r="Z678" s="79"/>
      <c r="AA678" s="79">
        <f t="shared" si="382"/>
        <v>2.85311036789298</v>
      </c>
      <c r="AB678" s="91">
        <v>7.27</v>
      </c>
      <c r="AC678" s="77">
        <f t="shared" si="380"/>
        <v>20.7421123745819</v>
      </c>
      <c r="AD678" s="77">
        <f t="shared" si="379"/>
        <v>255.912532292828</v>
      </c>
      <c r="AE678" s="77">
        <f t="shared" si="375"/>
        <v>99.387467707172</v>
      </c>
    </row>
    <row r="679" customFormat="1" spans="1:31">
      <c r="A679" s="22"/>
      <c r="B679" s="23"/>
      <c r="C679" s="24">
        <v>241216000001</v>
      </c>
      <c r="D679" s="25">
        <v>45651</v>
      </c>
      <c r="E679" s="25" t="s">
        <v>37</v>
      </c>
      <c r="F679" s="23" t="s">
        <v>38</v>
      </c>
      <c r="G679" s="23" t="s">
        <v>409</v>
      </c>
      <c r="H679" s="23">
        <v>5.5</v>
      </c>
      <c r="I679" s="50"/>
      <c r="J679" s="128" t="s">
        <v>458</v>
      </c>
      <c r="K679" s="45"/>
      <c r="L679" s="52">
        <f>SUM(J679/M679)</f>
        <v>1664.88767869299</v>
      </c>
      <c r="M679" s="53">
        <v>73.45</v>
      </c>
      <c r="N679" s="57">
        <v>7.27</v>
      </c>
      <c r="O679" s="47">
        <f>SUM(M679*N679)</f>
        <v>533.9815</v>
      </c>
      <c r="P679" s="49"/>
      <c r="Q679" s="49"/>
      <c r="R679" s="77">
        <f t="shared" si="383"/>
        <v>322.879635823114</v>
      </c>
      <c r="S679" s="77"/>
      <c r="T679" s="78">
        <f t="shared" si="384"/>
        <v>0.479691564474173</v>
      </c>
      <c r="U679" s="77"/>
      <c r="V679" s="77"/>
      <c r="W679" s="77">
        <f t="shared" si="381"/>
        <v>323.359327387588</v>
      </c>
      <c r="X679" s="79">
        <f t="shared" si="385"/>
        <v>3.92302675585284</v>
      </c>
      <c r="Y679" s="79"/>
      <c r="Z679" s="79"/>
      <c r="AA679" s="79">
        <f t="shared" si="382"/>
        <v>3.92302675585284</v>
      </c>
      <c r="AB679" s="91">
        <v>7.27</v>
      </c>
      <c r="AC679" s="77">
        <f t="shared" si="380"/>
        <v>28.5204045150502</v>
      </c>
      <c r="AD679" s="77">
        <f t="shared" si="379"/>
        <v>351.879731902638</v>
      </c>
      <c r="AE679" s="77">
        <f t="shared" si="375"/>
        <v>182.101768097362</v>
      </c>
    </row>
    <row r="680" customFormat="1" spans="1:31">
      <c r="A680" s="22"/>
      <c r="B680" s="23"/>
      <c r="C680" s="24">
        <v>241216000008</v>
      </c>
      <c r="D680" s="25">
        <v>45651</v>
      </c>
      <c r="E680" s="25" t="s">
        <v>54</v>
      </c>
      <c r="F680" s="23" t="s">
        <v>55</v>
      </c>
      <c r="G680" s="23" t="s">
        <v>118</v>
      </c>
      <c r="H680" s="23">
        <v>21.5</v>
      </c>
      <c r="I680" s="47"/>
      <c r="J680" s="51">
        <v>421624.5</v>
      </c>
      <c r="K680" s="45"/>
      <c r="L680" s="52">
        <f>SUM(J680/M680)</f>
        <v>1650</v>
      </c>
      <c r="M680" s="53">
        <v>255.53</v>
      </c>
      <c r="N680" s="57">
        <v>7.27</v>
      </c>
      <c r="O680" s="47">
        <f>SUM(M680*N680)</f>
        <v>1857.7031</v>
      </c>
      <c r="P680" s="49"/>
      <c r="Q680" s="49"/>
      <c r="R680" s="77">
        <f t="shared" si="383"/>
        <v>1262.16584912672</v>
      </c>
      <c r="S680" s="77"/>
      <c r="T680" s="78">
        <f t="shared" si="384"/>
        <v>1.87515793385359</v>
      </c>
      <c r="U680" s="78">
        <v>60</v>
      </c>
      <c r="V680" s="77"/>
      <c r="W680" s="77">
        <f t="shared" si="381"/>
        <v>1324.04100706057</v>
      </c>
      <c r="X680" s="79">
        <f t="shared" si="385"/>
        <v>15.3354682274247</v>
      </c>
      <c r="Y680" s="79"/>
      <c r="Z680" s="79"/>
      <c r="AA680" s="79">
        <f t="shared" si="382"/>
        <v>15.3354682274247</v>
      </c>
      <c r="AB680" s="91">
        <v>7.27</v>
      </c>
      <c r="AC680" s="77">
        <f t="shared" si="380"/>
        <v>111.488854013378</v>
      </c>
      <c r="AD680" s="77">
        <f t="shared" si="379"/>
        <v>1435.52986107395</v>
      </c>
      <c r="AE680" s="77">
        <f t="shared" si="375"/>
        <v>422.17323892605</v>
      </c>
    </row>
    <row r="681" customFormat="1" spans="1:31">
      <c r="A681" s="22"/>
      <c r="B681" s="23"/>
      <c r="C681" s="24">
        <v>241216000010</v>
      </c>
      <c r="D681" s="25">
        <v>45651</v>
      </c>
      <c r="E681" s="25" t="s">
        <v>54</v>
      </c>
      <c r="F681" s="23" t="s">
        <v>55</v>
      </c>
      <c r="G681" s="23" t="s">
        <v>124</v>
      </c>
      <c r="H681" s="23">
        <v>8</v>
      </c>
      <c r="I681" s="43">
        <v>684.2</v>
      </c>
      <c r="J681" s="44"/>
      <c r="K681" s="45"/>
      <c r="L681" s="23"/>
      <c r="M681" s="45"/>
      <c r="N681" s="57"/>
      <c r="O681" s="47">
        <f t="shared" ref="O681:O686" si="387">SUM(I681)</f>
        <v>684.2</v>
      </c>
      <c r="P681" s="49"/>
      <c r="Q681" s="49"/>
      <c r="R681" s="77">
        <f t="shared" si="383"/>
        <v>469.643106651802</v>
      </c>
      <c r="S681" s="77"/>
      <c r="T681" s="78">
        <f t="shared" si="384"/>
        <v>0.697733184689706</v>
      </c>
      <c r="U681" s="77"/>
      <c r="V681" s="77"/>
      <c r="W681" s="77">
        <f t="shared" si="381"/>
        <v>470.340839836492</v>
      </c>
      <c r="X681" s="79">
        <f t="shared" si="385"/>
        <v>5.70622073578595</v>
      </c>
      <c r="Y681" s="79"/>
      <c r="Z681" s="79"/>
      <c r="AA681" s="79">
        <f t="shared" si="382"/>
        <v>5.70622073578595</v>
      </c>
      <c r="AB681" s="91">
        <v>7.27</v>
      </c>
      <c r="AC681" s="77">
        <f t="shared" si="380"/>
        <v>41.4842247491639</v>
      </c>
      <c r="AD681" s="77">
        <f t="shared" si="379"/>
        <v>511.825064585656</v>
      </c>
      <c r="AE681" s="77">
        <f t="shared" si="375"/>
        <v>172.374935414344</v>
      </c>
    </row>
    <row r="682" customFormat="1" spans="1:31">
      <c r="A682" s="22"/>
      <c r="B682" s="23"/>
      <c r="C682" s="24">
        <v>241216000013</v>
      </c>
      <c r="D682" s="25">
        <v>45651</v>
      </c>
      <c r="E682" s="25" t="s">
        <v>54</v>
      </c>
      <c r="F682" s="23" t="s">
        <v>55</v>
      </c>
      <c r="G682" s="23" t="s">
        <v>416</v>
      </c>
      <c r="H682" s="23">
        <v>10.5</v>
      </c>
      <c r="I682" s="43">
        <v>895.95</v>
      </c>
      <c r="J682" s="44"/>
      <c r="K682" s="45"/>
      <c r="L682" s="23"/>
      <c r="M682" s="45"/>
      <c r="N682" s="57"/>
      <c r="O682" s="47">
        <f t="shared" si="387"/>
        <v>895.95</v>
      </c>
      <c r="P682" s="49"/>
      <c r="Q682" s="49"/>
      <c r="R682" s="77">
        <f t="shared" si="383"/>
        <v>616.406577480491</v>
      </c>
      <c r="S682" s="77"/>
      <c r="T682" s="78">
        <f t="shared" si="384"/>
        <v>0.91577480490524</v>
      </c>
      <c r="U682" s="77"/>
      <c r="V682" s="77"/>
      <c r="W682" s="77">
        <f t="shared" si="381"/>
        <v>617.322352285396</v>
      </c>
      <c r="X682" s="79">
        <f t="shared" si="385"/>
        <v>7.48941471571906</v>
      </c>
      <c r="Y682" s="79"/>
      <c r="Z682" s="79"/>
      <c r="AA682" s="79">
        <f t="shared" si="382"/>
        <v>7.48941471571906</v>
      </c>
      <c r="AB682" s="91">
        <v>7.27</v>
      </c>
      <c r="AC682" s="77">
        <f t="shared" si="380"/>
        <v>54.4480449832776</v>
      </c>
      <c r="AD682" s="77">
        <f t="shared" si="379"/>
        <v>671.770397268673</v>
      </c>
      <c r="AE682" s="77">
        <f t="shared" si="375"/>
        <v>224.179602731327</v>
      </c>
    </row>
    <row r="683" customFormat="1" spans="1:31">
      <c r="A683" s="22"/>
      <c r="B683" s="23"/>
      <c r="C683" s="24">
        <v>241216000015</v>
      </c>
      <c r="D683" s="25">
        <v>45651</v>
      </c>
      <c r="E683" s="25" t="s">
        <v>54</v>
      </c>
      <c r="F683" s="23" t="s">
        <v>55</v>
      </c>
      <c r="G683" s="23" t="s">
        <v>459</v>
      </c>
      <c r="H683" s="23">
        <v>6.5</v>
      </c>
      <c r="I683" s="43">
        <v>726.55</v>
      </c>
      <c r="J683" s="44"/>
      <c r="K683" s="45"/>
      <c r="L683" s="23"/>
      <c r="M683" s="45"/>
      <c r="N683" s="57"/>
      <c r="O683" s="47">
        <f t="shared" si="387"/>
        <v>726.55</v>
      </c>
      <c r="P683" s="49"/>
      <c r="Q683" s="49"/>
      <c r="R683" s="77">
        <f t="shared" si="383"/>
        <v>381.585024154589</v>
      </c>
      <c r="S683" s="77"/>
      <c r="T683" s="78">
        <f t="shared" si="384"/>
        <v>0.566908212560386</v>
      </c>
      <c r="U683" s="77"/>
      <c r="V683" s="77"/>
      <c r="W683" s="77">
        <f t="shared" si="381"/>
        <v>382.15193236715</v>
      </c>
      <c r="X683" s="79">
        <f t="shared" si="385"/>
        <v>4.63630434782609</v>
      </c>
      <c r="Y683" s="79"/>
      <c r="Z683" s="79"/>
      <c r="AA683" s="79">
        <f t="shared" si="382"/>
        <v>4.63630434782609</v>
      </c>
      <c r="AB683" s="91">
        <v>7.27</v>
      </c>
      <c r="AC683" s="77">
        <f t="shared" si="380"/>
        <v>33.7059326086956</v>
      </c>
      <c r="AD683" s="77">
        <f t="shared" si="379"/>
        <v>415.857864975845</v>
      </c>
      <c r="AE683" s="77">
        <f t="shared" si="375"/>
        <v>310.692135024154</v>
      </c>
    </row>
    <row r="684" customFormat="1" spans="1:31">
      <c r="A684" s="22"/>
      <c r="B684" s="23"/>
      <c r="C684" s="24">
        <v>241216000022</v>
      </c>
      <c r="D684" s="25">
        <v>45651</v>
      </c>
      <c r="E684" s="25" t="s">
        <v>61</v>
      </c>
      <c r="F684" s="23" t="s">
        <v>62</v>
      </c>
      <c r="G684" s="23" t="s">
        <v>460</v>
      </c>
      <c r="H684" s="23">
        <v>0.72</v>
      </c>
      <c r="I684" s="43">
        <v>132.8</v>
      </c>
      <c r="J684" s="44"/>
      <c r="K684" s="45"/>
      <c r="L684" s="23"/>
      <c r="M684" s="45"/>
      <c r="N684" s="57"/>
      <c r="O684" s="47">
        <f t="shared" si="387"/>
        <v>132.8</v>
      </c>
      <c r="P684" s="49"/>
      <c r="Q684" s="49"/>
      <c r="R684" s="77">
        <f t="shared" si="383"/>
        <v>42.2678795986622</v>
      </c>
      <c r="S684" s="77"/>
      <c r="T684" s="78">
        <f t="shared" si="384"/>
        <v>0.0627959866220736</v>
      </c>
      <c r="U684" s="77"/>
      <c r="V684" s="77"/>
      <c r="W684" s="77">
        <f t="shared" si="381"/>
        <v>42.3306755852843</v>
      </c>
      <c r="X684" s="79">
        <f t="shared" si="385"/>
        <v>0.513559866220736</v>
      </c>
      <c r="Y684" s="79"/>
      <c r="Z684" s="79"/>
      <c r="AA684" s="79">
        <f t="shared" si="382"/>
        <v>0.513559866220736</v>
      </c>
      <c r="AB684" s="91">
        <v>7.27</v>
      </c>
      <c r="AC684" s="77">
        <f t="shared" si="380"/>
        <v>3.73358022742475</v>
      </c>
      <c r="AD684" s="77">
        <f t="shared" si="379"/>
        <v>46.064255812709</v>
      </c>
      <c r="AE684" s="77">
        <f t="shared" si="375"/>
        <v>86.735744187291</v>
      </c>
    </row>
    <row r="685" customFormat="1" spans="1:31">
      <c r="A685" s="22"/>
      <c r="B685" s="23"/>
      <c r="C685" s="24">
        <v>241216000028</v>
      </c>
      <c r="D685" s="25">
        <v>45651</v>
      </c>
      <c r="E685" s="25" t="s">
        <v>44</v>
      </c>
      <c r="F685" s="23" t="s">
        <v>45</v>
      </c>
      <c r="G685" s="23" t="s">
        <v>461</v>
      </c>
      <c r="H685" s="23">
        <v>6</v>
      </c>
      <c r="I685" s="43">
        <v>510</v>
      </c>
      <c r="J685" s="44"/>
      <c r="K685" s="45"/>
      <c r="L685" s="23"/>
      <c r="M685" s="45"/>
      <c r="N685" s="57"/>
      <c r="O685" s="47">
        <f t="shared" si="387"/>
        <v>510</v>
      </c>
      <c r="P685" s="49"/>
      <c r="Q685" s="49"/>
      <c r="R685" s="77">
        <f t="shared" si="383"/>
        <v>352.232329988852</v>
      </c>
      <c r="S685" s="77"/>
      <c r="T685" s="78">
        <f t="shared" si="384"/>
        <v>0.52329988851728</v>
      </c>
      <c r="U685" s="77"/>
      <c r="V685" s="77"/>
      <c r="W685" s="77">
        <f t="shared" si="381"/>
        <v>352.755629877369</v>
      </c>
      <c r="X685" s="79">
        <f t="shared" si="385"/>
        <v>4.27966555183946</v>
      </c>
      <c r="Y685" s="79"/>
      <c r="Z685" s="79"/>
      <c r="AA685" s="79">
        <f t="shared" si="382"/>
        <v>4.27966555183946</v>
      </c>
      <c r="AB685" s="91">
        <v>7.27</v>
      </c>
      <c r="AC685" s="77">
        <f t="shared" si="380"/>
        <v>31.1131685618729</v>
      </c>
      <c r="AD685" s="77">
        <f t="shared" si="379"/>
        <v>383.868798439242</v>
      </c>
      <c r="AE685" s="77">
        <f t="shared" si="375"/>
        <v>126.131201560758</v>
      </c>
    </row>
    <row r="686" customFormat="1" spans="1:31">
      <c r="A686" s="22"/>
      <c r="B686" s="23"/>
      <c r="C686" s="24">
        <v>241216000037</v>
      </c>
      <c r="D686" s="25">
        <v>45651</v>
      </c>
      <c r="E686" s="25" t="s">
        <v>44</v>
      </c>
      <c r="F686" s="23" t="s">
        <v>45</v>
      </c>
      <c r="G686" s="23" t="s">
        <v>448</v>
      </c>
      <c r="H686" s="23">
        <v>1.5</v>
      </c>
      <c r="I686" s="43">
        <v>97.5</v>
      </c>
      <c r="J686" s="44"/>
      <c r="K686" s="45"/>
      <c r="L686" s="23"/>
      <c r="M686" s="45"/>
      <c r="N686" s="57"/>
      <c r="O686" s="47">
        <f t="shared" si="387"/>
        <v>97.5</v>
      </c>
      <c r="P686" s="49"/>
      <c r="Q686" s="49"/>
      <c r="R686" s="77">
        <f t="shared" si="383"/>
        <v>88.0580824972129</v>
      </c>
      <c r="S686" s="77"/>
      <c r="T686" s="78">
        <f t="shared" si="384"/>
        <v>0.13082497212932</v>
      </c>
      <c r="U686" s="77"/>
      <c r="V686" s="77"/>
      <c r="W686" s="77">
        <f t="shared" si="381"/>
        <v>88.1889074693423</v>
      </c>
      <c r="X686" s="79">
        <f t="shared" si="385"/>
        <v>1.06991638795987</v>
      </c>
      <c r="Y686" s="79"/>
      <c r="Z686" s="79"/>
      <c r="AA686" s="79">
        <f t="shared" si="382"/>
        <v>1.06991638795987</v>
      </c>
      <c r="AB686" s="91">
        <v>7.27</v>
      </c>
      <c r="AC686" s="77">
        <f t="shared" si="380"/>
        <v>7.77829214046823</v>
      </c>
      <c r="AD686" s="77">
        <f t="shared" si="379"/>
        <v>95.9671996098105</v>
      </c>
      <c r="AE686" s="77">
        <f t="shared" si="375"/>
        <v>1.53280039018952</v>
      </c>
    </row>
    <row r="687" customFormat="1" spans="1:31">
      <c r="A687" s="22"/>
      <c r="B687" s="23"/>
      <c r="C687" s="24">
        <v>241216000041</v>
      </c>
      <c r="D687" s="25">
        <v>45651</v>
      </c>
      <c r="E687" s="25" t="s">
        <v>44</v>
      </c>
      <c r="F687" s="23" t="s">
        <v>45</v>
      </c>
      <c r="G687" s="23" t="s">
        <v>274</v>
      </c>
      <c r="H687" s="23">
        <v>2.5</v>
      </c>
      <c r="I687" s="50"/>
      <c r="J687" s="51">
        <v>50380</v>
      </c>
      <c r="K687" s="45"/>
      <c r="L687" s="52">
        <f>SUM(J687/M687)</f>
        <v>1664.90416391276</v>
      </c>
      <c r="M687" s="53">
        <v>30.26</v>
      </c>
      <c r="N687" s="57">
        <v>7.27</v>
      </c>
      <c r="O687" s="47">
        <f>SUM(M687*N687)</f>
        <v>219.9902</v>
      </c>
      <c r="P687" s="49"/>
      <c r="Q687" s="49"/>
      <c r="R687" s="77">
        <f t="shared" si="383"/>
        <v>146.763470828688</v>
      </c>
      <c r="S687" s="77"/>
      <c r="T687" s="78">
        <f t="shared" si="384"/>
        <v>0.218041620215533</v>
      </c>
      <c r="U687" s="77"/>
      <c r="V687" s="77"/>
      <c r="W687" s="77">
        <f t="shared" si="381"/>
        <v>146.981512448904</v>
      </c>
      <c r="X687" s="79">
        <f t="shared" si="385"/>
        <v>1.78319397993311</v>
      </c>
      <c r="Y687" s="79"/>
      <c r="Z687" s="79"/>
      <c r="AA687" s="79">
        <f t="shared" si="382"/>
        <v>1.78319397993311</v>
      </c>
      <c r="AB687" s="91">
        <v>7.27</v>
      </c>
      <c r="AC687" s="77">
        <f t="shared" si="380"/>
        <v>12.9638202341137</v>
      </c>
      <c r="AD687" s="77">
        <f t="shared" si="379"/>
        <v>159.945332683017</v>
      </c>
      <c r="AE687" s="77">
        <f t="shared" si="375"/>
        <v>60.0448673169825</v>
      </c>
    </row>
    <row r="688" customFormat="1" spans="1:31">
      <c r="A688" s="22"/>
      <c r="B688" s="23"/>
      <c r="C688" s="24">
        <v>241216000043</v>
      </c>
      <c r="D688" s="25">
        <v>45651</v>
      </c>
      <c r="E688" s="25" t="s">
        <v>44</v>
      </c>
      <c r="F688" s="23" t="s">
        <v>45</v>
      </c>
      <c r="G688" s="23" t="s">
        <v>462</v>
      </c>
      <c r="H688" s="23">
        <v>1.5</v>
      </c>
      <c r="I688" s="43">
        <v>132.5</v>
      </c>
      <c r="J688" s="44"/>
      <c r="K688" s="45"/>
      <c r="L688" s="23"/>
      <c r="M688" s="45"/>
      <c r="N688" s="57"/>
      <c r="O688" s="47">
        <f t="shared" ref="O688:O698" si="388">SUM(I688)</f>
        <v>132.5</v>
      </c>
      <c r="P688" s="49"/>
      <c r="Q688" s="49"/>
      <c r="R688" s="77">
        <f t="shared" si="383"/>
        <v>88.0580824972129</v>
      </c>
      <c r="S688" s="77"/>
      <c r="T688" s="78">
        <f t="shared" si="384"/>
        <v>0.13082497212932</v>
      </c>
      <c r="U688" s="77"/>
      <c r="V688" s="77"/>
      <c r="W688" s="77">
        <f t="shared" si="381"/>
        <v>88.1889074693423</v>
      </c>
      <c r="X688" s="79">
        <f t="shared" si="385"/>
        <v>1.06991638795987</v>
      </c>
      <c r="Y688" s="79"/>
      <c r="Z688" s="79"/>
      <c r="AA688" s="79">
        <f t="shared" si="382"/>
        <v>1.06991638795987</v>
      </c>
      <c r="AB688" s="91">
        <v>7.27</v>
      </c>
      <c r="AC688" s="77">
        <f t="shared" si="380"/>
        <v>7.77829214046823</v>
      </c>
      <c r="AD688" s="77">
        <f t="shared" si="379"/>
        <v>95.9671996098105</v>
      </c>
      <c r="AE688" s="77">
        <f t="shared" si="375"/>
        <v>36.5328003901895</v>
      </c>
    </row>
    <row r="689" customFormat="1" spans="1:31">
      <c r="A689" s="22"/>
      <c r="B689" s="23"/>
      <c r="C689" s="24">
        <v>241216000046</v>
      </c>
      <c r="D689" s="25">
        <v>45651</v>
      </c>
      <c r="E689" s="25" t="s">
        <v>44</v>
      </c>
      <c r="F689" s="23" t="s">
        <v>45</v>
      </c>
      <c r="G689" s="23" t="s">
        <v>410</v>
      </c>
      <c r="H689" s="23">
        <v>2.5</v>
      </c>
      <c r="I689" s="43">
        <v>285</v>
      </c>
      <c r="J689" s="44"/>
      <c r="K689" s="45"/>
      <c r="L689" s="23"/>
      <c r="M689" s="45"/>
      <c r="N689" s="57"/>
      <c r="O689" s="47">
        <f t="shared" si="388"/>
        <v>285</v>
      </c>
      <c r="P689" s="49"/>
      <c r="Q689" s="49"/>
      <c r="R689" s="77">
        <f t="shared" si="383"/>
        <v>146.763470828688</v>
      </c>
      <c r="S689" s="77"/>
      <c r="T689" s="78">
        <f t="shared" si="384"/>
        <v>0.218041620215533</v>
      </c>
      <c r="U689" s="77"/>
      <c r="V689" s="77"/>
      <c r="W689" s="77">
        <f t="shared" si="381"/>
        <v>146.981512448904</v>
      </c>
      <c r="X689" s="79">
        <f t="shared" si="385"/>
        <v>1.78319397993311</v>
      </c>
      <c r="Y689" s="79"/>
      <c r="Z689" s="79"/>
      <c r="AA689" s="79">
        <f t="shared" si="382"/>
        <v>1.78319397993311</v>
      </c>
      <c r="AB689" s="91">
        <v>7.27</v>
      </c>
      <c r="AC689" s="77">
        <f t="shared" si="380"/>
        <v>12.9638202341137</v>
      </c>
      <c r="AD689" s="77">
        <f t="shared" si="379"/>
        <v>159.945332683017</v>
      </c>
      <c r="AE689" s="77">
        <f t="shared" si="375"/>
        <v>125.054667316983</v>
      </c>
    </row>
    <row r="690" customFormat="1" spans="1:31">
      <c r="A690" s="22"/>
      <c r="B690" s="23"/>
      <c r="C690" s="24">
        <v>241216000047</v>
      </c>
      <c r="D690" s="25">
        <v>45651</v>
      </c>
      <c r="E690" s="25" t="s">
        <v>44</v>
      </c>
      <c r="F690" s="23" t="s">
        <v>45</v>
      </c>
      <c r="G690" s="23" t="s">
        <v>463</v>
      </c>
      <c r="H690" s="23">
        <v>6</v>
      </c>
      <c r="I690" s="43">
        <v>554.4</v>
      </c>
      <c r="J690" s="44"/>
      <c r="K690" s="45"/>
      <c r="L690" s="23"/>
      <c r="M690" s="45"/>
      <c r="N690" s="57"/>
      <c r="O690" s="47">
        <f t="shared" si="388"/>
        <v>554.4</v>
      </c>
      <c r="P690" s="49"/>
      <c r="Q690" s="49"/>
      <c r="R690" s="77">
        <f t="shared" si="383"/>
        <v>352.232329988852</v>
      </c>
      <c r="S690" s="77"/>
      <c r="T690" s="78">
        <f t="shared" si="384"/>
        <v>0.52329988851728</v>
      </c>
      <c r="U690" s="77"/>
      <c r="V690" s="77"/>
      <c r="W690" s="77">
        <f t="shared" si="381"/>
        <v>352.755629877369</v>
      </c>
      <c r="X690" s="79">
        <f t="shared" si="385"/>
        <v>4.27966555183946</v>
      </c>
      <c r="Y690" s="79"/>
      <c r="Z690" s="79"/>
      <c r="AA690" s="79">
        <f t="shared" si="382"/>
        <v>4.27966555183946</v>
      </c>
      <c r="AB690" s="91">
        <v>7.27</v>
      </c>
      <c r="AC690" s="77">
        <f t="shared" si="380"/>
        <v>31.1131685618729</v>
      </c>
      <c r="AD690" s="77">
        <f t="shared" si="379"/>
        <v>383.868798439242</v>
      </c>
      <c r="AE690" s="77">
        <f t="shared" si="375"/>
        <v>170.531201560758</v>
      </c>
    </row>
    <row r="691" customFormat="1" spans="1:31">
      <c r="A691" s="22"/>
      <c r="B691" s="23"/>
      <c r="C691" s="24">
        <v>241216000057</v>
      </c>
      <c r="D691" s="25">
        <v>45651</v>
      </c>
      <c r="E691" s="25" t="s">
        <v>61</v>
      </c>
      <c r="F691" s="23" t="s">
        <v>62</v>
      </c>
      <c r="G691" s="23" t="s">
        <v>464</v>
      </c>
      <c r="H691" s="23">
        <v>12</v>
      </c>
      <c r="I691" s="43">
        <v>1023</v>
      </c>
      <c r="J691" s="44"/>
      <c r="K691" s="45"/>
      <c r="L691" s="23"/>
      <c r="M691" s="45"/>
      <c r="N691" s="57"/>
      <c r="O691" s="47">
        <f t="shared" si="388"/>
        <v>1023</v>
      </c>
      <c r="P691" s="49"/>
      <c r="Q691" s="49"/>
      <c r="R691" s="77">
        <f t="shared" si="383"/>
        <v>704.464659977703</v>
      </c>
      <c r="S691" s="77"/>
      <c r="T691" s="78">
        <f t="shared" si="384"/>
        <v>1.04659977703456</v>
      </c>
      <c r="U691" s="77"/>
      <c r="V691" s="77"/>
      <c r="W691" s="77">
        <f t="shared" si="381"/>
        <v>705.511259754738</v>
      </c>
      <c r="X691" s="79">
        <f t="shared" si="385"/>
        <v>8.55933110367893</v>
      </c>
      <c r="Y691" s="79"/>
      <c r="Z691" s="79"/>
      <c r="AA691" s="79">
        <f t="shared" si="382"/>
        <v>8.55933110367893</v>
      </c>
      <c r="AB691" s="91">
        <v>7.27</v>
      </c>
      <c r="AC691" s="77">
        <f t="shared" si="380"/>
        <v>62.2263371237458</v>
      </c>
      <c r="AD691" s="77">
        <f t="shared" si="379"/>
        <v>767.737596878484</v>
      </c>
      <c r="AE691" s="77">
        <f t="shared" si="375"/>
        <v>255.262403121516</v>
      </c>
    </row>
    <row r="692" customFormat="1" spans="1:31">
      <c r="A692" s="22"/>
      <c r="B692" s="23"/>
      <c r="C692" s="24">
        <v>241217000007</v>
      </c>
      <c r="D692" s="26">
        <v>45651</v>
      </c>
      <c r="E692" s="25" t="s">
        <v>70</v>
      </c>
      <c r="F692" s="23" t="s">
        <v>406</v>
      </c>
      <c r="G692" s="23" t="s">
        <v>465</v>
      </c>
      <c r="H692" s="23">
        <v>43.5</v>
      </c>
      <c r="I692" s="43">
        <v>3784.5</v>
      </c>
      <c r="J692" s="44"/>
      <c r="K692" s="45"/>
      <c r="L692" s="23"/>
      <c r="M692" s="45"/>
      <c r="N692" s="57"/>
      <c r="O692" s="47">
        <f t="shared" si="388"/>
        <v>3784.5</v>
      </c>
      <c r="P692" s="49"/>
      <c r="Q692" s="49"/>
      <c r="R692" s="77">
        <f t="shared" si="383"/>
        <v>2553.68439241918</v>
      </c>
      <c r="S692" s="77"/>
      <c r="T692" s="78">
        <f t="shared" si="384"/>
        <v>3.79392419175028</v>
      </c>
      <c r="U692" s="78">
        <v>90</v>
      </c>
      <c r="V692" s="77"/>
      <c r="W692" s="77">
        <f t="shared" si="381"/>
        <v>2647.47831661093</v>
      </c>
      <c r="X692" s="79">
        <f t="shared" si="385"/>
        <v>31.0275752508361</v>
      </c>
      <c r="Y692" s="79"/>
      <c r="Z692" s="79"/>
      <c r="AA692" s="79">
        <f t="shared" si="382"/>
        <v>31.0275752508361</v>
      </c>
      <c r="AB692" s="91">
        <v>7.27</v>
      </c>
      <c r="AC692" s="77">
        <f t="shared" si="380"/>
        <v>225.570472073579</v>
      </c>
      <c r="AD692" s="77">
        <f t="shared" si="379"/>
        <v>2873.0487886845</v>
      </c>
      <c r="AE692" s="77">
        <f t="shared" si="375"/>
        <v>911.451211315496</v>
      </c>
    </row>
    <row r="693" customFormat="1" spans="1:31">
      <c r="A693" s="22"/>
      <c r="B693" s="23"/>
      <c r="C693" s="24">
        <v>241217000010</v>
      </c>
      <c r="D693" s="25">
        <v>45651</v>
      </c>
      <c r="E693" s="25" t="s">
        <v>37</v>
      </c>
      <c r="F693" s="23" t="s">
        <v>38</v>
      </c>
      <c r="G693" s="23" t="s">
        <v>94</v>
      </c>
      <c r="H693" s="23">
        <v>19.5</v>
      </c>
      <c r="I693" s="43">
        <v>1758</v>
      </c>
      <c r="J693" s="44"/>
      <c r="K693" s="45"/>
      <c r="L693" s="23"/>
      <c r="M693" s="45"/>
      <c r="N693" s="57"/>
      <c r="O693" s="47">
        <f t="shared" si="388"/>
        <v>1758</v>
      </c>
      <c r="P693" s="49"/>
      <c r="Q693" s="49"/>
      <c r="R693" s="77">
        <f t="shared" si="383"/>
        <v>1144.75507246377</v>
      </c>
      <c r="S693" s="77"/>
      <c r="T693" s="78">
        <f t="shared" si="384"/>
        <v>1.70072463768116</v>
      </c>
      <c r="U693" s="78">
        <v>100</v>
      </c>
      <c r="V693" s="77"/>
      <c r="W693" s="77">
        <f t="shared" si="381"/>
        <v>1246.45579710145</v>
      </c>
      <c r="X693" s="79">
        <f t="shared" si="385"/>
        <v>13.9089130434783</v>
      </c>
      <c r="Y693" s="79"/>
      <c r="Z693" s="79"/>
      <c r="AA693" s="79">
        <f t="shared" si="382"/>
        <v>13.9089130434783</v>
      </c>
      <c r="AB693" s="91">
        <v>7.27</v>
      </c>
      <c r="AC693" s="77">
        <f t="shared" si="380"/>
        <v>101.117797826087</v>
      </c>
      <c r="AD693" s="77">
        <f t="shared" si="379"/>
        <v>1347.57359492754</v>
      </c>
      <c r="AE693" s="77">
        <f t="shared" si="375"/>
        <v>410.426405072464</v>
      </c>
    </row>
    <row r="694" customFormat="1" spans="1:31">
      <c r="A694" s="22"/>
      <c r="B694" s="23"/>
      <c r="C694" s="24">
        <v>241217000012</v>
      </c>
      <c r="D694" s="25">
        <v>45651</v>
      </c>
      <c r="E694" s="25" t="s">
        <v>37</v>
      </c>
      <c r="F694" s="23" t="s">
        <v>38</v>
      </c>
      <c r="G694" s="23" t="s">
        <v>403</v>
      </c>
      <c r="H694" s="23">
        <v>0.42</v>
      </c>
      <c r="I694" s="43">
        <v>91</v>
      </c>
      <c r="J694" s="44"/>
      <c r="K694" s="45"/>
      <c r="L694" s="23"/>
      <c r="M694" s="45"/>
      <c r="N694" s="57"/>
      <c r="O694" s="47">
        <f t="shared" si="388"/>
        <v>91</v>
      </c>
      <c r="P694" s="49"/>
      <c r="Q694" s="49"/>
      <c r="R694" s="77">
        <f t="shared" si="383"/>
        <v>24.6562630992196</v>
      </c>
      <c r="S694" s="77"/>
      <c r="T694" s="78">
        <f t="shared" si="384"/>
        <v>0.0366309921962096</v>
      </c>
      <c r="U694" s="77"/>
      <c r="V694" s="77"/>
      <c r="W694" s="77">
        <f t="shared" si="381"/>
        <v>24.6928940914158</v>
      </c>
      <c r="X694" s="79">
        <f t="shared" si="385"/>
        <v>0.299576588628763</v>
      </c>
      <c r="Y694" s="79"/>
      <c r="Z694" s="79"/>
      <c r="AA694" s="79">
        <f t="shared" si="382"/>
        <v>0.299576588628763</v>
      </c>
      <c r="AB694" s="91">
        <v>7.27</v>
      </c>
      <c r="AC694" s="77">
        <f t="shared" si="380"/>
        <v>2.1779217993311</v>
      </c>
      <c r="AD694" s="77">
        <f t="shared" si="379"/>
        <v>26.8708158907469</v>
      </c>
      <c r="AE694" s="77">
        <f t="shared" si="375"/>
        <v>64.1291841092531</v>
      </c>
    </row>
    <row r="695" customFormat="1" spans="1:31">
      <c r="A695" s="22"/>
      <c r="B695" s="23"/>
      <c r="C695" s="24">
        <v>241217000026</v>
      </c>
      <c r="D695" s="26">
        <v>45651</v>
      </c>
      <c r="E695" s="25" t="s">
        <v>44</v>
      </c>
      <c r="F695" s="23" t="s">
        <v>466</v>
      </c>
      <c r="G695" s="23" t="s">
        <v>466</v>
      </c>
      <c r="H695" s="23">
        <v>11.5</v>
      </c>
      <c r="I695" s="43">
        <v>1056.55</v>
      </c>
      <c r="J695" s="44"/>
      <c r="K695" s="45"/>
      <c r="L695" s="23"/>
      <c r="M695" s="45"/>
      <c r="N695" s="57"/>
      <c r="O695" s="47">
        <f t="shared" si="388"/>
        <v>1056.55</v>
      </c>
      <c r="P695" s="49"/>
      <c r="Q695" s="49"/>
      <c r="R695" s="77">
        <f t="shared" si="383"/>
        <v>675.111965811966</v>
      </c>
      <c r="S695" s="77"/>
      <c r="T695" s="78">
        <f t="shared" si="384"/>
        <v>1.00299145299145</v>
      </c>
      <c r="U695" s="77"/>
      <c r="V695" s="77"/>
      <c r="W695" s="77">
        <f t="shared" si="381"/>
        <v>676.114957264957</v>
      </c>
      <c r="X695" s="79">
        <f t="shared" si="385"/>
        <v>8.20269230769231</v>
      </c>
      <c r="Y695" s="79"/>
      <c r="Z695" s="79"/>
      <c r="AA695" s="79">
        <f t="shared" si="382"/>
        <v>8.20269230769231</v>
      </c>
      <c r="AB695" s="91">
        <v>7.27</v>
      </c>
      <c r="AC695" s="77">
        <f t="shared" si="380"/>
        <v>59.6335730769231</v>
      </c>
      <c r="AD695" s="77">
        <f t="shared" si="379"/>
        <v>735.74853034188</v>
      </c>
      <c r="AE695" s="77">
        <f t="shared" si="375"/>
        <v>320.80146965812</v>
      </c>
    </row>
    <row r="696" customFormat="1" spans="1:31">
      <c r="A696" s="22"/>
      <c r="B696" s="23"/>
      <c r="C696" s="92">
        <v>241217000027</v>
      </c>
      <c r="D696" s="94">
        <v>45651</v>
      </c>
      <c r="E696" s="25" t="s">
        <v>44</v>
      </c>
      <c r="F696" s="95" t="s">
        <v>45</v>
      </c>
      <c r="G696" s="95" t="s">
        <v>90</v>
      </c>
      <c r="H696" s="95">
        <v>110.5</v>
      </c>
      <c r="I696" s="43">
        <v>8140</v>
      </c>
      <c r="J696" s="44"/>
      <c r="K696" s="45"/>
      <c r="L696" s="23"/>
      <c r="M696" s="45"/>
      <c r="N696" s="57"/>
      <c r="O696" s="47">
        <f t="shared" si="388"/>
        <v>8140</v>
      </c>
      <c r="P696" s="49"/>
      <c r="Q696" s="49"/>
      <c r="R696" s="77">
        <f t="shared" si="383"/>
        <v>6486.94541062802</v>
      </c>
      <c r="S696" s="77"/>
      <c r="T696" s="78">
        <f t="shared" si="384"/>
        <v>9.63743961352657</v>
      </c>
      <c r="U696" s="77"/>
      <c r="V696" s="77"/>
      <c r="W696" s="77">
        <f t="shared" si="381"/>
        <v>6496.58285024155</v>
      </c>
      <c r="X696" s="79">
        <f t="shared" si="385"/>
        <v>78.8171739130435</v>
      </c>
      <c r="Y696" s="79"/>
      <c r="Z696" s="79"/>
      <c r="AA696" s="79">
        <f t="shared" si="382"/>
        <v>78.8171739130435</v>
      </c>
      <c r="AB696" s="91">
        <v>7.27</v>
      </c>
      <c r="AC696" s="77">
        <f t="shared" si="380"/>
        <v>573.000854347826</v>
      </c>
      <c r="AD696" s="77">
        <f t="shared" si="379"/>
        <v>7069.58370458937</v>
      </c>
      <c r="AE696" s="77">
        <f t="shared" si="375"/>
        <v>1070.41629541063</v>
      </c>
    </row>
    <row r="697" customFormat="1" spans="1:31">
      <c r="A697" s="22"/>
      <c r="B697" s="23"/>
      <c r="C697" s="24">
        <v>241217000028</v>
      </c>
      <c r="D697" s="25">
        <v>45651</v>
      </c>
      <c r="E697" s="25" t="s">
        <v>61</v>
      </c>
      <c r="F697" s="23" t="s">
        <v>62</v>
      </c>
      <c r="G697" s="23" t="s">
        <v>467</v>
      </c>
      <c r="H697" s="23">
        <v>0.9</v>
      </c>
      <c r="I697" s="43">
        <v>186.2</v>
      </c>
      <c r="J697" s="44"/>
      <c r="K697" s="45"/>
      <c r="L697" s="23"/>
      <c r="M697" s="45"/>
      <c r="N697" s="57"/>
      <c r="O697" s="47">
        <f t="shared" si="388"/>
        <v>186.2</v>
      </c>
      <c r="P697" s="49"/>
      <c r="Q697" s="49"/>
      <c r="R697" s="77">
        <f t="shared" si="383"/>
        <v>52.8348494983278</v>
      </c>
      <c r="S697" s="77"/>
      <c r="T697" s="78">
        <f t="shared" si="384"/>
        <v>0.078494983277592</v>
      </c>
      <c r="U697" s="77"/>
      <c r="V697" s="77"/>
      <c r="W697" s="77">
        <f t="shared" si="381"/>
        <v>52.9133444816054</v>
      </c>
      <c r="X697" s="79">
        <f t="shared" si="385"/>
        <v>0.64194983277592</v>
      </c>
      <c r="Y697" s="79">
        <v>9.62</v>
      </c>
      <c r="Z697" s="79"/>
      <c r="AA697" s="79">
        <f t="shared" si="382"/>
        <v>10.2619498327759</v>
      </c>
      <c r="AB697" s="91">
        <v>7.27</v>
      </c>
      <c r="AC697" s="77">
        <f t="shared" si="380"/>
        <v>74.6043752842809</v>
      </c>
      <c r="AD697" s="77">
        <f t="shared" si="379"/>
        <v>127.517719765886</v>
      </c>
      <c r="AE697" s="77">
        <f t="shared" si="375"/>
        <v>58.6822802341137</v>
      </c>
    </row>
    <row r="698" customFormat="1" spans="1:31">
      <c r="A698" s="22"/>
      <c r="B698" s="23"/>
      <c r="C698" s="24">
        <v>241217000030</v>
      </c>
      <c r="D698" s="26">
        <v>45651</v>
      </c>
      <c r="E698" s="25" t="s">
        <v>468</v>
      </c>
      <c r="F698" s="23" t="s">
        <v>469</v>
      </c>
      <c r="G698" s="23" t="s">
        <v>470</v>
      </c>
      <c r="H698" s="23">
        <v>5.5</v>
      </c>
      <c r="I698" s="43">
        <v>708.8</v>
      </c>
      <c r="J698" s="44"/>
      <c r="K698" s="45"/>
      <c r="L698" s="23"/>
      <c r="M698" s="45"/>
      <c r="N698" s="57"/>
      <c r="O698" s="47">
        <f t="shared" si="388"/>
        <v>708.8</v>
      </c>
      <c r="P698" s="49"/>
      <c r="Q698" s="49"/>
      <c r="R698" s="77">
        <f t="shared" si="383"/>
        <v>322.879635823114</v>
      </c>
      <c r="S698" s="77"/>
      <c r="T698" s="78">
        <f t="shared" si="384"/>
        <v>0.479691564474173</v>
      </c>
      <c r="U698" s="77"/>
      <c r="V698" s="77"/>
      <c r="W698" s="77">
        <f t="shared" si="381"/>
        <v>323.359327387588</v>
      </c>
      <c r="X698" s="79">
        <f t="shared" si="385"/>
        <v>3.92302675585284</v>
      </c>
      <c r="Y698" s="79"/>
      <c r="Z698" s="79"/>
      <c r="AA698" s="79">
        <f t="shared" si="382"/>
        <v>3.92302675585284</v>
      </c>
      <c r="AB698" s="91">
        <v>7.27</v>
      </c>
      <c r="AC698" s="77">
        <f t="shared" si="380"/>
        <v>28.5204045150502</v>
      </c>
      <c r="AD698" s="77">
        <f t="shared" si="379"/>
        <v>351.879731902638</v>
      </c>
      <c r="AE698" s="77">
        <f t="shared" ref="AE698:AE718" si="389">SUM(O698-AD698)</f>
        <v>356.920268097361</v>
      </c>
    </row>
    <row r="699" customFormat="1" spans="1:31">
      <c r="A699" s="22"/>
      <c r="B699" s="23"/>
      <c r="C699" s="24">
        <v>241217000037</v>
      </c>
      <c r="D699" s="25">
        <v>45651</v>
      </c>
      <c r="E699" s="25" t="s">
        <v>54</v>
      </c>
      <c r="F699" s="23" t="s">
        <v>55</v>
      </c>
      <c r="G699" s="23" t="s">
        <v>210</v>
      </c>
      <c r="H699" s="23">
        <v>0.14</v>
      </c>
      <c r="I699" s="47"/>
      <c r="J699" s="51">
        <v>21340</v>
      </c>
      <c r="K699" s="45"/>
      <c r="L699" s="52">
        <f t="shared" ref="L699:L704" si="390">SUM(J699/M699)</f>
        <v>1682.96543241052</v>
      </c>
      <c r="M699" s="53">
        <v>12.679999</v>
      </c>
      <c r="N699" s="57">
        <v>7.27</v>
      </c>
      <c r="O699" s="47">
        <f t="shared" ref="O699:O704" si="391">SUM(M699*N699)</f>
        <v>92.18359273</v>
      </c>
      <c r="P699" s="49"/>
      <c r="Q699" s="49"/>
      <c r="R699" s="77">
        <f t="shared" si="383"/>
        <v>8.21875436640654</v>
      </c>
      <c r="S699" s="77"/>
      <c r="T699" s="78">
        <f t="shared" si="384"/>
        <v>0.0122103307320699</v>
      </c>
      <c r="U699" s="77"/>
      <c r="V699" s="77"/>
      <c r="W699" s="77">
        <f t="shared" si="381"/>
        <v>8.23096469713861</v>
      </c>
      <c r="X699" s="79">
        <f t="shared" si="385"/>
        <v>0.0998588628762542</v>
      </c>
      <c r="Y699" s="79"/>
      <c r="Z699" s="79"/>
      <c r="AA699" s="79">
        <f t="shared" si="382"/>
        <v>0.0998588628762542</v>
      </c>
      <c r="AB699" s="91">
        <v>7.27</v>
      </c>
      <c r="AC699" s="77">
        <f t="shared" si="380"/>
        <v>0.725973933110368</v>
      </c>
      <c r="AD699" s="77">
        <f t="shared" si="379"/>
        <v>8.95693863024898</v>
      </c>
      <c r="AE699" s="77">
        <f t="shared" si="389"/>
        <v>83.226654099751</v>
      </c>
    </row>
    <row r="700" customFormat="1" spans="1:31">
      <c r="A700" s="22"/>
      <c r="B700" s="23"/>
      <c r="C700" s="24">
        <v>241217000038</v>
      </c>
      <c r="D700" s="25">
        <v>45651</v>
      </c>
      <c r="E700" s="25" t="s">
        <v>61</v>
      </c>
      <c r="F700" s="23" t="s">
        <v>62</v>
      </c>
      <c r="G700" s="23" t="s">
        <v>330</v>
      </c>
      <c r="H700" s="23">
        <v>78.5</v>
      </c>
      <c r="I700" s="43">
        <v>7379.75</v>
      </c>
      <c r="J700" s="44"/>
      <c r="K700" s="45"/>
      <c r="L700" s="23"/>
      <c r="M700" s="45"/>
      <c r="N700" s="57"/>
      <c r="O700" s="47">
        <f t="shared" ref="O700:O706" si="392">SUM(I700)</f>
        <v>7379.75</v>
      </c>
      <c r="P700" s="49"/>
      <c r="Q700" s="49"/>
      <c r="R700" s="77">
        <f t="shared" si="383"/>
        <v>4608.37298402081</v>
      </c>
      <c r="S700" s="77"/>
      <c r="T700" s="78">
        <f t="shared" si="384"/>
        <v>6.84650687476774</v>
      </c>
      <c r="U700" s="77">
        <v>40</v>
      </c>
      <c r="V700" s="77"/>
      <c r="W700" s="77">
        <f t="shared" si="381"/>
        <v>4655.21949089558</v>
      </c>
      <c r="X700" s="79">
        <f t="shared" si="385"/>
        <v>55.9922909698997</v>
      </c>
      <c r="Y700" s="79"/>
      <c r="Z700" s="79"/>
      <c r="AA700" s="79">
        <f t="shared" si="382"/>
        <v>55.9922909698997</v>
      </c>
      <c r="AB700" s="91">
        <v>7.27</v>
      </c>
      <c r="AC700" s="77">
        <f t="shared" si="380"/>
        <v>407.063955351171</v>
      </c>
      <c r="AD700" s="77">
        <f t="shared" ref="AD700:AD718" si="393">SUM(W700+AC700)</f>
        <v>5062.28344624675</v>
      </c>
      <c r="AE700" s="77">
        <f t="shared" si="389"/>
        <v>2317.46655375325</v>
      </c>
    </row>
    <row r="701" customFormat="1" spans="1:31">
      <c r="A701" s="22"/>
      <c r="B701" s="23"/>
      <c r="C701" s="24">
        <v>241217000047</v>
      </c>
      <c r="D701" s="25">
        <v>45651</v>
      </c>
      <c r="E701" s="25" t="s">
        <v>37</v>
      </c>
      <c r="F701" s="23" t="s">
        <v>38</v>
      </c>
      <c r="G701" s="23" t="s">
        <v>166</v>
      </c>
      <c r="H701" s="23">
        <v>5</v>
      </c>
      <c r="I701" s="50"/>
      <c r="J701" s="51">
        <v>106485</v>
      </c>
      <c r="K701" s="45"/>
      <c r="L701" s="52">
        <f t="shared" si="390"/>
        <v>1664.86866791745</v>
      </c>
      <c r="M701" s="53">
        <v>63.96</v>
      </c>
      <c r="N701" s="57">
        <v>7.27</v>
      </c>
      <c r="O701" s="47">
        <f t="shared" si="391"/>
        <v>464.9892</v>
      </c>
      <c r="P701" s="49"/>
      <c r="Q701" s="49"/>
      <c r="R701" s="77">
        <f t="shared" si="383"/>
        <v>293.526941657376</v>
      </c>
      <c r="S701" s="77"/>
      <c r="T701" s="78">
        <f t="shared" si="384"/>
        <v>0.436083240431066</v>
      </c>
      <c r="U701" s="77"/>
      <c r="V701" s="77"/>
      <c r="W701" s="77">
        <f t="shared" si="381"/>
        <v>293.963024897808</v>
      </c>
      <c r="X701" s="79">
        <f t="shared" si="385"/>
        <v>3.56638795986622</v>
      </c>
      <c r="Y701" s="79"/>
      <c r="Z701" s="79"/>
      <c r="AA701" s="79">
        <f t="shared" si="382"/>
        <v>3.56638795986622</v>
      </c>
      <c r="AB701" s="91">
        <v>7.27</v>
      </c>
      <c r="AC701" s="77">
        <f t="shared" si="380"/>
        <v>25.9276404682274</v>
      </c>
      <c r="AD701" s="77">
        <f t="shared" si="393"/>
        <v>319.890665366035</v>
      </c>
      <c r="AE701" s="77">
        <f t="shared" si="389"/>
        <v>145.098534633965</v>
      </c>
    </row>
    <row r="702" customFormat="1" spans="1:31">
      <c r="A702" s="22"/>
      <c r="B702" s="23"/>
      <c r="C702" s="24">
        <v>241217000052</v>
      </c>
      <c r="D702" s="25">
        <v>45651</v>
      </c>
      <c r="E702" s="25" t="s">
        <v>61</v>
      </c>
      <c r="F702" s="23" t="s">
        <v>62</v>
      </c>
      <c r="G702" s="23" t="s">
        <v>186</v>
      </c>
      <c r="H702" s="23">
        <v>1.5</v>
      </c>
      <c r="I702" s="43">
        <v>172.2</v>
      </c>
      <c r="J702" s="44"/>
      <c r="K702" s="45"/>
      <c r="L702" s="23"/>
      <c r="M702" s="45"/>
      <c r="N702" s="57"/>
      <c r="O702" s="47">
        <f t="shared" si="392"/>
        <v>172.2</v>
      </c>
      <c r="P702" s="49"/>
      <c r="Q702" s="49"/>
      <c r="R702" s="77">
        <f t="shared" si="383"/>
        <v>88.0580824972129</v>
      </c>
      <c r="S702" s="77"/>
      <c r="T702" s="78">
        <f t="shared" si="384"/>
        <v>0.13082497212932</v>
      </c>
      <c r="U702" s="77"/>
      <c r="V702" s="77"/>
      <c r="W702" s="77">
        <f t="shared" si="381"/>
        <v>88.1889074693423</v>
      </c>
      <c r="X702" s="79">
        <f t="shared" si="385"/>
        <v>1.06991638795987</v>
      </c>
      <c r="Y702" s="79"/>
      <c r="Z702" s="79"/>
      <c r="AA702" s="79">
        <f t="shared" si="382"/>
        <v>1.06991638795987</v>
      </c>
      <c r="AB702" s="91">
        <v>7.27</v>
      </c>
      <c r="AC702" s="77">
        <f t="shared" ref="AC702:AC718" si="394">SUM(AA702*AB702)</f>
        <v>7.77829214046823</v>
      </c>
      <c r="AD702" s="77">
        <f t="shared" si="393"/>
        <v>95.9671996098105</v>
      </c>
      <c r="AE702" s="77">
        <f t="shared" si="389"/>
        <v>76.2328003901895</v>
      </c>
    </row>
    <row r="703" customFormat="1" spans="1:31">
      <c r="A703" s="22"/>
      <c r="B703" s="23"/>
      <c r="C703" s="24">
        <v>241218000001</v>
      </c>
      <c r="D703" s="26">
        <v>45651</v>
      </c>
      <c r="E703" s="25" t="s">
        <v>44</v>
      </c>
      <c r="F703" s="23" t="s">
        <v>471</v>
      </c>
      <c r="G703" s="23" t="s">
        <v>472</v>
      </c>
      <c r="H703" s="23">
        <v>9</v>
      </c>
      <c r="I703" s="47"/>
      <c r="J703" s="51">
        <v>271326</v>
      </c>
      <c r="K703" s="45"/>
      <c r="L703" s="52">
        <f t="shared" si="390"/>
        <v>1852.81343895111</v>
      </c>
      <c r="M703" s="53">
        <v>146.44</v>
      </c>
      <c r="N703" s="57">
        <v>7.27</v>
      </c>
      <c r="O703" s="47">
        <f t="shared" si="391"/>
        <v>1064.6188</v>
      </c>
      <c r="P703" s="49"/>
      <c r="Q703" s="49"/>
      <c r="R703" s="77">
        <f t="shared" si="383"/>
        <v>528.348494983278</v>
      </c>
      <c r="S703" s="77"/>
      <c r="T703" s="78">
        <f t="shared" si="384"/>
        <v>0.78494983277592</v>
      </c>
      <c r="U703" s="77"/>
      <c r="V703" s="77"/>
      <c r="W703" s="77">
        <f t="shared" si="381"/>
        <v>529.133444816054</v>
      </c>
      <c r="X703" s="79">
        <f t="shared" si="385"/>
        <v>6.4194983277592</v>
      </c>
      <c r="Y703" s="79"/>
      <c r="Z703" s="79"/>
      <c r="AA703" s="79">
        <f t="shared" si="382"/>
        <v>6.4194983277592</v>
      </c>
      <c r="AB703" s="91">
        <v>7.27</v>
      </c>
      <c r="AC703" s="77">
        <f t="shared" si="394"/>
        <v>46.6697528428094</v>
      </c>
      <c r="AD703" s="77">
        <f t="shared" si="393"/>
        <v>575.803197658863</v>
      </c>
      <c r="AE703" s="77">
        <f t="shared" si="389"/>
        <v>488.815602341137</v>
      </c>
    </row>
    <row r="704" customFormat="1" spans="1:31">
      <c r="A704" s="22"/>
      <c r="B704" s="23"/>
      <c r="C704" s="24">
        <v>241218000002</v>
      </c>
      <c r="D704" s="26">
        <v>45651</v>
      </c>
      <c r="E704" s="25" t="s">
        <v>44</v>
      </c>
      <c r="F704" s="23" t="s">
        <v>471</v>
      </c>
      <c r="G704" s="23" t="s">
        <v>472</v>
      </c>
      <c r="H704" s="23">
        <v>1.5</v>
      </c>
      <c r="I704" s="47"/>
      <c r="J704" s="51">
        <v>42504</v>
      </c>
      <c r="K704" s="45"/>
      <c r="L704" s="52">
        <f t="shared" si="390"/>
        <v>1650.0001281056</v>
      </c>
      <c r="M704" s="53">
        <v>25.759998</v>
      </c>
      <c r="N704" s="57">
        <v>7.27</v>
      </c>
      <c r="O704" s="47">
        <f t="shared" si="391"/>
        <v>187.27518546</v>
      </c>
      <c r="P704" s="49"/>
      <c r="Q704" s="49"/>
      <c r="R704" s="77">
        <f t="shared" si="383"/>
        <v>88.0580824972129</v>
      </c>
      <c r="S704" s="77"/>
      <c r="T704" s="78">
        <f t="shared" si="384"/>
        <v>0.13082497212932</v>
      </c>
      <c r="U704" s="77"/>
      <c r="V704" s="77"/>
      <c r="W704" s="77">
        <f t="shared" si="381"/>
        <v>88.1889074693423</v>
      </c>
      <c r="X704" s="79">
        <f t="shared" si="385"/>
        <v>1.06991638795987</v>
      </c>
      <c r="Y704" s="79"/>
      <c r="Z704" s="79"/>
      <c r="AA704" s="79">
        <f t="shared" si="382"/>
        <v>1.06991638795987</v>
      </c>
      <c r="AB704" s="91">
        <v>7.27</v>
      </c>
      <c r="AC704" s="77">
        <f t="shared" si="394"/>
        <v>7.77829214046823</v>
      </c>
      <c r="AD704" s="77">
        <f t="shared" si="393"/>
        <v>95.9671996098105</v>
      </c>
      <c r="AE704" s="77">
        <f t="shared" si="389"/>
        <v>91.3079858501895</v>
      </c>
    </row>
    <row r="705" customFormat="1" spans="1:31">
      <c r="A705" s="22"/>
      <c r="B705" s="23"/>
      <c r="C705" s="24">
        <v>241218000008</v>
      </c>
      <c r="D705" s="25">
        <v>45651</v>
      </c>
      <c r="E705" s="25" t="s">
        <v>54</v>
      </c>
      <c r="F705" s="23" t="s">
        <v>55</v>
      </c>
      <c r="G705" s="23" t="s">
        <v>227</v>
      </c>
      <c r="H705" s="23">
        <v>0.5</v>
      </c>
      <c r="I705" s="43">
        <v>97.9</v>
      </c>
      <c r="J705" s="44"/>
      <c r="K705" s="45"/>
      <c r="L705" s="23"/>
      <c r="M705" s="45"/>
      <c r="N705" s="57"/>
      <c r="O705" s="47">
        <f t="shared" si="392"/>
        <v>97.9</v>
      </c>
      <c r="P705" s="49"/>
      <c r="Q705" s="49"/>
      <c r="R705" s="77">
        <f t="shared" si="383"/>
        <v>29.3526941657376</v>
      </c>
      <c r="S705" s="77"/>
      <c r="T705" s="78">
        <f t="shared" si="384"/>
        <v>0.0436083240431066</v>
      </c>
      <c r="U705" s="77"/>
      <c r="V705" s="77"/>
      <c r="W705" s="77">
        <f t="shared" si="381"/>
        <v>29.3963024897808</v>
      </c>
      <c r="X705" s="79">
        <f t="shared" si="385"/>
        <v>0.356638795986622</v>
      </c>
      <c r="Y705" s="79"/>
      <c r="Z705" s="79"/>
      <c r="AA705" s="79">
        <f t="shared" si="382"/>
        <v>0.356638795986622</v>
      </c>
      <c r="AB705" s="91">
        <v>7.27</v>
      </c>
      <c r="AC705" s="77">
        <f t="shared" si="394"/>
        <v>2.59276404682274</v>
      </c>
      <c r="AD705" s="77">
        <f t="shared" si="393"/>
        <v>31.9890665366035</v>
      </c>
      <c r="AE705" s="77">
        <f t="shared" si="389"/>
        <v>65.9109334633965</v>
      </c>
    </row>
    <row r="706" customFormat="1" spans="1:31">
      <c r="A706" s="22"/>
      <c r="B706" s="23"/>
      <c r="C706" s="24">
        <v>241218000009</v>
      </c>
      <c r="D706" s="25">
        <v>45651</v>
      </c>
      <c r="E706" s="25" t="s">
        <v>54</v>
      </c>
      <c r="F706" s="23" t="s">
        <v>55</v>
      </c>
      <c r="G706" s="23" t="s">
        <v>473</v>
      </c>
      <c r="H706" s="23">
        <v>3</v>
      </c>
      <c r="I706" s="43">
        <v>268</v>
      </c>
      <c r="J706" s="44"/>
      <c r="K706" s="45"/>
      <c r="L706" s="23"/>
      <c r="M706" s="45"/>
      <c r="N706" s="57"/>
      <c r="O706" s="47">
        <f t="shared" si="392"/>
        <v>268</v>
      </c>
      <c r="P706" s="49"/>
      <c r="Q706" s="49"/>
      <c r="R706" s="77">
        <f t="shared" si="383"/>
        <v>176.116164994426</v>
      </c>
      <c r="S706" s="77"/>
      <c r="T706" s="78">
        <f t="shared" si="384"/>
        <v>0.26164994425864</v>
      </c>
      <c r="U706" s="77"/>
      <c r="V706" s="77"/>
      <c r="W706" s="77">
        <f t="shared" si="381"/>
        <v>176.377814938685</v>
      </c>
      <c r="X706" s="79">
        <f t="shared" si="385"/>
        <v>2.13983277591973</v>
      </c>
      <c r="Y706" s="79"/>
      <c r="Z706" s="79"/>
      <c r="AA706" s="79">
        <f t="shared" si="382"/>
        <v>2.13983277591973</v>
      </c>
      <c r="AB706" s="91">
        <v>7.27</v>
      </c>
      <c r="AC706" s="77">
        <f t="shared" si="394"/>
        <v>15.5565842809365</v>
      </c>
      <c r="AD706" s="77">
        <f t="shared" si="393"/>
        <v>191.934399219621</v>
      </c>
      <c r="AE706" s="77">
        <f t="shared" si="389"/>
        <v>76.065600780379</v>
      </c>
    </row>
    <row r="707" customFormat="1" spans="1:31">
      <c r="A707" s="22"/>
      <c r="B707" s="23"/>
      <c r="C707" s="24">
        <v>241218000010</v>
      </c>
      <c r="D707" s="25">
        <v>45651</v>
      </c>
      <c r="E707" s="25" t="s">
        <v>54</v>
      </c>
      <c r="F707" s="23" t="s">
        <v>55</v>
      </c>
      <c r="G707" s="23" t="s">
        <v>449</v>
      </c>
      <c r="H707" s="23">
        <v>4</v>
      </c>
      <c r="I707" s="47"/>
      <c r="J707" s="51">
        <v>88209</v>
      </c>
      <c r="K707" s="45"/>
      <c r="L707" s="52">
        <f>SUM(J707/M707)</f>
        <v>1650</v>
      </c>
      <c r="M707" s="53">
        <v>53.46</v>
      </c>
      <c r="N707" s="57">
        <v>7.27</v>
      </c>
      <c r="O707" s="47">
        <f>SUM(M707*N707)</f>
        <v>388.6542</v>
      </c>
      <c r="P707" s="49"/>
      <c r="Q707" s="49"/>
      <c r="R707" s="77">
        <f t="shared" si="383"/>
        <v>234.821553325901</v>
      </c>
      <c r="S707" s="77"/>
      <c r="T707" s="78">
        <f t="shared" si="384"/>
        <v>0.348866592344853</v>
      </c>
      <c r="U707" s="77"/>
      <c r="V707" s="77"/>
      <c r="W707" s="77">
        <f t="shared" si="381"/>
        <v>235.170419918246</v>
      </c>
      <c r="X707" s="79">
        <f t="shared" si="385"/>
        <v>2.85311036789298</v>
      </c>
      <c r="Y707" s="79"/>
      <c r="Z707" s="79"/>
      <c r="AA707" s="79">
        <f t="shared" si="382"/>
        <v>2.85311036789298</v>
      </c>
      <c r="AB707" s="91">
        <v>7.27</v>
      </c>
      <c r="AC707" s="77">
        <f t="shared" si="394"/>
        <v>20.7421123745819</v>
      </c>
      <c r="AD707" s="77">
        <f t="shared" si="393"/>
        <v>255.912532292828</v>
      </c>
      <c r="AE707" s="77">
        <f t="shared" si="389"/>
        <v>132.741667707172</v>
      </c>
    </row>
    <row r="708" customFormat="1" spans="1:31">
      <c r="A708" s="22"/>
      <c r="B708" s="23"/>
      <c r="C708" s="24">
        <v>241218000017</v>
      </c>
      <c r="D708" s="26">
        <v>45651</v>
      </c>
      <c r="E708" s="25" t="s">
        <v>70</v>
      </c>
      <c r="F708" s="23" t="s">
        <v>70</v>
      </c>
      <c r="G708" s="23" t="s">
        <v>413</v>
      </c>
      <c r="H708" s="23">
        <v>24</v>
      </c>
      <c r="I708" s="50">
        <v>1988.8</v>
      </c>
      <c r="J708" s="44"/>
      <c r="K708" s="45"/>
      <c r="L708" s="23"/>
      <c r="M708" s="45"/>
      <c r="N708" s="57"/>
      <c r="O708" s="47">
        <f t="shared" ref="O708:O715" si="395">SUM(I708)</f>
        <v>1988.8</v>
      </c>
      <c r="P708" s="49"/>
      <c r="Q708" s="49"/>
      <c r="R708" s="77">
        <f t="shared" si="383"/>
        <v>1408.92931995541</v>
      </c>
      <c r="S708" s="77"/>
      <c r="T708" s="78">
        <f t="shared" si="384"/>
        <v>2.09319955406912</v>
      </c>
      <c r="U708" s="77"/>
      <c r="V708" s="77"/>
      <c r="W708" s="77">
        <f t="shared" si="381"/>
        <v>1411.02251950948</v>
      </c>
      <c r="X708" s="79">
        <f t="shared" si="385"/>
        <v>17.1186622073579</v>
      </c>
      <c r="Y708" s="79"/>
      <c r="Z708" s="79"/>
      <c r="AA708" s="79">
        <f t="shared" si="382"/>
        <v>17.1186622073579</v>
      </c>
      <c r="AB708" s="91">
        <v>7.27</v>
      </c>
      <c r="AC708" s="77">
        <f t="shared" si="394"/>
        <v>124.452674247492</v>
      </c>
      <c r="AD708" s="77">
        <f t="shared" si="393"/>
        <v>1535.47519375697</v>
      </c>
      <c r="AE708" s="77">
        <f t="shared" si="389"/>
        <v>453.324806243032</v>
      </c>
    </row>
    <row r="709" customFormat="1" spans="1:31">
      <c r="A709" s="22"/>
      <c r="B709" s="23"/>
      <c r="C709" s="24">
        <v>241218000022</v>
      </c>
      <c r="D709" s="26">
        <v>45651</v>
      </c>
      <c r="E709" s="25" t="s">
        <v>57</v>
      </c>
      <c r="F709" s="23" t="s">
        <v>58</v>
      </c>
      <c r="G709" s="23" t="s">
        <v>59</v>
      </c>
      <c r="H709" s="23">
        <v>5.5</v>
      </c>
      <c r="I709" s="47"/>
      <c r="J709" s="51">
        <v>111738</v>
      </c>
      <c r="K709" s="45"/>
      <c r="L709" s="52">
        <f>SUM(J709/M709)</f>
        <v>1650</v>
      </c>
      <c r="M709" s="53">
        <v>67.72</v>
      </c>
      <c r="N709" s="57">
        <v>7.27</v>
      </c>
      <c r="O709" s="47">
        <f>SUM(M709*N709)</f>
        <v>492.3244</v>
      </c>
      <c r="P709" s="49"/>
      <c r="Q709" s="49"/>
      <c r="R709" s="77">
        <f t="shared" si="383"/>
        <v>322.879635823114</v>
      </c>
      <c r="S709" s="77"/>
      <c r="T709" s="78">
        <f t="shared" si="384"/>
        <v>0.479691564474173</v>
      </c>
      <c r="U709" s="77"/>
      <c r="V709" s="77"/>
      <c r="W709" s="77">
        <f t="shared" si="381"/>
        <v>323.359327387588</v>
      </c>
      <c r="X709" s="79">
        <f t="shared" si="385"/>
        <v>3.92302675585284</v>
      </c>
      <c r="Y709" s="79"/>
      <c r="Z709" s="79"/>
      <c r="AA709" s="79">
        <f t="shared" si="382"/>
        <v>3.92302675585284</v>
      </c>
      <c r="AB709" s="91">
        <v>7.27</v>
      </c>
      <c r="AC709" s="77">
        <f t="shared" si="394"/>
        <v>28.5204045150502</v>
      </c>
      <c r="AD709" s="77">
        <f t="shared" si="393"/>
        <v>351.879731902638</v>
      </c>
      <c r="AE709" s="77">
        <f t="shared" si="389"/>
        <v>140.444668097362</v>
      </c>
    </row>
    <row r="710" customFormat="1" spans="1:31">
      <c r="A710" s="22"/>
      <c r="B710" s="23"/>
      <c r="C710" s="24">
        <v>241219000002</v>
      </c>
      <c r="D710" s="26">
        <v>45651</v>
      </c>
      <c r="E710" s="25" t="s">
        <v>70</v>
      </c>
      <c r="F710" s="23" t="s">
        <v>109</v>
      </c>
      <c r="G710" s="23" t="s">
        <v>110</v>
      </c>
      <c r="H710" s="23">
        <v>19</v>
      </c>
      <c r="I710" s="43">
        <v>1741.3</v>
      </c>
      <c r="J710" s="44"/>
      <c r="K710" s="45"/>
      <c r="L710" s="23"/>
      <c r="M710" s="45"/>
      <c r="N710" s="57"/>
      <c r="O710" s="47">
        <f t="shared" si="395"/>
        <v>1741.3</v>
      </c>
      <c r="P710" s="49"/>
      <c r="Q710" s="49"/>
      <c r="R710" s="77">
        <f t="shared" si="383"/>
        <v>1115.40237829803</v>
      </c>
      <c r="S710" s="77"/>
      <c r="T710" s="78">
        <f t="shared" si="384"/>
        <v>1.65711631363805</v>
      </c>
      <c r="U710" s="77"/>
      <c r="V710" s="77"/>
      <c r="W710" s="77">
        <f t="shared" si="381"/>
        <v>1117.05949461167</v>
      </c>
      <c r="X710" s="79">
        <f t="shared" si="385"/>
        <v>13.5522742474916</v>
      </c>
      <c r="Y710" s="79"/>
      <c r="Z710" s="79"/>
      <c r="AA710" s="79">
        <f t="shared" si="382"/>
        <v>13.5522742474916</v>
      </c>
      <c r="AB710" s="91">
        <v>7.27</v>
      </c>
      <c r="AC710" s="77">
        <f t="shared" si="394"/>
        <v>98.5250337792642</v>
      </c>
      <c r="AD710" s="77">
        <f t="shared" si="393"/>
        <v>1215.58452839093</v>
      </c>
      <c r="AE710" s="77">
        <f t="shared" si="389"/>
        <v>525.715471609067</v>
      </c>
    </row>
    <row r="711" customFormat="1" spans="1:31">
      <c r="A711" s="22"/>
      <c r="B711" s="23"/>
      <c r="C711" s="24">
        <v>241220000007</v>
      </c>
      <c r="D711" s="25">
        <v>45651</v>
      </c>
      <c r="E711" s="25" t="s">
        <v>54</v>
      </c>
      <c r="F711" s="23" t="s">
        <v>55</v>
      </c>
      <c r="G711" s="23" t="s">
        <v>474</v>
      </c>
      <c r="H711" s="23">
        <v>16.5</v>
      </c>
      <c r="I711" s="43">
        <v>1460.25</v>
      </c>
      <c r="J711" s="44"/>
      <c r="K711" s="45"/>
      <c r="L711" s="23"/>
      <c r="M711" s="45"/>
      <c r="N711" s="57"/>
      <c r="O711" s="47">
        <f t="shared" si="395"/>
        <v>1460.25</v>
      </c>
      <c r="P711" s="49"/>
      <c r="Q711" s="49"/>
      <c r="R711" s="77">
        <f t="shared" si="383"/>
        <v>968.638907469342</v>
      </c>
      <c r="S711" s="77"/>
      <c r="T711" s="78">
        <f t="shared" si="384"/>
        <v>1.43907469342252</v>
      </c>
      <c r="U711" s="77"/>
      <c r="V711" s="77"/>
      <c r="W711" s="77">
        <f t="shared" si="381"/>
        <v>970.077982162765</v>
      </c>
      <c r="X711" s="79">
        <f t="shared" si="385"/>
        <v>11.7690802675585</v>
      </c>
      <c r="Y711" s="79"/>
      <c r="Z711" s="79"/>
      <c r="AA711" s="79">
        <f t="shared" si="382"/>
        <v>11.7690802675585</v>
      </c>
      <c r="AB711" s="91">
        <v>7.27</v>
      </c>
      <c r="AC711" s="77">
        <f t="shared" si="394"/>
        <v>85.5612135451505</v>
      </c>
      <c r="AD711" s="77">
        <f t="shared" si="393"/>
        <v>1055.63919570792</v>
      </c>
      <c r="AE711" s="77">
        <f t="shared" si="389"/>
        <v>404.610804292085</v>
      </c>
    </row>
    <row r="712" customFormat="1" spans="1:31">
      <c r="A712" s="22"/>
      <c r="B712" s="23"/>
      <c r="C712" s="24">
        <v>241220000024</v>
      </c>
      <c r="D712" s="26">
        <v>45651</v>
      </c>
      <c r="E712" s="25" t="s">
        <v>70</v>
      </c>
      <c r="F712" s="23" t="s">
        <v>70</v>
      </c>
      <c r="G712" s="23" t="s">
        <v>475</v>
      </c>
      <c r="H712" s="23">
        <v>27</v>
      </c>
      <c r="I712" s="43">
        <v>2286</v>
      </c>
      <c r="J712" s="44"/>
      <c r="K712" s="45"/>
      <c r="L712" s="23"/>
      <c r="M712" s="45"/>
      <c r="N712" s="57"/>
      <c r="O712" s="47">
        <f t="shared" si="395"/>
        <v>2286</v>
      </c>
      <c r="P712" s="49"/>
      <c r="Q712" s="49"/>
      <c r="R712" s="77">
        <f t="shared" si="383"/>
        <v>1585.04548494983</v>
      </c>
      <c r="S712" s="77"/>
      <c r="T712" s="78">
        <f t="shared" si="384"/>
        <v>2.35484949832776</v>
      </c>
      <c r="U712" s="77">
        <f>SUM(73+80)</f>
        <v>153</v>
      </c>
      <c r="V712" s="77"/>
      <c r="W712" s="77">
        <f t="shared" si="381"/>
        <v>1740.40033444816</v>
      </c>
      <c r="X712" s="79">
        <f t="shared" si="385"/>
        <v>19.2584949832776</v>
      </c>
      <c r="Y712" s="79"/>
      <c r="Z712" s="79"/>
      <c r="AA712" s="79">
        <f t="shared" si="382"/>
        <v>19.2584949832776</v>
      </c>
      <c r="AB712" s="91">
        <v>7.27</v>
      </c>
      <c r="AC712" s="77">
        <f t="shared" si="394"/>
        <v>140.009258528428</v>
      </c>
      <c r="AD712" s="77">
        <f t="shared" si="393"/>
        <v>1880.40959297659</v>
      </c>
      <c r="AE712" s="77">
        <f t="shared" si="389"/>
        <v>405.590407023411</v>
      </c>
    </row>
    <row r="713" customFormat="1" spans="1:31">
      <c r="A713" s="22"/>
      <c r="B713" s="23"/>
      <c r="C713" s="24">
        <v>241220000031</v>
      </c>
      <c r="D713" s="26">
        <v>45651</v>
      </c>
      <c r="E713" s="25" t="s">
        <v>143</v>
      </c>
      <c r="F713" s="23" t="s">
        <v>144</v>
      </c>
      <c r="G713" s="23" t="s">
        <v>214</v>
      </c>
      <c r="H713" s="23">
        <v>376.5</v>
      </c>
      <c r="I713" s="43">
        <v>29683</v>
      </c>
      <c r="J713" s="44"/>
      <c r="K713" s="45"/>
      <c r="L713" s="23"/>
      <c r="M713" s="45"/>
      <c r="N713" s="57"/>
      <c r="O713" s="47">
        <f t="shared" si="395"/>
        <v>29683</v>
      </c>
      <c r="P713" s="49"/>
      <c r="Q713" s="49"/>
      <c r="R713" s="77">
        <f t="shared" si="383"/>
        <v>22102.5787068004</v>
      </c>
      <c r="S713" s="77"/>
      <c r="T713" s="78">
        <f t="shared" si="384"/>
        <v>32.8370680044593</v>
      </c>
      <c r="U713" s="77"/>
      <c r="V713" s="77"/>
      <c r="W713" s="77">
        <f t="shared" si="381"/>
        <v>22135.4157748049</v>
      </c>
      <c r="X713" s="79">
        <f t="shared" si="385"/>
        <v>268.549013377926</v>
      </c>
      <c r="Y713" s="79"/>
      <c r="Z713" s="79"/>
      <c r="AA713" s="79">
        <f t="shared" si="382"/>
        <v>268.549013377926</v>
      </c>
      <c r="AB713" s="91">
        <v>7.27</v>
      </c>
      <c r="AC713" s="77">
        <f t="shared" si="394"/>
        <v>1952.35132725753</v>
      </c>
      <c r="AD713" s="77">
        <f t="shared" si="393"/>
        <v>24087.7671020624</v>
      </c>
      <c r="AE713" s="77">
        <f t="shared" si="389"/>
        <v>5595.23289793757</v>
      </c>
    </row>
    <row r="714" customFormat="1" spans="1:31">
      <c r="A714" s="22"/>
      <c r="B714" s="23"/>
      <c r="C714" s="24">
        <v>241220000035</v>
      </c>
      <c r="D714" s="25">
        <v>45651</v>
      </c>
      <c r="E714" s="25" t="s">
        <v>37</v>
      </c>
      <c r="F714" s="23" t="s">
        <v>38</v>
      </c>
      <c r="G714" s="23" t="s">
        <v>476</v>
      </c>
      <c r="H714" s="23">
        <v>17.5</v>
      </c>
      <c r="I714" s="43">
        <v>1458.5</v>
      </c>
      <c r="J714" s="44"/>
      <c r="K714" s="45"/>
      <c r="L714" s="23"/>
      <c r="M714" s="45"/>
      <c r="N714" s="57"/>
      <c r="O714" s="47">
        <f t="shared" si="395"/>
        <v>1458.5</v>
      </c>
      <c r="P714" s="49"/>
      <c r="Q714" s="49"/>
      <c r="R714" s="77">
        <f t="shared" si="383"/>
        <v>1027.34429580082</v>
      </c>
      <c r="S714" s="77"/>
      <c r="T714" s="78">
        <f t="shared" si="384"/>
        <v>1.52629134150873</v>
      </c>
      <c r="U714" s="77"/>
      <c r="V714" s="77"/>
      <c r="W714" s="77">
        <f t="shared" si="381"/>
        <v>1028.87058714233</v>
      </c>
      <c r="X714" s="79">
        <f t="shared" si="385"/>
        <v>12.4823578595318</v>
      </c>
      <c r="Y714" s="79"/>
      <c r="Z714" s="79"/>
      <c r="AA714" s="79">
        <f t="shared" si="382"/>
        <v>12.4823578595318</v>
      </c>
      <c r="AB714" s="91">
        <v>7.27</v>
      </c>
      <c r="AC714" s="77">
        <f t="shared" si="394"/>
        <v>90.746741638796</v>
      </c>
      <c r="AD714" s="77">
        <f t="shared" si="393"/>
        <v>1119.61732878112</v>
      </c>
      <c r="AE714" s="77">
        <f t="shared" si="389"/>
        <v>338.882671218877</v>
      </c>
    </row>
    <row r="715" customFormat="1" spans="1:31">
      <c r="A715" s="22"/>
      <c r="B715" s="23"/>
      <c r="C715" s="24">
        <v>241220000041</v>
      </c>
      <c r="D715" s="25">
        <v>45651</v>
      </c>
      <c r="E715" s="25" t="s">
        <v>44</v>
      </c>
      <c r="F715" s="23" t="s">
        <v>45</v>
      </c>
      <c r="G715" s="23" t="s">
        <v>146</v>
      </c>
      <c r="H715" s="23">
        <v>15</v>
      </c>
      <c r="I715" s="43">
        <v>1170</v>
      </c>
      <c r="J715" s="44"/>
      <c r="K715" s="45"/>
      <c r="L715" s="23"/>
      <c r="M715" s="45"/>
      <c r="N715" s="57"/>
      <c r="O715" s="47">
        <f t="shared" si="395"/>
        <v>1170</v>
      </c>
      <c r="P715" s="49"/>
      <c r="Q715" s="49"/>
      <c r="R715" s="77">
        <f t="shared" si="383"/>
        <v>880.580824972129</v>
      </c>
      <c r="S715" s="77"/>
      <c r="T715" s="78">
        <f t="shared" si="384"/>
        <v>1.3082497212932</v>
      </c>
      <c r="U715" s="77"/>
      <c r="V715" s="77"/>
      <c r="W715" s="77">
        <f t="shared" si="381"/>
        <v>881.889074693423</v>
      </c>
      <c r="X715" s="79">
        <f t="shared" si="385"/>
        <v>10.6991638795987</v>
      </c>
      <c r="Y715" s="79"/>
      <c r="Z715" s="79"/>
      <c r="AA715" s="79">
        <f t="shared" si="382"/>
        <v>10.6991638795987</v>
      </c>
      <c r="AB715" s="91">
        <v>7.27</v>
      </c>
      <c r="AC715" s="77">
        <f t="shared" si="394"/>
        <v>77.7829214046823</v>
      </c>
      <c r="AD715" s="77">
        <f t="shared" si="393"/>
        <v>959.671996098105</v>
      </c>
      <c r="AE715" s="77">
        <f t="shared" si="389"/>
        <v>210.328003901895</v>
      </c>
    </row>
    <row r="716" customFormat="1" spans="1:31">
      <c r="A716" s="22"/>
      <c r="B716" s="23"/>
      <c r="C716" s="24">
        <v>241220000042</v>
      </c>
      <c r="D716" s="25">
        <v>45651</v>
      </c>
      <c r="E716" s="25" t="s">
        <v>54</v>
      </c>
      <c r="F716" s="23" t="s">
        <v>55</v>
      </c>
      <c r="G716" s="23" t="s">
        <v>349</v>
      </c>
      <c r="H716" s="23">
        <v>0.42</v>
      </c>
      <c r="I716" s="47"/>
      <c r="J716" s="51">
        <v>21340.44</v>
      </c>
      <c r="K716" s="45"/>
      <c r="L716" s="52">
        <f>SUM(J716/M716)</f>
        <v>1683.00013272872</v>
      </c>
      <c r="M716" s="53">
        <v>12.679999</v>
      </c>
      <c r="N716" s="57">
        <v>7.27</v>
      </c>
      <c r="O716" s="47">
        <f>SUM(M716*N716)</f>
        <v>92.18359273</v>
      </c>
      <c r="P716" s="49"/>
      <c r="Q716" s="49"/>
      <c r="R716" s="77">
        <f t="shared" si="383"/>
        <v>24.6562630992196</v>
      </c>
      <c r="S716" s="77"/>
      <c r="T716" s="78">
        <f t="shared" si="384"/>
        <v>0.0366309921962096</v>
      </c>
      <c r="U716" s="77"/>
      <c r="V716" s="77"/>
      <c r="W716" s="77">
        <f t="shared" si="381"/>
        <v>24.6928940914158</v>
      </c>
      <c r="X716" s="79">
        <f t="shared" si="385"/>
        <v>0.299576588628763</v>
      </c>
      <c r="Y716" s="79"/>
      <c r="Z716" s="79"/>
      <c r="AA716" s="79">
        <f t="shared" si="382"/>
        <v>0.299576588628763</v>
      </c>
      <c r="AB716" s="91">
        <v>7.27</v>
      </c>
      <c r="AC716" s="77">
        <f t="shared" si="394"/>
        <v>2.1779217993311</v>
      </c>
      <c r="AD716" s="77">
        <f t="shared" si="393"/>
        <v>26.8708158907469</v>
      </c>
      <c r="AE716" s="77">
        <f t="shared" si="389"/>
        <v>65.3127768392531</v>
      </c>
    </row>
    <row r="717" customFormat="1" spans="1:31">
      <c r="A717" s="22"/>
      <c r="B717" s="23"/>
      <c r="C717" s="24">
        <v>241220000046</v>
      </c>
      <c r="D717" s="25">
        <v>45651</v>
      </c>
      <c r="E717" s="25" t="s">
        <v>37</v>
      </c>
      <c r="F717" s="23" t="s">
        <v>38</v>
      </c>
      <c r="G717" s="23" t="s">
        <v>154</v>
      </c>
      <c r="H717" s="23">
        <v>1.5</v>
      </c>
      <c r="I717" s="43">
        <v>174</v>
      </c>
      <c r="J717" s="44"/>
      <c r="K717" s="45"/>
      <c r="L717" s="23"/>
      <c r="M717" s="45"/>
      <c r="N717" s="57"/>
      <c r="O717" s="47">
        <f t="shared" ref="O717:O719" si="396">SUM(I717)</f>
        <v>174</v>
      </c>
      <c r="P717" s="49"/>
      <c r="Q717" s="49"/>
      <c r="R717" s="77">
        <f t="shared" si="383"/>
        <v>88.0580824972129</v>
      </c>
      <c r="S717" s="77"/>
      <c r="T717" s="78">
        <f t="shared" si="384"/>
        <v>0.13082497212932</v>
      </c>
      <c r="U717" s="77"/>
      <c r="V717" s="77"/>
      <c r="W717" s="77">
        <f t="shared" ref="W717:W750" si="397">SUM(R717:V717)</f>
        <v>88.1889074693423</v>
      </c>
      <c r="X717" s="79">
        <f t="shared" si="385"/>
        <v>1.06991638795987</v>
      </c>
      <c r="Y717" s="79"/>
      <c r="Z717" s="79"/>
      <c r="AA717" s="79">
        <f t="shared" si="382"/>
        <v>1.06991638795987</v>
      </c>
      <c r="AB717" s="91">
        <v>7.27</v>
      </c>
      <c r="AC717" s="77">
        <f t="shared" ref="AC717:AC750" si="398">SUM(AA717*AB717)</f>
        <v>7.77829214046823</v>
      </c>
      <c r="AD717" s="77">
        <f t="shared" ref="AD717:AD750" si="399">SUM(W717+AC717)</f>
        <v>95.9671996098105</v>
      </c>
      <c r="AE717" s="77">
        <f t="shared" ref="AE717:AE750" si="400">SUM(O717-AD717)</f>
        <v>78.0328003901895</v>
      </c>
    </row>
    <row r="718" customFormat="1" spans="1:31">
      <c r="A718" s="22"/>
      <c r="B718" s="23"/>
      <c r="C718" s="24">
        <v>241220000047</v>
      </c>
      <c r="D718" s="26">
        <v>45651</v>
      </c>
      <c r="E718" s="25" t="s">
        <v>143</v>
      </c>
      <c r="F718" s="23" t="s">
        <v>144</v>
      </c>
      <c r="G718" s="23" t="s">
        <v>234</v>
      </c>
      <c r="H718" s="23">
        <v>718.5</v>
      </c>
      <c r="I718" s="96">
        <v>55683.75</v>
      </c>
      <c r="J718" s="44"/>
      <c r="K718" s="45"/>
      <c r="L718" s="23"/>
      <c r="M718" s="45"/>
      <c r="N718" s="57"/>
      <c r="O718" s="47">
        <f t="shared" si="396"/>
        <v>55683.75</v>
      </c>
      <c r="P718" s="55"/>
      <c r="Q718" s="55"/>
      <c r="R718" s="77">
        <f t="shared" si="383"/>
        <v>42179.821516165</v>
      </c>
      <c r="S718" s="77"/>
      <c r="T718" s="78">
        <f t="shared" si="384"/>
        <v>62.6651616499443</v>
      </c>
      <c r="U718" s="77"/>
      <c r="V718" s="77"/>
      <c r="W718" s="77">
        <f t="shared" si="397"/>
        <v>42242.4866778149</v>
      </c>
      <c r="X718" s="79">
        <f t="shared" si="385"/>
        <v>512.489949832776</v>
      </c>
      <c r="Y718" s="79"/>
      <c r="Z718" s="79"/>
      <c r="AA718" s="79">
        <f t="shared" ref="AA718:AA750" si="401">SUM(X718:Z718)</f>
        <v>512.489949832776</v>
      </c>
      <c r="AB718" s="91">
        <v>7.27</v>
      </c>
      <c r="AC718" s="77">
        <f t="shared" si="398"/>
        <v>3725.80193528428</v>
      </c>
      <c r="AD718" s="77">
        <f t="shared" si="399"/>
        <v>45968.2886130992</v>
      </c>
      <c r="AE718" s="77">
        <f t="shared" si="400"/>
        <v>9715.46138690078</v>
      </c>
    </row>
    <row r="719" customFormat="1" spans="1:31">
      <c r="A719" s="22" t="s">
        <v>477</v>
      </c>
      <c r="B719" s="23" t="s">
        <v>478</v>
      </c>
      <c r="C719" s="24">
        <v>241217000018</v>
      </c>
      <c r="D719" s="25">
        <v>45650</v>
      </c>
      <c r="E719" s="25" t="s">
        <v>54</v>
      </c>
      <c r="F719" s="23" t="s">
        <v>55</v>
      </c>
      <c r="G719" s="23" t="s">
        <v>125</v>
      </c>
      <c r="H719" s="23">
        <v>6.5</v>
      </c>
      <c r="I719" s="43">
        <v>506.5</v>
      </c>
      <c r="J719" s="44"/>
      <c r="K719" s="45"/>
      <c r="L719" s="23"/>
      <c r="M719" s="45"/>
      <c r="N719" s="57"/>
      <c r="O719" s="47">
        <f t="shared" si="396"/>
        <v>506.5</v>
      </c>
      <c r="P719" s="48">
        <f>SUM(O719:O750)</f>
        <v>140888.8596</v>
      </c>
      <c r="Q719" s="48" t="s">
        <v>185</v>
      </c>
      <c r="R719" s="77">
        <f>SUM(98190/1896)*H719</f>
        <v>336.621835443038</v>
      </c>
      <c r="S719" s="77"/>
      <c r="T719" s="78">
        <f>SUM(142.75/1896)*H719</f>
        <v>0.489385548523207</v>
      </c>
      <c r="U719" s="77"/>
      <c r="V719" s="77"/>
      <c r="W719" s="77">
        <f t="shared" si="397"/>
        <v>337.111220991561</v>
      </c>
      <c r="X719" s="79">
        <f>SUM(1603.88/1896)*H719</f>
        <v>5.49853375527426</v>
      </c>
      <c r="Y719" s="79"/>
      <c r="Z719" s="79"/>
      <c r="AA719" s="79">
        <f t="shared" si="401"/>
        <v>5.49853375527426</v>
      </c>
      <c r="AB719" s="91">
        <v>7.27</v>
      </c>
      <c r="AC719" s="77">
        <f t="shared" si="398"/>
        <v>39.9743404008439</v>
      </c>
      <c r="AD719" s="77">
        <f t="shared" si="399"/>
        <v>377.085561392405</v>
      </c>
      <c r="AE719" s="77">
        <f t="shared" si="400"/>
        <v>129.414438607595</v>
      </c>
    </row>
    <row r="720" customFormat="1" spans="1:31">
      <c r="A720" s="22"/>
      <c r="B720" s="23"/>
      <c r="C720" s="24">
        <v>241217000032</v>
      </c>
      <c r="D720" s="25">
        <v>45650</v>
      </c>
      <c r="E720" s="25" t="s">
        <v>61</v>
      </c>
      <c r="F720" s="23" t="s">
        <v>62</v>
      </c>
      <c r="G720" s="23" t="s">
        <v>205</v>
      </c>
      <c r="H720" s="23">
        <v>5</v>
      </c>
      <c r="I720" s="50"/>
      <c r="J720" s="51">
        <v>92287</v>
      </c>
      <c r="K720" s="45"/>
      <c r="L720" s="52">
        <f>SUM(J720/M720)</f>
        <v>1664.92873895003</v>
      </c>
      <c r="M720" s="53">
        <v>55.43</v>
      </c>
      <c r="N720" s="57">
        <v>7.27</v>
      </c>
      <c r="O720" s="47">
        <f>SUM(M720*N720)</f>
        <v>402.9761</v>
      </c>
      <c r="P720" s="49"/>
      <c r="Q720" s="49"/>
      <c r="R720" s="77">
        <f t="shared" ref="R720:R750" si="402">SUM(98190/1896)*H720</f>
        <v>258.939873417722</v>
      </c>
      <c r="S720" s="77"/>
      <c r="T720" s="78">
        <f t="shared" ref="T720:T750" si="403">SUM(142.75/1896)*H720</f>
        <v>0.376450421940928</v>
      </c>
      <c r="U720" s="77"/>
      <c r="V720" s="77"/>
      <c r="W720" s="77">
        <f t="shared" si="397"/>
        <v>259.316323839662</v>
      </c>
      <c r="X720" s="79">
        <f t="shared" ref="X720:X750" si="404">SUM(1603.88/1896)*H720</f>
        <v>4.22964135021097</v>
      </c>
      <c r="Y720" s="79"/>
      <c r="Z720" s="79"/>
      <c r="AA720" s="79">
        <f t="shared" si="401"/>
        <v>4.22964135021097</v>
      </c>
      <c r="AB720" s="91">
        <v>7.27</v>
      </c>
      <c r="AC720" s="77">
        <f t="shared" si="398"/>
        <v>30.7494926160338</v>
      </c>
      <c r="AD720" s="77">
        <f t="shared" si="399"/>
        <v>290.065816455696</v>
      </c>
      <c r="AE720" s="77">
        <f t="shared" si="400"/>
        <v>112.910283544304</v>
      </c>
    </row>
    <row r="721" customFormat="1" spans="1:31">
      <c r="A721" s="22"/>
      <c r="B721" s="23"/>
      <c r="C721" s="24">
        <v>241217000035</v>
      </c>
      <c r="D721" s="25">
        <v>45650</v>
      </c>
      <c r="E721" s="25" t="s">
        <v>61</v>
      </c>
      <c r="F721" s="23" t="s">
        <v>62</v>
      </c>
      <c r="G721" s="23" t="s">
        <v>298</v>
      </c>
      <c r="H721" s="23">
        <v>0.36</v>
      </c>
      <c r="I721" s="43">
        <v>89</v>
      </c>
      <c r="J721" s="44"/>
      <c r="K721" s="45"/>
      <c r="L721" s="23"/>
      <c r="M721" s="45"/>
      <c r="N721" s="57"/>
      <c r="O721" s="47">
        <f t="shared" ref="O721:O724" si="405">SUM(I721)</f>
        <v>89</v>
      </c>
      <c r="P721" s="49"/>
      <c r="Q721" s="49"/>
      <c r="R721" s="77">
        <f t="shared" si="402"/>
        <v>18.6436708860759</v>
      </c>
      <c r="S721" s="77"/>
      <c r="T721" s="78">
        <f t="shared" si="403"/>
        <v>0.0271044303797468</v>
      </c>
      <c r="U721" s="77"/>
      <c r="V721" s="77"/>
      <c r="W721" s="77">
        <f t="shared" si="397"/>
        <v>18.6707753164557</v>
      </c>
      <c r="X721" s="79">
        <f t="shared" si="404"/>
        <v>0.30453417721519</v>
      </c>
      <c r="Y721" s="79"/>
      <c r="Z721" s="79"/>
      <c r="AA721" s="79">
        <f t="shared" si="401"/>
        <v>0.30453417721519</v>
      </c>
      <c r="AB721" s="91">
        <v>7.27</v>
      </c>
      <c r="AC721" s="77">
        <f t="shared" si="398"/>
        <v>2.21396346835443</v>
      </c>
      <c r="AD721" s="77">
        <f t="shared" si="399"/>
        <v>20.8847387848101</v>
      </c>
      <c r="AE721" s="77">
        <f t="shared" si="400"/>
        <v>68.1152612151899</v>
      </c>
    </row>
    <row r="722" customFormat="1" spans="1:31">
      <c r="A722" s="22"/>
      <c r="B722" s="23"/>
      <c r="C722" s="24">
        <v>241217000053</v>
      </c>
      <c r="D722" s="25">
        <v>45650</v>
      </c>
      <c r="E722" s="25" t="s">
        <v>61</v>
      </c>
      <c r="F722" s="23" t="s">
        <v>62</v>
      </c>
      <c r="G722" s="23" t="s">
        <v>479</v>
      </c>
      <c r="H722" s="23">
        <v>10</v>
      </c>
      <c r="I722" s="43">
        <v>836</v>
      </c>
      <c r="J722" s="44"/>
      <c r="K722" s="45"/>
      <c r="L722" s="23"/>
      <c r="M722" s="45"/>
      <c r="N722" s="57"/>
      <c r="O722" s="47">
        <f t="shared" si="405"/>
        <v>836</v>
      </c>
      <c r="P722" s="49"/>
      <c r="Q722" s="49"/>
      <c r="R722" s="77">
        <f t="shared" si="402"/>
        <v>517.879746835443</v>
      </c>
      <c r="S722" s="77"/>
      <c r="T722" s="78">
        <f t="shared" si="403"/>
        <v>0.752900843881857</v>
      </c>
      <c r="U722" s="77"/>
      <c r="V722" s="77"/>
      <c r="W722" s="77">
        <f t="shared" si="397"/>
        <v>518.632647679325</v>
      </c>
      <c r="X722" s="79">
        <f t="shared" si="404"/>
        <v>8.45928270042194</v>
      </c>
      <c r="Y722" s="79"/>
      <c r="Z722" s="79"/>
      <c r="AA722" s="79">
        <f t="shared" si="401"/>
        <v>8.45928270042194</v>
      </c>
      <c r="AB722" s="91">
        <v>7.27</v>
      </c>
      <c r="AC722" s="77">
        <f t="shared" si="398"/>
        <v>61.4989852320675</v>
      </c>
      <c r="AD722" s="77">
        <f t="shared" si="399"/>
        <v>580.131632911392</v>
      </c>
      <c r="AE722" s="77">
        <f t="shared" si="400"/>
        <v>255.868367088608</v>
      </c>
    </row>
    <row r="723" customFormat="1" spans="1:31">
      <c r="A723" s="22"/>
      <c r="B723" s="23"/>
      <c r="C723" s="24">
        <v>241218000003</v>
      </c>
      <c r="D723" s="25">
        <v>45650</v>
      </c>
      <c r="E723" s="25" t="s">
        <v>37</v>
      </c>
      <c r="F723" s="23" t="s">
        <v>38</v>
      </c>
      <c r="G723" s="23" t="s">
        <v>268</v>
      </c>
      <c r="H723" s="23">
        <v>2.5</v>
      </c>
      <c r="I723" s="43">
        <v>203</v>
      </c>
      <c r="J723" s="44"/>
      <c r="K723" s="45"/>
      <c r="L723" s="23"/>
      <c r="M723" s="45"/>
      <c r="N723" s="57"/>
      <c r="O723" s="47">
        <f t="shared" si="405"/>
        <v>203</v>
      </c>
      <c r="P723" s="49"/>
      <c r="Q723" s="49"/>
      <c r="R723" s="77">
        <f t="shared" si="402"/>
        <v>129.469936708861</v>
      </c>
      <c r="S723" s="77"/>
      <c r="T723" s="78">
        <f t="shared" si="403"/>
        <v>0.188225210970464</v>
      </c>
      <c r="U723" s="77"/>
      <c r="V723" s="77"/>
      <c r="W723" s="77">
        <f t="shared" si="397"/>
        <v>129.658161919831</v>
      </c>
      <c r="X723" s="79">
        <f t="shared" si="404"/>
        <v>2.11482067510549</v>
      </c>
      <c r="Y723" s="79"/>
      <c r="Z723" s="79"/>
      <c r="AA723" s="79">
        <f t="shared" si="401"/>
        <v>2.11482067510549</v>
      </c>
      <c r="AB723" s="91">
        <v>7.27</v>
      </c>
      <c r="AC723" s="77">
        <f t="shared" si="398"/>
        <v>15.3747463080169</v>
      </c>
      <c r="AD723" s="77">
        <f t="shared" si="399"/>
        <v>145.032908227848</v>
      </c>
      <c r="AE723" s="77">
        <f t="shared" si="400"/>
        <v>57.9670917721519</v>
      </c>
    </row>
    <row r="724" customFormat="1" spans="1:31">
      <c r="A724" s="22"/>
      <c r="B724" s="23"/>
      <c r="C724" s="24">
        <v>241218000007</v>
      </c>
      <c r="D724" s="25">
        <v>45650</v>
      </c>
      <c r="E724" s="25" t="s">
        <v>54</v>
      </c>
      <c r="F724" s="23" t="s">
        <v>55</v>
      </c>
      <c r="G724" s="23" t="s">
        <v>125</v>
      </c>
      <c r="H724" s="23">
        <v>10.5</v>
      </c>
      <c r="I724" s="43">
        <v>814.5</v>
      </c>
      <c r="J724" s="44"/>
      <c r="K724" s="45"/>
      <c r="L724" s="23"/>
      <c r="M724" s="45"/>
      <c r="N724" s="57"/>
      <c r="O724" s="47">
        <f t="shared" si="405"/>
        <v>814.5</v>
      </c>
      <c r="P724" s="49"/>
      <c r="Q724" s="49"/>
      <c r="R724" s="77">
        <f t="shared" si="402"/>
        <v>543.773734177215</v>
      </c>
      <c r="S724" s="77"/>
      <c r="T724" s="78">
        <f t="shared" si="403"/>
        <v>0.790545886075949</v>
      </c>
      <c r="U724" s="77"/>
      <c r="V724" s="77"/>
      <c r="W724" s="77">
        <f t="shared" si="397"/>
        <v>544.564280063291</v>
      </c>
      <c r="X724" s="79">
        <f t="shared" si="404"/>
        <v>8.88224683544304</v>
      </c>
      <c r="Y724" s="79"/>
      <c r="Z724" s="79"/>
      <c r="AA724" s="79">
        <f t="shared" si="401"/>
        <v>8.88224683544304</v>
      </c>
      <c r="AB724" s="91">
        <v>7.27</v>
      </c>
      <c r="AC724" s="77">
        <f t="shared" si="398"/>
        <v>64.5739344936709</v>
      </c>
      <c r="AD724" s="77">
        <f t="shared" si="399"/>
        <v>609.138214556962</v>
      </c>
      <c r="AE724" s="77">
        <f t="shared" si="400"/>
        <v>205.361785443038</v>
      </c>
    </row>
    <row r="725" customFormat="1" spans="1:31">
      <c r="A725" s="22"/>
      <c r="B725" s="23"/>
      <c r="C725" s="24">
        <v>241218000015</v>
      </c>
      <c r="D725" s="25">
        <v>45650</v>
      </c>
      <c r="E725" s="25" t="s">
        <v>61</v>
      </c>
      <c r="F725" s="23" t="s">
        <v>62</v>
      </c>
      <c r="G725" s="23" t="s">
        <v>480</v>
      </c>
      <c r="H725" s="23">
        <v>22.5</v>
      </c>
      <c r="I725" s="96"/>
      <c r="J725" s="51">
        <v>418269.5</v>
      </c>
      <c r="K725" s="45"/>
      <c r="L725" s="52">
        <f t="shared" ref="L725:L727" si="406">SUM(J725/M725)</f>
        <v>1664.8867571548</v>
      </c>
      <c r="M725" s="53">
        <v>251.23</v>
      </c>
      <c r="N725" s="57">
        <v>7.27</v>
      </c>
      <c r="O725" s="47">
        <f t="shared" ref="O725:O729" si="407">SUM(M725*N725)</f>
        <v>1826.4421</v>
      </c>
      <c r="P725" s="49"/>
      <c r="Q725" s="49"/>
      <c r="R725" s="77">
        <f t="shared" si="402"/>
        <v>1165.22943037975</v>
      </c>
      <c r="S725" s="77"/>
      <c r="T725" s="78">
        <f t="shared" si="403"/>
        <v>1.69402689873418</v>
      </c>
      <c r="U725" s="77"/>
      <c r="V725" s="77"/>
      <c r="W725" s="77">
        <f t="shared" si="397"/>
        <v>1166.92345727848</v>
      </c>
      <c r="X725" s="79">
        <f t="shared" si="404"/>
        <v>19.0333860759494</v>
      </c>
      <c r="Y725" s="79">
        <v>18.01</v>
      </c>
      <c r="Z725" s="79"/>
      <c r="AA725" s="79">
        <f t="shared" si="401"/>
        <v>37.0433860759494</v>
      </c>
      <c r="AB725" s="91">
        <v>7.27</v>
      </c>
      <c r="AC725" s="77">
        <f t="shared" si="398"/>
        <v>269.305416772152</v>
      </c>
      <c r="AD725" s="77">
        <f t="shared" si="399"/>
        <v>1436.22887405063</v>
      </c>
      <c r="AE725" s="77">
        <f t="shared" si="400"/>
        <v>390.213225949367</v>
      </c>
    </row>
    <row r="726" customFormat="1" spans="1:31">
      <c r="A726" s="22"/>
      <c r="B726" s="23"/>
      <c r="C726" s="24">
        <v>241218000025</v>
      </c>
      <c r="D726" s="25">
        <v>45650</v>
      </c>
      <c r="E726" s="25" t="s">
        <v>54</v>
      </c>
      <c r="F726" s="23" t="s">
        <v>55</v>
      </c>
      <c r="G726" s="23" t="s">
        <v>349</v>
      </c>
      <c r="H726" s="23">
        <v>16.5</v>
      </c>
      <c r="I726" s="54">
        <v>1138.5</v>
      </c>
      <c r="J726" s="44"/>
      <c r="K726" s="45"/>
      <c r="L726" s="52"/>
      <c r="M726" s="45"/>
      <c r="N726" s="57"/>
      <c r="O726" s="47">
        <f>SUBTOTAL(9,I726)</f>
        <v>1138.5</v>
      </c>
      <c r="P726" s="49"/>
      <c r="Q726" s="49"/>
      <c r="R726" s="77">
        <f t="shared" si="402"/>
        <v>854.501582278481</v>
      </c>
      <c r="S726" s="77"/>
      <c r="T726" s="78">
        <f t="shared" si="403"/>
        <v>1.24228639240506</v>
      </c>
      <c r="U726" s="77"/>
      <c r="V726" s="77"/>
      <c r="W726" s="77">
        <f t="shared" si="397"/>
        <v>855.743868670886</v>
      </c>
      <c r="X726" s="79">
        <f t="shared" si="404"/>
        <v>13.9578164556962</v>
      </c>
      <c r="Y726" s="79"/>
      <c r="Z726" s="79"/>
      <c r="AA726" s="79">
        <f t="shared" si="401"/>
        <v>13.9578164556962</v>
      </c>
      <c r="AB726" s="91">
        <v>7.27</v>
      </c>
      <c r="AC726" s="77">
        <f t="shared" si="398"/>
        <v>101.473325632911</v>
      </c>
      <c r="AD726" s="77">
        <f t="shared" si="399"/>
        <v>957.217194303797</v>
      </c>
      <c r="AE726" s="77">
        <f t="shared" si="400"/>
        <v>181.282805696203</v>
      </c>
    </row>
    <row r="727" customFormat="1" spans="1:31">
      <c r="A727" s="22"/>
      <c r="B727" s="23"/>
      <c r="C727" s="24">
        <v>241218000031</v>
      </c>
      <c r="D727" s="25">
        <v>45650</v>
      </c>
      <c r="E727" s="25" t="s">
        <v>44</v>
      </c>
      <c r="F727" s="23" t="s">
        <v>45</v>
      </c>
      <c r="G727" s="23" t="s">
        <v>307</v>
      </c>
      <c r="H727" s="23">
        <v>1.5</v>
      </c>
      <c r="I727" s="96"/>
      <c r="J727" s="51">
        <v>24727.5</v>
      </c>
      <c r="K727" s="45"/>
      <c r="L727" s="52">
        <f t="shared" si="406"/>
        <v>1712.43074792244</v>
      </c>
      <c r="M727" s="53">
        <v>14.44</v>
      </c>
      <c r="N727" s="57">
        <v>7.27</v>
      </c>
      <c r="O727" s="47">
        <f t="shared" si="407"/>
        <v>104.9788</v>
      </c>
      <c r="P727" s="49"/>
      <c r="Q727" s="49"/>
      <c r="R727" s="77">
        <f t="shared" si="402"/>
        <v>77.6819620253165</v>
      </c>
      <c r="S727" s="77"/>
      <c r="T727" s="78">
        <f t="shared" si="403"/>
        <v>0.112935126582278</v>
      </c>
      <c r="U727" s="77"/>
      <c r="V727" s="77"/>
      <c r="W727" s="77">
        <f t="shared" si="397"/>
        <v>77.7948971518987</v>
      </c>
      <c r="X727" s="79">
        <f t="shared" si="404"/>
        <v>1.26889240506329</v>
      </c>
      <c r="Y727" s="79"/>
      <c r="Z727" s="79"/>
      <c r="AA727" s="79">
        <f t="shared" si="401"/>
        <v>1.26889240506329</v>
      </c>
      <c r="AB727" s="91">
        <v>7.27</v>
      </c>
      <c r="AC727" s="77">
        <f t="shared" si="398"/>
        <v>9.22484778481013</v>
      </c>
      <c r="AD727" s="77">
        <f t="shared" si="399"/>
        <v>87.0197449367089</v>
      </c>
      <c r="AE727" s="77">
        <f t="shared" si="400"/>
        <v>17.9590550632911</v>
      </c>
    </row>
    <row r="728" customFormat="1" spans="1:31">
      <c r="A728" s="22"/>
      <c r="B728" s="23"/>
      <c r="C728" s="24">
        <v>241219000004</v>
      </c>
      <c r="D728" s="25">
        <v>45650</v>
      </c>
      <c r="E728" s="25" t="s">
        <v>37</v>
      </c>
      <c r="F728" s="23" t="s">
        <v>38</v>
      </c>
      <c r="G728" s="23" t="s">
        <v>154</v>
      </c>
      <c r="H728" s="23">
        <v>15</v>
      </c>
      <c r="I728" s="43">
        <v>1052.7</v>
      </c>
      <c r="J728" s="44"/>
      <c r="K728" s="45"/>
      <c r="L728" s="23"/>
      <c r="M728" s="45"/>
      <c r="N728" s="57"/>
      <c r="O728" s="47">
        <f t="shared" ref="O728:O732" si="408">SUM(I728)</f>
        <v>1052.7</v>
      </c>
      <c r="P728" s="49"/>
      <c r="Q728" s="49"/>
      <c r="R728" s="77">
        <f t="shared" si="402"/>
        <v>776.819620253165</v>
      </c>
      <c r="S728" s="77"/>
      <c r="T728" s="78">
        <f t="shared" si="403"/>
        <v>1.12935126582278</v>
      </c>
      <c r="U728" s="77"/>
      <c r="V728" s="77"/>
      <c r="W728" s="77">
        <f t="shared" si="397"/>
        <v>777.948971518987</v>
      </c>
      <c r="X728" s="79">
        <f t="shared" si="404"/>
        <v>12.6889240506329</v>
      </c>
      <c r="Y728" s="79"/>
      <c r="Z728" s="79"/>
      <c r="AA728" s="79">
        <f t="shared" si="401"/>
        <v>12.6889240506329</v>
      </c>
      <c r="AB728" s="91">
        <v>7.27</v>
      </c>
      <c r="AC728" s="77">
        <f t="shared" si="398"/>
        <v>92.2484778481013</v>
      </c>
      <c r="AD728" s="77">
        <f t="shared" si="399"/>
        <v>870.197449367089</v>
      </c>
      <c r="AE728" s="77">
        <f t="shared" si="400"/>
        <v>182.502550632911</v>
      </c>
    </row>
    <row r="729" customFormat="1" spans="1:31">
      <c r="A729" s="22"/>
      <c r="B729" s="23"/>
      <c r="C729" s="24">
        <v>241219000005</v>
      </c>
      <c r="D729" s="25">
        <v>45650</v>
      </c>
      <c r="E729" s="25" t="s">
        <v>37</v>
      </c>
      <c r="F729" s="23" t="s">
        <v>38</v>
      </c>
      <c r="G729" s="23" t="s">
        <v>481</v>
      </c>
      <c r="H729" s="23">
        <v>2</v>
      </c>
      <c r="I729" s="47"/>
      <c r="J729" s="51">
        <v>40732</v>
      </c>
      <c r="K729" s="45"/>
      <c r="L729" s="52">
        <f>SUM(J729/M729)</f>
        <v>1667.29431027425</v>
      </c>
      <c r="M729" s="53">
        <v>24.43</v>
      </c>
      <c r="N729" s="57">
        <v>7.27</v>
      </c>
      <c r="O729" s="47">
        <f t="shared" si="407"/>
        <v>177.6061</v>
      </c>
      <c r="P729" s="49"/>
      <c r="Q729" s="49"/>
      <c r="R729" s="77">
        <f t="shared" si="402"/>
        <v>103.575949367089</v>
      </c>
      <c r="S729" s="77"/>
      <c r="T729" s="78">
        <f t="shared" si="403"/>
        <v>0.150580168776371</v>
      </c>
      <c r="U729" s="77"/>
      <c r="V729" s="77"/>
      <c r="W729" s="77">
        <f t="shared" si="397"/>
        <v>103.726529535865</v>
      </c>
      <c r="X729" s="79">
        <f t="shared" si="404"/>
        <v>1.69185654008439</v>
      </c>
      <c r="Y729" s="79"/>
      <c r="Z729" s="79"/>
      <c r="AA729" s="79">
        <f t="shared" si="401"/>
        <v>1.69185654008439</v>
      </c>
      <c r="AB729" s="91">
        <v>7.27</v>
      </c>
      <c r="AC729" s="77">
        <f t="shared" si="398"/>
        <v>12.2997970464135</v>
      </c>
      <c r="AD729" s="77">
        <f t="shared" si="399"/>
        <v>116.026326582278</v>
      </c>
      <c r="AE729" s="77">
        <f t="shared" si="400"/>
        <v>61.5797734177215</v>
      </c>
    </row>
    <row r="730" customFormat="1" spans="1:31">
      <c r="A730" s="22"/>
      <c r="B730" s="23"/>
      <c r="C730" s="24">
        <v>241219000008</v>
      </c>
      <c r="D730" s="25">
        <v>45650</v>
      </c>
      <c r="E730" s="25" t="s">
        <v>54</v>
      </c>
      <c r="F730" s="23" t="s">
        <v>55</v>
      </c>
      <c r="G730" s="23" t="s">
        <v>79</v>
      </c>
      <c r="H730" s="23">
        <v>2</v>
      </c>
      <c r="I730" s="43">
        <v>176</v>
      </c>
      <c r="J730" s="44"/>
      <c r="K730" s="45"/>
      <c r="L730" s="23"/>
      <c r="M730" s="45"/>
      <c r="N730" s="57"/>
      <c r="O730" s="47">
        <f t="shared" si="408"/>
        <v>176</v>
      </c>
      <c r="P730" s="49"/>
      <c r="Q730" s="49"/>
      <c r="R730" s="77">
        <f t="shared" si="402"/>
        <v>103.575949367089</v>
      </c>
      <c r="S730" s="77"/>
      <c r="T730" s="78">
        <f t="shared" si="403"/>
        <v>0.150580168776371</v>
      </c>
      <c r="U730" s="77"/>
      <c r="V730" s="77"/>
      <c r="W730" s="77">
        <f t="shared" si="397"/>
        <v>103.726529535865</v>
      </c>
      <c r="X730" s="79">
        <f t="shared" si="404"/>
        <v>1.69185654008439</v>
      </c>
      <c r="Y730" s="79"/>
      <c r="Z730" s="79"/>
      <c r="AA730" s="79">
        <f t="shared" si="401"/>
        <v>1.69185654008439</v>
      </c>
      <c r="AB730" s="91">
        <v>7.27</v>
      </c>
      <c r="AC730" s="77">
        <f t="shared" si="398"/>
        <v>12.2997970464135</v>
      </c>
      <c r="AD730" s="77">
        <f t="shared" si="399"/>
        <v>116.026326582278</v>
      </c>
      <c r="AE730" s="77">
        <f t="shared" si="400"/>
        <v>59.9736734177215</v>
      </c>
    </row>
    <row r="731" customFormat="1" spans="1:31">
      <c r="A731" s="22"/>
      <c r="B731" s="23"/>
      <c r="C731" s="24">
        <v>241219000011</v>
      </c>
      <c r="D731" s="25">
        <v>45650</v>
      </c>
      <c r="E731" s="25" t="s">
        <v>44</v>
      </c>
      <c r="F731" s="23" t="s">
        <v>45</v>
      </c>
      <c r="G731" s="23" t="s">
        <v>135</v>
      </c>
      <c r="H731" s="23">
        <v>8</v>
      </c>
      <c r="I731" s="43">
        <v>655</v>
      </c>
      <c r="J731" s="44"/>
      <c r="K731" s="45"/>
      <c r="L731" s="23"/>
      <c r="M731" s="45"/>
      <c r="N731" s="57"/>
      <c r="O731" s="47">
        <f t="shared" si="408"/>
        <v>655</v>
      </c>
      <c r="P731" s="49"/>
      <c r="Q731" s="49"/>
      <c r="R731" s="77">
        <f t="shared" si="402"/>
        <v>414.303797468354</v>
      </c>
      <c r="S731" s="77"/>
      <c r="T731" s="78">
        <f t="shared" si="403"/>
        <v>0.602320675105485</v>
      </c>
      <c r="U731" s="78">
        <v>55</v>
      </c>
      <c r="V731" s="77"/>
      <c r="W731" s="77">
        <f t="shared" si="397"/>
        <v>469.90611814346</v>
      </c>
      <c r="X731" s="79">
        <f t="shared" si="404"/>
        <v>6.76742616033755</v>
      </c>
      <c r="Y731" s="79"/>
      <c r="Z731" s="79"/>
      <c r="AA731" s="79">
        <f t="shared" si="401"/>
        <v>6.76742616033755</v>
      </c>
      <c r="AB731" s="91">
        <v>7.27</v>
      </c>
      <c r="AC731" s="77">
        <f t="shared" si="398"/>
        <v>49.199188185654</v>
      </c>
      <c r="AD731" s="77">
        <f t="shared" si="399"/>
        <v>519.105306329114</v>
      </c>
      <c r="AE731" s="77">
        <f t="shared" si="400"/>
        <v>135.894693670886</v>
      </c>
    </row>
    <row r="732" customFormat="1" spans="1:31">
      <c r="A732" s="22"/>
      <c r="B732" s="23"/>
      <c r="C732" s="24">
        <v>241219000019</v>
      </c>
      <c r="D732" s="25">
        <v>45650</v>
      </c>
      <c r="E732" s="25" t="s">
        <v>44</v>
      </c>
      <c r="F732" s="23" t="s">
        <v>45</v>
      </c>
      <c r="G732" s="23" t="s">
        <v>482</v>
      </c>
      <c r="H732" s="23">
        <v>6</v>
      </c>
      <c r="I732" s="43">
        <v>504</v>
      </c>
      <c r="J732" s="44"/>
      <c r="K732" s="45"/>
      <c r="L732" s="23"/>
      <c r="M732" s="45"/>
      <c r="N732" s="57"/>
      <c r="O732" s="47">
        <f t="shared" si="408"/>
        <v>504</v>
      </c>
      <c r="P732" s="49"/>
      <c r="Q732" s="49"/>
      <c r="R732" s="77">
        <f t="shared" si="402"/>
        <v>310.727848101266</v>
      </c>
      <c r="S732" s="77"/>
      <c r="T732" s="78">
        <f t="shared" si="403"/>
        <v>0.451740506329114</v>
      </c>
      <c r="U732" s="77"/>
      <c r="V732" s="77"/>
      <c r="W732" s="77">
        <f t="shared" si="397"/>
        <v>311.179588607595</v>
      </c>
      <c r="X732" s="79">
        <f t="shared" si="404"/>
        <v>5.07556962025317</v>
      </c>
      <c r="Y732" s="79"/>
      <c r="Z732" s="79"/>
      <c r="AA732" s="79">
        <f t="shared" si="401"/>
        <v>5.07556962025317</v>
      </c>
      <c r="AB732" s="91">
        <v>7.27</v>
      </c>
      <c r="AC732" s="77">
        <f t="shared" si="398"/>
        <v>36.8993911392405</v>
      </c>
      <c r="AD732" s="77">
        <f t="shared" si="399"/>
        <v>348.078979746835</v>
      </c>
      <c r="AE732" s="77">
        <f t="shared" si="400"/>
        <v>155.921020253165</v>
      </c>
    </row>
    <row r="733" customFormat="1" spans="1:31">
      <c r="A733" s="22"/>
      <c r="B733" s="23"/>
      <c r="C733" s="24">
        <v>241219000022</v>
      </c>
      <c r="D733" s="25">
        <v>45650</v>
      </c>
      <c r="E733" s="25" t="s">
        <v>37</v>
      </c>
      <c r="F733" s="23" t="s">
        <v>38</v>
      </c>
      <c r="G733" s="23" t="s">
        <v>127</v>
      </c>
      <c r="H733" s="23">
        <v>8</v>
      </c>
      <c r="I733" s="47"/>
      <c r="J733" s="51">
        <v>147345</v>
      </c>
      <c r="K733" s="45"/>
      <c r="L733" s="52">
        <f>SUM(J733/M733)</f>
        <v>1650</v>
      </c>
      <c r="M733" s="53">
        <v>89.3</v>
      </c>
      <c r="N733" s="57">
        <v>7.27</v>
      </c>
      <c r="O733" s="47">
        <f t="shared" ref="O733:O741" si="409">SUM(M733*N733)</f>
        <v>649.211</v>
      </c>
      <c r="P733" s="49"/>
      <c r="Q733" s="49"/>
      <c r="R733" s="77">
        <f t="shared" si="402"/>
        <v>414.303797468354</v>
      </c>
      <c r="S733" s="77"/>
      <c r="T733" s="78">
        <f t="shared" si="403"/>
        <v>0.602320675105485</v>
      </c>
      <c r="U733" s="77"/>
      <c r="V733" s="77"/>
      <c r="W733" s="77">
        <f t="shared" si="397"/>
        <v>414.90611814346</v>
      </c>
      <c r="X733" s="79">
        <f t="shared" si="404"/>
        <v>6.76742616033755</v>
      </c>
      <c r="Y733" s="79"/>
      <c r="Z733" s="79"/>
      <c r="AA733" s="79">
        <f t="shared" si="401"/>
        <v>6.76742616033755</v>
      </c>
      <c r="AB733" s="91">
        <v>7.27</v>
      </c>
      <c r="AC733" s="77">
        <f t="shared" si="398"/>
        <v>49.199188185654</v>
      </c>
      <c r="AD733" s="77">
        <f t="shared" si="399"/>
        <v>464.105306329114</v>
      </c>
      <c r="AE733" s="77">
        <f t="shared" si="400"/>
        <v>185.105693670886</v>
      </c>
    </row>
    <row r="734" customFormat="1" spans="1:31">
      <c r="A734" s="22"/>
      <c r="B734" s="23"/>
      <c r="C734" s="24">
        <v>241219000025</v>
      </c>
      <c r="D734" s="25">
        <v>45650</v>
      </c>
      <c r="E734" s="25" t="s">
        <v>44</v>
      </c>
      <c r="F734" s="23" t="s">
        <v>45</v>
      </c>
      <c r="G734" s="23" t="s">
        <v>483</v>
      </c>
      <c r="H734" s="23">
        <v>5</v>
      </c>
      <c r="I734" s="43">
        <v>350</v>
      </c>
      <c r="J734" s="44"/>
      <c r="K734" s="45"/>
      <c r="L734" s="23"/>
      <c r="M734" s="45"/>
      <c r="N734" s="57"/>
      <c r="O734" s="47">
        <f>SUM(I734)</f>
        <v>350</v>
      </c>
      <c r="P734" s="49"/>
      <c r="Q734" s="49"/>
      <c r="R734" s="77">
        <f t="shared" si="402"/>
        <v>258.939873417722</v>
      </c>
      <c r="S734" s="77"/>
      <c r="T734" s="78">
        <f t="shared" si="403"/>
        <v>0.376450421940928</v>
      </c>
      <c r="U734" s="77"/>
      <c r="V734" s="77"/>
      <c r="W734" s="77">
        <f t="shared" si="397"/>
        <v>259.316323839662</v>
      </c>
      <c r="X734" s="79">
        <f t="shared" si="404"/>
        <v>4.22964135021097</v>
      </c>
      <c r="Y734" s="79"/>
      <c r="Z734" s="79"/>
      <c r="AA734" s="79">
        <f t="shared" si="401"/>
        <v>4.22964135021097</v>
      </c>
      <c r="AB734" s="91">
        <v>7.27</v>
      </c>
      <c r="AC734" s="77">
        <f t="shared" si="398"/>
        <v>30.7494926160338</v>
      </c>
      <c r="AD734" s="77">
        <f t="shared" si="399"/>
        <v>290.065816455696</v>
      </c>
      <c r="AE734" s="77">
        <f t="shared" si="400"/>
        <v>59.9341835443038</v>
      </c>
    </row>
    <row r="735" customFormat="1" spans="1:31">
      <c r="A735" s="22"/>
      <c r="B735" s="23"/>
      <c r="C735" s="24">
        <v>241219000029</v>
      </c>
      <c r="D735" s="25">
        <v>45650</v>
      </c>
      <c r="E735" s="25" t="s">
        <v>37</v>
      </c>
      <c r="F735" s="23" t="s">
        <v>38</v>
      </c>
      <c r="G735" s="23" t="s">
        <v>476</v>
      </c>
      <c r="H735" s="23">
        <v>195.5</v>
      </c>
      <c r="I735" s="54">
        <v>16943</v>
      </c>
      <c r="J735" s="44"/>
      <c r="K735" s="45"/>
      <c r="L735" s="23"/>
      <c r="M735" s="45"/>
      <c r="N735" s="57"/>
      <c r="O735" s="47">
        <f>SUBTOTAL(9,I735)</f>
        <v>16943</v>
      </c>
      <c r="P735" s="49"/>
      <c r="Q735" s="49"/>
      <c r="R735" s="77">
        <f t="shared" si="402"/>
        <v>10124.5490506329</v>
      </c>
      <c r="S735" s="77"/>
      <c r="T735" s="78">
        <f t="shared" si="403"/>
        <v>14.7192114978903</v>
      </c>
      <c r="U735" s="77"/>
      <c r="V735" s="78">
        <v>67</v>
      </c>
      <c r="W735" s="77">
        <f t="shared" si="397"/>
        <v>10206.2682621308</v>
      </c>
      <c r="X735" s="79">
        <f t="shared" si="404"/>
        <v>165.378976793249</v>
      </c>
      <c r="Y735" s="79"/>
      <c r="Z735" s="79"/>
      <c r="AA735" s="79">
        <f t="shared" si="401"/>
        <v>165.378976793249</v>
      </c>
      <c r="AB735" s="91">
        <v>7.27</v>
      </c>
      <c r="AC735" s="77">
        <f t="shared" si="398"/>
        <v>1202.30516128692</v>
      </c>
      <c r="AD735" s="77">
        <f t="shared" si="399"/>
        <v>11408.5734234177</v>
      </c>
      <c r="AE735" s="77">
        <f t="shared" si="400"/>
        <v>5534.4265765823</v>
      </c>
    </row>
    <row r="736" customFormat="1" spans="1:31">
      <c r="A736" s="22"/>
      <c r="B736" s="23"/>
      <c r="C736" s="24">
        <v>241219000037</v>
      </c>
      <c r="D736" s="25">
        <v>45650</v>
      </c>
      <c r="E736" s="25" t="s">
        <v>44</v>
      </c>
      <c r="F736" s="23" t="s">
        <v>45</v>
      </c>
      <c r="G736" s="23" t="s">
        <v>130</v>
      </c>
      <c r="H736" s="23">
        <v>0.45</v>
      </c>
      <c r="I736" s="96"/>
      <c r="J736" s="51">
        <v>16812</v>
      </c>
      <c r="K736" s="45"/>
      <c r="L736" s="52">
        <f t="shared" ref="L736:L741" si="410">SUM(J736/M736)</f>
        <v>1698.18181818182</v>
      </c>
      <c r="M736" s="53">
        <v>9.9</v>
      </c>
      <c r="N736" s="57">
        <v>7.27</v>
      </c>
      <c r="O736" s="47">
        <f t="shared" si="409"/>
        <v>71.973</v>
      </c>
      <c r="P736" s="49"/>
      <c r="Q736" s="49"/>
      <c r="R736" s="77">
        <f t="shared" si="402"/>
        <v>23.3045886075949</v>
      </c>
      <c r="S736" s="77"/>
      <c r="T736" s="78">
        <f t="shared" si="403"/>
        <v>0.0338805379746835</v>
      </c>
      <c r="U736" s="77"/>
      <c r="V736" s="77"/>
      <c r="W736" s="77">
        <f t="shared" si="397"/>
        <v>23.3384691455696</v>
      </c>
      <c r="X736" s="79">
        <f t="shared" si="404"/>
        <v>0.380667721518987</v>
      </c>
      <c r="Y736" s="79"/>
      <c r="Z736" s="79"/>
      <c r="AA736" s="79">
        <f t="shared" si="401"/>
        <v>0.380667721518987</v>
      </c>
      <c r="AB736" s="91">
        <v>7.27</v>
      </c>
      <c r="AC736" s="77">
        <f t="shared" si="398"/>
        <v>2.76745433544304</v>
      </c>
      <c r="AD736" s="77">
        <f t="shared" si="399"/>
        <v>26.1059234810127</v>
      </c>
      <c r="AE736" s="77">
        <f t="shared" si="400"/>
        <v>45.8670765189873</v>
      </c>
    </row>
    <row r="737" customFormat="1" spans="1:31">
      <c r="A737" s="22"/>
      <c r="B737" s="23"/>
      <c r="C737" s="24">
        <v>241219000039</v>
      </c>
      <c r="D737" s="25">
        <v>45650</v>
      </c>
      <c r="E737" s="25" t="s">
        <v>44</v>
      </c>
      <c r="F737" s="23" t="s">
        <v>45</v>
      </c>
      <c r="G737" s="23" t="s">
        <v>484</v>
      </c>
      <c r="H737" s="23">
        <v>0.22</v>
      </c>
      <c r="I737" s="43">
        <v>89</v>
      </c>
      <c r="J737" s="44"/>
      <c r="K737" s="45"/>
      <c r="L737" s="23"/>
      <c r="M737" s="45"/>
      <c r="N737" s="57"/>
      <c r="O737" s="47">
        <f>SUM(I737)</f>
        <v>89</v>
      </c>
      <c r="P737" s="49"/>
      <c r="Q737" s="49"/>
      <c r="R737" s="77">
        <f t="shared" si="402"/>
        <v>11.3933544303797</v>
      </c>
      <c r="S737" s="77"/>
      <c r="T737" s="78">
        <f t="shared" si="403"/>
        <v>0.0165638185654008</v>
      </c>
      <c r="U737" s="77"/>
      <c r="V737" s="77"/>
      <c r="W737" s="77">
        <f t="shared" si="397"/>
        <v>11.4099182489451</v>
      </c>
      <c r="X737" s="79">
        <f t="shared" si="404"/>
        <v>0.186104219409283</v>
      </c>
      <c r="Y737" s="79"/>
      <c r="Z737" s="79"/>
      <c r="AA737" s="79">
        <f t="shared" si="401"/>
        <v>0.186104219409283</v>
      </c>
      <c r="AB737" s="91">
        <v>7.27</v>
      </c>
      <c r="AC737" s="77">
        <f t="shared" si="398"/>
        <v>1.35297767510549</v>
      </c>
      <c r="AD737" s="77">
        <f t="shared" si="399"/>
        <v>12.7628959240506</v>
      </c>
      <c r="AE737" s="77">
        <f t="shared" si="400"/>
        <v>76.2371040759494</v>
      </c>
    </row>
    <row r="738" customFormat="1" spans="1:31">
      <c r="A738" s="22"/>
      <c r="B738" s="23"/>
      <c r="C738" s="24">
        <v>241220000001</v>
      </c>
      <c r="D738" s="25">
        <v>45650</v>
      </c>
      <c r="E738" s="25" t="s">
        <v>37</v>
      </c>
      <c r="F738" s="23" t="s">
        <v>38</v>
      </c>
      <c r="G738" s="23" t="s">
        <v>256</v>
      </c>
      <c r="H738" s="23">
        <v>56.5</v>
      </c>
      <c r="I738" s="47"/>
      <c r="J738" s="51">
        <v>1039148</v>
      </c>
      <c r="K738" s="45"/>
      <c r="L738" s="52">
        <f t="shared" si="410"/>
        <v>1672</v>
      </c>
      <c r="M738" s="53">
        <v>621.5</v>
      </c>
      <c r="N738" s="57">
        <v>7.27</v>
      </c>
      <c r="O738" s="47">
        <f t="shared" si="409"/>
        <v>4518.305</v>
      </c>
      <c r="P738" s="49"/>
      <c r="Q738" s="49"/>
      <c r="R738" s="77">
        <f t="shared" si="402"/>
        <v>2926.02056962025</v>
      </c>
      <c r="S738" s="77"/>
      <c r="T738" s="78">
        <f t="shared" si="403"/>
        <v>4.25388976793249</v>
      </c>
      <c r="U738" s="77"/>
      <c r="V738" s="77"/>
      <c r="W738" s="77">
        <f t="shared" si="397"/>
        <v>2930.27445938819</v>
      </c>
      <c r="X738" s="79">
        <f t="shared" si="404"/>
        <v>47.794947257384</v>
      </c>
      <c r="Y738" s="79"/>
      <c r="Z738" s="79"/>
      <c r="AA738" s="79">
        <f t="shared" si="401"/>
        <v>47.794947257384</v>
      </c>
      <c r="AB738" s="91">
        <v>7.27</v>
      </c>
      <c r="AC738" s="77">
        <f t="shared" si="398"/>
        <v>347.469266561181</v>
      </c>
      <c r="AD738" s="77">
        <f t="shared" si="399"/>
        <v>3277.74372594937</v>
      </c>
      <c r="AE738" s="77">
        <f t="shared" si="400"/>
        <v>1240.56127405063</v>
      </c>
    </row>
    <row r="739" customFormat="1" spans="1:31">
      <c r="A739" s="22"/>
      <c r="B739" s="23"/>
      <c r="C739" s="24">
        <v>241220000002</v>
      </c>
      <c r="D739" s="25">
        <v>45650</v>
      </c>
      <c r="E739" s="25" t="s">
        <v>37</v>
      </c>
      <c r="F739" s="23" t="s">
        <v>38</v>
      </c>
      <c r="G739" s="23" t="s">
        <v>256</v>
      </c>
      <c r="H739" s="23">
        <v>6.5</v>
      </c>
      <c r="I739" s="47"/>
      <c r="J739" s="51">
        <v>114114</v>
      </c>
      <c r="K739" s="45"/>
      <c r="L739" s="52">
        <f t="shared" si="410"/>
        <v>1672</v>
      </c>
      <c r="M739" s="53">
        <v>68.25</v>
      </c>
      <c r="N739" s="57">
        <v>7.27</v>
      </c>
      <c r="O739" s="47">
        <f t="shared" si="409"/>
        <v>496.1775</v>
      </c>
      <c r="P739" s="49"/>
      <c r="Q739" s="49"/>
      <c r="R739" s="77">
        <f t="shared" si="402"/>
        <v>336.621835443038</v>
      </c>
      <c r="S739" s="77"/>
      <c r="T739" s="78">
        <f t="shared" si="403"/>
        <v>0.489385548523207</v>
      </c>
      <c r="U739" s="77"/>
      <c r="V739" s="77"/>
      <c r="W739" s="77">
        <f t="shared" si="397"/>
        <v>337.111220991561</v>
      </c>
      <c r="X739" s="79">
        <f t="shared" si="404"/>
        <v>5.49853375527426</v>
      </c>
      <c r="Y739" s="79"/>
      <c r="Z739" s="79"/>
      <c r="AA739" s="79">
        <f t="shared" si="401"/>
        <v>5.49853375527426</v>
      </c>
      <c r="AB739" s="91">
        <v>7.27</v>
      </c>
      <c r="AC739" s="77">
        <f t="shared" si="398"/>
        <v>39.9743404008439</v>
      </c>
      <c r="AD739" s="77">
        <f t="shared" si="399"/>
        <v>377.085561392405</v>
      </c>
      <c r="AE739" s="77">
        <f t="shared" si="400"/>
        <v>119.091938607595</v>
      </c>
    </row>
    <row r="740" customFormat="1" spans="1:31">
      <c r="A740" s="22"/>
      <c r="B740" s="23"/>
      <c r="C740" s="24">
        <v>241220000003</v>
      </c>
      <c r="D740" s="25">
        <v>45650</v>
      </c>
      <c r="E740" s="25" t="s">
        <v>37</v>
      </c>
      <c r="F740" s="23" t="s">
        <v>38</v>
      </c>
      <c r="G740" s="23" t="s">
        <v>256</v>
      </c>
      <c r="H740" s="23">
        <v>209</v>
      </c>
      <c r="I740" s="47"/>
      <c r="J740" s="51">
        <v>3739010</v>
      </c>
      <c r="K740" s="45"/>
      <c r="L740" s="52">
        <f t="shared" si="410"/>
        <v>1672</v>
      </c>
      <c r="M740" s="53">
        <v>2236.25</v>
      </c>
      <c r="N740" s="57">
        <v>7.27</v>
      </c>
      <c r="O740" s="47">
        <f t="shared" si="409"/>
        <v>16257.5375</v>
      </c>
      <c r="P740" s="49"/>
      <c r="Q740" s="49"/>
      <c r="R740" s="77">
        <f t="shared" si="402"/>
        <v>10823.6867088608</v>
      </c>
      <c r="S740" s="77"/>
      <c r="T740" s="78">
        <f t="shared" si="403"/>
        <v>15.7356276371308</v>
      </c>
      <c r="U740" s="78">
        <v>460</v>
      </c>
      <c r="V740" s="77"/>
      <c r="W740" s="77">
        <f t="shared" si="397"/>
        <v>11299.4223364979</v>
      </c>
      <c r="X740" s="79">
        <f t="shared" si="404"/>
        <v>176.799008438819</v>
      </c>
      <c r="Y740" s="79"/>
      <c r="Z740" s="79"/>
      <c r="AA740" s="79">
        <f t="shared" si="401"/>
        <v>176.799008438819</v>
      </c>
      <c r="AB740" s="91">
        <v>7.27</v>
      </c>
      <c r="AC740" s="77">
        <f t="shared" si="398"/>
        <v>1285.32879135021</v>
      </c>
      <c r="AD740" s="77">
        <f t="shared" si="399"/>
        <v>12584.7511278481</v>
      </c>
      <c r="AE740" s="77">
        <f t="shared" si="400"/>
        <v>3672.7863721519</v>
      </c>
    </row>
    <row r="741" customFormat="1" spans="1:31">
      <c r="A741" s="22"/>
      <c r="B741" s="23"/>
      <c r="C741" s="24">
        <v>241220000006</v>
      </c>
      <c r="D741" s="25">
        <v>45650</v>
      </c>
      <c r="E741" s="25" t="s">
        <v>37</v>
      </c>
      <c r="F741" s="23" t="s">
        <v>38</v>
      </c>
      <c r="G741" s="23" t="s">
        <v>485</v>
      </c>
      <c r="H741" s="23">
        <v>2</v>
      </c>
      <c r="I741" s="47"/>
      <c r="J741" s="51">
        <v>29223</v>
      </c>
      <c r="K741" s="45"/>
      <c r="L741" s="52">
        <f t="shared" si="410"/>
        <v>1709.94733762434</v>
      </c>
      <c r="M741" s="53">
        <v>17.09</v>
      </c>
      <c r="N741" s="57">
        <v>7.27</v>
      </c>
      <c r="O741" s="47">
        <f t="shared" si="409"/>
        <v>124.2443</v>
      </c>
      <c r="P741" s="49"/>
      <c r="Q741" s="49"/>
      <c r="R741" s="77">
        <f t="shared" si="402"/>
        <v>103.575949367089</v>
      </c>
      <c r="S741" s="77"/>
      <c r="T741" s="78">
        <f t="shared" si="403"/>
        <v>0.150580168776371</v>
      </c>
      <c r="U741" s="77"/>
      <c r="V741" s="77"/>
      <c r="W741" s="77">
        <f t="shared" si="397"/>
        <v>103.726529535865</v>
      </c>
      <c r="X741" s="79">
        <f t="shared" si="404"/>
        <v>1.69185654008439</v>
      </c>
      <c r="Y741" s="79"/>
      <c r="Z741" s="79"/>
      <c r="AA741" s="79">
        <f t="shared" si="401"/>
        <v>1.69185654008439</v>
      </c>
      <c r="AB741" s="91">
        <v>7.27</v>
      </c>
      <c r="AC741" s="77">
        <f t="shared" si="398"/>
        <v>12.2997970464135</v>
      </c>
      <c r="AD741" s="77">
        <f t="shared" si="399"/>
        <v>116.026326582278</v>
      </c>
      <c r="AE741" s="77">
        <f t="shared" si="400"/>
        <v>8.21797341772151</v>
      </c>
    </row>
    <row r="742" customFormat="1" spans="1:31">
      <c r="A742" s="22"/>
      <c r="B742" s="23"/>
      <c r="C742" s="24">
        <v>241220000013</v>
      </c>
      <c r="D742" s="25">
        <v>45650</v>
      </c>
      <c r="E742" s="25" t="s">
        <v>37</v>
      </c>
      <c r="F742" s="23" t="s">
        <v>38</v>
      </c>
      <c r="G742" s="23" t="s">
        <v>486</v>
      </c>
      <c r="H742" s="23">
        <v>3.5</v>
      </c>
      <c r="I742" s="43">
        <v>306</v>
      </c>
      <c r="J742" s="44"/>
      <c r="K742" s="45"/>
      <c r="L742" s="23"/>
      <c r="M742" s="45"/>
      <c r="N742" s="57"/>
      <c r="O742" s="47">
        <f>SUM(I742)</f>
        <v>306</v>
      </c>
      <c r="P742" s="49"/>
      <c r="Q742" s="49"/>
      <c r="R742" s="77">
        <f t="shared" si="402"/>
        <v>181.257911392405</v>
      </c>
      <c r="S742" s="77"/>
      <c r="T742" s="78">
        <f t="shared" si="403"/>
        <v>0.26351529535865</v>
      </c>
      <c r="U742" s="77"/>
      <c r="V742" s="77"/>
      <c r="W742" s="77">
        <f t="shared" si="397"/>
        <v>181.521426687764</v>
      </c>
      <c r="X742" s="79">
        <f t="shared" si="404"/>
        <v>2.96074894514768</v>
      </c>
      <c r="Y742" s="79"/>
      <c r="Z742" s="79"/>
      <c r="AA742" s="79">
        <f t="shared" si="401"/>
        <v>2.96074894514768</v>
      </c>
      <c r="AB742" s="91">
        <v>7.27</v>
      </c>
      <c r="AC742" s="77">
        <f t="shared" si="398"/>
        <v>21.5246448312236</v>
      </c>
      <c r="AD742" s="77">
        <f t="shared" si="399"/>
        <v>203.046071518987</v>
      </c>
      <c r="AE742" s="77">
        <f t="shared" si="400"/>
        <v>102.953928481013</v>
      </c>
    </row>
    <row r="743" customFormat="1" spans="1:31">
      <c r="A743" s="22"/>
      <c r="B743" s="23"/>
      <c r="C743" s="24">
        <v>241220000022</v>
      </c>
      <c r="D743" s="25">
        <v>45650</v>
      </c>
      <c r="E743" s="25" t="s">
        <v>54</v>
      </c>
      <c r="F743" s="23" t="s">
        <v>55</v>
      </c>
      <c r="G743" s="23" t="s">
        <v>474</v>
      </c>
      <c r="H743" s="23">
        <v>6.5</v>
      </c>
      <c r="I743" s="43">
        <v>1168</v>
      </c>
      <c r="J743" s="44"/>
      <c r="K743" s="45"/>
      <c r="L743" s="23"/>
      <c r="M743" s="45"/>
      <c r="N743" s="57"/>
      <c r="O743" s="47">
        <f>SUM(I743)</f>
        <v>1168</v>
      </c>
      <c r="P743" s="49"/>
      <c r="Q743" s="49"/>
      <c r="R743" s="77">
        <f t="shared" si="402"/>
        <v>336.621835443038</v>
      </c>
      <c r="S743" s="77"/>
      <c r="T743" s="78">
        <f t="shared" si="403"/>
        <v>0.489385548523207</v>
      </c>
      <c r="U743" s="77"/>
      <c r="V743" s="77"/>
      <c r="W743" s="77">
        <f t="shared" si="397"/>
        <v>337.111220991561</v>
      </c>
      <c r="X743" s="79">
        <f t="shared" si="404"/>
        <v>5.49853375527426</v>
      </c>
      <c r="Y743" s="79"/>
      <c r="Z743" s="79"/>
      <c r="AA743" s="79">
        <f t="shared" si="401"/>
        <v>5.49853375527426</v>
      </c>
      <c r="AB743" s="91">
        <v>7.27</v>
      </c>
      <c r="AC743" s="77">
        <f t="shared" si="398"/>
        <v>39.9743404008439</v>
      </c>
      <c r="AD743" s="77">
        <f t="shared" si="399"/>
        <v>377.085561392405</v>
      </c>
      <c r="AE743" s="77">
        <f t="shared" si="400"/>
        <v>790.914438607595</v>
      </c>
    </row>
    <row r="744" customFormat="1" spans="1:31">
      <c r="A744" s="22"/>
      <c r="B744" s="23"/>
      <c r="C744" s="24">
        <v>241220000026</v>
      </c>
      <c r="D744" s="25">
        <v>45650</v>
      </c>
      <c r="E744" s="25" t="s">
        <v>54</v>
      </c>
      <c r="F744" s="23" t="s">
        <v>55</v>
      </c>
      <c r="G744" s="23" t="s">
        <v>349</v>
      </c>
      <c r="H744" s="23">
        <v>130</v>
      </c>
      <c r="I744" s="47"/>
      <c r="J744" s="51">
        <v>2091127.5</v>
      </c>
      <c r="K744" s="45"/>
      <c r="L744" s="52">
        <f t="shared" ref="L744:L748" si="411">SUM(J744/M744)</f>
        <v>1683</v>
      </c>
      <c r="M744" s="53">
        <v>1242.5</v>
      </c>
      <c r="N744" s="57">
        <v>7.27</v>
      </c>
      <c r="O744" s="47">
        <f t="shared" ref="O744:O748" si="412">SUM(M744*N744)</f>
        <v>9032.975</v>
      </c>
      <c r="P744" s="49"/>
      <c r="Q744" s="49"/>
      <c r="R744" s="77">
        <f t="shared" si="402"/>
        <v>6732.43670886076</v>
      </c>
      <c r="S744" s="77"/>
      <c r="T744" s="78">
        <f t="shared" si="403"/>
        <v>9.78771097046414</v>
      </c>
      <c r="U744" s="77"/>
      <c r="V744" s="77"/>
      <c r="W744" s="77">
        <f t="shared" si="397"/>
        <v>6742.22441983122</v>
      </c>
      <c r="X744" s="79">
        <f t="shared" si="404"/>
        <v>109.970675105485</v>
      </c>
      <c r="Y744" s="79"/>
      <c r="Z744" s="79"/>
      <c r="AA744" s="79">
        <f t="shared" si="401"/>
        <v>109.970675105485</v>
      </c>
      <c r="AB744" s="91">
        <v>7.27</v>
      </c>
      <c r="AC744" s="77">
        <f t="shared" si="398"/>
        <v>799.486808016878</v>
      </c>
      <c r="AD744" s="77">
        <f t="shared" si="399"/>
        <v>7541.7112278481</v>
      </c>
      <c r="AE744" s="77">
        <f t="shared" si="400"/>
        <v>1491.2637721519</v>
      </c>
    </row>
    <row r="745" customFormat="1" spans="1:31">
      <c r="A745" s="22"/>
      <c r="B745" s="23"/>
      <c r="C745" s="24">
        <v>241220000027</v>
      </c>
      <c r="D745" s="25">
        <v>45650</v>
      </c>
      <c r="E745" s="25" t="s">
        <v>37</v>
      </c>
      <c r="F745" s="23" t="s">
        <v>38</v>
      </c>
      <c r="G745" s="23" t="s">
        <v>476</v>
      </c>
      <c r="H745" s="23">
        <v>92.5</v>
      </c>
      <c r="I745" s="54">
        <v>7988.5</v>
      </c>
      <c r="J745" s="44"/>
      <c r="K745" s="45"/>
      <c r="L745" s="23"/>
      <c r="M745" s="45"/>
      <c r="N745" s="57"/>
      <c r="O745" s="47">
        <f>SUBTOTAL(9,I745)</f>
        <v>7988.5</v>
      </c>
      <c r="P745" s="49"/>
      <c r="Q745" s="49"/>
      <c r="R745" s="77">
        <f t="shared" si="402"/>
        <v>4790.38765822785</v>
      </c>
      <c r="S745" s="77"/>
      <c r="T745" s="78">
        <f t="shared" si="403"/>
        <v>6.96433280590717</v>
      </c>
      <c r="U745" s="77"/>
      <c r="V745" s="77"/>
      <c r="W745" s="77">
        <f t="shared" si="397"/>
        <v>4797.35199103376</v>
      </c>
      <c r="X745" s="79">
        <f t="shared" si="404"/>
        <v>78.248364978903</v>
      </c>
      <c r="Y745" s="79"/>
      <c r="Z745" s="79"/>
      <c r="AA745" s="79">
        <f t="shared" si="401"/>
        <v>78.248364978903</v>
      </c>
      <c r="AB745" s="91">
        <v>7.27</v>
      </c>
      <c r="AC745" s="77">
        <f t="shared" si="398"/>
        <v>568.865613396624</v>
      </c>
      <c r="AD745" s="77">
        <f t="shared" si="399"/>
        <v>5366.21760443038</v>
      </c>
      <c r="AE745" s="77">
        <f t="shared" si="400"/>
        <v>2622.28239556962</v>
      </c>
    </row>
    <row r="746" customFormat="1" spans="1:31">
      <c r="A746" s="22"/>
      <c r="B746" s="23"/>
      <c r="C746" s="24">
        <v>241220000028</v>
      </c>
      <c r="D746" s="25">
        <v>45650</v>
      </c>
      <c r="E746" s="25" t="s">
        <v>44</v>
      </c>
      <c r="F746" s="23" t="s">
        <v>45</v>
      </c>
      <c r="G746" s="23" t="s">
        <v>170</v>
      </c>
      <c r="H746" s="23">
        <v>165</v>
      </c>
      <c r="I746" s="96"/>
      <c r="J746" s="51">
        <v>2266275</v>
      </c>
      <c r="K746" s="45"/>
      <c r="L746" s="52">
        <f t="shared" si="411"/>
        <v>1490.35268276964</v>
      </c>
      <c r="M746" s="53">
        <v>1520.63</v>
      </c>
      <c r="N746" s="57">
        <v>7.27</v>
      </c>
      <c r="O746" s="47">
        <f t="shared" si="412"/>
        <v>11054.9801</v>
      </c>
      <c r="P746" s="49"/>
      <c r="Q746" s="49"/>
      <c r="R746" s="77">
        <f t="shared" si="402"/>
        <v>8545.01582278481</v>
      </c>
      <c r="S746" s="77"/>
      <c r="T746" s="78">
        <f t="shared" si="403"/>
        <v>12.4228639240506</v>
      </c>
      <c r="U746" s="77"/>
      <c r="V746" s="77"/>
      <c r="W746" s="77">
        <f t="shared" si="397"/>
        <v>8557.43868670886</v>
      </c>
      <c r="X746" s="79">
        <f t="shared" si="404"/>
        <v>139.578164556962</v>
      </c>
      <c r="Y746" s="79"/>
      <c r="Z746" s="79"/>
      <c r="AA746" s="79">
        <f t="shared" si="401"/>
        <v>139.578164556962</v>
      </c>
      <c r="AB746" s="91">
        <v>7.27</v>
      </c>
      <c r="AC746" s="77">
        <f t="shared" si="398"/>
        <v>1014.73325632911</v>
      </c>
      <c r="AD746" s="77">
        <f t="shared" si="399"/>
        <v>9572.17194303797</v>
      </c>
      <c r="AE746" s="77">
        <f t="shared" si="400"/>
        <v>1482.80815696203</v>
      </c>
    </row>
    <row r="747" customFormat="1" spans="1:31">
      <c r="A747" s="22"/>
      <c r="B747" s="23"/>
      <c r="C747" s="24">
        <v>241220000029</v>
      </c>
      <c r="D747" s="25">
        <v>45650</v>
      </c>
      <c r="E747" s="25" t="s">
        <v>44</v>
      </c>
      <c r="F747" s="23" t="s">
        <v>45</v>
      </c>
      <c r="G747" s="23" t="s">
        <v>170</v>
      </c>
      <c r="H747" s="23">
        <v>83.5</v>
      </c>
      <c r="I747" s="96"/>
      <c r="J747" s="51">
        <v>1146872.5</v>
      </c>
      <c r="K747" s="45"/>
      <c r="L747" s="52">
        <f t="shared" si="411"/>
        <v>1490.35450209868</v>
      </c>
      <c r="M747" s="53">
        <v>769.53</v>
      </c>
      <c r="N747" s="57">
        <v>7.27</v>
      </c>
      <c r="O747" s="47">
        <f t="shared" si="412"/>
        <v>5594.4831</v>
      </c>
      <c r="P747" s="49"/>
      <c r="Q747" s="49"/>
      <c r="R747" s="77">
        <f t="shared" si="402"/>
        <v>4324.29588607595</v>
      </c>
      <c r="S747" s="77"/>
      <c r="T747" s="78">
        <f t="shared" si="403"/>
        <v>6.2867220464135</v>
      </c>
      <c r="U747" s="77"/>
      <c r="V747" s="77"/>
      <c r="W747" s="77">
        <f t="shared" si="397"/>
        <v>4330.58260812236</v>
      </c>
      <c r="X747" s="79">
        <f t="shared" si="404"/>
        <v>70.6350105485232</v>
      </c>
      <c r="Y747" s="79"/>
      <c r="Z747" s="79"/>
      <c r="AA747" s="79">
        <f t="shared" si="401"/>
        <v>70.6350105485232</v>
      </c>
      <c r="AB747" s="91">
        <v>7.27</v>
      </c>
      <c r="AC747" s="77">
        <f t="shared" si="398"/>
        <v>513.516526687764</v>
      </c>
      <c r="AD747" s="77">
        <f t="shared" si="399"/>
        <v>4844.09913481013</v>
      </c>
      <c r="AE747" s="77">
        <f t="shared" si="400"/>
        <v>750.383965189873</v>
      </c>
    </row>
    <row r="748" customFormat="1" spans="1:31">
      <c r="A748" s="22"/>
      <c r="B748" s="23"/>
      <c r="C748" s="24">
        <v>241220000037</v>
      </c>
      <c r="D748" s="25">
        <v>45650</v>
      </c>
      <c r="E748" s="25" t="s">
        <v>44</v>
      </c>
      <c r="F748" s="23" t="s">
        <v>45</v>
      </c>
      <c r="G748" s="23" t="s">
        <v>487</v>
      </c>
      <c r="H748" s="23">
        <v>98</v>
      </c>
      <c r="I748" s="50"/>
      <c r="J748" s="51">
        <v>1683150</v>
      </c>
      <c r="K748" s="45"/>
      <c r="L748" s="52">
        <f t="shared" si="411"/>
        <v>1664.83679525223</v>
      </c>
      <c r="M748" s="53">
        <v>1011</v>
      </c>
      <c r="N748" s="57">
        <v>7.27</v>
      </c>
      <c r="O748" s="47">
        <f t="shared" si="412"/>
        <v>7349.97</v>
      </c>
      <c r="P748" s="49"/>
      <c r="Q748" s="49"/>
      <c r="R748" s="77">
        <f t="shared" si="402"/>
        <v>5075.22151898734</v>
      </c>
      <c r="S748" s="77"/>
      <c r="T748" s="78">
        <f t="shared" si="403"/>
        <v>7.37842827004219</v>
      </c>
      <c r="U748" s="77"/>
      <c r="V748" s="77"/>
      <c r="W748" s="77">
        <f t="shared" si="397"/>
        <v>5082.59994725738</v>
      </c>
      <c r="X748" s="79">
        <f t="shared" si="404"/>
        <v>82.900970464135</v>
      </c>
      <c r="Y748" s="79"/>
      <c r="Z748" s="79"/>
      <c r="AA748" s="79">
        <f t="shared" si="401"/>
        <v>82.900970464135</v>
      </c>
      <c r="AB748" s="91">
        <v>7.27</v>
      </c>
      <c r="AC748" s="77">
        <f t="shared" ref="AC748:AC777" si="413">SUM(AA748*AB748)</f>
        <v>602.690055274262</v>
      </c>
      <c r="AD748" s="77">
        <f t="shared" ref="AD748:AD777" si="414">SUM(W748+AC748)</f>
        <v>5685.29000253165</v>
      </c>
      <c r="AE748" s="77">
        <f t="shared" si="400"/>
        <v>1664.67999746835</v>
      </c>
    </row>
    <row r="749" customFormat="1" spans="1:31">
      <c r="A749" s="22"/>
      <c r="B749" s="23"/>
      <c r="C749" s="24">
        <v>241220000040</v>
      </c>
      <c r="D749" s="25">
        <v>45650</v>
      </c>
      <c r="E749" s="25" t="s">
        <v>44</v>
      </c>
      <c r="F749" s="23" t="s">
        <v>45</v>
      </c>
      <c r="G749" s="23" t="s">
        <v>146</v>
      </c>
      <c r="H749" s="23">
        <v>365.5</v>
      </c>
      <c r="I749" s="43">
        <v>23872</v>
      </c>
      <c r="J749" s="44"/>
      <c r="K749" s="45"/>
      <c r="L749" s="23"/>
      <c r="M749" s="45"/>
      <c r="N749" s="57"/>
      <c r="O749" s="47">
        <f t="shared" ref="O749:O759" si="415">SUM(I749)</f>
        <v>23872</v>
      </c>
      <c r="P749" s="49"/>
      <c r="Q749" s="49"/>
      <c r="R749" s="77">
        <f t="shared" si="402"/>
        <v>18928.5047468354</v>
      </c>
      <c r="S749" s="77"/>
      <c r="T749" s="78">
        <f t="shared" si="403"/>
        <v>27.5185258438819</v>
      </c>
      <c r="U749" s="78">
        <v>480</v>
      </c>
      <c r="V749" s="77"/>
      <c r="W749" s="77">
        <f t="shared" si="397"/>
        <v>19436.0232726793</v>
      </c>
      <c r="X749" s="79">
        <f t="shared" si="404"/>
        <v>309.186782700422</v>
      </c>
      <c r="Y749" s="79"/>
      <c r="Z749" s="79"/>
      <c r="AA749" s="79">
        <f t="shared" si="401"/>
        <v>309.186782700422</v>
      </c>
      <c r="AB749" s="91">
        <v>7.27</v>
      </c>
      <c r="AC749" s="77">
        <f t="shared" si="413"/>
        <v>2247.78791023207</v>
      </c>
      <c r="AD749" s="77">
        <f t="shared" si="414"/>
        <v>21683.8111829114</v>
      </c>
      <c r="AE749" s="77">
        <f t="shared" ref="AE749:AE777" si="416">SUM(O749-AD749)</f>
        <v>2188.18881708861</v>
      </c>
    </row>
    <row r="750" customFormat="1" spans="1:31">
      <c r="A750" s="22"/>
      <c r="B750" s="23"/>
      <c r="C750" s="24">
        <v>241220000044</v>
      </c>
      <c r="D750" s="25">
        <v>45650</v>
      </c>
      <c r="E750" s="25" t="s">
        <v>37</v>
      </c>
      <c r="F750" s="23" t="s">
        <v>38</v>
      </c>
      <c r="G750" s="23" t="s">
        <v>154</v>
      </c>
      <c r="H750" s="23">
        <v>365.5</v>
      </c>
      <c r="I750" s="43">
        <v>26535.3</v>
      </c>
      <c r="J750" s="44"/>
      <c r="K750" s="45"/>
      <c r="L750" s="23"/>
      <c r="M750" s="45"/>
      <c r="N750" s="57"/>
      <c r="O750" s="47">
        <f t="shared" si="415"/>
        <v>26535.3</v>
      </c>
      <c r="P750" s="55"/>
      <c r="Q750" s="55"/>
      <c r="R750" s="77">
        <f t="shared" si="402"/>
        <v>18928.5047468354</v>
      </c>
      <c r="S750" s="77"/>
      <c r="T750" s="78">
        <f t="shared" si="403"/>
        <v>27.5185258438819</v>
      </c>
      <c r="U750" s="77"/>
      <c r="V750" s="77"/>
      <c r="W750" s="77">
        <f t="shared" ref="W750:W777" si="417">SUM(R750:V750)</f>
        <v>18956.0232726793</v>
      </c>
      <c r="X750" s="79">
        <f t="shared" si="404"/>
        <v>309.186782700422</v>
      </c>
      <c r="Y750" s="79"/>
      <c r="Z750" s="79"/>
      <c r="AA750" s="79">
        <f t="shared" ref="AA750:AA777" si="418">SUM(X750:Z750)</f>
        <v>309.186782700422</v>
      </c>
      <c r="AB750" s="91">
        <v>7.27</v>
      </c>
      <c r="AC750" s="77">
        <f t="shared" si="413"/>
        <v>2247.78791023207</v>
      </c>
      <c r="AD750" s="77">
        <f t="shared" si="414"/>
        <v>21203.8111829114</v>
      </c>
      <c r="AE750" s="77">
        <f t="shared" si="416"/>
        <v>5331.48881708861</v>
      </c>
    </row>
    <row r="751" customFormat="1" spans="1:31">
      <c r="A751" s="22" t="s">
        <v>488</v>
      </c>
      <c r="B751" s="23" t="s">
        <v>489</v>
      </c>
      <c r="C751" s="24">
        <v>241212000007</v>
      </c>
      <c r="D751" s="25">
        <v>45651</v>
      </c>
      <c r="E751" s="25" t="s">
        <v>37</v>
      </c>
      <c r="F751" s="23" t="s">
        <v>38</v>
      </c>
      <c r="G751" s="23" t="s">
        <v>251</v>
      </c>
      <c r="H751" s="23">
        <v>1.5</v>
      </c>
      <c r="I751" s="43">
        <v>195</v>
      </c>
      <c r="J751" s="44"/>
      <c r="K751" s="45"/>
      <c r="L751" s="23"/>
      <c r="M751" s="45"/>
      <c r="N751" s="57"/>
      <c r="O751" s="47">
        <f t="shared" si="415"/>
        <v>195</v>
      </c>
      <c r="P751" s="48">
        <f>SUM(O751:O775)</f>
        <v>11015.968</v>
      </c>
      <c r="Q751" s="48" t="s">
        <v>40</v>
      </c>
      <c r="R751" s="77">
        <f>SUM(5740/64)*H751</f>
        <v>134.53125</v>
      </c>
      <c r="S751" s="77"/>
      <c r="T751" s="78">
        <f>SUM(55.98/64)*H751</f>
        <v>1.31203125</v>
      </c>
      <c r="U751" s="77"/>
      <c r="V751" s="77"/>
      <c r="W751" s="77">
        <f t="shared" si="417"/>
        <v>135.84328125</v>
      </c>
      <c r="X751" s="79">
        <f>SUM(217.62/64)*H751</f>
        <v>5.10046875</v>
      </c>
      <c r="Y751" s="79"/>
      <c r="Z751" s="79"/>
      <c r="AA751" s="79">
        <f t="shared" si="418"/>
        <v>5.10046875</v>
      </c>
      <c r="AB751" s="91">
        <v>7.27</v>
      </c>
      <c r="AC751" s="77">
        <f t="shared" si="413"/>
        <v>37.0804078125</v>
      </c>
      <c r="AD751" s="77">
        <f t="shared" si="414"/>
        <v>172.9236890625</v>
      </c>
      <c r="AE751" s="77">
        <f t="shared" si="416"/>
        <v>22.0763109375</v>
      </c>
    </row>
    <row r="752" customFormat="1" spans="1:31">
      <c r="A752" s="22"/>
      <c r="B752" s="23"/>
      <c r="C752" s="24">
        <v>241213000026</v>
      </c>
      <c r="D752" s="25">
        <v>45651</v>
      </c>
      <c r="E752" s="25" t="s">
        <v>84</v>
      </c>
      <c r="F752" s="23" t="s">
        <v>85</v>
      </c>
      <c r="G752" s="23" t="s">
        <v>232</v>
      </c>
      <c r="H752" s="23">
        <v>0.82</v>
      </c>
      <c r="I752" s="43">
        <v>191</v>
      </c>
      <c r="J752" s="44"/>
      <c r="K752" s="45"/>
      <c r="L752" s="23"/>
      <c r="M752" s="45"/>
      <c r="N752" s="57"/>
      <c r="O752" s="47">
        <f t="shared" si="415"/>
        <v>191</v>
      </c>
      <c r="P752" s="49"/>
      <c r="Q752" s="49"/>
      <c r="R752" s="77">
        <f t="shared" ref="R752:R776" si="419">SUM(5740/64)*H752</f>
        <v>73.54375</v>
      </c>
      <c r="S752" s="77"/>
      <c r="T752" s="78">
        <f t="shared" ref="T752:T776" si="420">SUM(55.98/64)*H752</f>
        <v>0.71724375</v>
      </c>
      <c r="U752" s="77"/>
      <c r="V752" s="77"/>
      <c r="W752" s="77">
        <f t="shared" si="417"/>
        <v>74.26099375</v>
      </c>
      <c r="X752" s="79">
        <f t="shared" ref="X752:X776" si="421">SUM(217.62/64)*H752</f>
        <v>2.78825625</v>
      </c>
      <c r="Y752" s="79">
        <v>9.07</v>
      </c>
      <c r="Z752" s="79"/>
      <c r="AA752" s="79">
        <f t="shared" si="418"/>
        <v>11.85825625</v>
      </c>
      <c r="AB752" s="91">
        <v>7.27</v>
      </c>
      <c r="AC752" s="77">
        <f t="shared" si="413"/>
        <v>86.2095229375</v>
      </c>
      <c r="AD752" s="77">
        <f t="shared" si="414"/>
        <v>160.4705166875</v>
      </c>
      <c r="AE752" s="77">
        <f t="shared" si="416"/>
        <v>30.5294833125</v>
      </c>
    </row>
    <row r="753" customFormat="1" spans="1:31">
      <c r="A753" s="22"/>
      <c r="B753" s="23"/>
      <c r="C753" s="24">
        <v>241216000004</v>
      </c>
      <c r="D753" s="25">
        <v>45651</v>
      </c>
      <c r="E753" s="25" t="s">
        <v>37</v>
      </c>
      <c r="F753" s="23" t="s">
        <v>38</v>
      </c>
      <c r="G753" s="23" t="s">
        <v>51</v>
      </c>
      <c r="H753" s="23">
        <v>0.26</v>
      </c>
      <c r="I753" s="43">
        <v>125</v>
      </c>
      <c r="J753" s="44"/>
      <c r="K753" s="45"/>
      <c r="L753" s="23"/>
      <c r="M753" s="45"/>
      <c r="N753" s="57"/>
      <c r="O753" s="47">
        <f t="shared" si="415"/>
        <v>125</v>
      </c>
      <c r="P753" s="49"/>
      <c r="Q753" s="49"/>
      <c r="R753" s="77">
        <f t="shared" si="419"/>
        <v>23.31875</v>
      </c>
      <c r="S753" s="77"/>
      <c r="T753" s="78">
        <f t="shared" si="420"/>
        <v>0.22741875</v>
      </c>
      <c r="U753" s="77"/>
      <c r="V753" s="77"/>
      <c r="W753" s="77">
        <f t="shared" si="417"/>
        <v>23.54616875</v>
      </c>
      <c r="X753" s="79">
        <f t="shared" si="421"/>
        <v>0.88408125</v>
      </c>
      <c r="Y753" s="79"/>
      <c r="Z753" s="79"/>
      <c r="AA753" s="79">
        <f t="shared" si="418"/>
        <v>0.88408125</v>
      </c>
      <c r="AB753" s="91">
        <v>7.27</v>
      </c>
      <c r="AC753" s="77">
        <f t="shared" si="413"/>
        <v>6.4272706875</v>
      </c>
      <c r="AD753" s="77">
        <f t="shared" si="414"/>
        <v>29.9734394375</v>
      </c>
      <c r="AE753" s="77">
        <f t="shared" si="416"/>
        <v>95.0265605625</v>
      </c>
    </row>
    <row r="754" customFormat="1" spans="1:31">
      <c r="A754" s="22"/>
      <c r="B754" s="23"/>
      <c r="C754" s="24">
        <v>241216000011</v>
      </c>
      <c r="D754" s="25">
        <v>45651</v>
      </c>
      <c r="E754" s="25" t="s">
        <v>37</v>
      </c>
      <c r="F754" s="23" t="s">
        <v>38</v>
      </c>
      <c r="G754" s="23" t="s">
        <v>490</v>
      </c>
      <c r="H754" s="23">
        <v>5.5</v>
      </c>
      <c r="I754" s="43">
        <v>715</v>
      </c>
      <c r="J754" s="44"/>
      <c r="K754" s="45"/>
      <c r="L754" s="23"/>
      <c r="M754" s="45"/>
      <c r="N754" s="57"/>
      <c r="O754" s="47">
        <f t="shared" si="415"/>
        <v>715</v>
      </c>
      <c r="P754" s="49"/>
      <c r="Q754" s="49"/>
      <c r="R754" s="77">
        <f t="shared" si="419"/>
        <v>493.28125</v>
      </c>
      <c r="S754" s="77"/>
      <c r="T754" s="78">
        <f t="shared" si="420"/>
        <v>4.81078125</v>
      </c>
      <c r="U754" s="77"/>
      <c r="V754" s="77"/>
      <c r="W754" s="77">
        <f t="shared" si="417"/>
        <v>498.09203125</v>
      </c>
      <c r="X754" s="79">
        <f t="shared" si="421"/>
        <v>18.70171875</v>
      </c>
      <c r="Y754" s="79"/>
      <c r="Z754" s="79"/>
      <c r="AA754" s="79">
        <f t="shared" si="418"/>
        <v>18.70171875</v>
      </c>
      <c r="AB754" s="91">
        <v>7.27</v>
      </c>
      <c r="AC754" s="77">
        <f t="shared" si="413"/>
        <v>135.9614953125</v>
      </c>
      <c r="AD754" s="77">
        <f t="shared" si="414"/>
        <v>634.0535265625</v>
      </c>
      <c r="AE754" s="77">
        <f t="shared" si="416"/>
        <v>80.9464734375</v>
      </c>
    </row>
    <row r="755" customFormat="1" spans="1:31">
      <c r="A755" s="22"/>
      <c r="B755" s="23"/>
      <c r="C755" s="24">
        <v>241217000002</v>
      </c>
      <c r="D755" s="26">
        <v>45651</v>
      </c>
      <c r="E755" s="25" t="s">
        <v>70</v>
      </c>
      <c r="F755" s="23" t="s">
        <v>109</v>
      </c>
      <c r="G755" s="23" t="s">
        <v>110</v>
      </c>
      <c r="H755" s="23">
        <v>6.5</v>
      </c>
      <c r="I755" s="43">
        <v>845</v>
      </c>
      <c r="J755" s="44"/>
      <c r="K755" s="45"/>
      <c r="L755" s="23"/>
      <c r="M755" s="45"/>
      <c r="N755" s="57"/>
      <c r="O755" s="47">
        <f t="shared" si="415"/>
        <v>845</v>
      </c>
      <c r="P755" s="49"/>
      <c r="Q755" s="49"/>
      <c r="R755" s="77">
        <f t="shared" si="419"/>
        <v>582.96875</v>
      </c>
      <c r="S755" s="77"/>
      <c r="T755" s="78">
        <f t="shared" si="420"/>
        <v>5.68546875</v>
      </c>
      <c r="U755" s="77"/>
      <c r="V755" s="77"/>
      <c r="W755" s="77">
        <f t="shared" si="417"/>
        <v>588.65421875</v>
      </c>
      <c r="X755" s="79">
        <f t="shared" si="421"/>
        <v>22.10203125</v>
      </c>
      <c r="Y755" s="79"/>
      <c r="Z755" s="79"/>
      <c r="AA755" s="79">
        <f t="shared" si="418"/>
        <v>22.10203125</v>
      </c>
      <c r="AB755" s="91">
        <v>7.27</v>
      </c>
      <c r="AC755" s="77">
        <f t="shared" si="413"/>
        <v>160.6817671875</v>
      </c>
      <c r="AD755" s="77">
        <f t="shared" si="414"/>
        <v>749.3359859375</v>
      </c>
      <c r="AE755" s="77">
        <f t="shared" si="416"/>
        <v>95.6640140625</v>
      </c>
    </row>
    <row r="756" customFormat="1" spans="1:31">
      <c r="A756" s="22"/>
      <c r="B756" s="23"/>
      <c r="C756" s="24">
        <v>241217000011</v>
      </c>
      <c r="D756" s="25">
        <v>45651</v>
      </c>
      <c r="E756" s="25" t="s">
        <v>37</v>
      </c>
      <c r="F756" s="23" t="s">
        <v>38</v>
      </c>
      <c r="G756" s="23" t="s">
        <v>491</v>
      </c>
      <c r="H756" s="23">
        <v>2.5</v>
      </c>
      <c r="I756" s="43">
        <v>360</v>
      </c>
      <c r="J756" s="44"/>
      <c r="K756" s="45"/>
      <c r="L756" s="23"/>
      <c r="M756" s="45"/>
      <c r="N756" s="57"/>
      <c r="O756" s="47">
        <f t="shared" si="415"/>
        <v>360</v>
      </c>
      <c r="P756" s="49"/>
      <c r="Q756" s="49"/>
      <c r="R756" s="77">
        <f t="shared" si="419"/>
        <v>224.21875</v>
      </c>
      <c r="S756" s="77"/>
      <c r="T756" s="78">
        <f t="shared" si="420"/>
        <v>2.18671875</v>
      </c>
      <c r="U756" s="77"/>
      <c r="V756" s="77"/>
      <c r="W756" s="77">
        <f t="shared" si="417"/>
        <v>226.40546875</v>
      </c>
      <c r="X756" s="79">
        <f t="shared" si="421"/>
        <v>8.50078125</v>
      </c>
      <c r="Y756" s="79"/>
      <c r="Z756" s="79"/>
      <c r="AA756" s="79">
        <f t="shared" si="418"/>
        <v>8.50078125</v>
      </c>
      <c r="AB756" s="91">
        <v>7.27</v>
      </c>
      <c r="AC756" s="77">
        <f t="shared" si="413"/>
        <v>61.8006796875</v>
      </c>
      <c r="AD756" s="77">
        <f t="shared" si="414"/>
        <v>288.2061484375</v>
      </c>
      <c r="AE756" s="77">
        <f t="shared" si="416"/>
        <v>71.7938515625</v>
      </c>
    </row>
    <row r="757" customFormat="1" spans="1:31">
      <c r="A757" s="22"/>
      <c r="B757" s="23"/>
      <c r="C757" s="24">
        <v>241217000041</v>
      </c>
      <c r="D757" s="25">
        <v>45651</v>
      </c>
      <c r="E757" s="25" t="s">
        <v>44</v>
      </c>
      <c r="F757" s="23" t="s">
        <v>45</v>
      </c>
      <c r="G757" s="23" t="s">
        <v>431</v>
      </c>
      <c r="H757" s="23">
        <v>3.5</v>
      </c>
      <c r="I757" s="43">
        <v>387.5</v>
      </c>
      <c r="J757" s="44"/>
      <c r="K757" s="45"/>
      <c r="L757" s="23"/>
      <c r="M757" s="45"/>
      <c r="N757" s="57"/>
      <c r="O757" s="47">
        <f t="shared" si="415"/>
        <v>387.5</v>
      </c>
      <c r="P757" s="49"/>
      <c r="Q757" s="49"/>
      <c r="R757" s="77">
        <f t="shared" si="419"/>
        <v>313.90625</v>
      </c>
      <c r="S757" s="77"/>
      <c r="T757" s="78">
        <f t="shared" si="420"/>
        <v>3.06140625</v>
      </c>
      <c r="U757" s="77"/>
      <c r="V757" s="77"/>
      <c r="W757" s="77">
        <f t="shared" si="417"/>
        <v>316.96765625</v>
      </c>
      <c r="X757" s="79">
        <f t="shared" si="421"/>
        <v>11.90109375</v>
      </c>
      <c r="Y757" s="79"/>
      <c r="Z757" s="79"/>
      <c r="AA757" s="79">
        <f t="shared" si="418"/>
        <v>11.90109375</v>
      </c>
      <c r="AB757" s="91">
        <v>7.27</v>
      </c>
      <c r="AC757" s="77">
        <f t="shared" si="413"/>
        <v>86.5209515625</v>
      </c>
      <c r="AD757" s="77">
        <f t="shared" si="414"/>
        <v>403.4886078125</v>
      </c>
      <c r="AE757" s="77">
        <f t="shared" si="416"/>
        <v>-15.9886078125</v>
      </c>
    </row>
    <row r="758" customFormat="1" spans="1:31">
      <c r="A758" s="22"/>
      <c r="B758" s="23"/>
      <c r="C758" s="24">
        <v>241217000042</v>
      </c>
      <c r="D758" s="25">
        <v>45651</v>
      </c>
      <c r="E758" s="25" t="s">
        <v>61</v>
      </c>
      <c r="F758" s="23" t="s">
        <v>62</v>
      </c>
      <c r="G758" s="23" t="s">
        <v>492</v>
      </c>
      <c r="H758" s="23">
        <v>11</v>
      </c>
      <c r="I758" s="43">
        <v>1300</v>
      </c>
      <c r="J758" s="44"/>
      <c r="K758" s="45"/>
      <c r="L758" s="23"/>
      <c r="M758" s="45"/>
      <c r="N758" s="57"/>
      <c r="O758" s="47">
        <f t="shared" si="415"/>
        <v>1300</v>
      </c>
      <c r="P758" s="49"/>
      <c r="Q758" s="49"/>
      <c r="R758" s="77">
        <f t="shared" si="419"/>
        <v>986.5625</v>
      </c>
      <c r="S758" s="77"/>
      <c r="T758" s="78">
        <f t="shared" si="420"/>
        <v>9.6215625</v>
      </c>
      <c r="U758" s="77"/>
      <c r="V758" s="77"/>
      <c r="W758" s="77">
        <f t="shared" si="417"/>
        <v>996.1840625</v>
      </c>
      <c r="X758" s="79">
        <f t="shared" si="421"/>
        <v>37.4034375</v>
      </c>
      <c r="Y758" s="79"/>
      <c r="Z758" s="79"/>
      <c r="AA758" s="79">
        <f t="shared" si="418"/>
        <v>37.4034375</v>
      </c>
      <c r="AB758" s="91">
        <v>7.27</v>
      </c>
      <c r="AC758" s="77">
        <f t="shared" si="413"/>
        <v>271.922990625</v>
      </c>
      <c r="AD758" s="77">
        <f t="shared" si="414"/>
        <v>1268.107053125</v>
      </c>
      <c r="AE758" s="77">
        <f t="shared" si="416"/>
        <v>31.892946875</v>
      </c>
    </row>
    <row r="759" customFormat="1" spans="1:31">
      <c r="A759" s="22"/>
      <c r="B759" s="23"/>
      <c r="C759" s="24">
        <v>241217000044</v>
      </c>
      <c r="D759" s="25">
        <v>45651</v>
      </c>
      <c r="E759" s="25" t="s">
        <v>44</v>
      </c>
      <c r="F759" s="23" t="s">
        <v>45</v>
      </c>
      <c r="G759" s="23" t="s">
        <v>453</v>
      </c>
      <c r="H759" s="23">
        <v>1</v>
      </c>
      <c r="I759" s="43">
        <v>125</v>
      </c>
      <c r="J759" s="44"/>
      <c r="K759" s="45"/>
      <c r="L759" s="23"/>
      <c r="M759" s="45"/>
      <c r="N759" s="57"/>
      <c r="O759" s="47">
        <f t="shared" si="415"/>
        <v>125</v>
      </c>
      <c r="P759" s="49"/>
      <c r="Q759" s="49"/>
      <c r="R759" s="77">
        <f t="shared" si="419"/>
        <v>89.6875</v>
      </c>
      <c r="S759" s="77"/>
      <c r="T759" s="78">
        <f t="shared" si="420"/>
        <v>0.8746875</v>
      </c>
      <c r="U759" s="77"/>
      <c r="V759" s="77"/>
      <c r="W759" s="77">
        <f t="shared" si="417"/>
        <v>90.5621875</v>
      </c>
      <c r="X759" s="79">
        <f t="shared" si="421"/>
        <v>3.4003125</v>
      </c>
      <c r="Y759" s="79"/>
      <c r="Z759" s="79"/>
      <c r="AA759" s="79">
        <f t="shared" si="418"/>
        <v>3.4003125</v>
      </c>
      <c r="AB759" s="91">
        <v>7.27</v>
      </c>
      <c r="AC759" s="77">
        <f t="shared" si="413"/>
        <v>24.720271875</v>
      </c>
      <c r="AD759" s="77">
        <f t="shared" si="414"/>
        <v>115.282459375</v>
      </c>
      <c r="AE759" s="77">
        <f t="shared" si="416"/>
        <v>9.71754062500001</v>
      </c>
    </row>
    <row r="760" customFormat="1" spans="1:31">
      <c r="A760" s="22"/>
      <c r="B760" s="23"/>
      <c r="C760" s="24">
        <v>241218000013</v>
      </c>
      <c r="D760" s="25">
        <v>45651</v>
      </c>
      <c r="E760" s="25" t="s">
        <v>54</v>
      </c>
      <c r="F760" s="23" t="s">
        <v>55</v>
      </c>
      <c r="G760" s="23" t="s">
        <v>111</v>
      </c>
      <c r="H760" s="23">
        <v>1.5</v>
      </c>
      <c r="I760" s="47"/>
      <c r="J760" s="51">
        <v>42966</v>
      </c>
      <c r="K760" s="45"/>
      <c r="L760" s="52">
        <f>SUM(J760/M760)</f>
        <v>1650</v>
      </c>
      <c r="M760" s="53">
        <v>26.04</v>
      </c>
      <c r="N760" s="57">
        <v>7.27</v>
      </c>
      <c r="O760" s="47">
        <f>SUM(M760*N760)</f>
        <v>189.3108</v>
      </c>
      <c r="P760" s="49"/>
      <c r="Q760" s="49"/>
      <c r="R760" s="77">
        <f t="shared" si="419"/>
        <v>134.53125</v>
      </c>
      <c r="S760" s="77"/>
      <c r="T760" s="78">
        <f t="shared" si="420"/>
        <v>1.31203125</v>
      </c>
      <c r="U760" s="77"/>
      <c r="V760" s="77"/>
      <c r="W760" s="77">
        <f t="shared" si="417"/>
        <v>135.84328125</v>
      </c>
      <c r="X760" s="79">
        <f t="shared" si="421"/>
        <v>5.10046875</v>
      </c>
      <c r="Y760" s="79"/>
      <c r="Z760" s="79"/>
      <c r="AA760" s="79">
        <f t="shared" si="418"/>
        <v>5.10046875</v>
      </c>
      <c r="AB760" s="91">
        <v>7.27</v>
      </c>
      <c r="AC760" s="77">
        <f t="shared" si="413"/>
        <v>37.0804078125</v>
      </c>
      <c r="AD760" s="77">
        <f t="shared" si="414"/>
        <v>172.9236890625</v>
      </c>
      <c r="AE760" s="77">
        <f t="shared" si="416"/>
        <v>16.3871109375</v>
      </c>
    </row>
    <row r="761" customFormat="1" spans="1:31">
      <c r="A761" s="22"/>
      <c r="B761" s="23"/>
      <c r="C761" s="24">
        <v>241218000028</v>
      </c>
      <c r="D761" s="25">
        <v>45651</v>
      </c>
      <c r="E761" s="25" t="s">
        <v>41</v>
      </c>
      <c r="F761" s="23" t="s">
        <v>42</v>
      </c>
      <c r="G761" s="23" t="s">
        <v>365</v>
      </c>
      <c r="H761" s="23">
        <v>0.28</v>
      </c>
      <c r="I761" s="43">
        <v>125</v>
      </c>
      <c r="J761" s="44"/>
      <c r="K761" s="45"/>
      <c r="L761" s="23"/>
      <c r="M761" s="45"/>
      <c r="N761" s="57"/>
      <c r="O761" s="47">
        <f t="shared" ref="O761:O765" si="422">SUM(I761)</f>
        <v>125</v>
      </c>
      <c r="P761" s="49"/>
      <c r="Q761" s="49"/>
      <c r="R761" s="77">
        <f t="shared" si="419"/>
        <v>25.1125</v>
      </c>
      <c r="S761" s="77"/>
      <c r="T761" s="78">
        <f t="shared" si="420"/>
        <v>0.2449125</v>
      </c>
      <c r="U761" s="77"/>
      <c r="V761" s="77"/>
      <c r="W761" s="77">
        <f t="shared" si="417"/>
        <v>25.3574125</v>
      </c>
      <c r="X761" s="79">
        <f t="shared" si="421"/>
        <v>0.9520875</v>
      </c>
      <c r="Y761" s="79"/>
      <c r="Z761" s="79"/>
      <c r="AA761" s="79">
        <f t="shared" si="418"/>
        <v>0.9520875</v>
      </c>
      <c r="AB761" s="91">
        <v>7.27</v>
      </c>
      <c r="AC761" s="77">
        <f t="shared" si="413"/>
        <v>6.921676125</v>
      </c>
      <c r="AD761" s="77">
        <f t="shared" si="414"/>
        <v>32.279088625</v>
      </c>
      <c r="AE761" s="77">
        <f t="shared" si="416"/>
        <v>92.720911375</v>
      </c>
    </row>
    <row r="762" customFormat="1" spans="1:31">
      <c r="A762" s="22"/>
      <c r="B762" s="23"/>
      <c r="C762" s="24">
        <v>241219000003</v>
      </c>
      <c r="D762" s="26">
        <v>45651</v>
      </c>
      <c r="E762" s="25" t="s">
        <v>70</v>
      </c>
      <c r="F762" s="23" t="s">
        <v>109</v>
      </c>
      <c r="G762" s="23" t="s">
        <v>110</v>
      </c>
      <c r="H762" s="23">
        <v>0.78</v>
      </c>
      <c r="I762" s="43">
        <v>130</v>
      </c>
      <c r="J762" s="44"/>
      <c r="K762" s="45"/>
      <c r="L762" s="23"/>
      <c r="M762" s="45"/>
      <c r="N762" s="57"/>
      <c r="O762" s="47">
        <f t="shared" si="422"/>
        <v>130</v>
      </c>
      <c r="P762" s="49"/>
      <c r="Q762" s="49"/>
      <c r="R762" s="77">
        <f t="shared" si="419"/>
        <v>69.95625</v>
      </c>
      <c r="S762" s="77"/>
      <c r="T762" s="78">
        <f t="shared" si="420"/>
        <v>0.68225625</v>
      </c>
      <c r="U762" s="77"/>
      <c r="V762" s="77"/>
      <c r="W762" s="77">
        <f t="shared" si="417"/>
        <v>70.63850625</v>
      </c>
      <c r="X762" s="79">
        <f t="shared" si="421"/>
        <v>2.65224375</v>
      </c>
      <c r="Y762" s="79"/>
      <c r="Z762" s="79"/>
      <c r="AA762" s="79">
        <f t="shared" si="418"/>
        <v>2.65224375</v>
      </c>
      <c r="AB762" s="91">
        <v>7.27</v>
      </c>
      <c r="AC762" s="77">
        <f t="shared" si="413"/>
        <v>19.2818120625</v>
      </c>
      <c r="AD762" s="77">
        <f t="shared" si="414"/>
        <v>89.9203183125</v>
      </c>
      <c r="AE762" s="77">
        <f t="shared" si="416"/>
        <v>40.0796816875</v>
      </c>
    </row>
    <row r="763" customFormat="1" spans="1:31">
      <c r="A763" s="22"/>
      <c r="B763" s="23"/>
      <c r="C763" s="24">
        <v>241219000009</v>
      </c>
      <c r="D763" s="25">
        <v>45651</v>
      </c>
      <c r="E763" s="25" t="s">
        <v>44</v>
      </c>
      <c r="F763" s="23" t="s">
        <v>45</v>
      </c>
      <c r="G763" s="23" t="s">
        <v>224</v>
      </c>
      <c r="H763" s="23">
        <v>2</v>
      </c>
      <c r="I763" s="43">
        <v>250</v>
      </c>
      <c r="J763" s="44"/>
      <c r="K763" s="45"/>
      <c r="L763" s="23"/>
      <c r="M763" s="45"/>
      <c r="N763" s="57"/>
      <c r="O763" s="47">
        <f t="shared" si="422"/>
        <v>250</v>
      </c>
      <c r="P763" s="49"/>
      <c r="Q763" s="49"/>
      <c r="R763" s="77">
        <f t="shared" si="419"/>
        <v>179.375</v>
      </c>
      <c r="S763" s="77"/>
      <c r="T763" s="78">
        <f t="shared" si="420"/>
        <v>1.749375</v>
      </c>
      <c r="U763" s="77"/>
      <c r="V763" s="77"/>
      <c r="W763" s="77">
        <f t="shared" si="417"/>
        <v>181.124375</v>
      </c>
      <c r="X763" s="79">
        <f t="shared" si="421"/>
        <v>6.800625</v>
      </c>
      <c r="Y763" s="79"/>
      <c r="Z763" s="79"/>
      <c r="AA763" s="79">
        <f t="shared" si="418"/>
        <v>6.800625</v>
      </c>
      <c r="AB763" s="91">
        <v>7.27</v>
      </c>
      <c r="AC763" s="77">
        <f t="shared" si="413"/>
        <v>49.44054375</v>
      </c>
      <c r="AD763" s="77">
        <f t="shared" si="414"/>
        <v>230.56491875</v>
      </c>
      <c r="AE763" s="77">
        <f t="shared" si="416"/>
        <v>19.43508125</v>
      </c>
    </row>
    <row r="764" customFormat="1" spans="1:31">
      <c r="A764" s="22"/>
      <c r="B764" s="23"/>
      <c r="C764" s="24">
        <v>241219000040</v>
      </c>
      <c r="D764" s="26">
        <v>45651</v>
      </c>
      <c r="E764" s="25" t="s">
        <v>133</v>
      </c>
      <c r="F764" s="23" t="s">
        <v>308</v>
      </c>
      <c r="G764" s="23" t="s">
        <v>309</v>
      </c>
      <c r="H764" s="23">
        <v>5</v>
      </c>
      <c r="I764" s="43">
        <v>650</v>
      </c>
      <c r="J764" s="44"/>
      <c r="K764" s="45"/>
      <c r="L764" s="23"/>
      <c r="M764" s="45"/>
      <c r="N764" s="57"/>
      <c r="O764" s="47">
        <f t="shared" si="422"/>
        <v>650</v>
      </c>
      <c r="P764" s="49"/>
      <c r="Q764" s="49"/>
      <c r="R764" s="77">
        <f t="shared" si="419"/>
        <v>448.4375</v>
      </c>
      <c r="S764" s="77"/>
      <c r="T764" s="78">
        <f t="shared" si="420"/>
        <v>4.3734375</v>
      </c>
      <c r="U764" s="77"/>
      <c r="V764" s="77"/>
      <c r="W764" s="77">
        <f t="shared" si="417"/>
        <v>452.8109375</v>
      </c>
      <c r="X764" s="79">
        <f t="shared" si="421"/>
        <v>17.0015625</v>
      </c>
      <c r="Y764" s="79"/>
      <c r="Z764" s="79"/>
      <c r="AA764" s="79">
        <f t="shared" si="418"/>
        <v>17.0015625</v>
      </c>
      <c r="AB764" s="91">
        <v>7.27</v>
      </c>
      <c r="AC764" s="77">
        <f t="shared" si="413"/>
        <v>123.601359375</v>
      </c>
      <c r="AD764" s="77">
        <f t="shared" si="414"/>
        <v>576.412296875</v>
      </c>
      <c r="AE764" s="77">
        <f t="shared" si="416"/>
        <v>73.587703125</v>
      </c>
    </row>
    <row r="765" customFormat="1" spans="1:31">
      <c r="A765" s="22"/>
      <c r="B765" s="23"/>
      <c r="C765" s="24">
        <v>241220000025</v>
      </c>
      <c r="D765" s="25">
        <v>45651</v>
      </c>
      <c r="E765" s="25" t="s">
        <v>44</v>
      </c>
      <c r="F765" s="23" t="s">
        <v>45</v>
      </c>
      <c r="G765" s="23" t="s">
        <v>187</v>
      </c>
      <c r="H765" s="23">
        <v>2</v>
      </c>
      <c r="I765" s="43">
        <v>325</v>
      </c>
      <c r="J765" s="44"/>
      <c r="K765" s="45"/>
      <c r="L765" s="23"/>
      <c r="M765" s="45"/>
      <c r="N765" s="57"/>
      <c r="O765" s="47">
        <f t="shared" si="422"/>
        <v>325</v>
      </c>
      <c r="P765" s="49"/>
      <c r="Q765" s="49"/>
      <c r="R765" s="77">
        <f t="shared" si="419"/>
        <v>179.375</v>
      </c>
      <c r="S765" s="77"/>
      <c r="T765" s="78">
        <f t="shared" si="420"/>
        <v>1.749375</v>
      </c>
      <c r="U765" s="77"/>
      <c r="V765" s="77"/>
      <c r="W765" s="77">
        <f t="shared" si="417"/>
        <v>181.124375</v>
      </c>
      <c r="X765" s="79">
        <f t="shared" si="421"/>
        <v>6.800625</v>
      </c>
      <c r="Y765" s="79"/>
      <c r="Z765" s="79"/>
      <c r="AA765" s="79">
        <f t="shared" si="418"/>
        <v>6.800625</v>
      </c>
      <c r="AB765" s="91">
        <v>7.27</v>
      </c>
      <c r="AC765" s="77">
        <f t="shared" si="413"/>
        <v>49.44054375</v>
      </c>
      <c r="AD765" s="77">
        <f t="shared" si="414"/>
        <v>230.56491875</v>
      </c>
      <c r="AE765" s="77">
        <f t="shared" si="416"/>
        <v>94.43508125</v>
      </c>
    </row>
    <row r="766" customFormat="1" spans="1:31">
      <c r="A766" s="22"/>
      <c r="B766" s="23"/>
      <c r="C766" s="24">
        <v>241220000036</v>
      </c>
      <c r="D766" s="26">
        <v>45651</v>
      </c>
      <c r="E766" s="25" t="s">
        <v>70</v>
      </c>
      <c r="F766" s="23" t="s">
        <v>70</v>
      </c>
      <c r="G766" s="23" t="s">
        <v>493</v>
      </c>
      <c r="H766" s="23">
        <v>11.5</v>
      </c>
      <c r="I766" s="54">
        <v>1495</v>
      </c>
      <c r="J766" s="44"/>
      <c r="K766" s="45"/>
      <c r="L766" s="23"/>
      <c r="M766" s="45"/>
      <c r="N766" s="57"/>
      <c r="O766" s="47">
        <f>SUBTOTAL(9,I766)</f>
        <v>1495</v>
      </c>
      <c r="P766" s="49"/>
      <c r="Q766" s="49"/>
      <c r="R766" s="77">
        <f t="shared" si="419"/>
        <v>1031.40625</v>
      </c>
      <c r="S766" s="77"/>
      <c r="T766" s="78">
        <f t="shared" si="420"/>
        <v>10.05890625</v>
      </c>
      <c r="U766" s="77"/>
      <c r="V766" s="77"/>
      <c r="W766" s="77">
        <f t="shared" si="417"/>
        <v>1041.46515625</v>
      </c>
      <c r="X766" s="79">
        <f t="shared" si="421"/>
        <v>39.10359375</v>
      </c>
      <c r="Y766" s="79"/>
      <c r="Z766" s="79"/>
      <c r="AA766" s="79">
        <f t="shared" si="418"/>
        <v>39.10359375</v>
      </c>
      <c r="AB766" s="91">
        <v>7.27</v>
      </c>
      <c r="AC766" s="77">
        <f t="shared" si="413"/>
        <v>284.2831265625</v>
      </c>
      <c r="AD766" s="77">
        <f t="shared" si="414"/>
        <v>1325.7482828125</v>
      </c>
      <c r="AE766" s="77">
        <f t="shared" si="416"/>
        <v>169.2517171875</v>
      </c>
    </row>
    <row r="767" customFormat="1" spans="1:31">
      <c r="A767" s="22"/>
      <c r="B767" s="23"/>
      <c r="C767" s="24">
        <v>241220000039</v>
      </c>
      <c r="D767" s="25">
        <v>45651</v>
      </c>
      <c r="E767" s="25" t="s">
        <v>44</v>
      </c>
      <c r="F767" s="23" t="s">
        <v>45</v>
      </c>
      <c r="G767" s="23" t="s">
        <v>494</v>
      </c>
      <c r="H767" s="23">
        <v>5.5</v>
      </c>
      <c r="I767" s="43">
        <v>800</v>
      </c>
      <c r="J767" s="44"/>
      <c r="K767" s="45"/>
      <c r="L767" s="23"/>
      <c r="M767" s="45"/>
      <c r="N767" s="57"/>
      <c r="O767" s="47">
        <f t="shared" ref="O767:O771" si="423">SUM(I767)</f>
        <v>800</v>
      </c>
      <c r="P767" s="49"/>
      <c r="Q767" s="49"/>
      <c r="R767" s="77">
        <f t="shared" si="419"/>
        <v>493.28125</v>
      </c>
      <c r="S767" s="77"/>
      <c r="T767" s="78">
        <f t="shared" si="420"/>
        <v>4.81078125</v>
      </c>
      <c r="U767" s="77"/>
      <c r="V767" s="77"/>
      <c r="W767" s="77">
        <f t="shared" si="417"/>
        <v>498.09203125</v>
      </c>
      <c r="X767" s="79">
        <f t="shared" si="421"/>
        <v>18.70171875</v>
      </c>
      <c r="Y767" s="79"/>
      <c r="Z767" s="79"/>
      <c r="AA767" s="79">
        <f t="shared" si="418"/>
        <v>18.70171875</v>
      </c>
      <c r="AB767" s="91">
        <v>7.27</v>
      </c>
      <c r="AC767" s="77">
        <f t="shared" si="413"/>
        <v>135.9614953125</v>
      </c>
      <c r="AD767" s="77">
        <f t="shared" si="414"/>
        <v>634.0535265625</v>
      </c>
      <c r="AE767" s="77">
        <f t="shared" si="416"/>
        <v>165.9464734375</v>
      </c>
    </row>
    <row r="768" customFormat="1" spans="1:31">
      <c r="A768" s="22"/>
      <c r="B768" s="23"/>
      <c r="C768" s="24">
        <v>241220000045</v>
      </c>
      <c r="D768" s="26">
        <v>45651</v>
      </c>
      <c r="E768" s="25" t="s">
        <v>133</v>
      </c>
      <c r="F768" s="23" t="s">
        <v>147</v>
      </c>
      <c r="G768" s="23" t="s">
        <v>230</v>
      </c>
      <c r="H768" s="23">
        <v>0.24</v>
      </c>
      <c r="I768" s="47"/>
      <c r="J768" s="51">
        <v>29262</v>
      </c>
      <c r="K768" s="45"/>
      <c r="L768" s="52">
        <f>SUM(J768/M768)</f>
        <v>1643.00954519933</v>
      </c>
      <c r="M768" s="53">
        <v>17.81</v>
      </c>
      <c r="N768" s="57">
        <v>7.27</v>
      </c>
      <c r="O768" s="47">
        <f>SUM(M768*N768)</f>
        <v>129.4787</v>
      </c>
      <c r="P768" s="49"/>
      <c r="Q768" s="49"/>
      <c r="R768" s="77">
        <f t="shared" si="419"/>
        <v>21.525</v>
      </c>
      <c r="S768" s="77"/>
      <c r="T768" s="78">
        <f t="shared" si="420"/>
        <v>0.209925</v>
      </c>
      <c r="U768" s="77"/>
      <c r="V768" s="77"/>
      <c r="W768" s="77">
        <f t="shared" si="417"/>
        <v>21.734925</v>
      </c>
      <c r="X768" s="79">
        <f t="shared" si="421"/>
        <v>0.816075</v>
      </c>
      <c r="Y768" s="79"/>
      <c r="Z768" s="79"/>
      <c r="AA768" s="79">
        <f t="shared" si="418"/>
        <v>0.816075</v>
      </c>
      <c r="AB768" s="91">
        <v>7.27</v>
      </c>
      <c r="AC768" s="77">
        <f t="shared" si="413"/>
        <v>5.93286525</v>
      </c>
      <c r="AD768" s="77">
        <f t="shared" si="414"/>
        <v>27.66779025</v>
      </c>
      <c r="AE768" s="77">
        <f t="shared" si="416"/>
        <v>101.81090975</v>
      </c>
    </row>
    <row r="769" customFormat="1" spans="1:31">
      <c r="A769" s="22"/>
      <c r="B769" s="23"/>
      <c r="C769" s="24">
        <v>241221000001</v>
      </c>
      <c r="D769" s="25">
        <v>45651</v>
      </c>
      <c r="E769" s="25" t="s">
        <v>37</v>
      </c>
      <c r="F769" s="23" t="s">
        <v>38</v>
      </c>
      <c r="G769" s="23" t="s">
        <v>373</v>
      </c>
      <c r="H769" s="23">
        <v>1.5</v>
      </c>
      <c r="I769" s="43">
        <v>187.5</v>
      </c>
      <c r="J769" s="44"/>
      <c r="K769" s="45"/>
      <c r="L769" s="23"/>
      <c r="M769" s="45"/>
      <c r="N769" s="57"/>
      <c r="O769" s="47">
        <f t="shared" si="423"/>
        <v>187.5</v>
      </c>
      <c r="P769" s="49"/>
      <c r="Q769" s="49"/>
      <c r="R769" s="77">
        <f t="shared" si="419"/>
        <v>134.53125</v>
      </c>
      <c r="S769" s="77"/>
      <c r="T769" s="78">
        <f t="shared" si="420"/>
        <v>1.31203125</v>
      </c>
      <c r="U769" s="77"/>
      <c r="V769" s="77"/>
      <c r="W769" s="77">
        <f t="shared" si="417"/>
        <v>135.84328125</v>
      </c>
      <c r="X769" s="79">
        <f t="shared" si="421"/>
        <v>5.10046875</v>
      </c>
      <c r="Y769" s="79"/>
      <c r="Z769" s="79"/>
      <c r="AA769" s="79">
        <f t="shared" si="418"/>
        <v>5.10046875</v>
      </c>
      <c r="AB769" s="91">
        <v>7.27</v>
      </c>
      <c r="AC769" s="77">
        <f t="shared" si="413"/>
        <v>37.0804078125</v>
      </c>
      <c r="AD769" s="77">
        <f t="shared" si="414"/>
        <v>172.9236890625</v>
      </c>
      <c r="AE769" s="77">
        <f t="shared" si="416"/>
        <v>14.5763109375</v>
      </c>
    </row>
    <row r="770" customFormat="1" spans="1:31">
      <c r="A770" s="22"/>
      <c r="B770" s="23"/>
      <c r="C770" s="24">
        <v>241221000006</v>
      </c>
      <c r="D770" s="25">
        <v>45651</v>
      </c>
      <c r="E770" s="25" t="s">
        <v>54</v>
      </c>
      <c r="F770" s="23" t="s">
        <v>55</v>
      </c>
      <c r="G770" s="23" t="s">
        <v>422</v>
      </c>
      <c r="H770" s="23">
        <v>3</v>
      </c>
      <c r="I770" s="43">
        <v>465</v>
      </c>
      <c r="J770" s="44"/>
      <c r="K770" s="45"/>
      <c r="L770" s="23"/>
      <c r="M770" s="45"/>
      <c r="N770" s="57"/>
      <c r="O770" s="47">
        <f t="shared" si="423"/>
        <v>465</v>
      </c>
      <c r="P770" s="49"/>
      <c r="Q770" s="49"/>
      <c r="R770" s="77">
        <f t="shared" si="419"/>
        <v>269.0625</v>
      </c>
      <c r="S770" s="77"/>
      <c r="T770" s="78">
        <f t="shared" si="420"/>
        <v>2.6240625</v>
      </c>
      <c r="U770" s="77"/>
      <c r="V770" s="77"/>
      <c r="W770" s="77">
        <f t="shared" si="417"/>
        <v>271.6865625</v>
      </c>
      <c r="X770" s="79">
        <f t="shared" si="421"/>
        <v>10.2009375</v>
      </c>
      <c r="Y770" s="79"/>
      <c r="Z770" s="79"/>
      <c r="AA770" s="79">
        <f t="shared" si="418"/>
        <v>10.2009375</v>
      </c>
      <c r="AB770" s="91">
        <v>7.27</v>
      </c>
      <c r="AC770" s="77">
        <f t="shared" si="413"/>
        <v>74.160815625</v>
      </c>
      <c r="AD770" s="77">
        <f t="shared" si="414"/>
        <v>345.847378125</v>
      </c>
      <c r="AE770" s="77">
        <f t="shared" si="416"/>
        <v>119.152621875</v>
      </c>
    </row>
    <row r="771" customFormat="1" spans="1:31">
      <c r="A771" s="22"/>
      <c r="B771" s="23"/>
      <c r="C771" s="24">
        <v>241221000009</v>
      </c>
      <c r="D771" s="26">
        <v>45651</v>
      </c>
      <c r="E771" s="25" t="s">
        <v>70</v>
      </c>
      <c r="F771" s="23" t="s">
        <v>70</v>
      </c>
      <c r="G771" s="23" t="s">
        <v>156</v>
      </c>
      <c r="H771" s="23">
        <v>0.59</v>
      </c>
      <c r="I771" s="43">
        <v>150</v>
      </c>
      <c r="J771" s="44"/>
      <c r="K771" s="45"/>
      <c r="L771" s="23"/>
      <c r="M771" s="45"/>
      <c r="N771" s="57"/>
      <c r="O771" s="47">
        <f t="shared" si="423"/>
        <v>150</v>
      </c>
      <c r="P771" s="49"/>
      <c r="Q771" s="49"/>
      <c r="R771" s="77">
        <f t="shared" si="419"/>
        <v>52.915625</v>
      </c>
      <c r="S771" s="77"/>
      <c r="T771" s="78">
        <f t="shared" si="420"/>
        <v>0.516065625</v>
      </c>
      <c r="U771" s="77"/>
      <c r="V771" s="77"/>
      <c r="W771" s="77">
        <f t="shared" si="417"/>
        <v>53.431690625</v>
      </c>
      <c r="X771" s="79">
        <f t="shared" si="421"/>
        <v>2.006184375</v>
      </c>
      <c r="Y771" s="79"/>
      <c r="Z771" s="79"/>
      <c r="AA771" s="79">
        <f t="shared" si="418"/>
        <v>2.006184375</v>
      </c>
      <c r="AB771" s="91">
        <v>7.27</v>
      </c>
      <c r="AC771" s="77">
        <f t="shared" si="413"/>
        <v>14.58496040625</v>
      </c>
      <c r="AD771" s="77">
        <f t="shared" si="414"/>
        <v>68.01665103125</v>
      </c>
      <c r="AE771" s="77">
        <f t="shared" si="416"/>
        <v>81.98334896875</v>
      </c>
    </row>
    <row r="772" customFormat="1" spans="1:31">
      <c r="A772" s="22"/>
      <c r="B772" s="23"/>
      <c r="C772" s="24">
        <v>241221000012</v>
      </c>
      <c r="D772" s="25">
        <v>45651</v>
      </c>
      <c r="E772" s="25" t="s">
        <v>61</v>
      </c>
      <c r="F772" s="23" t="s">
        <v>62</v>
      </c>
      <c r="G772" s="23" t="s">
        <v>105</v>
      </c>
      <c r="H772" s="23">
        <v>0.68</v>
      </c>
      <c r="I772" s="50"/>
      <c r="J772" s="51">
        <v>26125</v>
      </c>
      <c r="K772" s="45"/>
      <c r="L772" s="52">
        <f>SUM(J772/M772)</f>
        <v>1519.77894124491</v>
      </c>
      <c r="M772" s="53">
        <v>17.19</v>
      </c>
      <c r="N772" s="57">
        <v>7.27</v>
      </c>
      <c r="O772" s="47">
        <f>SUM(M772*N772)</f>
        <v>124.9713</v>
      </c>
      <c r="P772" s="49"/>
      <c r="Q772" s="49"/>
      <c r="R772" s="77">
        <f t="shared" si="419"/>
        <v>60.9875</v>
      </c>
      <c r="S772" s="77"/>
      <c r="T772" s="78">
        <f t="shared" si="420"/>
        <v>0.5947875</v>
      </c>
      <c r="U772" s="77"/>
      <c r="V772" s="77"/>
      <c r="W772" s="77">
        <f t="shared" si="417"/>
        <v>61.5822875</v>
      </c>
      <c r="X772" s="79">
        <f t="shared" si="421"/>
        <v>2.3122125</v>
      </c>
      <c r="Y772" s="79"/>
      <c r="Z772" s="79"/>
      <c r="AA772" s="79">
        <f t="shared" si="418"/>
        <v>2.3122125</v>
      </c>
      <c r="AB772" s="91">
        <v>7.27</v>
      </c>
      <c r="AC772" s="77">
        <f t="shared" si="413"/>
        <v>16.809784875</v>
      </c>
      <c r="AD772" s="77">
        <f t="shared" si="414"/>
        <v>78.392072375</v>
      </c>
      <c r="AE772" s="77">
        <f t="shared" si="416"/>
        <v>46.579227625</v>
      </c>
    </row>
    <row r="773" customFormat="1" spans="1:31">
      <c r="A773" s="22"/>
      <c r="B773" s="23"/>
      <c r="C773" s="24">
        <v>241223000017</v>
      </c>
      <c r="D773" s="25">
        <v>45651</v>
      </c>
      <c r="E773" s="25" t="s">
        <v>44</v>
      </c>
      <c r="F773" s="23" t="s">
        <v>45</v>
      </c>
      <c r="G773" s="23" t="s">
        <v>495</v>
      </c>
      <c r="H773" s="23">
        <v>5.5</v>
      </c>
      <c r="I773" s="43">
        <v>1500</v>
      </c>
      <c r="J773" s="44"/>
      <c r="K773" s="45"/>
      <c r="L773" s="23"/>
      <c r="M773" s="45"/>
      <c r="N773" s="57"/>
      <c r="O773" s="47">
        <f t="shared" ref="O773:O779" si="424">SUM(I773)</f>
        <v>1500</v>
      </c>
      <c r="P773" s="49"/>
      <c r="Q773" s="49"/>
      <c r="R773" s="77">
        <f t="shared" si="419"/>
        <v>493.28125</v>
      </c>
      <c r="S773" s="77"/>
      <c r="T773" s="78">
        <f t="shared" si="420"/>
        <v>4.81078125</v>
      </c>
      <c r="U773" s="77"/>
      <c r="V773" s="77"/>
      <c r="W773" s="77">
        <f t="shared" si="417"/>
        <v>498.09203125</v>
      </c>
      <c r="X773" s="79">
        <f t="shared" si="421"/>
        <v>18.70171875</v>
      </c>
      <c r="Y773" s="79"/>
      <c r="Z773" s="79"/>
      <c r="AA773" s="79">
        <f t="shared" si="418"/>
        <v>18.70171875</v>
      </c>
      <c r="AB773" s="91">
        <v>7.27</v>
      </c>
      <c r="AC773" s="77">
        <f t="shared" si="413"/>
        <v>135.9614953125</v>
      </c>
      <c r="AD773" s="77">
        <f t="shared" si="414"/>
        <v>634.0535265625</v>
      </c>
      <c r="AE773" s="77">
        <f t="shared" si="416"/>
        <v>865.9464734375</v>
      </c>
    </row>
    <row r="774" customFormat="1" spans="1:31">
      <c r="A774" s="22"/>
      <c r="B774" s="23"/>
      <c r="C774" s="24">
        <v>241223000036</v>
      </c>
      <c r="D774" s="25">
        <v>45651</v>
      </c>
      <c r="E774" s="25" t="s">
        <v>41</v>
      </c>
      <c r="F774" s="23" t="s">
        <v>42</v>
      </c>
      <c r="G774" s="23" t="s">
        <v>496</v>
      </c>
      <c r="H774" s="23">
        <v>0.9</v>
      </c>
      <c r="I774" s="43">
        <v>125</v>
      </c>
      <c r="J774" s="44"/>
      <c r="K774" s="45"/>
      <c r="L774" s="23"/>
      <c r="M774" s="45"/>
      <c r="N774" s="57"/>
      <c r="O774" s="47">
        <f t="shared" si="424"/>
        <v>125</v>
      </c>
      <c r="P774" s="49"/>
      <c r="Q774" s="49"/>
      <c r="R774" s="77">
        <f t="shared" si="419"/>
        <v>80.71875</v>
      </c>
      <c r="S774" s="77"/>
      <c r="T774" s="78">
        <f t="shared" si="420"/>
        <v>0.78721875</v>
      </c>
      <c r="U774" s="77"/>
      <c r="V774" s="77"/>
      <c r="W774" s="77">
        <f t="shared" si="417"/>
        <v>81.50596875</v>
      </c>
      <c r="X774" s="79">
        <f t="shared" si="421"/>
        <v>3.06028125</v>
      </c>
      <c r="Y774" s="79"/>
      <c r="Z774" s="79"/>
      <c r="AA774" s="79">
        <f t="shared" si="418"/>
        <v>3.06028125</v>
      </c>
      <c r="AB774" s="91">
        <v>7.27</v>
      </c>
      <c r="AC774" s="77">
        <f t="shared" si="413"/>
        <v>22.2482446875</v>
      </c>
      <c r="AD774" s="77">
        <f t="shared" si="414"/>
        <v>103.7542134375</v>
      </c>
      <c r="AE774" s="77">
        <f t="shared" si="416"/>
        <v>21.2457865625</v>
      </c>
    </row>
    <row r="775" customFormat="1" spans="1:31">
      <c r="A775" s="22"/>
      <c r="B775" s="23"/>
      <c r="C775" s="24">
        <v>241223000037</v>
      </c>
      <c r="D775" s="25">
        <v>45651</v>
      </c>
      <c r="E775" s="25" t="s">
        <v>54</v>
      </c>
      <c r="F775" s="23" t="s">
        <v>55</v>
      </c>
      <c r="G775" s="23" t="s">
        <v>341</v>
      </c>
      <c r="H775" s="23">
        <v>0.86</v>
      </c>
      <c r="I775" s="47"/>
      <c r="J775" s="51">
        <v>33640</v>
      </c>
      <c r="K775" s="45"/>
      <c r="L775" s="52">
        <f>SUM(J775/M775)</f>
        <v>1937.78801843318</v>
      </c>
      <c r="M775" s="53">
        <v>17.36</v>
      </c>
      <c r="N775" s="57">
        <v>7.27</v>
      </c>
      <c r="O775" s="47">
        <f>SUM(M775*N775)</f>
        <v>126.2072</v>
      </c>
      <c r="P775" s="49"/>
      <c r="Q775" s="49"/>
      <c r="R775" s="77">
        <f t="shared" si="419"/>
        <v>77.13125</v>
      </c>
      <c r="S775" s="77"/>
      <c r="T775" s="78">
        <f t="shared" si="420"/>
        <v>0.75223125</v>
      </c>
      <c r="U775" s="77"/>
      <c r="V775" s="77"/>
      <c r="W775" s="77">
        <f t="shared" ref="W775:W794" si="425">SUM(R775:V775)</f>
        <v>77.88348125</v>
      </c>
      <c r="X775" s="79">
        <f t="shared" si="421"/>
        <v>2.92426875</v>
      </c>
      <c r="Y775" s="79"/>
      <c r="Z775" s="79"/>
      <c r="AA775" s="79">
        <f t="shared" si="418"/>
        <v>2.92426875</v>
      </c>
      <c r="AB775" s="91">
        <v>7.27</v>
      </c>
      <c r="AC775" s="77">
        <f t="shared" si="413"/>
        <v>21.2594338125</v>
      </c>
      <c r="AD775" s="77">
        <f t="shared" ref="AD775:AD794" si="426">SUM(W775+AC775)</f>
        <v>99.1429150625</v>
      </c>
      <c r="AE775" s="77">
        <f t="shared" si="416"/>
        <v>27.0642849375</v>
      </c>
    </row>
    <row r="776" customFormat="1" spans="1:31">
      <c r="A776" s="22"/>
      <c r="B776" s="23"/>
      <c r="C776" s="24">
        <v>241223000061</v>
      </c>
      <c r="D776" s="25">
        <v>45651</v>
      </c>
      <c r="E776" s="25" t="s">
        <v>84</v>
      </c>
      <c r="F776" s="23" t="s">
        <v>85</v>
      </c>
      <c r="G776" s="23" t="s">
        <v>312</v>
      </c>
      <c r="H776" s="23">
        <v>0.1</v>
      </c>
      <c r="I776" s="50">
        <v>0</v>
      </c>
      <c r="J776" s="44"/>
      <c r="K776" s="45"/>
      <c r="L776" s="23"/>
      <c r="M776" s="45"/>
      <c r="N776" s="57"/>
      <c r="O776" s="47">
        <f t="shared" si="424"/>
        <v>0</v>
      </c>
      <c r="P776" s="55"/>
      <c r="Q776" s="55"/>
      <c r="R776" s="77">
        <f t="shared" si="419"/>
        <v>8.96875</v>
      </c>
      <c r="S776" s="77"/>
      <c r="T776" s="78">
        <f t="shared" si="420"/>
        <v>0.08746875</v>
      </c>
      <c r="U776" s="77"/>
      <c r="V776" s="77"/>
      <c r="W776" s="77">
        <f t="shared" si="425"/>
        <v>9.05621875</v>
      </c>
      <c r="X776" s="79">
        <f t="shared" si="421"/>
        <v>0.34003125</v>
      </c>
      <c r="Y776" s="79"/>
      <c r="Z776" s="79"/>
      <c r="AA776" s="79">
        <f t="shared" ref="AA776:AA794" si="427">SUM(X776:Z776)</f>
        <v>0.34003125</v>
      </c>
      <c r="AB776" s="91">
        <v>7.27</v>
      </c>
      <c r="AC776" s="77">
        <f t="shared" si="413"/>
        <v>2.4720271875</v>
      </c>
      <c r="AD776" s="77">
        <f t="shared" si="426"/>
        <v>11.5282459375</v>
      </c>
      <c r="AE776" s="77">
        <f t="shared" ref="AE776:AE794" si="428">SUM(O776-AD776)</f>
        <v>-11.5282459375</v>
      </c>
    </row>
    <row r="777" customFormat="1" spans="1:31">
      <c r="A777" s="99" t="s">
        <v>497</v>
      </c>
      <c r="B777" s="113" t="s">
        <v>498</v>
      </c>
      <c r="C777" s="24">
        <v>241224000020</v>
      </c>
      <c r="D777" s="26">
        <v>45652</v>
      </c>
      <c r="E777" s="25" t="s">
        <v>70</v>
      </c>
      <c r="F777" s="113" t="s">
        <v>70</v>
      </c>
      <c r="G777" s="113" t="s">
        <v>169</v>
      </c>
      <c r="H777" s="113">
        <v>170</v>
      </c>
      <c r="I777" s="130">
        <v>15600</v>
      </c>
      <c r="J777" s="131"/>
      <c r="K777" s="23"/>
      <c r="L777" s="131"/>
      <c r="M777" s="132"/>
      <c r="N777" s="124"/>
      <c r="O777" s="80">
        <f t="shared" si="424"/>
        <v>15600</v>
      </c>
      <c r="P777" s="80">
        <f>SUM(O777)</f>
        <v>15600</v>
      </c>
      <c r="Q777" s="56" t="s">
        <v>185</v>
      </c>
      <c r="R777" s="56">
        <v>12685</v>
      </c>
      <c r="S777" s="56"/>
      <c r="T777" s="56">
        <v>0</v>
      </c>
      <c r="U777" s="56">
        <v>380</v>
      </c>
      <c r="V777" s="56"/>
      <c r="W777" s="77">
        <f t="shared" si="425"/>
        <v>13065</v>
      </c>
      <c r="X777" s="81">
        <v>90.91</v>
      </c>
      <c r="Y777" s="81"/>
      <c r="Z777" s="81"/>
      <c r="AA777" s="79">
        <f t="shared" si="427"/>
        <v>90.91</v>
      </c>
      <c r="AB777" s="91">
        <v>7.27</v>
      </c>
      <c r="AC777" s="77">
        <f t="shared" ref="AC777:AC794" si="429">SUM(AA777*AB777)</f>
        <v>660.9157</v>
      </c>
      <c r="AD777" s="77">
        <f t="shared" si="426"/>
        <v>13725.9157</v>
      </c>
      <c r="AE777" s="77">
        <f t="shared" si="428"/>
        <v>1874.0843</v>
      </c>
    </row>
    <row r="778" customFormat="1" spans="1:31">
      <c r="A778" s="22" t="s">
        <v>499</v>
      </c>
      <c r="B778" s="23" t="s">
        <v>500</v>
      </c>
      <c r="C778" s="24">
        <v>241219000035</v>
      </c>
      <c r="D778" s="129">
        <v>45654</v>
      </c>
      <c r="E778" s="25" t="s">
        <v>61</v>
      </c>
      <c r="F778" s="23" t="s">
        <v>62</v>
      </c>
      <c r="G778" s="23" t="s">
        <v>501</v>
      </c>
      <c r="H778" s="23">
        <v>0.58</v>
      </c>
      <c r="I778" s="43">
        <v>125</v>
      </c>
      <c r="J778" s="131"/>
      <c r="K778" s="23"/>
      <c r="L778" s="23"/>
      <c r="M778" s="45"/>
      <c r="N778" s="57"/>
      <c r="O778" s="80">
        <f t="shared" si="424"/>
        <v>125</v>
      </c>
      <c r="P778" s="48">
        <f>SUM(O778:O794)</f>
        <v>9085.174</v>
      </c>
      <c r="Q778" s="48" t="s">
        <v>40</v>
      </c>
      <c r="R778" s="77">
        <f>SUM(5200/64)*H778</f>
        <v>47.125</v>
      </c>
      <c r="S778" s="77"/>
      <c r="T778" s="78">
        <f>SUM(143.65/64)*H778</f>
        <v>1.301828125</v>
      </c>
      <c r="U778" s="77"/>
      <c r="V778" s="77"/>
      <c r="W778" s="77">
        <f t="shared" si="425"/>
        <v>48.426828125</v>
      </c>
      <c r="X778" s="79">
        <f>SUM(214.77/64)*H778</f>
        <v>1.946353125</v>
      </c>
      <c r="Y778" s="79"/>
      <c r="Z778" s="79"/>
      <c r="AA778" s="79">
        <f t="shared" si="427"/>
        <v>1.946353125</v>
      </c>
      <c r="AB778" s="91">
        <v>7.27</v>
      </c>
      <c r="AC778" s="77">
        <f t="shared" si="429"/>
        <v>14.14998721875</v>
      </c>
      <c r="AD778" s="77">
        <f t="shared" si="426"/>
        <v>62.57681534375</v>
      </c>
      <c r="AE778" s="77">
        <f t="shared" si="428"/>
        <v>62.42318465625</v>
      </c>
    </row>
    <row r="779" customFormat="1" spans="1:31">
      <c r="A779" s="22"/>
      <c r="B779" s="23"/>
      <c r="C779" s="24">
        <v>241220000012</v>
      </c>
      <c r="D779" s="129">
        <v>45654</v>
      </c>
      <c r="E779" s="25" t="s">
        <v>41</v>
      </c>
      <c r="F779" s="23" t="s">
        <v>42</v>
      </c>
      <c r="G779" s="23" t="s">
        <v>502</v>
      </c>
      <c r="H779" s="23">
        <v>8.5</v>
      </c>
      <c r="I779" s="43">
        <v>1105</v>
      </c>
      <c r="J779" s="44"/>
      <c r="K779" s="23"/>
      <c r="L779" s="23"/>
      <c r="M779" s="45"/>
      <c r="N779" s="57"/>
      <c r="O779" s="80">
        <f t="shared" si="424"/>
        <v>1105</v>
      </c>
      <c r="P779" s="49"/>
      <c r="Q779" s="49"/>
      <c r="R779" s="77">
        <f t="shared" ref="R779:R794" si="430">SUM(5200/64)*H779</f>
        <v>690.625</v>
      </c>
      <c r="S779" s="77"/>
      <c r="T779" s="78">
        <f t="shared" ref="T779:T794" si="431">SUM(143.65/64)*H779</f>
        <v>19.078515625</v>
      </c>
      <c r="U779" s="77"/>
      <c r="V779" s="77"/>
      <c r="W779" s="77">
        <f t="shared" si="425"/>
        <v>709.703515625</v>
      </c>
      <c r="X779" s="79">
        <f t="shared" ref="X779:X794" si="432">SUM(214.77/64)*H779</f>
        <v>28.524140625</v>
      </c>
      <c r="Y779" s="79"/>
      <c r="Z779" s="79"/>
      <c r="AA779" s="79">
        <f t="shared" si="427"/>
        <v>28.524140625</v>
      </c>
      <c r="AB779" s="91">
        <v>7.27</v>
      </c>
      <c r="AC779" s="77">
        <f t="shared" si="429"/>
        <v>207.37050234375</v>
      </c>
      <c r="AD779" s="77">
        <f t="shared" si="426"/>
        <v>917.07401796875</v>
      </c>
      <c r="AE779" s="77">
        <f t="shared" si="428"/>
        <v>187.92598203125</v>
      </c>
    </row>
    <row r="780" customFormat="1" spans="1:31">
      <c r="A780" s="22"/>
      <c r="B780" s="23"/>
      <c r="C780" s="24">
        <v>241223000003</v>
      </c>
      <c r="D780" s="129">
        <v>45654</v>
      </c>
      <c r="E780" s="25" t="s">
        <v>44</v>
      </c>
      <c r="F780" s="23" t="s">
        <v>45</v>
      </c>
      <c r="G780" s="23" t="s">
        <v>307</v>
      </c>
      <c r="H780" s="23">
        <v>1</v>
      </c>
      <c r="I780" s="96"/>
      <c r="J780" s="51">
        <v>32263.5</v>
      </c>
      <c r="K780" s="23"/>
      <c r="L780" s="52">
        <f>SUM(J780/M780)</f>
        <v>1712.5</v>
      </c>
      <c r="M780" s="53">
        <v>18.84</v>
      </c>
      <c r="N780" s="57">
        <v>7.27</v>
      </c>
      <c r="O780" s="47">
        <f>SUM(M780*N780)</f>
        <v>136.9668</v>
      </c>
      <c r="P780" s="49"/>
      <c r="Q780" s="49"/>
      <c r="R780" s="77">
        <f t="shared" si="430"/>
        <v>81.25</v>
      </c>
      <c r="S780" s="77"/>
      <c r="T780" s="78">
        <f t="shared" si="431"/>
        <v>2.24453125</v>
      </c>
      <c r="U780" s="77"/>
      <c r="V780" s="78">
        <v>12</v>
      </c>
      <c r="W780" s="77">
        <f t="shared" si="425"/>
        <v>95.49453125</v>
      </c>
      <c r="X780" s="79">
        <f t="shared" si="432"/>
        <v>3.35578125</v>
      </c>
      <c r="Y780" s="79"/>
      <c r="Z780" s="79"/>
      <c r="AA780" s="79">
        <f t="shared" si="427"/>
        <v>3.35578125</v>
      </c>
      <c r="AB780" s="91">
        <v>7.27</v>
      </c>
      <c r="AC780" s="77">
        <f t="shared" si="429"/>
        <v>24.3965296875</v>
      </c>
      <c r="AD780" s="77">
        <f t="shared" si="426"/>
        <v>119.8910609375</v>
      </c>
      <c r="AE780" s="77">
        <f t="shared" si="428"/>
        <v>17.0757390625</v>
      </c>
    </row>
    <row r="781" customFormat="1" spans="1:31">
      <c r="A781" s="22"/>
      <c r="B781" s="23"/>
      <c r="C781" s="24">
        <v>241223000022</v>
      </c>
      <c r="D781" s="129">
        <v>45654</v>
      </c>
      <c r="E781" s="25" t="s">
        <v>44</v>
      </c>
      <c r="F781" s="23" t="s">
        <v>45</v>
      </c>
      <c r="G781" s="23" t="s">
        <v>328</v>
      </c>
      <c r="H781" s="23">
        <v>3</v>
      </c>
      <c r="I781" s="43">
        <v>390</v>
      </c>
      <c r="J781" s="44"/>
      <c r="K781" s="23"/>
      <c r="L781" s="23"/>
      <c r="M781" s="45"/>
      <c r="N781" s="57"/>
      <c r="O781" s="80">
        <f t="shared" ref="O781:O787" si="433">SUM(I781)</f>
        <v>390</v>
      </c>
      <c r="P781" s="49"/>
      <c r="Q781" s="49"/>
      <c r="R781" s="77">
        <f t="shared" si="430"/>
        <v>243.75</v>
      </c>
      <c r="S781" s="77"/>
      <c r="T781" s="78">
        <f t="shared" si="431"/>
        <v>6.73359375</v>
      </c>
      <c r="U781" s="77"/>
      <c r="V781" s="77"/>
      <c r="W781" s="77">
        <f t="shared" si="425"/>
        <v>250.48359375</v>
      </c>
      <c r="X781" s="79">
        <f t="shared" si="432"/>
        <v>10.06734375</v>
      </c>
      <c r="Y781" s="79"/>
      <c r="Z781" s="79"/>
      <c r="AA781" s="79">
        <f t="shared" si="427"/>
        <v>10.06734375</v>
      </c>
      <c r="AB781" s="91">
        <v>7.27</v>
      </c>
      <c r="AC781" s="77">
        <f t="shared" si="429"/>
        <v>73.1895890625</v>
      </c>
      <c r="AD781" s="77">
        <f t="shared" si="426"/>
        <v>323.6731828125</v>
      </c>
      <c r="AE781" s="77">
        <f t="shared" si="428"/>
        <v>66.3268171875</v>
      </c>
    </row>
    <row r="782" customFormat="1" spans="1:31">
      <c r="A782" s="22"/>
      <c r="B782" s="23"/>
      <c r="C782" s="24">
        <v>241223000023</v>
      </c>
      <c r="D782" s="129">
        <v>45654</v>
      </c>
      <c r="E782" s="25" t="s">
        <v>44</v>
      </c>
      <c r="F782" s="23" t="s">
        <v>45</v>
      </c>
      <c r="G782" s="23" t="s">
        <v>328</v>
      </c>
      <c r="H782" s="23">
        <v>3</v>
      </c>
      <c r="I782" s="43">
        <v>390</v>
      </c>
      <c r="J782" s="44"/>
      <c r="K782" s="23"/>
      <c r="L782" s="23"/>
      <c r="M782" s="45"/>
      <c r="N782" s="57"/>
      <c r="O782" s="80">
        <f t="shared" si="433"/>
        <v>390</v>
      </c>
      <c r="P782" s="49"/>
      <c r="Q782" s="49"/>
      <c r="R782" s="77">
        <f t="shared" si="430"/>
        <v>243.75</v>
      </c>
      <c r="S782" s="77"/>
      <c r="T782" s="78">
        <f t="shared" si="431"/>
        <v>6.73359375</v>
      </c>
      <c r="U782" s="77"/>
      <c r="V782" s="77"/>
      <c r="W782" s="77">
        <f t="shared" si="425"/>
        <v>250.48359375</v>
      </c>
      <c r="X782" s="79">
        <f t="shared" si="432"/>
        <v>10.06734375</v>
      </c>
      <c r="Y782" s="79"/>
      <c r="Z782" s="79"/>
      <c r="AA782" s="79">
        <f t="shared" si="427"/>
        <v>10.06734375</v>
      </c>
      <c r="AB782" s="91">
        <v>7.27</v>
      </c>
      <c r="AC782" s="77">
        <f t="shared" si="429"/>
        <v>73.1895890625</v>
      </c>
      <c r="AD782" s="77">
        <f t="shared" si="426"/>
        <v>323.6731828125</v>
      </c>
      <c r="AE782" s="77">
        <f t="shared" si="428"/>
        <v>66.3268171875</v>
      </c>
    </row>
    <row r="783" customFormat="1" spans="1:31">
      <c r="A783" s="22"/>
      <c r="B783" s="23"/>
      <c r="C783" s="24">
        <v>241223000026</v>
      </c>
      <c r="D783" s="129">
        <v>45654</v>
      </c>
      <c r="E783" s="25" t="s">
        <v>44</v>
      </c>
      <c r="F783" s="23" t="s">
        <v>45</v>
      </c>
      <c r="G783" s="23" t="s">
        <v>453</v>
      </c>
      <c r="H783" s="23">
        <v>0.24</v>
      </c>
      <c r="I783" s="43">
        <v>125</v>
      </c>
      <c r="J783" s="44"/>
      <c r="K783" s="23"/>
      <c r="L783" s="23"/>
      <c r="M783" s="45"/>
      <c r="N783" s="57"/>
      <c r="O783" s="80">
        <f t="shared" si="433"/>
        <v>125</v>
      </c>
      <c r="P783" s="49"/>
      <c r="Q783" s="49"/>
      <c r="R783" s="77">
        <f t="shared" si="430"/>
        <v>19.5</v>
      </c>
      <c r="S783" s="77"/>
      <c r="T783" s="78">
        <f t="shared" si="431"/>
        <v>0.5386875</v>
      </c>
      <c r="U783" s="77"/>
      <c r="V783" s="77"/>
      <c r="W783" s="77">
        <f t="shared" si="425"/>
        <v>20.0386875</v>
      </c>
      <c r="X783" s="79">
        <f t="shared" si="432"/>
        <v>0.8053875</v>
      </c>
      <c r="Y783" s="79"/>
      <c r="Z783" s="79"/>
      <c r="AA783" s="79">
        <f t="shared" si="427"/>
        <v>0.8053875</v>
      </c>
      <c r="AB783" s="91">
        <v>7.27</v>
      </c>
      <c r="AC783" s="77">
        <f t="shared" si="429"/>
        <v>5.855167125</v>
      </c>
      <c r="AD783" s="77">
        <f t="shared" si="426"/>
        <v>25.893854625</v>
      </c>
      <c r="AE783" s="77">
        <f t="shared" si="428"/>
        <v>99.106145375</v>
      </c>
    </row>
    <row r="784" customFormat="1" spans="1:31">
      <c r="A784" s="22"/>
      <c r="B784" s="23"/>
      <c r="C784" s="24">
        <v>241223000043</v>
      </c>
      <c r="D784" s="129">
        <v>45654</v>
      </c>
      <c r="E784" s="25" t="s">
        <v>61</v>
      </c>
      <c r="F784" s="23" t="s">
        <v>62</v>
      </c>
      <c r="G784" s="23" t="s">
        <v>503</v>
      </c>
      <c r="H784" s="23">
        <v>2.5</v>
      </c>
      <c r="I784" s="43">
        <v>350.5</v>
      </c>
      <c r="J784" s="44"/>
      <c r="K784" s="23"/>
      <c r="L784" s="23"/>
      <c r="M784" s="45"/>
      <c r="N784" s="57"/>
      <c r="O784" s="80">
        <f t="shared" si="433"/>
        <v>350.5</v>
      </c>
      <c r="P784" s="49"/>
      <c r="Q784" s="49"/>
      <c r="R784" s="77">
        <f t="shared" si="430"/>
        <v>203.125</v>
      </c>
      <c r="S784" s="77"/>
      <c r="T784" s="78">
        <f t="shared" si="431"/>
        <v>5.611328125</v>
      </c>
      <c r="U784" s="77"/>
      <c r="V784" s="77"/>
      <c r="W784" s="77">
        <f t="shared" si="425"/>
        <v>208.736328125</v>
      </c>
      <c r="X784" s="79">
        <f t="shared" si="432"/>
        <v>8.389453125</v>
      </c>
      <c r="Y784" s="79"/>
      <c r="Z784" s="79"/>
      <c r="AA784" s="79">
        <f t="shared" si="427"/>
        <v>8.389453125</v>
      </c>
      <c r="AB784" s="91">
        <v>7.27</v>
      </c>
      <c r="AC784" s="77">
        <f t="shared" si="429"/>
        <v>60.99132421875</v>
      </c>
      <c r="AD784" s="77">
        <f t="shared" si="426"/>
        <v>269.72765234375</v>
      </c>
      <c r="AE784" s="77">
        <f t="shared" si="428"/>
        <v>80.77234765625</v>
      </c>
    </row>
    <row r="785" customFormat="1" spans="1:31">
      <c r="A785" s="22"/>
      <c r="B785" s="23"/>
      <c r="C785" s="24">
        <v>241224000002</v>
      </c>
      <c r="D785" s="129">
        <v>45654</v>
      </c>
      <c r="E785" s="25" t="s">
        <v>84</v>
      </c>
      <c r="F785" s="23" t="s">
        <v>85</v>
      </c>
      <c r="G785" s="23" t="s">
        <v>441</v>
      </c>
      <c r="H785" s="23">
        <v>4</v>
      </c>
      <c r="I785" s="43">
        <v>531</v>
      </c>
      <c r="J785" s="44"/>
      <c r="K785" s="23"/>
      <c r="L785" s="23"/>
      <c r="M785" s="45"/>
      <c r="N785" s="57"/>
      <c r="O785" s="80">
        <f t="shared" si="433"/>
        <v>531</v>
      </c>
      <c r="P785" s="49"/>
      <c r="Q785" s="49"/>
      <c r="R785" s="77">
        <f t="shared" si="430"/>
        <v>325</v>
      </c>
      <c r="S785" s="77"/>
      <c r="T785" s="78">
        <f t="shared" si="431"/>
        <v>8.978125</v>
      </c>
      <c r="U785" s="77"/>
      <c r="V785" s="77"/>
      <c r="W785" s="77">
        <f t="shared" si="425"/>
        <v>333.978125</v>
      </c>
      <c r="X785" s="79">
        <f t="shared" si="432"/>
        <v>13.423125</v>
      </c>
      <c r="Y785" s="79"/>
      <c r="Z785" s="79"/>
      <c r="AA785" s="79">
        <f t="shared" si="427"/>
        <v>13.423125</v>
      </c>
      <c r="AB785" s="91">
        <v>7.27</v>
      </c>
      <c r="AC785" s="77">
        <f t="shared" si="429"/>
        <v>97.58611875</v>
      </c>
      <c r="AD785" s="77">
        <f t="shared" si="426"/>
        <v>431.56424375</v>
      </c>
      <c r="AE785" s="77">
        <f t="shared" si="428"/>
        <v>99.4357562500001</v>
      </c>
    </row>
    <row r="786" customFormat="1" spans="1:31">
      <c r="A786" s="22"/>
      <c r="B786" s="23"/>
      <c r="C786" s="24">
        <v>241224000008</v>
      </c>
      <c r="D786" s="129">
        <v>45654</v>
      </c>
      <c r="E786" s="25" t="s">
        <v>37</v>
      </c>
      <c r="F786" s="23" t="s">
        <v>38</v>
      </c>
      <c r="G786" s="23" t="s">
        <v>51</v>
      </c>
      <c r="H786" s="23">
        <v>0.18</v>
      </c>
      <c r="I786" s="43">
        <v>125</v>
      </c>
      <c r="J786" s="44"/>
      <c r="K786" s="23"/>
      <c r="L786" s="23"/>
      <c r="M786" s="45"/>
      <c r="N786" s="57"/>
      <c r="O786" s="80">
        <f t="shared" si="433"/>
        <v>125</v>
      </c>
      <c r="P786" s="49"/>
      <c r="Q786" s="49"/>
      <c r="R786" s="77">
        <f t="shared" si="430"/>
        <v>14.625</v>
      </c>
      <c r="S786" s="77"/>
      <c r="T786" s="78">
        <f t="shared" si="431"/>
        <v>0.404015625</v>
      </c>
      <c r="U786" s="77"/>
      <c r="V786" s="77"/>
      <c r="W786" s="77">
        <f t="shared" si="425"/>
        <v>15.029015625</v>
      </c>
      <c r="X786" s="79">
        <f t="shared" si="432"/>
        <v>0.604040625</v>
      </c>
      <c r="Y786" s="79"/>
      <c r="Z786" s="79"/>
      <c r="AA786" s="79">
        <f t="shared" si="427"/>
        <v>0.604040625</v>
      </c>
      <c r="AB786" s="91">
        <v>7.27</v>
      </c>
      <c r="AC786" s="77">
        <f t="shared" si="429"/>
        <v>4.39137534375</v>
      </c>
      <c r="AD786" s="77">
        <f t="shared" si="426"/>
        <v>19.42039096875</v>
      </c>
      <c r="AE786" s="77">
        <f t="shared" si="428"/>
        <v>105.57960903125</v>
      </c>
    </row>
    <row r="787" customFormat="1" spans="1:31">
      <c r="A787" s="22"/>
      <c r="B787" s="23"/>
      <c r="C787" s="24">
        <v>241224000041</v>
      </c>
      <c r="D787" s="129">
        <v>45654</v>
      </c>
      <c r="E787" s="25" t="s">
        <v>61</v>
      </c>
      <c r="F787" s="23" t="s">
        <v>62</v>
      </c>
      <c r="G787" s="23" t="s">
        <v>504</v>
      </c>
      <c r="H787" s="23">
        <v>12.5</v>
      </c>
      <c r="I787" s="43">
        <v>1562.5</v>
      </c>
      <c r="J787" s="44"/>
      <c r="K787" s="23"/>
      <c r="L787" s="23"/>
      <c r="M787" s="45"/>
      <c r="N787" s="57"/>
      <c r="O787" s="80">
        <f t="shared" si="433"/>
        <v>1562.5</v>
      </c>
      <c r="P787" s="49"/>
      <c r="Q787" s="49"/>
      <c r="R787" s="77">
        <f t="shared" si="430"/>
        <v>1015.625</v>
      </c>
      <c r="S787" s="77"/>
      <c r="T787" s="78">
        <f t="shared" si="431"/>
        <v>28.056640625</v>
      </c>
      <c r="U787" s="77"/>
      <c r="V787" s="77"/>
      <c r="W787" s="77">
        <f t="shared" si="425"/>
        <v>1043.681640625</v>
      </c>
      <c r="X787" s="79">
        <f t="shared" si="432"/>
        <v>41.947265625</v>
      </c>
      <c r="Y787" s="79"/>
      <c r="Z787" s="79"/>
      <c r="AA787" s="79">
        <f t="shared" si="427"/>
        <v>41.947265625</v>
      </c>
      <c r="AB787" s="91">
        <v>7.27</v>
      </c>
      <c r="AC787" s="77">
        <f t="shared" si="429"/>
        <v>304.95662109375</v>
      </c>
      <c r="AD787" s="77">
        <f t="shared" si="426"/>
        <v>1348.63826171875</v>
      </c>
      <c r="AE787" s="77">
        <f t="shared" si="428"/>
        <v>213.86173828125</v>
      </c>
    </row>
    <row r="788" customFormat="1" spans="1:31">
      <c r="A788" s="22"/>
      <c r="B788" s="23"/>
      <c r="C788" s="24">
        <v>241224000053</v>
      </c>
      <c r="D788" s="26">
        <v>45654</v>
      </c>
      <c r="E788" s="25" t="s">
        <v>57</v>
      </c>
      <c r="F788" s="23" t="s">
        <v>58</v>
      </c>
      <c r="G788" s="23" t="s">
        <v>59</v>
      </c>
      <c r="H788" s="23">
        <v>0.64</v>
      </c>
      <c r="I788" s="47"/>
      <c r="J788" s="51">
        <v>28644</v>
      </c>
      <c r="K788" s="23"/>
      <c r="L788" s="52">
        <f>SUM(J788/M788)</f>
        <v>1650</v>
      </c>
      <c r="M788" s="53">
        <v>17.36</v>
      </c>
      <c r="N788" s="57">
        <v>7.27</v>
      </c>
      <c r="O788" s="80">
        <f>SUM(M788*N788)</f>
        <v>126.2072</v>
      </c>
      <c r="P788" s="49"/>
      <c r="Q788" s="49"/>
      <c r="R788" s="77">
        <f t="shared" si="430"/>
        <v>52</v>
      </c>
      <c r="S788" s="77"/>
      <c r="T788" s="78">
        <f t="shared" si="431"/>
        <v>1.4365</v>
      </c>
      <c r="U788" s="77"/>
      <c r="V788" s="77"/>
      <c r="W788" s="77">
        <f t="shared" si="425"/>
        <v>53.4365</v>
      </c>
      <c r="X788" s="79">
        <f t="shared" si="432"/>
        <v>2.1477</v>
      </c>
      <c r="Y788" s="79"/>
      <c r="Z788" s="79"/>
      <c r="AA788" s="79">
        <f t="shared" si="427"/>
        <v>2.1477</v>
      </c>
      <c r="AB788" s="91">
        <v>7.27</v>
      </c>
      <c r="AC788" s="77">
        <f t="shared" si="429"/>
        <v>15.613779</v>
      </c>
      <c r="AD788" s="77">
        <f t="shared" si="426"/>
        <v>69.050279</v>
      </c>
      <c r="AE788" s="77">
        <f t="shared" si="428"/>
        <v>57.156921</v>
      </c>
    </row>
    <row r="789" customFormat="1" spans="1:31">
      <c r="A789" s="22"/>
      <c r="B789" s="23"/>
      <c r="C789" s="24">
        <v>241226000019</v>
      </c>
      <c r="D789" s="129">
        <v>45654</v>
      </c>
      <c r="E789" s="25" t="s">
        <v>54</v>
      </c>
      <c r="F789" s="23" t="s">
        <v>55</v>
      </c>
      <c r="G789" s="23" t="s">
        <v>227</v>
      </c>
      <c r="H789" s="23">
        <v>0.79</v>
      </c>
      <c r="I789" s="43">
        <v>130</v>
      </c>
      <c r="J789" s="44"/>
      <c r="K789" s="23"/>
      <c r="L789" s="23"/>
      <c r="M789" s="45"/>
      <c r="N789" s="57"/>
      <c r="O789" s="80">
        <f t="shared" ref="O789:O798" si="434">SUM(I789)</f>
        <v>130</v>
      </c>
      <c r="P789" s="49"/>
      <c r="Q789" s="49"/>
      <c r="R789" s="77">
        <f t="shared" si="430"/>
        <v>64.1875</v>
      </c>
      <c r="S789" s="77"/>
      <c r="T789" s="78">
        <f t="shared" si="431"/>
        <v>1.7731796875</v>
      </c>
      <c r="U789" s="77"/>
      <c r="V789" s="77"/>
      <c r="W789" s="77">
        <f t="shared" si="425"/>
        <v>65.9606796875</v>
      </c>
      <c r="X789" s="79">
        <f t="shared" si="432"/>
        <v>2.6510671875</v>
      </c>
      <c r="Y789" s="79"/>
      <c r="Z789" s="79"/>
      <c r="AA789" s="79">
        <f t="shared" si="427"/>
        <v>2.6510671875</v>
      </c>
      <c r="AB789" s="91">
        <v>7.27</v>
      </c>
      <c r="AC789" s="77">
        <f t="shared" si="429"/>
        <v>19.273258453125</v>
      </c>
      <c r="AD789" s="77">
        <f t="shared" si="426"/>
        <v>85.233938140625</v>
      </c>
      <c r="AE789" s="77">
        <f t="shared" si="428"/>
        <v>44.766061859375</v>
      </c>
    </row>
    <row r="790" customFormat="1" spans="1:31">
      <c r="A790" s="22"/>
      <c r="B790" s="23"/>
      <c r="C790" s="24">
        <v>241226000024</v>
      </c>
      <c r="D790" s="26">
        <v>45654</v>
      </c>
      <c r="E790" s="25" t="s">
        <v>70</v>
      </c>
      <c r="F790" s="23" t="s">
        <v>70</v>
      </c>
      <c r="G790" s="23" t="s">
        <v>156</v>
      </c>
      <c r="H790" s="23">
        <v>0.28</v>
      </c>
      <c r="I790" s="43">
        <v>73</v>
      </c>
      <c r="J790" s="44"/>
      <c r="K790" s="23"/>
      <c r="L790" s="23"/>
      <c r="M790" s="45"/>
      <c r="N790" s="57"/>
      <c r="O790" s="80">
        <f t="shared" si="434"/>
        <v>73</v>
      </c>
      <c r="P790" s="49"/>
      <c r="Q790" s="49"/>
      <c r="R790" s="77">
        <f t="shared" si="430"/>
        <v>22.75</v>
      </c>
      <c r="S790" s="77"/>
      <c r="T790" s="78">
        <f t="shared" si="431"/>
        <v>0.62846875</v>
      </c>
      <c r="U790" s="77"/>
      <c r="V790" s="77"/>
      <c r="W790" s="77">
        <f t="shared" si="425"/>
        <v>23.37846875</v>
      </c>
      <c r="X790" s="79">
        <f t="shared" si="432"/>
        <v>0.93961875</v>
      </c>
      <c r="Y790" s="79"/>
      <c r="Z790" s="79"/>
      <c r="AA790" s="79">
        <f t="shared" si="427"/>
        <v>0.93961875</v>
      </c>
      <c r="AB790" s="91">
        <v>7.27</v>
      </c>
      <c r="AC790" s="77">
        <f t="shared" si="429"/>
        <v>6.8310283125</v>
      </c>
      <c r="AD790" s="77">
        <f t="shared" si="426"/>
        <v>30.2094970625</v>
      </c>
      <c r="AE790" s="77">
        <f t="shared" si="428"/>
        <v>42.7905029375</v>
      </c>
    </row>
    <row r="791" customFormat="1" spans="1:31">
      <c r="A791" s="22"/>
      <c r="B791" s="23"/>
      <c r="C791" s="24">
        <v>241226000029</v>
      </c>
      <c r="D791" s="26">
        <v>45654</v>
      </c>
      <c r="E791" s="25" t="s">
        <v>70</v>
      </c>
      <c r="F791" s="23" t="s">
        <v>70</v>
      </c>
      <c r="G791" s="23" t="s">
        <v>156</v>
      </c>
      <c r="H791" s="23">
        <v>0.1</v>
      </c>
      <c r="I791" s="43">
        <v>125</v>
      </c>
      <c r="J791" s="44"/>
      <c r="K791" s="23"/>
      <c r="L791" s="23"/>
      <c r="M791" s="45"/>
      <c r="N791" s="57"/>
      <c r="O791" s="80">
        <f t="shared" si="434"/>
        <v>125</v>
      </c>
      <c r="P791" s="49"/>
      <c r="Q791" s="49"/>
      <c r="R791" s="77">
        <f t="shared" si="430"/>
        <v>8.125</v>
      </c>
      <c r="S791" s="77"/>
      <c r="T791" s="78">
        <f t="shared" si="431"/>
        <v>0.224453125</v>
      </c>
      <c r="U791" s="77"/>
      <c r="V791" s="77"/>
      <c r="W791" s="77">
        <f t="shared" si="425"/>
        <v>8.349453125</v>
      </c>
      <c r="X791" s="79">
        <f t="shared" si="432"/>
        <v>0.335578125</v>
      </c>
      <c r="Y791" s="79"/>
      <c r="Z791" s="79"/>
      <c r="AA791" s="79">
        <f t="shared" si="427"/>
        <v>0.335578125</v>
      </c>
      <c r="AB791" s="91">
        <v>7.27</v>
      </c>
      <c r="AC791" s="77">
        <f t="shared" si="429"/>
        <v>2.43965296875</v>
      </c>
      <c r="AD791" s="77">
        <f t="shared" si="426"/>
        <v>10.78910609375</v>
      </c>
      <c r="AE791" s="77">
        <f t="shared" si="428"/>
        <v>114.21089390625</v>
      </c>
    </row>
    <row r="792" customFormat="1" spans="1:31">
      <c r="A792" s="22"/>
      <c r="B792" s="23"/>
      <c r="C792" s="24">
        <v>241226000036</v>
      </c>
      <c r="D792" s="129">
        <v>45654</v>
      </c>
      <c r="E792" s="25" t="s">
        <v>54</v>
      </c>
      <c r="F792" s="23" t="s">
        <v>55</v>
      </c>
      <c r="G792" s="23" t="s">
        <v>87</v>
      </c>
      <c r="H792" s="23">
        <v>13.5</v>
      </c>
      <c r="I792" s="43">
        <v>1755</v>
      </c>
      <c r="J792" s="44"/>
      <c r="K792" s="23"/>
      <c r="L792" s="23"/>
      <c r="M792" s="45"/>
      <c r="N792" s="57"/>
      <c r="O792" s="80">
        <f t="shared" si="434"/>
        <v>1755</v>
      </c>
      <c r="P792" s="49"/>
      <c r="Q792" s="49"/>
      <c r="R792" s="77">
        <f t="shared" si="430"/>
        <v>1096.875</v>
      </c>
      <c r="S792" s="77"/>
      <c r="T792" s="78">
        <f t="shared" si="431"/>
        <v>30.301171875</v>
      </c>
      <c r="U792" s="77"/>
      <c r="V792" s="77"/>
      <c r="W792" s="77">
        <f t="shared" si="425"/>
        <v>1127.176171875</v>
      </c>
      <c r="X792" s="79">
        <f t="shared" si="432"/>
        <v>45.303046875</v>
      </c>
      <c r="Y792" s="79"/>
      <c r="Z792" s="79"/>
      <c r="AA792" s="79">
        <f t="shared" si="427"/>
        <v>45.303046875</v>
      </c>
      <c r="AB792" s="91">
        <v>7.27</v>
      </c>
      <c r="AC792" s="77">
        <f t="shared" ref="AC792:AC800" si="435">SUM(AA792*AB792)</f>
        <v>329.35315078125</v>
      </c>
      <c r="AD792" s="77">
        <f t="shared" ref="AD792:AD800" si="436">SUM(W792+AC792)</f>
        <v>1456.52932265625</v>
      </c>
      <c r="AE792" s="77">
        <f t="shared" si="428"/>
        <v>298.47067734375</v>
      </c>
    </row>
    <row r="793" customFormat="1" spans="1:31">
      <c r="A793" s="22"/>
      <c r="B793" s="23"/>
      <c r="C793" s="24">
        <v>241227000006</v>
      </c>
      <c r="D793" s="129">
        <v>45654</v>
      </c>
      <c r="E793" s="25" t="s">
        <v>61</v>
      </c>
      <c r="F793" s="23" t="s">
        <v>62</v>
      </c>
      <c r="G793" s="23" t="s">
        <v>505</v>
      </c>
      <c r="H793" s="23">
        <v>15</v>
      </c>
      <c r="I793" s="43">
        <v>1950</v>
      </c>
      <c r="J793" s="44"/>
      <c r="K793" s="23"/>
      <c r="L793" s="23"/>
      <c r="M793" s="45"/>
      <c r="N793" s="57"/>
      <c r="O793" s="80">
        <f t="shared" si="434"/>
        <v>1950</v>
      </c>
      <c r="P793" s="49"/>
      <c r="Q793" s="49"/>
      <c r="R793" s="77">
        <f t="shared" si="430"/>
        <v>1218.75</v>
      </c>
      <c r="S793" s="77"/>
      <c r="T793" s="78">
        <f t="shared" si="431"/>
        <v>33.66796875</v>
      </c>
      <c r="U793" s="77"/>
      <c r="V793" s="77"/>
      <c r="W793" s="77">
        <f t="shared" si="425"/>
        <v>1252.41796875</v>
      </c>
      <c r="X793" s="79">
        <f t="shared" si="432"/>
        <v>50.33671875</v>
      </c>
      <c r="Y793" s="79"/>
      <c r="Z793" s="79"/>
      <c r="AA793" s="79">
        <f t="shared" si="427"/>
        <v>50.33671875</v>
      </c>
      <c r="AB793" s="91">
        <v>7.27</v>
      </c>
      <c r="AC793" s="77">
        <f t="shared" si="435"/>
        <v>365.9479453125</v>
      </c>
      <c r="AD793" s="77">
        <f t="shared" si="436"/>
        <v>1618.3659140625</v>
      </c>
      <c r="AE793" s="77">
        <f t="shared" ref="AE793:AE800" si="437">SUM(O793-AD793)</f>
        <v>331.6340859375</v>
      </c>
    </row>
    <row r="794" customFormat="1" spans="1:31">
      <c r="A794" s="22"/>
      <c r="B794" s="23"/>
      <c r="C794" s="24">
        <v>241227000017</v>
      </c>
      <c r="D794" s="129">
        <v>45654</v>
      </c>
      <c r="E794" s="25" t="s">
        <v>44</v>
      </c>
      <c r="F794" s="23" t="s">
        <v>45</v>
      </c>
      <c r="G794" s="23" t="s">
        <v>83</v>
      </c>
      <c r="H794" s="23">
        <v>0.38</v>
      </c>
      <c r="I794" s="43">
        <v>85</v>
      </c>
      <c r="J794" s="44"/>
      <c r="K794" s="23"/>
      <c r="L794" s="23"/>
      <c r="M794" s="45"/>
      <c r="N794" s="57"/>
      <c r="O794" s="80">
        <f t="shared" si="434"/>
        <v>85</v>
      </c>
      <c r="P794" s="55"/>
      <c r="Q794" s="55"/>
      <c r="R794" s="77">
        <f t="shared" si="430"/>
        <v>30.875</v>
      </c>
      <c r="S794" s="77"/>
      <c r="T794" s="78">
        <f t="shared" si="431"/>
        <v>0.852921875</v>
      </c>
      <c r="U794" s="77"/>
      <c r="V794" s="77"/>
      <c r="W794" s="77">
        <f t="shared" ref="W794:W800" si="438">SUM(R794:V794)</f>
        <v>31.727921875</v>
      </c>
      <c r="X794" s="79">
        <f t="shared" si="432"/>
        <v>1.275196875</v>
      </c>
      <c r="Y794" s="79"/>
      <c r="Z794" s="79"/>
      <c r="AA794" s="79">
        <f t="shared" ref="AA794:AA800" si="439">SUM(X794:Z794)</f>
        <v>1.275196875</v>
      </c>
      <c r="AB794" s="91">
        <v>7.27</v>
      </c>
      <c r="AC794" s="77">
        <f t="shared" si="435"/>
        <v>9.27068128125</v>
      </c>
      <c r="AD794" s="77">
        <f t="shared" si="436"/>
        <v>40.99860315625</v>
      </c>
      <c r="AE794" s="77">
        <f t="shared" si="437"/>
        <v>44.00139684375</v>
      </c>
    </row>
    <row r="795" customFormat="1" spans="1:31">
      <c r="A795" s="22" t="s">
        <v>506</v>
      </c>
      <c r="B795" s="23" t="s">
        <v>507</v>
      </c>
      <c r="C795" s="24">
        <v>241224000034</v>
      </c>
      <c r="D795" s="129">
        <v>45655</v>
      </c>
      <c r="E795" s="25" t="s">
        <v>44</v>
      </c>
      <c r="F795" s="23" t="s">
        <v>45</v>
      </c>
      <c r="G795" s="23" t="s">
        <v>328</v>
      </c>
      <c r="H795" s="23">
        <v>1.5</v>
      </c>
      <c r="I795" s="43">
        <v>195</v>
      </c>
      <c r="J795" s="44"/>
      <c r="K795" s="23"/>
      <c r="L795" s="23"/>
      <c r="M795" s="45"/>
      <c r="N795" s="57"/>
      <c r="O795" s="80">
        <f t="shared" si="434"/>
        <v>195</v>
      </c>
      <c r="P795" s="48">
        <f>SUM(O795:O800)</f>
        <v>4338.8315</v>
      </c>
      <c r="Q795" s="48" t="s">
        <v>40</v>
      </c>
      <c r="R795" s="77">
        <f t="shared" ref="R795:R800" si="440">SUM(2600/32)*H795</f>
        <v>121.875</v>
      </c>
      <c r="S795" s="77"/>
      <c r="T795" s="78">
        <f t="shared" ref="T795:T800" si="441">SUM(68.63/32)*H795</f>
        <v>3.21703125</v>
      </c>
      <c r="U795" s="77"/>
      <c r="V795" s="77"/>
      <c r="W795" s="77">
        <f t="shared" si="438"/>
        <v>125.09203125</v>
      </c>
      <c r="X795" s="79">
        <f t="shared" ref="X795:X800" si="442">SUM(56.36/32)*H795</f>
        <v>2.641875</v>
      </c>
      <c r="Y795" s="79"/>
      <c r="Z795" s="79"/>
      <c r="AA795" s="79">
        <f t="shared" si="439"/>
        <v>2.641875</v>
      </c>
      <c r="AB795" s="91">
        <v>7.27</v>
      </c>
      <c r="AC795" s="77">
        <f t="shared" si="435"/>
        <v>19.20643125</v>
      </c>
      <c r="AD795" s="77">
        <f t="shared" si="436"/>
        <v>144.2984625</v>
      </c>
      <c r="AE795" s="77">
        <f t="shared" si="437"/>
        <v>50.7015375</v>
      </c>
    </row>
    <row r="796" customFormat="1" spans="1:31">
      <c r="A796" s="22"/>
      <c r="B796" s="23"/>
      <c r="C796" s="24">
        <v>241225000002</v>
      </c>
      <c r="D796" s="129">
        <v>45655</v>
      </c>
      <c r="E796" s="25" t="s">
        <v>44</v>
      </c>
      <c r="F796" s="23" t="s">
        <v>45</v>
      </c>
      <c r="G796" s="23" t="s">
        <v>431</v>
      </c>
      <c r="H796" s="23">
        <v>4</v>
      </c>
      <c r="I796" s="43">
        <v>532</v>
      </c>
      <c r="J796" s="44"/>
      <c r="K796" s="23"/>
      <c r="L796" s="23"/>
      <c r="M796" s="45"/>
      <c r="N796" s="57"/>
      <c r="O796" s="80">
        <f t="shared" si="434"/>
        <v>532</v>
      </c>
      <c r="P796" s="49"/>
      <c r="Q796" s="49"/>
      <c r="R796" s="77">
        <f t="shared" si="440"/>
        <v>325</v>
      </c>
      <c r="S796" s="77"/>
      <c r="T796" s="78">
        <f t="shared" si="441"/>
        <v>8.57875</v>
      </c>
      <c r="U796" s="77"/>
      <c r="V796" s="77"/>
      <c r="W796" s="77">
        <f t="shared" si="438"/>
        <v>333.57875</v>
      </c>
      <c r="X796" s="79">
        <f t="shared" si="442"/>
        <v>7.045</v>
      </c>
      <c r="Y796" s="79"/>
      <c r="Z796" s="79">
        <v>4.95</v>
      </c>
      <c r="AA796" s="79">
        <f t="shared" si="439"/>
        <v>11.995</v>
      </c>
      <c r="AB796" s="91">
        <v>7.27</v>
      </c>
      <c r="AC796" s="77">
        <f t="shared" si="435"/>
        <v>87.20365</v>
      </c>
      <c r="AD796" s="77">
        <f t="shared" si="436"/>
        <v>420.7824</v>
      </c>
      <c r="AE796" s="77">
        <f t="shared" si="437"/>
        <v>111.2176</v>
      </c>
    </row>
    <row r="797" customFormat="1" spans="1:31">
      <c r="A797" s="22"/>
      <c r="B797" s="23"/>
      <c r="C797" s="24">
        <v>241226000001</v>
      </c>
      <c r="D797" s="129">
        <v>45655</v>
      </c>
      <c r="E797" s="25" t="s">
        <v>37</v>
      </c>
      <c r="F797" s="23" t="s">
        <v>38</v>
      </c>
      <c r="G797" s="23" t="s">
        <v>508</v>
      </c>
      <c r="H797" s="23">
        <v>0.45</v>
      </c>
      <c r="I797" s="43">
        <v>150</v>
      </c>
      <c r="J797" s="44"/>
      <c r="K797" s="23"/>
      <c r="L797" s="23"/>
      <c r="M797" s="45"/>
      <c r="N797" s="57"/>
      <c r="O797" s="80">
        <f t="shared" si="434"/>
        <v>150</v>
      </c>
      <c r="P797" s="49"/>
      <c r="Q797" s="49"/>
      <c r="R797" s="77">
        <f t="shared" si="440"/>
        <v>36.5625</v>
      </c>
      <c r="S797" s="77"/>
      <c r="T797" s="78">
        <f t="shared" si="441"/>
        <v>0.965109375</v>
      </c>
      <c r="U797" s="77"/>
      <c r="V797" s="77"/>
      <c r="W797" s="77">
        <f t="shared" si="438"/>
        <v>37.527609375</v>
      </c>
      <c r="X797" s="79">
        <f t="shared" si="442"/>
        <v>0.7925625</v>
      </c>
      <c r="Y797" s="79"/>
      <c r="Z797" s="79"/>
      <c r="AA797" s="79">
        <f t="shared" si="439"/>
        <v>0.7925625</v>
      </c>
      <c r="AB797" s="91">
        <v>7.27</v>
      </c>
      <c r="AC797" s="77">
        <f t="shared" si="435"/>
        <v>5.761929375</v>
      </c>
      <c r="AD797" s="77">
        <f t="shared" si="436"/>
        <v>43.28953875</v>
      </c>
      <c r="AE797" s="77">
        <f t="shared" si="437"/>
        <v>106.71046125</v>
      </c>
    </row>
    <row r="798" customFormat="1" spans="1:31">
      <c r="A798" s="22"/>
      <c r="B798" s="23"/>
      <c r="C798" s="24">
        <v>241226000028</v>
      </c>
      <c r="D798" s="129">
        <v>45655</v>
      </c>
      <c r="E798" s="25" t="s">
        <v>54</v>
      </c>
      <c r="F798" s="23" t="s">
        <v>55</v>
      </c>
      <c r="G798" s="23" t="s">
        <v>104</v>
      </c>
      <c r="H798" s="23">
        <v>11.5</v>
      </c>
      <c r="I798" s="43">
        <v>1437.5</v>
      </c>
      <c r="J798" s="44"/>
      <c r="K798" s="23"/>
      <c r="L798" s="23"/>
      <c r="M798" s="45"/>
      <c r="N798" s="57"/>
      <c r="O798" s="80">
        <f t="shared" si="434"/>
        <v>1437.5</v>
      </c>
      <c r="P798" s="49"/>
      <c r="Q798" s="49"/>
      <c r="R798" s="77">
        <f t="shared" si="440"/>
        <v>934.375</v>
      </c>
      <c r="S798" s="77"/>
      <c r="T798" s="78">
        <f t="shared" si="441"/>
        <v>24.66390625</v>
      </c>
      <c r="U798" s="77"/>
      <c r="V798" s="77"/>
      <c r="W798" s="77">
        <f t="shared" si="438"/>
        <v>959.03890625</v>
      </c>
      <c r="X798" s="79">
        <f t="shared" si="442"/>
        <v>20.254375</v>
      </c>
      <c r="Y798" s="79"/>
      <c r="Z798" s="79"/>
      <c r="AA798" s="79">
        <f t="shared" si="439"/>
        <v>20.254375</v>
      </c>
      <c r="AB798" s="91">
        <v>7.27</v>
      </c>
      <c r="AC798" s="77">
        <f t="shared" si="435"/>
        <v>147.24930625</v>
      </c>
      <c r="AD798" s="77">
        <f t="shared" ref="AD798:AD829" si="443">SUM(W798+AC798)</f>
        <v>1106.2882125</v>
      </c>
      <c r="AE798" s="77">
        <f t="shared" si="437"/>
        <v>331.2117875</v>
      </c>
    </row>
    <row r="799" customFormat="1" spans="1:31">
      <c r="A799" s="22"/>
      <c r="B799" s="23"/>
      <c r="C799" s="24">
        <v>241227000032</v>
      </c>
      <c r="D799" s="26">
        <v>45655</v>
      </c>
      <c r="E799" s="25" t="s">
        <v>54</v>
      </c>
      <c r="F799" s="23">
        <v>13635229849</v>
      </c>
      <c r="G799" s="23" t="s">
        <v>374</v>
      </c>
      <c r="H799" s="23">
        <v>0.72</v>
      </c>
      <c r="I799" s="47"/>
      <c r="J799" s="51">
        <v>34216</v>
      </c>
      <c r="K799" s="23"/>
      <c r="L799" s="52">
        <f>SUM(J799/M799)</f>
        <v>1665.01216545012</v>
      </c>
      <c r="M799" s="53">
        <v>20.55</v>
      </c>
      <c r="N799" s="57">
        <v>7.27</v>
      </c>
      <c r="O799" s="80">
        <f>SUM(M799*N799)</f>
        <v>149.3985</v>
      </c>
      <c r="P799" s="49"/>
      <c r="Q799" s="49"/>
      <c r="R799" s="77">
        <f t="shared" si="440"/>
        <v>58.5</v>
      </c>
      <c r="S799" s="77"/>
      <c r="T799" s="78">
        <f t="shared" si="441"/>
        <v>1.544175</v>
      </c>
      <c r="U799" s="77"/>
      <c r="V799" s="78">
        <v>18</v>
      </c>
      <c r="W799" s="77">
        <f t="shared" si="438"/>
        <v>78.044175</v>
      </c>
      <c r="X799" s="79">
        <f t="shared" si="442"/>
        <v>1.2681</v>
      </c>
      <c r="Y799" s="79"/>
      <c r="Z799" s="79"/>
      <c r="AA799" s="79">
        <f t="shared" ref="AA799:AA830" si="444">SUM(X799:Z799)</f>
        <v>1.2681</v>
      </c>
      <c r="AB799" s="91">
        <v>7.27</v>
      </c>
      <c r="AC799" s="77">
        <f t="shared" ref="AC799:AC830" si="445">SUM(AA799*AB799)</f>
        <v>9.219087</v>
      </c>
      <c r="AD799" s="77">
        <f t="shared" si="443"/>
        <v>87.263262</v>
      </c>
      <c r="AE799" s="77">
        <f t="shared" ref="AE799:AE830" si="446">SUM(O799-AD799)</f>
        <v>62.135238</v>
      </c>
    </row>
    <row r="800" customFormat="1" spans="1:31">
      <c r="A800" s="22"/>
      <c r="B800" s="23"/>
      <c r="C800" s="24">
        <v>241227000045</v>
      </c>
      <c r="D800" s="129">
        <v>45655</v>
      </c>
      <c r="E800" s="25" t="s">
        <v>41</v>
      </c>
      <c r="F800" s="23" t="s">
        <v>42</v>
      </c>
      <c r="G800" s="23" t="s">
        <v>509</v>
      </c>
      <c r="H800" s="23">
        <v>15</v>
      </c>
      <c r="I800" s="50"/>
      <c r="J800" s="51">
        <v>437619</v>
      </c>
      <c r="K800" s="23"/>
      <c r="L800" s="52">
        <f>SUM(J800/M800)</f>
        <v>1696.85537029857</v>
      </c>
      <c r="M800" s="53">
        <v>257.9</v>
      </c>
      <c r="N800" s="57">
        <v>7.27</v>
      </c>
      <c r="O800" s="80">
        <f>SUM(M800*N800)</f>
        <v>1874.933</v>
      </c>
      <c r="P800" s="55"/>
      <c r="Q800" s="55"/>
      <c r="R800" s="77">
        <f t="shared" si="440"/>
        <v>1218.75</v>
      </c>
      <c r="S800" s="77"/>
      <c r="T800" s="78">
        <f t="shared" si="441"/>
        <v>32.1703125</v>
      </c>
      <c r="U800" s="77"/>
      <c r="V800" s="77"/>
      <c r="W800" s="77">
        <f t="shared" ref="W800:W831" si="447">SUM(R800:V800)</f>
        <v>1250.9203125</v>
      </c>
      <c r="X800" s="79">
        <f t="shared" si="442"/>
        <v>26.41875</v>
      </c>
      <c r="Y800" s="79"/>
      <c r="Z800" s="79"/>
      <c r="AA800" s="79">
        <f t="shared" si="444"/>
        <v>26.41875</v>
      </c>
      <c r="AB800" s="91">
        <v>7.27</v>
      </c>
      <c r="AC800" s="77">
        <f t="shared" si="445"/>
        <v>192.0643125</v>
      </c>
      <c r="AD800" s="77">
        <f t="shared" si="443"/>
        <v>1442.984625</v>
      </c>
      <c r="AE800" s="77">
        <f t="shared" si="446"/>
        <v>431.948375</v>
      </c>
    </row>
    <row r="801" customFormat="1" spans="1:31">
      <c r="A801" s="22" t="s">
        <v>510</v>
      </c>
      <c r="B801" s="23" t="s">
        <v>511</v>
      </c>
      <c r="C801" s="24">
        <v>241213000036</v>
      </c>
      <c r="D801" s="25">
        <v>46022</v>
      </c>
      <c r="E801" s="25" t="s">
        <v>54</v>
      </c>
      <c r="F801" s="23" t="s">
        <v>55</v>
      </c>
      <c r="G801" s="23" t="s">
        <v>124</v>
      </c>
      <c r="H801" s="23">
        <v>3.5</v>
      </c>
      <c r="I801" s="43">
        <v>283</v>
      </c>
      <c r="J801" s="44"/>
      <c r="K801" s="23"/>
      <c r="L801" s="23"/>
      <c r="M801" s="45"/>
      <c r="N801" s="57"/>
      <c r="O801" s="47">
        <f t="shared" ref="O801:O804" si="448">SUM(I801)</f>
        <v>283</v>
      </c>
      <c r="P801" s="48">
        <f>SUM(O801:O858)</f>
        <v>168620.6506</v>
      </c>
      <c r="Q801" s="82" t="s">
        <v>512</v>
      </c>
      <c r="R801" s="77">
        <f>SUM(133165/2519)*H801</f>
        <v>185.024811433108</v>
      </c>
      <c r="S801" s="77"/>
      <c r="T801" s="78">
        <f>SUM(211.79/2519)*H801</f>
        <v>0.294269551409289</v>
      </c>
      <c r="U801" s="77"/>
      <c r="V801" s="77"/>
      <c r="W801" s="77">
        <f t="shared" si="447"/>
        <v>185.319080984518</v>
      </c>
      <c r="X801" s="79">
        <f>SUM(1501.9/2519)*H801</f>
        <v>2.08680031758634</v>
      </c>
      <c r="Y801" s="79"/>
      <c r="Z801" s="79"/>
      <c r="AA801" s="79">
        <f t="shared" si="444"/>
        <v>2.08680031758634</v>
      </c>
      <c r="AB801" s="91">
        <v>7.27</v>
      </c>
      <c r="AC801" s="77">
        <f t="shared" si="445"/>
        <v>15.1710383088527</v>
      </c>
      <c r="AD801" s="77">
        <f t="shared" si="443"/>
        <v>200.49011929337</v>
      </c>
      <c r="AE801" s="77">
        <f t="shared" si="446"/>
        <v>82.5098807066296</v>
      </c>
    </row>
    <row r="802" customFormat="1" spans="1:31">
      <c r="A802" s="22"/>
      <c r="B802" s="23"/>
      <c r="C802" s="24">
        <v>241213000055</v>
      </c>
      <c r="D802" s="25">
        <v>46022</v>
      </c>
      <c r="E802" s="25" t="s">
        <v>54</v>
      </c>
      <c r="F802" s="23" t="s">
        <v>55</v>
      </c>
      <c r="G802" s="23" t="s">
        <v>427</v>
      </c>
      <c r="H802" s="23">
        <v>0.37</v>
      </c>
      <c r="I802" s="43">
        <v>89</v>
      </c>
      <c r="J802" s="44"/>
      <c r="K802" s="23"/>
      <c r="L802" s="23"/>
      <c r="M802" s="45"/>
      <c r="N802" s="57"/>
      <c r="O802" s="47">
        <f t="shared" si="448"/>
        <v>89</v>
      </c>
      <c r="P802" s="49"/>
      <c r="Q802" s="49"/>
      <c r="R802" s="77">
        <f t="shared" ref="R802:R833" si="449">SUM(133165/2519)*H802</f>
        <v>19.5597657800715</v>
      </c>
      <c r="S802" s="77"/>
      <c r="T802" s="78">
        <f t="shared" ref="T802:T833" si="450">SUM(211.79/2519)*H802</f>
        <v>0.0311084954346963</v>
      </c>
      <c r="U802" s="77"/>
      <c r="V802" s="77"/>
      <c r="W802" s="77">
        <f t="shared" si="447"/>
        <v>19.5908742755062</v>
      </c>
      <c r="X802" s="79">
        <f t="shared" ref="X802:X833" si="451">SUM(1501.9/2519)*H802</f>
        <v>0.220604605001985</v>
      </c>
      <c r="Y802" s="79"/>
      <c r="Z802" s="79"/>
      <c r="AA802" s="79">
        <f t="shared" si="444"/>
        <v>0.220604605001985</v>
      </c>
      <c r="AB802" s="91">
        <v>7.27</v>
      </c>
      <c r="AC802" s="77">
        <f t="shared" si="445"/>
        <v>1.60379547836443</v>
      </c>
      <c r="AD802" s="77">
        <f t="shared" si="443"/>
        <v>21.1946697538706</v>
      </c>
      <c r="AE802" s="77">
        <f t="shared" si="446"/>
        <v>67.8053302461294</v>
      </c>
    </row>
    <row r="803" customFormat="1" spans="1:31">
      <c r="A803" s="22"/>
      <c r="B803" s="23"/>
      <c r="C803" s="24">
        <v>241217000043</v>
      </c>
      <c r="D803" s="25">
        <v>46022</v>
      </c>
      <c r="E803" s="25" t="s">
        <v>44</v>
      </c>
      <c r="F803" s="23" t="s">
        <v>45</v>
      </c>
      <c r="G803" s="23" t="s">
        <v>453</v>
      </c>
      <c r="H803" s="23">
        <v>2</v>
      </c>
      <c r="I803" s="43">
        <v>163</v>
      </c>
      <c r="J803" s="44"/>
      <c r="K803" s="23"/>
      <c r="L803" s="23"/>
      <c r="M803" s="45"/>
      <c r="N803" s="57"/>
      <c r="O803" s="47">
        <f t="shared" si="448"/>
        <v>163</v>
      </c>
      <c r="P803" s="49"/>
      <c r="Q803" s="49"/>
      <c r="R803" s="77">
        <f t="shared" si="449"/>
        <v>105.728463676062</v>
      </c>
      <c r="S803" s="77"/>
      <c r="T803" s="78">
        <f t="shared" si="450"/>
        <v>0.168154029376737</v>
      </c>
      <c r="U803" s="77"/>
      <c r="V803" s="77"/>
      <c r="W803" s="77">
        <f t="shared" si="447"/>
        <v>105.896617705439</v>
      </c>
      <c r="X803" s="79">
        <f t="shared" si="451"/>
        <v>1.19245732433505</v>
      </c>
      <c r="Y803" s="79"/>
      <c r="Z803" s="79"/>
      <c r="AA803" s="79">
        <f t="shared" si="444"/>
        <v>1.19245732433505</v>
      </c>
      <c r="AB803" s="91">
        <v>7.27</v>
      </c>
      <c r="AC803" s="77">
        <f t="shared" si="445"/>
        <v>8.66916474791584</v>
      </c>
      <c r="AD803" s="77">
        <f t="shared" si="443"/>
        <v>114.565782453355</v>
      </c>
      <c r="AE803" s="77">
        <f t="shared" si="446"/>
        <v>48.4342175466455</v>
      </c>
    </row>
    <row r="804" customFormat="1" spans="1:31">
      <c r="A804" s="22"/>
      <c r="B804" s="23"/>
      <c r="C804" s="24">
        <v>241217000055</v>
      </c>
      <c r="D804" s="26">
        <v>46022</v>
      </c>
      <c r="E804" s="25" t="s">
        <v>70</v>
      </c>
      <c r="F804" s="23" t="s">
        <v>70</v>
      </c>
      <c r="G804" s="23" t="s">
        <v>176</v>
      </c>
      <c r="H804" s="23">
        <v>51</v>
      </c>
      <c r="I804" s="43">
        <v>3570</v>
      </c>
      <c r="J804" s="44"/>
      <c r="K804" s="23"/>
      <c r="L804" s="23"/>
      <c r="M804" s="45"/>
      <c r="N804" s="57"/>
      <c r="O804" s="47">
        <f t="shared" si="448"/>
        <v>3570</v>
      </c>
      <c r="P804" s="49"/>
      <c r="Q804" s="49"/>
      <c r="R804" s="77">
        <f t="shared" si="449"/>
        <v>2696.07582373958</v>
      </c>
      <c r="S804" s="77"/>
      <c r="T804" s="78">
        <f t="shared" si="450"/>
        <v>4.28792774910679</v>
      </c>
      <c r="U804" s="77"/>
      <c r="V804" s="77"/>
      <c r="W804" s="77">
        <f t="shared" si="447"/>
        <v>2700.36375148869</v>
      </c>
      <c r="X804" s="79">
        <f t="shared" si="451"/>
        <v>30.4076617705439</v>
      </c>
      <c r="Y804" s="79"/>
      <c r="Z804" s="79"/>
      <c r="AA804" s="79">
        <f t="shared" si="444"/>
        <v>30.4076617705439</v>
      </c>
      <c r="AB804" s="91">
        <v>7.27</v>
      </c>
      <c r="AC804" s="77">
        <f t="shared" si="445"/>
        <v>221.063701071854</v>
      </c>
      <c r="AD804" s="77">
        <f t="shared" si="443"/>
        <v>2921.42745256054</v>
      </c>
      <c r="AE804" s="77">
        <f t="shared" si="446"/>
        <v>648.57254743946</v>
      </c>
    </row>
    <row r="805" customFormat="1" spans="1:31">
      <c r="A805" s="22"/>
      <c r="B805" s="23"/>
      <c r="C805" s="24">
        <v>241218000018</v>
      </c>
      <c r="D805" s="25">
        <v>46022</v>
      </c>
      <c r="E805" s="25" t="s">
        <v>61</v>
      </c>
      <c r="F805" s="23" t="s">
        <v>62</v>
      </c>
      <c r="G805" s="23" t="s">
        <v>219</v>
      </c>
      <c r="H805" s="23">
        <v>5</v>
      </c>
      <c r="I805" s="50"/>
      <c r="J805" s="51">
        <v>92287</v>
      </c>
      <c r="K805" s="23"/>
      <c r="L805" s="52">
        <f t="shared" ref="L805:L809" si="452">SUM(J805/M805)</f>
        <v>1664.92873895003</v>
      </c>
      <c r="M805" s="53">
        <v>55.43</v>
      </c>
      <c r="N805" s="57">
        <v>7.27</v>
      </c>
      <c r="O805" s="80">
        <f t="shared" ref="O805:O809" si="453">SUM(M805*N805)</f>
        <v>402.9761</v>
      </c>
      <c r="P805" s="49"/>
      <c r="Q805" s="49"/>
      <c r="R805" s="77">
        <f t="shared" si="449"/>
        <v>264.321159190155</v>
      </c>
      <c r="S805" s="77"/>
      <c r="T805" s="78">
        <f t="shared" si="450"/>
        <v>0.420385073441842</v>
      </c>
      <c r="U805" s="77"/>
      <c r="V805" s="77"/>
      <c r="W805" s="77">
        <f t="shared" si="447"/>
        <v>264.741544263597</v>
      </c>
      <c r="X805" s="79">
        <f t="shared" si="451"/>
        <v>2.98114331083763</v>
      </c>
      <c r="Y805" s="79"/>
      <c r="Z805" s="79"/>
      <c r="AA805" s="79">
        <f t="shared" si="444"/>
        <v>2.98114331083763</v>
      </c>
      <c r="AB805" s="91">
        <v>7.27</v>
      </c>
      <c r="AC805" s="77">
        <f t="shared" si="445"/>
        <v>21.6729118697896</v>
      </c>
      <c r="AD805" s="77">
        <f t="shared" si="443"/>
        <v>286.414456133386</v>
      </c>
      <c r="AE805" s="77">
        <f t="shared" si="446"/>
        <v>116.561643866614</v>
      </c>
    </row>
    <row r="806" customFormat="1" spans="1:31">
      <c r="A806" s="22"/>
      <c r="B806" s="23"/>
      <c r="C806" s="24">
        <v>241218000021</v>
      </c>
      <c r="D806" s="25">
        <v>46022</v>
      </c>
      <c r="E806" s="25" t="s">
        <v>61</v>
      </c>
      <c r="F806" s="23" t="s">
        <v>62</v>
      </c>
      <c r="G806" s="23" t="s">
        <v>153</v>
      </c>
      <c r="H806" s="23">
        <v>1.5</v>
      </c>
      <c r="I806" s="43">
        <v>89</v>
      </c>
      <c r="J806" s="44"/>
      <c r="K806" s="23"/>
      <c r="L806" s="23"/>
      <c r="M806" s="45"/>
      <c r="N806" s="57"/>
      <c r="O806" s="47">
        <f t="shared" ref="O806:O812" si="454">SUM(I806)</f>
        <v>89</v>
      </c>
      <c r="P806" s="49"/>
      <c r="Q806" s="49"/>
      <c r="R806" s="77">
        <f t="shared" si="449"/>
        <v>79.2963477570464</v>
      </c>
      <c r="S806" s="77"/>
      <c r="T806" s="78">
        <f t="shared" si="450"/>
        <v>0.126115522032553</v>
      </c>
      <c r="U806" s="77"/>
      <c r="V806" s="77"/>
      <c r="W806" s="77">
        <f t="shared" si="447"/>
        <v>79.422463279079</v>
      </c>
      <c r="X806" s="79">
        <f t="shared" si="451"/>
        <v>0.89434299325129</v>
      </c>
      <c r="Y806" s="79"/>
      <c r="Z806" s="79"/>
      <c r="AA806" s="79">
        <f t="shared" si="444"/>
        <v>0.89434299325129</v>
      </c>
      <c r="AB806" s="91">
        <v>7.27</v>
      </c>
      <c r="AC806" s="77">
        <f t="shared" si="445"/>
        <v>6.50187356093688</v>
      </c>
      <c r="AD806" s="77">
        <f t="shared" si="443"/>
        <v>85.9243368400159</v>
      </c>
      <c r="AE806" s="77">
        <f t="shared" si="446"/>
        <v>3.07566315998412</v>
      </c>
    </row>
    <row r="807" customFormat="1" spans="1:31">
      <c r="A807" s="22"/>
      <c r="B807" s="23"/>
      <c r="C807" s="24">
        <v>241219000013</v>
      </c>
      <c r="D807" s="25">
        <v>46022</v>
      </c>
      <c r="E807" s="25" t="s">
        <v>44</v>
      </c>
      <c r="F807" s="23" t="s">
        <v>45</v>
      </c>
      <c r="G807" s="23" t="s">
        <v>135</v>
      </c>
      <c r="H807" s="23">
        <v>0.92</v>
      </c>
      <c r="I807" s="43">
        <v>72</v>
      </c>
      <c r="J807" s="44"/>
      <c r="K807" s="23"/>
      <c r="L807" s="23"/>
      <c r="M807" s="45"/>
      <c r="N807" s="57"/>
      <c r="O807" s="47">
        <f t="shared" si="454"/>
        <v>72</v>
      </c>
      <c r="P807" s="49"/>
      <c r="Q807" s="49"/>
      <c r="R807" s="77">
        <f t="shared" si="449"/>
        <v>48.6350932909885</v>
      </c>
      <c r="S807" s="77"/>
      <c r="T807" s="78">
        <f t="shared" si="450"/>
        <v>0.0773508535132989</v>
      </c>
      <c r="U807" s="77"/>
      <c r="V807" s="77"/>
      <c r="W807" s="77">
        <f t="shared" si="447"/>
        <v>48.7124441445018</v>
      </c>
      <c r="X807" s="79">
        <f t="shared" si="451"/>
        <v>0.548530369194125</v>
      </c>
      <c r="Y807" s="79"/>
      <c r="Z807" s="79"/>
      <c r="AA807" s="79">
        <f t="shared" si="444"/>
        <v>0.548530369194125</v>
      </c>
      <c r="AB807" s="91">
        <v>7.27</v>
      </c>
      <c r="AC807" s="77">
        <f t="shared" si="445"/>
        <v>3.98781578404129</v>
      </c>
      <c r="AD807" s="77">
        <f t="shared" si="443"/>
        <v>52.7002599285431</v>
      </c>
      <c r="AE807" s="77">
        <f t="shared" si="446"/>
        <v>19.2997400714569</v>
      </c>
    </row>
    <row r="808" customFormat="1" spans="1:31">
      <c r="A808" s="22"/>
      <c r="B808" s="23"/>
      <c r="C808" s="24">
        <v>241219000014</v>
      </c>
      <c r="D808" s="25">
        <v>46022</v>
      </c>
      <c r="E808" s="25" t="s">
        <v>44</v>
      </c>
      <c r="F808" s="23" t="s">
        <v>45</v>
      </c>
      <c r="G808" s="23" t="s">
        <v>135</v>
      </c>
      <c r="H808" s="23">
        <v>1.5</v>
      </c>
      <c r="I808" s="50"/>
      <c r="J808" s="51">
        <v>19007</v>
      </c>
      <c r="K808" s="23"/>
      <c r="L808" s="52">
        <f t="shared" si="452"/>
        <v>1665.819456617</v>
      </c>
      <c r="M808" s="53">
        <v>11.41</v>
      </c>
      <c r="N808" s="57">
        <v>7.27</v>
      </c>
      <c r="O808" s="80">
        <f t="shared" si="453"/>
        <v>82.9507</v>
      </c>
      <c r="P808" s="49"/>
      <c r="Q808" s="49"/>
      <c r="R808" s="77">
        <f t="shared" si="449"/>
        <v>79.2963477570464</v>
      </c>
      <c r="S808" s="77"/>
      <c r="T808" s="78">
        <f t="shared" si="450"/>
        <v>0.126115522032553</v>
      </c>
      <c r="U808" s="77"/>
      <c r="V808" s="77"/>
      <c r="W808" s="77">
        <f t="shared" si="447"/>
        <v>79.422463279079</v>
      </c>
      <c r="X808" s="79">
        <f t="shared" si="451"/>
        <v>0.89434299325129</v>
      </c>
      <c r="Y808" s="79"/>
      <c r="Z808" s="79"/>
      <c r="AA808" s="79">
        <f t="shared" si="444"/>
        <v>0.89434299325129</v>
      </c>
      <c r="AB808" s="91">
        <v>7.27</v>
      </c>
      <c r="AC808" s="77">
        <f t="shared" si="445"/>
        <v>6.50187356093688</v>
      </c>
      <c r="AD808" s="77">
        <f t="shared" si="443"/>
        <v>85.9243368400159</v>
      </c>
      <c r="AE808" s="77">
        <f t="shared" si="446"/>
        <v>-2.97363684001589</v>
      </c>
    </row>
    <row r="809" customFormat="1" spans="1:31">
      <c r="A809" s="22"/>
      <c r="B809" s="23"/>
      <c r="C809" s="24">
        <v>241219000031</v>
      </c>
      <c r="D809" s="25">
        <v>46022</v>
      </c>
      <c r="E809" s="25" t="s">
        <v>54</v>
      </c>
      <c r="F809" s="23" t="s">
        <v>55</v>
      </c>
      <c r="G809" s="23" t="s">
        <v>397</v>
      </c>
      <c r="H809" s="23">
        <v>4.5</v>
      </c>
      <c r="I809" s="47"/>
      <c r="J809" s="51">
        <v>83982</v>
      </c>
      <c r="K809" s="23"/>
      <c r="L809" s="52">
        <f t="shared" si="452"/>
        <v>1664.98810467883</v>
      </c>
      <c r="M809" s="53">
        <v>50.44</v>
      </c>
      <c r="N809" s="57">
        <v>7.27</v>
      </c>
      <c r="O809" s="47">
        <f t="shared" si="453"/>
        <v>366.6988</v>
      </c>
      <c r="P809" s="49"/>
      <c r="Q809" s="49"/>
      <c r="R809" s="77">
        <f t="shared" si="449"/>
        <v>237.889043271139</v>
      </c>
      <c r="S809" s="77"/>
      <c r="T809" s="78">
        <f t="shared" si="450"/>
        <v>0.378346566097658</v>
      </c>
      <c r="U809" s="77"/>
      <c r="V809" s="77"/>
      <c r="W809" s="77">
        <f t="shared" si="447"/>
        <v>238.267389837237</v>
      </c>
      <c r="X809" s="79">
        <f t="shared" si="451"/>
        <v>2.68302897975387</v>
      </c>
      <c r="Y809" s="79"/>
      <c r="Z809" s="79"/>
      <c r="AA809" s="79">
        <f t="shared" si="444"/>
        <v>2.68302897975387</v>
      </c>
      <c r="AB809" s="91">
        <v>7.27</v>
      </c>
      <c r="AC809" s="77">
        <f t="shared" si="445"/>
        <v>19.5056206828106</v>
      </c>
      <c r="AD809" s="77">
        <f t="shared" si="443"/>
        <v>257.773010520048</v>
      </c>
      <c r="AE809" s="77">
        <f t="shared" si="446"/>
        <v>108.925789479952</v>
      </c>
    </row>
    <row r="810" customFormat="1" spans="1:31">
      <c r="A810" s="22"/>
      <c r="B810" s="23"/>
      <c r="C810" s="24">
        <v>241219000034</v>
      </c>
      <c r="D810" s="25">
        <v>46022</v>
      </c>
      <c r="E810" s="25" t="s">
        <v>44</v>
      </c>
      <c r="F810" s="23" t="s">
        <v>45</v>
      </c>
      <c r="G810" s="23" t="s">
        <v>356</v>
      </c>
      <c r="H810" s="23">
        <v>3.5</v>
      </c>
      <c r="I810" s="43">
        <v>283</v>
      </c>
      <c r="J810" s="44"/>
      <c r="K810" s="23"/>
      <c r="L810" s="23"/>
      <c r="M810" s="45"/>
      <c r="N810" s="57"/>
      <c r="O810" s="47">
        <f t="shared" si="454"/>
        <v>283</v>
      </c>
      <c r="P810" s="49"/>
      <c r="Q810" s="49"/>
      <c r="R810" s="77">
        <f t="shared" si="449"/>
        <v>185.024811433108</v>
      </c>
      <c r="S810" s="77"/>
      <c r="T810" s="78">
        <f t="shared" si="450"/>
        <v>0.294269551409289</v>
      </c>
      <c r="U810" s="77"/>
      <c r="V810" s="77"/>
      <c r="W810" s="77">
        <f t="shared" si="447"/>
        <v>185.319080984518</v>
      </c>
      <c r="X810" s="79">
        <f t="shared" si="451"/>
        <v>2.08680031758634</v>
      </c>
      <c r="Y810" s="79"/>
      <c r="Z810" s="79"/>
      <c r="AA810" s="79">
        <f t="shared" si="444"/>
        <v>2.08680031758634</v>
      </c>
      <c r="AB810" s="91">
        <v>7.27</v>
      </c>
      <c r="AC810" s="77">
        <f t="shared" si="445"/>
        <v>15.1710383088527</v>
      </c>
      <c r="AD810" s="77">
        <f t="shared" si="443"/>
        <v>200.49011929337</v>
      </c>
      <c r="AE810" s="77">
        <f t="shared" si="446"/>
        <v>82.5098807066296</v>
      </c>
    </row>
    <row r="811" customFormat="1" spans="1:31">
      <c r="A811" s="22"/>
      <c r="B811" s="23"/>
      <c r="C811" s="24">
        <v>241220000008</v>
      </c>
      <c r="D811" s="25">
        <v>46022</v>
      </c>
      <c r="E811" s="25" t="s">
        <v>61</v>
      </c>
      <c r="F811" s="23" t="s">
        <v>62</v>
      </c>
      <c r="G811" s="23" t="s">
        <v>513</v>
      </c>
      <c r="H811" s="23">
        <v>0.6</v>
      </c>
      <c r="I811" s="43">
        <v>83</v>
      </c>
      <c r="J811" s="44"/>
      <c r="K811" s="23"/>
      <c r="L811" s="23"/>
      <c r="M811" s="45"/>
      <c r="N811" s="57"/>
      <c r="O811" s="47">
        <f t="shared" si="454"/>
        <v>83</v>
      </c>
      <c r="P811" s="49"/>
      <c r="Q811" s="49"/>
      <c r="R811" s="77">
        <f t="shared" si="449"/>
        <v>31.7185391028186</v>
      </c>
      <c r="S811" s="77"/>
      <c r="T811" s="78">
        <f t="shared" si="450"/>
        <v>0.050446208813021</v>
      </c>
      <c r="U811" s="77"/>
      <c r="V811" s="77"/>
      <c r="W811" s="77">
        <f t="shared" si="447"/>
        <v>31.7689853116316</v>
      </c>
      <c r="X811" s="79">
        <f t="shared" si="451"/>
        <v>0.357737197300516</v>
      </c>
      <c r="Y811" s="79"/>
      <c r="Z811" s="79"/>
      <c r="AA811" s="79">
        <f t="shared" si="444"/>
        <v>0.357737197300516</v>
      </c>
      <c r="AB811" s="91">
        <v>7.27</v>
      </c>
      <c r="AC811" s="77">
        <f t="shared" si="445"/>
        <v>2.60074942437475</v>
      </c>
      <c r="AD811" s="77">
        <f t="shared" si="443"/>
        <v>34.3697347360064</v>
      </c>
      <c r="AE811" s="77">
        <f t="shared" si="446"/>
        <v>48.6302652639936</v>
      </c>
    </row>
    <row r="812" customFormat="1" spans="1:31">
      <c r="A812" s="22"/>
      <c r="B812" s="23"/>
      <c r="C812" s="24">
        <v>241220000011</v>
      </c>
      <c r="D812" s="25">
        <v>46022</v>
      </c>
      <c r="E812" s="25" t="s">
        <v>84</v>
      </c>
      <c r="F812" s="23" t="s">
        <v>85</v>
      </c>
      <c r="G812" s="23" t="s">
        <v>514</v>
      </c>
      <c r="H812" s="23">
        <v>2</v>
      </c>
      <c r="I812" s="43">
        <v>163</v>
      </c>
      <c r="J812" s="44"/>
      <c r="K812" s="23"/>
      <c r="L812" s="23"/>
      <c r="M812" s="45"/>
      <c r="N812" s="57"/>
      <c r="O812" s="47">
        <f t="shared" si="454"/>
        <v>163</v>
      </c>
      <c r="P812" s="49"/>
      <c r="Q812" s="49"/>
      <c r="R812" s="77">
        <f t="shared" si="449"/>
        <v>105.728463676062</v>
      </c>
      <c r="S812" s="77"/>
      <c r="T812" s="78">
        <f t="shared" si="450"/>
        <v>0.168154029376737</v>
      </c>
      <c r="U812" s="77"/>
      <c r="V812" s="77"/>
      <c r="W812" s="77">
        <f t="shared" si="447"/>
        <v>105.896617705439</v>
      </c>
      <c r="X812" s="79">
        <f t="shared" si="451"/>
        <v>1.19245732433505</v>
      </c>
      <c r="Y812" s="79"/>
      <c r="Z812" s="79"/>
      <c r="AA812" s="79">
        <f t="shared" si="444"/>
        <v>1.19245732433505</v>
      </c>
      <c r="AB812" s="91">
        <v>7.27</v>
      </c>
      <c r="AC812" s="77">
        <f t="shared" si="445"/>
        <v>8.66916474791584</v>
      </c>
      <c r="AD812" s="77">
        <f t="shared" si="443"/>
        <v>114.565782453355</v>
      </c>
      <c r="AE812" s="77">
        <f t="shared" si="446"/>
        <v>48.4342175466455</v>
      </c>
    </row>
    <row r="813" customFormat="1" spans="1:31">
      <c r="A813" s="22"/>
      <c r="B813" s="23"/>
      <c r="C813" s="24">
        <v>241220000014</v>
      </c>
      <c r="D813" s="25">
        <v>46022</v>
      </c>
      <c r="E813" s="25" t="s">
        <v>61</v>
      </c>
      <c r="F813" s="23" t="s">
        <v>62</v>
      </c>
      <c r="G813" s="23" t="s">
        <v>226</v>
      </c>
      <c r="H813" s="23">
        <v>14</v>
      </c>
      <c r="I813" s="50"/>
      <c r="J813" s="51">
        <v>249236</v>
      </c>
      <c r="K813" s="23"/>
      <c r="L813" s="52">
        <f t="shared" ref="L813:L817" si="455">SUM(J813/M813)</f>
        <v>1671.60295103957</v>
      </c>
      <c r="M813" s="53">
        <v>149.1</v>
      </c>
      <c r="N813" s="57">
        <v>7.27</v>
      </c>
      <c r="O813" s="47">
        <f t="shared" ref="O813:O817" si="456">SUM(M813*N813)</f>
        <v>1083.957</v>
      </c>
      <c r="P813" s="49"/>
      <c r="Q813" s="49"/>
      <c r="R813" s="77">
        <f t="shared" si="449"/>
        <v>740.099245732434</v>
      </c>
      <c r="S813" s="77"/>
      <c r="T813" s="78">
        <f t="shared" si="450"/>
        <v>1.17707820563716</v>
      </c>
      <c r="U813" s="77"/>
      <c r="V813" s="77"/>
      <c r="W813" s="77">
        <f t="shared" si="447"/>
        <v>741.276323938071</v>
      </c>
      <c r="X813" s="79">
        <f t="shared" si="451"/>
        <v>8.34720127034537</v>
      </c>
      <c r="Y813" s="79"/>
      <c r="Z813" s="79"/>
      <c r="AA813" s="79">
        <f t="shared" si="444"/>
        <v>8.34720127034537</v>
      </c>
      <c r="AB813" s="91">
        <v>7.27</v>
      </c>
      <c r="AC813" s="77">
        <f t="shared" si="445"/>
        <v>60.6841532354109</v>
      </c>
      <c r="AD813" s="77">
        <f t="shared" si="443"/>
        <v>801.960477173482</v>
      </c>
      <c r="AE813" s="77">
        <f t="shared" si="446"/>
        <v>281.996522826518</v>
      </c>
    </row>
    <row r="814" customFormat="1" spans="1:31">
      <c r="A814" s="22"/>
      <c r="B814" s="23"/>
      <c r="C814" s="24">
        <v>241220000016</v>
      </c>
      <c r="D814" s="25">
        <v>46022</v>
      </c>
      <c r="E814" s="25" t="s">
        <v>61</v>
      </c>
      <c r="F814" s="23" t="s">
        <v>62</v>
      </c>
      <c r="G814" s="23" t="s">
        <v>226</v>
      </c>
      <c r="H814" s="23">
        <v>0.48</v>
      </c>
      <c r="I814" s="50"/>
      <c r="J814" s="51">
        <v>19007</v>
      </c>
      <c r="K814" s="23"/>
      <c r="L814" s="52">
        <f t="shared" si="455"/>
        <v>1665.819456617</v>
      </c>
      <c r="M814" s="53">
        <v>11.41</v>
      </c>
      <c r="N814" s="57">
        <v>7.27</v>
      </c>
      <c r="O814" s="47">
        <f t="shared" si="456"/>
        <v>82.9507</v>
      </c>
      <c r="P814" s="49"/>
      <c r="Q814" s="49"/>
      <c r="R814" s="77">
        <f t="shared" si="449"/>
        <v>25.3748312822549</v>
      </c>
      <c r="S814" s="77"/>
      <c r="T814" s="78">
        <f t="shared" si="450"/>
        <v>0.0403569670504168</v>
      </c>
      <c r="U814" s="77"/>
      <c r="V814" s="77"/>
      <c r="W814" s="77">
        <f t="shared" si="447"/>
        <v>25.4151882493053</v>
      </c>
      <c r="X814" s="79">
        <f t="shared" si="451"/>
        <v>0.286189757840413</v>
      </c>
      <c r="Y814" s="79"/>
      <c r="Z814" s="79"/>
      <c r="AA814" s="79">
        <f t="shared" si="444"/>
        <v>0.286189757840413</v>
      </c>
      <c r="AB814" s="91">
        <v>7.27</v>
      </c>
      <c r="AC814" s="77">
        <f t="shared" si="445"/>
        <v>2.0805995394998</v>
      </c>
      <c r="AD814" s="77">
        <f t="shared" si="443"/>
        <v>27.4957877888051</v>
      </c>
      <c r="AE814" s="77">
        <f t="shared" si="446"/>
        <v>55.4549122111949</v>
      </c>
    </row>
    <row r="815" customFormat="1" spans="1:31">
      <c r="A815" s="22"/>
      <c r="B815" s="23"/>
      <c r="C815" s="24">
        <v>241220000017</v>
      </c>
      <c r="D815" s="25">
        <v>46022</v>
      </c>
      <c r="E815" s="25" t="s">
        <v>44</v>
      </c>
      <c r="F815" s="23" t="s">
        <v>45</v>
      </c>
      <c r="G815" s="23" t="s">
        <v>515</v>
      </c>
      <c r="H815" s="23">
        <v>13.5</v>
      </c>
      <c r="I815" s="43">
        <v>1045.5</v>
      </c>
      <c r="J815" s="44"/>
      <c r="K815" s="23"/>
      <c r="L815" s="23"/>
      <c r="M815" s="45"/>
      <c r="N815" s="57"/>
      <c r="O815" s="47">
        <f t="shared" ref="O815:O821" si="457">SUM(I815)</f>
        <v>1045.5</v>
      </c>
      <c r="P815" s="49"/>
      <c r="Q815" s="49"/>
      <c r="R815" s="77">
        <f t="shared" si="449"/>
        <v>713.667129813418</v>
      </c>
      <c r="S815" s="77"/>
      <c r="T815" s="78">
        <f t="shared" si="450"/>
        <v>1.13503969829297</v>
      </c>
      <c r="U815" s="77"/>
      <c r="V815" s="77"/>
      <c r="W815" s="77">
        <f t="shared" si="447"/>
        <v>714.802169511711</v>
      </c>
      <c r="X815" s="79">
        <f t="shared" si="451"/>
        <v>8.04908693926161</v>
      </c>
      <c r="Y815" s="79"/>
      <c r="Z815" s="79"/>
      <c r="AA815" s="79">
        <f t="shared" si="444"/>
        <v>8.04908693926161</v>
      </c>
      <c r="AB815" s="91">
        <v>7.27</v>
      </c>
      <c r="AC815" s="77">
        <f t="shared" si="445"/>
        <v>58.5168620484319</v>
      </c>
      <c r="AD815" s="77">
        <f t="shared" si="443"/>
        <v>773.319031560143</v>
      </c>
      <c r="AE815" s="77">
        <f t="shared" si="446"/>
        <v>272.180968439857</v>
      </c>
    </row>
    <row r="816" customFormat="1" spans="1:31">
      <c r="A816" s="22"/>
      <c r="B816" s="23"/>
      <c r="C816" s="24">
        <v>241220000019</v>
      </c>
      <c r="D816" s="25">
        <v>46022</v>
      </c>
      <c r="E816" s="25" t="s">
        <v>44</v>
      </c>
      <c r="F816" s="23" t="s">
        <v>45</v>
      </c>
      <c r="G816" s="23" t="s">
        <v>60</v>
      </c>
      <c r="H816" s="23">
        <v>19.5</v>
      </c>
      <c r="I816" s="43">
        <v>1404</v>
      </c>
      <c r="J816" s="44"/>
      <c r="K816" s="23"/>
      <c r="L816" s="23"/>
      <c r="M816" s="45"/>
      <c r="N816" s="57"/>
      <c r="O816" s="47">
        <f t="shared" si="457"/>
        <v>1404</v>
      </c>
      <c r="P816" s="49"/>
      <c r="Q816" s="49"/>
      <c r="R816" s="77">
        <f t="shared" si="449"/>
        <v>1030.8525208416</v>
      </c>
      <c r="S816" s="77"/>
      <c r="T816" s="78">
        <f t="shared" si="450"/>
        <v>1.63950178642318</v>
      </c>
      <c r="U816" s="77"/>
      <c r="V816" s="77"/>
      <c r="W816" s="77">
        <f t="shared" si="447"/>
        <v>1032.49202262803</v>
      </c>
      <c r="X816" s="79">
        <f t="shared" si="451"/>
        <v>11.6264589122668</v>
      </c>
      <c r="Y816" s="79"/>
      <c r="Z816" s="79"/>
      <c r="AA816" s="79">
        <f t="shared" si="444"/>
        <v>11.6264589122668</v>
      </c>
      <c r="AB816" s="91">
        <v>7.27</v>
      </c>
      <c r="AC816" s="77">
        <f t="shared" si="445"/>
        <v>84.5243562921794</v>
      </c>
      <c r="AD816" s="77">
        <f t="shared" si="443"/>
        <v>1117.01637892021</v>
      </c>
      <c r="AE816" s="77">
        <f t="shared" si="446"/>
        <v>286.983621079794</v>
      </c>
    </row>
    <row r="817" customFormat="1" spans="1:31">
      <c r="A817" s="22"/>
      <c r="B817" s="23"/>
      <c r="C817" s="24">
        <v>241220000020</v>
      </c>
      <c r="D817" s="26">
        <v>46022</v>
      </c>
      <c r="E817" s="25" t="s">
        <v>70</v>
      </c>
      <c r="F817" s="23" t="s">
        <v>70</v>
      </c>
      <c r="G817" s="23" t="s">
        <v>413</v>
      </c>
      <c r="H817" s="23">
        <v>11</v>
      </c>
      <c r="I817" s="47"/>
      <c r="J817" s="51">
        <v>210000</v>
      </c>
      <c r="K817" s="23"/>
      <c r="L817" s="52">
        <f t="shared" si="455"/>
        <v>1680</v>
      </c>
      <c r="M817" s="53">
        <v>125</v>
      </c>
      <c r="N817" s="57">
        <v>7.27</v>
      </c>
      <c r="O817" s="47">
        <f t="shared" si="456"/>
        <v>908.75</v>
      </c>
      <c r="P817" s="49"/>
      <c r="Q817" s="49"/>
      <c r="R817" s="77">
        <f t="shared" si="449"/>
        <v>581.506550218341</v>
      </c>
      <c r="S817" s="77"/>
      <c r="T817" s="78">
        <f t="shared" si="450"/>
        <v>0.924847161572052</v>
      </c>
      <c r="U817" s="77"/>
      <c r="V817" s="77"/>
      <c r="W817" s="77">
        <f t="shared" si="447"/>
        <v>582.431397379913</v>
      </c>
      <c r="X817" s="79">
        <f t="shared" si="451"/>
        <v>6.55851528384279</v>
      </c>
      <c r="Y817" s="79"/>
      <c r="Z817" s="79"/>
      <c r="AA817" s="79">
        <f t="shared" si="444"/>
        <v>6.55851528384279</v>
      </c>
      <c r="AB817" s="91">
        <v>7.27</v>
      </c>
      <c r="AC817" s="77">
        <f t="shared" si="445"/>
        <v>47.6804061135371</v>
      </c>
      <c r="AD817" s="77">
        <f t="shared" si="443"/>
        <v>630.11180349345</v>
      </c>
      <c r="AE817" s="77">
        <f t="shared" si="446"/>
        <v>278.63819650655</v>
      </c>
    </row>
    <row r="818" customFormat="1" spans="1:31">
      <c r="A818" s="22"/>
      <c r="B818" s="23"/>
      <c r="C818" s="24">
        <v>241220000021</v>
      </c>
      <c r="D818" s="25">
        <v>46022</v>
      </c>
      <c r="E818" s="25" t="s">
        <v>44</v>
      </c>
      <c r="F818" s="23" t="s">
        <v>45</v>
      </c>
      <c r="G818" s="23" t="s">
        <v>178</v>
      </c>
      <c r="H818" s="23">
        <v>46</v>
      </c>
      <c r="I818" s="43">
        <v>3312</v>
      </c>
      <c r="J818" s="44"/>
      <c r="K818" s="23"/>
      <c r="L818" s="23"/>
      <c r="M818" s="45"/>
      <c r="N818" s="57"/>
      <c r="O818" s="47">
        <f t="shared" si="457"/>
        <v>3312</v>
      </c>
      <c r="P818" s="49"/>
      <c r="Q818" s="49"/>
      <c r="R818" s="77">
        <f t="shared" si="449"/>
        <v>2431.75466454942</v>
      </c>
      <c r="S818" s="77"/>
      <c r="T818" s="78">
        <f t="shared" si="450"/>
        <v>3.86754267566495</v>
      </c>
      <c r="U818" s="77"/>
      <c r="V818" s="77"/>
      <c r="W818" s="77">
        <f t="shared" si="447"/>
        <v>2435.62220722509</v>
      </c>
      <c r="X818" s="79">
        <f t="shared" si="451"/>
        <v>27.4265184597062</v>
      </c>
      <c r="Y818" s="79"/>
      <c r="Z818" s="79"/>
      <c r="AA818" s="79">
        <f t="shared" si="444"/>
        <v>27.4265184597062</v>
      </c>
      <c r="AB818" s="91">
        <v>7.27</v>
      </c>
      <c r="AC818" s="77">
        <f t="shared" si="445"/>
        <v>199.390789202064</v>
      </c>
      <c r="AD818" s="77">
        <f t="shared" si="443"/>
        <v>2635.01299642715</v>
      </c>
      <c r="AE818" s="77">
        <f t="shared" si="446"/>
        <v>676.987003572846</v>
      </c>
    </row>
    <row r="819" customFormat="1" spans="1:31">
      <c r="A819" s="22"/>
      <c r="B819" s="23"/>
      <c r="C819" s="24">
        <v>241220000023</v>
      </c>
      <c r="D819" s="25">
        <v>46022</v>
      </c>
      <c r="E819" s="25" t="s">
        <v>44</v>
      </c>
      <c r="F819" s="23" t="s">
        <v>45</v>
      </c>
      <c r="G819" s="23" t="s">
        <v>178</v>
      </c>
      <c r="H819" s="23">
        <v>21</v>
      </c>
      <c r="I819" s="43">
        <v>1512</v>
      </c>
      <c r="J819" s="44"/>
      <c r="K819" s="23"/>
      <c r="L819" s="23"/>
      <c r="M819" s="45"/>
      <c r="N819" s="57"/>
      <c r="O819" s="47">
        <f t="shared" si="457"/>
        <v>1512</v>
      </c>
      <c r="P819" s="49"/>
      <c r="Q819" s="49"/>
      <c r="R819" s="77">
        <f t="shared" si="449"/>
        <v>1110.14886859865</v>
      </c>
      <c r="S819" s="77"/>
      <c r="T819" s="78">
        <f t="shared" si="450"/>
        <v>1.76561730845574</v>
      </c>
      <c r="U819" s="77"/>
      <c r="V819" s="77"/>
      <c r="W819" s="77">
        <f t="shared" si="447"/>
        <v>1111.91448590711</v>
      </c>
      <c r="X819" s="79">
        <f t="shared" si="451"/>
        <v>12.5208019055181</v>
      </c>
      <c r="Y819" s="79"/>
      <c r="Z819" s="79"/>
      <c r="AA819" s="79">
        <f t="shared" si="444"/>
        <v>12.5208019055181</v>
      </c>
      <c r="AB819" s="91">
        <v>7.27</v>
      </c>
      <c r="AC819" s="77">
        <f t="shared" si="445"/>
        <v>91.0262298531163</v>
      </c>
      <c r="AD819" s="77">
        <f t="shared" si="443"/>
        <v>1202.94071576022</v>
      </c>
      <c r="AE819" s="77">
        <f t="shared" si="446"/>
        <v>309.059284239778</v>
      </c>
    </row>
    <row r="820" customFormat="1" spans="1:31">
      <c r="A820" s="22"/>
      <c r="B820" s="23"/>
      <c r="C820" s="24">
        <v>241220000043</v>
      </c>
      <c r="D820" s="25">
        <v>46022</v>
      </c>
      <c r="E820" s="25" t="s">
        <v>37</v>
      </c>
      <c r="F820" s="23" t="s">
        <v>38</v>
      </c>
      <c r="G820" s="23" t="s">
        <v>516</v>
      </c>
      <c r="H820" s="23">
        <v>14</v>
      </c>
      <c r="I820" s="43">
        <v>1162</v>
      </c>
      <c r="J820" s="44"/>
      <c r="K820" s="23"/>
      <c r="L820" s="23"/>
      <c r="M820" s="45"/>
      <c r="N820" s="57"/>
      <c r="O820" s="47">
        <f t="shared" si="457"/>
        <v>1162</v>
      </c>
      <c r="P820" s="49"/>
      <c r="Q820" s="49"/>
      <c r="R820" s="77">
        <f t="shared" si="449"/>
        <v>740.099245732434</v>
      </c>
      <c r="S820" s="77"/>
      <c r="T820" s="78">
        <f t="shared" si="450"/>
        <v>1.17707820563716</v>
      </c>
      <c r="U820" s="77"/>
      <c r="V820" s="77"/>
      <c r="W820" s="77">
        <f t="shared" si="447"/>
        <v>741.276323938071</v>
      </c>
      <c r="X820" s="79">
        <f t="shared" si="451"/>
        <v>8.34720127034537</v>
      </c>
      <c r="Y820" s="79"/>
      <c r="Z820" s="79"/>
      <c r="AA820" s="79">
        <f t="shared" si="444"/>
        <v>8.34720127034537</v>
      </c>
      <c r="AB820" s="91">
        <v>7.27</v>
      </c>
      <c r="AC820" s="77">
        <f t="shared" si="445"/>
        <v>60.6841532354109</v>
      </c>
      <c r="AD820" s="77">
        <f t="shared" si="443"/>
        <v>801.960477173482</v>
      </c>
      <c r="AE820" s="77">
        <f t="shared" si="446"/>
        <v>360.039522826518</v>
      </c>
    </row>
    <row r="821" customFormat="1" spans="1:31">
      <c r="A821" s="22"/>
      <c r="B821" s="23"/>
      <c r="C821" s="24">
        <v>241221000002</v>
      </c>
      <c r="D821" s="26">
        <v>46022</v>
      </c>
      <c r="E821" s="25" t="s">
        <v>61</v>
      </c>
      <c r="F821" s="23" t="s">
        <v>517</v>
      </c>
      <c r="G821" s="23" t="s">
        <v>518</v>
      </c>
      <c r="H821" s="23">
        <v>3</v>
      </c>
      <c r="I821" s="43">
        <v>243</v>
      </c>
      <c r="J821" s="44"/>
      <c r="K821" s="23"/>
      <c r="L821" s="23"/>
      <c r="M821" s="45"/>
      <c r="N821" s="57"/>
      <c r="O821" s="47">
        <f t="shared" si="457"/>
        <v>243</v>
      </c>
      <c r="P821" s="49"/>
      <c r="Q821" s="49"/>
      <c r="R821" s="77">
        <f t="shared" si="449"/>
        <v>158.592695514093</v>
      </c>
      <c r="S821" s="77"/>
      <c r="T821" s="78">
        <f t="shared" si="450"/>
        <v>0.252231044065105</v>
      </c>
      <c r="U821" s="77"/>
      <c r="V821" s="77"/>
      <c r="W821" s="77">
        <f t="shared" si="447"/>
        <v>158.844926558158</v>
      </c>
      <c r="X821" s="79">
        <f t="shared" si="451"/>
        <v>1.78868598650258</v>
      </c>
      <c r="Y821" s="79"/>
      <c r="Z821" s="79"/>
      <c r="AA821" s="79">
        <f t="shared" si="444"/>
        <v>1.78868598650258</v>
      </c>
      <c r="AB821" s="91">
        <v>7.27</v>
      </c>
      <c r="AC821" s="77">
        <f t="shared" si="445"/>
        <v>13.0037471218738</v>
      </c>
      <c r="AD821" s="77">
        <f t="shared" si="443"/>
        <v>171.848673680032</v>
      </c>
      <c r="AE821" s="77">
        <f t="shared" si="446"/>
        <v>71.1513263199682</v>
      </c>
    </row>
    <row r="822" customFormat="1" spans="1:31">
      <c r="A822" s="22"/>
      <c r="B822" s="23"/>
      <c r="C822" s="92">
        <v>241221000004</v>
      </c>
      <c r="D822" s="94">
        <v>46022</v>
      </c>
      <c r="E822" s="25" t="s">
        <v>54</v>
      </c>
      <c r="F822" s="95" t="s">
        <v>55</v>
      </c>
      <c r="G822" s="95" t="s">
        <v>519</v>
      </c>
      <c r="H822" s="95">
        <v>3.5</v>
      </c>
      <c r="I822" s="50"/>
      <c r="J822" s="52">
        <v>70860</v>
      </c>
      <c r="K822" s="95"/>
      <c r="L822" s="52">
        <f>SUM(J822/M822)</f>
        <v>1664.94360902256</v>
      </c>
      <c r="M822" s="98">
        <v>42.56</v>
      </c>
      <c r="N822" s="57">
        <v>7.27</v>
      </c>
      <c r="O822" s="47">
        <f>SUM(M822*N822)</f>
        <v>309.4112</v>
      </c>
      <c r="P822" s="49"/>
      <c r="Q822" s="49"/>
      <c r="R822" s="77">
        <f t="shared" si="449"/>
        <v>185.024811433108</v>
      </c>
      <c r="S822" s="77"/>
      <c r="T822" s="78">
        <f t="shared" si="450"/>
        <v>0.294269551409289</v>
      </c>
      <c r="U822" s="77"/>
      <c r="V822" s="77"/>
      <c r="W822" s="77">
        <f t="shared" si="447"/>
        <v>185.319080984518</v>
      </c>
      <c r="X822" s="79">
        <f t="shared" si="451"/>
        <v>2.08680031758634</v>
      </c>
      <c r="Y822" s="79"/>
      <c r="Z822" s="79"/>
      <c r="AA822" s="79">
        <f t="shared" si="444"/>
        <v>2.08680031758634</v>
      </c>
      <c r="AB822" s="91">
        <v>7.27</v>
      </c>
      <c r="AC822" s="77">
        <f t="shared" si="445"/>
        <v>15.1710383088527</v>
      </c>
      <c r="AD822" s="77">
        <f t="shared" si="443"/>
        <v>200.49011929337</v>
      </c>
      <c r="AE822" s="77">
        <f t="shared" si="446"/>
        <v>108.92108070663</v>
      </c>
    </row>
    <row r="823" customFormat="1" spans="1:31">
      <c r="A823" s="22"/>
      <c r="B823" s="23"/>
      <c r="C823" s="24">
        <v>241221000007</v>
      </c>
      <c r="D823" s="25">
        <v>46022</v>
      </c>
      <c r="E823" s="25" t="s">
        <v>54</v>
      </c>
      <c r="F823" s="23" t="s">
        <v>55</v>
      </c>
      <c r="G823" s="23" t="s">
        <v>124</v>
      </c>
      <c r="H823" s="23">
        <v>9.5</v>
      </c>
      <c r="I823" s="43">
        <v>737.5</v>
      </c>
      <c r="J823" s="44"/>
      <c r="K823" s="23"/>
      <c r="L823" s="23"/>
      <c r="M823" s="45"/>
      <c r="N823" s="57"/>
      <c r="O823" s="47">
        <f t="shared" ref="O823:O828" si="458">SUM(I823)</f>
        <v>737.5</v>
      </c>
      <c r="P823" s="49"/>
      <c r="Q823" s="49"/>
      <c r="R823" s="77">
        <f t="shared" si="449"/>
        <v>502.210202461294</v>
      </c>
      <c r="S823" s="77"/>
      <c r="T823" s="78">
        <f t="shared" si="450"/>
        <v>0.7987316395395</v>
      </c>
      <c r="U823" s="77"/>
      <c r="V823" s="77"/>
      <c r="W823" s="77">
        <f t="shared" si="447"/>
        <v>503.008934100834</v>
      </c>
      <c r="X823" s="79">
        <f t="shared" si="451"/>
        <v>5.6641722905915</v>
      </c>
      <c r="Y823" s="79"/>
      <c r="Z823" s="79"/>
      <c r="AA823" s="79">
        <f t="shared" si="444"/>
        <v>5.6641722905915</v>
      </c>
      <c r="AB823" s="91">
        <v>7.27</v>
      </c>
      <c r="AC823" s="77">
        <f t="shared" si="445"/>
        <v>41.1785325526002</v>
      </c>
      <c r="AD823" s="77">
        <f t="shared" si="443"/>
        <v>544.187466653434</v>
      </c>
      <c r="AE823" s="77">
        <f t="shared" si="446"/>
        <v>193.312533346566</v>
      </c>
    </row>
    <row r="824" customFormat="1" spans="1:31">
      <c r="A824" s="22"/>
      <c r="B824" s="23"/>
      <c r="C824" s="24">
        <v>241221000010</v>
      </c>
      <c r="D824" s="25">
        <v>46022</v>
      </c>
      <c r="E824" s="25" t="s">
        <v>37</v>
      </c>
      <c r="F824" s="23" t="s">
        <v>38</v>
      </c>
      <c r="G824" s="23" t="s">
        <v>520</v>
      </c>
      <c r="H824" s="23">
        <v>51</v>
      </c>
      <c r="I824" s="43">
        <v>4080</v>
      </c>
      <c r="J824" s="44"/>
      <c r="K824" s="23"/>
      <c r="L824" s="23"/>
      <c r="M824" s="45"/>
      <c r="N824" s="57"/>
      <c r="O824" s="47">
        <f t="shared" si="458"/>
        <v>4080</v>
      </c>
      <c r="P824" s="49"/>
      <c r="Q824" s="49"/>
      <c r="R824" s="77">
        <f t="shared" si="449"/>
        <v>2696.07582373958</v>
      </c>
      <c r="S824" s="77"/>
      <c r="T824" s="78">
        <f t="shared" si="450"/>
        <v>4.28792774910679</v>
      </c>
      <c r="U824" s="77"/>
      <c r="V824" s="77"/>
      <c r="W824" s="77">
        <f t="shared" si="447"/>
        <v>2700.36375148869</v>
      </c>
      <c r="X824" s="79">
        <f t="shared" si="451"/>
        <v>30.4076617705439</v>
      </c>
      <c r="Y824" s="79"/>
      <c r="Z824" s="79"/>
      <c r="AA824" s="79">
        <f t="shared" si="444"/>
        <v>30.4076617705439</v>
      </c>
      <c r="AB824" s="91">
        <v>7.27</v>
      </c>
      <c r="AC824" s="77">
        <f t="shared" si="445"/>
        <v>221.063701071854</v>
      </c>
      <c r="AD824" s="77">
        <f t="shared" si="443"/>
        <v>2921.42745256054</v>
      </c>
      <c r="AE824" s="77">
        <f t="shared" si="446"/>
        <v>1158.57254743946</v>
      </c>
    </row>
    <row r="825" customFormat="1" spans="1:31">
      <c r="A825" s="22"/>
      <c r="B825" s="23"/>
      <c r="C825" s="24">
        <v>241221000011</v>
      </c>
      <c r="D825" s="25">
        <v>46022</v>
      </c>
      <c r="E825" s="25" t="s">
        <v>37</v>
      </c>
      <c r="F825" s="23" t="s">
        <v>38</v>
      </c>
      <c r="G825" s="23" t="s">
        <v>155</v>
      </c>
      <c r="H825" s="23">
        <v>5</v>
      </c>
      <c r="I825" s="47"/>
      <c r="J825" s="51">
        <v>82301</v>
      </c>
      <c r="K825" s="23"/>
      <c r="L825" s="52">
        <f t="shared" ref="L825:L831" si="459">SUM(J825/M825)</f>
        <v>1665.00101153146</v>
      </c>
      <c r="M825" s="53">
        <v>49.43</v>
      </c>
      <c r="N825" s="57">
        <v>7.27</v>
      </c>
      <c r="O825" s="47">
        <f t="shared" ref="O825:O831" si="460">SUM(M825*N825)</f>
        <v>359.3561</v>
      </c>
      <c r="P825" s="49"/>
      <c r="Q825" s="49"/>
      <c r="R825" s="77">
        <f t="shared" si="449"/>
        <v>264.321159190155</v>
      </c>
      <c r="S825" s="77"/>
      <c r="T825" s="78">
        <f t="shared" si="450"/>
        <v>0.420385073441842</v>
      </c>
      <c r="U825" s="77"/>
      <c r="V825" s="77"/>
      <c r="W825" s="77">
        <f t="shared" si="447"/>
        <v>264.741544263597</v>
      </c>
      <c r="X825" s="79">
        <f t="shared" si="451"/>
        <v>2.98114331083763</v>
      </c>
      <c r="Y825" s="79"/>
      <c r="Z825" s="79"/>
      <c r="AA825" s="79">
        <f t="shared" si="444"/>
        <v>2.98114331083763</v>
      </c>
      <c r="AB825" s="91">
        <v>7.27</v>
      </c>
      <c r="AC825" s="77">
        <f t="shared" si="445"/>
        <v>21.6729118697896</v>
      </c>
      <c r="AD825" s="77">
        <f t="shared" si="443"/>
        <v>286.414456133386</v>
      </c>
      <c r="AE825" s="77">
        <f t="shared" si="446"/>
        <v>72.9416438666138</v>
      </c>
    </row>
    <row r="826" customFormat="1" spans="1:31">
      <c r="A826" s="22"/>
      <c r="B826" s="23"/>
      <c r="C826" s="24">
        <v>241221000014</v>
      </c>
      <c r="D826" s="25">
        <v>46022</v>
      </c>
      <c r="E826" s="25" t="s">
        <v>61</v>
      </c>
      <c r="F826" s="23" t="s">
        <v>62</v>
      </c>
      <c r="G826" s="23" t="s">
        <v>521</v>
      </c>
      <c r="H826" s="23">
        <v>63.5</v>
      </c>
      <c r="I826" s="43">
        <v>4622</v>
      </c>
      <c r="J826" s="44"/>
      <c r="K826" s="23"/>
      <c r="L826" s="23"/>
      <c r="M826" s="45"/>
      <c r="N826" s="57"/>
      <c r="O826" s="47">
        <f t="shared" si="458"/>
        <v>4622</v>
      </c>
      <c r="P826" s="49"/>
      <c r="Q826" s="49"/>
      <c r="R826" s="77">
        <f t="shared" si="449"/>
        <v>3356.87872171497</v>
      </c>
      <c r="S826" s="77"/>
      <c r="T826" s="78">
        <f t="shared" si="450"/>
        <v>5.33889043271139</v>
      </c>
      <c r="U826" s="78">
        <v>240</v>
      </c>
      <c r="V826" s="77"/>
      <c r="W826" s="77">
        <f t="shared" si="447"/>
        <v>3602.21761214768</v>
      </c>
      <c r="X826" s="79">
        <f t="shared" si="451"/>
        <v>37.8605200476379</v>
      </c>
      <c r="Y826" s="79"/>
      <c r="Z826" s="79"/>
      <c r="AA826" s="79">
        <f t="shared" si="444"/>
        <v>37.8605200476379</v>
      </c>
      <c r="AB826" s="91">
        <v>7.27</v>
      </c>
      <c r="AC826" s="77">
        <f t="shared" si="445"/>
        <v>275.245980746328</v>
      </c>
      <c r="AD826" s="77">
        <f t="shared" si="443"/>
        <v>3877.46359289401</v>
      </c>
      <c r="AE826" s="77">
        <f t="shared" si="446"/>
        <v>744.536407105994</v>
      </c>
    </row>
    <row r="827" customFormat="1" spans="1:31">
      <c r="A827" s="22"/>
      <c r="B827" s="23"/>
      <c r="C827" s="24">
        <v>241223000001</v>
      </c>
      <c r="D827" s="25">
        <v>46022</v>
      </c>
      <c r="E827" s="25" t="s">
        <v>44</v>
      </c>
      <c r="F827" s="23" t="s">
        <v>45</v>
      </c>
      <c r="G827" s="23" t="s">
        <v>203</v>
      </c>
      <c r="H827" s="23">
        <v>2.5</v>
      </c>
      <c r="I827" s="43">
        <v>219.5</v>
      </c>
      <c r="J827" s="44"/>
      <c r="K827" s="23"/>
      <c r="L827" s="23"/>
      <c r="M827" s="45"/>
      <c r="N827" s="57"/>
      <c r="O827" s="47">
        <f t="shared" si="458"/>
        <v>219.5</v>
      </c>
      <c r="P827" s="49"/>
      <c r="Q827" s="49"/>
      <c r="R827" s="77">
        <f t="shared" si="449"/>
        <v>132.160579595077</v>
      </c>
      <c r="S827" s="77"/>
      <c r="T827" s="78">
        <f t="shared" si="450"/>
        <v>0.210192536720921</v>
      </c>
      <c r="U827" s="77"/>
      <c r="V827" s="77"/>
      <c r="W827" s="77">
        <f t="shared" si="447"/>
        <v>132.370772131798</v>
      </c>
      <c r="X827" s="79">
        <f t="shared" si="451"/>
        <v>1.49057165541882</v>
      </c>
      <c r="Y827" s="79"/>
      <c r="Z827" s="79"/>
      <c r="AA827" s="79">
        <f t="shared" si="444"/>
        <v>1.49057165541882</v>
      </c>
      <c r="AB827" s="91">
        <v>7.27</v>
      </c>
      <c r="AC827" s="77">
        <f t="shared" si="445"/>
        <v>10.8364559348948</v>
      </c>
      <c r="AD827" s="77">
        <f t="shared" si="443"/>
        <v>143.207228066693</v>
      </c>
      <c r="AE827" s="77">
        <f t="shared" si="446"/>
        <v>76.2927719333069</v>
      </c>
    </row>
    <row r="828" customFormat="1" spans="1:31">
      <c r="A828" s="22"/>
      <c r="B828" s="23"/>
      <c r="C828" s="24">
        <v>241223000004</v>
      </c>
      <c r="D828" s="25">
        <v>46022</v>
      </c>
      <c r="E828" s="25" t="s">
        <v>44</v>
      </c>
      <c r="F828" s="23" t="s">
        <v>45</v>
      </c>
      <c r="G828" s="23" t="s">
        <v>307</v>
      </c>
      <c r="H828" s="23">
        <v>99</v>
      </c>
      <c r="I828" s="43">
        <v>6633</v>
      </c>
      <c r="J828" s="51"/>
      <c r="K828" s="23"/>
      <c r="L828" s="52"/>
      <c r="M828" s="45"/>
      <c r="N828" s="57"/>
      <c r="O828" s="47">
        <f t="shared" si="458"/>
        <v>6633</v>
      </c>
      <c r="P828" s="49"/>
      <c r="Q828" s="49"/>
      <c r="R828" s="77">
        <f t="shared" si="449"/>
        <v>5233.55895196507</v>
      </c>
      <c r="S828" s="77"/>
      <c r="T828" s="78">
        <f t="shared" si="450"/>
        <v>8.32362445414847</v>
      </c>
      <c r="U828" s="77"/>
      <c r="V828" s="77"/>
      <c r="W828" s="77">
        <f t="shared" si="447"/>
        <v>5241.88257641921</v>
      </c>
      <c r="X828" s="79">
        <f t="shared" si="451"/>
        <v>59.0266375545852</v>
      </c>
      <c r="Y828" s="79"/>
      <c r="Z828" s="79"/>
      <c r="AA828" s="79">
        <f t="shared" si="444"/>
        <v>59.0266375545852</v>
      </c>
      <c r="AB828" s="91">
        <v>7.27</v>
      </c>
      <c r="AC828" s="77">
        <f t="shared" si="445"/>
        <v>429.123655021834</v>
      </c>
      <c r="AD828" s="77">
        <f t="shared" si="443"/>
        <v>5671.00623144105</v>
      </c>
      <c r="AE828" s="77">
        <f t="shared" si="446"/>
        <v>961.993768558952</v>
      </c>
    </row>
    <row r="829" customFormat="1" spans="1:31">
      <c r="A829" s="22"/>
      <c r="B829" s="23"/>
      <c r="C829" s="24">
        <v>241223000007</v>
      </c>
      <c r="D829" s="25">
        <v>46022</v>
      </c>
      <c r="E829" s="25" t="s">
        <v>44</v>
      </c>
      <c r="F829" s="23" t="s">
        <v>45</v>
      </c>
      <c r="G829" s="23" t="s">
        <v>307</v>
      </c>
      <c r="H829" s="23">
        <v>24</v>
      </c>
      <c r="I829" s="96"/>
      <c r="J829" s="51">
        <v>378684</v>
      </c>
      <c r="K829" s="23"/>
      <c r="L829" s="52">
        <f t="shared" si="459"/>
        <v>1712.10778551406</v>
      </c>
      <c r="M829" s="53">
        <v>221.18</v>
      </c>
      <c r="N829" s="57">
        <v>7.27</v>
      </c>
      <c r="O829" s="47">
        <f t="shared" si="460"/>
        <v>1607.9786</v>
      </c>
      <c r="P829" s="49"/>
      <c r="Q829" s="49"/>
      <c r="R829" s="77">
        <f t="shared" si="449"/>
        <v>1268.74156411274</v>
      </c>
      <c r="S829" s="77"/>
      <c r="T829" s="78">
        <f t="shared" si="450"/>
        <v>2.01784835252084</v>
      </c>
      <c r="U829" s="77"/>
      <c r="V829" s="77"/>
      <c r="W829" s="77">
        <f t="shared" si="447"/>
        <v>1270.75941246526</v>
      </c>
      <c r="X829" s="79">
        <f t="shared" si="451"/>
        <v>14.3094878920206</v>
      </c>
      <c r="Y829" s="79"/>
      <c r="Z829" s="79"/>
      <c r="AA829" s="79">
        <f t="shared" si="444"/>
        <v>14.3094878920206</v>
      </c>
      <c r="AB829" s="91">
        <v>7.27</v>
      </c>
      <c r="AC829" s="77">
        <f t="shared" si="445"/>
        <v>104.02997697499</v>
      </c>
      <c r="AD829" s="77">
        <f t="shared" si="443"/>
        <v>1374.78938944025</v>
      </c>
      <c r="AE829" s="77">
        <f t="shared" si="446"/>
        <v>233.189210559746</v>
      </c>
    </row>
    <row r="830" customFormat="1" spans="1:31">
      <c r="A830" s="22"/>
      <c r="B830" s="23"/>
      <c r="C830" s="24">
        <v>241223000008</v>
      </c>
      <c r="D830" s="25">
        <v>46022</v>
      </c>
      <c r="E830" s="25" t="s">
        <v>44</v>
      </c>
      <c r="F830" s="23" t="s">
        <v>45</v>
      </c>
      <c r="G830" s="23" t="s">
        <v>307</v>
      </c>
      <c r="H830" s="23">
        <v>2</v>
      </c>
      <c r="I830" s="96"/>
      <c r="J830" s="51">
        <v>34319.42</v>
      </c>
      <c r="K830" s="23"/>
      <c r="L830" s="52">
        <f t="shared" si="459"/>
        <v>1712.54590818363</v>
      </c>
      <c r="M830" s="53">
        <v>20.04</v>
      </c>
      <c r="N830" s="57">
        <v>7.27</v>
      </c>
      <c r="O830" s="47">
        <f t="shared" si="460"/>
        <v>145.6908</v>
      </c>
      <c r="P830" s="49"/>
      <c r="Q830" s="49"/>
      <c r="R830" s="77">
        <f t="shared" si="449"/>
        <v>105.728463676062</v>
      </c>
      <c r="S830" s="77"/>
      <c r="T830" s="78">
        <f t="shared" si="450"/>
        <v>0.168154029376737</v>
      </c>
      <c r="U830" s="77"/>
      <c r="V830" s="77"/>
      <c r="W830" s="77">
        <f t="shared" si="447"/>
        <v>105.896617705439</v>
      </c>
      <c r="X830" s="79">
        <f t="shared" si="451"/>
        <v>1.19245732433505</v>
      </c>
      <c r="Y830" s="79"/>
      <c r="Z830" s="79"/>
      <c r="AA830" s="79">
        <f t="shared" si="444"/>
        <v>1.19245732433505</v>
      </c>
      <c r="AB830" s="91">
        <v>7.27</v>
      </c>
      <c r="AC830" s="77">
        <f t="shared" si="445"/>
        <v>8.66916474791584</v>
      </c>
      <c r="AD830" s="77">
        <f t="shared" ref="AD830:AD858" si="461">SUM(W830+AC830)</f>
        <v>114.565782453355</v>
      </c>
      <c r="AE830" s="77">
        <f t="shared" si="446"/>
        <v>31.1250175466455</v>
      </c>
    </row>
    <row r="831" customFormat="1" spans="1:31">
      <c r="A831" s="22"/>
      <c r="B831" s="23"/>
      <c r="C831" s="24">
        <v>241223000009</v>
      </c>
      <c r="D831" s="25">
        <v>46022</v>
      </c>
      <c r="E831" s="25" t="s">
        <v>44</v>
      </c>
      <c r="F831" s="23" t="s">
        <v>45</v>
      </c>
      <c r="G831" s="23" t="s">
        <v>307</v>
      </c>
      <c r="H831" s="23">
        <v>11.5</v>
      </c>
      <c r="I831" s="96"/>
      <c r="J831" s="51">
        <v>181452.75</v>
      </c>
      <c r="K831" s="23"/>
      <c r="L831" s="52">
        <f t="shared" si="459"/>
        <v>1712.14144178147</v>
      </c>
      <c r="M831" s="53">
        <v>105.98</v>
      </c>
      <c r="N831" s="57">
        <v>7.27</v>
      </c>
      <c r="O831" s="47">
        <f t="shared" si="460"/>
        <v>770.4746</v>
      </c>
      <c r="P831" s="49"/>
      <c r="Q831" s="49"/>
      <c r="R831" s="77">
        <f t="shared" si="449"/>
        <v>607.938666137356</v>
      </c>
      <c r="S831" s="77"/>
      <c r="T831" s="78">
        <f t="shared" si="450"/>
        <v>0.966885668916237</v>
      </c>
      <c r="U831" s="77"/>
      <c r="V831" s="77"/>
      <c r="W831" s="77">
        <f t="shared" si="447"/>
        <v>608.905551806272</v>
      </c>
      <c r="X831" s="79">
        <f t="shared" si="451"/>
        <v>6.85662961492656</v>
      </c>
      <c r="Y831" s="79"/>
      <c r="Z831" s="79"/>
      <c r="AA831" s="79">
        <f t="shared" ref="AA831:AA858" si="462">SUM(X831:Z831)</f>
        <v>6.85662961492656</v>
      </c>
      <c r="AB831" s="91">
        <v>7.27</v>
      </c>
      <c r="AC831" s="77">
        <f t="shared" ref="AC831:AC858" si="463">SUM(AA831*AB831)</f>
        <v>49.8476973005161</v>
      </c>
      <c r="AD831" s="77">
        <f t="shared" si="461"/>
        <v>658.753249106788</v>
      </c>
      <c r="AE831" s="77">
        <f t="shared" ref="AE831:AE858" si="464">SUM(O831-AD831)</f>
        <v>111.721350893212</v>
      </c>
    </row>
    <row r="832" customFormat="1" spans="1:31">
      <c r="A832" s="22"/>
      <c r="B832" s="23"/>
      <c r="C832" s="24">
        <v>241223000012</v>
      </c>
      <c r="D832" s="25">
        <v>46022</v>
      </c>
      <c r="E832" s="25" t="s">
        <v>44</v>
      </c>
      <c r="F832" s="23" t="s">
        <v>45</v>
      </c>
      <c r="G832" s="23" t="s">
        <v>167</v>
      </c>
      <c r="H832" s="23">
        <v>49</v>
      </c>
      <c r="I832" s="43">
        <v>3247</v>
      </c>
      <c r="J832" s="44"/>
      <c r="K832" s="23"/>
      <c r="L832" s="23"/>
      <c r="M832" s="45"/>
      <c r="N832" s="57"/>
      <c r="O832" s="47">
        <f t="shared" ref="O832:O836" si="465">SUM(I832)</f>
        <v>3247</v>
      </c>
      <c r="P832" s="49"/>
      <c r="Q832" s="49"/>
      <c r="R832" s="77">
        <f t="shared" si="449"/>
        <v>2590.34736006352</v>
      </c>
      <c r="S832" s="77"/>
      <c r="T832" s="78">
        <f t="shared" si="450"/>
        <v>4.11977371973005</v>
      </c>
      <c r="U832" s="78">
        <v>160</v>
      </c>
      <c r="V832" s="77"/>
      <c r="W832" s="77">
        <f t="shared" ref="W832:W858" si="466">SUM(R832:V832)</f>
        <v>2754.46713378325</v>
      </c>
      <c r="X832" s="79">
        <f t="shared" si="451"/>
        <v>29.2152044462088</v>
      </c>
      <c r="Y832" s="79"/>
      <c r="Z832" s="79"/>
      <c r="AA832" s="79">
        <f t="shared" si="462"/>
        <v>29.2152044462088</v>
      </c>
      <c r="AB832" s="91">
        <v>7.27</v>
      </c>
      <c r="AC832" s="77">
        <f t="shared" si="463"/>
        <v>212.394536323938</v>
      </c>
      <c r="AD832" s="77">
        <f t="shared" si="461"/>
        <v>2966.86167010719</v>
      </c>
      <c r="AE832" s="77">
        <f t="shared" si="464"/>
        <v>280.138329892814</v>
      </c>
    </row>
    <row r="833" customFormat="1" spans="1:31">
      <c r="A833" s="22"/>
      <c r="B833" s="23"/>
      <c r="C833" s="24">
        <v>241223000013</v>
      </c>
      <c r="D833" s="25">
        <v>46022</v>
      </c>
      <c r="E833" s="25" t="s">
        <v>44</v>
      </c>
      <c r="F833" s="23" t="s">
        <v>45</v>
      </c>
      <c r="G833" s="23" t="s">
        <v>430</v>
      </c>
      <c r="H833" s="23">
        <v>3</v>
      </c>
      <c r="I833" s="50"/>
      <c r="J833" s="51">
        <v>68640</v>
      </c>
      <c r="K833" s="23"/>
      <c r="L833" s="52">
        <f t="shared" ref="L833:L838" si="467">SUM(J833/M833)</f>
        <v>1745.23264683448</v>
      </c>
      <c r="M833" s="53">
        <v>39.33</v>
      </c>
      <c r="N833" s="57">
        <v>7.27</v>
      </c>
      <c r="O833" s="47">
        <f t="shared" ref="O833:O838" si="468">SUM(M833*N833)</f>
        <v>285.9291</v>
      </c>
      <c r="P833" s="49"/>
      <c r="Q833" s="49"/>
      <c r="R833" s="77">
        <f t="shared" si="449"/>
        <v>158.592695514093</v>
      </c>
      <c r="S833" s="77"/>
      <c r="T833" s="78">
        <f t="shared" si="450"/>
        <v>0.252231044065105</v>
      </c>
      <c r="U833" s="77"/>
      <c r="V833" s="78">
        <v>46</v>
      </c>
      <c r="W833" s="77">
        <f t="shared" si="466"/>
        <v>204.844926558158</v>
      </c>
      <c r="X833" s="79">
        <f t="shared" si="451"/>
        <v>1.78868598650258</v>
      </c>
      <c r="Y833" s="79"/>
      <c r="Z833" s="79"/>
      <c r="AA833" s="79">
        <f t="shared" si="462"/>
        <v>1.78868598650258</v>
      </c>
      <c r="AB833" s="91">
        <v>7.27</v>
      </c>
      <c r="AC833" s="77">
        <f t="shared" si="463"/>
        <v>13.0037471218738</v>
      </c>
      <c r="AD833" s="77">
        <f t="shared" si="461"/>
        <v>217.848673680032</v>
      </c>
      <c r="AE833" s="77">
        <f t="shared" si="464"/>
        <v>68.0804263199682</v>
      </c>
    </row>
    <row r="834" customFormat="1" spans="1:31">
      <c r="A834" s="22"/>
      <c r="B834" s="23"/>
      <c r="C834" s="24">
        <v>241223000014</v>
      </c>
      <c r="D834" s="25">
        <v>46022</v>
      </c>
      <c r="E834" s="25" t="s">
        <v>44</v>
      </c>
      <c r="F834" s="23" t="s">
        <v>45</v>
      </c>
      <c r="G834" s="23" t="s">
        <v>135</v>
      </c>
      <c r="H834" s="23">
        <v>5.5</v>
      </c>
      <c r="I834" s="43">
        <v>369</v>
      </c>
      <c r="J834" s="44"/>
      <c r="K834" s="23"/>
      <c r="L834" s="23"/>
      <c r="M834" s="45"/>
      <c r="N834" s="57"/>
      <c r="O834" s="47">
        <f t="shared" si="465"/>
        <v>369</v>
      </c>
      <c r="P834" s="49"/>
      <c r="Q834" s="49"/>
      <c r="R834" s="77">
        <f t="shared" ref="R834:R858" si="469">SUM(133165/2519)*H834</f>
        <v>290.75327510917</v>
      </c>
      <c r="S834" s="77"/>
      <c r="T834" s="78">
        <f t="shared" ref="T834:T858" si="470">SUM(211.79/2519)*H834</f>
        <v>0.462423580786026</v>
      </c>
      <c r="U834" s="77"/>
      <c r="V834" s="77"/>
      <c r="W834" s="77">
        <f t="shared" si="466"/>
        <v>291.215698689956</v>
      </c>
      <c r="X834" s="79">
        <f t="shared" ref="X834:X858" si="471">SUM(1501.9/2519)*H834</f>
        <v>3.2792576419214</v>
      </c>
      <c r="Y834" s="79"/>
      <c r="Z834" s="79"/>
      <c r="AA834" s="79">
        <f t="shared" si="462"/>
        <v>3.2792576419214</v>
      </c>
      <c r="AB834" s="91">
        <v>7.27</v>
      </c>
      <c r="AC834" s="77">
        <f t="shared" si="463"/>
        <v>23.8402030567686</v>
      </c>
      <c r="AD834" s="77">
        <f t="shared" si="461"/>
        <v>315.055901746725</v>
      </c>
      <c r="AE834" s="77">
        <f t="shared" si="464"/>
        <v>53.9440982532751</v>
      </c>
    </row>
    <row r="835" customFormat="1" spans="1:31">
      <c r="A835" s="22"/>
      <c r="B835" s="23"/>
      <c r="C835" s="24">
        <v>241223000015</v>
      </c>
      <c r="D835" s="25">
        <v>46022</v>
      </c>
      <c r="E835" s="25" t="s">
        <v>44</v>
      </c>
      <c r="F835" s="23" t="s">
        <v>45</v>
      </c>
      <c r="G835" s="23" t="s">
        <v>135</v>
      </c>
      <c r="H835" s="23">
        <v>7.5</v>
      </c>
      <c r="I835" s="50"/>
      <c r="J835" s="51">
        <v>133622</v>
      </c>
      <c r="K835" s="23"/>
      <c r="L835" s="52">
        <f t="shared" si="467"/>
        <v>1664.86419137802</v>
      </c>
      <c r="M835" s="53">
        <v>80.26</v>
      </c>
      <c r="N835" s="57">
        <v>7.27</v>
      </c>
      <c r="O835" s="47">
        <f t="shared" si="468"/>
        <v>583.4902</v>
      </c>
      <c r="P835" s="49"/>
      <c r="Q835" s="49"/>
      <c r="R835" s="77">
        <f t="shared" si="469"/>
        <v>396.481738785232</v>
      </c>
      <c r="S835" s="77"/>
      <c r="T835" s="78">
        <f t="shared" si="470"/>
        <v>0.630577610162763</v>
      </c>
      <c r="U835" s="77"/>
      <c r="V835" s="77"/>
      <c r="W835" s="77">
        <f t="shared" si="466"/>
        <v>397.112316395395</v>
      </c>
      <c r="X835" s="79">
        <f t="shared" si="471"/>
        <v>4.47171496625645</v>
      </c>
      <c r="Y835" s="79"/>
      <c r="Z835" s="79"/>
      <c r="AA835" s="79">
        <f t="shared" si="462"/>
        <v>4.47171496625645</v>
      </c>
      <c r="AB835" s="91">
        <v>7.27</v>
      </c>
      <c r="AC835" s="77">
        <f t="shared" si="463"/>
        <v>32.5093678046844</v>
      </c>
      <c r="AD835" s="77">
        <f t="shared" si="461"/>
        <v>429.621684200079</v>
      </c>
      <c r="AE835" s="77">
        <f t="shared" si="464"/>
        <v>153.86851579992</v>
      </c>
    </row>
    <row r="836" customFormat="1" spans="1:31">
      <c r="A836" s="22"/>
      <c r="B836" s="23"/>
      <c r="C836" s="24">
        <v>241223000019</v>
      </c>
      <c r="D836" s="25">
        <v>46022</v>
      </c>
      <c r="E836" s="25" t="s">
        <v>44</v>
      </c>
      <c r="F836" s="23" t="s">
        <v>45</v>
      </c>
      <c r="G836" s="23" t="s">
        <v>522</v>
      </c>
      <c r="H836" s="23">
        <v>0.54</v>
      </c>
      <c r="I836" s="43">
        <v>87</v>
      </c>
      <c r="J836" s="44"/>
      <c r="K836" s="23"/>
      <c r="L836" s="23"/>
      <c r="M836" s="45"/>
      <c r="N836" s="57"/>
      <c r="O836" s="47">
        <f t="shared" si="465"/>
        <v>87</v>
      </c>
      <c r="P836" s="49"/>
      <c r="Q836" s="49"/>
      <c r="R836" s="77">
        <f t="shared" si="469"/>
        <v>28.5466851925367</v>
      </c>
      <c r="S836" s="77"/>
      <c r="T836" s="78">
        <f t="shared" si="470"/>
        <v>0.0454015879317189</v>
      </c>
      <c r="U836" s="77"/>
      <c r="V836" s="77"/>
      <c r="W836" s="77">
        <f t="shared" si="466"/>
        <v>28.5920867804684</v>
      </c>
      <c r="X836" s="79">
        <f t="shared" si="471"/>
        <v>0.321963477570465</v>
      </c>
      <c r="Y836" s="79"/>
      <c r="Z836" s="79"/>
      <c r="AA836" s="79">
        <f t="shared" si="462"/>
        <v>0.321963477570465</v>
      </c>
      <c r="AB836" s="91">
        <v>7.27</v>
      </c>
      <c r="AC836" s="77">
        <f t="shared" si="463"/>
        <v>2.34067448193728</v>
      </c>
      <c r="AD836" s="77">
        <f t="shared" si="461"/>
        <v>30.9327612624057</v>
      </c>
      <c r="AE836" s="77">
        <f t="shared" si="464"/>
        <v>56.0672387375943</v>
      </c>
    </row>
    <row r="837" customFormat="1" spans="1:31">
      <c r="A837" s="22"/>
      <c r="B837" s="23"/>
      <c r="C837" s="24">
        <v>241223000025</v>
      </c>
      <c r="D837" s="25">
        <v>46022</v>
      </c>
      <c r="E837" s="25" t="s">
        <v>44</v>
      </c>
      <c r="F837" s="23" t="s">
        <v>45</v>
      </c>
      <c r="G837" s="23" t="s">
        <v>523</v>
      </c>
      <c r="H837" s="23">
        <v>0.29</v>
      </c>
      <c r="I837" s="50"/>
      <c r="J837" s="127">
        <v>18320</v>
      </c>
      <c r="K837" s="23"/>
      <c r="L837" s="52">
        <f t="shared" si="467"/>
        <v>1665.45454545455</v>
      </c>
      <c r="M837" s="53">
        <v>11</v>
      </c>
      <c r="N837" s="57">
        <v>7.27</v>
      </c>
      <c r="O837" s="47">
        <f t="shared" si="468"/>
        <v>79.97</v>
      </c>
      <c r="P837" s="49"/>
      <c r="Q837" s="49"/>
      <c r="R837" s="77">
        <f t="shared" si="469"/>
        <v>15.330627233029</v>
      </c>
      <c r="S837" s="77"/>
      <c r="T837" s="78">
        <f t="shared" si="470"/>
        <v>0.0243823342596268</v>
      </c>
      <c r="U837" s="77"/>
      <c r="V837" s="77"/>
      <c r="W837" s="77">
        <f t="shared" si="466"/>
        <v>15.3550095672886</v>
      </c>
      <c r="X837" s="79">
        <f t="shared" si="471"/>
        <v>0.172906312028583</v>
      </c>
      <c r="Y837" s="79"/>
      <c r="Z837" s="79"/>
      <c r="AA837" s="79">
        <f t="shared" si="462"/>
        <v>0.172906312028583</v>
      </c>
      <c r="AB837" s="91">
        <v>7.27</v>
      </c>
      <c r="AC837" s="77">
        <f t="shared" si="463"/>
        <v>1.2570288884478</v>
      </c>
      <c r="AD837" s="77">
        <f t="shared" si="461"/>
        <v>16.6120384557364</v>
      </c>
      <c r="AE837" s="77">
        <f t="shared" si="464"/>
        <v>63.3579615442636</v>
      </c>
    </row>
    <row r="838" customFormat="1" spans="1:31">
      <c r="A838" s="22"/>
      <c r="B838" s="23"/>
      <c r="C838" s="24">
        <v>241223000028</v>
      </c>
      <c r="D838" s="25">
        <v>46022</v>
      </c>
      <c r="E838" s="25" t="s">
        <v>44</v>
      </c>
      <c r="F838" s="23" t="s">
        <v>45</v>
      </c>
      <c r="G838" s="23" t="s">
        <v>130</v>
      </c>
      <c r="H838" s="23">
        <v>14.5</v>
      </c>
      <c r="I838" s="96"/>
      <c r="J838" s="51">
        <v>230231</v>
      </c>
      <c r="K838" s="23"/>
      <c r="L838" s="52">
        <f t="shared" si="467"/>
        <v>1697.61834537679</v>
      </c>
      <c r="M838" s="53">
        <v>135.62</v>
      </c>
      <c r="N838" s="57">
        <v>7.27</v>
      </c>
      <c r="O838" s="47">
        <f t="shared" si="468"/>
        <v>985.9574</v>
      </c>
      <c r="P838" s="49"/>
      <c r="Q838" s="49"/>
      <c r="R838" s="77">
        <f t="shared" si="469"/>
        <v>766.531361651449</v>
      </c>
      <c r="S838" s="77"/>
      <c r="T838" s="78">
        <f t="shared" si="470"/>
        <v>1.21911671298134</v>
      </c>
      <c r="U838" s="77"/>
      <c r="V838" s="77"/>
      <c r="W838" s="77">
        <f t="shared" si="466"/>
        <v>767.75047836443</v>
      </c>
      <c r="X838" s="79">
        <f t="shared" si="471"/>
        <v>8.64531560142914</v>
      </c>
      <c r="Y838" s="79"/>
      <c r="Z838" s="79"/>
      <c r="AA838" s="79">
        <f t="shared" si="462"/>
        <v>8.64531560142914</v>
      </c>
      <c r="AB838" s="91">
        <v>7.27</v>
      </c>
      <c r="AC838" s="77">
        <f t="shared" si="463"/>
        <v>62.8514444223898</v>
      </c>
      <c r="AD838" s="77">
        <f t="shared" si="461"/>
        <v>830.60192278682</v>
      </c>
      <c r="AE838" s="77">
        <f t="shared" si="464"/>
        <v>155.35547721318</v>
      </c>
    </row>
    <row r="839" customFormat="1" spans="1:31">
      <c r="A839" s="22"/>
      <c r="B839" s="23"/>
      <c r="C839" s="24">
        <v>241223000030</v>
      </c>
      <c r="D839" s="25">
        <v>46022</v>
      </c>
      <c r="E839" s="25" t="s">
        <v>37</v>
      </c>
      <c r="F839" s="23" t="s">
        <v>38</v>
      </c>
      <c r="G839" s="23" t="s">
        <v>524</v>
      </c>
      <c r="H839" s="23">
        <v>0.18</v>
      </c>
      <c r="I839" s="43">
        <v>101</v>
      </c>
      <c r="J839" s="44"/>
      <c r="K839" s="23"/>
      <c r="L839" s="23"/>
      <c r="M839" s="45"/>
      <c r="N839" s="57"/>
      <c r="O839" s="47">
        <f t="shared" ref="O839:O843" si="472">SUM(I839)</f>
        <v>101</v>
      </c>
      <c r="P839" s="49"/>
      <c r="Q839" s="49"/>
      <c r="R839" s="77">
        <f t="shared" si="469"/>
        <v>9.51556173084557</v>
      </c>
      <c r="S839" s="77"/>
      <c r="T839" s="78">
        <f t="shared" si="470"/>
        <v>0.0151338626439063</v>
      </c>
      <c r="U839" s="77"/>
      <c r="V839" s="78">
        <v>18</v>
      </c>
      <c r="W839" s="77">
        <f t="shared" si="466"/>
        <v>27.5306955934895</v>
      </c>
      <c r="X839" s="79">
        <f t="shared" si="471"/>
        <v>0.107321159190155</v>
      </c>
      <c r="Y839" s="79"/>
      <c r="Z839" s="79"/>
      <c r="AA839" s="79">
        <f t="shared" si="462"/>
        <v>0.107321159190155</v>
      </c>
      <c r="AB839" s="91">
        <v>7.27</v>
      </c>
      <c r="AC839" s="77">
        <f t="shared" si="463"/>
        <v>0.780224827312425</v>
      </c>
      <c r="AD839" s="77">
        <f t="shared" si="461"/>
        <v>28.3109204208019</v>
      </c>
      <c r="AE839" s="77">
        <f t="shared" si="464"/>
        <v>72.6890795791981</v>
      </c>
    </row>
    <row r="840" customFormat="1" spans="1:31">
      <c r="A840" s="22"/>
      <c r="B840" s="23"/>
      <c r="C840" s="24">
        <v>241223000031</v>
      </c>
      <c r="D840" s="25">
        <v>46022</v>
      </c>
      <c r="E840" s="25" t="s">
        <v>54</v>
      </c>
      <c r="F840" s="23" t="s">
        <v>55</v>
      </c>
      <c r="G840" s="23" t="s">
        <v>124</v>
      </c>
      <c r="H840" s="23">
        <v>15</v>
      </c>
      <c r="I840" s="43">
        <v>1191</v>
      </c>
      <c r="J840" s="44"/>
      <c r="K840" s="23"/>
      <c r="L840" s="23"/>
      <c r="M840" s="45"/>
      <c r="N840" s="57"/>
      <c r="O840" s="47">
        <f t="shared" si="472"/>
        <v>1191</v>
      </c>
      <c r="P840" s="49"/>
      <c r="Q840" s="49"/>
      <c r="R840" s="77">
        <f t="shared" si="469"/>
        <v>792.963477570465</v>
      </c>
      <c r="S840" s="77"/>
      <c r="T840" s="78">
        <f t="shared" si="470"/>
        <v>1.26115522032553</v>
      </c>
      <c r="U840" s="77"/>
      <c r="V840" s="77"/>
      <c r="W840" s="77">
        <f t="shared" si="466"/>
        <v>794.22463279079</v>
      </c>
      <c r="X840" s="79">
        <f t="shared" si="471"/>
        <v>8.9434299325129</v>
      </c>
      <c r="Y840" s="79"/>
      <c r="Z840" s="79"/>
      <c r="AA840" s="79">
        <f t="shared" si="462"/>
        <v>8.9434299325129</v>
      </c>
      <c r="AB840" s="91">
        <v>7.27</v>
      </c>
      <c r="AC840" s="77">
        <f t="shared" si="463"/>
        <v>65.0187356093688</v>
      </c>
      <c r="AD840" s="77">
        <f t="shared" si="461"/>
        <v>859.243368400159</v>
      </c>
      <c r="AE840" s="77">
        <f t="shared" si="464"/>
        <v>331.756631599841</v>
      </c>
    </row>
    <row r="841" customFormat="1" spans="1:31">
      <c r="A841" s="22"/>
      <c r="B841" s="23"/>
      <c r="C841" s="24">
        <v>241223000035</v>
      </c>
      <c r="D841" s="25">
        <v>46022</v>
      </c>
      <c r="E841" s="25" t="s">
        <v>61</v>
      </c>
      <c r="F841" s="23" t="s">
        <v>62</v>
      </c>
      <c r="G841" s="23" t="s">
        <v>123</v>
      </c>
      <c r="H841" s="23">
        <v>27.5</v>
      </c>
      <c r="I841" s="43">
        <v>1842.5</v>
      </c>
      <c r="J841" s="44"/>
      <c r="K841" s="23"/>
      <c r="L841" s="23"/>
      <c r="M841" s="45"/>
      <c r="N841" s="57"/>
      <c r="O841" s="47">
        <f t="shared" si="472"/>
        <v>1842.5</v>
      </c>
      <c r="P841" s="49"/>
      <c r="Q841" s="49"/>
      <c r="R841" s="77">
        <f t="shared" si="469"/>
        <v>1453.76637554585</v>
      </c>
      <c r="S841" s="77"/>
      <c r="T841" s="78">
        <f t="shared" si="470"/>
        <v>2.31211790393013</v>
      </c>
      <c r="U841" s="77"/>
      <c r="V841" s="77"/>
      <c r="W841" s="77">
        <f t="shared" si="466"/>
        <v>1456.07849344978</v>
      </c>
      <c r="X841" s="79">
        <f t="shared" si="471"/>
        <v>16.396288209607</v>
      </c>
      <c r="Y841" s="79"/>
      <c r="Z841" s="79"/>
      <c r="AA841" s="79">
        <f t="shared" si="462"/>
        <v>16.396288209607</v>
      </c>
      <c r="AB841" s="91">
        <v>7.27</v>
      </c>
      <c r="AC841" s="77">
        <f t="shared" si="463"/>
        <v>119.201015283843</v>
      </c>
      <c r="AD841" s="77">
        <f t="shared" si="461"/>
        <v>1575.27950873362</v>
      </c>
      <c r="AE841" s="77">
        <f t="shared" si="464"/>
        <v>267.220491266376</v>
      </c>
    </row>
    <row r="842" customFormat="1" spans="1:31">
      <c r="A842" s="22"/>
      <c r="B842" s="23"/>
      <c r="C842" s="24">
        <v>241223000039</v>
      </c>
      <c r="D842" s="25">
        <v>46022</v>
      </c>
      <c r="E842" s="25" t="s">
        <v>61</v>
      </c>
      <c r="F842" s="23" t="s">
        <v>62</v>
      </c>
      <c r="G842" s="23" t="s">
        <v>480</v>
      </c>
      <c r="H842" s="23">
        <v>0.1</v>
      </c>
      <c r="I842" s="43">
        <v>178</v>
      </c>
      <c r="J842" s="44"/>
      <c r="K842" s="23"/>
      <c r="L842" s="23"/>
      <c r="M842" s="45"/>
      <c r="N842" s="57"/>
      <c r="O842" s="47">
        <f t="shared" si="472"/>
        <v>178</v>
      </c>
      <c r="P842" s="49"/>
      <c r="Q842" s="49"/>
      <c r="R842" s="77">
        <f t="shared" si="469"/>
        <v>5.2864231838031</v>
      </c>
      <c r="S842" s="77"/>
      <c r="T842" s="78">
        <f t="shared" si="470"/>
        <v>0.00840770146883684</v>
      </c>
      <c r="U842" s="77"/>
      <c r="V842" s="77"/>
      <c r="W842" s="77">
        <f t="shared" si="466"/>
        <v>5.29483088527193</v>
      </c>
      <c r="X842" s="79">
        <f t="shared" si="471"/>
        <v>0.0596228662167527</v>
      </c>
      <c r="Y842" s="79">
        <v>13.06</v>
      </c>
      <c r="Z842" s="79"/>
      <c r="AA842" s="79">
        <f t="shared" si="462"/>
        <v>13.1196228662168</v>
      </c>
      <c r="AB842" s="91">
        <v>7.27</v>
      </c>
      <c r="AC842" s="77">
        <f t="shared" si="463"/>
        <v>95.3796582373958</v>
      </c>
      <c r="AD842" s="77">
        <f t="shared" si="461"/>
        <v>100.674489122668</v>
      </c>
      <c r="AE842" s="77">
        <f t="shared" si="464"/>
        <v>77.3255108773323</v>
      </c>
    </row>
    <row r="843" customFormat="1" spans="1:31">
      <c r="A843" s="22"/>
      <c r="B843" s="23"/>
      <c r="C843" s="24">
        <v>241223000040</v>
      </c>
      <c r="D843" s="25">
        <v>46022</v>
      </c>
      <c r="E843" s="25" t="s">
        <v>61</v>
      </c>
      <c r="F843" s="23" t="s">
        <v>62</v>
      </c>
      <c r="G843" s="23" t="s">
        <v>525</v>
      </c>
      <c r="H843" s="23">
        <v>39.5</v>
      </c>
      <c r="I843" s="43">
        <v>2696.5</v>
      </c>
      <c r="J843" s="44"/>
      <c r="K843" s="23"/>
      <c r="L843" s="23"/>
      <c r="M843" s="45"/>
      <c r="N843" s="57"/>
      <c r="O843" s="47">
        <f t="shared" si="472"/>
        <v>2696.5</v>
      </c>
      <c r="P843" s="49"/>
      <c r="Q843" s="49"/>
      <c r="R843" s="77">
        <f t="shared" si="469"/>
        <v>2088.13715760222</v>
      </c>
      <c r="S843" s="77"/>
      <c r="T843" s="78">
        <f t="shared" si="470"/>
        <v>3.32104208019055</v>
      </c>
      <c r="U843" s="77"/>
      <c r="V843" s="77"/>
      <c r="W843" s="77">
        <f t="shared" si="466"/>
        <v>2091.45819968241</v>
      </c>
      <c r="X843" s="79">
        <f t="shared" si="471"/>
        <v>23.5510321556173</v>
      </c>
      <c r="Y843" s="79"/>
      <c r="Z843" s="79"/>
      <c r="AA843" s="79">
        <f t="shared" si="462"/>
        <v>23.5510321556173</v>
      </c>
      <c r="AB843" s="91">
        <v>7.27</v>
      </c>
      <c r="AC843" s="77">
        <f t="shared" si="463"/>
        <v>171.216003771338</v>
      </c>
      <c r="AD843" s="77">
        <f t="shared" si="461"/>
        <v>2262.67420345375</v>
      </c>
      <c r="AE843" s="77">
        <f t="shared" si="464"/>
        <v>433.825796546248</v>
      </c>
    </row>
    <row r="844" customFormat="1" spans="1:31">
      <c r="A844" s="22"/>
      <c r="B844" s="23"/>
      <c r="C844" s="92">
        <v>241223000049</v>
      </c>
      <c r="D844" s="94">
        <v>46022</v>
      </c>
      <c r="E844" s="25" t="s">
        <v>44</v>
      </c>
      <c r="F844" s="95" t="s">
        <v>45</v>
      </c>
      <c r="G844" s="95" t="s">
        <v>380</v>
      </c>
      <c r="H844" s="95">
        <v>6.5</v>
      </c>
      <c r="I844" s="50"/>
      <c r="J844" s="51">
        <v>119080</v>
      </c>
      <c r="K844" s="23"/>
      <c r="L844" s="52">
        <f>SUM(J844/M844)</f>
        <v>1664.98881431767</v>
      </c>
      <c r="M844" s="53">
        <v>71.52</v>
      </c>
      <c r="N844" s="57">
        <v>7.27</v>
      </c>
      <c r="O844" s="47">
        <f>SUM(M844*N844)</f>
        <v>519.9504</v>
      </c>
      <c r="P844" s="49"/>
      <c r="Q844" s="49"/>
      <c r="R844" s="77">
        <f t="shared" si="469"/>
        <v>343.617506947201</v>
      </c>
      <c r="S844" s="77"/>
      <c r="T844" s="78">
        <f t="shared" si="470"/>
        <v>0.546500595474395</v>
      </c>
      <c r="U844" s="77"/>
      <c r="V844" s="77"/>
      <c r="W844" s="77">
        <f t="shared" si="466"/>
        <v>344.164007542676</v>
      </c>
      <c r="X844" s="79">
        <f t="shared" si="471"/>
        <v>3.87548630408892</v>
      </c>
      <c r="Y844" s="79"/>
      <c r="Z844" s="79"/>
      <c r="AA844" s="79">
        <f t="shared" si="462"/>
        <v>3.87548630408892</v>
      </c>
      <c r="AB844" s="91">
        <v>7.27</v>
      </c>
      <c r="AC844" s="77">
        <f t="shared" si="463"/>
        <v>28.1747854307265</v>
      </c>
      <c r="AD844" s="77">
        <f t="shared" si="461"/>
        <v>372.338792973402</v>
      </c>
      <c r="AE844" s="77">
        <f t="shared" si="464"/>
        <v>147.611607026598</v>
      </c>
    </row>
    <row r="845" customFormat="1" spans="1:31">
      <c r="A845" s="22"/>
      <c r="B845" s="23"/>
      <c r="C845" s="24">
        <v>241223000051</v>
      </c>
      <c r="D845" s="26">
        <v>46022</v>
      </c>
      <c r="E845" s="25" t="s">
        <v>70</v>
      </c>
      <c r="F845" s="23" t="s">
        <v>70</v>
      </c>
      <c r="G845" s="23" t="s">
        <v>377</v>
      </c>
      <c r="H845" s="23">
        <v>0.86</v>
      </c>
      <c r="I845" s="43">
        <v>83</v>
      </c>
      <c r="J845" s="44"/>
      <c r="K845" s="23"/>
      <c r="L845" s="23"/>
      <c r="M845" s="45"/>
      <c r="N845" s="57"/>
      <c r="O845" s="47">
        <f t="shared" ref="O845:O850" si="473">SUM(I845)</f>
        <v>83</v>
      </c>
      <c r="P845" s="49"/>
      <c r="Q845" s="49"/>
      <c r="R845" s="77">
        <f t="shared" si="469"/>
        <v>45.4632393807066</v>
      </c>
      <c r="S845" s="77"/>
      <c r="T845" s="78">
        <f t="shared" si="470"/>
        <v>0.0723062326319968</v>
      </c>
      <c r="U845" s="77"/>
      <c r="V845" s="77"/>
      <c r="W845" s="77">
        <f t="shared" si="466"/>
        <v>45.5355456133386</v>
      </c>
      <c r="X845" s="79">
        <f t="shared" si="471"/>
        <v>0.512756649464073</v>
      </c>
      <c r="Y845" s="79"/>
      <c r="Z845" s="79"/>
      <c r="AA845" s="79">
        <f t="shared" si="462"/>
        <v>0.512756649464073</v>
      </c>
      <c r="AB845" s="91">
        <v>7.27</v>
      </c>
      <c r="AC845" s="77">
        <f t="shared" si="463"/>
        <v>3.72774084160381</v>
      </c>
      <c r="AD845" s="77">
        <f t="shared" si="461"/>
        <v>49.2632864549424</v>
      </c>
      <c r="AE845" s="77">
        <f t="shared" si="464"/>
        <v>33.7367135450576</v>
      </c>
    </row>
    <row r="846" customFormat="1" spans="1:31">
      <c r="A846" s="22"/>
      <c r="B846" s="23"/>
      <c r="C846" s="24">
        <v>241223000054</v>
      </c>
      <c r="D846" s="25">
        <v>46022</v>
      </c>
      <c r="E846" s="25" t="s">
        <v>44</v>
      </c>
      <c r="F846" s="23" t="s">
        <v>45</v>
      </c>
      <c r="G846" s="23" t="s">
        <v>302</v>
      </c>
      <c r="H846" s="23">
        <v>7.5</v>
      </c>
      <c r="I846" s="43">
        <v>582</v>
      </c>
      <c r="J846" s="44"/>
      <c r="K846" s="23"/>
      <c r="L846" s="23"/>
      <c r="M846" s="45"/>
      <c r="N846" s="57"/>
      <c r="O846" s="47">
        <f t="shared" si="473"/>
        <v>582</v>
      </c>
      <c r="P846" s="49"/>
      <c r="Q846" s="49"/>
      <c r="R846" s="77">
        <f t="shared" si="469"/>
        <v>396.481738785232</v>
      </c>
      <c r="S846" s="77"/>
      <c r="T846" s="78">
        <f t="shared" si="470"/>
        <v>0.630577610162763</v>
      </c>
      <c r="U846" s="77"/>
      <c r="V846" s="77"/>
      <c r="W846" s="77">
        <f t="shared" si="466"/>
        <v>397.112316395395</v>
      </c>
      <c r="X846" s="79">
        <f t="shared" si="471"/>
        <v>4.47171496625645</v>
      </c>
      <c r="Y846" s="79"/>
      <c r="Z846" s="79"/>
      <c r="AA846" s="79">
        <f t="shared" si="462"/>
        <v>4.47171496625645</v>
      </c>
      <c r="AB846" s="91">
        <v>7.27</v>
      </c>
      <c r="AC846" s="77">
        <f t="shared" si="463"/>
        <v>32.5093678046844</v>
      </c>
      <c r="AD846" s="77">
        <f t="shared" si="461"/>
        <v>429.621684200079</v>
      </c>
      <c r="AE846" s="77">
        <f t="shared" si="464"/>
        <v>152.378315799921</v>
      </c>
    </row>
    <row r="847" customFormat="1" spans="1:31">
      <c r="A847" s="22"/>
      <c r="B847" s="23"/>
      <c r="C847" s="24">
        <v>241223000056</v>
      </c>
      <c r="D847" s="25">
        <v>46022</v>
      </c>
      <c r="E847" s="25" t="s">
        <v>54</v>
      </c>
      <c r="F847" s="23" t="s">
        <v>55</v>
      </c>
      <c r="G847" s="23" t="s">
        <v>118</v>
      </c>
      <c r="H847" s="23">
        <v>8</v>
      </c>
      <c r="I847" s="47"/>
      <c r="J847" s="51">
        <v>143905.95</v>
      </c>
      <c r="K847" s="23"/>
      <c r="L847" s="52">
        <f>SUM(J847/M847)</f>
        <v>1665</v>
      </c>
      <c r="M847" s="53">
        <v>86.43</v>
      </c>
      <c r="N847" s="57">
        <v>7.27</v>
      </c>
      <c r="O847" s="47">
        <f>SUM(M847*N847)</f>
        <v>628.3461</v>
      </c>
      <c r="P847" s="49"/>
      <c r="Q847" s="49"/>
      <c r="R847" s="77">
        <f t="shared" si="469"/>
        <v>422.913854704248</v>
      </c>
      <c r="S847" s="77"/>
      <c r="T847" s="78">
        <f t="shared" si="470"/>
        <v>0.672616117506947</v>
      </c>
      <c r="U847" s="77"/>
      <c r="V847" s="77"/>
      <c r="W847" s="77">
        <f t="shared" si="466"/>
        <v>423.586470821755</v>
      </c>
      <c r="X847" s="79">
        <f t="shared" si="471"/>
        <v>4.76982929734021</v>
      </c>
      <c r="Y847" s="79"/>
      <c r="Z847" s="79"/>
      <c r="AA847" s="79">
        <f t="shared" si="462"/>
        <v>4.76982929734021</v>
      </c>
      <c r="AB847" s="91">
        <v>7.27</v>
      </c>
      <c r="AC847" s="77">
        <f t="shared" si="463"/>
        <v>34.6766589916634</v>
      </c>
      <c r="AD847" s="77">
        <f t="shared" si="461"/>
        <v>458.263129813418</v>
      </c>
      <c r="AE847" s="77">
        <f t="shared" si="464"/>
        <v>170.082970186582</v>
      </c>
    </row>
    <row r="848" customFormat="1" spans="1:31">
      <c r="A848" s="22"/>
      <c r="B848" s="23"/>
      <c r="C848" s="24">
        <v>241223000057</v>
      </c>
      <c r="D848" s="25">
        <v>46022</v>
      </c>
      <c r="E848" s="25" t="s">
        <v>61</v>
      </c>
      <c r="F848" s="23" t="s">
        <v>62</v>
      </c>
      <c r="G848" s="23" t="s">
        <v>526</v>
      </c>
      <c r="H848" s="23">
        <v>12</v>
      </c>
      <c r="I848" s="43">
        <v>930</v>
      </c>
      <c r="J848" s="44"/>
      <c r="K848" s="23"/>
      <c r="L848" s="23"/>
      <c r="M848" s="45"/>
      <c r="N848" s="57"/>
      <c r="O848" s="47">
        <f t="shared" si="473"/>
        <v>930</v>
      </c>
      <c r="P848" s="49"/>
      <c r="Q848" s="49"/>
      <c r="R848" s="77">
        <f t="shared" si="469"/>
        <v>634.370782056372</v>
      </c>
      <c r="S848" s="77"/>
      <c r="T848" s="78">
        <f t="shared" si="470"/>
        <v>1.00892417626042</v>
      </c>
      <c r="U848" s="77"/>
      <c r="V848" s="77"/>
      <c r="W848" s="77">
        <f t="shared" si="466"/>
        <v>635.379706232632</v>
      </c>
      <c r="X848" s="79">
        <f t="shared" si="471"/>
        <v>7.15474394601032</v>
      </c>
      <c r="Y848" s="79"/>
      <c r="Z848" s="79"/>
      <c r="AA848" s="79">
        <f t="shared" si="462"/>
        <v>7.15474394601032</v>
      </c>
      <c r="AB848" s="91">
        <v>7.27</v>
      </c>
      <c r="AC848" s="77">
        <f t="shared" si="463"/>
        <v>52.014988487495</v>
      </c>
      <c r="AD848" s="77">
        <f t="shared" si="461"/>
        <v>687.394694720127</v>
      </c>
      <c r="AE848" s="77">
        <f t="shared" si="464"/>
        <v>242.605305279873</v>
      </c>
    </row>
    <row r="849" customFormat="1" spans="1:31">
      <c r="A849" s="22"/>
      <c r="B849" s="23"/>
      <c r="C849" s="24">
        <v>241223000066</v>
      </c>
      <c r="D849" s="25">
        <v>46022</v>
      </c>
      <c r="E849" s="25" t="s">
        <v>37</v>
      </c>
      <c r="F849" s="23" t="s">
        <v>38</v>
      </c>
      <c r="G849" s="23" t="s">
        <v>152</v>
      </c>
      <c r="H849" s="23">
        <v>515</v>
      </c>
      <c r="I849" s="43">
        <v>32413.5</v>
      </c>
      <c r="J849" s="44"/>
      <c r="K849" s="23"/>
      <c r="L849" s="23"/>
      <c r="M849" s="45"/>
      <c r="N849" s="57"/>
      <c r="O849" s="47">
        <f t="shared" si="473"/>
        <v>32413.5</v>
      </c>
      <c r="P849" s="49"/>
      <c r="Q849" s="49"/>
      <c r="R849" s="77">
        <f t="shared" si="469"/>
        <v>27225.0793965859</v>
      </c>
      <c r="S849" s="77"/>
      <c r="T849" s="78">
        <f t="shared" si="470"/>
        <v>43.2996625645097</v>
      </c>
      <c r="U849" s="77"/>
      <c r="V849" s="77"/>
      <c r="W849" s="77">
        <f t="shared" si="466"/>
        <v>27268.3790591505</v>
      </c>
      <c r="X849" s="79">
        <f t="shared" si="471"/>
        <v>307.057761016276</v>
      </c>
      <c r="Y849" s="79"/>
      <c r="Z849" s="79"/>
      <c r="AA849" s="79">
        <f t="shared" si="462"/>
        <v>307.057761016276</v>
      </c>
      <c r="AB849" s="91">
        <v>7.27</v>
      </c>
      <c r="AC849" s="77">
        <f t="shared" si="463"/>
        <v>2232.30992258833</v>
      </c>
      <c r="AD849" s="77">
        <f t="shared" si="461"/>
        <v>29500.6889817388</v>
      </c>
      <c r="AE849" s="77">
        <f t="shared" si="464"/>
        <v>2912.81101826121</v>
      </c>
    </row>
    <row r="850" customFormat="1" spans="1:31">
      <c r="A850" s="22"/>
      <c r="B850" s="23"/>
      <c r="C850" s="24">
        <v>241224000001</v>
      </c>
      <c r="D850" s="26">
        <v>46022</v>
      </c>
      <c r="E850" s="25" t="s">
        <v>468</v>
      </c>
      <c r="F850" s="23" t="s">
        <v>469</v>
      </c>
      <c r="G850" s="23" t="s">
        <v>470</v>
      </c>
      <c r="H850" s="23">
        <v>16.5</v>
      </c>
      <c r="I850" s="43">
        <v>1276.5</v>
      </c>
      <c r="J850" s="44"/>
      <c r="K850" s="23"/>
      <c r="L850" s="23"/>
      <c r="M850" s="45"/>
      <c r="N850" s="57"/>
      <c r="O850" s="47">
        <f t="shared" si="473"/>
        <v>1276.5</v>
      </c>
      <c r="P850" s="49"/>
      <c r="Q850" s="49"/>
      <c r="R850" s="77">
        <f t="shared" si="469"/>
        <v>872.259825327511</v>
      </c>
      <c r="S850" s="77"/>
      <c r="T850" s="78">
        <f t="shared" si="470"/>
        <v>1.38727074235808</v>
      </c>
      <c r="U850" s="77"/>
      <c r="V850" s="77"/>
      <c r="W850" s="77">
        <f t="shared" si="466"/>
        <v>873.647096069869</v>
      </c>
      <c r="X850" s="79">
        <f t="shared" si="471"/>
        <v>9.83777292576419</v>
      </c>
      <c r="Y850" s="79"/>
      <c r="Z850" s="79"/>
      <c r="AA850" s="79">
        <f t="shared" si="462"/>
        <v>9.83777292576419</v>
      </c>
      <c r="AB850" s="91">
        <v>7.27</v>
      </c>
      <c r="AC850" s="77">
        <f t="shared" si="463"/>
        <v>71.5206091703057</v>
      </c>
      <c r="AD850" s="77">
        <f t="shared" si="461"/>
        <v>945.167705240175</v>
      </c>
      <c r="AE850" s="77">
        <f t="shared" si="464"/>
        <v>331.332294759825</v>
      </c>
    </row>
    <row r="851" customFormat="1" spans="1:31">
      <c r="A851" s="22"/>
      <c r="B851" s="23"/>
      <c r="C851" s="24">
        <v>241224000006</v>
      </c>
      <c r="D851" s="25">
        <v>46022</v>
      </c>
      <c r="E851" s="25" t="s">
        <v>37</v>
      </c>
      <c r="F851" s="23" t="s">
        <v>38</v>
      </c>
      <c r="G851" s="23" t="s">
        <v>256</v>
      </c>
      <c r="H851" s="23">
        <v>3</v>
      </c>
      <c r="I851" s="47"/>
      <c r="J851" s="51">
        <v>50160</v>
      </c>
      <c r="K851" s="23"/>
      <c r="L851" s="52">
        <f>SUM(J851/M851)</f>
        <v>1485.34201954397</v>
      </c>
      <c r="M851" s="53">
        <v>33.77</v>
      </c>
      <c r="N851" s="57">
        <v>7.27</v>
      </c>
      <c r="O851" s="47">
        <f t="shared" ref="O851:O854" si="474">SUM(M851*N851)</f>
        <v>245.5079</v>
      </c>
      <c r="P851" s="49"/>
      <c r="Q851" s="49"/>
      <c r="R851" s="77">
        <f t="shared" si="469"/>
        <v>158.592695514093</v>
      </c>
      <c r="S851" s="77"/>
      <c r="T851" s="78">
        <f t="shared" si="470"/>
        <v>0.252231044065105</v>
      </c>
      <c r="U851" s="77"/>
      <c r="V851" s="77"/>
      <c r="W851" s="77">
        <f t="shared" si="466"/>
        <v>158.844926558158</v>
      </c>
      <c r="X851" s="79">
        <f t="shared" si="471"/>
        <v>1.78868598650258</v>
      </c>
      <c r="Y851" s="79"/>
      <c r="Z851" s="79"/>
      <c r="AA851" s="79">
        <f t="shared" si="462"/>
        <v>1.78868598650258</v>
      </c>
      <c r="AB851" s="91">
        <v>7.27</v>
      </c>
      <c r="AC851" s="77">
        <f t="shared" si="463"/>
        <v>13.0037471218738</v>
      </c>
      <c r="AD851" s="77">
        <f t="shared" si="461"/>
        <v>171.848673680032</v>
      </c>
      <c r="AE851" s="77">
        <f t="shared" si="464"/>
        <v>73.6592263199682</v>
      </c>
    </row>
    <row r="852" customFormat="1" spans="1:31">
      <c r="A852" s="22"/>
      <c r="B852" s="23"/>
      <c r="C852" s="24">
        <v>241224000010</v>
      </c>
      <c r="D852" s="25">
        <v>46022</v>
      </c>
      <c r="E852" s="25" t="s">
        <v>54</v>
      </c>
      <c r="F852" s="23" t="s">
        <v>55</v>
      </c>
      <c r="G852" s="23" t="s">
        <v>474</v>
      </c>
      <c r="H852" s="23">
        <v>2</v>
      </c>
      <c r="I852" s="43">
        <v>176</v>
      </c>
      <c r="J852" s="44"/>
      <c r="K852" s="23"/>
      <c r="L852" s="23"/>
      <c r="M852" s="45"/>
      <c r="N852" s="57"/>
      <c r="O852" s="47">
        <f t="shared" ref="O852:O857" si="475">SUM(I852)</f>
        <v>176</v>
      </c>
      <c r="P852" s="49"/>
      <c r="Q852" s="49"/>
      <c r="R852" s="77">
        <f t="shared" si="469"/>
        <v>105.728463676062</v>
      </c>
      <c r="S852" s="77"/>
      <c r="T852" s="78">
        <f t="shared" si="470"/>
        <v>0.168154029376737</v>
      </c>
      <c r="U852" s="77"/>
      <c r="V852" s="77"/>
      <c r="W852" s="77">
        <f t="shared" si="466"/>
        <v>105.896617705439</v>
      </c>
      <c r="X852" s="79">
        <f t="shared" si="471"/>
        <v>1.19245732433505</v>
      </c>
      <c r="Y852" s="79"/>
      <c r="Z852" s="79"/>
      <c r="AA852" s="79">
        <f t="shared" si="462"/>
        <v>1.19245732433505</v>
      </c>
      <c r="AB852" s="91">
        <v>7.27</v>
      </c>
      <c r="AC852" s="77">
        <f t="shared" si="463"/>
        <v>8.66916474791584</v>
      </c>
      <c r="AD852" s="77">
        <f t="shared" si="461"/>
        <v>114.565782453355</v>
      </c>
      <c r="AE852" s="77">
        <f t="shared" si="464"/>
        <v>61.4342175466455</v>
      </c>
    </row>
    <row r="853" customFormat="1" spans="1:31">
      <c r="A853" s="22"/>
      <c r="B853" s="23"/>
      <c r="C853" s="24">
        <v>241224000022</v>
      </c>
      <c r="D853" s="25">
        <v>46022</v>
      </c>
      <c r="E853" s="25" t="s">
        <v>44</v>
      </c>
      <c r="F853" s="23" t="s">
        <v>45</v>
      </c>
      <c r="G853" s="23" t="s">
        <v>162</v>
      </c>
      <c r="H853" s="23">
        <v>146.5</v>
      </c>
      <c r="I853" s="50"/>
      <c r="J853" s="51">
        <v>2122785</v>
      </c>
      <c r="K853" s="23"/>
      <c r="L853" s="52">
        <f t="shared" ref="L853:L858" si="476">SUM(J853/M853)</f>
        <v>1672.10306176301</v>
      </c>
      <c r="M853" s="53">
        <v>1269.53</v>
      </c>
      <c r="N853" s="57">
        <v>7.27</v>
      </c>
      <c r="O853" s="47">
        <f t="shared" si="474"/>
        <v>9229.4831</v>
      </c>
      <c r="P853" s="49"/>
      <c r="Q853" s="49"/>
      <c r="R853" s="77">
        <f t="shared" si="469"/>
        <v>7744.60996427154</v>
      </c>
      <c r="S853" s="77"/>
      <c r="T853" s="78">
        <f t="shared" si="470"/>
        <v>12.317282651846</v>
      </c>
      <c r="U853" s="77"/>
      <c r="V853" s="77"/>
      <c r="W853" s="77">
        <f t="shared" si="466"/>
        <v>7756.92724692338</v>
      </c>
      <c r="X853" s="79">
        <f t="shared" si="471"/>
        <v>87.3474990075427</v>
      </c>
      <c r="Y853" s="79"/>
      <c r="Z853" s="79"/>
      <c r="AA853" s="79">
        <f t="shared" si="462"/>
        <v>87.3474990075427</v>
      </c>
      <c r="AB853" s="91">
        <v>7.27</v>
      </c>
      <c r="AC853" s="77">
        <f t="shared" si="463"/>
        <v>635.016317784835</v>
      </c>
      <c r="AD853" s="77">
        <f t="shared" si="461"/>
        <v>8391.94356470822</v>
      </c>
      <c r="AE853" s="77">
        <f t="shared" si="464"/>
        <v>837.539535291782</v>
      </c>
    </row>
    <row r="854" customFormat="1" spans="1:31">
      <c r="A854" s="22"/>
      <c r="B854" s="23"/>
      <c r="C854" s="24">
        <v>241224000027</v>
      </c>
      <c r="D854" s="25">
        <v>46022</v>
      </c>
      <c r="E854" s="25" t="s">
        <v>44</v>
      </c>
      <c r="F854" s="23" t="s">
        <v>45</v>
      </c>
      <c r="G854" s="23" t="s">
        <v>307</v>
      </c>
      <c r="H854" s="23">
        <v>106</v>
      </c>
      <c r="I854" s="96"/>
      <c r="J854" s="51">
        <v>1590960.96</v>
      </c>
      <c r="K854" s="23"/>
      <c r="L854" s="52">
        <f t="shared" si="476"/>
        <v>1715.72875506859</v>
      </c>
      <c r="M854" s="53">
        <v>927.28</v>
      </c>
      <c r="N854" s="57">
        <v>7.27</v>
      </c>
      <c r="O854" s="47">
        <f t="shared" si="474"/>
        <v>6741.3256</v>
      </c>
      <c r="P854" s="49"/>
      <c r="Q854" s="49"/>
      <c r="R854" s="77">
        <f t="shared" si="469"/>
        <v>5603.60857483128</v>
      </c>
      <c r="S854" s="77"/>
      <c r="T854" s="78">
        <f t="shared" si="470"/>
        <v>8.91216355696705</v>
      </c>
      <c r="U854" s="78">
        <v>120</v>
      </c>
      <c r="V854" s="77"/>
      <c r="W854" s="77">
        <f t="shared" si="466"/>
        <v>5732.52073838825</v>
      </c>
      <c r="X854" s="79">
        <f t="shared" si="471"/>
        <v>63.2002381897578</v>
      </c>
      <c r="Y854" s="79"/>
      <c r="Z854" s="79"/>
      <c r="AA854" s="79">
        <f t="shared" si="462"/>
        <v>63.2002381897578</v>
      </c>
      <c r="AB854" s="91">
        <v>7.27</v>
      </c>
      <c r="AC854" s="77">
        <f t="shared" si="463"/>
        <v>459.465731639539</v>
      </c>
      <c r="AD854" s="77">
        <f t="shared" si="461"/>
        <v>6191.98647002779</v>
      </c>
      <c r="AE854" s="77">
        <f t="shared" si="464"/>
        <v>549.339129972211</v>
      </c>
    </row>
    <row r="855" customFormat="1" spans="1:31">
      <c r="A855" s="22"/>
      <c r="B855" s="23"/>
      <c r="C855" s="24">
        <v>241224000029</v>
      </c>
      <c r="D855" s="25">
        <v>46022</v>
      </c>
      <c r="E855" s="25" t="s">
        <v>37</v>
      </c>
      <c r="F855" s="23" t="s">
        <v>38</v>
      </c>
      <c r="G855" s="23" t="s">
        <v>152</v>
      </c>
      <c r="H855" s="23">
        <v>955.5</v>
      </c>
      <c r="I855" s="43">
        <v>60996.5</v>
      </c>
      <c r="J855" s="44"/>
      <c r="K855" s="23"/>
      <c r="L855" s="23"/>
      <c r="M855" s="45"/>
      <c r="N855" s="57"/>
      <c r="O855" s="47">
        <f t="shared" si="475"/>
        <v>60996.5</v>
      </c>
      <c r="P855" s="49"/>
      <c r="Q855" s="49"/>
      <c r="R855" s="77">
        <f t="shared" si="469"/>
        <v>50511.7735212386</v>
      </c>
      <c r="S855" s="77"/>
      <c r="T855" s="78">
        <f t="shared" si="470"/>
        <v>80.335587534736</v>
      </c>
      <c r="U855" s="77"/>
      <c r="V855" s="77"/>
      <c r="W855" s="77">
        <f t="shared" si="466"/>
        <v>50592.1091087733</v>
      </c>
      <c r="X855" s="79">
        <f t="shared" si="471"/>
        <v>569.696486701072</v>
      </c>
      <c r="Y855" s="79">
        <v>110</v>
      </c>
      <c r="Z855" s="79"/>
      <c r="AA855" s="79">
        <f t="shared" si="462"/>
        <v>679.696486701072</v>
      </c>
      <c r="AB855" s="91">
        <v>7.27</v>
      </c>
      <c r="AC855" s="77">
        <f t="shared" si="463"/>
        <v>4941.39345831679</v>
      </c>
      <c r="AD855" s="77">
        <f t="shared" si="461"/>
        <v>55533.5025670901</v>
      </c>
      <c r="AE855" s="77">
        <f t="shared" si="464"/>
        <v>5462.99743290988</v>
      </c>
    </row>
    <row r="856" customFormat="1" spans="1:31">
      <c r="A856" s="22"/>
      <c r="B856" s="23"/>
      <c r="C856" s="24">
        <v>241224000037</v>
      </c>
      <c r="D856" s="25">
        <v>46022</v>
      </c>
      <c r="E856" s="25" t="s">
        <v>44</v>
      </c>
      <c r="F856" s="23" t="s">
        <v>45</v>
      </c>
      <c r="G856" s="23" t="s">
        <v>135</v>
      </c>
      <c r="H856" s="23">
        <v>56.5</v>
      </c>
      <c r="I856" s="43">
        <v>4068</v>
      </c>
      <c r="J856" s="44"/>
      <c r="K856" s="23"/>
      <c r="L856" s="23"/>
      <c r="M856" s="45"/>
      <c r="N856" s="57"/>
      <c r="O856" s="47">
        <f t="shared" si="475"/>
        <v>4068</v>
      </c>
      <c r="P856" s="49"/>
      <c r="Q856" s="49"/>
      <c r="R856" s="77">
        <f t="shared" si="469"/>
        <v>2986.82909884875</v>
      </c>
      <c r="S856" s="77"/>
      <c r="T856" s="78">
        <f t="shared" si="470"/>
        <v>4.75035132989281</v>
      </c>
      <c r="U856" s="77"/>
      <c r="V856" s="77"/>
      <c r="W856" s="77">
        <f t="shared" si="466"/>
        <v>2991.57945017864</v>
      </c>
      <c r="X856" s="79">
        <f t="shared" si="471"/>
        <v>33.6869194124653</v>
      </c>
      <c r="Y856" s="79"/>
      <c r="Z856" s="79"/>
      <c r="AA856" s="79">
        <f t="shared" si="462"/>
        <v>33.6869194124653</v>
      </c>
      <c r="AB856" s="91">
        <v>7.27</v>
      </c>
      <c r="AC856" s="77">
        <f t="shared" ref="AC856:AC888" si="477">SUM(AA856*AB856)</f>
        <v>244.903904128622</v>
      </c>
      <c r="AD856" s="77">
        <f t="shared" ref="AD856:AD888" si="478">SUM(W856+AC856)</f>
        <v>3236.48335430727</v>
      </c>
      <c r="AE856" s="77">
        <f t="shared" si="464"/>
        <v>831.516645692735</v>
      </c>
    </row>
    <row r="857" customFormat="1" spans="1:31">
      <c r="A857" s="22"/>
      <c r="B857" s="23"/>
      <c r="C857" s="24">
        <v>241224000039</v>
      </c>
      <c r="D857" s="25">
        <v>46022</v>
      </c>
      <c r="E857" s="25" t="s">
        <v>44</v>
      </c>
      <c r="F857" s="23" t="s">
        <v>45</v>
      </c>
      <c r="G857" s="23" t="s">
        <v>146</v>
      </c>
      <c r="H857" s="23">
        <v>47.5</v>
      </c>
      <c r="I857" s="43">
        <v>2992.5</v>
      </c>
      <c r="J857" s="44"/>
      <c r="K857" s="23"/>
      <c r="L857" s="23"/>
      <c r="M857" s="45"/>
      <c r="N857" s="57"/>
      <c r="O857" s="47">
        <f t="shared" si="475"/>
        <v>2992.5</v>
      </c>
      <c r="P857" s="49"/>
      <c r="Q857" s="49"/>
      <c r="R857" s="77">
        <f t="shared" si="469"/>
        <v>2511.05101230647</v>
      </c>
      <c r="S857" s="77"/>
      <c r="T857" s="78">
        <f t="shared" si="470"/>
        <v>3.9936581976975</v>
      </c>
      <c r="U857" s="77"/>
      <c r="V857" s="77"/>
      <c r="W857" s="77">
        <f t="shared" si="466"/>
        <v>2515.04467050417</v>
      </c>
      <c r="X857" s="79">
        <f t="shared" si="471"/>
        <v>28.3208614529575</v>
      </c>
      <c r="Y857" s="79"/>
      <c r="Z857" s="79"/>
      <c r="AA857" s="79">
        <f t="shared" si="462"/>
        <v>28.3208614529575</v>
      </c>
      <c r="AB857" s="91">
        <v>7.27</v>
      </c>
      <c r="AC857" s="77">
        <f t="shared" si="477"/>
        <v>205.892662763001</v>
      </c>
      <c r="AD857" s="77">
        <f t="shared" si="478"/>
        <v>2720.93733326717</v>
      </c>
      <c r="AE857" s="77">
        <f t="shared" ref="AE857:AE888" si="479">SUM(O857-AD857)</f>
        <v>271.56266673283</v>
      </c>
    </row>
    <row r="858" customFormat="1" spans="1:31">
      <c r="A858" s="22"/>
      <c r="B858" s="23"/>
      <c r="C858" s="24">
        <v>241224000050</v>
      </c>
      <c r="D858" s="25">
        <v>46022</v>
      </c>
      <c r="E858" s="25" t="s">
        <v>44</v>
      </c>
      <c r="F858" s="23" t="s">
        <v>45</v>
      </c>
      <c r="G858" s="23" t="s">
        <v>130</v>
      </c>
      <c r="H858" s="23">
        <v>3</v>
      </c>
      <c r="I858" s="96"/>
      <c r="J858" s="51">
        <v>47634</v>
      </c>
      <c r="K858" s="23"/>
      <c r="L858" s="52">
        <f t="shared" si="476"/>
        <v>1697.5766215253</v>
      </c>
      <c r="M858" s="53">
        <v>28.06</v>
      </c>
      <c r="N858" s="57">
        <v>7.27</v>
      </c>
      <c r="O858" s="47">
        <f>SUM(M858*N858)</f>
        <v>203.9962</v>
      </c>
      <c r="P858" s="55"/>
      <c r="Q858" s="55"/>
      <c r="R858" s="77">
        <f t="shared" si="469"/>
        <v>158.592695514093</v>
      </c>
      <c r="S858" s="77"/>
      <c r="T858" s="78">
        <f t="shared" si="470"/>
        <v>0.252231044065105</v>
      </c>
      <c r="U858" s="77"/>
      <c r="V858" s="77"/>
      <c r="W858" s="77">
        <f t="shared" ref="W858:W889" si="480">SUM(R858:V858)</f>
        <v>158.844926558158</v>
      </c>
      <c r="X858" s="79">
        <f t="shared" si="471"/>
        <v>1.78868598650258</v>
      </c>
      <c r="Y858" s="79"/>
      <c r="Z858" s="79"/>
      <c r="AA858" s="79">
        <f t="shared" ref="AA858:AA889" si="481">SUM(X858:Z858)</f>
        <v>1.78868598650258</v>
      </c>
      <c r="AB858" s="91">
        <v>7.27</v>
      </c>
      <c r="AC858" s="77">
        <f t="shared" si="477"/>
        <v>13.0037471218738</v>
      </c>
      <c r="AD858" s="77">
        <f t="shared" si="478"/>
        <v>171.848673680032</v>
      </c>
      <c r="AE858" s="77">
        <f t="shared" si="479"/>
        <v>32.1475263199682</v>
      </c>
    </row>
    <row r="859" customFormat="1" spans="1:31">
      <c r="A859" s="22" t="s">
        <v>527</v>
      </c>
      <c r="B859" s="23" t="s">
        <v>528</v>
      </c>
      <c r="C859" s="24">
        <v>241211000014</v>
      </c>
      <c r="D859" s="25">
        <v>45658</v>
      </c>
      <c r="E859" s="25" t="s">
        <v>84</v>
      </c>
      <c r="F859" s="23" t="s">
        <v>85</v>
      </c>
      <c r="G859" s="23" t="s">
        <v>529</v>
      </c>
      <c r="H859" s="23">
        <v>12</v>
      </c>
      <c r="I859" s="43">
        <v>1054</v>
      </c>
      <c r="J859" s="44"/>
      <c r="K859" s="23"/>
      <c r="L859" s="23"/>
      <c r="M859" s="45"/>
      <c r="N859" s="133"/>
      <c r="O859" s="47">
        <f t="shared" ref="O859:O869" si="482">SUM(I859)</f>
        <v>1054</v>
      </c>
      <c r="P859" s="48">
        <f>SUM(O859:O912)</f>
        <v>191929.8950908</v>
      </c>
      <c r="Q859" s="48" t="s">
        <v>185</v>
      </c>
      <c r="R859" s="77">
        <f>SUM(137567.5/2349)*H859</f>
        <v>702.771392081737</v>
      </c>
      <c r="S859" s="77"/>
      <c r="T859" s="78">
        <f>SUM(124/2349)*H859</f>
        <v>0.633461047254151</v>
      </c>
      <c r="U859" s="77"/>
      <c r="V859" s="77"/>
      <c r="W859" s="77">
        <f t="shared" si="480"/>
        <v>703.404853128991</v>
      </c>
      <c r="X859" s="79">
        <f>SUM(1076.68/1219)*H859</f>
        <v>10.5989827727646</v>
      </c>
      <c r="Y859" s="79"/>
      <c r="Z859" s="79"/>
      <c r="AA859" s="79">
        <f t="shared" si="481"/>
        <v>10.5989827727646</v>
      </c>
      <c r="AB859" s="91">
        <v>7.27</v>
      </c>
      <c r="AC859" s="77">
        <f t="shared" si="477"/>
        <v>77.0546047579983</v>
      </c>
      <c r="AD859" s="77">
        <f t="shared" si="478"/>
        <v>780.459457886989</v>
      </c>
      <c r="AE859" s="77">
        <f t="shared" si="479"/>
        <v>273.540542113011</v>
      </c>
    </row>
    <row r="860" customFormat="1" spans="1:31">
      <c r="A860" s="22"/>
      <c r="B860" s="23"/>
      <c r="C860" s="24">
        <v>241216000039</v>
      </c>
      <c r="D860" s="25">
        <v>45658</v>
      </c>
      <c r="E860" s="25" t="s">
        <v>44</v>
      </c>
      <c r="F860" s="23" t="s">
        <v>45</v>
      </c>
      <c r="G860" s="23" t="s">
        <v>187</v>
      </c>
      <c r="H860" s="23">
        <v>6</v>
      </c>
      <c r="I860" s="43">
        <v>554.4</v>
      </c>
      <c r="J860" s="44"/>
      <c r="K860" s="23"/>
      <c r="L860" s="23"/>
      <c r="M860" s="45"/>
      <c r="N860" s="133"/>
      <c r="O860" s="47">
        <f t="shared" si="482"/>
        <v>554.4</v>
      </c>
      <c r="P860" s="49"/>
      <c r="Q860" s="49"/>
      <c r="R860" s="77">
        <f t="shared" ref="R860:R891" si="483">SUM(137567.5/2349)*H860</f>
        <v>351.385696040868</v>
      </c>
      <c r="S860" s="77"/>
      <c r="T860" s="78">
        <f t="shared" ref="T860:T891" si="484">SUM(124/2349)*H860</f>
        <v>0.316730523627075</v>
      </c>
      <c r="U860" s="77"/>
      <c r="V860" s="77"/>
      <c r="W860" s="77">
        <f t="shared" si="480"/>
        <v>351.702426564496</v>
      </c>
      <c r="X860" s="79">
        <f t="shared" ref="X860:X891" si="485">SUM(1076.68/1219)*H860</f>
        <v>5.29949138638228</v>
      </c>
      <c r="Y860" s="79"/>
      <c r="Z860" s="79"/>
      <c r="AA860" s="79">
        <f t="shared" si="481"/>
        <v>5.29949138638228</v>
      </c>
      <c r="AB860" s="91">
        <v>7.27</v>
      </c>
      <c r="AC860" s="77">
        <f t="shared" si="477"/>
        <v>38.5273023789992</v>
      </c>
      <c r="AD860" s="77">
        <f t="shared" si="478"/>
        <v>390.229728943495</v>
      </c>
      <c r="AE860" s="77">
        <f t="shared" si="479"/>
        <v>164.170271056505</v>
      </c>
    </row>
    <row r="861" customFormat="1" spans="1:31">
      <c r="A861" s="22"/>
      <c r="B861" s="23"/>
      <c r="C861" s="24">
        <v>241216000044</v>
      </c>
      <c r="D861" s="25">
        <v>45658</v>
      </c>
      <c r="E861" s="25" t="s">
        <v>44</v>
      </c>
      <c r="F861" s="23" t="s">
        <v>45</v>
      </c>
      <c r="G861" s="23" t="s">
        <v>203</v>
      </c>
      <c r="H861" s="23">
        <v>4.5</v>
      </c>
      <c r="I861" s="43">
        <v>394</v>
      </c>
      <c r="J861" s="44"/>
      <c r="K861" s="23"/>
      <c r="L861" s="23"/>
      <c r="M861" s="45"/>
      <c r="N861" s="133"/>
      <c r="O861" s="47">
        <f t="shared" si="482"/>
        <v>394</v>
      </c>
      <c r="P861" s="49"/>
      <c r="Q861" s="49"/>
      <c r="R861" s="77">
        <f t="shared" si="483"/>
        <v>263.539272030651</v>
      </c>
      <c r="S861" s="77"/>
      <c r="T861" s="78">
        <f t="shared" si="484"/>
        <v>0.237547892720307</v>
      </c>
      <c r="U861" s="77"/>
      <c r="V861" s="77"/>
      <c r="W861" s="77">
        <f t="shared" si="480"/>
        <v>263.776819923372</v>
      </c>
      <c r="X861" s="79">
        <f t="shared" si="485"/>
        <v>3.97461853978671</v>
      </c>
      <c r="Y861" s="79"/>
      <c r="Z861" s="79"/>
      <c r="AA861" s="79">
        <f t="shared" si="481"/>
        <v>3.97461853978671</v>
      </c>
      <c r="AB861" s="91">
        <v>7.27</v>
      </c>
      <c r="AC861" s="77">
        <f t="shared" si="477"/>
        <v>28.8954767842494</v>
      </c>
      <c r="AD861" s="77">
        <f t="shared" si="478"/>
        <v>292.672296707621</v>
      </c>
      <c r="AE861" s="77">
        <f t="shared" si="479"/>
        <v>101.327703292379</v>
      </c>
    </row>
    <row r="862" customFormat="1" spans="1:31">
      <c r="A862" s="22"/>
      <c r="B862" s="23"/>
      <c r="C862" s="24">
        <v>241217000025</v>
      </c>
      <c r="D862" s="25">
        <v>45658</v>
      </c>
      <c r="E862" s="25" t="s">
        <v>84</v>
      </c>
      <c r="F862" s="23" t="s">
        <v>85</v>
      </c>
      <c r="G862" s="23" t="s">
        <v>114</v>
      </c>
      <c r="H862" s="23">
        <v>51.5</v>
      </c>
      <c r="I862" s="43">
        <v>4258</v>
      </c>
      <c r="J862" s="44"/>
      <c r="K862" s="23"/>
      <c r="L862" s="23"/>
      <c r="M862" s="45"/>
      <c r="N862" s="133"/>
      <c r="O862" s="47">
        <f t="shared" si="482"/>
        <v>4258</v>
      </c>
      <c r="P862" s="49"/>
      <c r="Q862" s="49"/>
      <c r="R862" s="77">
        <f t="shared" si="483"/>
        <v>3016.06055768412</v>
      </c>
      <c r="S862" s="77"/>
      <c r="T862" s="78">
        <f t="shared" si="484"/>
        <v>2.7186036611324</v>
      </c>
      <c r="U862" s="77"/>
      <c r="V862" s="77"/>
      <c r="W862" s="77">
        <f t="shared" si="480"/>
        <v>3018.77916134525</v>
      </c>
      <c r="X862" s="79">
        <f t="shared" si="485"/>
        <v>45.4873010664479</v>
      </c>
      <c r="Y862" s="79"/>
      <c r="Z862" s="79"/>
      <c r="AA862" s="79">
        <f t="shared" si="481"/>
        <v>45.4873010664479</v>
      </c>
      <c r="AB862" s="91">
        <v>7.27</v>
      </c>
      <c r="AC862" s="77">
        <f t="shared" si="477"/>
        <v>330.692678753076</v>
      </c>
      <c r="AD862" s="77">
        <f t="shared" si="478"/>
        <v>3349.47184009833</v>
      </c>
      <c r="AE862" s="77">
        <f t="shared" si="479"/>
        <v>908.52815990167</v>
      </c>
    </row>
    <row r="863" customFormat="1" spans="1:31">
      <c r="A863" s="22"/>
      <c r="B863" s="23"/>
      <c r="C863" s="24">
        <v>241218000026</v>
      </c>
      <c r="D863" s="25">
        <v>45658</v>
      </c>
      <c r="E863" s="25" t="s">
        <v>37</v>
      </c>
      <c r="F863" s="23" t="s">
        <v>38</v>
      </c>
      <c r="G863" s="23" t="s">
        <v>530</v>
      </c>
      <c r="H863" s="23">
        <v>6</v>
      </c>
      <c r="I863" s="43">
        <v>504</v>
      </c>
      <c r="J863" s="44"/>
      <c r="K863" s="23"/>
      <c r="L863" s="23"/>
      <c r="M863" s="45"/>
      <c r="N863" s="133"/>
      <c r="O863" s="47">
        <f t="shared" si="482"/>
        <v>504</v>
      </c>
      <c r="P863" s="49"/>
      <c r="Q863" s="49"/>
      <c r="R863" s="77">
        <f t="shared" si="483"/>
        <v>351.385696040868</v>
      </c>
      <c r="S863" s="77"/>
      <c r="T863" s="78">
        <f t="shared" si="484"/>
        <v>0.316730523627075</v>
      </c>
      <c r="U863" s="77"/>
      <c r="V863" s="77"/>
      <c r="W863" s="77">
        <f t="shared" si="480"/>
        <v>351.702426564496</v>
      </c>
      <c r="X863" s="79">
        <f t="shared" si="485"/>
        <v>5.29949138638228</v>
      </c>
      <c r="Y863" s="79"/>
      <c r="Z863" s="79"/>
      <c r="AA863" s="79">
        <f t="shared" si="481"/>
        <v>5.29949138638228</v>
      </c>
      <c r="AB863" s="91">
        <v>7.27</v>
      </c>
      <c r="AC863" s="77">
        <f t="shared" si="477"/>
        <v>38.5273023789992</v>
      </c>
      <c r="AD863" s="77">
        <f t="shared" si="478"/>
        <v>390.229728943495</v>
      </c>
      <c r="AE863" s="77">
        <f t="shared" si="479"/>
        <v>113.770271056505</v>
      </c>
    </row>
    <row r="864" customFormat="1" spans="1:31">
      <c r="A864" s="22"/>
      <c r="B864" s="23"/>
      <c r="C864" s="24">
        <v>241218000027</v>
      </c>
      <c r="D864" s="25">
        <v>45658</v>
      </c>
      <c r="E864" s="25" t="s">
        <v>37</v>
      </c>
      <c r="F864" s="23" t="s">
        <v>38</v>
      </c>
      <c r="G864" s="23" t="s">
        <v>530</v>
      </c>
      <c r="H864" s="23">
        <v>8.5</v>
      </c>
      <c r="I864" s="43">
        <v>782</v>
      </c>
      <c r="J864" s="44"/>
      <c r="K864" s="23"/>
      <c r="L864" s="23"/>
      <c r="M864" s="45"/>
      <c r="N864" s="133"/>
      <c r="O864" s="47">
        <f t="shared" si="482"/>
        <v>782</v>
      </c>
      <c r="P864" s="49"/>
      <c r="Q864" s="49"/>
      <c r="R864" s="77">
        <f t="shared" si="483"/>
        <v>497.796402724564</v>
      </c>
      <c r="S864" s="77"/>
      <c r="T864" s="78">
        <f t="shared" si="484"/>
        <v>0.448701575138357</v>
      </c>
      <c r="U864" s="77"/>
      <c r="V864" s="77"/>
      <c r="W864" s="77">
        <f t="shared" si="480"/>
        <v>498.245104299702</v>
      </c>
      <c r="X864" s="79">
        <f t="shared" si="485"/>
        <v>7.5076127973749</v>
      </c>
      <c r="Y864" s="79"/>
      <c r="Z864" s="79"/>
      <c r="AA864" s="79">
        <f t="shared" si="481"/>
        <v>7.5076127973749</v>
      </c>
      <c r="AB864" s="91">
        <v>7.27</v>
      </c>
      <c r="AC864" s="77">
        <f t="shared" si="477"/>
        <v>54.5803450369155</v>
      </c>
      <c r="AD864" s="77">
        <f t="shared" si="478"/>
        <v>552.825449336617</v>
      </c>
      <c r="AE864" s="77">
        <f t="shared" si="479"/>
        <v>229.174550663383</v>
      </c>
    </row>
    <row r="865" customFormat="1" spans="1:31">
      <c r="A865" s="22"/>
      <c r="B865" s="23"/>
      <c r="C865" s="24">
        <v>241219000018</v>
      </c>
      <c r="D865" s="25">
        <v>45658</v>
      </c>
      <c r="E865" s="25" t="s">
        <v>44</v>
      </c>
      <c r="F865" s="23" t="s">
        <v>45</v>
      </c>
      <c r="G865" s="23" t="s">
        <v>382</v>
      </c>
      <c r="H865" s="23">
        <v>14</v>
      </c>
      <c r="I865" s="43">
        <v>1245</v>
      </c>
      <c r="J865" s="44"/>
      <c r="K865" s="23"/>
      <c r="L865" s="23"/>
      <c r="M865" s="45"/>
      <c r="N865" s="133"/>
      <c r="O865" s="47">
        <f t="shared" si="482"/>
        <v>1245</v>
      </c>
      <c r="P865" s="49"/>
      <c r="Q865" s="49"/>
      <c r="R865" s="77">
        <f t="shared" si="483"/>
        <v>819.899957428693</v>
      </c>
      <c r="S865" s="77"/>
      <c r="T865" s="78">
        <f t="shared" si="484"/>
        <v>0.739037888463176</v>
      </c>
      <c r="U865" s="78">
        <v>55</v>
      </c>
      <c r="V865" s="77"/>
      <c r="W865" s="77">
        <f t="shared" si="480"/>
        <v>875.638995317156</v>
      </c>
      <c r="X865" s="79">
        <f t="shared" si="485"/>
        <v>12.3654799015587</v>
      </c>
      <c r="Y865" s="79"/>
      <c r="Z865" s="79"/>
      <c r="AA865" s="79">
        <f t="shared" si="481"/>
        <v>12.3654799015587</v>
      </c>
      <c r="AB865" s="91">
        <v>7.27</v>
      </c>
      <c r="AC865" s="77">
        <f t="shared" si="477"/>
        <v>89.8970388843314</v>
      </c>
      <c r="AD865" s="77">
        <f t="shared" si="478"/>
        <v>965.536034201488</v>
      </c>
      <c r="AE865" s="77">
        <f t="shared" si="479"/>
        <v>279.463965798512</v>
      </c>
    </row>
    <row r="866" customFormat="1" spans="1:31">
      <c r="A866" s="22"/>
      <c r="B866" s="23"/>
      <c r="C866" s="24">
        <v>241219000023</v>
      </c>
      <c r="D866" s="25">
        <v>45658</v>
      </c>
      <c r="E866" s="25" t="s">
        <v>61</v>
      </c>
      <c r="F866" s="23" t="s">
        <v>62</v>
      </c>
      <c r="G866" s="23" t="s">
        <v>531</v>
      </c>
      <c r="H866" s="23">
        <v>0.5</v>
      </c>
      <c r="I866" s="43">
        <v>91.3</v>
      </c>
      <c r="J866" s="44"/>
      <c r="K866" s="23"/>
      <c r="L866" s="23"/>
      <c r="M866" s="45"/>
      <c r="N866" s="133"/>
      <c r="O866" s="47">
        <f t="shared" si="482"/>
        <v>91.3</v>
      </c>
      <c r="P866" s="49"/>
      <c r="Q866" s="49"/>
      <c r="R866" s="77">
        <f t="shared" si="483"/>
        <v>29.282141336739</v>
      </c>
      <c r="S866" s="77"/>
      <c r="T866" s="78">
        <f t="shared" si="484"/>
        <v>0.0263942103022563</v>
      </c>
      <c r="U866" s="77"/>
      <c r="V866" s="77"/>
      <c r="W866" s="77">
        <f t="shared" si="480"/>
        <v>29.3085355470413</v>
      </c>
      <c r="X866" s="79">
        <f t="shared" si="485"/>
        <v>0.441624282198523</v>
      </c>
      <c r="Y866" s="79"/>
      <c r="Z866" s="79"/>
      <c r="AA866" s="79">
        <f t="shared" si="481"/>
        <v>0.441624282198523</v>
      </c>
      <c r="AB866" s="91">
        <v>7.27</v>
      </c>
      <c r="AC866" s="77">
        <f t="shared" si="477"/>
        <v>3.21060853158326</v>
      </c>
      <c r="AD866" s="77">
        <f t="shared" si="478"/>
        <v>32.5191440786246</v>
      </c>
      <c r="AE866" s="77">
        <f t="shared" si="479"/>
        <v>58.7808559213754</v>
      </c>
    </row>
    <row r="867" customFormat="1" spans="1:31">
      <c r="A867" s="22"/>
      <c r="B867" s="23"/>
      <c r="C867" s="24">
        <v>241219000032</v>
      </c>
      <c r="D867" s="25">
        <v>45658</v>
      </c>
      <c r="E867" s="25" t="s">
        <v>61</v>
      </c>
      <c r="F867" s="23" t="s">
        <v>62</v>
      </c>
      <c r="G867" s="23" t="s">
        <v>532</v>
      </c>
      <c r="H867" s="23">
        <v>11</v>
      </c>
      <c r="I867" s="43">
        <v>1010.9</v>
      </c>
      <c r="J867" s="44"/>
      <c r="K867" s="23"/>
      <c r="L867" s="23"/>
      <c r="M867" s="45"/>
      <c r="N867" s="133"/>
      <c r="O867" s="47">
        <f t="shared" si="482"/>
        <v>1010.9</v>
      </c>
      <c r="P867" s="49"/>
      <c r="Q867" s="49"/>
      <c r="R867" s="77">
        <f t="shared" si="483"/>
        <v>644.207109408259</v>
      </c>
      <c r="S867" s="77"/>
      <c r="T867" s="78">
        <f t="shared" si="484"/>
        <v>0.580672626649638</v>
      </c>
      <c r="U867" s="77"/>
      <c r="V867" s="77"/>
      <c r="W867" s="77">
        <f t="shared" si="480"/>
        <v>644.787782034908</v>
      </c>
      <c r="X867" s="79">
        <f t="shared" si="485"/>
        <v>9.71573420836751</v>
      </c>
      <c r="Y867" s="79"/>
      <c r="Z867" s="79"/>
      <c r="AA867" s="79">
        <f t="shared" si="481"/>
        <v>9.71573420836751</v>
      </c>
      <c r="AB867" s="91">
        <v>7.27</v>
      </c>
      <c r="AC867" s="77">
        <f t="shared" si="477"/>
        <v>70.6333876948318</v>
      </c>
      <c r="AD867" s="77">
        <f t="shared" si="478"/>
        <v>715.42116972974</v>
      </c>
      <c r="AE867" s="77">
        <f t="shared" si="479"/>
        <v>295.47883027026</v>
      </c>
    </row>
    <row r="868" customFormat="1" spans="1:31">
      <c r="A868" s="22"/>
      <c r="B868" s="23"/>
      <c r="C868" s="24">
        <v>241219000036</v>
      </c>
      <c r="D868" s="25">
        <v>45658</v>
      </c>
      <c r="E868" s="25" t="s">
        <v>37</v>
      </c>
      <c r="F868" s="23" t="s">
        <v>38</v>
      </c>
      <c r="G868" s="23" t="s">
        <v>454</v>
      </c>
      <c r="H868" s="23">
        <v>4.5</v>
      </c>
      <c r="I868" s="43">
        <v>442</v>
      </c>
      <c r="J868" s="44"/>
      <c r="K868" s="23"/>
      <c r="L868" s="23"/>
      <c r="M868" s="45"/>
      <c r="N868" s="133"/>
      <c r="O868" s="47">
        <f t="shared" si="482"/>
        <v>442</v>
      </c>
      <c r="P868" s="49"/>
      <c r="Q868" s="49"/>
      <c r="R868" s="77">
        <f t="shared" si="483"/>
        <v>263.539272030651</v>
      </c>
      <c r="S868" s="77"/>
      <c r="T868" s="78">
        <f t="shared" si="484"/>
        <v>0.237547892720307</v>
      </c>
      <c r="U868" s="77"/>
      <c r="V868" s="77"/>
      <c r="W868" s="77">
        <f t="shared" si="480"/>
        <v>263.776819923372</v>
      </c>
      <c r="X868" s="79">
        <f t="shared" si="485"/>
        <v>3.97461853978671</v>
      </c>
      <c r="Y868" s="79"/>
      <c r="Z868" s="79"/>
      <c r="AA868" s="79">
        <f t="shared" si="481"/>
        <v>3.97461853978671</v>
      </c>
      <c r="AB868" s="91">
        <v>7.27</v>
      </c>
      <c r="AC868" s="77">
        <f t="shared" si="477"/>
        <v>28.8954767842494</v>
      </c>
      <c r="AD868" s="77">
        <f t="shared" si="478"/>
        <v>292.672296707621</v>
      </c>
      <c r="AE868" s="77">
        <f t="shared" si="479"/>
        <v>149.327703292379</v>
      </c>
    </row>
    <row r="869" customFormat="1" spans="1:31">
      <c r="A869" s="22"/>
      <c r="B869" s="23"/>
      <c r="C869" s="24">
        <v>241219000038</v>
      </c>
      <c r="D869" s="25">
        <v>45658</v>
      </c>
      <c r="E869" s="25" t="s">
        <v>41</v>
      </c>
      <c r="F869" s="23" t="s">
        <v>42</v>
      </c>
      <c r="G869" s="23" t="s">
        <v>415</v>
      </c>
      <c r="H869" s="23">
        <v>4</v>
      </c>
      <c r="I869" s="43">
        <v>311.3</v>
      </c>
      <c r="J869" s="44"/>
      <c r="K869" s="23"/>
      <c r="L869" s="23"/>
      <c r="M869" s="45"/>
      <c r="N869" s="133"/>
      <c r="O869" s="47">
        <f t="shared" si="482"/>
        <v>311.3</v>
      </c>
      <c r="P869" s="49"/>
      <c r="Q869" s="49"/>
      <c r="R869" s="77">
        <f t="shared" si="483"/>
        <v>234.257130693912</v>
      </c>
      <c r="S869" s="77"/>
      <c r="T869" s="78">
        <f t="shared" si="484"/>
        <v>0.21115368241805</v>
      </c>
      <c r="U869" s="77"/>
      <c r="V869" s="77"/>
      <c r="W869" s="77">
        <f t="shared" si="480"/>
        <v>234.46828437633</v>
      </c>
      <c r="X869" s="79">
        <f t="shared" si="485"/>
        <v>3.53299425758819</v>
      </c>
      <c r="Y869" s="79"/>
      <c r="Z869" s="79"/>
      <c r="AA869" s="79">
        <f t="shared" si="481"/>
        <v>3.53299425758819</v>
      </c>
      <c r="AB869" s="91">
        <v>7.27</v>
      </c>
      <c r="AC869" s="77">
        <f t="shared" si="477"/>
        <v>25.6848682526661</v>
      </c>
      <c r="AD869" s="77">
        <f t="shared" si="478"/>
        <v>260.153152628997</v>
      </c>
      <c r="AE869" s="77">
        <f t="shared" si="479"/>
        <v>51.146847371003</v>
      </c>
    </row>
    <row r="870" customFormat="1" spans="1:31">
      <c r="A870" s="22"/>
      <c r="B870" s="23"/>
      <c r="C870" s="24">
        <v>241220000009</v>
      </c>
      <c r="D870" s="25">
        <v>45658</v>
      </c>
      <c r="E870" s="25" t="s">
        <v>61</v>
      </c>
      <c r="F870" s="23" t="s">
        <v>62</v>
      </c>
      <c r="G870" s="23" t="s">
        <v>533</v>
      </c>
      <c r="H870" s="23">
        <v>0.72</v>
      </c>
      <c r="I870" s="50"/>
      <c r="J870" s="51">
        <v>28533</v>
      </c>
      <c r="K870" s="23"/>
      <c r="L870" s="52">
        <f>SUM(J870/M870)</f>
        <v>1665.67425569177</v>
      </c>
      <c r="M870" s="53">
        <v>17.13</v>
      </c>
      <c r="N870" s="133">
        <v>7.27</v>
      </c>
      <c r="O870" s="47">
        <f>SUM(M870*N870)</f>
        <v>124.5351</v>
      </c>
      <c r="P870" s="49"/>
      <c r="Q870" s="49"/>
      <c r="R870" s="77">
        <f t="shared" si="483"/>
        <v>42.1662835249042</v>
      </c>
      <c r="S870" s="77"/>
      <c r="T870" s="78">
        <f t="shared" si="484"/>
        <v>0.038007662835249</v>
      </c>
      <c r="U870" s="77"/>
      <c r="V870" s="77"/>
      <c r="W870" s="77">
        <f t="shared" si="480"/>
        <v>42.2042911877395</v>
      </c>
      <c r="X870" s="79">
        <f t="shared" si="485"/>
        <v>0.635938966365874</v>
      </c>
      <c r="Y870" s="79"/>
      <c r="Z870" s="79"/>
      <c r="AA870" s="79">
        <f t="shared" si="481"/>
        <v>0.635938966365874</v>
      </c>
      <c r="AB870" s="91">
        <v>7.27</v>
      </c>
      <c r="AC870" s="77">
        <f t="shared" si="477"/>
        <v>4.6232762854799</v>
      </c>
      <c r="AD870" s="77">
        <f t="shared" si="478"/>
        <v>46.8275674732194</v>
      </c>
      <c r="AE870" s="77">
        <f t="shared" si="479"/>
        <v>77.7075325267806</v>
      </c>
    </row>
    <row r="871" customFormat="1" spans="1:31">
      <c r="A871" s="22"/>
      <c r="B871" s="23"/>
      <c r="C871" s="24">
        <v>241220000015</v>
      </c>
      <c r="D871" s="25">
        <v>45658</v>
      </c>
      <c r="E871" s="25" t="s">
        <v>61</v>
      </c>
      <c r="F871" s="23" t="s">
        <v>62</v>
      </c>
      <c r="G871" s="23" t="s">
        <v>534</v>
      </c>
      <c r="H871" s="23">
        <v>2</v>
      </c>
      <c r="I871" s="43">
        <v>193.6</v>
      </c>
      <c r="J871" s="44"/>
      <c r="K871" s="23"/>
      <c r="L871" s="23"/>
      <c r="M871" s="45"/>
      <c r="N871" s="133"/>
      <c r="O871" s="47">
        <f t="shared" ref="O871:O877" si="486">SUM(I871)</f>
        <v>193.6</v>
      </c>
      <c r="P871" s="49"/>
      <c r="Q871" s="49"/>
      <c r="R871" s="77">
        <f t="shared" si="483"/>
        <v>117.128565346956</v>
      </c>
      <c r="S871" s="77"/>
      <c r="T871" s="78">
        <f t="shared" si="484"/>
        <v>0.105576841209025</v>
      </c>
      <c r="U871" s="77"/>
      <c r="V871" s="77"/>
      <c r="W871" s="77">
        <f t="shared" si="480"/>
        <v>117.234142188165</v>
      </c>
      <c r="X871" s="79">
        <f t="shared" si="485"/>
        <v>1.76649712879409</v>
      </c>
      <c r="Y871" s="79"/>
      <c r="Z871" s="79"/>
      <c r="AA871" s="79">
        <f t="shared" si="481"/>
        <v>1.76649712879409</v>
      </c>
      <c r="AB871" s="91">
        <v>7.27</v>
      </c>
      <c r="AC871" s="77">
        <f t="shared" si="477"/>
        <v>12.8424341263331</v>
      </c>
      <c r="AD871" s="77">
        <f t="shared" si="478"/>
        <v>130.076576314498</v>
      </c>
      <c r="AE871" s="77">
        <f t="shared" si="479"/>
        <v>63.5234236855017</v>
      </c>
    </row>
    <row r="872" customFormat="1" spans="1:31">
      <c r="A872" s="22"/>
      <c r="B872" s="23"/>
      <c r="C872" s="24">
        <v>241220000018</v>
      </c>
      <c r="D872" s="25">
        <v>45658</v>
      </c>
      <c r="E872" s="25" t="s">
        <v>44</v>
      </c>
      <c r="F872" s="23" t="s">
        <v>45</v>
      </c>
      <c r="G872" s="23" t="s">
        <v>60</v>
      </c>
      <c r="H872" s="23">
        <v>2</v>
      </c>
      <c r="I872" s="43">
        <v>160</v>
      </c>
      <c r="J872" s="44"/>
      <c r="K872" s="23"/>
      <c r="L872" s="23"/>
      <c r="M872" s="45"/>
      <c r="N872" s="133"/>
      <c r="O872" s="47">
        <f t="shared" si="486"/>
        <v>160</v>
      </c>
      <c r="P872" s="49"/>
      <c r="Q872" s="49"/>
      <c r="R872" s="77">
        <f t="shared" si="483"/>
        <v>117.128565346956</v>
      </c>
      <c r="S872" s="77"/>
      <c r="T872" s="78">
        <f t="shared" si="484"/>
        <v>0.105576841209025</v>
      </c>
      <c r="U872" s="77"/>
      <c r="V872" s="77"/>
      <c r="W872" s="77">
        <f t="shared" si="480"/>
        <v>117.234142188165</v>
      </c>
      <c r="X872" s="79">
        <f t="shared" si="485"/>
        <v>1.76649712879409</v>
      </c>
      <c r="Y872" s="79"/>
      <c r="Z872" s="79"/>
      <c r="AA872" s="79">
        <f t="shared" si="481"/>
        <v>1.76649712879409</v>
      </c>
      <c r="AB872" s="91">
        <v>7.27</v>
      </c>
      <c r="AC872" s="77">
        <f t="shared" si="477"/>
        <v>12.8424341263331</v>
      </c>
      <c r="AD872" s="77">
        <f t="shared" si="478"/>
        <v>130.076576314498</v>
      </c>
      <c r="AE872" s="77">
        <f t="shared" si="479"/>
        <v>29.9234236855017</v>
      </c>
    </row>
    <row r="873" customFormat="1" spans="1:31">
      <c r="A873" s="22"/>
      <c r="B873" s="23"/>
      <c r="C873" s="24">
        <v>241220000048</v>
      </c>
      <c r="D873" s="26">
        <v>45658</v>
      </c>
      <c r="E873" s="25" t="s">
        <v>70</v>
      </c>
      <c r="F873" s="23" t="s">
        <v>70</v>
      </c>
      <c r="G873" s="23" t="s">
        <v>535</v>
      </c>
      <c r="H873" s="23">
        <v>30</v>
      </c>
      <c r="I873" s="43">
        <v>2483.8</v>
      </c>
      <c r="J873" s="44"/>
      <c r="K873" s="23"/>
      <c r="L873" s="23"/>
      <c r="M873" s="45"/>
      <c r="N873" s="133"/>
      <c r="O873" s="47">
        <f t="shared" si="486"/>
        <v>2483.8</v>
      </c>
      <c r="P873" s="49"/>
      <c r="Q873" s="49"/>
      <c r="R873" s="77">
        <f t="shared" si="483"/>
        <v>1756.92848020434</v>
      </c>
      <c r="S873" s="77"/>
      <c r="T873" s="78">
        <f t="shared" si="484"/>
        <v>1.58365261813538</v>
      </c>
      <c r="U873" s="77"/>
      <c r="V873" s="77"/>
      <c r="W873" s="77">
        <f t="shared" si="480"/>
        <v>1758.51213282248</v>
      </c>
      <c r="X873" s="79">
        <f t="shared" si="485"/>
        <v>26.4974569319114</v>
      </c>
      <c r="Y873" s="79"/>
      <c r="Z873" s="79"/>
      <c r="AA873" s="79">
        <f t="shared" si="481"/>
        <v>26.4974569319114</v>
      </c>
      <c r="AB873" s="91">
        <v>7.27</v>
      </c>
      <c r="AC873" s="77">
        <f t="shared" si="477"/>
        <v>192.636511894996</v>
      </c>
      <c r="AD873" s="77">
        <f t="shared" si="478"/>
        <v>1951.14864471747</v>
      </c>
      <c r="AE873" s="77">
        <f t="shared" si="479"/>
        <v>532.651355282527</v>
      </c>
    </row>
    <row r="874" customFormat="1" spans="1:31">
      <c r="A874" s="22"/>
      <c r="B874" s="23"/>
      <c r="C874" s="24">
        <v>241221000003</v>
      </c>
      <c r="D874" s="25">
        <v>45658</v>
      </c>
      <c r="E874" s="25" t="s">
        <v>54</v>
      </c>
      <c r="F874" s="23" t="s">
        <v>55</v>
      </c>
      <c r="G874" s="23" t="s">
        <v>291</v>
      </c>
      <c r="H874" s="23">
        <v>1.5</v>
      </c>
      <c r="I874" s="43">
        <v>145.75</v>
      </c>
      <c r="J874" s="44"/>
      <c r="K874" s="23"/>
      <c r="L874" s="23"/>
      <c r="M874" s="45"/>
      <c r="N874" s="133"/>
      <c r="O874" s="47">
        <f t="shared" si="486"/>
        <v>145.75</v>
      </c>
      <c r="P874" s="49"/>
      <c r="Q874" s="49"/>
      <c r="R874" s="77">
        <f t="shared" si="483"/>
        <v>87.8464240102171</v>
      </c>
      <c r="S874" s="77"/>
      <c r="T874" s="78">
        <f t="shared" si="484"/>
        <v>0.0791826309067688</v>
      </c>
      <c r="U874" s="77"/>
      <c r="V874" s="77"/>
      <c r="W874" s="77">
        <f t="shared" si="480"/>
        <v>87.9256066411239</v>
      </c>
      <c r="X874" s="79">
        <f t="shared" si="485"/>
        <v>1.32487284659557</v>
      </c>
      <c r="Y874" s="79"/>
      <c r="Z874" s="79"/>
      <c r="AA874" s="79">
        <f t="shared" si="481"/>
        <v>1.32487284659557</v>
      </c>
      <c r="AB874" s="91">
        <v>7.27</v>
      </c>
      <c r="AC874" s="77">
        <f t="shared" si="477"/>
        <v>9.63182559474979</v>
      </c>
      <c r="AD874" s="77">
        <f t="shared" si="478"/>
        <v>97.5574322358737</v>
      </c>
      <c r="AE874" s="77">
        <f t="shared" si="479"/>
        <v>48.1925677641263</v>
      </c>
    </row>
    <row r="875" customFormat="1" spans="1:31">
      <c r="A875" s="22"/>
      <c r="B875" s="23"/>
      <c r="C875" s="24">
        <v>241221000008</v>
      </c>
      <c r="D875" s="25">
        <v>45658</v>
      </c>
      <c r="E875" s="25" t="s">
        <v>54</v>
      </c>
      <c r="F875" s="23" t="s">
        <v>55</v>
      </c>
      <c r="G875" s="23" t="s">
        <v>124</v>
      </c>
      <c r="H875" s="23">
        <v>4</v>
      </c>
      <c r="I875" s="43">
        <v>355.3</v>
      </c>
      <c r="J875" s="44"/>
      <c r="K875" s="23"/>
      <c r="L875" s="23"/>
      <c r="M875" s="45"/>
      <c r="N875" s="133"/>
      <c r="O875" s="47">
        <f t="shared" si="486"/>
        <v>355.3</v>
      </c>
      <c r="P875" s="49"/>
      <c r="Q875" s="49"/>
      <c r="R875" s="77">
        <f t="shared" si="483"/>
        <v>234.257130693912</v>
      </c>
      <c r="S875" s="77"/>
      <c r="T875" s="78">
        <f t="shared" si="484"/>
        <v>0.21115368241805</v>
      </c>
      <c r="U875" s="77"/>
      <c r="V875" s="77"/>
      <c r="W875" s="77">
        <f t="shared" si="480"/>
        <v>234.46828437633</v>
      </c>
      <c r="X875" s="79">
        <f t="shared" si="485"/>
        <v>3.53299425758819</v>
      </c>
      <c r="Y875" s="79"/>
      <c r="Z875" s="79"/>
      <c r="AA875" s="79">
        <f t="shared" si="481"/>
        <v>3.53299425758819</v>
      </c>
      <c r="AB875" s="91">
        <v>7.27</v>
      </c>
      <c r="AC875" s="77">
        <f t="shared" si="477"/>
        <v>25.6848682526661</v>
      </c>
      <c r="AD875" s="77">
        <f t="shared" si="478"/>
        <v>260.153152628997</v>
      </c>
      <c r="AE875" s="77">
        <f t="shared" si="479"/>
        <v>95.1468473710035</v>
      </c>
    </row>
    <row r="876" customFormat="1" spans="1:31">
      <c r="A876" s="22"/>
      <c r="B876" s="23"/>
      <c r="C876" s="24">
        <v>241222000002</v>
      </c>
      <c r="D876" s="26">
        <v>45658</v>
      </c>
      <c r="E876" s="25" t="s">
        <v>468</v>
      </c>
      <c r="F876" s="23" t="s">
        <v>469</v>
      </c>
      <c r="G876" s="23" t="s">
        <v>536</v>
      </c>
      <c r="H876" s="23">
        <v>7.5</v>
      </c>
      <c r="I876" s="43">
        <v>933.3</v>
      </c>
      <c r="J876" s="44"/>
      <c r="K876" s="23"/>
      <c r="L876" s="23"/>
      <c r="M876" s="45"/>
      <c r="N876" s="133"/>
      <c r="O876" s="47">
        <f t="shared" si="486"/>
        <v>933.3</v>
      </c>
      <c r="P876" s="49"/>
      <c r="Q876" s="49"/>
      <c r="R876" s="77">
        <f t="shared" si="483"/>
        <v>439.232120051086</v>
      </c>
      <c r="S876" s="77"/>
      <c r="T876" s="78">
        <f t="shared" si="484"/>
        <v>0.395913154533844</v>
      </c>
      <c r="U876" s="77"/>
      <c r="V876" s="77"/>
      <c r="W876" s="77">
        <f t="shared" si="480"/>
        <v>439.628033205619</v>
      </c>
      <c r="X876" s="79">
        <f t="shared" si="485"/>
        <v>6.62436423297785</v>
      </c>
      <c r="Y876" s="79"/>
      <c r="Z876" s="79"/>
      <c r="AA876" s="79">
        <f t="shared" si="481"/>
        <v>6.62436423297785</v>
      </c>
      <c r="AB876" s="91">
        <v>7.27</v>
      </c>
      <c r="AC876" s="77">
        <f t="shared" si="477"/>
        <v>48.159127973749</v>
      </c>
      <c r="AD876" s="77">
        <f t="shared" si="478"/>
        <v>487.787161179368</v>
      </c>
      <c r="AE876" s="77">
        <f t="shared" si="479"/>
        <v>445.512838820632</v>
      </c>
    </row>
    <row r="877" customFormat="1" spans="1:31">
      <c r="A877" s="22"/>
      <c r="B877" s="23"/>
      <c r="C877" s="24">
        <v>241222000004</v>
      </c>
      <c r="D877" s="25">
        <v>45658</v>
      </c>
      <c r="E877" s="25" t="s">
        <v>61</v>
      </c>
      <c r="F877" s="23" t="s">
        <v>62</v>
      </c>
      <c r="G877" s="23" t="s">
        <v>537</v>
      </c>
      <c r="H877" s="23">
        <v>8</v>
      </c>
      <c r="I877" s="43">
        <v>730</v>
      </c>
      <c r="J877" s="44"/>
      <c r="K877" s="23"/>
      <c r="L877" s="23"/>
      <c r="M877" s="45"/>
      <c r="N877" s="133"/>
      <c r="O877" s="47">
        <f t="shared" si="486"/>
        <v>730</v>
      </c>
      <c r="P877" s="49"/>
      <c r="Q877" s="49"/>
      <c r="R877" s="77">
        <f t="shared" si="483"/>
        <v>468.514261387825</v>
      </c>
      <c r="S877" s="77"/>
      <c r="T877" s="78">
        <f t="shared" si="484"/>
        <v>0.4223073648361</v>
      </c>
      <c r="U877" s="77"/>
      <c r="V877" s="77"/>
      <c r="W877" s="77">
        <f t="shared" si="480"/>
        <v>468.936568752661</v>
      </c>
      <c r="X877" s="79">
        <f t="shared" si="485"/>
        <v>7.06598851517637</v>
      </c>
      <c r="Y877" s="79"/>
      <c r="Z877" s="79"/>
      <c r="AA877" s="79">
        <f t="shared" si="481"/>
        <v>7.06598851517637</v>
      </c>
      <c r="AB877" s="91">
        <v>7.27</v>
      </c>
      <c r="AC877" s="77">
        <f t="shared" si="477"/>
        <v>51.3697365053322</v>
      </c>
      <c r="AD877" s="77">
        <f t="shared" si="478"/>
        <v>520.306305257993</v>
      </c>
      <c r="AE877" s="77">
        <f t="shared" si="479"/>
        <v>209.693694742007</v>
      </c>
    </row>
    <row r="878" customFormat="1" spans="1:31">
      <c r="A878" s="22"/>
      <c r="B878" s="23"/>
      <c r="C878" s="24">
        <v>241223000010</v>
      </c>
      <c r="D878" s="25">
        <v>45658</v>
      </c>
      <c r="E878" s="25" t="s">
        <v>44</v>
      </c>
      <c r="F878" s="23" t="s">
        <v>45</v>
      </c>
      <c r="G878" s="23" t="s">
        <v>307</v>
      </c>
      <c r="H878" s="23">
        <v>35.5</v>
      </c>
      <c r="I878" s="96"/>
      <c r="J878" s="51">
        <v>569704</v>
      </c>
      <c r="K878" s="23"/>
      <c r="L878" s="52">
        <f>SUM(J878/M878)</f>
        <v>1715.76918443561</v>
      </c>
      <c r="M878" s="53">
        <v>332.04</v>
      </c>
      <c r="N878" s="57">
        <v>7.27</v>
      </c>
      <c r="O878" s="47">
        <f>SUM(M878*N878)</f>
        <v>2413.9308</v>
      </c>
      <c r="P878" s="49"/>
      <c r="Q878" s="49"/>
      <c r="R878" s="77">
        <f t="shared" si="483"/>
        <v>2079.03203490847</v>
      </c>
      <c r="S878" s="77"/>
      <c r="T878" s="78">
        <f t="shared" si="484"/>
        <v>1.8739889314602</v>
      </c>
      <c r="U878" s="77"/>
      <c r="V878" s="77"/>
      <c r="W878" s="77">
        <f t="shared" si="480"/>
        <v>2080.90602383993</v>
      </c>
      <c r="X878" s="79">
        <f t="shared" si="485"/>
        <v>31.3553240360952</v>
      </c>
      <c r="Y878" s="79"/>
      <c r="Z878" s="79"/>
      <c r="AA878" s="79">
        <f t="shared" si="481"/>
        <v>31.3553240360952</v>
      </c>
      <c r="AB878" s="91">
        <v>7.27</v>
      </c>
      <c r="AC878" s="77">
        <f t="shared" si="477"/>
        <v>227.953205742412</v>
      </c>
      <c r="AD878" s="77">
        <f t="shared" si="478"/>
        <v>2308.85922958234</v>
      </c>
      <c r="AE878" s="77">
        <f t="shared" si="479"/>
        <v>105.071570417656</v>
      </c>
    </row>
    <row r="879" customFormat="1" spans="1:31">
      <c r="A879" s="22"/>
      <c r="B879" s="23"/>
      <c r="C879" s="24">
        <v>241223000021</v>
      </c>
      <c r="D879" s="25">
        <v>45658</v>
      </c>
      <c r="E879" s="25" t="s">
        <v>44</v>
      </c>
      <c r="F879" s="23" t="s">
        <v>45</v>
      </c>
      <c r="G879" s="23" t="s">
        <v>538</v>
      </c>
      <c r="H879" s="23">
        <v>5.5</v>
      </c>
      <c r="I879" s="43">
        <v>518.8</v>
      </c>
      <c r="J879" s="44"/>
      <c r="K879" s="23"/>
      <c r="L879" s="23"/>
      <c r="M879" s="45"/>
      <c r="N879" s="133"/>
      <c r="O879" s="47">
        <f>SUM(I879)</f>
        <v>518.8</v>
      </c>
      <c r="P879" s="49"/>
      <c r="Q879" s="49"/>
      <c r="R879" s="77">
        <f t="shared" si="483"/>
        <v>322.103554704129</v>
      </c>
      <c r="S879" s="77"/>
      <c r="T879" s="78">
        <f t="shared" si="484"/>
        <v>0.290336313324819</v>
      </c>
      <c r="U879" s="77"/>
      <c r="V879" s="77"/>
      <c r="W879" s="77">
        <f t="shared" si="480"/>
        <v>322.393891017454</v>
      </c>
      <c r="X879" s="79">
        <f t="shared" si="485"/>
        <v>4.85786710418376</v>
      </c>
      <c r="Y879" s="79"/>
      <c r="Z879" s="79"/>
      <c r="AA879" s="79">
        <f t="shared" si="481"/>
        <v>4.85786710418376</v>
      </c>
      <c r="AB879" s="91">
        <v>7.27</v>
      </c>
      <c r="AC879" s="77">
        <f t="shared" si="477"/>
        <v>35.3166938474159</v>
      </c>
      <c r="AD879" s="77">
        <f t="shared" si="478"/>
        <v>357.71058486487</v>
      </c>
      <c r="AE879" s="77">
        <f t="shared" si="479"/>
        <v>161.08941513513</v>
      </c>
    </row>
    <row r="880" customFormat="1" spans="1:31">
      <c r="A880" s="22"/>
      <c r="B880" s="23"/>
      <c r="C880" s="92">
        <v>241223000027</v>
      </c>
      <c r="D880" s="94">
        <v>45658</v>
      </c>
      <c r="E880" s="25" t="s">
        <v>44</v>
      </c>
      <c r="F880" s="95" t="s">
        <v>45</v>
      </c>
      <c r="G880" s="95" t="s">
        <v>539</v>
      </c>
      <c r="H880" s="95">
        <v>9</v>
      </c>
      <c r="I880" s="43">
        <v>793.9</v>
      </c>
      <c r="J880" s="44"/>
      <c r="K880" s="23"/>
      <c r="L880" s="23"/>
      <c r="M880" s="45"/>
      <c r="N880" s="133"/>
      <c r="O880" s="47">
        <f>SUM(I880)</f>
        <v>793.9</v>
      </c>
      <c r="P880" s="49"/>
      <c r="Q880" s="49"/>
      <c r="R880" s="77">
        <f t="shared" si="483"/>
        <v>527.078544061303</v>
      </c>
      <c r="S880" s="77"/>
      <c r="T880" s="78">
        <f t="shared" si="484"/>
        <v>0.475095785440613</v>
      </c>
      <c r="U880" s="77"/>
      <c r="V880" s="77"/>
      <c r="W880" s="77">
        <f t="shared" si="480"/>
        <v>527.553639846743</v>
      </c>
      <c r="X880" s="79">
        <f t="shared" si="485"/>
        <v>7.94923707957342</v>
      </c>
      <c r="Y880" s="79"/>
      <c r="Z880" s="79"/>
      <c r="AA880" s="79">
        <f t="shared" si="481"/>
        <v>7.94923707957342</v>
      </c>
      <c r="AB880" s="91">
        <v>7.27</v>
      </c>
      <c r="AC880" s="77">
        <f t="shared" si="477"/>
        <v>57.7909535684988</v>
      </c>
      <c r="AD880" s="77">
        <f t="shared" si="478"/>
        <v>585.344593415242</v>
      </c>
      <c r="AE880" s="77">
        <f t="shared" si="479"/>
        <v>208.555406584758</v>
      </c>
    </row>
    <row r="881" customFormat="1" spans="1:31">
      <c r="A881" s="22"/>
      <c r="B881" s="23"/>
      <c r="C881" s="24">
        <v>241223000029</v>
      </c>
      <c r="D881" s="25">
        <v>45658</v>
      </c>
      <c r="E881" s="25" t="s">
        <v>37</v>
      </c>
      <c r="F881" s="23" t="s">
        <v>38</v>
      </c>
      <c r="G881" s="23" t="s">
        <v>540</v>
      </c>
      <c r="H881" s="23">
        <v>14.62</v>
      </c>
      <c r="I881" s="47"/>
      <c r="J881" s="51">
        <v>298318</v>
      </c>
      <c r="K881" s="23"/>
      <c r="L881" s="52">
        <f>SUM(J881/M881)</f>
        <v>1664.99934922156</v>
      </c>
      <c r="M881" s="53">
        <v>179.17004</v>
      </c>
      <c r="N881" s="133">
        <v>7.27</v>
      </c>
      <c r="O881" s="47">
        <f>SUM(M881*N881)</f>
        <v>1302.5661908</v>
      </c>
      <c r="P881" s="49"/>
      <c r="Q881" s="49"/>
      <c r="R881" s="77">
        <f t="shared" si="483"/>
        <v>856.209812686249</v>
      </c>
      <c r="S881" s="77"/>
      <c r="T881" s="78">
        <f t="shared" si="484"/>
        <v>0.771766709237974</v>
      </c>
      <c r="U881" s="77"/>
      <c r="V881" s="77"/>
      <c r="W881" s="77">
        <f t="shared" si="480"/>
        <v>856.981579395487</v>
      </c>
      <c r="X881" s="79">
        <f t="shared" si="485"/>
        <v>12.9130940114848</v>
      </c>
      <c r="Y881" s="79"/>
      <c r="Z881" s="79"/>
      <c r="AA881" s="79">
        <f t="shared" si="481"/>
        <v>12.9130940114848</v>
      </c>
      <c r="AB881" s="91">
        <v>7.27</v>
      </c>
      <c r="AC881" s="77">
        <f t="shared" si="477"/>
        <v>93.8781934634947</v>
      </c>
      <c r="AD881" s="77">
        <f t="shared" si="478"/>
        <v>950.859772858982</v>
      </c>
      <c r="AE881" s="77">
        <f t="shared" si="479"/>
        <v>351.706417941018</v>
      </c>
    </row>
    <row r="882" customFormat="1" spans="1:31">
      <c r="A882" s="22"/>
      <c r="B882" s="23"/>
      <c r="C882" s="24">
        <v>241223000038</v>
      </c>
      <c r="D882" s="25">
        <v>45658</v>
      </c>
      <c r="E882" s="25" t="s">
        <v>41</v>
      </c>
      <c r="F882" s="23" t="s">
        <v>42</v>
      </c>
      <c r="G882" s="23" t="s">
        <v>496</v>
      </c>
      <c r="H882" s="23">
        <v>19</v>
      </c>
      <c r="I882" s="43">
        <v>1615</v>
      </c>
      <c r="J882" s="44"/>
      <c r="K882" s="23"/>
      <c r="L882" s="23"/>
      <c r="M882" s="45"/>
      <c r="N882" s="133"/>
      <c r="O882" s="47">
        <f t="shared" ref="O882:O888" si="487">SUM(I882)</f>
        <v>1615</v>
      </c>
      <c r="P882" s="49"/>
      <c r="Q882" s="49"/>
      <c r="R882" s="77">
        <f t="shared" si="483"/>
        <v>1112.72137079608</v>
      </c>
      <c r="S882" s="77"/>
      <c r="T882" s="78">
        <f t="shared" si="484"/>
        <v>1.00297999148574</v>
      </c>
      <c r="U882" s="77"/>
      <c r="V882" s="77"/>
      <c r="W882" s="77">
        <f t="shared" si="480"/>
        <v>1113.72435078757</v>
      </c>
      <c r="X882" s="79">
        <f t="shared" si="485"/>
        <v>16.7817227235439</v>
      </c>
      <c r="Y882" s="79"/>
      <c r="Z882" s="79"/>
      <c r="AA882" s="79">
        <f t="shared" si="481"/>
        <v>16.7817227235439</v>
      </c>
      <c r="AB882" s="91">
        <v>7.27</v>
      </c>
      <c r="AC882" s="77">
        <f t="shared" si="477"/>
        <v>122.003124200164</v>
      </c>
      <c r="AD882" s="77">
        <f t="shared" si="478"/>
        <v>1235.72747498773</v>
      </c>
      <c r="AE882" s="77">
        <f t="shared" si="479"/>
        <v>379.272525012267</v>
      </c>
    </row>
    <row r="883" customFormat="1" spans="1:31">
      <c r="A883" s="22"/>
      <c r="B883" s="23"/>
      <c r="C883" s="24">
        <v>241223000045</v>
      </c>
      <c r="D883" s="25">
        <v>45658</v>
      </c>
      <c r="E883" s="25" t="s">
        <v>37</v>
      </c>
      <c r="F883" s="23" t="s">
        <v>38</v>
      </c>
      <c r="G883" s="23" t="s">
        <v>541</v>
      </c>
      <c r="H883" s="23">
        <v>7</v>
      </c>
      <c r="I883" s="43">
        <v>680</v>
      </c>
      <c r="J883" s="44"/>
      <c r="K883" s="23"/>
      <c r="L883" s="23"/>
      <c r="M883" s="45"/>
      <c r="N883" s="133"/>
      <c r="O883" s="47">
        <f t="shared" si="487"/>
        <v>680</v>
      </c>
      <c r="P883" s="49"/>
      <c r="Q883" s="49"/>
      <c r="R883" s="77">
        <f t="shared" si="483"/>
        <v>409.949978714347</v>
      </c>
      <c r="S883" s="77"/>
      <c r="T883" s="78">
        <f t="shared" si="484"/>
        <v>0.369518944231588</v>
      </c>
      <c r="U883" s="77"/>
      <c r="V883" s="77"/>
      <c r="W883" s="77">
        <f t="shared" si="480"/>
        <v>410.319497658578</v>
      </c>
      <c r="X883" s="79">
        <f t="shared" si="485"/>
        <v>6.18273995077933</v>
      </c>
      <c r="Y883" s="79"/>
      <c r="Z883" s="79"/>
      <c r="AA883" s="79">
        <f t="shared" si="481"/>
        <v>6.18273995077933</v>
      </c>
      <c r="AB883" s="91">
        <v>7.27</v>
      </c>
      <c r="AC883" s="77">
        <f t="shared" si="477"/>
        <v>44.9485194421657</v>
      </c>
      <c r="AD883" s="77">
        <f t="shared" si="478"/>
        <v>455.268017100744</v>
      </c>
      <c r="AE883" s="77">
        <f t="shared" si="479"/>
        <v>224.731982899256</v>
      </c>
    </row>
    <row r="884" customFormat="1" spans="1:31">
      <c r="A884" s="22"/>
      <c r="B884" s="23"/>
      <c r="C884" s="24">
        <v>241223000047</v>
      </c>
      <c r="D884" s="25">
        <v>45658</v>
      </c>
      <c r="E884" s="25" t="s">
        <v>61</v>
      </c>
      <c r="F884" s="23" t="s">
        <v>62</v>
      </c>
      <c r="G884" s="23" t="s">
        <v>542</v>
      </c>
      <c r="H884" s="23">
        <v>9.5</v>
      </c>
      <c r="I884" s="43">
        <v>874</v>
      </c>
      <c r="J884" s="44"/>
      <c r="K884" s="23"/>
      <c r="L884" s="23"/>
      <c r="M884" s="45"/>
      <c r="N884" s="133"/>
      <c r="O884" s="47">
        <f t="shared" si="487"/>
        <v>874</v>
      </c>
      <c r="P884" s="49"/>
      <c r="Q884" s="49"/>
      <c r="R884" s="77">
        <f t="shared" si="483"/>
        <v>556.360685398042</v>
      </c>
      <c r="S884" s="77"/>
      <c r="T884" s="78">
        <f t="shared" si="484"/>
        <v>0.501489995742869</v>
      </c>
      <c r="U884" s="77"/>
      <c r="V884" s="77"/>
      <c r="W884" s="77">
        <f t="shared" si="480"/>
        <v>556.862175393785</v>
      </c>
      <c r="X884" s="79">
        <f t="shared" si="485"/>
        <v>8.39086136177194</v>
      </c>
      <c r="Y884" s="79"/>
      <c r="Z884" s="79"/>
      <c r="AA884" s="79">
        <f t="shared" si="481"/>
        <v>8.39086136177194</v>
      </c>
      <c r="AB884" s="91">
        <v>7.27</v>
      </c>
      <c r="AC884" s="77">
        <f t="shared" si="477"/>
        <v>61.001562100082</v>
      </c>
      <c r="AD884" s="77">
        <f t="shared" si="478"/>
        <v>617.863737493867</v>
      </c>
      <c r="AE884" s="77">
        <f t="shared" si="479"/>
        <v>256.136262506133</v>
      </c>
    </row>
    <row r="885" customFormat="1" spans="1:31">
      <c r="A885" s="22"/>
      <c r="B885" s="23"/>
      <c r="C885" s="24">
        <v>241223000064</v>
      </c>
      <c r="D885" s="25">
        <v>45658</v>
      </c>
      <c r="E885" s="25" t="s">
        <v>61</v>
      </c>
      <c r="F885" s="23" t="s">
        <v>62</v>
      </c>
      <c r="G885" s="23" t="s">
        <v>543</v>
      </c>
      <c r="H885" s="23">
        <v>2</v>
      </c>
      <c r="I885" s="43">
        <v>294.3</v>
      </c>
      <c r="J885" s="44"/>
      <c r="K885" s="23"/>
      <c r="L885" s="23"/>
      <c r="M885" s="45"/>
      <c r="N885" s="133"/>
      <c r="O885" s="47">
        <f t="shared" si="487"/>
        <v>294.3</v>
      </c>
      <c r="P885" s="49"/>
      <c r="Q885" s="49"/>
      <c r="R885" s="77">
        <f t="shared" si="483"/>
        <v>117.128565346956</v>
      </c>
      <c r="S885" s="77"/>
      <c r="T885" s="78">
        <f t="shared" si="484"/>
        <v>0.105576841209025</v>
      </c>
      <c r="U885" s="77"/>
      <c r="V885" s="77"/>
      <c r="W885" s="77">
        <f t="shared" si="480"/>
        <v>117.234142188165</v>
      </c>
      <c r="X885" s="79">
        <f t="shared" si="485"/>
        <v>1.76649712879409</v>
      </c>
      <c r="Y885" s="79">
        <v>15.81</v>
      </c>
      <c r="Z885" s="79"/>
      <c r="AA885" s="79">
        <f t="shared" si="481"/>
        <v>17.5764971287941</v>
      </c>
      <c r="AB885" s="91">
        <v>7.27</v>
      </c>
      <c r="AC885" s="77">
        <f t="shared" si="477"/>
        <v>127.781134126333</v>
      </c>
      <c r="AD885" s="77">
        <f t="shared" si="478"/>
        <v>245.015276314498</v>
      </c>
      <c r="AE885" s="77">
        <f t="shared" si="479"/>
        <v>49.2847236855018</v>
      </c>
    </row>
    <row r="886" customFormat="1" spans="1:31">
      <c r="A886" s="22"/>
      <c r="B886" s="23"/>
      <c r="C886" s="24">
        <v>241224000007</v>
      </c>
      <c r="D886" s="25">
        <v>45658</v>
      </c>
      <c r="E886" s="25" t="s">
        <v>37</v>
      </c>
      <c r="F886" s="23" t="s">
        <v>38</v>
      </c>
      <c r="G886" s="23" t="s">
        <v>516</v>
      </c>
      <c r="H886" s="23">
        <v>0.36</v>
      </c>
      <c r="I886" s="43">
        <v>150.7</v>
      </c>
      <c r="J886" s="44"/>
      <c r="K886" s="23"/>
      <c r="L886" s="23"/>
      <c r="M886" s="45"/>
      <c r="N886" s="133"/>
      <c r="O886" s="47">
        <f t="shared" si="487"/>
        <v>150.7</v>
      </c>
      <c r="P886" s="49"/>
      <c r="Q886" s="49"/>
      <c r="R886" s="77">
        <f t="shared" si="483"/>
        <v>21.0831417624521</v>
      </c>
      <c r="S886" s="77"/>
      <c r="T886" s="78">
        <f t="shared" si="484"/>
        <v>0.0190038314176245</v>
      </c>
      <c r="U886" s="77"/>
      <c r="V886" s="77"/>
      <c r="W886" s="77">
        <f t="shared" si="480"/>
        <v>21.1021455938697</v>
      </c>
      <c r="X886" s="79">
        <f t="shared" si="485"/>
        <v>0.317969483182937</v>
      </c>
      <c r="Y886" s="79">
        <v>7.56</v>
      </c>
      <c r="Z886" s="79"/>
      <c r="AA886" s="79">
        <f t="shared" si="481"/>
        <v>7.87796948318294</v>
      </c>
      <c r="AB886" s="91">
        <v>7.27</v>
      </c>
      <c r="AC886" s="77">
        <f t="shared" si="477"/>
        <v>57.2728381427399</v>
      </c>
      <c r="AD886" s="77">
        <f t="shared" si="478"/>
        <v>78.3749837366097</v>
      </c>
      <c r="AE886" s="77">
        <f t="shared" si="479"/>
        <v>72.3250162633903</v>
      </c>
    </row>
    <row r="887" customFormat="1" spans="1:31">
      <c r="A887" s="22"/>
      <c r="B887" s="23"/>
      <c r="C887" s="24">
        <v>241224000015</v>
      </c>
      <c r="D887" s="25">
        <v>45658</v>
      </c>
      <c r="E887" s="25" t="s">
        <v>54</v>
      </c>
      <c r="F887" s="23" t="s">
        <v>55</v>
      </c>
      <c r="G887" s="23" t="s">
        <v>473</v>
      </c>
      <c r="H887" s="23">
        <v>2.5</v>
      </c>
      <c r="I887" s="43">
        <v>324</v>
      </c>
      <c r="J887" s="44"/>
      <c r="K887" s="23"/>
      <c r="L887" s="23"/>
      <c r="M887" s="45"/>
      <c r="N887" s="133"/>
      <c r="O887" s="47">
        <f t="shared" si="487"/>
        <v>324</v>
      </c>
      <c r="P887" s="49"/>
      <c r="Q887" s="49"/>
      <c r="R887" s="77">
        <f t="shared" si="483"/>
        <v>146.410706683695</v>
      </c>
      <c r="S887" s="77"/>
      <c r="T887" s="78">
        <f t="shared" si="484"/>
        <v>0.131971051511281</v>
      </c>
      <c r="U887" s="77"/>
      <c r="V887" s="77"/>
      <c r="W887" s="77">
        <f t="shared" si="480"/>
        <v>146.542677735206</v>
      </c>
      <c r="X887" s="79">
        <f t="shared" si="485"/>
        <v>2.20812141099262</v>
      </c>
      <c r="Y887" s="79"/>
      <c r="Z887" s="79"/>
      <c r="AA887" s="79">
        <f t="shared" si="481"/>
        <v>2.20812141099262</v>
      </c>
      <c r="AB887" s="91">
        <v>7.27</v>
      </c>
      <c r="AC887" s="77">
        <f t="shared" si="477"/>
        <v>16.0530426579163</v>
      </c>
      <c r="AD887" s="77">
        <f t="shared" si="478"/>
        <v>162.595720393123</v>
      </c>
      <c r="AE887" s="77">
        <f t="shared" si="479"/>
        <v>161.404279606877</v>
      </c>
    </row>
    <row r="888" customFormat="1" spans="1:31">
      <c r="A888" s="22"/>
      <c r="B888" s="23"/>
      <c r="C888" s="24">
        <v>241224000017</v>
      </c>
      <c r="D888" s="26">
        <v>45658</v>
      </c>
      <c r="E888" s="25" t="s">
        <v>143</v>
      </c>
      <c r="F888" s="23" t="s">
        <v>144</v>
      </c>
      <c r="G888" s="23" t="s">
        <v>214</v>
      </c>
      <c r="H888" s="23">
        <v>193.5</v>
      </c>
      <c r="I888" s="43">
        <v>16204</v>
      </c>
      <c r="J888" s="44"/>
      <c r="K888" s="23"/>
      <c r="L888" s="23"/>
      <c r="M888" s="45"/>
      <c r="N888" s="133"/>
      <c r="O888" s="47">
        <f t="shared" si="487"/>
        <v>16204</v>
      </c>
      <c r="P888" s="49"/>
      <c r="Q888" s="49"/>
      <c r="R888" s="77">
        <f t="shared" si="483"/>
        <v>11332.188697318</v>
      </c>
      <c r="S888" s="77"/>
      <c r="T888" s="78">
        <f t="shared" si="484"/>
        <v>10.2145593869732</v>
      </c>
      <c r="U888" s="77"/>
      <c r="V888" s="77"/>
      <c r="W888" s="77">
        <f t="shared" si="480"/>
        <v>11342.403256705</v>
      </c>
      <c r="X888" s="79">
        <f t="shared" si="485"/>
        <v>170.908597210829</v>
      </c>
      <c r="Y888" s="79"/>
      <c r="Z888" s="79"/>
      <c r="AA888" s="79">
        <f t="shared" si="481"/>
        <v>170.908597210829</v>
      </c>
      <c r="AB888" s="91">
        <v>7.27</v>
      </c>
      <c r="AC888" s="77">
        <f t="shared" si="477"/>
        <v>1242.50550172272</v>
      </c>
      <c r="AD888" s="77">
        <f t="shared" si="478"/>
        <v>12584.9087584277</v>
      </c>
      <c r="AE888" s="77">
        <f t="shared" si="479"/>
        <v>3619.09124157229</v>
      </c>
    </row>
    <row r="889" customFormat="1" spans="1:31">
      <c r="A889" s="22"/>
      <c r="B889" s="23"/>
      <c r="C889" s="24">
        <v>241224000030</v>
      </c>
      <c r="D889" s="25">
        <v>45658</v>
      </c>
      <c r="E889" s="25" t="s">
        <v>54</v>
      </c>
      <c r="F889" s="23" t="s">
        <v>55</v>
      </c>
      <c r="G889" s="23" t="s">
        <v>544</v>
      </c>
      <c r="H889" s="23">
        <v>9</v>
      </c>
      <c r="I889" s="43">
        <v>828</v>
      </c>
      <c r="J889" s="44"/>
      <c r="K889" s="23"/>
      <c r="L889" s="23"/>
      <c r="M889" s="45"/>
      <c r="N889" s="133"/>
      <c r="O889" s="47">
        <f t="shared" ref="O889:O900" si="488">SUM(I889)</f>
        <v>828</v>
      </c>
      <c r="P889" s="49"/>
      <c r="Q889" s="49"/>
      <c r="R889" s="77">
        <f t="shared" si="483"/>
        <v>527.078544061303</v>
      </c>
      <c r="S889" s="77"/>
      <c r="T889" s="78">
        <f t="shared" si="484"/>
        <v>0.475095785440613</v>
      </c>
      <c r="U889" s="77"/>
      <c r="V889" s="78">
        <v>23.61</v>
      </c>
      <c r="W889" s="77">
        <f t="shared" ref="W889:W911" si="489">SUM(R889:V889)</f>
        <v>551.163639846743</v>
      </c>
      <c r="X889" s="79">
        <f t="shared" si="485"/>
        <v>7.94923707957342</v>
      </c>
      <c r="Y889" s="79"/>
      <c r="Z889" s="79"/>
      <c r="AA889" s="79">
        <f t="shared" ref="AA889:AA911" si="490">SUM(X889:Z889)</f>
        <v>7.94923707957342</v>
      </c>
      <c r="AB889" s="91">
        <v>7.27</v>
      </c>
      <c r="AC889" s="77">
        <f t="shared" ref="AC889:AC911" si="491">SUM(AA889*AB889)</f>
        <v>57.7909535684988</v>
      </c>
      <c r="AD889" s="77">
        <f t="shared" ref="AD889:AD911" si="492">SUM(W889+AC889)</f>
        <v>608.954593415242</v>
      </c>
      <c r="AE889" s="77">
        <f t="shared" ref="AE889:AE911" si="493">SUM(O889-AD889)</f>
        <v>219.045406584758</v>
      </c>
    </row>
    <row r="890" customFormat="1" spans="1:31">
      <c r="A890" s="22"/>
      <c r="B890" s="23"/>
      <c r="C890" s="24">
        <v>241224000031</v>
      </c>
      <c r="D890" s="25">
        <v>45658</v>
      </c>
      <c r="E890" s="25" t="s">
        <v>44</v>
      </c>
      <c r="F890" s="23" t="s">
        <v>45</v>
      </c>
      <c r="G890" s="23" t="s">
        <v>545</v>
      </c>
      <c r="H890" s="23">
        <v>6.5</v>
      </c>
      <c r="I890" s="43">
        <v>600.6</v>
      </c>
      <c r="J890" s="44"/>
      <c r="K890" s="23"/>
      <c r="L890" s="23"/>
      <c r="M890" s="45"/>
      <c r="N890" s="133"/>
      <c r="O890" s="47">
        <f t="shared" si="488"/>
        <v>600.6</v>
      </c>
      <c r="P890" s="49"/>
      <c r="Q890" s="49"/>
      <c r="R890" s="77">
        <f t="shared" si="483"/>
        <v>380.667837377607</v>
      </c>
      <c r="S890" s="77"/>
      <c r="T890" s="78">
        <f t="shared" si="484"/>
        <v>0.343124733929332</v>
      </c>
      <c r="U890" s="77"/>
      <c r="V890" s="77"/>
      <c r="W890" s="77">
        <f t="shared" si="489"/>
        <v>381.010962111537</v>
      </c>
      <c r="X890" s="79">
        <f t="shared" si="485"/>
        <v>5.7411156685808</v>
      </c>
      <c r="Y890" s="79"/>
      <c r="Z890" s="79"/>
      <c r="AA890" s="79">
        <f t="shared" si="490"/>
        <v>5.7411156685808</v>
      </c>
      <c r="AB890" s="91">
        <v>7.27</v>
      </c>
      <c r="AC890" s="77">
        <f t="shared" si="491"/>
        <v>41.7379109105824</v>
      </c>
      <c r="AD890" s="77">
        <f t="shared" si="492"/>
        <v>422.748873022119</v>
      </c>
      <c r="AE890" s="77">
        <f t="shared" si="493"/>
        <v>177.851126977881</v>
      </c>
    </row>
    <row r="891" customFormat="1" spans="1:31">
      <c r="A891" s="22"/>
      <c r="B891" s="23"/>
      <c r="C891" s="24">
        <v>241224000035</v>
      </c>
      <c r="D891" s="25">
        <v>45658</v>
      </c>
      <c r="E891" s="25" t="s">
        <v>41</v>
      </c>
      <c r="F891" s="23" t="s">
        <v>42</v>
      </c>
      <c r="G891" s="23" t="s">
        <v>365</v>
      </c>
      <c r="H891" s="23">
        <v>1.5</v>
      </c>
      <c r="I891" s="43">
        <v>135</v>
      </c>
      <c r="J891" s="44"/>
      <c r="K891" s="23"/>
      <c r="L891" s="23"/>
      <c r="M891" s="45"/>
      <c r="N891" s="133"/>
      <c r="O891" s="47">
        <f t="shared" si="488"/>
        <v>135</v>
      </c>
      <c r="P891" s="49"/>
      <c r="Q891" s="49"/>
      <c r="R891" s="77">
        <f t="shared" ref="R891:R912" si="494">SUM(137567.5/2349)*H891</f>
        <v>87.8464240102171</v>
      </c>
      <c r="S891" s="77"/>
      <c r="T891" s="78">
        <f t="shared" ref="T891:T912" si="495">SUM(124/2349)*H891</f>
        <v>0.0791826309067688</v>
      </c>
      <c r="U891" s="77"/>
      <c r="V891" s="77"/>
      <c r="W891" s="77">
        <f t="shared" si="489"/>
        <v>87.9256066411239</v>
      </c>
      <c r="X891" s="79">
        <f t="shared" si="485"/>
        <v>1.32487284659557</v>
      </c>
      <c r="Y891" s="79"/>
      <c r="Z891" s="79"/>
      <c r="AA891" s="79">
        <f t="shared" si="490"/>
        <v>1.32487284659557</v>
      </c>
      <c r="AB891" s="91">
        <v>7.27</v>
      </c>
      <c r="AC891" s="77">
        <f t="shared" si="491"/>
        <v>9.63182559474979</v>
      </c>
      <c r="AD891" s="77">
        <f t="shared" si="492"/>
        <v>97.5574322358737</v>
      </c>
      <c r="AE891" s="77">
        <f t="shared" si="493"/>
        <v>37.4425677641263</v>
      </c>
    </row>
    <row r="892" customFormat="1" spans="1:31">
      <c r="A892" s="22"/>
      <c r="B892" s="23"/>
      <c r="C892" s="24">
        <v>241224000036</v>
      </c>
      <c r="D892" s="26">
        <v>45658</v>
      </c>
      <c r="E892" s="25" t="s">
        <v>70</v>
      </c>
      <c r="F892" s="23" t="s">
        <v>70</v>
      </c>
      <c r="G892" s="23" t="s">
        <v>546</v>
      </c>
      <c r="H892" s="23">
        <v>7</v>
      </c>
      <c r="I892" s="43">
        <v>723.8</v>
      </c>
      <c r="J892" s="44"/>
      <c r="K892" s="23"/>
      <c r="L892" s="23"/>
      <c r="M892" s="45"/>
      <c r="N892" s="133"/>
      <c r="O892" s="47">
        <f t="shared" si="488"/>
        <v>723.8</v>
      </c>
      <c r="P892" s="49"/>
      <c r="Q892" s="49"/>
      <c r="R892" s="77">
        <f t="shared" si="494"/>
        <v>409.949978714347</v>
      </c>
      <c r="S892" s="77"/>
      <c r="T892" s="78">
        <f t="shared" si="495"/>
        <v>0.369518944231588</v>
      </c>
      <c r="U892" s="77"/>
      <c r="V892" s="77"/>
      <c r="W892" s="77">
        <f t="shared" si="489"/>
        <v>410.319497658578</v>
      </c>
      <c r="X892" s="79">
        <f t="shared" ref="X892:X911" si="496">SUM(1076.68/1219)*H892</f>
        <v>6.18273995077933</v>
      </c>
      <c r="Y892" s="79"/>
      <c r="Z892" s="79"/>
      <c r="AA892" s="79">
        <f t="shared" si="490"/>
        <v>6.18273995077933</v>
      </c>
      <c r="AB892" s="91">
        <v>7.27</v>
      </c>
      <c r="AC892" s="77">
        <f t="shared" si="491"/>
        <v>44.9485194421657</v>
      </c>
      <c r="AD892" s="77">
        <f t="shared" si="492"/>
        <v>455.268017100744</v>
      </c>
      <c r="AE892" s="77">
        <f t="shared" si="493"/>
        <v>268.531982899256</v>
      </c>
    </row>
    <row r="893" customFormat="1" spans="1:31">
      <c r="A893" s="22"/>
      <c r="B893" s="23"/>
      <c r="C893" s="24">
        <v>241224000038</v>
      </c>
      <c r="D893" s="25">
        <v>45658</v>
      </c>
      <c r="E893" s="25" t="s">
        <v>61</v>
      </c>
      <c r="F893" s="23" t="s">
        <v>62</v>
      </c>
      <c r="G893" s="23" t="s">
        <v>525</v>
      </c>
      <c r="H893" s="23">
        <v>12.5</v>
      </c>
      <c r="I893" s="43">
        <v>962.5</v>
      </c>
      <c r="J893" s="44"/>
      <c r="K893" s="23"/>
      <c r="L893" s="23"/>
      <c r="M893" s="45"/>
      <c r="N893" s="133"/>
      <c r="O893" s="47">
        <f t="shared" si="488"/>
        <v>962.5</v>
      </c>
      <c r="P893" s="49"/>
      <c r="Q893" s="49"/>
      <c r="R893" s="77">
        <f t="shared" si="494"/>
        <v>732.053533418476</v>
      </c>
      <c r="S893" s="77"/>
      <c r="T893" s="78">
        <f t="shared" si="495"/>
        <v>0.659855257556407</v>
      </c>
      <c r="U893" s="77"/>
      <c r="V893" s="77"/>
      <c r="W893" s="77">
        <f t="shared" si="489"/>
        <v>732.713388676032</v>
      </c>
      <c r="X893" s="79">
        <f t="shared" si="496"/>
        <v>11.0406070549631</v>
      </c>
      <c r="Y893" s="79"/>
      <c r="Z893" s="79"/>
      <c r="AA893" s="79">
        <f t="shared" si="490"/>
        <v>11.0406070549631</v>
      </c>
      <c r="AB893" s="91">
        <v>7.27</v>
      </c>
      <c r="AC893" s="77">
        <f t="shared" si="491"/>
        <v>80.2652132895816</v>
      </c>
      <c r="AD893" s="77">
        <f t="shared" si="492"/>
        <v>812.978601965614</v>
      </c>
      <c r="AE893" s="77">
        <f t="shared" si="493"/>
        <v>149.521398034386</v>
      </c>
    </row>
    <row r="894" customFormat="1" spans="1:31">
      <c r="A894" s="22"/>
      <c r="B894" s="23"/>
      <c r="C894" s="24">
        <v>241224000048</v>
      </c>
      <c r="D894" s="25">
        <v>45658</v>
      </c>
      <c r="E894" s="25" t="s">
        <v>61</v>
      </c>
      <c r="F894" s="23" t="s">
        <v>62</v>
      </c>
      <c r="G894" s="23" t="s">
        <v>479</v>
      </c>
      <c r="H894" s="23">
        <v>14</v>
      </c>
      <c r="I894" s="43">
        <v>1130.8</v>
      </c>
      <c r="J894" s="44"/>
      <c r="K894" s="23"/>
      <c r="L894" s="23"/>
      <c r="M894" s="45"/>
      <c r="N894" s="133"/>
      <c r="O894" s="47">
        <f t="shared" si="488"/>
        <v>1130.8</v>
      </c>
      <c r="P894" s="49"/>
      <c r="Q894" s="49"/>
      <c r="R894" s="77">
        <f t="shared" si="494"/>
        <v>819.899957428693</v>
      </c>
      <c r="S894" s="77"/>
      <c r="T894" s="78">
        <f t="shared" si="495"/>
        <v>0.739037888463176</v>
      </c>
      <c r="U894" s="77"/>
      <c r="V894" s="77"/>
      <c r="W894" s="77">
        <f t="shared" si="489"/>
        <v>820.638995317156</v>
      </c>
      <c r="X894" s="79">
        <f t="shared" si="496"/>
        <v>12.3654799015587</v>
      </c>
      <c r="Y894" s="79"/>
      <c r="Z894" s="79"/>
      <c r="AA894" s="79">
        <f t="shared" si="490"/>
        <v>12.3654799015587</v>
      </c>
      <c r="AB894" s="91">
        <v>7.27</v>
      </c>
      <c r="AC894" s="77">
        <f t="shared" si="491"/>
        <v>89.8970388843314</v>
      </c>
      <c r="AD894" s="77">
        <f t="shared" si="492"/>
        <v>910.536034201488</v>
      </c>
      <c r="AE894" s="77">
        <f t="shared" si="493"/>
        <v>220.263965798512</v>
      </c>
    </row>
    <row r="895" customFormat="1" spans="1:31">
      <c r="A895" s="22"/>
      <c r="B895" s="23"/>
      <c r="C895" s="24">
        <v>241224000054</v>
      </c>
      <c r="D895" s="25">
        <v>45658</v>
      </c>
      <c r="E895" s="25" t="s">
        <v>44</v>
      </c>
      <c r="F895" s="23" t="s">
        <v>45</v>
      </c>
      <c r="G895" s="23" t="s">
        <v>204</v>
      </c>
      <c r="H895" s="23">
        <v>3</v>
      </c>
      <c r="I895" s="43">
        <v>240</v>
      </c>
      <c r="J895" s="44"/>
      <c r="K895" s="23"/>
      <c r="L895" s="23"/>
      <c r="M895" s="45"/>
      <c r="N895" s="133"/>
      <c r="O895" s="47">
        <f t="shared" si="488"/>
        <v>240</v>
      </c>
      <c r="P895" s="49"/>
      <c r="Q895" s="49"/>
      <c r="R895" s="77">
        <f t="shared" si="494"/>
        <v>175.692848020434</v>
      </c>
      <c r="S895" s="77"/>
      <c r="T895" s="78">
        <f t="shared" si="495"/>
        <v>0.158365261813538</v>
      </c>
      <c r="U895" s="77"/>
      <c r="V895" s="77"/>
      <c r="W895" s="77">
        <f t="shared" si="489"/>
        <v>175.851213282248</v>
      </c>
      <c r="X895" s="79">
        <f t="shared" si="496"/>
        <v>2.64974569319114</v>
      </c>
      <c r="Y895" s="79"/>
      <c r="Z895" s="79"/>
      <c r="AA895" s="79">
        <f t="shared" si="490"/>
        <v>2.64974569319114</v>
      </c>
      <c r="AB895" s="91">
        <v>7.27</v>
      </c>
      <c r="AC895" s="77">
        <f t="shared" si="491"/>
        <v>19.2636511894996</v>
      </c>
      <c r="AD895" s="77">
        <f t="shared" si="492"/>
        <v>195.114864471747</v>
      </c>
      <c r="AE895" s="77">
        <f t="shared" si="493"/>
        <v>44.8851355282526</v>
      </c>
    </row>
    <row r="896" customFormat="1" spans="1:31">
      <c r="A896" s="22"/>
      <c r="B896" s="23"/>
      <c r="C896" s="24">
        <v>241225000001</v>
      </c>
      <c r="D896" s="25">
        <v>45658</v>
      </c>
      <c r="E896" s="25" t="s">
        <v>44</v>
      </c>
      <c r="F896" s="23" t="s">
        <v>45</v>
      </c>
      <c r="G896" s="23" t="s">
        <v>547</v>
      </c>
      <c r="H896" s="23">
        <v>3</v>
      </c>
      <c r="I896" s="43">
        <v>360</v>
      </c>
      <c r="J896" s="44"/>
      <c r="K896" s="23"/>
      <c r="L896" s="23"/>
      <c r="M896" s="45"/>
      <c r="N896" s="133"/>
      <c r="O896" s="47">
        <f t="shared" si="488"/>
        <v>360</v>
      </c>
      <c r="P896" s="49"/>
      <c r="Q896" s="49"/>
      <c r="R896" s="77">
        <f t="shared" si="494"/>
        <v>175.692848020434</v>
      </c>
      <c r="S896" s="77"/>
      <c r="T896" s="78">
        <f t="shared" si="495"/>
        <v>0.158365261813538</v>
      </c>
      <c r="U896" s="77"/>
      <c r="V896" s="77"/>
      <c r="W896" s="77">
        <f t="shared" si="489"/>
        <v>175.851213282248</v>
      </c>
      <c r="X896" s="79">
        <f t="shared" si="496"/>
        <v>2.64974569319114</v>
      </c>
      <c r="Y896" s="79"/>
      <c r="Z896" s="79"/>
      <c r="AA896" s="79">
        <f t="shared" si="490"/>
        <v>2.64974569319114</v>
      </c>
      <c r="AB896" s="91">
        <v>7.27</v>
      </c>
      <c r="AC896" s="77">
        <f t="shared" si="491"/>
        <v>19.2636511894996</v>
      </c>
      <c r="AD896" s="77">
        <f t="shared" si="492"/>
        <v>195.114864471747</v>
      </c>
      <c r="AE896" s="77">
        <f t="shared" si="493"/>
        <v>164.885135528253</v>
      </c>
    </row>
    <row r="897" customFormat="1" spans="1:31">
      <c r="A897" s="22"/>
      <c r="B897" s="23"/>
      <c r="C897" s="24">
        <v>241225000005</v>
      </c>
      <c r="D897" s="25">
        <v>45658</v>
      </c>
      <c r="E897" s="25" t="s">
        <v>54</v>
      </c>
      <c r="F897" s="23" t="s">
        <v>55</v>
      </c>
      <c r="G897" s="23" t="s">
        <v>445</v>
      </c>
      <c r="H897" s="23">
        <v>13</v>
      </c>
      <c r="I897" s="43">
        <v>1050.5</v>
      </c>
      <c r="J897" s="44"/>
      <c r="K897" s="23"/>
      <c r="L897" s="23"/>
      <c r="M897" s="45"/>
      <c r="N897" s="133"/>
      <c r="O897" s="47">
        <f t="shared" si="488"/>
        <v>1050.5</v>
      </c>
      <c r="P897" s="49"/>
      <c r="Q897" s="49"/>
      <c r="R897" s="77">
        <f t="shared" si="494"/>
        <v>761.335674755215</v>
      </c>
      <c r="S897" s="77"/>
      <c r="T897" s="78">
        <f t="shared" si="495"/>
        <v>0.686249467858663</v>
      </c>
      <c r="U897" s="77"/>
      <c r="V897" s="77"/>
      <c r="W897" s="77">
        <f t="shared" si="489"/>
        <v>762.021924223074</v>
      </c>
      <c r="X897" s="79">
        <f t="shared" si="496"/>
        <v>11.4822313371616</v>
      </c>
      <c r="Y897" s="79"/>
      <c r="Z897" s="79"/>
      <c r="AA897" s="79">
        <f t="shared" si="490"/>
        <v>11.4822313371616</v>
      </c>
      <c r="AB897" s="91">
        <v>7.27</v>
      </c>
      <c r="AC897" s="77">
        <f t="shared" si="491"/>
        <v>83.4758218211649</v>
      </c>
      <c r="AD897" s="77">
        <f t="shared" si="492"/>
        <v>845.497746044239</v>
      </c>
      <c r="AE897" s="77">
        <f t="shared" si="493"/>
        <v>205.002253955761</v>
      </c>
    </row>
    <row r="898" customFormat="1" spans="1:31">
      <c r="A898" s="22"/>
      <c r="B898" s="23"/>
      <c r="C898" s="24">
        <v>241226000002</v>
      </c>
      <c r="D898" s="25">
        <v>45658</v>
      </c>
      <c r="E898" s="25" t="s">
        <v>37</v>
      </c>
      <c r="F898" s="23" t="s">
        <v>38</v>
      </c>
      <c r="G898" s="23" t="s">
        <v>389</v>
      </c>
      <c r="H898" s="23">
        <v>7</v>
      </c>
      <c r="I898" s="43">
        <v>568</v>
      </c>
      <c r="J898" s="44"/>
      <c r="K898" s="23"/>
      <c r="L898" s="23"/>
      <c r="M898" s="45"/>
      <c r="N898" s="133"/>
      <c r="O898" s="47">
        <f t="shared" si="488"/>
        <v>568</v>
      </c>
      <c r="P898" s="49"/>
      <c r="Q898" s="49"/>
      <c r="R898" s="77">
        <f t="shared" si="494"/>
        <v>409.949978714347</v>
      </c>
      <c r="S898" s="77"/>
      <c r="T898" s="78">
        <f t="shared" si="495"/>
        <v>0.369518944231588</v>
      </c>
      <c r="U898" s="77"/>
      <c r="V898" s="77"/>
      <c r="W898" s="77">
        <f t="shared" si="489"/>
        <v>410.319497658578</v>
      </c>
      <c r="X898" s="79">
        <f t="shared" si="496"/>
        <v>6.18273995077933</v>
      </c>
      <c r="Y898" s="79"/>
      <c r="Z898" s="79"/>
      <c r="AA898" s="79">
        <f t="shared" si="490"/>
        <v>6.18273995077933</v>
      </c>
      <c r="AB898" s="91">
        <v>7.27</v>
      </c>
      <c r="AC898" s="77">
        <f t="shared" si="491"/>
        <v>44.9485194421657</v>
      </c>
      <c r="AD898" s="77">
        <f t="shared" si="492"/>
        <v>455.268017100744</v>
      </c>
      <c r="AE898" s="77">
        <f t="shared" si="493"/>
        <v>112.731982899256</v>
      </c>
    </row>
    <row r="899" customFormat="1" spans="1:31">
      <c r="A899" s="22"/>
      <c r="B899" s="23"/>
      <c r="C899" s="24">
        <v>241226000008</v>
      </c>
      <c r="D899" s="25">
        <v>45658</v>
      </c>
      <c r="E899" s="25" t="s">
        <v>44</v>
      </c>
      <c r="F899" s="23" t="s">
        <v>45</v>
      </c>
      <c r="G899" s="23" t="s">
        <v>178</v>
      </c>
      <c r="H899" s="23">
        <v>3.5</v>
      </c>
      <c r="I899" s="43">
        <v>262.5</v>
      </c>
      <c r="J899" s="44"/>
      <c r="K899" s="23"/>
      <c r="L899" s="23"/>
      <c r="M899" s="45"/>
      <c r="N899" s="133"/>
      <c r="O899" s="47">
        <f t="shared" si="488"/>
        <v>262.5</v>
      </c>
      <c r="P899" s="49"/>
      <c r="Q899" s="49"/>
      <c r="R899" s="77">
        <f t="shared" si="494"/>
        <v>204.974989357173</v>
      </c>
      <c r="S899" s="77"/>
      <c r="T899" s="78">
        <f t="shared" si="495"/>
        <v>0.184759472115794</v>
      </c>
      <c r="U899" s="77"/>
      <c r="V899" s="77"/>
      <c r="W899" s="77">
        <f t="shared" si="489"/>
        <v>205.159748829289</v>
      </c>
      <c r="X899" s="79">
        <f t="shared" si="496"/>
        <v>3.09136997538966</v>
      </c>
      <c r="Y899" s="79"/>
      <c r="Z899" s="79"/>
      <c r="AA899" s="79">
        <f t="shared" si="490"/>
        <v>3.09136997538966</v>
      </c>
      <c r="AB899" s="91">
        <v>7.27</v>
      </c>
      <c r="AC899" s="77">
        <f t="shared" si="491"/>
        <v>22.4742597210829</v>
      </c>
      <c r="AD899" s="77">
        <f t="shared" si="492"/>
        <v>227.634008550372</v>
      </c>
      <c r="AE899" s="77">
        <f t="shared" si="493"/>
        <v>34.8659914496281</v>
      </c>
    </row>
    <row r="900" customFormat="1" spans="1:31">
      <c r="A900" s="22"/>
      <c r="B900" s="23"/>
      <c r="C900" s="24">
        <v>241226000009</v>
      </c>
      <c r="D900" s="25">
        <v>45658</v>
      </c>
      <c r="E900" s="25" t="s">
        <v>44</v>
      </c>
      <c r="F900" s="23" t="s">
        <v>45</v>
      </c>
      <c r="G900" s="23" t="s">
        <v>178</v>
      </c>
      <c r="H900" s="23">
        <v>3</v>
      </c>
      <c r="I900" s="43">
        <v>225</v>
      </c>
      <c r="J900" s="44"/>
      <c r="K900" s="23"/>
      <c r="L900" s="23"/>
      <c r="M900" s="45"/>
      <c r="N900" s="133"/>
      <c r="O900" s="47">
        <f t="shared" si="488"/>
        <v>225</v>
      </c>
      <c r="P900" s="49"/>
      <c r="Q900" s="49"/>
      <c r="R900" s="77">
        <f t="shared" si="494"/>
        <v>175.692848020434</v>
      </c>
      <c r="S900" s="77"/>
      <c r="T900" s="78">
        <f t="shared" si="495"/>
        <v>0.158365261813538</v>
      </c>
      <c r="U900" s="77"/>
      <c r="V900" s="77"/>
      <c r="W900" s="77">
        <f t="shared" si="489"/>
        <v>175.851213282248</v>
      </c>
      <c r="X900" s="79">
        <f t="shared" si="496"/>
        <v>2.64974569319114</v>
      </c>
      <c r="Y900" s="79"/>
      <c r="Z900" s="79"/>
      <c r="AA900" s="79">
        <f t="shared" si="490"/>
        <v>2.64974569319114</v>
      </c>
      <c r="AB900" s="91">
        <v>7.27</v>
      </c>
      <c r="AC900" s="77">
        <f t="shared" si="491"/>
        <v>19.2636511894996</v>
      </c>
      <c r="AD900" s="77">
        <f t="shared" si="492"/>
        <v>195.114864471747</v>
      </c>
      <c r="AE900" s="77">
        <f t="shared" si="493"/>
        <v>29.8851355282526</v>
      </c>
    </row>
    <row r="901" customFormat="1" spans="1:31">
      <c r="A901" s="22"/>
      <c r="B901" s="23"/>
      <c r="C901" s="92">
        <v>241226000013</v>
      </c>
      <c r="D901" s="94">
        <v>45658</v>
      </c>
      <c r="E901" s="25" t="s">
        <v>61</v>
      </c>
      <c r="F901" s="95" t="s">
        <v>62</v>
      </c>
      <c r="G901" s="95" t="s">
        <v>367</v>
      </c>
      <c r="H901" s="95">
        <v>4</v>
      </c>
      <c r="I901" s="50"/>
      <c r="J901" s="51">
        <v>77748</v>
      </c>
      <c r="K901" s="23"/>
      <c r="L901" s="52">
        <f>SUM(J901/M901)</f>
        <v>1657.73987206823</v>
      </c>
      <c r="M901" s="53">
        <v>46.9</v>
      </c>
      <c r="N901" s="133">
        <v>7.27</v>
      </c>
      <c r="O901" s="47">
        <f>SUM(M901*N901)</f>
        <v>340.963</v>
      </c>
      <c r="P901" s="49"/>
      <c r="Q901" s="49"/>
      <c r="R901" s="77">
        <f t="shared" si="494"/>
        <v>234.257130693912</v>
      </c>
      <c r="S901" s="77"/>
      <c r="T901" s="78">
        <f t="shared" si="495"/>
        <v>0.21115368241805</v>
      </c>
      <c r="U901" s="77"/>
      <c r="V901" s="77"/>
      <c r="W901" s="77">
        <f t="shared" si="489"/>
        <v>234.46828437633</v>
      </c>
      <c r="X901" s="79">
        <f t="shared" si="496"/>
        <v>3.53299425758819</v>
      </c>
      <c r="Y901" s="79"/>
      <c r="Z901" s="79"/>
      <c r="AA901" s="79">
        <f t="shared" si="490"/>
        <v>3.53299425758819</v>
      </c>
      <c r="AB901" s="91">
        <v>7.27</v>
      </c>
      <c r="AC901" s="77">
        <f t="shared" si="491"/>
        <v>25.6848682526661</v>
      </c>
      <c r="AD901" s="77">
        <f t="shared" si="492"/>
        <v>260.153152628997</v>
      </c>
      <c r="AE901" s="77">
        <f t="shared" si="493"/>
        <v>80.8098473710035</v>
      </c>
    </row>
    <row r="902" customFormat="1" spans="1:31">
      <c r="A902" s="22"/>
      <c r="B902" s="23"/>
      <c r="C902" s="24">
        <v>241226000016</v>
      </c>
      <c r="D902" s="25">
        <v>45658</v>
      </c>
      <c r="E902" s="25" t="s">
        <v>44</v>
      </c>
      <c r="F902" s="23" t="s">
        <v>45</v>
      </c>
      <c r="G902" s="23" t="s">
        <v>548</v>
      </c>
      <c r="H902" s="23">
        <v>11</v>
      </c>
      <c r="I902" s="43">
        <v>887</v>
      </c>
      <c r="J902" s="44"/>
      <c r="K902" s="23"/>
      <c r="L902" s="23"/>
      <c r="M902" s="45"/>
      <c r="N902" s="133"/>
      <c r="O902" s="47">
        <f t="shared" ref="O902:O913" si="497">SUM(I902)</f>
        <v>887</v>
      </c>
      <c r="P902" s="49"/>
      <c r="Q902" s="49"/>
      <c r="R902" s="77">
        <f t="shared" si="494"/>
        <v>644.207109408259</v>
      </c>
      <c r="S902" s="77"/>
      <c r="T902" s="78">
        <f t="shared" si="495"/>
        <v>0.580672626649638</v>
      </c>
      <c r="U902" s="78">
        <v>55</v>
      </c>
      <c r="V902" s="77"/>
      <c r="W902" s="77">
        <f t="shared" si="489"/>
        <v>699.787782034908</v>
      </c>
      <c r="X902" s="79">
        <f t="shared" si="496"/>
        <v>9.71573420836751</v>
      </c>
      <c r="Y902" s="79"/>
      <c r="Z902" s="79"/>
      <c r="AA902" s="79">
        <f t="shared" si="490"/>
        <v>9.71573420836751</v>
      </c>
      <c r="AB902" s="91">
        <v>7.27</v>
      </c>
      <c r="AC902" s="77">
        <f t="shared" si="491"/>
        <v>70.6333876948318</v>
      </c>
      <c r="AD902" s="77">
        <f t="shared" si="492"/>
        <v>770.42116972974</v>
      </c>
      <c r="AE902" s="77">
        <f t="shared" si="493"/>
        <v>116.57883027026</v>
      </c>
    </row>
    <row r="903" customFormat="1" spans="1:31">
      <c r="A903" s="22"/>
      <c r="B903" s="23"/>
      <c r="C903" s="24">
        <v>241226000026</v>
      </c>
      <c r="D903" s="25">
        <v>45658</v>
      </c>
      <c r="E903" s="25" t="s">
        <v>37</v>
      </c>
      <c r="F903" s="23" t="s">
        <v>38</v>
      </c>
      <c r="G903" s="23" t="s">
        <v>549</v>
      </c>
      <c r="H903" s="23">
        <v>10.5</v>
      </c>
      <c r="I903" s="43">
        <v>985.5</v>
      </c>
      <c r="J903" s="44"/>
      <c r="K903" s="23"/>
      <c r="L903" s="23"/>
      <c r="M903" s="45"/>
      <c r="N903" s="133"/>
      <c r="O903" s="47">
        <f t="shared" si="497"/>
        <v>985.5</v>
      </c>
      <c r="P903" s="49"/>
      <c r="Q903" s="49"/>
      <c r="R903" s="77">
        <f t="shared" si="494"/>
        <v>614.92496807152</v>
      </c>
      <c r="S903" s="77"/>
      <c r="T903" s="78">
        <f t="shared" si="495"/>
        <v>0.554278416347382</v>
      </c>
      <c r="U903" s="77"/>
      <c r="V903" s="77"/>
      <c r="W903" s="77">
        <f t="shared" si="489"/>
        <v>615.479246487867</v>
      </c>
      <c r="X903" s="79">
        <f t="shared" si="496"/>
        <v>9.27410992616899</v>
      </c>
      <c r="Y903" s="79"/>
      <c r="Z903" s="79"/>
      <c r="AA903" s="79">
        <f t="shared" si="490"/>
        <v>9.27410992616899</v>
      </c>
      <c r="AB903" s="91">
        <v>7.27</v>
      </c>
      <c r="AC903" s="77">
        <f t="shared" si="491"/>
        <v>67.4227791632486</v>
      </c>
      <c r="AD903" s="77">
        <f t="shared" si="492"/>
        <v>682.902025651116</v>
      </c>
      <c r="AE903" s="77">
        <f t="shared" si="493"/>
        <v>302.597974348884</v>
      </c>
    </row>
    <row r="904" customFormat="1" spans="1:31">
      <c r="A904" s="22"/>
      <c r="B904" s="23"/>
      <c r="C904" s="24">
        <v>241227000007</v>
      </c>
      <c r="D904" s="26">
        <v>45658</v>
      </c>
      <c r="E904" s="25" t="s">
        <v>143</v>
      </c>
      <c r="F904" s="23" t="s">
        <v>144</v>
      </c>
      <c r="G904" s="23" t="s">
        <v>214</v>
      </c>
      <c r="H904" s="23">
        <v>46</v>
      </c>
      <c r="I904" s="43">
        <v>4188</v>
      </c>
      <c r="J904" s="44"/>
      <c r="K904" s="23"/>
      <c r="L904" s="23"/>
      <c r="M904" s="45"/>
      <c r="N904" s="133"/>
      <c r="O904" s="47">
        <f t="shared" si="497"/>
        <v>4188</v>
      </c>
      <c r="P904" s="49"/>
      <c r="Q904" s="49"/>
      <c r="R904" s="77">
        <f t="shared" si="494"/>
        <v>2693.95700297999</v>
      </c>
      <c r="S904" s="77"/>
      <c r="T904" s="78">
        <f t="shared" si="495"/>
        <v>2.42826734780758</v>
      </c>
      <c r="U904" s="77"/>
      <c r="V904" s="77"/>
      <c r="W904" s="77">
        <f t="shared" si="489"/>
        <v>2696.3852703278</v>
      </c>
      <c r="X904" s="79">
        <f t="shared" si="496"/>
        <v>40.6294339622642</v>
      </c>
      <c r="Y904" s="79"/>
      <c r="Z904" s="79"/>
      <c r="AA904" s="79">
        <f t="shared" si="490"/>
        <v>40.6294339622642</v>
      </c>
      <c r="AB904" s="91">
        <v>7.27</v>
      </c>
      <c r="AC904" s="77">
        <f t="shared" si="491"/>
        <v>295.37598490566</v>
      </c>
      <c r="AD904" s="77">
        <f t="shared" si="492"/>
        <v>2991.76125523346</v>
      </c>
      <c r="AE904" s="77">
        <f t="shared" si="493"/>
        <v>1196.23874476654</v>
      </c>
    </row>
    <row r="905" customFormat="1" spans="1:31">
      <c r="A905" s="22"/>
      <c r="B905" s="23"/>
      <c r="C905" s="24">
        <v>241227000010</v>
      </c>
      <c r="D905" s="25">
        <v>45658</v>
      </c>
      <c r="E905" s="25" t="s">
        <v>37</v>
      </c>
      <c r="F905" s="23" t="s">
        <v>38</v>
      </c>
      <c r="G905" s="23" t="s">
        <v>550</v>
      </c>
      <c r="H905" s="23">
        <v>7.5</v>
      </c>
      <c r="I905" s="43">
        <v>608</v>
      </c>
      <c r="J905" s="44"/>
      <c r="K905" s="23"/>
      <c r="L905" s="23"/>
      <c r="M905" s="45"/>
      <c r="N905" s="133"/>
      <c r="O905" s="47">
        <f t="shared" si="497"/>
        <v>608</v>
      </c>
      <c r="P905" s="49"/>
      <c r="Q905" s="49"/>
      <c r="R905" s="77">
        <f t="shared" si="494"/>
        <v>439.232120051086</v>
      </c>
      <c r="S905" s="77"/>
      <c r="T905" s="78">
        <f t="shared" si="495"/>
        <v>0.395913154533844</v>
      </c>
      <c r="U905" s="77"/>
      <c r="V905" s="77"/>
      <c r="W905" s="77">
        <f t="shared" si="489"/>
        <v>439.628033205619</v>
      </c>
      <c r="X905" s="79">
        <f t="shared" si="496"/>
        <v>6.62436423297785</v>
      </c>
      <c r="Y905" s="79"/>
      <c r="Z905" s="79"/>
      <c r="AA905" s="79">
        <f t="shared" si="490"/>
        <v>6.62436423297785</v>
      </c>
      <c r="AB905" s="91">
        <v>7.27</v>
      </c>
      <c r="AC905" s="77">
        <f t="shared" si="491"/>
        <v>48.159127973749</v>
      </c>
      <c r="AD905" s="77">
        <f t="shared" si="492"/>
        <v>487.787161179368</v>
      </c>
      <c r="AE905" s="77">
        <f t="shared" si="493"/>
        <v>120.212838820632</v>
      </c>
    </row>
    <row r="906" customFormat="1" spans="1:31">
      <c r="A906" s="22"/>
      <c r="B906" s="23"/>
      <c r="C906" s="24">
        <v>241227000018</v>
      </c>
      <c r="D906" s="25">
        <v>45658</v>
      </c>
      <c r="E906" s="25" t="s">
        <v>44</v>
      </c>
      <c r="F906" s="23" t="s">
        <v>45</v>
      </c>
      <c r="G906" s="23" t="s">
        <v>82</v>
      </c>
      <c r="H906" s="23">
        <v>8</v>
      </c>
      <c r="I906" s="43">
        <v>596.2</v>
      </c>
      <c r="J906" s="44"/>
      <c r="K906" s="23"/>
      <c r="L906" s="23"/>
      <c r="M906" s="45"/>
      <c r="N906" s="133"/>
      <c r="O906" s="47">
        <f t="shared" si="497"/>
        <v>596.2</v>
      </c>
      <c r="P906" s="49"/>
      <c r="Q906" s="49"/>
      <c r="R906" s="77">
        <f t="shared" si="494"/>
        <v>468.514261387825</v>
      </c>
      <c r="S906" s="77"/>
      <c r="T906" s="78">
        <f t="shared" si="495"/>
        <v>0.4223073648361</v>
      </c>
      <c r="U906" s="77"/>
      <c r="V906" s="77"/>
      <c r="W906" s="77">
        <f t="shared" si="489"/>
        <v>468.936568752661</v>
      </c>
      <c r="X906" s="79">
        <f t="shared" si="496"/>
        <v>7.06598851517637</v>
      </c>
      <c r="Y906" s="79"/>
      <c r="Z906" s="79"/>
      <c r="AA906" s="79">
        <f t="shared" si="490"/>
        <v>7.06598851517637</v>
      </c>
      <c r="AB906" s="91">
        <v>7.27</v>
      </c>
      <c r="AC906" s="77">
        <f t="shared" si="491"/>
        <v>51.3697365053322</v>
      </c>
      <c r="AD906" s="77">
        <f t="shared" si="492"/>
        <v>520.306305257993</v>
      </c>
      <c r="AE906" s="77">
        <f t="shared" si="493"/>
        <v>75.893694742007</v>
      </c>
    </row>
    <row r="907" customFormat="1" spans="1:31">
      <c r="A907" s="22"/>
      <c r="B907" s="23"/>
      <c r="C907" s="24">
        <v>241227000030</v>
      </c>
      <c r="D907" s="25">
        <v>45658</v>
      </c>
      <c r="E907" s="25" t="s">
        <v>54</v>
      </c>
      <c r="F907" s="23" t="s">
        <v>55</v>
      </c>
      <c r="G907" s="23" t="s">
        <v>551</v>
      </c>
      <c r="H907" s="23">
        <v>7</v>
      </c>
      <c r="I907" s="43">
        <v>568</v>
      </c>
      <c r="J907" s="44"/>
      <c r="K907" s="23"/>
      <c r="L907" s="23"/>
      <c r="M907" s="45"/>
      <c r="N907" s="133"/>
      <c r="O907" s="47">
        <f t="shared" si="497"/>
        <v>568</v>
      </c>
      <c r="P907" s="49"/>
      <c r="Q907" s="49"/>
      <c r="R907" s="77">
        <f t="shared" si="494"/>
        <v>409.949978714347</v>
      </c>
      <c r="S907" s="77"/>
      <c r="T907" s="78">
        <f t="shared" si="495"/>
        <v>0.369518944231588</v>
      </c>
      <c r="U907" s="77"/>
      <c r="V907" s="77"/>
      <c r="W907" s="77">
        <f t="shared" si="489"/>
        <v>410.319497658578</v>
      </c>
      <c r="X907" s="79">
        <f t="shared" si="496"/>
        <v>6.18273995077933</v>
      </c>
      <c r="Y907" s="79"/>
      <c r="Z907" s="79"/>
      <c r="AA907" s="79">
        <f t="shared" si="490"/>
        <v>6.18273995077933</v>
      </c>
      <c r="AB907" s="91">
        <v>7.27</v>
      </c>
      <c r="AC907" s="77">
        <f t="shared" si="491"/>
        <v>44.9485194421657</v>
      </c>
      <c r="AD907" s="77">
        <f t="shared" si="492"/>
        <v>455.268017100744</v>
      </c>
      <c r="AE907" s="77">
        <f t="shared" si="493"/>
        <v>112.731982899256</v>
      </c>
    </row>
    <row r="908" customFormat="1" spans="1:31">
      <c r="A908" s="22"/>
      <c r="B908" s="23"/>
      <c r="C908" s="24">
        <v>241227000043</v>
      </c>
      <c r="D908" s="25">
        <v>45658</v>
      </c>
      <c r="E908" s="25" t="s">
        <v>44</v>
      </c>
      <c r="F908" s="23" t="s">
        <v>45</v>
      </c>
      <c r="G908" s="23" t="s">
        <v>552</v>
      </c>
      <c r="H908" s="23">
        <v>1.5</v>
      </c>
      <c r="I908" s="43">
        <v>188</v>
      </c>
      <c r="J908" s="44"/>
      <c r="K908" s="23"/>
      <c r="L908" s="23"/>
      <c r="M908" s="45"/>
      <c r="N908" s="133"/>
      <c r="O908" s="47">
        <f t="shared" si="497"/>
        <v>188</v>
      </c>
      <c r="P908" s="49"/>
      <c r="Q908" s="49"/>
      <c r="R908" s="77">
        <f t="shared" si="494"/>
        <v>87.8464240102171</v>
      </c>
      <c r="S908" s="77"/>
      <c r="T908" s="78">
        <f t="shared" si="495"/>
        <v>0.0791826309067688</v>
      </c>
      <c r="U908" s="77"/>
      <c r="V908" s="77"/>
      <c r="W908" s="77">
        <f t="shared" si="489"/>
        <v>87.9256066411239</v>
      </c>
      <c r="X908" s="79">
        <f t="shared" si="496"/>
        <v>1.32487284659557</v>
      </c>
      <c r="Y908" s="79"/>
      <c r="Z908" s="79"/>
      <c r="AA908" s="79">
        <f t="shared" si="490"/>
        <v>1.32487284659557</v>
      </c>
      <c r="AB908" s="91">
        <v>7.27</v>
      </c>
      <c r="AC908" s="77">
        <f t="shared" si="491"/>
        <v>9.63182559474979</v>
      </c>
      <c r="AD908" s="77">
        <f t="shared" si="492"/>
        <v>97.5574322358737</v>
      </c>
      <c r="AE908" s="77">
        <f t="shared" si="493"/>
        <v>90.4425677641263</v>
      </c>
    </row>
    <row r="909" customFormat="1" spans="1:31">
      <c r="A909" s="22"/>
      <c r="B909" s="23"/>
      <c r="C909" s="24">
        <v>241227000046</v>
      </c>
      <c r="D909" s="25">
        <v>45658</v>
      </c>
      <c r="E909" s="25" t="s">
        <v>61</v>
      </c>
      <c r="F909" s="23" t="s">
        <v>62</v>
      </c>
      <c r="G909" s="23" t="s">
        <v>174</v>
      </c>
      <c r="H909" s="23">
        <v>3.5</v>
      </c>
      <c r="I909" s="43">
        <v>273</v>
      </c>
      <c r="J909" s="44"/>
      <c r="K909" s="23"/>
      <c r="L909" s="23"/>
      <c r="M909" s="45"/>
      <c r="N909" s="133"/>
      <c r="O909" s="47">
        <f t="shared" si="497"/>
        <v>273</v>
      </c>
      <c r="P909" s="49"/>
      <c r="Q909" s="49"/>
      <c r="R909" s="77">
        <f t="shared" si="494"/>
        <v>204.974989357173</v>
      </c>
      <c r="S909" s="77"/>
      <c r="T909" s="78">
        <f t="shared" si="495"/>
        <v>0.184759472115794</v>
      </c>
      <c r="U909" s="77"/>
      <c r="V909" s="77"/>
      <c r="W909" s="77">
        <f t="shared" si="489"/>
        <v>205.159748829289</v>
      </c>
      <c r="X909" s="79">
        <f t="shared" si="496"/>
        <v>3.09136997538966</v>
      </c>
      <c r="Y909" s="79"/>
      <c r="Z909" s="79"/>
      <c r="AA909" s="79">
        <f t="shared" si="490"/>
        <v>3.09136997538966</v>
      </c>
      <c r="AB909" s="91">
        <v>7.27</v>
      </c>
      <c r="AC909" s="77">
        <f t="shared" si="491"/>
        <v>22.4742597210829</v>
      </c>
      <c r="AD909" s="77">
        <f t="shared" si="492"/>
        <v>227.634008550372</v>
      </c>
      <c r="AE909" s="77">
        <f t="shared" si="493"/>
        <v>45.3659914496281</v>
      </c>
    </row>
    <row r="910" customFormat="1" spans="1:31">
      <c r="A910" s="22"/>
      <c r="B910" s="23"/>
      <c r="C910" s="24">
        <v>241228000009</v>
      </c>
      <c r="D910" s="25">
        <v>45658</v>
      </c>
      <c r="E910" s="25" t="s">
        <v>44</v>
      </c>
      <c r="F910" s="23" t="s">
        <v>45</v>
      </c>
      <c r="G910" s="23" t="s">
        <v>553</v>
      </c>
      <c r="H910" s="23">
        <v>8.5</v>
      </c>
      <c r="I910" s="43">
        <v>689.15</v>
      </c>
      <c r="J910" s="44"/>
      <c r="K910" s="23"/>
      <c r="L910" s="23"/>
      <c r="M910" s="45"/>
      <c r="N910" s="133"/>
      <c r="O910" s="47">
        <f t="shared" si="497"/>
        <v>689.15</v>
      </c>
      <c r="P910" s="49"/>
      <c r="Q910" s="49"/>
      <c r="R910" s="77">
        <f t="shared" si="494"/>
        <v>497.796402724564</v>
      </c>
      <c r="S910" s="77"/>
      <c r="T910" s="78">
        <f t="shared" si="495"/>
        <v>0.448701575138357</v>
      </c>
      <c r="U910" s="77"/>
      <c r="V910" s="77"/>
      <c r="W910" s="77">
        <f t="shared" si="489"/>
        <v>498.245104299702</v>
      </c>
      <c r="X910" s="79">
        <f t="shared" si="496"/>
        <v>7.5076127973749</v>
      </c>
      <c r="Y910" s="79"/>
      <c r="Z910" s="79"/>
      <c r="AA910" s="79">
        <f t="shared" si="490"/>
        <v>7.5076127973749</v>
      </c>
      <c r="AB910" s="91">
        <v>7.27</v>
      </c>
      <c r="AC910" s="77">
        <f t="shared" si="491"/>
        <v>54.5803450369155</v>
      </c>
      <c r="AD910" s="77">
        <f t="shared" si="492"/>
        <v>552.825449336617</v>
      </c>
      <c r="AE910" s="77">
        <f t="shared" si="493"/>
        <v>136.324550663383</v>
      </c>
    </row>
    <row r="911" customFormat="1" spans="1:31">
      <c r="A911" s="22"/>
      <c r="B911" s="23"/>
      <c r="C911" s="24">
        <v>241231000008</v>
      </c>
      <c r="D911" s="26">
        <v>45658</v>
      </c>
      <c r="E911" s="25" t="s">
        <v>143</v>
      </c>
      <c r="F911" s="23" t="s">
        <v>144</v>
      </c>
      <c r="G911" s="23" t="s">
        <v>234</v>
      </c>
      <c r="H911" s="23">
        <v>594.5</v>
      </c>
      <c r="I911" s="96">
        <v>38642.5</v>
      </c>
      <c r="J911" s="44"/>
      <c r="K911" s="23"/>
      <c r="L911" s="23"/>
      <c r="M911" s="45"/>
      <c r="N911" s="134"/>
      <c r="O911" s="47">
        <f t="shared" si="497"/>
        <v>38642.5</v>
      </c>
      <c r="P911" s="55"/>
      <c r="Q911" s="55"/>
      <c r="R911" s="77">
        <f t="shared" si="494"/>
        <v>34816.4660493827</v>
      </c>
      <c r="S911" s="77"/>
      <c r="T911" s="78">
        <f t="shared" si="495"/>
        <v>31.3827160493827</v>
      </c>
      <c r="U911" s="77"/>
      <c r="V911" s="77"/>
      <c r="W911" s="77">
        <f t="shared" ref="W911:W942" si="498">SUM(R911:V911)</f>
        <v>34847.8487654321</v>
      </c>
      <c r="X911" s="79">
        <f t="shared" si="496"/>
        <v>525.091271534044</v>
      </c>
      <c r="Y911" s="79"/>
      <c r="Z911" s="79"/>
      <c r="AA911" s="79">
        <f t="shared" si="490"/>
        <v>525.091271534044</v>
      </c>
      <c r="AB911" s="91">
        <v>7.27</v>
      </c>
      <c r="AC911" s="77">
        <f t="shared" ref="AC911:AC942" si="499">SUM(AA911*AB911)</f>
        <v>3817.4135440525</v>
      </c>
      <c r="AD911" s="77">
        <f t="shared" ref="AD911:AD942" si="500">SUM(W911+AC911)</f>
        <v>38665.2623094846</v>
      </c>
      <c r="AE911" s="77">
        <f t="shared" ref="AE911:AE942" si="501">SUM(O911-AD911)</f>
        <v>-22.7623094845985</v>
      </c>
    </row>
    <row r="912" customFormat="1" spans="1:31">
      <c r="A912" s="22"/>
      <c r="B912" s="23"/>
      <c r="C912" s="24">
        <v>241224000019</v>
      </c>
      <c r="D912" s="25">
        <v>45658</v>
      </c>
      <c r="E912" s="25" t="s">
        <v>61</v>
      </c>
      <c r="F912" s="23" t="s">
        <v>62</v>
      </c>
      <c r="G912" s="23" t="s">
        <v>554</v>
      </c>
      <c r="H912" s="23">
        <v>1126.5</v>
      </c>
      <c r="I912" s="43">
        <v>95932.5</v>
      </c>
      <c r="J912" s="44"/>
      <c r="K912" s="23"/>
      <c r="L912" s="23"/>
      <c r="M912" s="45"/>
      <c r="N912" s="133"/>
      <c r="O912" s="47">
        <f t="shared" si="497"/>
        <v>95932.5</v>
      </c>
      <c r="P912" s="49"/>
      <c r="Q912" s="49"/>
      <c r="R912" s="77">
        <f t="shared" si="494"/>
        <v>65972.6644316731</v>
      </c>
      <c r="S912" s="77"/>
      <c r="T912" s="78">
        <f t="shared" si="495"/>
        <v>59.4661558109834</v>
      </c>
      <c r="U912" s="77"/>
      <c r="V912" s="77"/>
      <c r="W912" s="77">
        <f t="shared" si="498"/>
        <v>66032.130587484</v>
      </c>
      <c r="X912" s="79">
        <v>3074</v>
      </c>
      <c r="Y912" s="79"/>
      <c r="Z912" s="79"/>
      <c r="AA912" s="79">
        <f t="shared" ref="AA912:AA943" si="502">SUM(X912:Z912)</f>
        <v>3074</v>
      </c>
      <c r="AB912" s="91">
        <v>7.27</v>
      </c>
      <c r="AC912" s="77">
        <f t="shared" si="499"/>
        <v>22347.98</v>
      </c>
      <c r="AD912" s="77">
        <f t="shared" si="500"/>
        <v>88380.110587484</v>
      </c>
      <c r="AE912" s="77">
        <f t="shared" si="501"/>
        <v>7552.389412516</v>
      </c>
    </row>
    <row r="913" customFormat="1" spans="1:31">
      <c r="A913" s="22" t="s">
        <v>555</v>
      </c>
      <c r="B913" s="23" t="s">
        <v>556</v>
      </c>
      <c r="C913" s="24">
        <v>241221000005</v>
      </c>
      <c r="D913" s="25">
        <v>45658</v>
      </c>
      <c r="E913" s="25" t="s">
        <v>54</v>
      </c>
      <c r="F913" s="23" t="s">
        <v>55</v>
      </c>
      <c r="G913" s="23" t="s">
        <v>207</v>
      </c>
      <c r="H913" s="23">
        <v>4</v>
      </c>
      <c r="I913" s="43">
        <v>283</v>
      </c>
      <c r="J913" s="44"/>
      <c r="K913" s="23"/>
      <c r="L913" s="23"/>
      <c r="M913" s="45"/>
      <c r="N913" s="133"/>
      <c r="O913" s="47">
        <f t="shared" si="497"/>
        <v>283</v>
      </c>
      <c r="P913" s="48">
        <f>SUM(O913:O960)</f>
        <v>158500.374</v>
      </c>
      <c r="Q913" s="48" t="s">
        <v>185</v>
      </c>
      <c r="R913" s="77">
        <f>SUM(116086/2312)*H913</f>
        <v>200.840830449827</v>
      </c>
      <c r="S913" s="77"/>
      <c r="T913" s="78">
        <f>SUM(155.05/2312)*H913</f>
        <v>0.268252595155709</v>
      </c>
      <c r="U913" s="77"/>
      <c r="V913" s="77"/>
      <c r="W913" s="77">
        <f t="shared" si="498"/>
        <v>201.109083044983</v>
      </c>
      <c r="X913" s="79">
        <f>SUM(1738.14/2312)*H913</f>
        <v>3.00716262975779</v>
      </c>
      <c r="Y913" s="79"/>
      <c r="Z913" s="79"/>
      <c r="AA913" s="79">
        <f t="shared" si="502"/>
        <v>3.00716262975779</v>
      </c>
      <c r="AB913" s="91">
        <v>7.27</v>
      </c>
      <c r="AC913" s="77">
        <f t="shared" si="499"/>
        <v>21.8620723183391</v>
      </c>
      <c r="AD913" s="77">
        <f t="shared" si="500"/>
        <v>222.971155363322</v>
      </c>
      <c r="AE913" s="77">
        <f t="shared" si="501"/>
        <v>60.028844636678</v>
      </c>
    </row>
    <row r="914" customFormat="1" spans="1:31">
      <c r="A914" s="22"/>
      <c r="B914" s="23"/>
      <c r="C914" s="24">
        <v>241223000005</v>
      </c>
      <c r="D914" s="25">
        <v>45658</v>
      </c>
      <c r="E914" s="25" t="s">
        <v>44</v>
      </c>
      <c r="F914" s="23" t="s">
        <v>45</v>
      </c>
      <c r="G914" s="23" t="s">
        <v>307</v>
      </c>
      <c r="H914" s="23">
        <v>16.5</v>
      </c>
      <c r="I914" s="96"/>
      <c r="J914" s="51">
        <v>245322</v>
      </c>
      <c r="K914" s="23"/>
      <c r="L914" s="52">
        <f>SUM(J914/M914)</f>
        <v>1715.77843054973</v>
      </c>
      <c r="M914" s="53">
        <v>142.98</v>
      </c>
      <c r="N914" s="57">
        <v>7.27</v>
      </c>
      <c r="O914" s="47">
        <f>SUM(M914*N914)</f>
        <v>1039.4646</v>
      </c>
      <c r="P914" s="49"/>
      <c r="Q914" s="49"/>
      <c r="R914" s="77">
        <f t="shared" ref="R914:R960" si="503">SUM(116086/2312)*H914</f>
        <v>828.468425605536</v>
      </c>
      <c r="S914" s="77"/>
      <c r="T914" s="78">
        <f t="shared" ref="T914:T960" si="504">SUM(155.05/2312)*H914</f>
        <v>1.1065419550173</v>
      </c>
      <c r="U914" s="77"/>
      <c r="V914" s="77"/>
      <c r="W914" s="77">
        <f t="shared" si="498"/>
        <v>829.574967560554</v>
      </c>
      <c r="X914" s="79">
        <f t="shared" ref="X914:X960" si="505">SUM(1738.14/2312)*H914</f>
        <v>12.4045458477509</v>
      </c>
      <c r="Y914" s="79"/>
      <c r="Z914" s="79"/>
      <c r="AA914" s="79">
        <f t="shared" si="502"/>
        <v>12.4045458477509</v>
      </c>
      <c r="AB914" s="91">
        <v>7.27</v>
      </c>
      <c r="AC914" s="77">
        <f t="shared" si="499"/>
        <v>90.1810483131488</v>
      </c>
      <c r="AD914" s="77">
        <f t="shared" si="500"/>
        <v>919.756015873702</v>
      </c>
      <c r="AE914" s="77">
        <f t="shared" si="501"/>
        <v>119.708584126298</v>
      </c>
    </row>
    <row r="915" customFormat="1" spans="1:31">
      <c r="A915" s="22"/>
      <c r="B915" s="23"/>
      <c r="C915" s="24">
        <v>241223000018</v>
      </c>
      <c r="D915" s="25">
        <v>45658</v>
      </c>
      <c r="E915" s="25" t="s">
        <v>44</v>
      </c>
      <c r="F915" s="23" t="s">
        <v>45</v>
      </c>
      <c r="G915" s="23" t="s">
        <v>557</v>
      </c>
      <c r="H915" s="23">
        <v>7.5</v>
      </c>
      <c r="I915" s="43">
        <v>560.8</v>
      </c>
      <c r="J915" s="44"/>
      <c r="K915" s="23"/>
      <c r="L915" s="23"/>
      <c r="M915" s="45"/>
      <c r="N915" s="133"/>
      <c r="O915" s="47">
        <f t="shared" ref="O915:O918" si="506">SUM(I915)</f>
        <v>560.8</v>
      </c>
      <c r="P915" s="49"/>
      <c r="Q915" s="49"/>
      <c r="R915" s="77">
        <f t="shared" si="503"/>
        <v>376.576557093426</v>
      </c>
      <c r="S915" s="77"/>
      <c r="T915" s="78">
        <f t="shared" si="504"/>
        <v>0.502973615916955</v>
      </c>
      <c r="U915" s="77"/>
      <c r="V915" s="77"/>
      <c r="W915" s="77">
        <f t="shared" si="498"/>
        <v>377.079530709343</v>
      </c>
      <c r="X915" s="79">
        <f t="shared" si="505"/>
        <v>5.63842993079585</v>
      </c>
      <c r="Y915" s="79"/>
      <c r="Z915" s="79"/>
      <c r="AA915" s="79">
        <f t="shared" si="502"/>
        <v>5.63842993079585</v>
      </c>
      <c r="AB915" s="91">
        <v>7.27</v>
      </c>
      <c r="AC915" s="77">
        <f t="shared" si="499"/>
        <v>40.9913855968858</v>
      </c>
      <c r="AD915" s="77">
        <f t="shared" si="500"/>
        <v>418.070916306228</v>
      </c>
      <c r="AE915" s="77">
        <f t="shared" si="501"/>
        <v>142.729083693772</v>
      </c>
    </row>
    <row r="916" customFormat="1" spans="1:31">
      <c r="A916" s="22"/>
      <c r="B916" s="23"/>
      <c r="C916" s="24">
        <v>241223000055</v>
      </c>
      <c r="D916" s="25">
        <v>45658</v>
      </c>
      <c r="E916" s="25" t="s">
        <v>54</v>
      </c>
      <c r="F916" s="23" t="s">
        <v>55</v>
      </c>
      <c r="G916" s="23" t="s">
        <v>124</v>
      </c>
      <c r="H916" s="23">
        <v>8</v>
      </c>
      <c r="I916" s="43">
        <v>542</v>
      </c>
      <c r="J916" s="44"/>
      <c r="K916" s="23"/>
      <c r="L916" s="23"/>
      <c r="M916" s="45"/>
      <c r="N916" s="133"/>
      <c r="O916" s="47">
        <f t="shared" si="506"/>
        <v>542</v>
      </c>
      <c r="P916" s="49"/>
      <c r="Q916" s="49"/>
      <c r="R916" s="77">
        <f t="shared" si="503"/>
        <v>401.681660899654</v>
      </c>
      <c r="S916" s="77"/>
      <c r="T916" s="78">
        <f t="shared" si="504"/>
        <v>0.536505190311419</v>
      </c>
      <c r="U916" s="77"/>
      <c r="V916" s="77"/>
      <c r="W916" s="77">
        <f t="shared" si="498"/>
        <v>402.218166089965</v>
      </c>
      <c r="X916" s="79">
        <f t="shared" si="505"/>
        <v>6.01432525951557</v>
      </c>
      <c r="Y916" s="79"/>
      <c r="Z916" s="79"/>
      <c r="AA916" s="79">
        <f t="shared" si="502"/>
        <v>6.01432525951557</v>
      </c>
      <c r="AB916" s="91">
        <v>7.27</v>
      </c>
      <c r="AC916" s="77">
        <f t="shared" si="499"/>
        <v>43.7241446366782</v>
      </c>
      <c r="AD916" s="77">
        <f t="shared" si="500"/>
        <v>445.942310726644</v>
      </c>
      <c r="AE916" s="77">
        <f t="shared" si="501"/>
        <v>96.057689273356</v>
      </c>
    </row>
    <row r="917" customFormat="1" spans="1:31">
      <c r="A917" s="22"/>
      <c r="B917" s="23"/>
      <c r="C917" s="24">
        <v>241223000058</v>
      </c>
      <c r="D917" s="25">
        <v>45658</v>
      </c>
      <c r="E917" s="25" t="s">
        <v>61</v>
      </c>
      <c r="F917" s="23" t="s">
        <v>62</v>
      </c>
      <c r="G917" s="23" t="s">
        <v>558</v>
      </c>
      <c r="H917" s="23">
        <v>5.5</v>
      </c>
      <c r="I917" s="43">
        <v>483</v>
      </c>
      <c r="J917" s="44"/>
      <c r="K917" s="23"/>
      <c r="L917" s="23"/>
      <c r="M917" s="45"/>
      <c r="N917" s="133"/>
      <c r="O917" s="47">
        <f t="shared" si="506"/>
        <v>483</v>
      </c>
      <c r="P917" s="49"/>
      <c r="Q917" s="49"/>
      <c r="R917" s="77">
        <f t="shared" si="503"/>
        <v>276.156141868512</v>
      </c>
      <c r="S917" s="77"/>
      <c r="T917" s="78">
        <f t="shared" si="504"/>
        <v>0.3688473183391</v>
      </c>
      <c r="U917" s="77"/>
      <c r="V917" s="77"/>
      <c r="W917" s="77">
        <f t="shared" si="498"/>
        <v>276.524989186851</v>
      </c>
      <c r="X917" s="79">
        <f t="shared" si="505"/>
        <v>4.13484861591696</v>
      </c>
      <c r="Y917" s="79"/>
      <c r="Z917" s="79"/>
      <c r="AA917" s="79">
        <f t="shared" si="502"/>
        <v>4.13484861591696</v>
      </c>
      <c r="AB917" s="91">
        <v>7.27</v>
      </c>
      <c r="AC917" s="77">
        <f t="shared" si="499"/>
        <v>30.0603494377163</v>
      </c>
      <c r="AD917" s="77">
        <f t="shared" si="500"/>
        <v>306.585338624567</v>
      </c>
      <c r="AE917" s="77">
        <f t="shared" si="501"/>
        <v>176.414661375433</v>
      </c>
    </row>
    <row r="918" customFormat="1" spans="1:31">
      <c r="A918" s="22"/>
      <c r="B918" s="23"/>
      <c r="C918" s="24">
        <v>241223000059</v>
      </c>
      <c r="D918" s="25">
        <v>45658</v>
      </c>
      <c r="E918" s="25" t="s">
        <v>61</v>
      </c>
      <c r="F918" s="23" t="s">
        <v>62</v>
      </c>
      <c r="G918" s="23" t="s">
        <v>559</v>
      </c>
      <c r="H918" s="23">
        <v>4.5</v>
      </c>
      <c r="I918" s="43">
        <v>403</v>
      </c>
      <c r="J918" s="44"/>
      <c r="K918" s="23"/>
      <c r="L918" s="23"/>
      <c r="M918" s="45"/>
      <c r="N918" s="133"/>
      <c r="O918" s="47">
        <f t="shared" si="506"/>
        <v>403</v>
      </c>
      <c r="P918" s="49"/>
      <c r="Q918" s="49"/>
      <c r="R918" s="77">
        <f t="shared" si="503"/>
        <v>225.945934256055</v>
      </c>
      <c r="S918" s="77"/>
      <c r="T918" s="78">
        <f t="shared" si="504"/>
        <v>0.301784169550173</v>
      </c>
      <c r="U918" s="77"/>
      <c r="V918" s="77"/>
      <c r="W918" s="77">
        <f t="shared" si="498"/>
        <v>226.247718425606</v>
      </c>
      <c r="X918" s="79">
        <f t="shared" si="505"/>
        <v>3.38305795847751</v>
      </c>
      <c r="Y918" s="79"/>
      <c r="Z918" s="79"/>
      <c r="AA918" s="79">
        <f t="shared" si="502"/>
        <v>3.38305795847751</v>
      </c>
      <c r="AB918" s="91">
        <v>7.27</v>
      </c>
      <c r="AC918" s="77">
        <f t="shared" si="499"/>
        <v>24.5948313581315</v>
      </c>
      <c r="AD918" s="77">
        <f t="shared" si="500"/>
        <v>250.842549783737</v>
      </c>
      <c r="AE918" s="77">
        <f t="shared" si="501"/>
        <v>152.157450216263</v>
      </c>
    </row>
    <row r="919" customFormat="1" spans="1:31">
      <c r="A919" s="22"/>
      <c r="B919" s="23"/>
      <c r="C919" s="24">
        <v>241223000065</v>
      </c>
      <c r="D919" s="25">
        <v>45658</v>
      </c>
      <c r="E919" s="25" t="s">
        <v>37</v>
      </c>
      <c r="F919" s="23" t="s">
        <v>38</v>
      </c>
      <c r="G919" s="23" t="s">
        <v>411</v>
      </c>
      <c r="H919" s="23">
        <v>0.15</v>
      </c>
      <c r="I919" s="47"/>
      <c r="J919" s="51">
        <v>17033</v>
      </c>
      <c r="K919" s="23"/>
      <c r="L919" s="52">
        <f>SUM(J919/M919)</f>
        <v>1665.00488758553</v>
      </c>
      <c r="M919" s="53">
        <v>10.23</v>
      </c>
      <c r="N919" s="133">
        <v>7.27</v>
      </c>
      <c r="O919" s="47">
        <f>SUM(M919*N919)</f>
        <v>74.3721</v>
      </c>
      <c r="P919" s="49"/>
      <c r="Q919" s="49"/>
      <c r="R919" s="77">
        <f t="shared" si="503"/>
        <v>7.53153114186851</v>
      </c>
      <c r="S919" s="77"/>
      <c r="T919" s="78">
        <f t="shared" si="504"/>
        <v>0.0100594723183391</v>
      </c>
      <c r="U919" s="77"/>
      <c r="V919" s="77"/>
      <c r="W919" s="77">
        <f t="shared" si="498"/>
        <v>7.54159061418685</v>
      </c>
      <c r="X919" s="79">
        <f t="shared" si="505"/>
        <v>0.112768598615917</v>
      </c>
      <c r="Y919" s="79"/>
      <c r="Z919" s="79"/>
      <c r="AA919" s="79">
        <f t="shared" si="502"/>
        <v>0.112768598615917</v>
      </c>
      <c r="AB919" s="91">
        <v>7.27</v>
      </c>
      <c r="AC919" s="77">
        <f t="shared" si="499"/>
        <v>0.819827711937716</v>
      </c>
      <c r="AD919" s="77">
        <f t="shared" si="500"/>
        <v>8.36141832612457</v>
      </c>
      <c r="AE919" s="77">
        <f t="shared" si="501"/>
        <v>66.0106816738754</v>
      </c>
    </row>
    <row r="920" customFormat="1" spans="1:31">
      <c r="A920" s="22"/>
      <c r="B920" s="23"/>
      <c r="C920" s="24">
        <v>241223000068</v>
      </c>
      <c r="D920" s="25">
        <v>45658</v>
      </c>
      <c r="E920" s="25" t="s">
        <v>44</v>
      </c>
      <c r="F920" s="23" t="s">
        <v>45</v>
      </c>
      <c r="G920" s="23" t="s">
        <v>135</v>
      </c>
      <c r="H920" s="23">
        <v>45</v>
      </c>
      <c r="I920" s="43">
        <v>3060</v>
      </c>
      <c r="J920" s="44"/>
      <c r="K920" s="23"/>
      <c r="L920" s="23"/>
      <c r="M920" s="45"/>
      <c r="N920" s="133"/>
      <c r="O920" s="47">
        <f t="shared" ref="O920:O922" si="507">SUM(I920)</f>
        <v>3060</v>
      </c>
      <c r="P920" s="49"/>
      <c r="Q920" s="49"/>
      <c r="R920" s="77">
        <f t="shared" si="503"/>
        <v>2259.45934256055</v>
      </c>
      <c r="S920" s="77"/>
      <c r="T920" s="78">
        <f t="shared" si="504"/>
        <v>3.01784169550173</v>
      </c>
      <c r="U920" s="77"/>
      <c r="V920" s="77"/>
      <c r="W920" s="77">
        <f t="shared" si="498"/>
        <v>2262.47718425606</v>
      </c>
      <c r="X920" s="79">
        <f t="shared" si="505"/>
        <v>33.8305795847751</v>
      </c>
      <c r="Y920" s="79"/>
      <c r="Z920" s="79"/>
      <c r="AA920" s="79">
        <f t="shared" si="502"/>
        <v>33.8305795847751</v>
      </c>
      <c r="AB920" s="91">
        <v>7.27</v>
      </c>
      <c r="AC920" s="77">
        <f t="shared" si="499"/>
        <v>245.948313581315</v>
      </c>
      <c r="AD920" s="77">
        <f t="shared" si="500"/>
        <v>2508.42549783737</v>
      </c>
      <c r="AE920" s="77">
        <f t="shared" si="501"/>
        <v>551.57450216263</v>
      </c>
    </row>
    <row r="921" customFormat="1" spans="1:31">
      <c r="A921" s="22"/>
      <c r="B921" s="23"/>
      <c r="C921" s="24">
        <v>241224000004</v>
      </c>
      <c r="D921" s="25">
        <v>45658</v>
      </c>
      <c r="E921" s="25" t="s">
        <v>37</v>
      </c>
      <c r="F921" s="23" t="s">
        <v>38</v>
      </c>
      <c r="G921" s="23" t="s">
        <v>175</v>
      </c>
      <c r="H921" s="23">
        <v>24.5</v>
      </c>
      <c r="I921" s="43">
        <v>1600</v>
      </c>
      <c r="J921" s="44"/>
      <c r="K921" s="23"/>
      <c r="L921" s="23"/>
      <c r="M921" s="45"/>
      <c r="N921" s="133"/>
      <c r="O921" s="47">
        <f t="shared" si="507"/>
        <v>1600</v>
      </c>
      <c r="P921" s="49"/>
      <c r="Q921" s="49"/>
      <c r="R921" s="77">
        <f t="shared" si="503"/>
        <v>1230.15008650519</v>
      </c>
      <c r="S921" s="77"/>
      <c r="T921" s="78">
        <f t="shared" si="504"/>
        <v>1.64304714532872</v>
      </c>
      <c r="U921" s="77"/>
      <c r="V921" s="77"/>
      <c r="W921" s="77">
        <f t="shared" si="498"/>
        <v>1231.79313365052</v>
      </c>
      <c r="X921" s="79">
        <f t="shared" si="505"/>
        <v>18.4188711072664</v>
      </c>
      <c r="Y921" s="79"/>
      <c r="Z921" s="79"/>
      <c r="AA921" s="79">
        <f t="shared" si="502"/>
        <v>18.4188711072664</v>
      </c>
      <c r="AB921" s="91">
        <v>7.27</v>
      </c>
      <c r="AC921" s="77">
        <f t="shared" si="499"/>
        <v>133.905192949827</v>
      </c>
      <c r="AD921" s="77">
        <f t="shared" si="500"/>
        <v>1365.69832660035</v>
      </c>
      <c r="AE921" s="77">
        <f t="shared" si="501"/>
        <v>234.30167339965</v>
      </c>
    </row>
    <row r="922" customFormat="1" spans="1:31">
      <c r="A922" s="22"/>
      <c r="B922" s="23"/>
      <c r="C922" s="24">
        <v>241224000021</v>
      </c>
      <c r="D922" s="25">
        <v>45658</v>
      </c>
      <c r="E922" s="25" t="s">
        <v>41</v>
      </c>
      <c r="F922" s="23" t="s">
        <v>42</v>
      </c>
      <c r="G922" s="23" t="s">
        <v>415</v>
      </c>
      <c r="H922" s="23">
        <v>0.41</v>
      </c>
      <c r="I922" s="43">
        <v>83</v>
      </c>
      <c r="J922" s="44"/>
      <c r="K922" s="23"/>
      <c r="L922" s="23"/>
      <c r="M922" s="45"/>
      <c r="N922" s="133"/>
      <c r="O922" s="47">
        <f t="shared" si="507"/>
        <v>83</v>
      </c>
      <c r="P922" s="49"/>
      <c r="Q922" s="49"/>
      <c r="R922" s="77">
        <f t="shared" si="503"/>
        <v>20.5861851211073</v>
      </c>
      <c r="S922" s="77"/>
      <c r="T922" s="78">
        <f t="shared" si="504"/>
        <v>0.0274958910034602</v>
      </c>
      <c r="U922" s="77"/>
      <c r="V922" s="77"/>
      <c r="W922" s="77">
        <f t="shared" si="498"/>
        <v>20.6136810121107</v>
      </c>
      <c r="X922" s="79">
        <f t="shared" si="505"/>
        <v>0.308234169550173</v>
      </c>
      <c r="Y922" s="79"/>
      <c r="Z922" s="79"/>
      <c r="AA922" s="79">
        <f t="shared" si="502"/>
        <v>0.308234169550173</v>
      </c>
      <c r="AB922" s="91">
        <v>7.27</v>
      </c>
      <c r="AC922" s="77">
        <f t="shared" si="499"/>
        <v>2.24086241262976</v>
      </c>
      <c r="AD922" s="77">
        <f t="shared" si="500"/>
        <v>22.8545434247405</v>
      </c>
      <c r="AE922" s="77">
        <f t="shared" si="501"/>
        <v>60.1454565752595</v>
      </c>
    </row>
    <row r="923" customFormat="1" spans="1:31">
      <c r="A923" s="22"/>
      <c r="B923" s="23"/>
      <c r="C923" s="24">
        <v>241224000032</v>
      </c>
      <c r="D923" s="25">
        <v>45658</v>
      </c>
      <c r="E923" s="25" t="s">
        <v>54</v>
      </c>
      <c r="F923" s="23" t="s">
        <v>55</v>
      </c>
      <c r="G923" s="23" t="s">
        <v>560</v>
      </c>
      <c r="H923" s="23">
        <v>4.5</v>
      </c>
      <c r="I923" s="47"/>
      <c r="J923" s="51">
        <v>108274.95</v>
      </c>
      <c r="K923" s="23"/>
      <c r="L923" s="52">
        <f>SUM(J923/M923)</f>
        <v>1665</v>
      </c>
      <c r="M923" s="53">
        <v>65.03</v>
      </c>
      <c r="N923" s="133">
        <v>7.27</v>
      </c>
      <c r="O923" s="47">
        <f>SUM(M923*N923)</f>
        <v>472.7681</v>
      </c>
      <c r="P923" s="49"/>
      <c r="Q923" s="49"/>
      <c r="R923" s="77">
        <f t="shared" si="503"/>
        <v>225.945934256055</v>
      </c>
      <c r="S923" s="77"/>
      <c r="T923" s="78">
        <f t="shared" si="504"/>
        <v>0.301784169550173</v>
      </c>
      <c r="U923" s="77"/>
      <c r="V923" s="77"/>
      <c r="W923" s="77">
        <f t="shared" si="498"/>
        <v>226.247718425606</v>
      </c>
      <c r="X923" s="79">
        <f t="shared" si="505"/>
        <v>3.38305795847751</v>
      </c>
      <c r="Y923" s="79"/>
      <c r="Z923" s="79"/>
      <c r="AA923" s="79">
        <f t="shared" si="502"/>
        <v>3.38305795847751</v>
      </c>
      <c r="AB923" s="91">
        <v>7.27</v>
      </c>
      <c r="AC923" s="77">
        <f t="shared" si="499"/>
        <v>24.5948313581315</v>
      </c>
      <c r="AD923" s="77">
        <f t="shared" si="500"/>
        <v>250.842549783737</v>
      </c>
      <c r="AE923" s="77">
        <f t="shared" si="501"/>
        <v>221.925550216263</v>
      </c>
    </row>
    <row r="924" customFormat="1" spans="1:31">
      <c r="A924" s="22"/>
      <c r="B924" s="23"/>
      <c r="C924" s="24">
        <v>241224000033</v>
      </c>
      <c r="D924" s="25">
        <v>45658</v>
      </c>
      <c r="E924" s="25" t="s">
        <v>41</v>
      </c>
      <c r="F924" s="23" t="s">
        <v>42</v>
      </c>
      <c r="G924" s="23" t="s">
        <v>173</v>
      </c>
      <c r="H924" s="23">
        <v>5</v>
      </c>
      <c r="I924" s="43">
        <v>437</v>
      </c>
      <c r="J924" s="44"/>
      <c r="K924" s="23"/>
      <c r="L924" s="23"/>
      <c r="M924" s="45"/>
      <c r="N924" s="133"/>
      <c r="O924" s="47">
        <f t="shared" ref="O924:O927" si="508">SUM(I924)</f>
        <v>437</v>
      </c>
      <c r="P924" s="49"/>
      <c r="Q924" s="49"/>
      <c r="R924" s="77">
        <f t="shared" si="503"/>
        <v>251.051038062284</v>
      </c>
      <c r="S924" s="77"/>
      <c r="T924" s="78">
        <f t="shared" si="504"/>
        <v>0.335315743944637</v>
      </c>
      <c r="U924" s="77"/>
      <c r="V924" s="77"/>
      <c r="W924" s="77">
        <f t="shared" si="498"/>
        <v>251.386353806228</v>
      </c>
      <c r="X924" s="79">
        <f t="shared" si="505"/>
        <v>3.75895328719723</v>
      </c>
      <c r="Y924" s="79"/>
      <c r="Z924" s="79"/>
      <c r="AA924" s="79">
        <f t="shared" si="502"/>
        <v>3.75895328719723</v>
      </c>
      <c r="AB924" s="91">
        <v>7.27</v>
      </c>
      <c r="AC924" s="77">
        <f t="shared" si="499"/>
        <v>27.3275903979239</v>
      </c>
      <c r="AD924" s="77">
        <f t="shared" si="500"/>
        <v>278.713944204152</v>
      </c>
      <c r="AE924" s="77">
        <f t="shared" si="501"/>
        <v>158.286055795848</v>
      </c>
    </row>
    <row r="925" customFormat="1" spans="1:31">
      <c r="A925" s="22"/>
      <c r="B925" s="23"/>
      <c r="C925" s="24">
        <v>241224000042</v>
      </c>
      <c r="D925" s="25">
        <v>45658</v>
      </c>
      <c r="E925" s="25" t="s">
        <v>41</v>
      </c>
      <c r="F925" s="23" t="s">
        <v>42</v>
      </c>
      <c r="G925" s="23" t="s">
        <v>561</v>
      </c>
      <c r="H925" s="23">
        <v>5</v>
      </c>
      <c r="I925" s="43">
        <v>403</v>
      </c>
      <c r="J925" s="44"/>
      <c r="K925" s="23"/>
      <c r="L925" s="23"/>
      <c r="M925" s="45"/>
      <c r="N925" s="133"/>
      <c r="O925" s="47">
        <f t="shared" si="508"/>
        <v>403</v>
      </c>
      <c r="P925" s="49"/>
      <c r="Q925" s="49"/>
      <c r="R925" s="77">
        <f t="shared" si="503"/>
        <v>251.051038062284</v>
      </c>
      <c r="S925" s="77"/>
      <c r="T925" s="78">
        <f t="shared" si="504"/>
        <v>0.335315743944637</v>
      </c>
      <c r="U925" s="77"/>
      <c r="V925" s="77"/>
      <c r="W925" s="77">
        <f t="shared" si="498"/>
        <v>251.386353806228</v>
      </c>
      <c r="X925" s="79">
        <f t="shared" si="505"/>
        <v>3.75895328719723</v>
      </c>
      <c r="Y925" s="79"/>
      <c r="Z925" s="79"/>
      <c r="AA925" s="79">
        <f t="shared" si="502"/>
        <v>3.75895328719723</v>
      </c>
      <c r="AB925" s="91">
        <v>7.27</v>
      </c>
      <c r="AC925" s="77">
        <f t="shared" si="499"/>
        <v>27.3275903979239</v>
      </c>
      <c r="AD925" s="77">
        <f t="shared" si="500"/>
        <v>278.713944204152</v>
      </c>
      <c r="AE925" s="77">
        <f t="shared" si="501"/>
        <v>124.286055795848</v>
      </c>
    </row>
    <row r="926" customFormat="1" spans="1:31">
      <c r="A926" s="22"/>
      <c r="B926" s="23"/>
      <c r="C926" s="24">
        <v>241224000044</v>
      </c>
      <c r="D926" s="25">
        <v>45658</v>
      </c>
      <c r="E926" s="25" t="s">
        <v>37</v>
      </c>
      <c r="F926" s="23" t="s">
        <v>38</v>
      </c>
      <c r="G926" s="23" t="s">
        <v>562</v>
      </c>
      <c r="H926" s="23">
        <v>1.5</v>
      </c>
      <c r="I926" s="43">
        <v>117</v>
      </c>
      <c r="J926" s="44"/>
      <c r="K926" s="23"/>
      <c r="L926" s="23"/>
      <c r="M926" s="45"/>
      <c r="N926" s="133"/>
      <c r="O926" s="47">
        <f t="shared" si="508"/>
        <v>117</v>
      </c>
      <c r="P926" s="49"/>
      <c r="Q926" s="49"/>
      <c r="R926" s="77">
        <f t="shared" si="503"/>
        <v>75.3153114186851</v>
      </c>
      <c r="S926" s="77"/>
      <c r="T926" s="78">
        <f t="shared" si="504"/>
        <v>0.100594723183391</v>
      </c>
      <c r="U926" s="77"/>
      <c r="V926" s="77"/>
      <c r="W926" s="77">
        <f t="shared" si="498"/>
        <v>75.4159061418685</v>
      </c>
      <c r="X926" s="79">
        <f t="shared" si="505"/>
        <v>1.12768598615917</v>
      </c>
      <c r="Y926" s="79"/>
      <c r="Z926" s="79"/>
      <c r="AA926" s="79">
        <f t="shared" si="502"/>
        <v>1.12768598615917</v>
      </c>
      <c r="AB926" s="91">
        <v>7.27</v>
      </c>
      <c r="AC926" s="77">
        <f t="shared" si="499"/>
        <v>8.19827711937716</v>
      </c>
      <c r="AD926" s="77">
        <f t="shared" si="500"/>
        <v>83.6141832612457</v>
      </c>
      <c r="AE926" s="77">
        <f t="shared" si="501"/>
        <v>33.3858167387543</v>
      </c>
    </row>
    <row r="927" customFormat="1" spans="1:31">
      <c r="A927" s="22"/>
      <c r="B927" s="23"/>
      <c r="C927" s="24">
        <v>241224000045</v>
      </c>
      <c r="D927" s="25">
        <v>45658</v>
      </c>
      <c r="E927" s="25" t="s">
        <v>37</v>
      </c>
      <c r="F927" s="23" t="s">
        <v>38</v>
      </c>
      <c r="G927" s="23" t="s">
        <v>563</v>
      </c>
      <c r="H927" s="23">
        <v>33</v>
      </c>
      <c r="I927" s="43">
        <v>2145</v>
      </c>
      <c r="J927" s="44"/>
      <c r="K927" s="23"/>
      <c r="L927" s="23"/>
      <c r="M927" s="45"/>
      <c r="N927" s="133"/>
      <c r="O927" s="47">
        <f t="shared" si="508"/>
        <v>2145</v>
      </c>
      <c r="P927" s="49"/>
      <c r="Q927" s="49"/>
      <c r="R927" s="77">
        <f t="shared" si="503"/>
        <v>1656.93685121107</v>
      </c>
      <c r="S927" s="77"/>
      <c r="T927" s="78">
        <f t="shared" si="504"/>
        <v>2.2130839100346</v>
      </c>
      <c r="U927" s="77"/>
      <c r="V927" s="77"/>
      <c r="W927" s="77">
        <f t="shared" si="498"/>
        <v>1659.14993512111</v>
      </c>
      <c r="X927" s="79">
        <f t="shared" si="505"/>
        <v>24.8090916955017</v>
      </c>
      <c r="Y927" s="79"/>
      <c r="Z927" s="79"/>
      <c r="AA927" s="79">
        <f t="shared" si="502"/>
        <v>24.8090916955017</v>
      </c>
      <c r="AB927" s="91">
        <v>7.27</v>
      </c>
      <c r="AC927" s="77">
        <f t="shared" si="499"/>
        <v>180.362096626298</v>
      </c>
      <c r="AD927" s="77">
        <f t="shared" si="500"/>
        <v>1839.5120317474</v>
      </c>
      <c r="AE927" s="77">
        <f t="shared" si="501"/>
        <v>305.4879682526</v>
      </c>
    </row>
    <row r="928" customFormat="1" spans="1:31">
      <c r="A928" s="22"/>
      <c r="B928" s="23"/>
      <c r="C928" s="24">
        <v>241224000046</v>
      </c>
      <c r="D928" s="25">
        <v>45658</v>
      </c>
      <c r="E928" s="25" t="s">
        <v>61</v>
      </c>
      <c r="F928" s="23" t="s">
        <v>62</v>
      </c>
      <c r="G928" s="23" t="s">
        <v>219</v>
      </c>
      <c r="H928" s="23">
        <v>1</v>
      </c>
      <c r="I928" s="50"/>
      <c r="J928" s="51">
        <v>16717</v>
      </c>
      <c r="K928" s="23"/>
      <c r="L928" s="52">
        <f>SUM(J928/M928)</f>
        <v>1665.03984063745</v>
      </c>
      <c r="M928" s="53">
        <v>10.04</v>
      </c>
      <c r="N928" s="133">
        <v>7.27</v>
      </c>
      <c r="O928" s="47">
        <f>SUM(M928*N928)</f>
        <v>72.9908</v>
      </c>
      <c r="P928" s="49"/>
      <c r="Q928" s="49"/>
      <c r="R928" s="77">
        <f t="shared" si="503"/>
        <v>50.2102076124567</v>
      </c>
      <c r="S928" s="77"/>
      <c r="T928" s="78">
        <f t="shared" si="504"/>
        <v>0.0670631487889273</v>
      </c>
      <c r="U928" s="77"/>
      <c r="V928" s="77"/>
      <c r="W928" s="77">
        <f t="shared" si="498"/>
        <v>50.2772707612457</v>
      </c>
      <c r="X928" s="79">
        <f t="shared" si="505"/>
        <v>0.751790657439446</v>
      </c>
      <c r="Y928" s="79"/>
      <c r="Z928" s="79"/>
      <c r="AA928" s="79">
        <f t="shared" si="502"/>
        <v>0.751790657439446</v>
      </c>
      <c r="AB928" s="91">
        <v>7.27</v>
      </c>
      <c r="AC928" s="77">
        <f t="shared" si="499"/>
        <v>5.46551807958477</v>
      </c>
      <c r="AD928" s="77">
        <f t="shared" si="500"/>
        <v>55.7427888408304</v>
      </c>
      <c r="AE928" s="77">
        <f t="shared" si="501"/>
        <v>17.2480111591696</v>
      </c>
    </row>
    <row r="929" customFormat="1" spans="1:31">
      <c r="A929" s="22"/>
      <c r="B929" s="23"/>
      <c r="C929" s="24">
        <v>241224000047</v>
      </c>
      <c r="D929" s="25">
        <v>45658</v>
      </c>
      <c r="E929" s="25" t="s">
        <v>54</v>
      </c>
      <c r="F929" s="23" t="s">
        <v>55</v>
      </c>
      <c r="G929" s="23" t="s">
        <v>125</v>
      </c>
      <c r="H929" s="23">
        <v>7.5</v>
      </c>
      <c r="I929" s="43">
        <v>508.5</v>
      </c>
      <c r="J929" s="44"/>
      <c r="K929" s="23"/>
      <c r="L929" s="23"/>
      <c r="M929" s="45"/>
      <c r="N929" s="133"/>
      <c r="O929" s="47">
        <f t="shared" ref="O929:O932" si="509">SUM(I929)</f>
        <v>508.5</v>
      </c>
      <c r="P929" s="49"/>
      <c r="Q929" s="49"/>
      <c r="R929" s="77">
        <f t="shared" si="503"/>
        <v>376.576557093426</v>
      </c>
      <c r="S929" s="77"/>
      <c r="T929" s="78">
        <f t="shared" si="504"/>
        <v>0.502973615916955</v>
      </c>
      <c r="U929" s="77"/>
      <c r="V929" s="77"/>
      <c r="W929" s="77">
        <f t="shared" si="498"/>
        <v>377.079530709343</v>
      </c>
      <c r="X929" s="79">
        <f t="shared" si="505"/>
        <v>5.63842993079585</v>
      </c>
      <c r="Y929" s="79"/>
      <c r="Z929" s="79"/>
      <c r="AA929" s="79">
        <f t="shared" si="502"/>
        <v>5.63842993079585</v>
      </c>
      <c r="AB929" s="91">
        <v>7.27</v>
      </c>
      <c r="AC929" s="77">
        <f t="shared" si="499"/>
        <v>40.9913855968858</v>
      </c>
      <c r="AD929" s="77">
        <f t="shared" si="500"/>
        <v>418.070916306228</v>
      </c>
      <c r="AE929" s="77">
        <f t="shared" si="501"/>
        <v>90.429083693772</v>
      </c>
    </row>
    <row r="930" customFormat="1" spans="1:31">
      <c r="A930" s="22"/>
      <c r="B930" s="23"/>
      <c r="C930" s="24">
        <v>241224000049</v>
      </c>
      <c r="D930" s="26">
        <v>45658</v>
      </c>
      <c r="E930" s="25" t="s">
        <v>70</v>
      </c>
      <c r="F930" s="23" t="s">
        <v>70</v>
      </c>
      <c r="G930" s="23" t="s">
        <v>377</v>
      </c>
      <c r="H930" s="23">
        <v>10.5</v>
      </c>
      <c r="I930" s="43">
        <v>846.5</v>
      </c>
      <c r="J930" s="44"/>
      <c r="K930" s="23"/>
      <c r="L930" s="23"/>
      <c r="M930" s="45"/>
      <c r="N930" s="133"/>
      <c r="O930" s="47">
        <f t="shared" si="509"/>
        <v>846.5</v>
      </c>
      <c r="P930" s="49"/>
      <c r="Q930" s="49"/>
      <c r="R930" s="77">
        <f t="shared" si="503"/>
        <v>527.207179930796</v>
      </c>
      <c r="S930" s="77"/>
      <c r="T930" s="78">
        <f t="shared" si="504"/>
        <v>0.704163062283737</v>
      </c>
      <c r="U930" s="77"/>
      <c r="V930" s="78">
        <v>32</v>
      </c>
      <c r="W930" s="77">
        <f t="shared" si="498"/>
        <v>559.91134299308</v>
      </c>
      <c r="X930" s="79">
        <f t="shared" si="505"/>
        <v>7.89380190311419</v>
      </c>
      <c r="Y930" s="79"/>
      <c r="Z930" s="79"/>
      <c r="AA930" s="79">
        <f t="shared" si="502"/>
        <v>7.89380190311419</v>
      </c>
      <c r="AB930" s="91">
        <v>7.27</v>
      </c>
      <c r="AC930" s="77">
        <f t="shared" si="499"/>
        <v>57.3879398356401</v>
      </c>
      <c r="AD930" s="77">
        <f t="shared" si="500"/>
        <v>617.29928282872</v>
      </c>
      <c r="AE930" s="77">
        <f t="shared" si="501"/>
        <v>229.20071717128</v>
      </c>
    </row>
    <row r="931" customFormat="1" spans="1:31">
      <c r="A931" s="22"/>
      <c r="B931" s="23"/>
      <c r="C931" s="24">
        <v>241224000051</v>
      </c>
      <c r="D931" s="25">
        <v>45658</v>
      </c>
      <c r="E931" s="25" t="s">
        <v>61</v>
      </c>
      <c r="F931" s="23" t="s">
        <v>62</v>
      </c>
      <c r="G931" s="23" t="s">
        <v>564</v>
      </c>
      <c r="H931" s="23">
        <v>0.8</v>
      </c>
      <c r="I931" s="43">
        <v>73</v>
      </c>
      <c r="J931" s="44"/>
      <c r="K931" s="23"/>
      <c r="L931" s="23"/>
      <c r="M931" s="45"/>
      <c r="N931" s="133"/>
      <c r="O931" s="47">
        <f t="shared" si="509"/>
        <v>73</v>
      </c>
      <c r="P931" s="49"/>
      <c r="Q931" s="49"/>
      <c r="R931" s="77">
        <f t="shared" si="503"/>
        <v>40.1681660899654</v>
      </c>
      <c r="S931" s="77"/>
      <c r="T931" s="78">
        <f t="shared" si="504"/>
        <v>0.0536505190311419</v>
      </c>
      <c r="U931" s="77"/>
      <c r="V931" s="77"/>
      <c r="W931" s="77">
        <f t="shared" si="498"/>
        <v>40.2218166089965</v>
      </c>
      <c r="X931" s="79">
        <f t="shared" si="505"/>
        <v>0.601432525951557</v>
      </c>
      <c r="Y931" s="79"/>
      <c r="Z931" s="79"/>
      <c r="AA931" s="79">
        <f t="shared" si="502"/>
        <v>0.601432525951557</v>
      </c>
      <c r="AB931" s="91">
        <v>7.27</v>
      </c>
      <c r="AC931" s="77">
        <f t="shared" si="499"/>
        <v>4.37241446366782</v>
      </c>
      <c r="AD931" s="77">
        <f t="shared" si="500"/>
        <v>44.5942310726644</v>
      </c>
      <c r="AE931" s="77">
        <f t="shared" si="501"/>
        <v>28.4057689273356</v>
      </c>
    </row>
    <row r="932" customFormat="1" spans="1:31">
      <c r="A932" s="22"/>
      <c r="B932" s="23"/>
      <c r="C932" s="24">
        <v>241224000052</v>
      </c>
      <c r="D932" s="25">
        <v>45658</v>
      </c>
      <c r="E932" s="25" t="s">
        <v>61</v>
      </c>
      <c r="F932" s="23" t="s">
        <v>62</v>
      </c>
      <c r="G932" s="23" t="s">
        <v>321</v>
      </c>
      <c r="H932" s="23">
        <v>65.5</v>
      </c>
      <c r="I932" s="43">
        <v>4265.5</v>
      </c>
      <c r="J932" s="44"/>
      <c r="K932" s="23"/>
      <c r="L932" s="23"/>
      <c r="M932" s="45"/>
      <c r="N932" s="133"/>
      <c r="O932" s="47">
        <f t="shared" si="509"/>
        <v>4265.5</v>
      </c>
      <c r="P932" s="49"/>
      <c r="Q932" s="49"/>
      <c r="R932" s="77">
        <f t="shared" si="503"/>
        <v>3288.76859861592</v>
      </c>
      <c r="S932" s="77"/>
      <c r="T932" s="78">
        <f t="shared" si="504"/>
        <v>4.39263624567474</v>
      </c>
      <c r="U932" s="77"/>
      <c r="V932" s="77"/>
      <c r="W932" s="77">
        <f t="shared" si="498"/>
        <v>3293.16123486159</v>
      </c>
      <c r="X932" s="79">
        <f t="shared" si="505"/>
        <v>49.2422880622837</v>
      </c>
      <c r="Y932" s="79"/>
      <c r="Z932" s="79"/>
      <c r="AA932" s="79">
        <f t="shared" si="502"/>
        <v>49.2422880622837</v>
      </c>
      <c r="AB932" s="91">
        <v>7.27</v>
      </c>
      <c r="AC932" s="77">
        <f t="shared" si="499"/>
        <v>357.991434212803</v>
      </c>
      <c r="AD932" s="77">
        <f t="shared" si="500"/>
        <v>3651.15266907439</v>
      </c>
      <c r="AE932" s="77">
        <f t="shared" si="501"/>
        <v>614.34733092561</v>
      </c>
    </row>
    <row r="933" customFormat="1" spans="1:31">
      <c r="A933" s="22"/>
      <c r="B933" s="23"/>
      <c r="C933" s="24">
        <v>241225000003</v>
      </c>
      <c r="D933" s="26">
        <v>45658</v>
      </c>
      <c r="E933" s="25" t="s">
        <v>37</v>
      </c>
      <c r="F933" s="23" t="s">
        <v>565</v>
      </c>
      <c r="G933" s="23" t="s">
        <v>566</v>
      </c>
      <c r="H933" s="23">
        <v>12</v>
      </c>
      <c r="I933" s="47"/>
      <c r="J933" s="51">
        <v>189177.3</v>
      </c>
      <c r="K933" s="23"/>
      <c r="L933" s="52">
        <f t="shared" ref="L933:L938" si="510">SUM(J933/M933)</f>
        <v>1665</v>
      </c>
      <c r="M933" s="53">
        <v>113.62</v>
      </c>
      <c r="N933" s="133">
        <v>7.27</v>
      </c>
      <c r="O933" s="47">
        <f t="shared" ref="O933:O938" si="511">SUM(M933*N933)</f>
        <v>826.0174</v>
      </c>
      <c r="P933" s="49"/>
      <c r="Q933" s="49"/>
      <c r="R933" s="77">
        <f t="shared" si="503"/>
        <v>602.522491349481</v>
      </c>
      <c r="S933" s="77"/>
      <c r="T933" s="78">
        <f t="shared" si="504"/>
        <v>0.804757785467128</v>
      </c>
      <c r="U933" s="77"/>
      <c r="V933" s="77"/>
      <c r="W933" s="77">
        <f t="shared" si="498"/>
        <v>603.327249134948</v>
      </c>
      <c r="X933" s="79">
        <f t="shared" si="505"/>
        <v>9.02148788927336</v>
      </c>
      <c r="Y933" s="79"/>
      <c r="Z933" s="79"/>
      <c r="AA933" s="79">
        <f t="shared" si="502"/>
        <v>9.02148788927336</v>
      </c>
      <c r="AB933" s="91">
        <v>7.27</v>
      </c>
      <c r="AC933" s="77">
        <f t="shared" si="499"/>
        <v>65.5862169550173</v>
      </c>
      <c r="AD933" s="77">
        <f t="shared" si="500"/>
        <v>668.913466089965</v>
      </c>
      <c r="AE933" s="77">
        <f t="shared" si="501"/>
        <v>157.103933910035</v>
      </c>
    </row>
    <row r="934" customFormat="1" spans="1:31">
      <c r="A934" s="22"/>
      <c r="B934" s="23"/>
      <c r="C934" s="24">
        <v>241225000009</v>
      </c>
      <c r="D934" s="25">
        <v>45658</v>
      </c>
      <c r="E934" s="25" t="s">
        <v>54</v>
      </c>
      <c r="F934" s="23" t="s">
        <v>55</v>
      </c>
      <c r="G934" s="23" t="s">
        <v>474</v>
      </c>
      <c r="H934" s="23">
        <v>155</v>
      </c>
      <c r="I934" s="43">
        <v>10850</v>
      </c>
      <c r="J934" s="44"/>
      <c r="K934" s="23"/>
      <c r="L934" s="23"/>
      <c r="M934" s="45"/>
      <c r="N934" s="133"/>
      <c r="O934" s="47">
        <f t="shared" ref="O934:O939" si="512">SUM(I934)</f>
        <v>10850</v>
      </c>
      <c r="P934" s="49"/>
      <c r="Q934" s="49"/>
      <c r="R934" s="77">
        <f t="shared" si="503"/>
        <v>7782.5821799308</v>
      </c>
      <c r="S934" s="77"/>
      <c r="T934" s="78">
        <f t="shared" si="504"/>
        <v>10.3947880622837</v>
      </c>
      <c r="U934" s="77"/>
      <c r="V934" s="77"/>
      <c r="W934" s="77">
        <f t="shared" si="498"/>
        <v>7792.97696799308</v>
      </c>
      <c r="X934" s="79">
        <f t="shared" si="505"/>
        <v>116.527551903114</v>
      </c>
      <c r="Y934" s="79"/>
      <c r="Z934" s="79"/>
      <c r="AA934" s="79">
        <f t="shared" si="502"/>
        <v>116.527551903114</v>
      </c>
      <c r="AB934" s="91">
        <v>7.27</v>
      </c>
      <c r="AC934" s="77">
        <f t="shared" si="499"/>
        <v>847.15530233564</v>
      </c>
      <c r="AD934" s="77">
        <f t="shared" si="500"/>
        <v>8640.13227032872</v>
      </c>
      <c r="AE934" s="77">
        <f t="shared" si="501"/>
        <v>2209.86772967128</v>
      </c>
    </row>
    <row r="935" customFormat="1" spans="1:31">
      <c r="A935" s="22"/>
      <c r="B935" s="23"/>
      <c r="C935" s="24">
        <v>241225000010</v>
      </c>
      <c r="D935" s="26">
        <v>45658</v>
      </c>
      <c r="E935" s="25" t="s">
        <v>70</v>
      </c>
      <c r="F935" s="23" t="s">
        <v>70</v>
      </c>
      <c r="G935" s="23" t="s">
        <v>176</v>
      </c>
      <c r="H935" s="23">
        <v>46</v>
      </c>
      <c r="I935" s="47"/>
      <c r="J935" s="51">
        <v>675740</v>
      </c>
      <c r="K935" s="23"/>
      <c r="L935" s="52">
        <f>SUM(J935/M935)</f>
        <v>1643.0568726141</v>
      </c>
      <c r="M935" s="53">
        <v>411.27</v>
      </c>
      <c r="N935" s="133">
        <v>7.27</v>
      </c>
      <c r="O935" s="47">
        <f>SUM(M935*N935)</f>
        <v>2989.9329</v>
      </c>
      <c r="P935" s="49"/>
      <c r="Q935" s="49"/>
      <c r="R935" s="77">
        <f t="shared" si="503"/>
        <v>2309.66955017301</v>
      </c>
      <c r="S935" s="77"/>
      <c r="T935" s="78">
        <f t="shared" si="504"/>
        <v>3.08490484429066</v>
      </c>
      <c r="U935" s="77"/>
      <c r="V935" s="77"/>
      <c r="W935" s="77">
        <f t="shared" si="498"/>
        <v>2312.7544550173</v>
      </c>
      <c r="X935" s="79">
        <f t="shared" si="505"/>
        <v>34.5823702422145</v>
      </c>
      <c r="Y935" s="79"/>
      <c r="Z935" s="79"/>
      <c r="AA935" s="79">
        <f t="shared" si="502"/>
        <v>34.5823702422145</v>
      </c>
      <c r="AB935" s="91">
        <v>7.27</v>
      </c>
      <c r="AC935" s="77">
        <f t="shared" si="499"/>
        <v>251.4138316609</v>
      </c>
      <c r="AD935" s="77">
        <f t="shared" si="500"/>
        <v>2564.1682866782</v>
      </c>
      <c r="AE935" s="77">
        <f t="shared" si="501"/>
        <v>425.7646133218</v>
      </c>
    </row>
    <row r="936" customFormat="1" spans="1:31">
      <c r="A936" s="22"/>
      <c r="B936" s="23"/>
      <c r="C936" s="92">
        <v>241225000012</v>
      </c>
      <c r="D936" s="94">
        <v>45658</v>
      </c>
      <c r="E936" s="25" t="s">
        <v>41</v>
      </c>
      <c r="F936" s="95" t="s">
        <v>42</v>
      </c>
      <c r="G936" s="95" t="s">
        <v>567</v>
      </c>
      <c r="H936" s="95">
        <v>68.5</v>
      </c>
      <c r="I936" s="43">
        <v>4460.5</v>
      </c>
      <c r="J936" s="44"/>
      <c r="K936" s="23"/>
      <c r="L936" s="23"/>
      <c r="M936" s="45"/>
      <c r="N936" s="133"/>
      <c r="O936" s="47">
        <f t="shared" si="512"/>
        <v>4460.5</v>
      </c>
      <c r="P936" s="49"/>
      <c r="Q936" s="49"/>
      <c r="R936" s="77">
        <f t="shared" si="503"/>
        <v>3439.39922145329</v>
      </c>
      <c r="S936" s="77"/>
      <c r="T936" s="78">
        <f t="shared" si="504"/>
        <v>4.59382569204152</v>
      </c>
      <c r="U936" s="77"/>
      <c r="V936" s="77"/>
      <c r="W936" s="77">
        <f t="shared" si="498"/>
        <v>3443.99304714533</v>
      </c>
      <c r="X936" s="79">
        <f t="shared" si="505"/>
        <v>51.4976600346021</v>
      </c>
      <c r="Y936" s="79"/>
      <c r="Z936" s="79"/>
      <c r="AA936" s="79">
        <f t="shared" si="502"/>
        <v>51.4976600346021</v>
      </c>
      <c r="AB936" s="91">
        <v>7.27</v>
      </c>
      <c r="AC936" s="77">
        <f t="shared" si="499"/>
        <v>374.387988451557</v>
      </c>
      <c r="AD936" s="77">
        <f t="shared" si="500"/>
        <v>3818.38103559689</v>
      </c>
      <c r="AE936" s="77">
        <f t="shared" si="501"/>
        <v>642.11896440311</v>
      </c>
    </row>
    <row r="937" customFormat="1" spans="1:31">
      <c r="A937" s="22"/>
      <c r="B937" s="23"/>
      <c r="C937" s="24">
        <v>241226000007</v>
      </c>
      <c r="D937" s="25">
        <v>45658</v>
      </c>
      <c r="E937" s="25" t="s">
        <v>44</v>
      </c>
      <c r="F937" s="23" t="s">
        <v>45</v>
      </c>
      <c r="G937" s="23" t="s">
        <v>568</v>
      </c>
      <c r="H937" s="23">
        <v>5.5</v>
      </c>
      <c r="I937" s="50"/>
      <c r="J937" s="51">
        <v>79695</v>
      </c>
      <c r="K937" s="23"/>
      <c r="L937" s="52">
        <f t="shared" si="510"/>
        <v>1672.15694502728</v>
      </c>
      <c r="M937" s="53">
        <v>47.66</v>
      </c>
      <c r="N937" s="133">
        <v>7.27</v>
      </c>
      <c r="O937" s="47">
        <f t="shared" si="511"/>
        <v>346.4882</v>
      </c>
      <c r="P937" s="49"/>
      <c r="Q937" s="49"/>
      <c r="R937" s="77">
        <f t="shared" si="503"/>
        <v>276.156141868512</v>
      </c>
      <c r="S937" s="77"/>
      <c r="T937" s="78">
        <f t="shared" si="504"/>
        <v>0.3688473183391</v>
      </c>
      <c r="U937" s="77"/>
      <c r="V937" s="77"/>
      <c r="W937" s="77">
        <f t="shared" si="498"/>
        <v>276.524989186851</v>
      </c>
      <c r="X937" s="79">
        <f t="shared" si="505"/>
        <v>4.13484861591696</v>
      </c>
      <c r="Y937" s="79"/>
      <c r="Z937" s="79"/>
      <c r="AA937" s="79">
        <f t="shared" si="502"/>
        <v>4.13484861591696</v>
      </c>
      <c r="AB937" s="91">
        <v>7.27</v>
      </c>
      <c r="AC937" s="77">
        <f t="shared" si="499"/>
        <v>30.0603494377163</v>
      </c>
      <c r="AD937" s="77">
        <f t="shared" si="500"/>
        <v>306.585338624567</v>
      </c>
      <c r="AE937" s="77">
        <f t="shared" si="501"/>
        <v>39.902861375433</v>
      </c>
    </row>
    <row r="938" customFormat="1" spans="1:31">
      <c r="A938" s="22"/>
      <c r="B938" s="23"/>
      <c r="C938" s="24">
        <v>241226000010</v>
      </c>
      <c r="D938" s="25">
        <v>45658</v>
      </c>
      <c r="E938" s="25" t="s">
        <v>44</v>
      </c>
      <c r="F938" s="23" t="s">
        <v>45</v>
      </c>
      <c r="G938" s="23" t="s">
        <v>139</v>
      </c>
      <c r="H938" s="23">
        <v>18.5</v>
      </c>
      <c r="I938" s="50"/>
      <c r="J938" s="51">
        <v>266900</v>
      </c>
      <c r="K938" s="23"/>
      <c r="L938" s="52">
        <f t="shared" si="510"/>
        <v>1664.89925768823</v>
      </c>
      <c r="M938" s="53">
        <v>160.31</v>
      </c>
      <c r="N938" s="133">
        <v>7.27</v>
      </c>
      <c r="O938" s="47">
        <f t="shared" si="511"/>
        <v>1165.4537</v>
      </c>
      <c r="P938" s="49"/>
      <c r="Q938" s="49"/>
      <c r="R938" s="77">
        <f t="shared" si="503"/>
        <v>928.88884083045</v>
      </c>
      <c r="S938" s="77"/>
      <c r="T938" s="78">
        <f t="shared" si="504"/>
        <v>1.24066825259516</v>
      </c>
      <c r="U938" s="77"/>
      <c r="V938" s="77"/>
      <c r="W938" s="77">
        <f t="shared" si="498"/>
        <v>930.129509083045</v>
      </c>
      <c r="X938" s="79">
        <f t="shared" si="505"/>
        <v>13.9081271626298</v>
      </c>
      <c r="Y938" s="79"/>
      <c r="Z938" s="79"/>
      <c r="AA938" s="79">
        <f t="shared" si="502"/>
        <v>13.9081271626298</v>
      </c>
      <c r="AB938" s="91">
        <v>7.27</v>
      </c>
      <c r="AC938" s="77">
        <f t="shared" si="499"/>
        <v>101.112084472318</v>
      </c>
      <c r="AD938" s="77">
        <f t="shared" si="500"/>
        <v>1031.24159355536</v>
      </c>
      <c r="AE938" s="77">
        <f t="shared" si="501"/>
        <v>134.21210644464</v>
      </c>
    </row>
    <row r="939" customFormat="1" spans="1:31">
      <c r="A939" s="22"/>
      <c r="B939" s="23"/>
      <c r="C939" s="24">
        <v>241226000012</v>
      </c>
      <c r="D939" s="25">
        <v>45658</v>
      </c>
      <c r="E939" s="25" t="s">
        <v>44</v>
      </c>
      <c r="F939" s="23" t="s">
        <v>45</v>
      </c>
      <c r="G939" s="23" t="s">
        <v>225</v>
      </c>
      <c r="H939" s="23">
        <v>29.5</v>
      </c>
      <c r="I939" s="43">
        <v>1970</v>
      </c>
      <c r="J939" s="44"/>
      <c r="K939" s="23"/>
      <c r="L939" s="23"/>
      <c r="M939" s="45"/>
      <c r="N939" s="133"/>
      <c r="O939" s="47">
        <f t="shared" si="512"/>
        <v>1970</v>
      </c>
      <c r="P939" s="49"/>
      <c r="Q939" s="49"/>
      <c r="R939" s="77">
        <f t="shared" si="503"/>
        <v>1481.20112456747</v>
      </c>
      <c r="S939" s="77"/>
      <c r="T939" s="78">
        <f t="shared" si="504"/>
        <v>1.97836288927336</v>
      </c>
      <c r="U939" s="77"/>
      <c r="V939" s="78">
        <v>141</v>
      </c>
      <c r="W939" s="77">
        <f t="shared" si="498"/>
        <v>1624.17948745675</v>
      </c>
      <c r="X939" s="79">
        <f t="shared" si="505"/>
        <v>22.1778243944637</v>
      </c>
      <c r="Y939" s="79"/>
      <c r="Z939" s="79"/>
      <c r="AA939" s="79">
        <f t="shared" si="502"/>
        <v>22.1778243944637</v>
      </c>
      <c r="AB939" s="91">
        <v>7.27</v>
      </c>
      <c r="AC939" s="77">
        <f t="shared" si="499"/>
        <v>161.232783347751</v>
      </c>
      <c r="AD939" s="77">
        <f t="shared" si="500"/>
        <v>1785.4122708045</v>
      </c>
      <c r="AE939" s="77">
        <f t="shared" si="501"/>
        <v>184.5877291955</v>
      </c>
    </row>
    <row r="940" customFormat="1" spans="1:31">
      <c r="A940" s="22"/>
      <c r="B940" s="23"/>
      <c r="C940" s="24">
        <v>241226000014</v>
      </c>
      <c r="D940" s="25">
        <v>45658</v>
      </c>
      <c r="E940" s="25" t="s">
        <v>61</v>
      </c>
      <c r="F940" s="23" t="s">
        <v>62</v>
      </c>
      <c r="G940" s="23" t="s">
        <v>121</v>
      </c>
      <c r="H940" s="23">
        <v>4</v>
      </c>
      <c r="I940" s="50"/>
      <c r="J940" s="51">
        <v>64807</v>
      </c>
      <c r="K940" s="23"/>
      <c r="L940" s="52">
        <f t="shared" ref="L940:L942" si="513">SUM(J940/M940)</f>
        <v>1665.13360739979</v>
      </c>
      <c r="M940" s="53">
        <v>38.92</v>
      </c>
      <c r="N940" s="133">
        <v>7.27</v>
      </c>
      <c r="O940" s="47">
        <f t="shared" ref="O940:O942" si="514">SUM(M940*N940)</f>
        <v>282.9484</v>
      </c>
      <c r="P940" s="49"/>
      <c r="Q940" s="49"/>
      <c r="R940" s="77">
        <f t="shared" si="503"/>
        <v>200.840830449827</v>
      </c>
      <c r="S940" s="77"/>
      <c r="T940" s="78">
        <f t="shared" si="504"/>
        <v>0.268252595155709</v>
      </c>
      <c r="U940" s="77"/>
      <c r="V940" s="77"/>
      <c r="W940" s="77">
        <f t="shared" si="498"/>
        <v>201.109083044983</v>
      </c>
      <c r="X940" s="79">
        <f t="shared" si="505"/>
        <v>3.00716262975779</v>
      </c>
      <c r="Y940" s="79"/>
      <c r="Z940" s="79"/>
      <c r="AA940" s="79">
        <f t="shared" si="502"/>
        <v>3.00716262975779</v>
      </c>
      <c r="AB940" s="91">
        <v>7.27</v>
      </c>
      <c r="AC940" s="77">
        <f t="shared" si="499"/>
        <v>21.8620723183391</v>
      </c>
      <c r="AD940" s="77">
        <f t="shared" si="500"/>
        <v>222.971155363322</v>
      </c>
      <c r="AE940" s="77">
        <f t="shared" si="501"/>
        <v>59.977244636678</v>
      </c>
    </row>
    <row r="941" customFormat="1" spans="1:31">
      <c r="A941" s="22"/>
      <c r="B941" s="23"/>
      <c r="C941" s="24">
        <v>241226000017</v>
      </c>
      <c r="D941" s="25">
        <v>45658</v>
      </c>
      <c r="E941" s="25" t="s">
        <v>44</v>
      </c>
      <c r="F941" s="23" t="s">
        <v>45</v>
      </c>
      <c r="G941" s="23" t="s">
        <v>148</v>
      </c>
      <c r="H941" s="23">
        <v>7</v>
      </c>
      <c r="I941" s="50"/>
      <c r="J941" s="51">
        <v>108775</v>
      </c>
      <c r="K941" s="23"/>
      <c r="L941" s="52">
        <f t="shared" si="513"/>
        <v>1665.00841879688</v>
      </c>
      <c r="M941" s="53">
        <v>65.33</v>
      </c>
      <c r="N941" s="133">
        <v>7.27</v>
      </c>
      <c r="O941" s="47">
        <f t="shared" si="514"/>
        <v>474.9491</v>
      </c>
      <c r="P941" s="49"/>
      <c r="Q941" s="49"/>
      <c r="R941" s="77">
        <f t="shared" si="503"/>
        <v>351.471453287197</v>
      </c>
      <c r="S941" s="77"/>
      <c r="T941" s="78">
        <f t="shared" si="504"/>
        <v>0.469442041522491</v>
      </c>
      <c r="U941" s="77"/>
      <c r="V941" s="77"/>
      <c r="W941" s="77">
        <f t="shared" si="498"/>
        <v>351.94089532872</v>
      </c>
      <c r="X941" s="79">
        <f t="shared" si="505"/>
        <v>5.26253460207612</v>
      </c>
      <c r="Y941" s="79"/>
      <c r="Z941" s="79"/>
      <c r="AA941" s="79">
        <f t="shared" si="502"/>
        <v>5.26253460207612</v>
      </c>
      <c r="AB941" s="91">
        <v>7.27</v>
      </c>
      <c r="AC941" s="77">
        <f t="shared" si="499"/>
        <v>38.2586265570934</v>
      </c>
      <c r="AD941" s="77">
        <f t="shared" si="500"/>
        <v>390.199521885813</v>
      </c>
      <c r="AE941" s="77">
        <f t="shared" si="501"/>
        <v>84.749578114187</v>
      </c>
    </row>
    <row r="942" customFormat="1" spans="1:31">
      <c r="A942" s="22"/>
      <c r="B942" s="23"/>
      <c r="C942" s="24">
        <v>241226000018</v>
      </c>
      <c r="D942" s="25">
        <v>45658</v>
      </c>
      <c r="E942" s="25" t="s">
        <v>37</v>
      </c>
      <c r="F942" s="23" t="s">
        <v>38</v>
      </c>
      <c r="G942" s="23" t="s">
        <v>569</v>
      </c>
      <c r="H942" s="23">
        <v>36.5</v>
      </c>
      <c r="I942" s="47"/>
      <c r="J942" s="51">
        <v>598152</v>
      </c>
      <c r="K942" s="23"/>
      <c r="L942" s="52">
        <f t="shared" si="513"/>
        <v>1665.00208768267</v>
      </c>
      <c r="M942" s="53">
        <v>359.25</v>
      </c>
      <c r="N942" s="133">
        <v>7.27</v>
      </c>
      <c r="O942" s="47">
        <f t="shared" si="514"/>
        <v>2611.7475</v>
      </c>
      <c r="P942" s="49"/>
      <c r="Q942" s="49"/>
      <c r="R942" s="77">
        <f t="shared" si="503"/>
        <v>1832.67257785467</v>
      </c>
      <c r="S942" s="77"/>
      <c r="T942" s="78">
        <f t="shared" si="504"/>
        <v>2.44780493079585</v>
      </c>
      <c r="U942" s="77"/>
      <c r="V942" s="77"/>
      <c r="W942" s="77">
        <f t="shared" si="498"/>
        <v>1835.12038278547</v>
      </c>
      <c r="X942" s="79">
        <f t="shared" si="505"/>
        <v>27.4403589965398</v>
      </c>
      <c r="Y942" s="79"/>
      <c r="Z942" s="79"/>
      <c r="AA942" s="79">
        <f t="shared" si="502"/>
        <v>27.4403589965398</v>
      </c>
      <c r="AB942" s="91">
        <v>7.27</v>
      </c>
      <c r="AC942" s="77">
        <f t="shared" si="499"/>
        <v>199.491409904844</v>
      </c>
      <c r="AD942" s="77">
        <f t="shared" si="500"/>
        <v>2034.61179269031</v>
      </c>
      <c r="AE942" s="77">
        <f t="shared" si="501"/>
        <v>577.13570730969</v>
      </c>
    </row>
    <row r="943" customFormat="1" spans="1:31">
      <c r="A943" s="22"/>
      <c r="B943" s="23"/>
      <c r="C943" s="24">
        <v>241226000020</v>
      </c>
      <c r="D943" s="25">
        <v>45658</v>
      </c>
      <c r="E943" s="25" t="s">
        <v>54</v>
      </c>
      <c r="F943" s="23" t="s">
        <v>55</v>
      </c>
      <c r="G943" s="23" t="s">
        <v>551</v>
      </c>
      <c r="H943" s="23">
        <v>13</v>
      </c>
      <c r="I943" s="43">
        <v>975</v>
      </c>
      <c r="J943" s="44"/>
      <c r="K943" s="23"/>
      <c r="L943" s="23"/>
      <c r="M943" s="45"/>
      <c r="N943" s="133"/>
      <c r="O943" s="47">
        <f>SUM(I943)</f>
        <v>975</v>
      </c>
      <c r="P943" s="49"/>
      <c r="Q943" s="49"/>
      <c r="R943" s="77">
        <f t="shared" si="503"/>
        <v>652.732698961938</v>
      </c>
      <c r="S943" s="77"/>
      <c r="T943" s="78">
        <f t="shared" si="504"/>
        <v>0.871820934256055</v>
      </c>
      <c r="U943" s="78">
        <v>60</v>
      </c>
      <c r="V943" s="77"/>
      <c r="W943" s="77">
        <f t="shared" ref="W943:W960" si="515">SUM(R943:V943)</f>
        <v>713.604519896194</v>
      </c>
      <c r="X943" s="79">
        <f t="shared" si="505"/>
        <v>9.7732785467128</v>
      </c>
      <c r="Y943" s="79"/>
      <c r="Z943" s="79"/>
      <c r="AA943" s="79">
        <f t="shared" si="502"/>
        <v>9.7732785467128</v>
      </c>
      <c r="AB943" s="91">
        <v>7.27</v>
      </c>
      <c r="AC943" s="77">
        <f t="shared" ref="AC943:AC961" si="516">SUM(AA943*AB943)</f>
        <v>71.0517350346021</v>
      </c>
      <c r="AD943" s="77">
        <f t="shared" ref="AD943:AD961" si="517">SUM(W943+AC943)</f>
        <v>784.656254930796</v>
      </c>
      <c r="AE943" s="77">
        <f t="shared" ref="AE943:AE960" si="518">SUM(O943-AD943)</f>
        <v>190.343745069204</v>
      </c>
    </row>
    <row r="944" customFormat="1" spans="1:31">
      <c r="A944" s="22"/>
      <c r="B944" s="23"/>
      <c r="C944" s="24">
        <v>241226000021</v>
      </c>
      <c r="D944" s="25">
        <v>45658</v>
      </c>
      <c r="E944" s="25" t="s">
        <v>44</v>
      </c>
      <c r="F944" s="23" t="s">
        <v>45</v>
      </c>
      <c r="G944" s="23" t="s">
        <v>159</v>
      </c>
      <c r="H944" s="23">
        <v>23</v>
      </c>
      <c r="I944" s="50"/>
      <c r="J944" s="51">
        <v>350980</v>
      </c>
      <c r="K944" s="23"/>
      <c r="L944" s="52">
        <f t="shared" ref="L944:L949" si="519">SUM(J944/M944)</f>
        <v>1584.91758862046</v>
      </c>
      <c r="M944" s="53">
        <v>221.45</v>
      </c>
      <c r="N944" s="57">
        <v>7.27</v>
      </c>
      <c r="O944" s="47">
        <f t="shared" ref="O944:O949" si="520">SUM(M944*N944)</f>
        <v>1609.9415</v>
      </c>
      <c r="P944" s="49"/>
      <c r="Q944" s="49"/>
      <c r="R944" s="77">
        <f t="shared" si="503"/>
        <v>1154.83477508651</v>
      </c>
      <c r="S944" s="77"/>
      <c r="T944" s="78">
        <f t="shared" si="504"/>
        <v>1.54245242214533</v>
      </c>
      <c r="U944" s="77"/>
      <c r="V944" s="77"/>
      <c r="W944" s="77">
        <f t="shared" si="515"/>
        <v>1156.37722750865</v>
      </c>
      <c r="X944" s="79">
        <f t="shared" si="505"/>
        <v>17.2911851211073</v>
      </c>
      <c r="Y944" s="79"/>
      <c r="Z944" s="79"/>
      <c r="AA944" s="79">
        <f t="shared" ref="AA944:AA960" si="521">SUM(X944:Z944)</f>
        <v>17.2911851211073</v>
      </c>
      <c r="AB944" s="91">
        <v>7.27</v>
      </c>
      <c r="AC944" s="77">
        <f t="shared" si="516"/>
        <v>125.70691583045</v>
      </c>
      <c r="AD944" s="77">
        <f t="shared" si="517"/>
        <v>1282.0841433391</v>
      </c>
      <c r="AE944" s="77">
        <f t="shared" si="518"/>
        <v>327.8573566609</v>
      </c>
    </row>
    <row r="945" customFormat="1" spans="1:31">
      <c r="A945" s="22"/>
      <c r="B945" s="23"/>
      <c r="C945" s="24">
        <v>241226000022</v>
      </c>
      <c r="D945" s="25">
        <v>45658</v>
      </c>
      <c r="E945" s="25" t="s">
        <v>44</v>
      </c>
      <c r="F945" s="23" t="s">
        <v>45</v>
      </c>
      <c r="G945" s="23" t="s">
        <v>170</v>
      </c>
      <c r="H945" s="23">
        <v>7</v>
      </c>
      <c r="I945" s="96"/>
      <c r="J945" s="51">
        <v>90405</v>
      </c>
      <c r="K945" s="23"/>
      <c r="L945" s="52">
        <f t="shared" si="519"/>
        <v>1490.35608308605</v>
      </c>
      <c r="M945" s="53">
        <v>60.66</v>
      </c>
      <c r="N945" s="57">
        <v>7.27</v>
      </c>
      <c r="O945" s="47">
        <f t="shared" si="520"/>
        <v>440.9982</v>
      </c>
      <c r="P945" s="49"/>
      <c r="Q945" s="49"/>
      <c r="R945" s="77">
        <f t="shared" si="503"/>
        <v>351.471453287197</v>
      </c>
      <c r="S945" s="77"/>
      <c r="T945" s="78">
        <f t="shared" si="504"/>
        <v>0.469442041522491</v>
      </c>
      <c r="U945" s="77"/>
      <c r="V945" s="77"/>
      <c r="W945" s="77">
        <f t="shared" si="515"/>
        <v>351.94089532872</v>
      </c>
      <c r="X945" s="79">
        <f t="shared" si="505"/>
        <v>5.26253460207612</v>
      </c>
      <c r="Y945" s="79"/>
      <c r="Z945" s="79"/>
      <c r="AA945" s="79">
        <f t="shared" si="521"/>
        <v>5.26253460207612</v>
      </c>
      <c r="AB945" s="91">
        <v>7.27</v>
      </c>
      <c r="AC945" s="77">
        <f t="shared" si="516"/>
        <v>38.2586265570934</v>
      </c>
      <c r="AD945" s="77">
        <f t="shared" si="517"/>
        <v>390.199521885813</v>
      </c>
      <c r="AE945" s="77">
        <f t="shared" si="518"/>
        <v>50.7986781141869</v>
      </c>
    </row>
    <row r="946" customFormat="1" spans="1:31">
      <c r="A946" s="22"/>
      <c r="B946" s="23"/>
      <c r="C946" s="24">
        <v>241226000025</v>
      </c>
      <c r="D946" s="25">
        <v>45658</v>
      </c>
      <c r="E946" s="25" t="s">
        <v>44</v>
      </c>
      <c r="F946" s="23" t="s">
        <v>45</v>
      </c>
      <c r="G946" s="23" t="s">
        <v>159</v>
      </c>
      <c r="H946" s="23">
        <v>20</v>
      </c>
      <c r="I946" s="50"/>
      <c r="J946" s="51">
        <v>318280</v>
      </c>
      <c r="K946" s="23"/>
      <c r="L946" s="52">
        <f t="shared" si="519"/>
        <v>1584.90190220098</v>
      </c>
      <c r="M946" s="53">
        <v>200.82</v>
      </c>
      <c r="N946" s="57">
        <v>7.27</v>
      </c>
      <c r="O946" s="47">
        <f t="shared" si="520"/>
        <v>1459.9614</v>
      </c>
      <c r="P946" s="49"/>
      <c r="Q946" s="49"/>
      <c r="R946" s="77">
        <f t="shared" si="503"/>
        <v>1004.20415224913</v>
      </c>
      <c r="S946" s="77"/>
      <c r="T946" s="78">
        <f t="shared" si="504"/>
        <v>1.34126297577855</v>
      </c>
      <c r="U946" s="77"/>
      <c r="V946" s="77"/>
      <c r="W946" s="77">
        <f t="shared" si="515"/>
        <v>1005.54541522491</v>
      </c>
      <c r="X946" s="79">
        <f t="shared" si="505"/>
        <v>15.0358131487889</v>
      </c>
      <c r="Y946" s="79"/>
      <c r="Z946" s="79"/>
      <c r="AA946" s="79">
        <f t="shared" si="521"/>
        <v>15.0358131487889</v>
      </c>
      <c r="AB946" s="91">
        <v>7.27</v>
      </c>
      <c r="AC946" s="77">
        <f t="shared" si="516"/>
        <v>109.310361591696</v>
      </c>
      <c r="AD946" s="77">
        <f t="shared" si="517"/>
        <v>1114.85577681661</v>
      </c>
      <c r="AE946" s="77">
        <f t="shared" si="518"/>
        <v>345.105623183391</v>
      </c>
    </row>
    <row r="947" customFormat="1" spans="1:31">
      <c r="A947" s="22"/>
      <c r="B947" s="23"/>
      <c r="C947" s="24">
        <v>241226000035</v>
      </c>
      <c r="D947" s="26">
        <v>45658</v>
      </c>
      <c r="E947" s="25" t="s">
        <v>70</v>
      </c>
      <c r="F947" s="23" t="s">
        <v>70</v>
      </c>
      <c r="G947" s="23" t="s">
        <v>282</v>
      </c>
      <c r="H947" s="23">
        <v>260.5</v>
      </c>
      <c r="I947" s="47"/>
      <c r="J947" s="51">
        <v>3948847.2</v>
      </c>
      <c r="K947" s="23"/>
      <c r="L947" s="52">
        <f t="shared" si="519"/>
        <v>1665</v>
      </c>
      <c r="M947" s="53">
        <v>2371.68</v>
      </c>
      <c r="N947" s="133">
        <v>7.27</v>
      </c>
      <c r="O947" s="47">
        <f t="shared" si="520"/>
        <v>17242.1136</v>
      </c>
      <c r="P947" s="49"/>
      <c r="Q947" s="49"/>
      <c r="R947" s="77">
        <f t="shared" si="503"/>
        <v>13079.759083045</v>
      </c>
      <c r="S947" s="77"/>
      <c r="T947" s="78">
        <f t="shared" si="504"/>
        <v>17.4699502595156</v>
      </c>
      <c r="U947" s="77"/>
      <c r="V947" s="77"/>
      <c r="W947" s="77">
        <f t="shared" si="515"/>
        <v>13097.2290333045</v>
      </c>
      <c r="X947" s="79">
        <f t="shared" si="505"/>
        <v>195.841466262976</v>
      </c>
      <c r="Y947" s="79"/>
      <c r="Z947" s="79"/>
      <c r="AA947" s="79">
        <f t="shared" si="521"/>
        <v>195.841466262976</v>
      </c>
      <c r="AB947" s="91">
        <v>7.27</v>
      </c>
      <c r="AC947" s="77">
        <f t="shared" si="516"/>
        <v>1423.76745973183</v>
      </c>
      <c r="AD947" s="77">
        <f t="shared" si="517"/>
        <v>14520.9964930363</v>
      </c>
      <c r="AE947" s="77">
        <f t="shared" si="518"/>
        <v>2721.11710696367</v>
      </c>
    </row>
    <row r="948" customFormat="1" spans="1:31">
      <c r="A948" s="22"/>
      <c r="B948" s="23"/>
      <c r="C948" s="24">
        <v>241227000001</v>
      </c>
      <c r="D948" s="26">
        <v>45658</v>
      </c>
      <c r="E948" s="25" t="s">
        <v>54</v>
      </c>
      <c r="F948" s="23">
        <v>13635229849</v>
      </c>
      <c r="G948" s="23" t="s">
        <v>374</v>
      </c>
      <c r="H948" s="23">
        <v>4</v>
      </c>
      <c r="I948" s="47"/>
      <c r="J948" s="51">
        <v>72161</v>
      </c>
      <c r="K948" s="23"/>
      <c r="L948" s="52">
        <f t="shared" si="519"/>
        <v>1664.99769266267</v>
      </c>
      <c r="M948" s="53">
        <v>43.34</v>
      </c>
      <c r="N948" s="133">
        <v>7.27</v>
      </c>
      <c r="O948" s="47">
        <f t="shared" si="520"/>
        <v>315.0818</v>
      </c>
      <c r="P948" s="49"/>
      <c r="Q948" s="49"/>
      <c r="R948" s="77">
        <f t="shared" si="503"/>
        <v>200.840830449827</v>
      </c>
      <c r="S948" s="77"/>
      <c r="T948" s="78">
        <f t="shared" si="504"/>
        <v>0.268252595155709</v>
      </c>
      <c r="U948" s="77"/>
      <c r="V948" s="77"/>
      <c r="W948" s="77">
        <f t="shared" si="515"/>
        <v>201.109083044983</v>
      </c>
      <c r="X948" s="79">
        <f t="shared" si="505"/>
        <v>3.00716262975779</v>
      </c>
      <c r="Y948" s="79"/>
      <c r="Z948" s="79"/>
      <c r="AA948" s="79">
        <f t="shared" si="521"/>
        <v>3.00716262975779</v>
      </c>
      <c r="AB948" s="91">
        <v>7.27</v>
      </c>
      <c r="AC948" s="77">
        <f t="shared" si="516"/>
        <v>21.8620723183391</v>
      </c>
      <c r="AD948" s="77">
        <f t="shared" si="517"/>
        <v>222.971155363322</v>
      </c>
      <c r="AE948" s="77">
        <f t="shared" si="518"/>
        <v>92.1106446366782</v>
      </c>
    </row>
    <row r="949" customFormat="1" spans="1:31">
      <c r="A949" s="22"/>
      <c r="B949" s="23"/>
      <c r="C949" s="24">
        <v>241227000004</v>
      </c>
      <c r="D949" s="25">
        <v>45658</v>
      </c>
      <c r="E949" s="25" t="s">
        <v>37</v>
      </c>
      <c r="F949" s="23" t="s">
        <v>38</v>
      </c>
      <c r="G949" s="23" t="s">
        <v>151</v>
      </c>
      <c r="H949" s="23">
        <v>6.5</v>
      </c>
      <c r="I949" s="47"/>
      <c r="J949" s="51">
        <v>101731</v>
      </c>
      <c r="K949" s="23"/>
      <c r="L949" s="52">
        <f t="shared" si="519"/>
        <v>1664.99181669394</v>
      </c>
      <c r="M949" s="53">
        <v>61.1</v>
      </c>
      <c r="N949" s="133">
        <v>7.27</v>
      </c>
      <c r="O949" s="47">
        <f t="shared" si="520"/>
        <v>444.197</v>
      </c>
      <c r="P949" s="49"/>
      <c r="Q949" s="49"/>
      <c r="R949" s="77">
        <f t="shared" si="503"/>
        <v>326.366349480969</v>
      </c>
      <c r="S949" s="77"/>
      <c r="T949" s="78">
        <f t="shared" si="504"/>
        <v>0.435910467128028</v>
      </c>
      <c r="U949" s="77"/>
      <c r="V949" s="77"/>
      <c r="W949" s="77">
        <f t="shared" si="515"/>
        <v>326.802259948097</v>
      </c>
      <c r="X949" s="79">
        <f t="shared" si="505"/>
        <v>4.8866392733564</v>
      </c>
      <c r="Y949" s="79"/>
      <c r="Z949" s="79"/>
      <c r="AA949" s="79">
        <f t="shared" si="521"/>
        <v>4.8866392733564</v>
      </c>
      <c r="AB949" s="91">
        <v>7.27</v>
      </c>
      <c r="AC949" s="77">
        <f t="shared" si="516"/>
        <v>35.525867517301</v>
      </c>
      <c r="AD949" s="77">
        <f t="shared" si="517"/>
        <v>362.328127465398</v>
      </c>
      <c r="AE949" s="77">
        <f t="shared" si="518"/>
        <v>81.868872534602</v>
      </c>
    </row>
    <row r="950" customFormat="1" spans="1:31">
      <c r="A950" s="22"/>
      <c r="B950" s="23"/>
      <c r="C950" s="24">
        <v>241227000008</v>
      </c>
      <c r="D950" s="25">
        <v>45658</v>
      </c>
      <c r="E950" s="25" t="s">
        <v>37</v>
      </c>
      <c r="F950" s="23" t="s">
        <v>38</v>
      </c>
      <c r="G950" s="23" t="s">
        <v>570</v>
      </c>
      <c r="H950" s="23">
        <v>13</v>
      </c>
      <c r="I950" s="43">
        <v>849</v>
      </c>
      <c r="J950" s="44"/>
      <c r="K950" s="23"/>
      <c r="L950" s="23"/>
      <c r="M950" s="45"/>
      <c r="N950" s="133"/>
      <c r="O950" s="47">
        <f t="shared" ref="O950:O952" si="522">SUM(I950)</f>
        <v>849</v>
      </c>
      <c r="P950" s="49"/>
      <c r="Q950" s="49"/>
      <c r="R950" s="77">
        <f t="shared" si="503"/>
        <v>652.732698961938</v>
      </c>
      <c r="S950" s="77"/>
      <c r="T950" s="78">
        <f t="shared" si="504"/>
        <v>0.871820934256055</v>
      </c>
      <c r="U950" s="77"/>
      <c r="V950" s="77"/>
      <c r="W950" s="77">
        <f t="shared" si="515"/>
        <v>653.604519896194</v>
      </c>
      <c r="X950" s="79">
        <f t="shared" si="505"/>
        <v>9.7732785467128</v>
      </c>
      <c r="Y950" s="79"/>
      <c r="Z950" s="79"/>
      <c r="AA950" s="79">
        <f t="shared" si="521"/>
        <v>9.7732785467128</v>
      </c>
      <c r="AB950" s="91">
        <v>7.27</v>
      </c>
      <c r="AC950" s="77">
        <f t="shared" si="516"/>
        <v>71.0517350346021</v>
      </c>
      <c r="AD950" s="77">
        <f t="shared" si="517"/>
        <v>724.656254930796</v>
      </c>
      <c r="AE950" s="77">
        <f t="shared" si="518"/>
        <v>124.343745069204</v>
      </c>
    </row>
    <row r="951" customFormat="1" spans="1:31">
      <c r="A951" s="22"/>
      <c r="B951" s="23"/>
      <c r="C951" s="24">
        <v>241227000009</v>
      </c>
      <c r="D951" s="25">
        <v>45658</v>
      </c>
      <c r="E951" s="25" t="s">
        <v>61</v>
      </c>
      <c r="F951" s="23" t="s">
        <v>62</v>
      </c>
      <c r="G951" s="23" t="s">
        <v>174</v>
      </c>
      <c r="H951" s="23">
        <v>95.5</v>
      </c>
      <c r="I951" s="43">
        <v>5734.5</v>
      </c>
      <c r="J951" s="44"/>
      <c r="K951" s="23"/>
      <c r="L951" s="23"/>
      <c r="M951" s="45"/>
      <c r="N951" s="133"/>
      <c r="O951" s="47">
        <f t="shared" si="522"/>
        <v>5734.5</v>
      </c>
      <c r="P951" s="49"/>
      <c r="Q951" s="49"/>
      <c r="R951" s="77">
        <f t="shared" si="503"/>
        <v>4795.07482698962</v>
      </c>
      <c r="S951" s="77"/>
      <c r="T951" s="78">
        <f t="shared" si="504"/>
        <v>6.40453070934256</v>
      </c>
      <c r="U951" s="78">
        <v>100</v>
      </c>
      <c r="V951" s="77"/>
      <c r="W951" s="77">
        <f t="shared" si="515"/>
        <v>4901.47935769896</v>
      </c>
      <c r="X951" s="79">
        <f t="shared" si="505"/>
        <v>71.7960077854671</v>
      </c>
      <c r="Y951" s="79"/>
      <c r="Z951" s="79"/>
      <c r="AA951" s="79">
        <f t="shared" si="521"/>
        <v>71.7960077854671</v>
      </c>
      <c r="AB951" s="91">
        <v>7.27</v>
      </c>
      <c r="AC951" s="77">
        <f t="shared" si="516"/>
        <v>521.956976600346</v>
      </c>
      <c r="AD951" s="77">
        <f t="shared" si="517"/>
        <v>5423.43633429931</v>
      </c>
      <c r="AE951" s="77">
        <f t="shared" si="518"/>
        <v>311.063665700692</v>
      </c>
    </row>
    <row r="952" customFormat="1" spans="1:31">
      <c r="A952" s="22"/>
      <c r="B952" s="23"/>
      <c r="C952" s="24">
        <v>241227000011</v>
      </c>
      <c r="D952" s="25">
        <v>45658</v>
      </c>
      <c r="E952" s="25" t="s">
        <v>37</v>
      </c>
      <c r="F952" s="23" t="s">
        <v>38</v>
      </c>
      <c r="G952" s="23" t="s">
        <v>571</v>
      </c>
      <c r="H952" s="23">
        <v>9.5</v>
      </c>
      <c r="I952" s="43">
        <v>752</v>
      </c>
      <c r="J952" s="44"/>
      <c r="K952" s="23"/>
      <c r="L952" s="23"/>
      <c r="M952" s="45"/>
      <c r="N952" s="133"/>
      <c r="O952" s="47">
        <f t="shared" si="522"/>
        <v>752</v>
      </c>
      <c r="P952" s="49"/>
      <c r="Q952" s="49"/>
      <c r="R952" s="77">
        <f t="shared" si="503"/>
        <v>476.996972318339</v>
      </c>
      <c r="S952" s="77"/>
      <c r="T952" s="78">
        <f t="shared" si="504"/>
        <v>0.63709991349481</v>
      </c>
      <c r="U952" s="77"/>
      <c r="V952" s="77"/>
      <c r="W952" s="77">
        <f t="shared" si="515"/>
        <v>477.634072231834</v>
      </c>
      <c r="X952" s="79">
        <f t="shared" si="505"/>
        <v>7.14201124567474</v>
      </c>
      <c r="Y952" s="79">
        <v>14.44</v>
      </c>
      <c r="Z952" s="79"/>
      <c r="AA952" s="79">
        <f t="shared" si="521"/>
        <v>21.5820112456747</v>
      </c>
      <c r="AB952" s="91">
        <v>7.27</v>
      </c>
      <c r="AC952" s="77">
        <f t="shared" si="516"/>
        <v>156.901221756055</v>
      </c>
      <c r="AD952" s="77">
        <f t="shared" si="517"/>
        <v>634.535293987889</v>
      </c>
      <c r="AE952" s="77">
        <f t="shared" si="518"/>
        <v>117.464706012111</v>
      </c>
    </row>
    <row r="953" customFormat="1" spans="1:31">
      <c r="A953" s="22"/>
      <c r="B953" s="23"/>
      <c r="C953" s="24">
        <v>241227000016</v>
      </c>
      <c r="D953" s="25">
        <v>45658</v>
      </c>
      <c r="E953" s="25" t="s">
        <v>44</v>
      </c>
      <c r="F953" s="23" t="s">
        <v>45</v>
      </c>
      <c r="G953" s="23" t="s">
        <v>219</v>
      </c>
      <c r="H953" s="23">
        <v>4.5</v>
      </c>
      <c r="I953" s="47"/>
      <c r="J953" s="51">
        <v>74143</v>
      </c>
      <c r="K953" s="23"/>
      <c r="L953" s="52">
        <f>SUM(J953/M953)</f>
        <v>1665.01235122389</v>
      </c>
      <c r="M953" s="53">
        <v>44.53</v>
      </c>
      <c r="N953" s="133">
        <v>7.27</v>
      </c>
      <c r="O953" s="47">
        <f>SUM(M953*N953)</f>
        <v>323.7331</v>
      </c>
      <c r="P953" s="49"/>
      <c r="Q953" s="49"/>
      <c r="R953" s="77">
        <f t="shared" si="503"/>
        <v>225.945934256055</v>
      </c>
      <c r="S953" s="77"/>
      <c r="T953" s="78">
        <f t="shared" si="504"/>
        <v>0.301784169550173</v>
      </c>
      <c r="U953" s="77"/>
      <c r="V953" s="77"/>
      <c r="W953" s="77">
        <f t="shared" si="515"/>
        <v>226.247718425606</v>
      </c>
      <c r="X953" s="79">
        <f t="shared" si="505"/>
        <v>3.38305795847751</v>
      </c>
      <c r="Y953" s="79"/>
      <c r="Z953" s="79"/>
      <c r="AA953" s="79">
        <f t="shared" si="521"/>
        <v>3.38305795847751</v>
      </c>
      <c r="AB953" s="91">
        <v>7.27</v>
      </c>
      <c r="AC953" s="77">
        <f t="shared" si="516"/>
        <v>24.5948313581315</v>
      </c>
      <c r="AD953" s="77">
        <f t="shared" si="517"/>
        <v>250.842549783737</v>
      </c>
      <c r="AE953" s="77">
        <f t="shared" si="518"/>
        <v>72.8905502162629</v>
      </c>
    </row>
    <row r="954" customFormat="1" spans="1:31">
      <c r="A954" s="22"/>
      <c r="B954" s="23"/>
      <c r="C954" s="24">
        <v>241227000019</v>
      </c>
      <c r="D954" s="25">
        <v>45658</v>
      </c>
      <c r="E954" s="25" t="s">
        <v>54</v>
      </c>
      <c r="F954" s="23" t="s">
        <v>55</v>
      </c>
      <c r="G954" s="23" t="s">
        <v>572</v>
      </c>
      <c r="H954" s="23">
        <v>139.5</v>
      </c>
      <c r="I954" s="43">
        <v>9067.5</v>
      </c>
      <c r="J954" s="44"/>
      <c r="K954" s="23"/>
      <c r="L954" s="23"/>
      <c r="M954" s="45"/>
      <c r="N954" s="133"/>
      <c r="O954" s="47">
        <f t="shared" ref="O954:O973" si="523">SUM(I954)</f>
        <v>9067.5</v>
      </c>
      <c r="P954" s="49"/>
      <c r="Q954" s="49"/>
      <c r="R954" s="77">
        <f t="shared" si="503"/>
        <v>7004.32396193772</v>
      </c>
      <c r="S954" s="77"/>
      <c r="T954" s="78">
        <f t="shared" si="504"/>
        <v>9.35530925605536</v>
      </c>
      <c r="U954" s="77"/>
      <c r="V954" s="77"/>
      <c r="W954" s="77">
        <f t="shared" si="515"/>
        <v>7013.67927119377</v>
      </c>
      <c r="X954" s="79">
        <f t="shared" si="505"/>
        <v>104.874796712803</v>
      </c>
      <c r="Y954" s="79"/>
      <c r="Z954" s="79"/>
      <c r="AA954" s="79">
        <f t="shared" si="521"/>
        <v>104.874796712803</v>
      </c>
      <c r="AB954" s="91">
        <v>7.27</v>
      </c>
      <c r="AC954" s="77">
        <f t="shared" si="516"/>
        <v>762.439772102076</v>
      </c>
      <c r="AD954" s="77">
        <f t="shared" si="517"/>
        <v>7776.11904329585</v>
      </c>
      <c r="AE954" s="77">
        <f t="shared" si="518"/>
        <v>1291.38095670415</v>
      </c>
    </row>
    <row r="955" customFormat="1" spans="1:31">
      <c r="A955" s="22"/>
      <c r="B955" s="23"/>
      <c r="C955" s="24">
        <v>241227000027</v>
      </c>
      <c r="D955" s="25">
        <v>45658</v>
      </c>
      <c r="E955" s="25" t="s">
        <v>44</v>
      </c>
      <c r="F955" s="23" t="s">
        <v>45</v>
      </c>
      <c r="G955" s="23" t="s">
        <v>573</v>
      </c>
      <c r="H955" s="23">
        <v>4</v>
      </c>
      <c r="I955" s="50"/>
      <c r="J955" s="51">
        <v>59760</v>
      </c>
      <c r="K955" s="23"/>
      <c r="L955" s="52">
        <f>SUM(J955/M955)</f>
        <v>1724.17772648586</v>
      </c>
      <c r="M955" s="53">
        <v>34.66</v>
      </c>
      <c r="N955" s="133">
        <v>7.27</v>
      </c>
      <c r="O955" s="47">
        <f>SUM(M955*N955)</f>
        <v>251.9782</v>
      </c>
      <c r="P955" s="49"/>
      <c r="Q955" s="49"/>
      <c r="R955" s="77">
        <f t="shared" si="503"/>
        <v>200.840830449827</v>
      </c>
      <c r="S955" s="77"/>
      <c r="T955" s="78">
        <f t="shared" si="504"/>
        <v>0.268252595155709</v>
      </c>
      <c r="U955" s="77"/>
      <c r="V955" s="77"/>
      <c r="W955" s="77">
        <f t="shared" si="515"/>
        <v>201.109083044983</v>
      </c>
      <c r="X955" s="79">
        <f t="shared" si="505"/>
        <v>3.00716262975779</v>
      </c>
      <c r="Y955" s="79"/>
      <c r="Z955" s="79"/>
      <c r="AA955" s="79">
        <f t="shared" si="521"/>
        <v>3.00716262975779</v>
      </c>
      <c r="AB955" s="91">
        <v>7.27</v>
      </c>
      <c r="AC955" s="77">
        <f t="shared" si="516"/>
        <v>21.8620723183391</v>
      </c>
      <c r="AD955" s="77">
        <f t="shared" si="517"/>
        <v>222.971155363322</v>
      </c>
      <c r="AE955" s="77">
        <f t="shared" si="518"/>
        <v>29.0070446366782</v>
      </c>
    </row>
    <row r="956" customFormat="1" spans="1:31">
      <c r="A956" s="22"/>
      <c r="B956" s="23"/>
      <c r="C956" s="24">
        <v>241227000035</v>
      </c>
      <c r="D956" s="25">
        <v>45658</v>
      </c>
      <c r="E956" s="25" t="s">
        <v>44</v>
      </c>
      <c r="F956" s="23" t="s">
        <v>45</v>
      </c>
      <c r="G956" s="23" t="s">
        <v>135</v>
      </c>
      <c r="H956" s="23">
        <v>5</v>
      </c>
      <c r="I956" s="50"/>
      <c r="J956" s="51">
        <v>72135</v>
      </c>
      <c r="K956" s="23"/>
      <c r="L956" s="52">
        <f>SUM(J956/M956)</f>
        <v>1665.16620498615</v>
      </c>
      <c r="M956" s="53">
        <v>43.32</v>
      </c>
      <c r="N956" s="133">
        <v>7.27</v>
      </c>
      <c r="O956" s="47">
        <f>SUM(M956*N956)</f>
        <v>314.9364</v>
      </c>
      <c r="P956" s="49"/>
      <c r="Q956" s="49"/>
      <c r="R956" s="77">
        <f t="shared" si="503"/>
        <v>251.051038062284</v>
      </c>
      <c r="S956" s="77"/>
      <c r="T956" s="78">
        <f t="shared" si="504"/>
        <v>0.335315743944637</v>
      </c>
      <c r="U956" s="77"/>
      <c r="V956" s="77"/>
      <c r="W956" s="77">
        <f t="shared" si="515"/>
        <v>251.386353806228</v>
      </c>
      <c r="X956" s="79">
        <f t="shared" si="505"/>
        <v>3.75895328719723</v>
      </c>
      <c r="Y956" s="79"/>
      <c r="Z956" s="79"/>
      <c r="AA956" s="79">
        <f t="shared" si="521"/>
        <v>3.75895328719723</v>
      </c>
      <c r="AB956" s="91">
        <v>7.27</v>
      </c>
      <c r="AC956" s="77">
        <f t="shared" si="516"/>
        <v>27.3275903979239</v>
      </c>
      <c r="AD956" s="77">
        <f t="shared" si="517"/>
        <v>278.713944204152</v>
      </c>
      <c r="AE956" s="77">
        <f t="shared" si="518"/>
        <v>36.2224557958477</v>
      </c>
    </row>
    <row r="957" customFormat="1" spans="1:31">
      <c r="A957" s="22"/>
      <c r="B957" s="23"/>
      <c r="C957" s="24">
        <v>241227000036</v>
      </c>
      <c r="D957" s="25">
        <v>45658</v>
      </c>
      <c r="E957" s="25" t="s">
        <v>44</v>
      </c>
      <c r="F957" s="23" t="s">
        <v>45</v>
      </c>
      <c r="G957" s="23" t="s">
        <v>160</v>
      </c>
      <c r="H957" s="23">
        <v>22.5</v>
      </c>
      <c r="I957" s="43">
        <v>1517.5</v>
      </c>
      <c r="J957" s="44"/>
      <c r="K957" s="23"/>
      <c r="L957" s="23"/>
      <c r="M957" s="45"/>
      <c r="N957" s="133"/>
      <c r="O957" s="47">
        <f t="shared" si="523"/>
        <v>1517.5</v>
      </c>
      <c r="P957" s="49"/>
      <c r="Q957" s="49"/>
      <c r="R957" s="77">
        <f t="shared" si="503"/>
        <v>1129.72967128028</v>
      </c>
      <c r="S957" s="77"/>
      <c r="T957" s="78">
        <f t="shared" si="504"/>
        <v>1.50892084775087</v>
      </c>
      <c r="U957" s="77"/>
      <c r="V957" s="77"/>
      <c r="W957" s="77">
        <f t="shared" si="515"/>
        <v>1131.23859212803</v>
      </c>
      <c r="X957" s="79">
        <f t="shared" si="505"/>
        <v>16.9152897923875</v>
      </c>
      <c r="Y957" s="79"/>
      <c r="Z957" s="79"/>
      <c r="AA957" s="79">
        <f t="shared" si="521"/>
        <v>16.9152897923875</v>
      </c>
      <c r="AB957" s="91">
        <v>7.27</v>
      </c>
      <c r="AC957" s="77">
        <f t="shared" si="516"/>
        <v>122.974156790657</v>
      </c>
      <c r="AD957" s="77">
        <f t="shared" si="517"/>
        <v>1254.21274891869</v>
      </c>
      <c r="AE957" s="77">
        <f t="shared" si="518"/>
        <v>263.287251081315</v>
      </c>
    </row>
    <row r="958" customFormat="1" spans="1:31">
      <c r="A958" s="22"/>
      <c r="B958" s="23"/>
      <c r="C958" s="24">
        <v>241227000039</v>
      </c>
      <c r="D958" s="25">
        <v>45658</v>
      </c>
      <c r="E958" s="25" t="s">
        <v>44</v>
      </c>
      <c r="F958" s="23" t="s">
        <v>45</v>
      </c>
      <c r="G958" s="23" t="s">
        <v>146</v>
      </c>
      <c r="H958" s="23">
        <v>217</v>
      </c>
      <c r="I958" s="43">
        <v>13671</v>
      </c>
      <c r="J958" s="44"/>
      <c r="K958" s="23"/>
      <c r="L958" s="23"/>
      <c r="M958" s="45"/>
      <c r="N958" s="133"/>
      <c r="O958" s="47">
        <f t="shared" si="523"/>
        <v>13671</v>
      </c>
      <c r="P958" s="49"/>
      <c r="Q958" s="49"/>
      <c r="R958" s="77">
        <f t="shared" si="503"/>
        <v>10895.6150519031</v>
      </c>
      <c r="S958" s="77"/>
      <c r="T958" s="78">
        <f t="shared" si="504"/>
        <v>14.5527032871972</v>
      </c>
      <c r="U958" s="77"/>
      <c r="V958" s="77"/>
      <c r="W958" s="77">
        <f t="shared" si="515"/>
        <v>10910.1677551903</v>
      </c>
      <c r="X958" s="79">
        <f t="shared" si="505"/>
        <v>163.13857266436</v>
      </c>
      <c r="Y958" s="79"/>
      <c r="Z958" s="79"/>
      <c r="AA958" s="79">
        <f t="shared" si="521"/>
        <v>163.13857266436</v>
      </c>
      <c r="AB958" s="91">
        <v>7.27</v>
      </c>
      <c r="AC958" s="77">
        <f t="shared" si="516"/>
        <v>1186.0174232699</v>
      </c>
      <c r="AD958" s="77">
        <f t="shared" si="517"/>
        <v>12096.1851784602</v>
      </c>
      <c r="AE958" s="77">
        <f t="shared" si="518"/>
        <v>1574.81482153979</v>
      </c>
    </row>
    <row r="959" customFormat="1" spans="1:31">
      <c r="A959" s="22"/>
      <c r="B959" s="23"/>
      <c r="C959" s="24">
        <v>241227000044</v>
      </c>
      <c r="D959" s="26">
        <v>45658</v>
      </c>
      <c r="E959" s="25" t="s">
        <v>70</v>
      </c>
      <c r="F959" s="23" t="s">
        <v>70</v>
      </c>
      <c r="G959" s="23" t="s">
        <v>237</v>
      </c>
      <c r="H959" s="23">
        <v>636</v>
      </c>
      <c r="I959" s="43">
        <v>46218</v>
      </c>
      <c r="J959" s="44"/>
      <c r="K959" s="23"/>
      <c r="L959" s="23"/>
      <c r="M959" s="45"/>
      <c r="N959" s="133"/>
      <c r="O959" s="47">
        <f t="shared" si="523"/>
        <v>46218</v>
      </c>
      <c r="P959" s="49"/>
      <c r="Q959" s="49"/>
      <c r="R959" s="77">
        <f t="shared" si="503"/>
        <v>31933.6920415225</v>
      </c>
      <c r="S959" s="77"/>
      <c r="T959" s="78">
        <f t="shared" si="504"/>
        <v>42.6521626297578</v>
      </c>
      <c r="U959" s="77"/>
      <c r="V959" s="77">
        <v>670</v>
      </c>
      <c r="W959" s="77">
        <f t="shared" ref="W959:W969" si="524">SUM(R959:V959)</f>
        <v>32646.3442041523</v>
      </c>
      <c r="X959" s="79">
        <f t="shared" si="505"/>
        <v>478.138858131488</v>
      </c>
      <c r="Y959" s="79"/>
      <c r="Z959" s="79"/>
      <c r="AA959" s="79">
        <f t="shared" si="521"/>
        <v>478.138858131488</v>
      </c>
      <c r="AB959" s="91">
        <v>7.27</v>
      </c>
      <c r="AC959" s="77">
        <f t="shared" ref="AC959:AC969" si="525">SUM(AA959*AB959)</f>
        <v>3476.06949861592</v>
      </c>
      <c r="AD959" s="77">
        <f t="shared" ref="AD959:AD969" si="526">SUM(W959+AC959)</f>
        <v>36122.4137027682</v>
      </c>
      <c r="AE959" s="77">
        <f t="shared" ref="AE959:AE969" si="527">SUM(O959-AD959)</f>
        <v>10095.5862972318</v>
      </c>
    </row>
    <row r="960" customFormat="1" spans="1:31">
      <c r="A960" s="22"/>
      <c r="B960" s="23"/>
      <c r="C960" s="24">
        <v>241227000047</v>
      </c>
      <c r="D960" s="26">
        <v>45658</v>
      </c>
      <c r="E960" s="25" t="s">
        <v>143</v>
      </c>
      <c r="F960" s="23" t="s">
        <v>144</v>
      </c>
      <c r="G960" s="23" t="s">
        <v>214</v>
      </c>
      <c r="H960" s="23">
        <v>235</v>
      </c>
      <c r="I960" s="43">
        <v>13865</v>
      </c>
      <c r="J960" s="44"/>
      <c r="K960" s="23"/>
      <c r="L960" s="23"/>
      <c r="M960" s="45"/>
      <c r="N960" s="134"/>
      <c r="O960" s="47">
        <f t="shared" si="523"/>
        <v>13865</v>
      </c>
      <c r="P960" s="55"/>
      <c r="Q960" s="55"/>
      <c r="R960" s="77">
        <f t="shared" si="503"/>
        <v>11799.3987889273</v>
      </c>
      <c r="S960" s="77"/>
      <c r="T960" s="78">
        <f t="shared" si="504"/>
        <v>15.7598399653979</v>
      </c>
      <c r="U960" s="77"/>
      <c r="V960" s="77"/>
      <c r="W960" s="77">
        <f t="shared" si="524"/>
        <v>11815.1586288927</v>
      </c>
      <c r="X960" s="79">
        <f t="shared" si="505"/>
        <v>176.67080449827</v>
      </c>
      <c r="Y960" s="79"/>
      <c r="Z960" s="79"/>
      <c r="AA960" s="79">
        <f t="shared" ref="AA960:AA969" si="528">SUM(X960:Z960)</f>
        <v>176.67080449827</v>
      </c>
      <c r="AB960" s="91">
        <v>7.27</v>
      </c>
      <c r="AC960" s="77">
        <f t="shared" si="525"/>
        <v>1284.39674870242</v>
      </c>
      <c r="AD960" s="77">
        <f t="shared" si="526"/>
        <v>13099.5553775952</v>
      </c>
      <c r="AE960" s="77">
        <f t="shared" si="527"/>
        <v>765.444622404844</v>
      </c>
    </row>
    <row r="961" customFormat="1" spans="1:31">
      <c r="A961" s="22" t="s">
        <v>574</v>
      </c>
      <c r="B961" s="23" t="s">
        <v>575</v>
      </c>
      <c r="C961" s="24">
        <v>241225000008</v>
      </c>
      <c r="D961" s="25">
        <v>46022</v>
      </c>
      <c r="E961" s="25" t="s">
        <v>41</v>
      </c>
      <c r="F961" s="23" t="s">
        <v>42</v>
      </c>
      <c r="G961" s="23" t="s">
        <v>576</v>
      </c>
      <c r="H961" s="23">
        <v>3</v>
      </c>
      <c r="I961" s="43">
        <v>450</v>
      </c>
      <c r="J961" s="44"/>
      <c r="K961" s="23"/>
      <c r="L961" s="23"/>
      <c r="M961" s="45"/>
      <c r="N961" s="57"/>
      <c r="O961" s="47">
        <f t="shared" si="523"/>
        <v>450</v>
      </c>
      <c r="P961" s="48">
        <f>SUM(O961:O969)</f>
        <v>4622.5</v>
      </c>
      <c r="Q961" s="48" t="s">
        <v>40</v>
      </c>
      <c r="R961" s="77">
        <f>SUM(3087/32)*H961</f>
        <v>289.40625</v>
      </c>
      <c r="S961" s="77"/>
      <c r="T961" s="78">
        <f>SUM(45.98/32)*H961</f>
        <v>4.310625</v>
      </c>
      <c r="U961" s="77"/>
      <c r="V961" s="77"/>
      <c r="W961" s="77">
        <f t="shared" si="524"/>
        <v>293.716875</v>
      </c>
      <c r="X961" s="79">
        <f>SUM(67.02/32)*H961</f>
        <v>6.283125</v>
      </c>
      <c r="Y961" s="79"/>
      <c r="Z961" s="79"/>
      <c r="AA961" s="79">
        <f t="shared" si="528"/>
        <v>6.283125</v>
      </c>
      <c r="AB961" s="91">
        <v>7.27</v>
      </c>
      <c r="AC961" s="77">
        <f t="shared" si="525"/>
        <v>45.67831875</v>
      </c>
      <c r="AD961" s="77">
        <f t="shared" si="526"/>
        <v>339.39519375</v>
      </c>
      <c r="AE961" s="77">
        <f t="shared" si="527"/>
        <v>110.60480625</v>
      </c>
    </row>
    <row r="962" customFormat="1" spans="1:31">
      <c r="A962" s="22"/>
      <c r="B962" s="23"/>
      <c r="C962" s="24">
        <v>241226000006</v>
      </c>
      <c r="D962" s="25">
        <v>46022</v>
      </c>
      <c r="E962" s="25" t="s">
        <v>37</v>
      </c>
      <c r="F962" s="23" t="s">
        <v>38</v>
      </c>
      <c r="G962" s="23" t="s">
        <v>51</v>
      </c>
      <c r="H962" s="23">
        <v>2</v>
      </c>
      <c r="I962" s="43">
        <v>250</v>
      </c>
      <c r="J962" s="44"/>
      <c r="K962" s="23"/>
      <c r="L962" s="23"/>
      <c r="M962" s="45"/>
      <c r="N962" s="57"/>
      <c r="O962" s="47">
        <f t="shared" si="523"/>
        <v>250</v>
      </c>
      <c r="P962" s="49"/>
      <c r="Q962" s="49"/>
      <c r="R962" s="77">
        <f t="shared" ref="R962:R969" si="529">SUM(3087/32)*H962</f>
        <v>192.9375</v>
      </c>
      <c r="S962" s="77"/>
      <c r="T962" s="78">
        <f t="shared" ref="T962:T969" si="530">SUM(45.98/32)*H962</f>
        <v>2.87375</v>
      </c>
      <c r="U962" s="77"/>
      <c r="V962" s="77"/>
      <c r="W962" s="77">
        <f t="shared" si="524"/>
        <v>195.81125</v>
      </c>
      <c r="X962" s="79">
        <f t="shared" ref="X962:X969" si="531">SUM(67.02/32)*H962</f>
        <v>4.18875</v>
      </c>
      <c r="Y962" s="79"/>
      <c r="Z962" s="79"/>
      <c r="AA962" s="79">
        <f t="shared" si="528"/>
        <v>4.18875</v>
      </c>
      <c r="AB962" s="91">
        <v>7.27</v>
      </c>
      <c r="AC962" s="77">
        <f t="shared" si="525"/>
        <v>30.4522125</v>
      </c>
      <c r="AD962" s="77">
        <f t="shared" si="526"/>
        <v>226.2634625</v>
      </c>
      <c r="AE962" s="77">
        <f t="shared" si="527"/>
        <v>23.7365375</v>
      </c>
    </row>
    <row r="963" customFormat="1" spans="1:31">
      <c r="A963" s="22"/>
      <c r="B963" s="23"/>
      <c r="C963" s="24">
        <v>241226000015</v>
      </c>
      <c r="D963" s="25">
        <v>46022</v>
      </c>
      <c r="E963" s="25" t="s">
        <v>44</v>
      </c>
      <c r="F963" s="23" t="s">
        <v>45</v>
      </c>
      <c r="G963" s="23" t="s">
        <v>203</v>
      </c>
      <c r="H963" s="23">
        <v>1</v>
      </c>
      <c r="I963" s="43">
        <v>130</v>
      </c>
      <c r="J963" s="44"/>
      <c r="K963" s="23"/>
      <c r="L963" s="23"/>
      <c r="M963" s="45"/>
      <c r="N963" s="57"/>
      <c r="O963" s="47">
        <f t="shared" si="523"/>
        <v>130</v>
      </c>
      <c r="P963" s="49"/>
      <c r="Q963" s="49"/>
      <c r="R963" s="77">
        <f t="shared" si="529"/>
        <v>96.46875</v>
      </c>
      <c r="S963" s="77"/>
      <c r="T963" s="78">
        <f t="shared" si="530"/>
        <v>1.436875</v>
      </c>
      <c r="U963" s="77"/>
      <c r="V963" s="77"/>
      <c r="W963" s="77">
        <f t="shared" si="524"/>
        <v>97.905625</v>
      </c>
      <c r="X963" s="79">
        <f t="shared" si="531"/>
        <v>2.094375</v>
      </c>
      <c r="Y963" s="79"/>
      <c r="Z963" s="79"/>
      <c r="AA963" s="79">
        <f t="shared" si="528"/>
        <v>2.094375</v>
      </c>
      <c r="AB963" s="91">
        <v>7.27</v>
      </c>
      <c r="AC963" s="77">
        <f t="shared" si="525"/>
        <v>15.22610625</v>
      </c>
      <c r="AD963" s="77">
        <f t="shared" si="526"/>
        <v>113.13173125</v>
      </c>
      <c r="AE963" s="77">
        <f t="shared" si="527"/>
        <v>16.86826875</v>
      </c>
    </row>
    <row r="964" customFormat="1" spans="1:31">
      <c r="A964" s="22"/>
      <c r="B964" s="23"/>
      <c r="C964" s="24">
        <v>241227000005</v>
      </c>
      <c r="D964" s="26">
        <v>46022</v>
      </c>
      <c r="E964" s="25" t="s">
        <v>133</v>
      </c>
      <c r="F964" s="23" t="s">
        <v>149</v>
      </c>
      <c r="G964" s="23" t="s">
        <v>150</v>
      </c>
      <c r="H964" s="23">
        <v>2</v>
      </c>
      <c r="I964" s="43">
        <v>250</v>
      </c>
      <c r="J964" s="44"/>
      <c r="K964" s="23"/>
      <c r="L964" s="23"/>
      <c r="M964" s="45"/>
      <c r="N964" s="57"/>
      <c r="O964" s="47">
        <f t="shared" si="523"/>
        <v>250</v>
      </c>
      <c r="P964" s="49"/>
      <c r="Q964" s="49"/>
      <c r="R964" s="77">
        <f t="shared" si="529"/>
        <v>192.9375</v>
      </c>
      <c r="S964" s="77"/>
      <c r="T964" s="78">
        <f t="shared" si="530"/>
        <v>2.87375</v>
      </c>
      <c r="U964" s="77"/>
      <c r="V964" s="77"/>
      <c r="W964" s="77">
        <f t="shared" si="524"/>
        <v>195.81125</v>
      </c>
      <c r="X964" s="79">
        <f t="shared" si="531"/>
        <v>4.18875</v>
      </c>
      <c r="Y964" s="79"/>
      <c r="Z964" s="79"/>
      <c r="AA964" s="79">
        <f t="shared" si="528"/>
        <v>4.18875</v>
      </c>
      <c r="AB964" s="91">
        <v>7.27</v>
      </c>
      <c r="AC964" s="77">
        <f t="shared" si="525"/>
        <v>30.4522125</v>
      </c>
      <c r="AD964" s="77">
        <f t="shared" si="526"/>
        <v>226.2634625</v>
      </c>
      <c r="AE964" s="77">
        <f t="shared" si="527"/>
        <v>23.7365375</v>
      </c>
    </row>
    <row r="965" customFormat="1" spans="1:31">
      <c r="A965" s="22"/>
      <c r="B965" s="23"/>
      <c r="C965" s="24">
        <v>241227000021</v>
      </c>
      <c r="D965" s="25">
        <v>46022</v>
      </c>
      <c r="E965" s="25" t="s">
        <v>37</v>
      </c>
      <c r="F965" s="23" t="s">
        <v>38</v>
      </c>
      <c r="G965" s="23" t="s">
        <v>51</v>
      </c>
      <c r="H965" s="23">
        <v>0.9</v>
      </c>
      <c r="I965" s="43">
        <v>125</v>
      </c>
      <c r="J965" s="44"/>
      <c r="K965" s="23"/>
      <c r="L965" s="23"/>
      <c r="M965" s="45"/>
      <c r="N965" s="57"/>
      <c r="O965" s="47">
        <f t="shared" si="523"/>
        <v>125</v>
      </c>
      <c r="P965" s="49"/>
      <c r="Q965" s="49"/>
      <c r="R965" s="77">
        <f t="shared" si="529"/>
        <v>86.821875</v>
      </c>
      <c r="S965" s="77"/>
      <c r="T965" s="78">
        <f t="shared" si="530"/>
        <v>1.2931875</v>
      </c>
      <c r="U965" s="77"/>
      <c r="V965" s="77"/>
      <c r="W965" s="77">
        <f t="shared" si="524"/>
        <v>88.1150625</v>
      </c>
      <c r="X965" s="79">
        <f t="shared" si="531"/>
        <v>1.8849375</v>
      </c>
      <c r="Y965" s="79"/>
      <c r="Z965" s="79"/>
      <c r="AA965" s="79">
        <f t="shared" si="528"/>
        <v>1.8849375</v>
      </c>
      <c r="AB965" s="91">
        <v>7.27</v>
      </c>
      <c r="AC965" s="77">
        <f t="shared" si="525"/>
        <v>13.703495625</v>
      </c>
      <c r="AD965" s="77">
        <f t="shared" si="526"/>
        <v>101.818558125</v>
      </c>
      <c r="AE965" s="77">
        <f t="shared" si="527"/>
        <v>23.181441875</v>
      </c>
    </row>
    <row r="966" customFormat="1" spans="1:31">
      <c r="A966" s="22"/>
      <c r="B966" s="23"/>
      <c r="C966" s="24">
        <v>241227000031</v>
      </c>
      <c r="D966" s="25">
        <v>46022</v>
      </c>
      <c r="E966" s="25" t="s">
        <v>37</v>
      </c>
      <c r="F966" s="23" t="s">
        <v>38</v>
      </c>
      <c r="G966" s="23" t="s">
        <v>577</v>
      </c>
      <c r="H966" s="23">
        <v>3</v>
      </c>
      <c r="I966" s="43">
        <v>375</v>
      </c>
      <c r="J966" s="44"/>
      <c r="K966" s="23"/>
      <c r="L966" s="23"/>
      <c r="M966" s="45"/>
      <c r="N966" s="57"/>
      <c r="O966" s="47">
        <f t="shared" si="523"/>
        <v>375</v>
      </c>
      <c r="P966" s="49"/>
      <c r="Q966" s="49"/>
      <c r="R966" s="77">
        <f t="shared" si="529"/>
        <v>289.40625</v>
      </c>
      <c r="S966" s="77"/>
      <c r="T966" s="78">
        <f t="shared" si="530"/>
        <v>4.310625</v>
      </c>
      <c r="U966" s="77"/>
      <c r="V966" s="77"/>
      <c r="W966" s="77">
        <f t="shared" si="524"/>
        <v>293.716875</v>
      </c>
      <c r="X966" s="79">
        <f t="shared" si="531"/>
        <v>6.283125</v>
      </c>
      <c r="Y966" s="79"/>
      <c r="Z966" s="79"/>
      <c r="AA966" s="79">
        <f t="shared" si="528"/>
        <v>6.283125</v>
      </c>
      <c r="AB966" s="91">
        <v>7.27</v>
      </c>
      <c r="AC966" s="77">
        <f t="shared" si="525"/>
        <v>45.67831875</v>
      </c>
      <c r="AD966" s="77">
        <f t="shared" si="526"/>
        <v>339.39519375</v>
      </c>
      <c r="AE966" s="77">
        <f t="shared" si="527"/>
        <v>35.60480625</v>
      </c>
    </row>
    <row r="967" customFormat="1" spans="1:31">
      <c r="A967" s="22"/>
      <c r="B967" s="23"/>
      <c r="C967" s="24">
        <v>241227000042</v>
      </c>
      <c r="D967" s="25">
        <v>46022</v>
      </c>
      <c r="E967" s="25" t="s">
        <v>44</v>
      </c>
      <c r="F967" s="23" t="s">
        <v>45</v>
      </c>
      <c r="G967" s="23" t="s">
        <v>426</v>
      </c>
      <c r="H967" s="23">
        <v>0.8</v>
      </c>
      <c r="I967" s="43">
        <v>130</v>
      </c>
      <c r="J967" s="44"/>
      <c r="K967" s="23"/>
      <c r="L967" s="23"/>
      <c r="M967" s="45"/>
      <c r="N967" s="57"/>
      <c r="O967" s="47">
        <f t="shared" si="523"/>
        <v>130</v>
      </c>
      <c r="P967" s="49"/>
      <c r="Q967" s="49"/>
      <c r="R967" s="77">
        <f t="shared" si="529"/>
        <v>77.175</v>
      </c>
      <c r="S967" s="77"/>
      <c r="T967" s="78">
        <f t="shared" si="530"/>
        <v>1.1495</v>
      </c>
      <c r="U967" s="77"/>
      <c r="V967" s="77"/>
      <c r="W967" s="77">
        <f t="shared" si="524"/>
        <v>78.3245</v>
      </c>
      <c r="X967" s="79">
        <f t="shared" si="531"/>
        <v>1.6755</v>
      </c>
      <c r="Y967" s="79"/>
      <c r="Z967" s="79"/>
      <c r="AA967" s="79">
        <f t="shared" si="528"/>
        <v>1.6755</v>
      </c>
      <c r="AB967" s="91">
        <v>7.27</v>
      </c>
      <c r="AC967" s="77">
        <f t="shared" si="525"/>
        <v>12.180885</v>
      </c>
      <c r="AD967" s="77">
        <f t="shared" si="526"/>
        <v>90.505385</v>
      </c>
      <c r="AE967" s="77">
        <f t="shared" si="527"/>
        <v>39.494615</v>
      </c>
    </row>
    <row r="968" customFormat="1" spans="1:31">
      <c r="A968" s="22"/>
      <c r="B968" s="23"/>
      <c r="C968" s="24">
        <v>241228000002</v>
      </c>
      <c r="D968" s="25">
        <v>46022</v>
      </c>
      <c r="E968" s="25" t="s">
        <v>37</v>
      </c>
      <c r="F968" s="23" t="s">
        <v>38</v>
      </c>
      <c r="G968" s="23" t="s">
        <v>292</v>
      </c>
      <c r="H968" s="23">
        <v>19</v>
      </c>
      <c r="I968" s="43">
        <v>2475</v>
      </c>
      <c r="J968" s="44"/>
      <c r="K968" s="23"/>
      <c r="L968" s="23"/>
      <c r="M968" s="45"/>
      <c r="N968" s="57"/>
      <c r="O968" s="47">
        <f t="shared" si="523"/>
        <v>2475</v>
      </c>
      <c r="P968" s="49"/>
      <c r="Q968" s="49"/>
      <c r="R968" s="77">
        <f t="shared" si="529"/>
        <v>1832.90625</v>
      </c>
      <c r="S968" s="77"/>
      <c r="T968" s="78">
        <f t="shared" si="530"/>
        <v>27.300625</v>
      </c>
      <c r="U968" s="77"/>
      <c r="V968" s="77"/>
      <c r="W968" s="77">
        <f t="shared" si="524"/>
        <v>1860.206875</v>
      </c>
      <c r="X968" s="79">
        <f t="shared" si="531"/>
        <v>39.793125</v>
      </c>
      <c r="Y968" s="79"/>
      <c r="Z968" s="79"/>
      <c r="AA968" s="79">
        <f t="shared" si="528"/>
        <v>39.793125</v>
      </c>
      <c r="AB968" s="91">
        <v>7.27</v>
      </c>
      <c r="AC968" s="77">
        <f t="shared" ref="AC968:AC1009" si="532">SUM(AA968*AB968)</f>
        <v>289.29601875</v>
      </c>
      <c r="AD968" s="77">
        <f t="shared" ref="AD968:AD1009" si="533">SUM(W968+AC968)</f>
        <v>2149.50289375</v>
      </c>
      <c r="AE968" s="77">
        <f t="shared" ref="AE968:AE1009" si="534">SUM(O968-AD968)</f>
        <v>325.49710625</v>
      </c>
    </row>
    <row r="969" customFormat="1" spans="1:31">
      <c r="A969" s="22"/>
      <c r="B969" s="23"/>
      <c r="C969" s="24">
        <v>241230000002</v>
      </c>
      <c r="D969" s="25">
        <v>46022</v>
      </c>
      <c r="E969" s="25" t="s">
        <v>44</v>
      </c>
      <c r="F969" s="23" t="s">
        <v>45</v>
      </c>
      <c r="G969" s="23" t="s">
        <v>356</v>
      </c>
      <c r="H969" s="23">
        <v>3.5</v>
      </c>
      <c r="I969" s="43">
        <v>437.5</v>
      </c>
      <c r="J969" s="44"/>
      <c r="K969" s="23"/>
      <c r="L969" s="23"/>
      <c r="M969" s="45"/>
      <c r="N969" s="57"/>
      <c r="O969" s="47">
        <f t="shared" si="523"/>
        <v>437.5</v>
      </c>
      <c r="P969" s="55"/>
      <c r="Q969" s="55"/>
      <c r="R969" s="77">
        <f t="shared" si="529"/>
        <v>337.640625</v>
      </c>
      <c r="S969" s="77"/>
      <c r="T969" s="78">
        <f t="shared" si="530"/>
        <v>5.0290625</v>
      </c>
      <c r="U969" s="77"/>
      <c r="V969" s="77"/>
      <c r="W969" s="77">
        <f t="shared" si="524"/>
        <v>342.6696875</v>
      </c>
      <c r="X969" s="79">
        <f t="shared" si="531"/>
        <v>7.3303125</v>
      </c>
      <c r="Y969" s="79"/>
      <c r="Z969" s="79"/>
      <c r="AA969" s="79">
        <f t="shared" ref="AA969:AA1009" si="535">SUM(X969:Z969)</f>
        <v>7.3303125</v>
      </c>
      <c r="AB969" s="91">
        <v>7.27</v>
      </c>
      <c r="AC969" s="77">
        <f t="shared" si="532"/>
        <v>53.291371875</v>
      </c>
      <c r="AD969" s="77">
        <f t="shared" si="533"/>
        <v>395.961059375</v>
      </c>
      <c r="AE969" s="77">
        <f t="shared" si="534"/>
        <v>41.538940625</v>
      </c>
    </row>
    <row r="970" customFormat="1" spans="1:31">
      <c r="A970" s="22" t="s">
        <v>578</v>
      </c>
      <c r="B970" s="23" t="s">
        <v>579</v>
      </c>
      <c r="C970" s="24">
        <v>241223000020</v>
      </c>
      <c r="D970" s="25">
        <v>45661</v>
      </c>
      <c r="E970" s="25" t="s">
        <v>44</v>
      </c>
      <c r="F970" s="23" t="s">
        <v>45</v>
      </c>
      <c r="G970" s="23" t="s">
        <v>580</v>
      </c>
      <c r="H970" s="23">
        <v>6</v>
      </c>
      <c r="I970" s="43">
        <v>438</v>
      </c>
      <c r="J970" s="44"/>
      <c r="K970" s="23"/>
      <c r="L970" s="23"/>
      <c r="M970" s="45"/>
      <c r="N970" s="133"/>
      <c r="O970" s="47">
        <f t="shared" si="523"/>
        <v>438</v>
      </c>
      <c r="P970" s="48">
        <f>SUM(O970:O1009)</f>
        <v>223260.7251</v>
      </c>
      <c r="Q970" s="48" t="s">
        <v>185</v>
      </c>
      <c r="R970" s="77">
        <f>SUM(168924/3326)*H970</f>
        <v>304.733613950692</v>
      </c>
      <c r="S970" s="77"/>
      <c r="T970" s="78">
        <f>SUM(277.9/3326)*H970</f>
        <v>0.501322910402886</v>
      </c>
      <c r="U970" s="77"/>
      <c r="V970" s="77"/>
      <c r="W970" s="77">
        <f t="shared" ref="W970:W1009" si="536">SUM(R970:V970)</f>
        <v>305.234936861094</v>
      </c>
      <c r="X970" s="79">
        <f>SUM(2523.69/3326)*H970</f>
        <v>4.55265784726398</v>
      </c>
      <c r="Y970" s="79"/>
      <c r="Z970" s="79"/>
      <c r="AA970" s="79">
        <f t="shared" si="535"/>
        <v>4.55265784726398</v>
      </c>
      <c r="AB970" s="91">
        <v>7.27</v>
      </c>
      <c r="AC970" s="77">
        <f t="shared" si="532"/>
        <v>33.0978225496091</v>
      </c>
      <c r="AD970" s="77">
        <f t="shared" si="533"/>
        <v>338.332759410704</v>
      </c>
      <c r="AE970" s="77">
        <f t="shared" si="534"/>
        <v>99.6672405892965</v>
      </c>
    </row>
    <row r="971" customFormat="1" spans="1:31">
      <c r="A971" s="22"/>
      <c r="B971" s="23"/>
      <c r="C971" s="24">
        <v>241223000063</v>
      </c>
      <c r="D971" s="25">
        <v>45661</v>
      </c>
      <c r="E971" s="25" t="s">
        <v>54</v>
      </c>
      <c r="F971" s="23" t="s">
        <v>55</v>
      </c>
      <c r="G971" s="23" t="s">
        <v>581</v>
      </c>
      <c r="H971" s="23">
        <v>5</v>
      </c>
      <c r="I971" s="43">
        <v>387</v>
      </c>
      <c r="J971" s="44"/>
      <c r="K971" s="23"/>
      <c r="L971" s="23"/>
      <c r="M971" s="45"/>
      <c r="N971" s="133"/>
      <c r="O971" s="47">
        <f t="shared" si="523"/>
        <v>387</v>
      </c>
      <c r="P971" s="49"/>
      <c r="Q971" s="49"/>
      <c r="R971" s="77">
        <f t="shared" ref="R971:R1009" si="537">SUM(168924/3326)*H971</f>
        <v>253.944678292243</v>
      </c>
      <c r="S971" s="77"/>
      <c r="T971" s="78">
        <f t="shared" ref="T971:T1009" si="538">SUM(277.9/3326)*H971</f>
        <v>0.417769092002405</v>
      </c>
      <c r="U971" s="77"/>
      <c r="V971" s="77"/>
      <c r="W971" s="77">
        <f t="shared" si="536"/>
        <v>254.362447384245</v>
      </c>
      <c r="X971" s="79">
        <f t="shared" ref="X971:X1009" si="539">SUM(2523.69/3326)*H971</f>
        <v>3.79388153938665</v>
      </c>
      <c r="Y971" s="79"/>
      <c r="Z971" s="79"/>
      <c r="AA971" s="79">
        <f t="shared" si="535"/>
        <v>3.79388153938665</v>
      </c>
      <c r="AB971" s="91">
        <v>7.27</v>
      </c>
      <c r="AC971" s="77">
        <f t="shared" si="532"/>
        <v>27.581518791341</v>
      </c>
      <c r="AD971" s="77">
        <f t="shared" si="533"/>
        <v>281.943966175586</v>
      </c>
      <c r="AE971" s="77">
        <f t="shared" si="534"/>
        <v>105.056033824414</v>
      </c>
    </row>
    <row r="972" customFormat="1" spans="1:31">
      <c r="A972" s="22"/>
      <c r="B972" s="23"/>
      <c r="C972" s="24">
        <v>241226000037</v>
      </c>
      <c r="D972" s="25">
        <v>45661</v>
      </c>
      <c r="E972" s="25" t="s">
        <v>61</v>
      </c>
      <c r="F972" s="23" t="s">
        <v>62</v>
      </c>
      <c r="G972" s="23" t="s">
        <v>582</v>
      </c>
      <c r="H972" s="23">
        <v>3</v>
      </c>
      <c r="I972" s="43">
        <v>213</v>
      </c>
      <c r="J972" s="44"/>
      <c r="K972" s="23"/>
      <c r="L972" s="23"/>
      <c r="M972" s="45"/>
      <c r="N972" s="133"/>
      <c r="O972" s="47">
        <f t="shared" si="523"/>
        <v>213</v>
      </c>
      <c r="P972" s="49"/>
      <c r="Q972" s="49"/>
      <c r="R972" s="77">
        <f t="shared" si="537"/>
        <v>152.366806975346</v>
      </c>
      <c r="S972" s="77"/>
      <c r="T972" s="78">
        <f t="shared" si="538"/>
        <v>0.250661455201443</v>
      </c>
      <c r="U972" s="77"/>
      <c r="V972" s="77"/>
      <c r="W972" s="77">
        <f t="shared" si="536"/>
        <v>152.617468430547</v>
      </c>
      <c r="X972" s="79">
        <f t="shared" si="539"/>
        <v>2.27632892363199</v>
      </c>
      <c r="Y972" s="79"/>
      <c r="Z972" s="79"/>
      <c r="AA972" s="79">
        <f t="shared" si="535"/>
        <v>2.27632892363199</v>
      </c>
      <c r="AB972" s="91">
        <v>7.27</v>
      </c>
      <c r="AC972" s="77">
        <f t="shared" si="532"/>
        <v>16.5489112748046</v>
      </c>
      <c r="AD972" s="77">
        <f t="shared" si="533"/>
        <v>169.166379705352</v>
      </c>
      <c r="AE972" s="77">
        <f t="shared" si="534"/>
        <v>43.8336202946482</v>
      </c>
    </row>
    <row r="973" customFormat="1" spans="1:31">
      <c r="A973" s="22"/>
      <c r="B973" s="23"/>
      <c r="C973" s="24">
        <v>241226000038</v>
      </c>
      <c r="D973" s="25">
        <v>45661</v>
      </c>
      <c r="E973" s="25" t="s">
        <v>41</v>
      </c>
      <c r="F973" s="23" t="s">
        <v>42</v>
      </c>
      <c r="G973" s="23" t="s">
        <v>173</v>
      </c>
      <c r="H973" s="23">
        <v>214.5</v>
      </c>
      <c r="I973" s="43">
        <v>14442.5</v>
      </c>
      <c r="J973" s="44"/>
      <c r="K973" s="23"/>
      <c r="L973" s="23"/>
      <c r="M973" s="45"/>
      <c r="N973" s="133"/>
      <c r="O973" s="47">
        <f t="shared" si="523"/>
        <v>14442.5</v>
      </c>
      <c r="P973" s="49"/>
      <c r="Q973" s="49"/>
      <c r="R973" s="77">
        <f t="shared" si="537"/>
        <v>10894.2266987372</v>
      </c>
      <c r="S973" s="77"/>
      <c r="T973" s="78">
        <f t="shared" si="538"/>
        <v>17.9222940469032</v>
      </c>
      <c r="U973" s="77"/>
      <c r="V973" s="77"/>
      <c r="W973" s="77">
        <f t="shared" si="536"/>
        <v>10912.1489927841</v>
      </c>
      <c r="X973" s="79">
        <f t="shared" si="539"/>
        <v>162.757518039687</v>
      </c>
      <c r="Y973" s="79"/>
      <c r="Z973" s="79"/>
      <c r="AA973" s="79">
        <f t="shared" si="535"/>
        <v>162.757518039687</v>
      </c>
      <c r="AB973" s="91">
        <v>7.27</v>
      </c>
      <c r="AC973" s="77">
        <f t="shared" si="532"/>
        <v>1183.24715614853</v>
      </c>
      <c r="AD973" s="77">
        <f t="shared" si="533"/>
        <v>12095.3961489327</v>
      </c>
      <c r="AE973" s="77">
        <f t="shared" si="534"/>
        <v>2347.10385106735</v>
      </c>
    </row>
    <row r="974" customFormat="1" spans="1:31">
      <c r="A974" s="22"/>
      <c r="B974" s="23"/>
      <c r="C974" s="24">
        <v>241227000012</v>
      </c>
      <c r="D974" s="25">
        <v>45661</v>
      </c>
      <c r="E974" s="25" t="s">
        <v>44</v>
      </c>
      <c r="F974" s="23" t="s">
        <v>45</v>
      </c>
      <c r="G974" s="23" t="s">
        <v>547</v>
      </c>
      <c r="H974" s="23">
        <v>158</v>
      </c>
      <c r="I974" s="50"/>
      <c r="J974" s="51">
        <v>2187324</v>
      </c>
      <c r="K974" s="23"/>
      <c r="L974" s="52">
        <f t="shared" ref="L974:L980" si="540">SUM(J974/M974)</f>
        <v>1526.70393868962</v>
      </c>
      <c r="M974" s="53">
        <v>1432.71</v>
      </c>
      <c r="N974" s="133">
        <v>7.27</v>
      </c>
      <c r="O974" s="47">
        <f t="shared" ref="O974:O980" si="541">SUM(M974*N974)</f>
        <v>10415.8017</v>
      </c>
      <c r="P974" s="49"/>
      <c r="Q974" s="49"/>
      <c r="R974" s="77">
        <f t="shared" si="537"/>
        <v>8024.65183403488</v>
      </c>
      <c r="S974" s="77"/>
      <c r="T974" s="78">
        <f t="shared" si="538"/>
        <v>13.201503307276</v>
      </c>
      <c r="U974" s="77"/>
      <c r="V974" s="77"/>
      <c r="W974" s="77">
        <f t="shared" si="536"/>
        <v>8037.85333734215</v>
      </c>
      <c r="X974" s="79">
        <f t="shared" si="539"/>
        <v>119.886656644618</v>
      </c>
      <c r="Y974" s="79"/>
      <c r="Z974" s="79"/>
      <c r="AA974" s="79">
        <f t="shared" si="535"/>
        <v>119.886656644618</v>
      </c>
      <c r="AB974" s="91">
        <v>7.27</v>
      </c>
      <c r="AC974" s="77">
        <f t="shared" si="532"/>
        <v>871.575993806374</v>
      </c>
      <c r="AD974" s="77">
        <f t="shared" si="533"/>
        <v>8909.42933114853</v>
      </c>
      <c r="AE974" s="77">
        <f t="shared" si="534"/>
        <v>1506.37236885147</v>
      </c>
    </row>
    <row r="975" customFormat="1" spans="1:31">
      <c r="A975" s="22"/>
      <c r="B975" s="23"/>
      <c r="C975" s="24">
        <v>241227000023</v>
      </c>
      <c r="D975" s="25">
        <v>45661</v>
      </c>
      <c r="E975" s="25" t="s">
        <v>54</v>
      </c>
      <c r="F975" s="23" t="s">
        <v>55</v>
      </c>
      <c r="G975" s="23" t="s">
        <v>349</v>
      </c>
      <c r="H975" s="23">
        <v>144</v>
      </c>
      <c r="I975" s="47"/>
      <c r="J975" s="51">
        <v>2304767.52</v>
      </c>
      <c r="K975" s="23"/>
      <c r="L975" s="52">
        <f t="shared" si="540"/>
        <v>1683</v>
      </c>
      <c r="M975" s="53">
        <v>1369.44</v>
      </c>
      <c r="N975" s="133">
        <v>7.27</v>
      </c>
      <c r="O975" s="47">
        <f t="shared" si="541"/>
        <v>9955.8288</v>
      </c>
      <c r="P975" s="49"/>
      <c r="Q975" s="49"/>
      <c r="R975" s="77">
        <f t="shared" si="537"/>
        <v>7313.6067348166</v>
      </c>
      <c r="S975" s="77"/>
      <c r="T975" s="78">
        <f t="shared" si="538"/>
        <v>12.0317498496693</v>
      </c>
      <c r="U975" s="77"/>
      <c r="V975" s="77"/>
      <c r="W975" s="77">
        <f t="shared" si="536"/>
        <v>7325.63848466627</v>
      </c>
      <c r="X975" s="79">
        <f t="shared" si="539"/>
        <v>109.263788334336</v>
      </c>
      <c r="Y975" s="79"/>
      <c r="Z975" s="79"/>
      <c r="AA975" s="79">
        <f t="shared" si="535"/>
        <v>109.263788334336</v>
      </c>
      <c r="AB975" s="91">
        <v>7.27</v>
      </c>
      <c r="AC975" s="77">
        <f t="shared" si="532"/>
        <v>794.347741190619</v>
      </c>
      <c r="AD975" s="77">
        <f t="shared" si="533"/>
        <v>8119.98622585689</v>
      </c>
      <c r="AE975" s="77">
        <f t="shared" si="534"/>
        <v>1835.84257414311</v>
      </c>
    </row>
    <row r="976" customFormat="1" spans="1:31">
      <c r="A976" s="22"/>
      <c r="B976" s="23"/>
      <c r="C976" s="24">
        <v>241227000025</v>
      </c>
      <c r="D976" s="25">
        <v>45661</v>
      </c>
      <c r="E976" s="25" t="s">
        <v>54</v>
      </c>
      <c r="F976" s="23" t="s">
        <v>55</v>
      </c>
      <c r="G976" s="23" t="s">
        <v>125</v>
      </c>
      <c r="H976" s="23">
        <v>5.5</v>
      </c>
      <c r="I976" s="43">
        <v>388</v>
      </c>
      <c r="J976" s="44"/>
      <c r="K976" s="23"/>
      <c r="L976" s="23"/>
      <c r="M976" s="45"/>
      <c r="N976" s="133"/>
      <c r="O976" s="47">
        <f t="shared" ref="O976:O978" si="542">SUM(I976)</f>
        <v>388</v>
      </c>
      <c r="P976" s="49"/>
      <c r="Q976" s="49"/>
      <c r="R976" s="77">
        <f t="shared" si="537"/>
        <v>279.339146121467</v>
      </c>
      <c r="S976" s="77"/>
      <c r="T976" s="78">
        <f t="shared" si="538"/>
        <v>0.459546001202646</v>
      </c>
      <c r="U976" s="77"/>
      <c r="V976" s="77"/>
      <c r="W976" s="77">
        <f t="shared" si="536"/>
        <v>279.79869212267</v>
      </c>
      <c r="X976" s="79">
        <f t="shared" si="539"/>
        <v>4.17326969332532</v>
      </c>
      <c r="Y976" s="79"/>
      <c r="Z976" s="79"/>
      <c r="AA976" s="79">
        <f t="shared" si="535"/>
        <v>4.17326969332532</v>
      </c>
      <c r="AB976" s="91">
        <v>7.27</v>
      </c>
      <c r="AC976" s="77">
        <f t="shared" si="532"/>
        <v>30.339670670475</v>
      </c>
      <c r="AD976" s="77">
        <f t="shared" si="533"/>
        <v>310.138362793145</v>
      </c>
      <c r="AE976" s="77">
        <f t="shared" si="534"/>
        <v>77.8616372068551</v>
      </c>
    </row>
    <row r="977" customFormat="1" spans="1:31">
      <c r="A977" s="22"/>
      <c r="B977" s="23"/>
      <c r="C977" s="24">
        <v>241227000026</v>
      </c>
      <c r="D977" s="25">
        <v>45661</v>
      </c>
      <c r="E977" s="25" t="s">
        <v>54</v>
      </c>
      <c r="F977" s="23" t="s">
        <v>55</v>
      </c>
      <c r="G977" s="23" t="s">
        <v>125</v>
      </c>
      <c r="H977" s="23">
        <v>9</v>
      </c>
      <c r="I977" s="43">
        <v>688</v>
      </c>
      <c r="J977" s="44"/>
      <c r="K977" s="23"/>
      <c r="L977" s="23"/>
      <c r="M977" s="45"/>
      <c r="N977" s="133"/>
      <c r="O977" s="47">
        <f t="shared" si="542"/>
        <v>688</v>
      </c>
      <c r="P977" s="49"/>
      <c r="Q977" s="49"/>
      <c r="R977" s="77">
        <f t="shared" si="537"/>
        <v>457.100420926037</v>
      </c>
      <c r="S977" s="77"/>
      <c r="T977" s="78">
        <f t="shared" si="538"/>
        <v>0.751984365604329</v>
      </c>
      <c r="U977" s="77"/>
      <c r="V977" s="78">
        <v>79</v>
      </c>
      <c r="W977" s="77">
        <f t="shared" si="536"/>
        <v>536.852405291642</v>
      </c>
      <c r="X977" s="79">
        <f t="shared" si="539"/>
        <v>6.82898677089597</v>
      </c>
      <c r="Y977" s="79"/>
      <c r="Z977" s="79"/>
      <c r="AA977" s="79">
        <f t="shared" si="535"/>
        <v>6.82898677089597</v>
      </c>
      <c r="AB977" s="91">
        <v>7.27</v>
      </c>
      <c r="AC977" s="77">
        <f t="shared" si="532"/>
        <v>49.6467338244137</v>
      </c>
      <c r="AD977" s="77">
        <f t="shared" si="533"/>
        <v>586.499139116055</v>
      </c>
      <c r="AE977" s="77">
        <f t="shared" si="534"/>
        <v>101.500860883945</v>
      </c>
    </row>
    <row r="978" customFormat="1" spans="1:31">
      <c r="A978" s="22"/>
      <c r="B978" s="23"/>
      <c r="C978" s="24">
        <v>241227000037</v>
      </c>
      <c r="D978" s="25">
        <v>45661</v>
      </c>
      <c r="E978" s="25" t="s">
        <v>54</v>
      </c>
      <c r="F978" s="23" t="s">
        <v>55</v>
      </c>
      <c r="G978" s="23" t="s">
        <v>258</v>
      </c>
      <c r="H978" s="23">
        <v>2</v>
      </c>
      <c r="I978" s="43">
        <v>143</v>
      </c>
      <c r="J978" s="44"/>
      <c r="K978" s="23"/>
      <c r="L978" s="23"/>
      <c r="M978" s="45"/>
      <c r="N978" s="133"/>
      <c r="O978" s="47">
        <f t="shared" si="542"/>
        <v>143</v>
      </c>
      <c r="P978" s="49"/>
      <c r="Q978" s="49"/>
      <c r="R978" s="77">
        <f t="shared" si="537"/>
        <v>101.577871316897</v>
      </c>
      <c r="S978" s="77"/>
      <c r="T978" s="78">
        <f t="shared" si="538"/>
        <v>0.167107636800962</v>
      </c>
      <c r="U978" s="77"/>
      <c r="V978" s="77"/>
      <c r="W978" s="77">
        <f t="shared" si="536"/>
        <v>101.744978953698</v>
      </c>
      <c r="X978" s="79">
        <f t="shared" si="539"/>
        <v>1.51755261575466</v>
      </c>
      <c r="Y978" s="79"/>
      <c r="Z978" s="79"/>
      <c r="AA978" s="79">
        <f t="shared" si="535"/>
        <v>1.51755261575466</v>
      </c>
      <c r="AB978" s="91">
        <v>7.27</v>
      </c>
      <c r="AC978" s="77">
        <f t="shared" si="532"/>
        <v>11.0326075165364</v>
      </c>
      <c r="AD978" s="77">
        <f t="shared" si="533"/>
        <v>112.777586470235</v>
      </c>
      <c r="AE978" s="77">
        <f t="shared" si="534"/>
        <v>30.2224135297655</v>
      </c>
    </row>
    <row r="979" customFormat="1" spans="1:31">
      <c r="A979" s="22"/>
      <c r="B979" s="23"/>
      <c r="C979" s="24">
        <v>241227000041</v>
      </c>
      <c r="D979" s="25">
        <v>45661</v>
      </c>
      <c r="E979" s="25" t="s">
        <v>44</v>
      </c>
      <c r="F979" s="23" t="s">
        <v>45</v>
      </c>
      <c r="G979" s="23" t="s">
        <v>159</v>
      </c>
      <c r="H979" s="23">
        <v>4.5</v>
      </c>
      <c r="I979" s="50"/>
      <c r="J979" s="51">
        <v>122533.44</v>
      </c>
      <c r="K979" s="23"/>
      <c r="L979" s="52">
        <f t="shared" si="540"/>
        <v>1584.96235933256</v>
      </c>
      <c r="M979" s="53">
        <v>77.31</v>
      </c>
      <c r="N979" s="57">
        <v>7.27</v>
      </c>
      <c r="O979" s="47">
        <f t="shared" si="541"/>
        <v>562.0437</v>
      </c>
      <c r="P979" s="49"/>
      <c r="Q979" s="49"/>
      <c r="R979" s="77">
        <f t="shared" si="537"/>
        <v>228.550210463019</v>
      </c>
      <c r="S979" s="77"/>
      <c r="T979" s="78">
        <f t="shared" si="538"/>
        <v>0.375992182802165</v>
      </c>
      <c r="U979" s="77"/>
      <c r="V979" s="77"/>
      <c r="W979" s="77">
        <f t="shared" si="536"/>
        <v>228.926202645821</v>
      </c>
      <c r="X979" s="79">
        <f t="shared" si="539"/>
        <v>3.41449338544799</v>
      </c>
      <c r="Y979" s="79"/>
      <c r="Z979" s="79"/>
      <c r="AA979" s="79">
        <f t="shared" si="535"/>
        <v>3.41449338544799</v>
      </c>
      <c r="AB979" s="91">
        <v>7.27</v>
      </c>
      <c r="AC979" s="77">
        <f t="shared" si="532"/>
        <v>24.8233669122069</v>
      </c>
      <c r="AD979" s="77">
        <f t="shared" si="533"/>
        <v>253.749569558028</v>
      </c>
      <c r="AE979" s="77">
        <f t="shared" si="534"/>
        <v>308.294130441972</v>
      </c>
    </row>
    <row r="980" customFormat="1" spans="1:31">
      <c r="A980" s="22"/>
      <c r="B980" s="23"/>
      <c r="C980" s="24">
        <v>241227000048</v>
      </c>
      <c r="D980" s="26">
        <v>45661</v>
      </c>
      <c r="E980" s="25" t="s">
        <v>133</v>
      </c>
      <c r="F980" s="23" t="s">
        <v>147</v>
      </c>
      <c r="G980" s="23" t="s">
        <v>148</v>
      </c>
      <c r="H980" s="23">
        <v>13</v>
      </c>
      <c r="I980" s="47"/>
      <c r="J980" s="51">
        <v>204844</v>
      </c>
      <c r="K980" s="23"/>
      <c r="L980" s="52">
        <f t="shared" si="540"/>
        <v>1664.9922783061</v>
      </c>
      <c r="M980" s="53">
        <v>123.03</v>
      </c>
      <c r="N980" s="133">
        <v>7.27</v>
      </c>
      <c r="O980" s="47">
        <f t="shared" si="541"/>
        <v>894.4281</v>
      </c>
      <c r="P980" s="49"/>
      <c r="Q980" s="49"/>
      <c r="R980" s="77">
        <f t="shared" si="537"/>
        <v>660.256163559832</v>
      </c>
      <c r="S980" s="77"/>
      <c r="T980" s="78">
        <f t="shared" si="538"/>
        <v>1.08619963920625</v>
      </c>
      <c r="U980" s="77"/>
      <c r="V980" s="77"/>
      <c r="W980" s="77">
        <f t="shared" si="536"/>
        <v>661.342363199038</v>
      </c>
      <c r="X980" s="79">
        <f t="shared" si="539"/>
        <v>9.86409200240529</v>
      </c>
      <c r="Y980" s="79"/>
      <c r="Z980" s="79"/>
      <c r="AA980" s="79">
        <f t="shared" si="535"/>
        <v>9.86409200240529</v>
      </c>
      <c r="AB980" s="91">
        <v>7.27</v>
      </c>
      <c r="AC980" s="77">
        <f t="shared" si="532"/>
        <v>71.7119488574865</v>
      </c>
      <c r="AD980" s="77">
        <f t="shared" si="533"/>
        <v>733.054312056524</v>
      </c>
      <c r="AE980" s="77">
        <f t="shared" si="534"/>
        <v>161.373787943476</v>
      </c>
    </row>
    <row r="981" customFormat="1" spans="1:31">
      <c r="A981" s="22"/>
      <c r="B981" s="23"/>
      <c r="C981" s="24">
        <v>241228000003</v>
      </c>
      <c r="D981" s="25">
        <v>45661</v>
      </c>
      <c r="E981" s="25" t="s">
        <v>61</v>
      </c>
      <c r="F981" s="23" t="s">
        <v>62</v>
      </c>
      <c r="G981" s="23" t="s">
        <v>158</v>
      </c>
      <c r="H981" s="23">
        <v>0.54</v>
      </c>
      <c r="I981" s="43">
        <v>73</v>
      </c>
      <c r="J981" s="44"/>
      <c r="K981" s="23"/>
      <c r="L981" s="23"/>
      <c r="M981" s="45"/>
      <c r="N981" s="133"/>
      <c r="O981" s="47">
        <f t="shared" ref="O981:O984" si="543">SUM(I981)</f>
        <v>73</v>
      </c>
      <c r="P981" s="49"/>
      <c r="Q981" s="49"/>
      <c r="R981" s="77">
        <f t="shared" si="537"/>
        <v>27.4260252555622</v>
      </c>
      <c r="S981" s="77"/>
      <c r="T981" s="78">
        <f t="shared" si="538"/>
        <v>0.0451190619362598</v>
      </c>
      <c r="U981" s="77"/>
      <c r="V981" s="77"/>
      <c r="W981" s="77">
        <f t="shared" si="536"/>
        <v>27.4711443174985</v>
      </c>
      <c r="X981" s="79">
        <f t="shared" si="539"/>
        <v>0.409739206253758</v>
      </c>
      <c r="Y981" s="79"/>
      <c r="Z981" s="79"/>
      <c r="AA981" s="79">
        <f t="shared" si="535"/>
        <v>0.409739206253758</v>
      </c>
      <c r="AB981" s="91">
        <v>7.27</v>
      </c>
      <c r="AC981" s="77">
        <f t="shared" si="532"/>
        <v>2.97880402946482</v>
      </c>
      <c r="AD981" s="77">
        <f t="shared" si="533"/>
        <v>30.4499483469633</v>
      </c>
      <c r="AE981" s="77">
        <f t="shared" si="534"/>
        <v>42.5500516530367</v>
      </c>
    </row>
    <row r="982" customFormat="1" spans="1:31">
      <c r="A982" s="22"/>
      <c r="B982" s="23"/>
      <c r="C982" s="24">
        <v>241228000006</v>
      </c>
      <c r="D982" s="25">
        <v>45661</v>
      </c>
      <c r="E982" s="25" t="s">
        <v>37</v>
      </c>
      <c r="F982" s="23" t="s">
        <v>38</v>
      </c>
      <c r="G982" s="23" t="s">
        <v>583</v>
      </c>
      <c r="H982" s="23">
        <v>18</v>
      </c>
      <c r="I982" s="47"/>
      <c r="J982" s="51">
        <v>283883.2</v>
      </c>
      <c r="K982" s="23"/>
      <c r="L982" s="52">
        <f>SUM(J982/M982)</f>
        <v>1669.70474061875</v>
      </c>
      <c r="M982" s="53">
        <v>170.02</v>
      </c>
      <c r="N982" s="133">
        <v>7.27</v>
      </c>
      <c r="O982" s="47">
        <f t="shared" ref="O982:O990" si="544">SUM(M982*N982)</f>
        <v>1236.0454</v>
      </c>
      <c r="P982" s="49"/>
      <c r="Q982" s="49"/>
      <c r="R982" s="77">
        <f t="shared" si="537"/>
        <v>914.200841852075</v>
      </c>
      <c r="S982" s="77"/>
      <c r="T982" s="78">
        <f t="shared" si="538"/>
        <v>1.50396873120866</v>
      </c>
      <c r="U982" s="77"/>
      <c r="V982" s="77"/>
      <c r="W982" s="77">
        <f t="shared" si="536"/>
        <v>915.704810583283</v>
      </c>
      <c r="X982" s="79">
        <f t="shared" si="539"/>
        <v>13.6579735417919</v>
      </c>
      <c r="Y982" s="79"/>
      <c r="Z982" s="79"/>
      <c r="AA982" s="79">
        <f t="shared" si="535"/>
        <v>13.6579735417919</v>
      </c>
      <c r="AB982" s="91">
        <v>7.27</v>
      </c>
      <c r="AC982" s="77">
        <f t="shared" si="532"/>
        <v>99.2934676488274</v>
      </c>
      <c r="AD982" s="77">
        <f t="shared" si="533"/>
        <v>1014.99827823211</v>
      </c>
      <c r="AE982" s="77">
        <f t="shared" si="534"/>
        <v>221.047121767889</v>
      </c>
    </row>
    <row r="983" customFormat="1" spans="1:31">
      <c r="A983" s="22"/>
      <c r="B983" s="23"/>
      <c r="C983" s="24">
        <v>241229000002</v>
      </c>
      <c r="D983" s="25">
        <v>45661</v>
      </c>
      <c r="E983" s="25" t="s">
        <v>84</v>
      </c>
      <c r="F983" s="23" t="s">
        <v>85</v>
      </c>
      <c r="G983" s="23" t="s">
        <v>432</v>
      </c>
      <c r="H983" s="23">
        <v>3</v>
      </c>
      <c r="I983" s="43">
        <v>244</v>
      </c>
      <c r="J983" s="44"/>
      <c r="K983" s="23"/>
      <c r="L983" s="23"/>
      <c r="M983" s="45"/>
      <c r="N983" s="133"/>
      <c r="O983" s="47">
        <f t="shared" si="543"/>
        <v>244</v>
      </c>
      <c r="P983" s="49"/>
      <c r="Q983" s="49"/>
      <c r="R983" s="77">
        <f t="shared" si="537"/>
        <v>152.366806975346</v>
      </c>
      <c r="S983" s="77"/>
      <c r="T983" s="78">
        <f t="shared" si="538"/>
        <v>0.250661455201443</v>
      </c>
      <c r="U983" s="77"/>
      <c r="V983" s="77"/>
      <c r="W983" s="77">
        <f t="shared" si="536"/>
        <v>152.617468430547</v>
      </c>
      <c r="X983" s="79">
        <f t="shared" si="539"/>
        <v>2.27632892363199</v>
      </c>
      <c r="Y983" s="79"/>
      <c r="Z983" s="79"/>
      <c r="AA983" s="79">
        <f t="shared" si="535"/>
        <v>2.27632892363199</v>
      </c>
      <c r="AB983" s="91">
        <v>7.27</v>
      </c>
      <c r="AC983" s="77">
        <f t="shared" si="532"/>
        <v>16.5489112748046</v>
      </c>
      <c r="AD983" s="77">
        <f t="shared" si="533"/>
        <v>169.166379705352</v>
      </c>
      <c r="AE983" s="77">
        <f t="shared" si="534"/>
        <v>74.8336202946482</v>
      </c>
    </row>
    <row r="984" customFormat="1" spans="1:31">
      <c r="A984" s="22"/>
      <c r="B984" s="23"/>
      <c r="C984" s="24">
        <v>241230000007</v>
      </c>
      <c r="D984" s="25">
        <v>45661</v>
      </c>
      <c r="E984" s="25" t="s">
        <v>44</v>
      </c>
      <c r="F984" s="23" t="s">
        <v>45</v>
      </c>
      <c r="G984" s="23" t="s">
        <v>167</v>
      </c>
      <c r="H984" s="23">
        <v>6</v>
      </c>
      <c r="I984" s="43">
        <v>630</v>
      </c>
      <c r="J984" s="44"/>
      <c r="K984" s="23"/>
      <c r="L984" s="23"/>
      <c r="M984" s="45"/>
      <c r="N984" s="133"/>
      <c r="O984" s="47">
        <f t="shared" si="543"/>
        <v>630</v>
      </c>
      <c r="P984" s="49"/>
      <c r="Q984" s="49"/>
      <c r="R984" s="77">
        <f t="shared" si="537"/>
        <v>304.733613950692</v>
      </c>
      <c r="S984" s="77"/>
      <c r="T984" s="78">
        <f t="shared" si="538"/>
        <v>0.501322910402886</v>
      </c>
      <c r="U984" s="77"/>
      <c r="V984" s="77"/>
      <c r="W984" s="77">
        <f t="shared" si="536"/>
        <v>305.234936861094</v>
      </c>
      <c r="X984" s="79">
        <f t="shared" si="539"/>
        <v>4.55265784726398</v>
      </c>
      <c r="Y984" s="79"/>
      <c r="Z984" s="79"/>
      <c r="AA984" s="79">
        <f t="shared" si="535"/>
        <v>4.55265784726398</v>
      </c>
      <c r="AB984" s="91">
        <v>7.27</v>
      </c>
      <c r="AC984" s="77">
        <f t="shared" si="532"/>
        <v>33.0978225496091</v>
      </c>
      <c r="AD984" s="77">
        <f t="shared" si="533"/>
        <v>338.332759410704</v>
      </c>
      <c r="AE984" s="77">
        <f t="shared" si="534"/>
        <v>291.667240589296</v>
      </c>
    </row>
    <row r="985" customFormat="1" spans="1:31">
      <c r="A985" s="22"/>
      <c r="B985" s="23"/>
      <c r="C985" s="24">
        <v>241230000009</v>
      </c>
      <c r="D985" s="25">
        <v>45661</v>
      </c>
      <c r="E985" s="25" t="s">
        <v>44</v>
      </c>
      <c r="F985" s="23" t="s">
        <v>45</v>
      </c>
      <c r="G985" s="23" t="s">
        <v>141</v>
      </c>
      <c r="H985" s="23">
        <v>2</v>
      </c>
      <c r="I985" s="50"/>
      <c r="J985" s="51">
        <v>32890</v>
      </c>
      <c r="K985" s="23"/>
      <c r="L985" s="52">
        <f t="shared" ref="L985:L990" si="545">SUM(J985/M985)</f>
        <v>1672.93997965412</v>
      </c>
      <c r="M985" s="53">
        <v>19.66</v>
      </c>
      <c r="N985" s="133">
        <v>7.27</v>
      </c>
      <c r="O985" s="47">
        <f t="shared" si="544"/>
        <v>142.9282</v>
      </c>
      <c r="P985" s="49"/>
      <c r="Q985" s="49"/>
      <c r="R985" s="77">
        <f t="shared" si="537"/>
        <v>101.577871316897</v>
      </c>
      <c r="S985" s="77"/>
      <c r="T985" s="78">
        <f t="shared" si="538"/>
        <v>0.167107636800962</v>
      </c>
      <c r="U985" s="77"/>
      <c r="V985" s="77"/>
      <c r="W985" s="77">
        <f t="shared" si="536"/>
        <v>101.744978953698</v>
      </c>
      <c r="X985" s="79">
        <f t="shared" si="539"/>
        <v>1.51755261575466</v>
      </c>
      <c r="Y985" s="79"/>
      <c r="Z985" s="79"/>
      <c r="AA985" s="79">
        <f t="shared" si="535"/>
        <v>1.51755261575466</v>
      </c>
      <c r="AB985" s="91">
        <v>7.27</v>
      </c>
      <c r="AC985" s="77">
        <f t="shared" si="532"/>
        <v>11.0326075165364</v>
      </c>
      <c r="AD985" s="77">
        <f t="shared" si="533"/>
        <v>112.777586470235</v>
      </c>
      <c r="AE985" s="77">
        <f t="shared" si="534"/>
        <v>30.1506135297655</v>
      </c>
    </row>
    <row r="986" customFormat="1" spans="1:31">
      <c r="A986" s="22"/>
      <c r="B986" s="23"/>
      <c r="C986" s="24">
        <v>241230000012</v>
      </c>
      <c r="D986" s="25">
        <v>45661</v>
      </c>
      <c r="E986" s="25" t="s">
        <v>84</v>
      </c>
      <c r="F986" s="23" t="s">
        <v>85</v>
      </c>
      <c r="G986" s="23" t="s">
        <v>193</v>
      </c>
      <c r="H986" s="23">
        <v>1.5</v>
      </c>
      <c r="I986" s="43">
        <v>130</v>
      </c>
      <c r="J986" s="44"/>
      <c r="K986" s="23"/>
      <c r="L986" s="23"/>
      <c r="M986" s="45"/>
      <c r="N986" s="133"/>
      <c r="O986" s="47">
        <f>SUM(I986)</f>
        <v>130</v>
      </c>
      <c r="P986" s="49"/>
      <c r="Q986" s="49"/>
      <c r="R986" s="77">
        <f t="shared" si="537"/>
        <v>76.1834034876729</v>
      </c>
      <c r="S986" s="77"/>
      <c r="T986" s="78">
        <f t="shared" si="538"/>
        <v>0.125330727600722</v>
      </c>
      <c r="U986" s="77"/>
      <c r="V986" s="77"/>
      <c r="W986" s="77">
        <f t="shared" si="536"/>
        <v>76.3087342152736</v>
      </c>
      <c r="X986" s="79">
        <f t="shared" si="539"/>
        <v>1.138164461816</v>
      </c>
      <c r="Y986" s="79"/>
      <c r="Z986" s="79"/>
      <c r="AA986" s="79">
        <f t="shared" si="535"/>
        <v>1.138164461816</v>
      </c>
      <c r="AB986" s="91">
        <v>7.27</v>
      </c>
      <c r="AC986" s="77">
        <f t="shared" si="532"/>
        <v>8.27445563740229</v>
      </c>
      <c r="AD986" s="77">
        <f t="shared" si="533"/>
        <v>84.5831898526759</v>
      </c>
      <c r="AE986" s="77">
        <f t="shared" si="534"/>
        <v>45.4168101473241</v>
      </c>
    </row>
    <row r="987" customFormat="1" spans="1:31">
      <c r="A987" s="22"/>
      <c r="B987" s="23"/>
      <c r="C987" s="24">
        <v>241230000019</v>
      </c>
      <c r="D987" s="25">
        <v>45661</v>
      </c>
      <c r="E987" s="25" t="s">
        <v>37</v>
      </c>
      <c r="F987" s="23" t="s">
        <v>38</v>
      </c>
      <c r="G987" s="23" t="s">
        <v>127</v>
      </c>
      <c r="H987" s="23">
        <v>2</v>
      </c>
      <c r="I987" s="47"/>
      <c r="J987" s="51">
        <v>33845.13</v>
      </c>
      <c r="K987" s="23"/>
      <c r="L987" s="52">
        <f>SUM(J987/M987)</f>
        <v>1683</v>
      </c>
      <c r="M987" s="53">
        <v>20.11</v>
      </c>
      <c r="N987" s="133">
        <v>7.27</v>
      </c>
      <c r="O987" s="47">
        <f t="shared" si="544"/>
        <v>146.1997</v>
      </c>
      <c r="P987" s="49"/>
      <c r="Q987" s="49"/>
      <c r="R987" s="77">
        <f t="shared" si="537"/>
        <v>101.577871316897</v>
      </c>
      <c r="S987" s="77"/>
      <c r="T987" s="78">
        <f t="shared" si="538"/>
        <v>0.167107636800962</v>
      </c>
      <c r="U987" s="77"/>
      <c r="V987" s="77"/>
      <c r="W987" s="77">
        <f t="shared" si="536"/>
        <v>101.744978953698</v>
      </c>
      <c r="X987" s="79">
        <f t="shared" si="539"/>
        <v>1.51755261575466</v>
      </c>
      <c r="Y987" s="79"/>
      <c r="Z987" s="79"/>
      <c r="AA987" s="79">
        <f t="shared" si="535"/>
        <v>1.51755261575466</v>
      </c>
      <c r="AB987" s="91">
        <v>7.27</v>
      </c>
      <c r="AC987" s="77">
        <f t="shared" si="532"/>
        <v>11.0326075165364</v>
      </c>
      <c r="AD987" s="77">
        <f t="shared" si="533"/>
        <v>112.777586470235</v>
      </c>
      <c r="AE987" s="77">
        <f t="shared" si="534"/>
        <v>33.4221135297655</v>
      </c>
    </row>
    <row r="988" customFormat="1" spans="1:31">
      <c r="A988" s="22"/>
      <c r="B988" s="23"/>
      <c r="C988" s="24">
        <v>241230000023</v>
      </c>
      <c r="D988" s="135">
        <v>45661</v>
      </c>
      <c r="E988" s="25" t="s">
        <v>61</v>
      </c>
      <c r="F988" s="136" t="s">
        <v>62</v>
      </c>
      <c r="G988" s="136" t="s">
        <v>480</v>
      </c>
      <c r="H988" s="136">
        <v>0.74</v>
      </c>
      <c r="I988" s="138"/>
      <c r="J988" s="51">
        <v>13390</v>
      </c>
      <c r="K988" s="23"/>
      <c r="L988" s="52">
        <f t="shared" si="545"/>
        <v>1497.76286353468</v>
      </c>
      <c r="M988" s="53">
        <v>8.94</v>
      </c>
      <c r="N988" s="133">
        <v>7.27</v>
      </c>
      <c r="O988" s="47">
        <f t="shared" si="544"/>
        <v>64.9938</v>
      </c>
      <c r="P988" s="49"/>
      <c r="Q988" s="49"/>
      <c r="R988" s="77">
        <f t="shared" si="537"/>
        <v>37.583812387252</v>
      </c>
      <c r="S988" s="77"/>
      <c r="T988" s="78">
        <f t="shared" si="538"/>
        <v>0.061829825616356</v>
      </c>
      <c r="U988" s="77"/>
      <c r="V988" s="77"/>
      <c r="W988" s="77">
        <f t="shared" si="536"/>
        <v>37.6456422128683</v>
      </c>
      <c r="X988" s="79">
        <f t="shared" si="539"/>
        <v>0.561494467829224</v>
      </c>
      <c r="Y988" s="79"/>
      <c r="Z988" s="79"/>
      <c r="AA988" s="79">
        <f t="shared" si="535"/>
        <v>0.561494467829224</v>
      </c>
      <c r="AB988" s="91">
        <v>7.27</v>
      </c>
      <c r="AC988" s="77">
        <f t="shared" si="532"/>
        <v>4.08206478111846</v>
      </c>
      <c r="AD988" s="77">
        <f t="shared" si="533"/>
        <v>41.7277069939868</v>
      </c>
      <c r="AE988" s="77">
        <f t="shared" si="534"/>
        <v>23.2660930060132</v>
      </c>
    </row>
    <row r="989" customFormat="1" spans="1:31">
      <c r="A989" s="22"/>
      <c r="B989" s="23"/>
      <c r="C989" s="24">
        <v>241230000024</v>
      </c>
      <c r="D989" s="25">
        <v>45661</v>
      </c>
      <c r="E989" s="25" t="s">
        <v>61</v>
      </c>
      <c r="F989" s="23" t="s">
        <v>62</v>
      </c>
      <c r="G989" s="23" t="s">
        <v>584</v>
      </c>
      <c r="H989" s="23">
        <v>2</v>
      </c>
      <c r="I989" s="50"/>
      <c r="J989" s="51">
        <v>35724</v>
      </c>
      <c r="K989" s="23"/>
      <c r="L989" s="52">
        <f t="shared" si="545"/>
        <v>1665.45454545455</v>
      </c>
      <c r="M989" s="53">
        <v>21.45</v>
      </c>
      <c r="N989" s="133">
        <v>7.27</v>
      </c>
      <c r="O989" s="47">
        <f t="shared" si="544"/>
        <v>155.9415</v>
      </c>
      <c r="P989" s="49"/>
      <c r="Q989" s="49"/>
      <c r="R989" s="77">
        <f t="shared" si="537"/>
        <v>101.577871316897</v>
      </c>
      <c r="S989" s="77"/>
      <c r="T989" s="78">
        <f t="shared" si="538"/>
        <v>0.167107636800962</v>
      </c>
      <c r="U989" s="77"/>
      <c r="V989" s="77"/>
      <c r="W989" s="77">
        <f t="shared" si="536"/>
        <v>101.744978953698</v>
      </c>
      <c r="X989" s="79">
        <f t="shared" si="539"/>
        <v>1.51755261575466</v>
      </c>
      <c r="Y989" s="79"/>
      <c r="Z989" s="79"/>
      <c r="AA989" s="79">
        <f t="shared" si="535"/>
        <v>1.51755261575466</v>
      </c>
      <c r="AB989" s="91">
        <v>7.27</v>
      </c>
      <c r="AC989" s="77">
        <f t="shared" si="532"/>
        <v>11.0326075165364</v>
      </c>
      <c r="AD989" s="77">
        <f t="shared" si="533"/>
        <v>112.777586470235</v>
      </c>
      <c r="AE989" s="77">
        <f t="shared" si="534"/>
        <v>43.1639135297655</v>
      </c>
    </row>
    <row r="990" customFormat="1" spans="1:31">
      <c r="A990" s="22"/>
      <c r="B990" s="23"/>
      <c r="C990" s="24">
        <v>241230000025</v>
      </c>
      <c r="D990" s="25">
        <v>45661</v>
      </c>
      <c r="E990" s="25" t="s">
        <v>54</v>
      </c>
      <c r="F990" s="23" t="s">
        <v>55</v>
      </c>
      <c r="G990" s="23" t="s">
        <v>585</v>
      </c>
      <c r="H990" s="23">
        <v>25</v>
      </c>
      <c r="I990" s="47"/>
      <c r="J990" s="51">
        <v>364218.75</v>
      </c>
      <c r="K990" s="23"/>
      <c r="L990" s="52">
        <f t="shared" si="545"/>
        <v>1665</v>
      </c>
      <c r="M990" s="53">
        <v>218.75</v>
      </c>
      <c r="N990" s="133">
        <v>7.27</v>
      </c>
      <c r="O990" s="47">
        <f t="shared" si="544"/>
        <v>1590.3125</v>
      </c>
      <c r="P990" s="49"/>
      <c r="Q990" s="49"/>
      <c r="R990" s="77">
        <f t="shared" si="537"/>
        <v>1269.72339146121</v>
      </c>
      <c r="S990" s="77"/>
      <c r="T990" s="78">
        <f t="shared" si="538"/>
        <v>2.08884546001203</v>
      </c>
      <c r="U990" s="77"/>
      <c r="V990" s="77"/>
      <c r="W990" s="77">
        <f t="shared" si="536"/>
        <v>1271.81223692123</v>
      </c>
      <c r="X990" s="79">
        <f t="shared" si="539"/>
        <v>18.9694076969333</v>
      </c>
      <c r="Y990" s="79"/>
      <c r="Z990" s="79"/>
      <c r="AA990" s="79">
        <f t="shared" si="535"/>
        <v>18.9694076969333</v>
      </c>
      <c r="AB990" s="91">
        <v>7.27</v>
      </c>
      <c r="AC990" s="77">
        <f t="shared" si="532"/>
        <v>137.907593956705</v>
      </c>
      <c r="AD990" s="77">
        <f t="shared" si="533"/>
        <v>1409.71983087793</v>
      </c>
      <c r="AE990" s="77">
        <f t="shared" si="534"/>
        <v>180.592669122068</v>
      </c>
    </row>
    <row r="991" customFormat="1" spans="1:31">
      <c r="A991" s="22"/>
      <c r="B991" s="23"/>
      <c r="C991" s="92">
        <v>241230000026</v>
      </c>
      <c r="D991" s="94">
        <v>45661</v>
      </c>
      <c r="E991" s="25" t="s">
        <v>61</v>
      </c>
      <c r="F991" s="95" t="s">
        <v>62</v>
      </c>
      <c r="G991" s="95" t="s">
        <v>120</v>
      </c>
      <c r="H991" s="95">
        <v>0.67</v>
      </c>
      <c r="I991" s="43">
        <v>73</v>
      </c>
      <c r="J991" s="44"/>
      <c r="K991" s="23"/>
      <c r="L991" s="23"/>
      <c r="M991" s="45"/>
      <c r="N991" s="133"/>
      <c r="O991" s="47">
        <f t="shared" ref="O991:O995" si="546">SUM(I991)</f>
        <v>73</v>
      </c>
      <c r="P991" s="49"/>
      <c r="Q991" s="49"/>
      <c r="R991" s="77">
        <f t="shared" si="537"/>
        <v>34.0285868911606</v>
      </c>
      <c r="S991" s="77"/>
      <c r="T991" s="78">
        <f t="shared" si="538"/>
        <v>0.0559810583283223</v>
      </c>
      <c r="U991" s="77"/>
      <c r="V991" s="77"/>
      <c r="W991" s="77">
        <f t="shared" si="536"/>
        <v>34.0845679494889</v>
      </c>
      <c r="X991" s="79">
        <f t="shared" si="539"/>
        <v>0.508380126277811</v>
      </c>
      <c r="Y991" s="79"/>
      <c r="Z991" s="79"/>
      <c r="AA991" s="79">
        <f t="shared" si="535"/>
        <v>0.508380126277811</v>
      </c>
      <c r="AB991" s="91">
        <v>7.27</v>
      </c>
      <c r="AC991" s="77">
        <f t="shared" si="532"/>
        <v>3.69592351803969</v>
      </c>
      <c r="AD991" s="77">
        <f t="shared" si="533"/>
        <v>37.7804914675286</v>
      </c>
      <c r="AE991" s="77">
        <f t="shared" si="534"/>
        <v>35.2195085324714</v>
      </c>
    </row>
    <row r="992" customFormat="1" spans="1:31">
      <c r="A992" s="22"/>
      <c r="B992" s="23"/>
      <c r="C992" s="24">
        <v>241230000030</v>
      </c>
      <c r="D992" s="25">
        <v>45661</v>
      </c>
      <c r="E992" s="25" t="s">
        <v>37</v>
      </c>
      <c r="F992" s="23" t="s">
        <v>38</v>
      </c>
      <c r="G992" s="23" t="s">
        <v>152</v>
      </c>
      <c r="H992" s="23">
        <v>353.5</v>
      </c>
      <c r="I992" s="43">
        <v>22977.5</v>
      </c>
      <c r="J992" s="44"/>
      <c r="K992" s="23"/>
      <c r="L992" s="23"/>
      <c r="M992" s="45"/>
      <c r="N992" s="133"/>
      <c r="O992" s="47">
        <f t="shared" si="546"/>
        <v>22977.5</v>
      </c>
      <c r="P992" s="49"/>
      <c r="Q992" s="49"/>
      <c r="R992" s="77">
        <f t="shared" si="537"/>
        <v>17953.8887552616</v>
      </c>
      <c r="S992" s="77"/>
      <c r="T992" s="78">
        <f t="shared" si="538"/>
        <v>29.5362748045701</v>
      </c>
      <c r="U992" s="77"/>
      <c r="V992" s="77"/>
      <c r="W992" s="77">
        <f t="shared" si="536"/>
        <v>17983.4250300661</v>
      </c>
      <c r="X992" s="79">
        <f t="shared" si="539"/>
        <v>268.227424834636</v>
      </c>
      <c r="Y992" s="79"/>
      <c r="Z992" s="79"/>
      <c r="AA992" s="79">
        <f t="shared" si="535"/>
        <v>268.227424834636</v>
      </c>
      <c r="AB992" s="91">
        <v>7.27</v>
      </c>
      <c r="AC992" s="77">
        <f t="shared" si="532"/>
        <v>1950.01337854781</v>
      </c>
      <c r="AD992" s="77">
        <f t="shared" si="533"/>
        <v>19933.438408614</v>
      </c>
      <c r="AE992" s="77">
        <f t="shared" si="534"/>
        <v>3044.06159138605</v>
      </c>
    </row>
    <row r="993" customFormat="1" spans="1:31">
      <c r="A993" s="22"/>
      <c r="B993" s="23"/>
      <c r="C993" s="24">
        <v>241230000031</v>
      </c>
      <c r="D993" s="25">
        <v>45661</v>
      </c>
      <c r="E993" s="25" t="s">
        <v>37</v>
      </c>
      <c r="F993" s="23" t="s">
        <v>38</v>
      </c>
      <c r="G993" s="23" t="s">
        <v>152</v>
      </c>
      <c r="H993" s="23">
        <v>1063.5</v>
      </c>
      <c r="I993" s="43">
        <v>67800.5</v>
      </c>
      <c r="J993" s="44"/>
      <c r="K993" s="23"/>
      <c r="L993" s="23"/>
      <c r="M993" s="45"/>
      <c r="N993" s="133"/>
      <c r="O993" s="47">
        <f t="shared" si="546"/>
        <v>67800.5</v>
      </c>
      <c r="P993" s="49"/>
      <c r="Q993" s="49"/>
      <c r="R993" s="77">
        <f t="shared" si="537"/>
        <v>54014.0330727601</v>
      </c>
      <c r="S993" s="77"/>
      <c r="T993" s="78">
        <f t="shared" si="538"/>
        <v>88.8594858689116</v>
      </c>
      <c r="U993" s="77"/>
      <c r="V993" s="77"/>
      <c r="W993" s="77">
        <f t="shared" si="536"/>
        <v>54102.892558629</v>
      </c>
      <c r="X993" s="79">
        <f t="shared" si="539"/>
        <v>806.958603427541</v>
      </c>
      <c r="Y993" s="79">
        <v>110.04</v>
      </c>
      <c r="Z993" s="79"/>
      <c r="AA993" s="79">
        <f t="shared" si="535"/>
        <v>916.998603427541</v>
      </c>
      <c r="AB993" s="91">
        <v>7.27</v>
      </c>
      <c r="AC993" s="77">
        <f t="shared" si="532"/>
        <v>6666.57984691822</v>
      </c>
      <c r="AD993" s="77">
        <f t="shared" si="533"/>
        <v>60769.4724055472</v>
      </c>
      <c r="AE993" s="77">
        <f t="shared" si="534"/>
        <v>7031.0275944528</v>
      </c>
    </row>
    <row r="994" customFormat="1" spans="1:31">
      <c r="A994" s="22"/>
      <c r="B994" s="23"/>
      <c r="C994" s="24">
        <v>241230000032</v>
      </c>
      <c r="D994" s="25">
        <v>45661</v>
      </c>
      <c r="E994" s="25" t="s">
        <v>37</v>
      </c>
      <c r="F994" s="23" t="s">
        <v>38</v>
      </c>
      <c r="G994" s="23" t="s">
        <v>586</v>
      </c>
      <c r="H994" s="23">
        <v>61</v>
      </c>
      <c r="I994" s="43">
        <v>3834</v>
      </c>
      <c r="J994" s="44"/>
      <c r="K994" s="23"/>
      <c r="L994" s="23"/>
      <c r="M994" s="45"/>
      <c r="N994" s="133"/>
      <c r="O994" s="47">
        <f t="shared" si="546"/>
        <v>3834</v>
      </c>
      <c r="P994" s="49"/>
      <c r="Q994" s="49"/>
      <c r="R994" s="77">
        <f t="shared" si="537"/>
        <v>3098.12507516536</v>
      </c>
      <c r="S994" s="77"/>
      <c r="T994" s="78">
        <f t="shared" si="538"/>
        <v>5.09678292242934</v>
      </c>
      <c r="U994" s="77"/>
      <c r="V994" s="77"/>
      <c r="W994" s="77">
        <f t="shared" si="536"/>
        <v>3103.22185808779</v>
      </c>
      <c r="X994" s="79">
        <f t="shared" si="539"/>
        <v>46.2853547805171</v>
      </c>
      <c r="Y994" s="79"/>
      <c r="Z994" s="79"/>
      <c r="AA994" s="79">
        <f t="shared" si="535"/>
        <v>46.2853547805171</v>
      </c>
      <c r="AB994" s="91">
        <v>7.27</v>
      </c>
      <c r="AC994" s="77">
        <f t="shared" si="532"/>
        <v>336.49452925436</v>
      </c>
      <c r="AD994" s="77">
        <f t="shared" si="533"/>
        <v>3439.71638734215</v>
      </c>
      <c r="AE994" s="77">
        <f t="shared" si="534"/>
        <v>394.283612657848</v>
      </c>
    </row>
    <row r="995" customFormat="1" spans="1:31">
      <c r="A995" s="22"/>
      <c r="B995" s="23"/>
      <c r="C995" s="24">
        <v>241230000033</v>
      </c>
      <c r="D995" s="25">
        <v>45661</v>
      </c>
      <c r="E995" s="25" t="s">
        <v>54</v>
      </c>
      <c r="F995" s="23" t="s">
        <v>55</v>
      </c>
      <c r="G995" s="23" t="s">
        <v>551</v>
      </c>
      <c r="H995" s="23">
        <v>5</v>
      </c>
      <c r="I995" s="43">
        <v>426</v>
      </c>
      <c r="J995" s="44"/>
      <c r="K995" s="23"/>
      <c r="L995" s="23"/>
      <c r="M995" s="45"/>
      <c r="N995" s="133"/>
      <c r="O995" s="47">
        <f t="shared" si="546"/>
        <v>426</v>
      </c>
      <c r="P995" s="49"/>
      <c r="Q995" s="49"/>
      <c r="R995" s="77">
        <f t="shared" si="537"/>
        <v>253.944678292243</v>
      </c>
      <c r="S995" s="77"/>
      <c r="T995" s="78">
        <f t="shared" si="538"/>
        <v>0.417769092002405</v>
      </c>
      <c r="U995" s="77"/>
      <c r="V995" s="77"/>
      <c r="W995" s="77">
        <f t="shared" si="536"/>
        <v>254.362447384245</v>
      </c>
      <c r="X995" s="79">
        <f t="shared" si="539"/>
        <v>3.79388153938665</v>
      </c>
      <c r="Y995" s="79"/>
      <c r="Z995" s="79"/>
      <c r="AA995" s="79">
        <f t="shared" si="535"/>
        <v>3.79388153938665</v>
      </c>
      <c r="AB995" s="91">
        <v>7.27</v>
      </c>
      <c r="AC995" s="77">
        <f t="shared" si="532"/>
        <v>27.581518791341</v>
      </c>
      <c r="AD995" s="77">
        <f t="shared" si="533"/>
        <v>281.943966175586</v>
      </c>
      <c r="AE995" s="77">
        <f t="shared" si="534"/>
        <v>144.056033824414</v>
      </c>
    </row>
    <row r="996" customFormat="1" spans="1:31">
      <c r="A996" s="22"/>
      <c r="B996" s="23"/>
      <c r="C996" s="24">
        <v>241230000034</v>
      </c>
      <c r="D996" s="25">
        <v>45661</v>
      </c>
      <c r="E996" s="25" t="s">
        <v>54</v>
      </c>
      <c r="F996" s="23" t="s">
        <v>55</v>
      </c>
      <c r="G996" s="23" t="s">
        <v>349</v>
      </c>
      <c r="H996" s="23">
        <v>96</v>
      </c>
      <c r="I996" s="47"/>
      <c r="J996" s="51">
        <v>2142677.79</v>
      </c>
      <c r="K996" s="23"/>
      <c r="L996" s="52">
        <f>SUM(J996/M996)</f>
        <v>1683</v>
      </c>
      <c r="M996" s="53">
        <v>1273.13</v>
      </c>
      <c r="N996" s="133">
        <v>7.27</v>
      </c>
      <c r="O996" s="47">
        <f>SUM(M996*N996)</f>
        <v>9255.6551</v>
      </c>
      <c r="P996" s="49"/>
      <c r="Q996" s="49"/>
      <c r="R996" s="77">
        <f t="shared" si="537"/>
        <v>4875.73782321106</v>
      </c>
      <c r="S996" s="77"/>
      <c r="T996" s="78">
        <f t="shared" si="538"/>
        <v>8.02116656644618</v>
      </c>
      <c r="U996" s="77"/>
      <c r="V996" s="77"/>
      <c r="W996" s="77">
        <f t="shared" si="536"/>
        <v>4883.75898977751</v>
      </c>
      <c r="X996" s="79">
        <f t="shared" si="539"/>
        <v>72.8425255562237</v>
      </c>
      <c r="Y996" s="79"/>
      <c r="Z996" s="79"/>
      <c r="AA996" s="79">
        <f t="shared" si="535"/>
        <v>72.8425255562237</v>
      </c>
      <c r="AB996" s="91">
        <v>7.27</v>
      </c>
      <c r="AC996" s="77">
        <f t="shared" si="532"/>
        <v>529.565160793746</v>
      </c>
      <c r="AD996" s="77">
        <f t="shared" si="533"/>
        <v>5413.32415057126</v>
      </c>
      <c r="AE996" s="77">
        <f t="shared" si="534"/>
        <v>3842.33094942874</v>
      </c>
    </row>
    <row r="997" customFormat="1" spans="1:31">
      <c r="A997" s="22"/>
      <c r="B997" s="23"/>
      <c r="C997" s="24">
        <v>241230000035</v>
      </c>
      <c r="D997" s="25">
        <v>45661</v>
      </c>
      <c r="E997" s="25" t="s">
        <v>37</v>
      </c>
      <c r="F997" s="23" t="s">
        <v>38</v>
      </c>
      <c r="G997" s="23" t="s">
        <v>154</v>
      </c>
      <c r="H997" s="23">
        <v>6</v>
      </c>
      <c r="I997" s="43">
        <v>528</v>
      </c>
      <c r="J997" s="44"/>
      <c r="K997" s="23"/>
      <c r="L997" s="23"/>
      <c r="M997" s="45"/>
      <c r="N997" s="133"/>
      <c r="O997" s="47">
        <f t="shared" ref="O997:O1001" si="547">SUM(I997)</f>
        <v>528</v>
      </c>
      <c r="P997" s="49"/>
      <c r="Q997" s="49"/>
      <c r="R997" s="77">
        <f t="shared" si="537"/>
        <v>304.733613950692</v>
      </c>
      <c r="S997" s="77"/>
      <c r="T997" s="78">
        <f t="shared" si="538"/>
        <v>0.501322910402886</v>
      </c>
      <c r="U997" s="77"/>
      <c r="V997" s="77"/>
      <c r="W997" s="77">
        <f t="shared" si="536"/>
        <v>305.234936861094</v>
      </c>
      <c r="X997" s="79">
        <f t="shared" si="539"/>
        <v>4.55265784726398</v>
      </c>
      <c r="Y997" s="79">
        <v>11.5</v>
      </c>
      <c r="Z997" s="79"/>
      <c r="AA997" s="79">
        <f t="shared" si="535"/>
        <v>16.052657847264</v>
      </c>
      <c r="AB997" s="91">
        <v>7.27</v>
      </c>
      <c r="AC997" s="77">
        <f t="shared" si="532"/>
        <v>116.702822549609</v>
      </c>
      <c r="AD997" s="77">
        <f t="shared" si="533"/>
        <v>421.937759410704</v>
      </c>
      <c r="AE997" s="77">
        <f t="shared" si="534"/>
        <v>106.062240589296</v>
      </c>
    </row>
    <row r="998" customFormat="1" spans="1:31">
      <c r="A998" s="22"/>
      <c r="B998" s="23"/>
      <c r="C998" s="24">
        <v>241230000036</v>
      </c>
      <c r="D998" s="25">
        <v>45661</v>
      </c>
      <c r="E998" s="25" t="s">
        <v>54</v>
      </c>
      <c r="F998" s="23" t="s">
        <v>55</v>
      </c>
      <c r="G998" s="23" t="s">
        <v>316</v>
      </c>
      <c r="H998" s="23">
        <v>82.5</v>
      </c>
      <c r="I998" s="47"/>
      <c r="J998" s="51">
        <v>1655961</v>
      </c>
      <c r="K998" s="23"/>
      <c r="L998" s="52">
        <f t="shared" ref="L998:L1003" si="548">SUM(J998/M998)</f>
        <v>1671</v>
      </c>
      <c r="M998" s="53">
        <v>991</v>
      </c>
      <c r="N998" s="133">
        <v>7.27</v>
      </c>
      <c r="O998" s="47">
        <f t="shared" ref="O998:O1003" si="549">SUM(M998*N998)</f>
        <v>7204.57</v>
      </c>
      <c r="P998" s="49"/>
      <c r="Q998" s="49"/>
      <c r="R998" s="77">
        <f t="shared" si="537"/>
        <v>4190.08719182201</v>
      </c>
      <c r="S998" s="77"/>
      <c r="T998" s="78">
        <f t="shared" si="538"/>
        <v>6.89319001803969</v>
      </c>
      <c r="U998" s="78">
        <v>240</v>
      </c>
      <c r="V998" s="77"/>
      <c r="W998" s="77">
        <f t="shared" si="536"/>
        <v>4436.98038184005</v>
      </c>
      <c r="X998" s="79">
        <f t="shared" si="539"/>
        <v>62.5990453998797</v>
      </c>
      <c r="Y998" s="79"/>
      <c r="Z998" s="79"/>
      <c r="AA998" s="79">
        <f t="shared" si="535"/>
        <v>62.5990453998797</v>
      </c>
      <c r="AB998" s="91">
        <v>7.27</v>
      </c>
      <c r="AC998" s="77">
        <f t="shared" si="532"/>
        <v>455.095060057126</v>
      </c>
      <c r="AD998" s="77">
        <f t="shared" si="533"/>
        <v>4892.07544189717</v>
      </c>
      <c r="AE998" s="77">
        <f t="shared" si="534"/>
        <v>2312.49455810283</v>
      </c>
    </row>
    <row r="999" customFormat="1" spans="1:31">
      <c r="A999" s="22"/>
      <c r="B999" s="23"/>
      <c r="C999" s="24">
        <v>241230000041</v>
      </c>
      <c r="D999" s="25">
        <v>45661</v>
      </c>
      <c r="E999" s="25" t="s">
        <v>61</v>
      </c>
      <c r="F999" s="23" t="s">
        <v>62</v>
      </c>
      <c r="G999" s="23" t="s">
        <v>501</v>
      </c>
      <c r="H999" s="23">
        <v>1</v>
      </c>
      <c r="I999" s="43">
        <v>73</v>
      </c>
      <c r="J999" s="44"/>
      <c r="K999" s="23"/>
      <c r="L999" s="23"/>
      <c r="M999" s="45"/>
      <c r="N999" s="133"/>
      <c r="O999" s="47">
        <f t="shared" si="547"/>
        <v>73</v>
      </c>
      <c r="P999" s="49"/>
      <c r="Q999" s="49"/>
      <c r="R999" s="77">
        <f t="shared" si="537"/>
        <v>50.7889356584486</v>
      </c>
      <c r="S999" s="77"/>
      <c r="T999" s="78">
        <f t="shared" si="538"/>
        <v>0.0835538184004811</v>
      </c>
      <c r="U999" s="77"/>
      <c r="V999" s="77"/>
      <c r="W999" s="77">
        <f t="shared" si="536"/>
        <v>50.8724894768491</v>
      </c>
      <c r="X999" s="79">
        <f t="shared" si="539"/>
        <v>0.75877630787733</v>
      </c>
      <c r="Y999" s="79"/>
      <c r="Z999" s="79"/>
      <c r="AA999" s="79">
        <f t="shared" si="535"/>
        <v>0.75877630787733</v>
      </c>
      <c r="AB999" s="91">
        <v>7.27</v>
      </c>
      <c r="AC999" s="77">
        <f t="shared" si="532"/>
        <v>5.51630375826819</v>
      </c>
      <c r="AD999" s="77">
        <f t="shared" si="533"/>
        <v>56.3887932351173</v>
      </c>
      <c r="AE999" s="77">
        <f t="shared" si="534"/>
        <v>16.6112067648827</v>
      </c>
    </row>
    <row r="1000" customFormat="1" spans="1:31">
      <c r="A1000" s="22"/>
      <c r="B1000" s="23"/>
      <c r="C1000" s="24">
        <v>241230000042</v>
      </c>
      <c r="D1000" s="25">
        <v>45661</v>
      </c>
      <c r="E1000" s="25" t="s">
        <v>61</v>
      </c>
      <c r="F1000" s="23" t="s">
        <v>62</v>
      </c>
      <c r="G1000" s="23" t="s">
        <v>174</v>
      </c>
      <c r="H1000" s="23">
        <v>56.5</v>
      </c>
      <c r="I1000" s="43">
        <v>3785.5</v>
      </c>
      <c r="J1000" s="44"/>
      <c r="K1000" s="23"/>
      <c r="L1000" s="23"/>
      <c r="M1000" s="45"/>
      <c r="N1000" s="133"/>
      <c r="O1000" s="47">
        <f t="shared" si="547"/>
        <v>3785.5</v>
      </c>
      <c r="P1000" s="49"/>
      <c r="Q1000" s="49"/>
      <c r="R1000" s="77">
        <f t="shared" si="537"/>
        <v>2869.57486470235</v>
      </c>
      <c r="S1000" s="77"/>
      <c r="T1000" s="78">
        <f t="shared" si="538"/>
        <v>4.72079073962718</v>
      </c>
      <c r="U1000" s="77"/>
      <c r="V1000" s="77"/>
      <c r="W1000" s="77">
        <f t="shared" si="536"/>
        <v>2874.29565544197</v>
      </c>
      <c r="X1000" s="79">
        <f t="shared" si="539"/>
        <v>42.8708613950692</v>
      </c>
      <c r="Y1000" s="79"/>
      <c r="Z1000" s="79"/>
      <c r="AA1000" s="79">
        <f t="shared" si="535"/>
        <v>42.8708613950692</v>
      </c>
      <c r="AB1000" s="91">
        <v>7.27</v>
      </c>
      <c r="AC1000" s="77">
        <f t="shared" si="532"/>
        <v>311.671162342153</v>
      </c>
      <c r="AD1000" s="77">
        <f t="shared" si="533"/>
        <v>3185.96681778413</v>
      </c>
      <c r="AE1000" s="77">
        <f t="shared" si="534"/>
        <v>599.533182215875</v>
      </c>
    </row>
    <row r="1001" customFormat="1" spans="1:31">
      <c r="A1001" s="22"/>
      <c r="B1001" s="23"/>
      <c r="C1001" s="24">
        <v>241230000045</v>
      </c>
      <c r="D1001" s="25">
        <v>45661</v>
      </c>
      <c r="E1001" s="25" t="s">
        <v>37</v>
      </c>
      <c r="F1001" s="23" t="s">
        <v>38</v>
      </c>
      <c r="G1001" s="23" t="s">
        <v>524</v>
      </c>
      <c r="H1001" s="23">
        <v>0.36</v>
      </c>
      <c r="I1001" s="43">
        <v>73</v>
      </c>
      <c r="J1001" s="44"/>
      <c r="K1001" s="23"/>
      <c r="L1001" s="23"/>
      <c r="M1001" s="45"/>
      <c r="N1001" s="133"/>
      <c r="O1001" s="47">
        <f t="shared" si="547"/>
        <v>73</v>
      </c>
      <c r="P1001" s="49"/>
      <c r="Q1001" s="49"/>
      <c r="R1001" s="77">
        <f t="shared" si="537"/>
        <v>18.2840168370415</v>
      </c>
      <c r="S1001" s="77"/>
      <c r="T1001" s="78">
        <f t="shared" si="538"/>
        <v>0.0300793746241732</v>
      </c>
      <c r="U1001" s="77"/>
      <c r="V1001" s="77"/>
      <c r="W1001" s="77">
        <f t="shared" si="536"/>
        <v>18.3140962116657</v>
      </c>
      <c r="X1001" s="79">
        <f t="shared" si="539"/>
        <v>0.273159470835839</v>
      </c>
      <c r="Y1001" s="79"/>
      <c r="Z1001" s="79"/>
      <c r="AA1001" s="79">
        <f t="shared" si="535"/>
        <v>0.273159470835839</v>
      </c>
      <c r="AB1001" s="91">
        <v>7.27</v>
      </c>
      <c r="AC1001" s="77">
        <f t="shared" si="532"/>
        <v>1.98586935297655</v>
      </c>
      <c r="AD1001" s="77">
        <f t="shared" si="533"/>
        <v>20.2999655646422</v>
      </c>
      <c r="AE1001" s="77">
        <f t="shared" si="534"/>
        <v>52.7000344353578</v>
      </c>
    </row>
    <row r="1002" customFormat="1" spans="1:31">
      <c r="A1002" s="22"/>
      <c r="B1002" s="23"/>
      <c r="C1002" s="24">
        <v>241230000052</v>
      </c>
      <c r="D1002" s="26">
        <v>45661</v>
      </c>
      <c r="E1002" s="25" t="s">
        <v>70</v>
      </c>
      <c r="F1002" s="23" t="s">
        <v>70</v>
      </c>
      <c r="G1002" s="23" t="s">
        <v>282</v>
      </c>
      <c r="H1002" s="23">
        <v>97.5</v>
      </c>
      <c r="I1002" s="47"/>
      <c r="J1002" s="51">
        <v>1479152.7</v>
      </c>
      <c r="K1002" s="23"/>
      <c r="L1002" s="52">
        <f t="shared" si="548"/>
        <v>1665</v>
      </c>
      <c r="M1002" s="53">
        <v>888.38</v>
      </c>
      <c r="N1002" s="133">
        <v>7.27</v>
      </c>
      <c r="O1002" s="47">
        <f t="shared" si="549"/>
        <v>6458.5226</v>
      </c>
      <c r="P1002" s="49"/>
      <c r="Q1002" s="49"/>
      <c r="R1002" s="77">
        <f t="shared" si="537"/>
        <v>4951.92122669874</v>
      </c>
      <c r="S1002" s="77"/>
      <c r="T1002" s="78">
        <f t="shared" si="538"/>
        <v>8.1464972940469</v>
      </c>
      <c r="U1002" s="77"/>
      <c r="V1002" s="77"/>
      <c r="W1002" s="77">
        <f t="shared" si="536"/>
        <v>4960.06772399278</v>
      </c>
      <c r="X1002" s="79">
        <f t="shared" si="539"/>
        <v>73.9806900180397</v>
      </c>
      <c r="Y1002" s="79"/>
      <c r="Z1002" s="79"/>
      <c r="AA1002" s="79">
        <f t="shared" si="535"/>
        <v>73.9806900180397</v>
      </c>
      <c r="AB1002" s="91">
        <v>7.27</v>
      </c>
      <c r="AC1002" s="77">
        <f t="shared" si="532"/>
        <v>537.839616431149</v>
      </c>
      <c r="AD1002" s="77">
        <f t="shared" si="533"/>
        <v>5497.90734042393</v>
      </c>
      <c r="AE1002" s="77">
        <f t="shared" si="534"/>
        <v>960.615259576068</v>
      </c>
    </row>
    <row r="1003" customFormat="1" spans="1:31">
      <c r="A1003" s="22"/>
      <c r="B1003" s="23"/>
      <c r="C1003" s="24">
        <v>241230000055</v>
      </c>
      <c r="D1003" s="25">
        <v>45661</v>
      </c>
      <c r="E1003" s="25" t="s">
        <v>37</v>
      </c>
      <c r="F1003" s="23" t="s">
        <v>38</v>
      </c>
      <c r="G1003" s="23" t="s">
        <v>155</v>
      </c>
      <c r="H1003" s="23">
        <v>10.5</v>
      </c>
      <c r="I1003" s="47"/>
      <c r="J1003" s="51">
        <v>165717</v>
      </c>
      <c r="K1003" s="23"/>
      <c r="L1003" s="52">
        <f t="shared" si="548"/>
        <v>1664.99547875013</v>
      </c>
      <c r="M1003" s="53">
        <v>99.53</v>
      </c>
      <c r="N1003" s="133">
        <v>7.27</v>
      </c>
      <c r="O1003" s="47">
        <f t="shared" si="549"/>
        <v>723.5831</v>
      </c>
      <c r="P1003" s="49"/>
      <c r="Q1003" s="49"/>
      <c r="R1003" s="77">
        <f t="shared" si="537"/>
        <v>533.28382441371</v>
      </c>
      <c r="S1003" s="77"/>
      <c r="T1003" s="78">
        <f t="shared" si="538"/>
        <v>0.877315093205051</v>
      </c>
      <c r="U1003" s="77"/>
      <c r="V1003" s="77"/>
      <c r="W1003" s="77">
        <f t="shared" si="536"/>
        <v>534.161139506915</v>
      </c>
      <c r="X1003" s="79">
        <f t="shared" si="539"/>
        <v>7.96715123271197</v>
      </c>
      <c r="Y1003" s="79"/>
      <c r="Z1003" s="79"/>
      <c r="AA1003" s="79">
        <f t="shared" si="535"/>
        <v>7.96715123271197</v>
      </c>
      <c r="AB1003" s="91">
        <v>7.27</v>
      </c>
      <c r="AC1003" s="77">
        <f t="shared" si="532"/>
        <v>57.921189461816</v>
      </c>
      <c r="AD1003" s="77">
        <f t="shared" si="533"/>
        <v>592.082328968731</v>
      </c>
      <c r="AE1003" s="77">
        <f t="shared" si="534"/>
        <v>131.500771031269</v>
      </c>
    </row>
    <row r="1004" customFormat="1" spans="1:31">
      <c r="A1004" s="22"/>
      <c r="B1004" s="23"/>
      <c r="C1004" s="24">
        <v>241231000009</v>
      </c>
      <c r="D1004" s="25">
        <v>45661</v>
      </c>
      <c r="E1004" s="25" t="s">
        <v>61</v>
      </c>
      <c r="F1004" s="23" t="s">
        <v>62</v>
      </c>
      <c r="G1004" s="23" t="s">
        <v>330</v>
      </c>
      <c r="H1004" s="23">
        <v>7.5</v>
      </c>
      <c r="I1004" s="43">
        <v>815</v>
      </c>
      <c r="J1004" s="44"/>
      <c r="K1004" s="23"/>
      <c r="L1004" s="23"/>
      <c r="M1004" s="45"/>
      <c r="N1004" s="133"/>
      <c r="O1004" s="47">
        <f t="shared" ref="O1004:O1006" si="550">SUM(I1004)</f>
        <v>815</v>
      </c>
      <c r="P1004" s="49"/>
      <c r="Q1004" s="49"/>
      <c r="R1004" s="77">
        <f t="shared" si="537"/>
        <v>380.917017438364</v>
      </c>
      <c r="S1004" s="77"/>
      <c r="T1004" s="78">
        <f t="shared" si="538"/>
        <v>0.626653638003608</v>
      </c>
      <c r="U1004" s="77"/>
      <c r="V1004" s="77"/>
      <c r="W1004" s="77">
        <f t="shared" si="536"/>
        <v>381.543671076368</v>
      </c>
      <c r="X1004" s="79">
        <f t="shared" si="539"/>
        <v>5.69082230907998</v>
      </c>
      <c r="Y1004" s="79"/>
      <c r="Z1004" s="79"/>
      <c r="AA1004" s="79">
        <f t="shared" si="535"/>
        <v>5.69082230907998</v>
      </c>
      <c r="AB1004" s="91">
        <v>7.27</v>
      </c>
      <c r="AC1004" s="77">
        <f t="shared" si="532"/>
        <v>41.3722781870114</v>
      </c>
      <c r="AD1004" s="77">
        <f t="shared" si="533"/>
        <v>422.915949263379</v>
      </c>
      <c r="AE1004" s="77">
        <f t="shared" si="534"/>
        <v>392.084050736621</v>
      </c>
    </row>
    <row r="1005" customFormat="1" spans="1:31">
      <c r="A1005" s="22"/>
      <c r="B1005" s="23"/>
      <c r="C1005" s="24">
        <v>241231000010</v>
      </c>
      <c r="D1005" s="25">
        <v>45661</v>
      </c>
      <c r="E1005" s="25" t="s">
        <v>61</v>
      </c>
      <c r="F1005" s="23" t="s">
        <v>62</v>
      </c>
      <c r="G1005" s="23" t="s">
        <v>398</v>
      </c>
      <c r="H1005" s="23">
        <v>86</v>
      </c>
      <c r="I1005" s="43">
        <v>5770</v>
      </c>
      <c r="J1005" s="44"/>
      <c r="K1005" s="23"/>
      <c r="L1005" s="23"/>
      <c r="M1005" s="45"/>
      <c r="N1005" s="133"/>
      <c r="O1005" s="47">
        <f t="shared" si="550"/>
        <v>5770</v>
      </c>
      <c r="P1005" s="49"/>
      <c r="Q1005" s="49"/>
      <c r="R1005" s="77">
        <f t="shared" si="537"/>
        <v>4367.84846662658</v>
      </c>
      <c r="S1005" s="77"/>
      <c r="T1005" s="78">
        <f t="shared" si="538"/>
        <v>7.18562838244137</v>
      </c>
      <c r="U1005" s="77"/>
      <c r="V1005" s="77"/>
      <c r="W1005" s="77">
        <f t="shared" si="536"/>
        <v>4375.03409500902</v>
      </c>
      <c r="X1005" s="79">
        <f t="shared" si="539"/>
        <v>65.2547624774504</v>
      </c>
      <c r="Y1005" s="79"/>
      <c r="Z1005" s="79"/>
      <c r="AA1005" s="79">
        <f t="shared" si="535"/>
        <v>65.2547624774504</v>
      </c>
      <c r="AB1005" s="91">
        <v>7.27</v>
      </c>
      <c r="AC1005" s="77">
        <f t="shared" si="532"/>
        <v>474.402123211064</v>
      </c>
      <c r="AD1005" s="77">
        <f t="shared" si="533"/>
        <v>4849.43621822008</v>
      </c>
      <c r="AE1005" s="77">
        <f t="shared" si="534"/>
        <v>920.563781779915</v>
      </c>
    </row>
    <row r="1006" customFormat="1" spans="1:31">
      <c r="A1006" s="22"/>
      <c r="B1006" s="23"/>
      <c r="C1006" s="24">
        <v>241231000012</v>
      </c>
      <c r="D1006" s="25">
        <v>45661</v>
      </c>
      <c r="E1006" s="25" t="s">
        <v>44</v>
      </c>
      <c r="F1006" s="23" t="s">
        <v>45</v>
      </c>
      <c r="G1006" s="23" t="s">
        <v>587</v>
      </c>
      <c r="H1006" s="23">
        <v>676.5</v>
      </c>
      <c r="I1006" s="43">
        <v>42883.5</v>
      </c>
      <c r="J1006" s="44"/>
      <c r="K1006" s="23"/>
      <c r="L1006" s="23"/>
      <c r="M1006" s="45"/>
      <c r="N1006" s="133"/>
      <c r="O1006" s="47">
        <f t="shared" si="550"/>
        <v>42883.5</v>
      </c>
      <c r="P1006" s="49"/>
      <c r="Q1006" s="49"/>
      <c r="R1006" s="77">
        <f t="shared" si="537"/>
        <v>34358.7149729405</v>
      </c>
      <c r="S1006" s="77"/>
      <c r="T1006" s="78">
        <f t="shared" si="538"/>
        <v>56.5241581479254</v>
      </c>
      <c r="U1006" s="77"/>
      <c r="V1006" s="77"/>
      <c r="W1006" s="77">
        <f t="shared" si="536"/>
        <v>34415.2391310884</v>
      </c>
      <c r="X1006" s="79">
        <f t="shared" si="539"/>
        <v>513.312172279014</v>
      </c>
      <c r="Y1006" s="79">
        <v>333.33</v>
      </c>
      <c r="Z1006" s="79"/>
      <c r="AA1006" s="79">
        <f t="shared" si="535"/>
        <v>846.642172279014</v>
      </c>
      <c r="AB1006" s="91">
        <v>7.27</v>
      </c>
      <c r="AC1006" s="77">
        <f t="shared" si="532"/>
        <v>6155.08859246843</v>
      </c>
      <c r="AD1006" s="77">
        <f t="shared" si="533"/>
        <v>40570.3277235568</v>
      </c>
      <c r="AE1006" s="77">
        <f t="shared" si="534"/>
        <v>2313.17227644317</v>
      </c>
    </row>
    <row r="1007" customFormat="1" spans="1:31">
      <c r="A1007" s="22"/>
      <c r="B1007" s="23"/>
      <c r="C1007" s="24">
        <v>241231000013</v>
      </c>
      <c r="D1007" s="25">
        <v>45661</v>
      </c>
      <c r="E1007" s="25" t="s">
        <v>44</v>
      </c>
      <c r="F1007" s="23" t="s">
        <v>45</v>
      </c>
      <c r="G1007" s="23" t="s">
        <v>369</v>
      </c>
      <c r="H1007" s="23">
        <v>0.7</v>
      </c>
      <c r="I1007" s="50"/>
      <c r="J1007" s="51">
        <v>16644</v>
      </c>
      <c r="K1007" s="23"/>
      <c r="L1007" s="52">
        <f t="shared" ref="L1007:L1009" si="551">SUM(J1007/M1007)</f>
        <v>1657.76892430279</v>
      </c>
      <c r="M1007" s="53">
        <v>10.04</v>
      </c>
      <c r="N1007" s="133">
        <v>7.27</v>
      </c>
      <c r="O1007" s="47">
        <f t="shared" ref="O1007:O1009" si="552">SUM(M1007*N1007)</f>
        <v>72.9908</v>
      </c>
      <c r="P1007" s="49"/>
      <c r="Q1007" s="49"/>
      <c r="R1007" s="77">
        <f t="shared" si="537"/>
        <v>35.552254960914</v>
      </c>
      <c r="S1007" s="77"/>
      <c r="T1007" s="78">
        <f t="shared" si="538"/>
        <v>0.0584876728803367</v>
      </c>
      <c r="U1007" s="77"/>
      <c r="V1007" s="77"/>
      <c r="W1007" s="77">
        <f t="shared" si="536"/>
        <v>35.6107426337943</v>
      </c>
      <c r="X1007" s="79">
        <f t="shared" si="539"/>
        <v>0.531143415514131</v>
      </c>
      <c r="Y1007" s="79"/>
      <c r="Z1007" s="79"/>
      <c r="AA1007" s="79">
        <f t="shared" si="535"/>
        <v>0.531143415514131</v>
      </c>
      <c r="AB1007" s="91">
        <v>7.27</v>
      </c>
      <c r="AC1007" s="77">
        <f t="shared" si="532"/>
        <v>3.86141263078773</v>
      </c>
      <c r="AD1007" s="77">
        <f t="shared" si="533"/>
        <v>39.4721552645821</v>
      </c>
      <c r="AE1007" s="77">
        <f t="shared" si="534"/>
        <v>33.5186447354179</v>
      </c>
    </row>
    <row r="1008" customFormat="1" spans="1:31">
      <c r="A1008" s="22"/>
      <c r="B1008" s="23"/>
      <c r="C1008" s="24">
        <v>241231000017</v>
      </c>
      <c r="D1008" s="25">
        <v>45661</v>
      </c>
      <c r="E1008" s="25" t="s">
        <v>44</v>
      </c>
      <c r="F1008" s="23" t="s">
        <v>45</v>
      </c>
      <c r="G1008" s="23" t="s">
        <v>588</v>
      </c>
      <c r="H1008" s="23">
        <v>48</v>
      </c>
      <c r="I1008" s="50"/>
      <c r="J1008" s="51">
        <v>1032790</v>
      </c>
      <c r="K1008" s="23"/>
      <c r="L1008" s="52">
        <f t="shared" si="551"/>
        <v>1664.85048762795</v>
      </c>
      <c r="M1008" s="53">
        <v>620.35</v>
      </c>
      <c r="N1008" s="133">
        <v>7.27</v>
      </c>
      <c r="O1008" s="47">
        <f t="shared" si="552"/>
        <v>4509.9445</v>
      </c>
      <c r="P1008" s="49"/>
      <c r="Q1008" s="49"/>
      <c r="R1008" s="77">
        <f t="shared" si="537"/>
        <v>2437.86891160553</v>
      </c>
      <c r="S1008" s="77"/>
      <c r="T1008" s="78">
        <f t="shared" si="538"/>
        <v>4.01058328322309</v>
      </c>
      <c r="U1008" s="77"/>
      <c r="V1008" s="77"/>
      <c r="W1008" s="77">
        <f t="shared" si="536"/>
        <v>2441.87949488876</v>
      </c>
      <c r="X1008" s="79">
        <f t="shared" si="539"/>
        <v>36.4212627781119</v>
      </c>
      <c r="Y1008" s="79"/>
      <c r="Z1008" s="79"/>
      <c r="AA1008" s="79">
        <f t="shared" si="535"/>
        <v>36.4212627781119</v>
      </c>
      <c r="AB1008" s="91">
        <v>7.27</v>
      </c>
      <c r="AC1008" s="77">
        <f t="shared" si="532"/>
        <v>264.782580396873</v>
      </c>
      <c r="AD1008" s="77">
        <f t="shared" si="533"/>
        <v>2706.66207528563</v>
      </c>
      <c r="AE1008" s="77">
        <f t="shared" si="534"/>
        <v>1803.28242471437</v>
      </c>
    </row>
    <row r="1009" customFormat="1" spans="1:31">
      <c r="A1009" s="22"/>
      <c r="B1009" s="23"/>
      <c r="C1009" s="24">
        <v>241231000025</v>
      </c>
      <c r="D1009" s="25">
        <v>45661</v>
      </c>
      <c r="E1009" s="25" t="s">
        <v>44</v>
      </c>
      <c r="F1009" s="23" t="s">
        <v>45</v>
      </c>
      <c r="G1009" s="23" t="s">
        <v>170</v>
      </c>
      <c r="H1009" s="23">
        <v>48.5</v>
      </c>
      <c r="I1009" s="96"/>
      <c r="J1009" s="51">
        <v>626377.5</v>
      </c>
      <c r="K1009" s="23"/>
      <c r="L1009" s="52">
        <f t="shared" si="551"/>
        <v>1490.38141239174</v>
      </c>
      <c r="M1009" s="53">
        <v>420.28</v>
      </c>
      <c r="N1009" s="57">
        <v>7.27</v>
      </c>
      <c r="O1009" s="47">
        <f t="shared" si="552"/>
        <v>3055.4356</v>
      </c>
      <c r="P1009" s="55"/>
      <c r="Q1009" s="55"/>
      <c r="R1009" s="77">
        <f t="shared" si="537"/>
        <v>2463.26337943476</v>
      </c>
      <c r="S1009" s="77"/>
      <c r="T1009" s="78">
        <f t="shared" si="538"/>
        <v>4.05236019242333</v>
      </c>
      <c r="U1009" s="77"/>
      <c r="V1009" s="77"/>
      <c r="W1009" s="77">
        <f t="shared" si="536"/>
        <v>2467.31573962718</v>
      </c>
      <c r="X1009" s="79">
        <f t="shared" si="539"/>
        <v>36.8006509320505</v>
      </c>
      <c r="Y1009" s="79"/>
      <c r="Z1009" s="79"/>
      <c r="AA1009" s="79">
        <f t="shared" si="535"/>
        <v>36.8006509320505</v>
      </c>
      <c r="AB1009" s="91">
        <v>7.27</v>
      </c>
      <c r="AC1009" s="77">
        <f t="shared" si="532"/>
        <v>267.540732276007</v>
      </c>
      <c r="AD1009" s="77">
        <f t="shared" si="533"/>
        <v>2734.85647190319</v>
      </c>
      <c r="AE1009" s="77">
        <f t="shared" si="534"/>
        <v>320.579128096812</v>
      </c>
    </row>
    <row r="1010" spans="1:31">
      <c r="A1010" s="131" t="s">
        <v>589</v>
      </c>
      <c r="B1010" s="126"/>
      <c r="C1010" s="126"/>
      <c r="D1010" s="137"/>
      <c r="E1010" s="126"/>
      <c r="F1010" s="126"/>
      <c r="G1010" s="126"/>
      <c r="H1010" s="126"/>
      <c r="I1010" s="139">
        <f>SUM(I3:I1009)</f>
        <v>2098453.84</v>
      </c>
      <c r="J1010" s="140"/>
      <c r="K1010" s="141"/>
      <c r="L1010" s="140"/>
      <c r="M1010" s="140">
        <f>SUM(M3:M1009)</f>
        <v>79380.999898</v>
      </c>
      <c r="N1010" s="126"/>
      <c r="O1010" s="139">
        <f>SUM(O3:O1009)</f>
        <v>2675553.70925846</v>
      </c>
      <c r="P1010" s="139">
        <f>SUM(P3:P1009)</f>
        <v>2675553.70925846</v>
      </c>
      <c r="Q1010" s="126"/>
      <c r="R1010" s="126"/>
      <c r="S1010" s="126"/>
      <c r="T1010" s="126"/>
      <c r="U1010" s="126"/>
      <c r="V1010" s="126"/>
      <c r="W1010" s="142">
        <f>SUM(W3:W3)</f>
        <v>0</v>
      </c>
      <c r="X1010" s="141"/>
      <c r="Y1010" s="141"/>
      <c r="Z1010" s="141"/>
      <c r="AA1010" s="141"/>
      <c r="AB1010" s="140"/>
      <c r="AC1010" s="126">
        <f>SUM(AC3:AC3)</f>
        <v>0</v>
      </c>
      <c r="AD1010" s="126"/>
      <c r="AE1010" s="143">
        <f>SUM(AE4:AE1009)</f>
        <v>423866.039248945</v>
      </c>
    </row>
    <row r="1013" customFormat="1" spans="4:28">
      <c r="D1013" s="3"/>
      <c r="E1013" s="4"/>
      <c r="J1013" s="5"/>
      <c r="K1013" s="6"/>
      <c r="L1013" s="5"/>
      <c r="W1013" s="8"/>
      <c r="X1013" s="6"/>
      <c r="Y1013" s="6"/>
      <c r="Z1013" s="6"/>
      <c r="AA1013" s="6"/>
      <c r="AB1013" s="5"/>
    </row>
    <row r="1014" customFormat="1" spans="4:28">
      <c r="D1014" s="3"/>
      <c r="E1014" s="4"/>
      <c r="J1014" s="5"/>
      <c r="K1014" s="6"/>
      <c r="L1014" s="5"/>
      <c r="W1014" s="8"/>
      <c r="X1014" s="6"/>
      <c r="Y1014" s="6"/>
      <c r="Z1014" s="6"/>
      <c r="AA1014" s="6"/>
      <c r="AB1014" s="5"/>
    </row>
    <row r="1015" customFormat="1" spans="4:28">
      <c r="D1015" s="3"/>
      <c r="E1015" s="4"/>
      <c r="J1015" s="5"/>
      <c r="K1015" s="6"/>
      <c r="L1015" s="5"/>
      <c r="W1015" s="8"/>
      <c r="X1015" s="6"/>
      <c r="Y1015" s="6"/>
      <c r="Z1015" s="6"/>
      <c r="AA1015" s="6"/>
      <c r="AB1015" s="5"/>
    </row>
    <row r="1016" customFormat="1" spans="4:28">
      <c r="D1016" s="3"/>
      <c r="E1016" s="4"/>
      <c r="J1016" s="5"/>
      <c r="K1016" s="6"/>
      <c r="L1016" s="5"/>
      <c r="W1016" s="8"/>
      <c r="X1016" s="6"/>
      <c r="Y1016" s="6"/>
      <c r="Z1016" s="6"/>
      <c r="AA1016" s="6"/>
      <c r="AB1016" s="5"/>
    </row>
    <row r="1017" customFormat="1" spans="4:28">
      <c r="D1017" s="3"/>
      <c r="E1017" s="4"/>
      <c r="J1017" s="5"/>
      <c r="K1017" s="6"/>
      <c r="L1017" s="5"/>
      <c r="W1017" s="8"/>
      <c r="X1017" s="6"/>
      <c r="Y1017" s="6"/>
      <c r="Z1017" s="6"/>
      <c r="AA1017" s="6"/>
      <c r="AB1017" s="5"/>
    </row>
    <row r="1018" customFormat="1" spans="4:28">
      <c r="D1018" s="3"/>
      <c r="E1018" s="4"/>
      <c r="J1018" s="5"/>
      <c r="K1018" s="6"/>
      <c r="L1018" s="5"/>
      <c r="W1018" s="8"/>
      <c r="X1018" s="6"/>
      <c r="Y1018" s="6"/>
      <c r="Z1018" s="6"/>
      <c r="AA1018" s="6"/>
      <c r="AB1018" s="5"/>
    </row>
    <row r="1019" customFormat="1" spans="4:28">
      <c r="D1019" s="3"/>
      <c r="E1019" s="4"/>
      <c r="J1019" s="5"/>
      <c r="K1019" s="6"/>
      <c r="L1019" s="5"/>
      <c r="W1019" s="8"/>
      <c r="X1019" s="6"/>
      <c r="Y1019" s="6"/>
      <c r="Z1019" s="6"/>
      <c r="AA1019" s="6"/>
      <c r="AB1019" s="5"/>
    </row>
    <row r="1020" customFormat="1" spans="4:28">
      <c r="D1020" s="3"/>
      <c r="E1020" s="4"/>
      <c r="J1020" s="5"/>
      <c r="K1020" s="6"/>
      <c r="L1020" s="5"/>
      <c r="W1020" s="8"/>
      <c r="X1020" s="6"/>
      <c r="Y1020" s="6"/>
      <c r="Z1020" s="6"/>
      <c r="AA1020" s="6"/>
      <c r="AB1020" s="5"/>
    </row>
    <row r="1021" customFormat="1" spans="4:28">
      <c r="D1021" s="3"/>
      <c r="E1021" s="4"/>
      <c r="J1021" s="5"/>
      <c r="K1021" s="6"/>
      <c r="L1021" s="5"/>
      <c r="W1021" s="8"/>
      <c r="X1021" s="6"/>
      <c r="Y1021" s="6"/>
      <c r="Z1021" s="6"/>
      <c r="AA1021" s="6"/>
      <c r="AB1021" s="5"/>
    </row>
    <row r="1022" customFormat="1" spans="4:28">
      <c r="D1022" s="3"/>
      <c r="E1022" s="4"/>
      <c r="J1022" s="5"/>
      <c r="K1022" s="6"/>
      <c r="L1022" s="5"/>
      <c r="W1022" s="8"/>
      <c r="X1022" s="6"/>
      <c r="Y1022" s="6"/>
      <c r="Z1022" s="6"/>
      <c r="AA1022" s="6"/>
      <c r="AB1022" s="5"/>
    </row>
    <row r="1023" customFormat="1" spans="4:28">
      <c r="D1023" s="3"/>
      <c r="E1023" s="4"/>
      <c r="K1023" s="6"/>
      <c r="L1023" s="5">
        <v>137489.839998</v>
      </c>
      <c r="M1023">
        <v>7.27</v>
      </c>
      <c r="N1023">
        <f>SUM(L1023*M1023)</f>
        <v>999551.13678546</v>
      </c>
      <c r="W1023" s="8"/>
      <c r="X1023" s="6"/>
      <c r="Y1023" s="6"/>
      <c r="Z1023" s="6"/>
      <c r="AA1023" s="6"/>
      <c r="AB1023" s="5"/>
    </row>
    <row r="1024" customFormat="1" spans="4:28">
      <c r="D1024" s="3"/>
      <c r="E1024" s="4"/>
      <c r="J1024" s="5"/>
      <c r="K1024" s="6"/>
      <c r="L1024" s="5"/>
      <c r="N1024" s="5">
        <v>2098410.44</v>
      </c>
      <c r="W1024" s="8"/>
      <c r="X1024" s="6"/>
      <c r="Y1024" s="6"/>
      <c r="Z1024" s="6"/>
      <c r="AA1024" s="6"/>
      <c r="AB1024" s="5"/>
    </row>
    <row r="1025" customFormat="1" spans="4:28">
      <c r="D1025" s="3"/>
      <c r="E1025" s="4"/>
      <c r="J1025" s="5"/>
      <c r="K1025" s="6"/>
      <c r="L1025" s="5"/>
      <c r="N1025">
        <f>SUM(N1023:N1024)</f>
        <v>3097961.57678546</v>
      </c>
      <c r="W1025" s="8"/>
      <c r="X1025" s="6"/>
      <c r="Y1025" s="6"/>
      <c r="Z1025" s="6"/>
      <c r="AA1025" s="6"/>
      <c r="AB1025" s="5"/>
    </row>
    <row r="1026" customFormat="1" spans="4:28">
      <c r="D1026" s="3"/>
      <c r="E1026" s="4"/>
      <c r="J1026" s="5"/>
      <c r="K1026" s="6"/>
      <c r="L1026" s="5"/>
      <c r="W1026" s="8"/>
      <c r="X1026" s="6"/>
      <c r="Y1026" s="6"/>
      <c r="Z1026" s="6"/>
      <c r="AA1026" s="6"/>
      <c r="AB1026" s="5"/>
    </row>
    <row r="1027" customFormat="1" spans="4:28">
      <c r="D1027" s="3"/>
      <c r="E1027" s="4"/>
      <c r="J1027" s="5"/>
      <c r="K1027" s="6"/>
      <c r="L1027" s="5"/>
      <c r="W1027" s="8"/>
      <c r="X1027" s="6"/>
      <c r="Y1027" s="6"/>
      <c r="Z1027" s="6"/>
      <c r="AA1027" s="6"/>
      <c r="AB1027" s="5"/>
    </row>
    <row r="1028" customFormat="1" spans="4:28">
      <c r="D1028" s="3"/>
      <c r="E1028" s="4"/>
      <c r="J1028" s="5"/>
      <c r="K1028" s="6"/>
      <c r="L1028" s="5"/>
      <c r="W1028" s="8"/>
      <c r="X1028" s="6"/>
      <c r="Y1028" s="6"/>
      <c r="Z1028" s="6"/>
      <c r="AA1028" s="6"/>
      <c r="AB1028" s="5"/>
    </row>
    <row r="1029" customFormat="1" spans="4:28">
      <c r="D1029" s="3"/>
      <c r="E1029" s="4"/>
      <c r="J1029" s="5"/>
      <c r="K1029" s="6"/>
      <c r="L1029" s="5"/>
      <c r="W1029" s="8"/>
      <c r="X1029" s="6"/>
      <c r="Y1029" s="6"/>
      <c r="Z1029" s="6"/>
      <c r="AA1029" s="6"/>
      <c r="AB1029" s="5"/>
    </row>
    <row r="1030" customFormat="1" spans="4:28">
      <c r="D1030" s="3"/>
      <c r="E1030" s="4"/>
      <c r="J1030" s="5"/>
      <c r="K1030" s="6"/>
      <c r="L1030" s="5"/>
      <c r="W1030" s="8"/>
      <c r="X1030" s="6"/>
      <c r="Y1030" s="6"/>
      <c r="Z1030" s="6"/>
      <c r="AA1030" s="6"/>
      <c r="AB1030" s="5"/>
    </row>
    <row r="1031" customFormat="1" spans="4:28">
      <c r="D1031" s="3"/>
      <c r="E1031" s="4"/>
      <c r="J1031" s="5"/>
      <c r="K1031" s="6"/>
      <c r="L1031" s="5"/>
      <c r="W1031" s="8"/>
      <c r="X1031" s="6"/>
      <c r="Y1031" s="6"/>
      <c r="Z1031" s="6"/>
      <c r="AA1031" s="6"/>
      <c r="AB1031" s="5"/>
    </row>
    <row r="1032" customFormat="1" spans="4:28">
      <c r="D1032" s="3"/>
      <c r="E1032" s="4"/>
      <c r="J1032" s="5"/>
      <c r="K1032" s="6"/>
      <c r="L1032" s="5"/>
      <c r="W1032" s="8"/>
      <c r="X1032" s="6"/>
      <c r="Y1032" s="6"/>
      <c r="Z1032" s="6"/>
      <c r="AA1032" s="6"/>
      <c r="AB1032" s="5"/>
    </row>
    <row r="1033" customFormat="1" spans="4:28">
      <c r="D1033" s="3"/>
      <c r="E1033" s="4"/>
      <c r="J1033" s="5"/>
      <c r="K1033" s="6"/>
      <c r="L1033" s="5"/>
      <c r="W1033" s="8"/>
      <c r="X1033" s="6"/>
      <c r="Y1033" s="6"/>
      <c r="Z1033" s="6"/>
      <c r="AA1033" s="6"/>
      <c r="AB1033" s="5"/>
    </row>
    <row r="1034" customFormat="1" spans="4:28">
      <c r="D1034" s="3"/>
      <c r="E1034" s="4"/>
      <c r="J1034" s="5"/>
      <c r="K1034" s="6"/>
      <c r="L1034" s="5"/>
      <c r="W1034" s="8"/>
      <c r="X1034" s="6"/>
      <c r="Y1034" s="6"/>
      <c r="Z1034" s="6"/>
      <c r="AA1034" s="6"/>
      <c r="AB1034" s="5"/>
    </row>
  </sheetData>
  <autoFilter xmlns:etc="http://www.wps.cn/officeDocument/2017/etCustomData" ref="A2:AE1010" etc:filterBottomFollowUsedRange="0">
    <extLst/>
  </autoFilter>
  <mergeCells count="136">
    <mergeCell ref="A1:AE1"/>
    <mergeCell ref="I2:O2"/>
    <mergeCell ref="Q2:U2"/>
    <mergeCell ref="X2:AC2"/>
    <mergeCell ref="A2:A3"/>
    <mergeCell ref="A4:A26"/>
    <mergeCell ref="A29:A40"/>
    <mergeCell ref="A41:A47"/>
    <mergeCell ref="A48:A63"/>
    <mergeCell ref="A64:A134"/>
    <mergeCell ref="A136:A217"/>
    <mergeCell ref="A218:A233"/>
    <mergeCell ref="A234:A255"/>
    <mergeCell ref="A258:A306"/>
    <mergeCell ref="A307:A340"/>
    <mergeCell ref="A341:A348"/>
    <mergeCell ref="A349:A361"/>
    <mergeCell ref="A362:A370"/>
    <mergeCell ref="A371:A452"/>
    <mergeCell ref="A453:A464"/>
    <mergeCell ref="A465:A512"/>
    <mergeCell ref="A513:A516"/>
    <mergeCell ref="A517:A538"/>
    <mergeCell ref="A539:A602"/>
    <mergeCell ref="A603:A608"/>
    <mergeCell ref="A609:A718"/>
    <mergeCell ref="A719:A750"/>
    <mergeCell ref="A751:A776"/>
    <mergeCell ref="A778:A794"/>
    <mergeCell ref="A795:A800"/>
    <mergeCell ref="A801:A858"/>
    <mergeCell ref="A859:A912"/>
    <mergeCell ref="A913:A960"/>
    <mergeCell ref="A961:A969"/>
    <mergeCell ref="A970:A1009"/>
    <mergeCell ref="B2:B3"/>
    <mergeCell ref="B4:B26"/>
    <mergeCell ref="B29:B40"/>
    <mergeCell ref="B41:B47"/>
    <mergeCell ref="B48:B63"/>
    <mergeCell ref="B64:B134"/>
    <mergeCell ref="B136:B217"/>
    <mergeCell ref="B218:B233"/>
    <mergeCell ref="B234:B255"/>
    <mergeCell ref="B258:B306"/>
    <mergeCell ref="B307:B340"/>
    <mergeCell ref="B341:B348"/>
    <mergeCell ref="B349:B361"/>
    <mergeCell ref="B362:B370"/>
    <mergeCell ref="B371:B452"/>
    <mergeCell ref="B453:B464"/>
    <mergeCell ref="B465:B512"/>
    <mergeCell ref="B513:B516"/>
    <mergeCell ref="B517:B538"/>
    <mergeCell ref="B539:B602"/>
    <mergeCell ref="B603:B608"/>
    <mergeCell ref="B609:B718"/>
    <mergeCell ref="B719:B750"/>
    <mergeCell ref="B751:B776"/>
    <mergeCell ref="B778:B794"/>
    <mergeCell ref="B795:B800"/>
    <mergeCell ref="B801:B858"/>
    <mergeCell ref="B859:B912"/>
    <mergeCell ref="B913:B960"/>
    <mergeCell ref="B961:B969"/>
    <mergeCell ref="B970:B1009"/>
    <mergeCell ref="C2:C3"/>
    <mergeCell ref="D2:D3"/>
    <mergeCell ref="E2:E3"/>
    <mergeCell ref="F2:F3"/>
    <mergeCell ref="G2:G3"/>
    <mergeCell ref="H2:H3"/>
    <mergeCell ref="P2:P3"/>
    <mergeCell ref="P4:P26"/>
    <mergeCell ref="P29:P40"/>
    <mergeCell ref="P41:P47"/>
    <mergeCell ref="P48:P63"/>
    <mergeCell ref="P64:P134"/>
    <mergeCell ref="P136:P217"/>
    <mergeCell ref="P218:P233"/>
    <mergeCell ref="P234:P255"/>
    <mergeCell ref="P258:P306"/>
    <mergeCell ref="P307:P340"/>
    <mergeCell ref="P341:P348"/>
    <mergeCell ref="P349:P361"/>
    <mergeCell ref="P362:P370"/>
    <mergeCell ref="P371:P452"/>
    <mergeCell ref="P453:P464"/>
    <mergeCell ref="P465:P512"/>
    <mergeCell ref="P513:P516"/>
    <mergeCell ref="P517:P538"/>
    <mergeCell ref="P539:P602"/>
    <mergeCell ref="P603:P608"/>
    <mergeCell ref="P609:P718"/>
    <mergeCell ref="P719:P750"/>
    <mergeCell ref="P751:P776"/>
    <mergeCell ref="P778:P794"/>
    <mergeCell ref="P795:P800"/>
    <mergeCell ref="P801:P858"/>
    <mergeCell ref="P859:P912"/>
    <mergeCell ref="P913:P960"/>
    <mergeCell ref="P961:P969"/>
    <mergeCell ref="P970:P1009"/>
    <mergeCell ref="Q4:Q26"/>
    <mergeCell ref="Q29:Q40"/>
    <mergeCell ref="Q41:Q47"/>
    <mergeCell ref="Q48:Q63"/>
    <mergeCell ref="Q64:Q134"/>
    <mergeCell ref="Q136:Q217"/>
    <mergeCell ref="Q218:Q233"/>
    <mergeCell ref="Q234:Q255"/>
    <mergeCell ref="Q258:Q306"/>
    <mergeCell ref="Q307:Q340"/>
    <mergeCell ref="Q341:Q348"/>
    <mergeCell ref="Q349:Q361"/>
    <mergeCell ref="Q362:Q370"/>
    <mergeCell ref="Q371:Q452"/>
    <mergeCell ref="Q453:Q464"/>
    <mergeCell ref="Q465:Q512"/>
    <mergeCell ref="Q513:Q516"/>
    <mergeCell ref="Q517:Q538"/>
    <mergeCell ref="Q539:Q602"/>
    <mergeCell ref="Q603:Q608"/>
    <mergeCell ref="Q609:Q718"/>
    <mergeCell ref="Q719:Q750"/>
    <mergeCell ref="Q751:Q776"/>
    <mergeCell ref="Q778:Q794"/>
    <mergeCell ref="Q795:Q800"/>
    <mergeCell ref="Q801:Q858"/>
    <mergeCell ref="Q859:Q912"/>
    <mergeCell ref="Q913:Q960"/>
    <mergeCell ref="Q961:Q969"/>
    <mergeCell ref="Q970:Q1009"/>
    <mergeCell ref="V2:V3"/>
    <mergeCell ref="W2:W3"/>
    <mergeCell ref="AE2:AE3"/>
  </mergeCells>
  <pageMargins left="0.75" right="0.75" top="1" bottom="1" header="0.5" footer="0.5"/>
  <pageSetup paperSize="9" orientation="portrait"/>
  <headerFooter/>
  <ignoredErrors>
    <ignoredError sqref="O729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2025-08-22T08:20:34Z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