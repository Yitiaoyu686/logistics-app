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Sheet1!$A$3:$Y$10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<sst xmlns="http://schemas.openxmlformats.org/spreadsheetml/2006/main" count="49" uniqueCount="43">
  <si>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2024年07月份ACC毛利表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</si>
  <si>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</si>
  <si>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</si>
  <si>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</si>
  <si>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</si>
  <si>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</si>
  <si>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</si>
  <si>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</si>
  <si>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</si>
  <si>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</si>
  <si>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</si>
  <si>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</si>
  <si>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</si>
  <si>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</si>
  <si>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</si>
  <si>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</si>
  <si>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</si>
  <si>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</si>
  <si>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</si>
  <si>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</si>
  <si>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</si>
  <si>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</si>
  <si>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</si>
  <si>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</si>
  <si>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</si>
  <si>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</si>
  <si>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清关费</t>
  </si>
  <si>
    <t>派送费</t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</si>
  <si>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</si>
  <si>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JOB070363</t>
  </si>
  <si>
    <t>COLL004063</t>
  </si>
  <si>
    <t>黄颖</t>
  </si>
  <si>
    <t>ying</t>
  </si>
  <si>
    <t>Taotao</t>
  </si>
  <si>
    <t>方显</t>
  </si>
  <si>
    <t>Sam.Pao</t>
  </si>
  <si>
    <t>Cherry Ganna</t>
  </si>
  <si>
    <t>WANGCHONG</t>
  </si>
  <si>
    <t>JOB070381</t>
  </si>
  <si>
    <t>COLL004082</t>
  </si>
  <si>
    <t>Emma</t>
  </si>
  <si>
    <t>顶派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</si>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</sst>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0.00_ 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3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10"/>
      <color theme="1"/>
      <name val="Microsoft JhengHei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9" fontId="3" fillId="2" borderId="1" xfId="1" applyNumberFormat="1" applyFont="1" applyFill="1" applyBorder="1" applyAlignment="1">
      <alignment horizontal="center" vertical="center"/>
    </xf>
    <xf numFmtId="180" fontId="4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181" fontId="5" fillId="2" borderId="1" xfId="0" applyNumberFormat="1" applyFont="1" applyFill="1" applyBorder="1">
      <alignment vertical="center"/>
    </xf>
    <xf numFmtId="58" fontId="6" fillId="0" borderId="1" xfId="0" applyNumberFormat="1" applyFont="1" applyBorder="1" applyAlignment="1">
      <alignment horizontal="center" vertical="center"/>
    </xf>
    <xf numFmtId="181" fontId="7" fillId="0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182" fontId="8" fillId="3" borderId="2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/>
    </xf>
    <xf numFmtId="182" fontId="8" fillId="3" borderId="4" xfId="0" applyNumberFormat="1" applyFont="1" applyFill="1" applyBorder="1" applyAlignment="1">
      <alignment horizontal="right" vertical="center"/>
    </xf>
    <xf numFmtId="182" fontId="8" fillId="4" borderId="5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2" fontId="2" fillId="5" borderId="1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182" fontId="9" fillId="3" borderId="1" xfId="0" applyNumberFormat="1" applyFont="1" applyFill="1" applyBorder="1" applyAlignment="1">
      <alignment horizontal="right" vertical="center"/>
    </xf>
    <xf numFmtId="182" fontId="8" fillId="4" borderId="6" xfId="0" applyNumberFormat="1" applyFont="1" applyFill="1" applyBorder="1" applyAlignment="1">
      <alignment horizontal="center" vertical="center"/>
    </xf>
    <xf numFmtId="183" fontId="10" fillId="5" borderId="1" xfId="4" applyNumberFormat="1" applyFont="1" applyFill="1" applyBorder="1" applyAlignment="1">
      <alignment horizontal="center" vertical="center"/>
    </xf>
    <xf numFmtId="182" fontId="10" fillId="5" borderId="1" xfId="4" applyNumberFormat="1" applyFont="1" applyFill="1" applyBorder="1" applyAlignment="1">
      <alignment horizontal="center" vertical="center"/>
    </xf>
    <xf numFmtId="182" fontId="11" fillId="0" borderId="1" xfId="0" applyNumberFormat="1" applyFont="1" applyFill="1" applyBorder="1">
      <alignment vertical="center"/>
    </xf>
    <xf numFmtId="182" fontId="5" fillId="2" borderId="1" xfId="0" applyNumberFormat="1" applyFont="1" applyFill="1" applyBorder="1">
      <alignment vertical="center"/>
    </xf>
    <xf numFmtId="182" fontId="5" fillId="2" borderId="5" xfId="0" applyNumberFormat="1" applyFont="1" applyFill="1" applyBorder="1" applyAlignment="1">
      <alignment horizontal="center" vertical="center"/>
    </xf>
    <xf numFmtId="182" fontId="5" fillId="2" borderId="1" xfId="0" applyNumberFormat="1" applyFont="1" applyFill="1" applyBorder="1" applyAlignment="1">
      <alignment vertical="center"/>
    </xf>
    <xf numFmtId="182" fontId="5" fillId="2" borderId="6" xfId="0" applyNumberFormat="1" applyFont="1" applyFill="1" applyBorder="1" applyAlignment="1">
      <alignment horizontal="center" vertical="center"/>
    </xf>
    <xf numFmtId="182" fontId="5" fillId="2" borderId="7" xfId="0" applyNumberFormat="1" applyFont="1" applyFill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/>
    </xf>
    <xf numFmtId="182" fontId="12" fillId="0" borderId="1" xfId="0" applyNumberFormat="1" applyFont="1" applyBorder="1" applyAlignment="1">
      <alignment horizontal="right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82" fontId="13" fillId="5" borderId="8" xfId="0" applyNumberFormat="1" applyFont="1" applyFill="1" applyBorder="1" applyAlignment="1">
      <alignment horizontal="center" vertical="center"/>
    </xf>
    <xf numFmtId="182" fontId="13" fillId="3" borderId="5" xfId="0" applyNumberFormat="1" applyFont="1" applyFill="1" applyBorder="1" applyAlignment="1">
      <alignment horizontal="center" vertical="center" wrapText="1"/>
    </xf>
    <xf numFmtId="176" fontId="9" fillId="3" borderId="8" xfId="0" applyNumberFormat="1" applyFont="1" applyFill="1" applyBorder="1" applyAlignment="1">
      <alignment horizontal="center" vertical="center"/>
    </xf>
    <xf numFmtId="177" fontId="9" fillId="3" borderId="9" xfId="0" applyNumberFormat="1" applyFont="1" applyFill="1" applyBorder="1" applyAlignment="1">
      <alignment horizontal="center" vertical="center"/>
    </xf>
    <xf numFmtId="182" fontId="9" fillId="3" borderId="10" xfId="0" applyNumberFormat="1" applyFont="1" applyFill="1" applyBorder="1" applyAlignment="1">
      <alignment horizontal="center" vertical="center"/>
    </xf>
    <xf numFmtId="182" fontId="9" fillId="4" borderId="5" xfId="0" applyNumberFormat="1" applyFont="1" applyFill="1" applyBorder="1" applyAlignment="1">
      <alignment horizontal="center" vertical="center"/>
    </xf>
    <xf numFmtId="182" fontId="14" fillId="5" borderId="11" xfId="0" applyNumberFormat="1" applyFont="1" applyFill="1" applyBorder="1" applyAlignment="1">
      <alignment horizontal="center" vertical="center"/>
    </xf>
    <xf numFmtId="182" fontId="13" fillId="3" borderId="6" xfId="0" applyNumberFormat="1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82" fontId="9" fillId="3" borderId="1" xfId="0" applyNumberFormat="1" applyFont="1" applyFill="1" applyBorder="1" applyAlignment="1">
      <alignment horizontal="center" vertical="center"/>
    </xf>
    <xf numFmtId="182" fontId="9" fillId="4" borderId="1" xfId="0" applyNumberFormat="1" applyFont="1" applyFill="1" applyBorder="1" applyAlignment="1">
      <alignment horizontal="center" vertical="center"/>
    </xf>
    <xf numFmtId="182" fontId="5" fillId="3" borderId="1" xfId="0" applyNumberFormat="1" applyFont="1" applyFill="1" applyBorder="1" applyAlignment="1">
      <alignment vertical="center"/>
    </xf>
    <xf numFmtId="7" fontId="12" fillId="0" borderId="1" xfId="0" applyNumberFormat="1" applyFont="1" applyBorder="1" applyAlignment="1">
      <alignment vertical="center"/>
    </xf>
    <xf numFmtId="182" fontId="12" fillId="0" borderId="1" xfId="0" applyNumberFormat="1" applyFont="1" applyFill="1" applyBorder="1" applyAlignment="1">
      <alignment horizontal="right" vertical="center"/>
    </xf>
    <xf numFmtId="7" fontId="12" fillId="0" borderId="1" xfId="0" applyNumberFormat="1" applyFont="1" applyBorder="1" applyAlignment="1">
      <alignment horizontal="right" vertical="center"/>
    </xf>
    <xf numFmtId="182" fontId="5" fillId="3" borderId="7" xfId="0" applyNumberFormat="1" applyFont="1" applyFill="1" applyBorder="1" applyAlignment="1">
      <alignment horizontal="center" vertical="center"/>
    </xf>
    <xf numFmtId="176" fontId="5" fillId="2" borderId="7" xfId="0" applyNumberFormat="1" applyFont="1" applyFill="1" applyBorder="1" applyAlignment="1">
      <alignment horizontal="center" vertical="center"/>
    </xf>
    <xf numFmtId="177" fontId="5" fillId="2" borderId="7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82" fontId="8" fillId="6" borderId="5" xfId="0" applyNumberFormat="1" applyFont="1" applyFill="1" applyBorder="1" applyAlignment="1">
      <alignment horizontal="center" vertical="center"/>
    </xf>
    <xf numFmtId="182" fontId="8" fillId="6" borderId="7" xfId="0" applyNumberFormat="1" applyFont="1" applyFill="1" applyBorder="1" applyAlignment="1">
      <alignment horizontal="center" vertical="center"/>
    </xf>
    <xf numFmtId="182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ilmailexp.com/Logistics_Admin/javascript:openDetail('24072600001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0"/>
  <sheetViews>
    <sheetView tabSelected="1" workbookViewId="0">
      <selection activeCell="J21" sqref="J21"/>
    </sheetView>
  </sheetViews>
  <sheetFormatPr defaultColWidth="9" defaultRowHeight="13.5"/>
  <cols>
    <col min="3" max="3" width="14.125"/>
    <col min="8" max="8" width="11.5"/>
    <col min="9" max="9" width="13.5" customWidth="1"/>
    <col min="10" max="10" width="11.5"/>
    <col min="12" max="12" width="12.875"/>
    <col min="13" max="13" width="13.625" customWidth="1"/>
    <col min="14" max="14" width="16.75" customWidth="1"/>
    <col min="15" max="15" width="13.625" customWidth="1"/>
    <col min="16" max="17" width="10.125"/>
    <col min="18" max="18" width="9.125"/>
    <col min="20" max="20" width="15.75" customWidth="1"/>
    <col min="21" max="21" width="11.875" style="2" customWidth="1"/>
    <col min="22" max="22" width="9" style="3" customWidth="1"/>
    <col min="23" max="23" width="12.625"/>
    <col min="24" max="24" width="12.625" customWidth="1"/>
    <col min="25" max="25" width="14.375" customWidth="1"/>
  </cols>
  <sheetData>
    <row r="1" ht="31" customHeight="1" spans="1:3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7"/>
      <c r="V1" s="38"/>
      <c r="W1" s="4"/>
      <c r="X1" s="4"/>
      <c r="Y1" s="4"/>
      <c r="Z1" s="4"/>
      <c r="AA1" s="4"/>
      <c r="AB1" s="4"/>
      <c r="AC1" s="4"/>
      <c r="AD1" s="4"/>
    </row>
    <row r="3" s="1" customFormat="1" ht="20" customHeight="1" spans="1:25">
      <c r="A3" s="5" t="s">
        <v>1</v>
      </c>
      <c r="B3" s="6" t="s">
        <v>2</v>
      </c>
      <c r="C3" s="7" t="s">
        <v>3</v>
      </c>
      <c r="D3" s="8" t="s">
        <v>4</v>
      </c>
      <c r="E3" s="8" t="s">
        <v>5</v>
      </c>
      <c r="F3" s="6" t="s">
        <v>6</v>
      </c>
      <c r="G3" s="6" t="s">
        <v>7</v>
      </c>
      <c r="H3" s="6" t="s">
        <v>8</v>
      </c>
      <c r="I3" s="15" t="s">
        <v>9</v>
      </c>
      <c r="J3" s="16"/>
      <c r="K3" s="17"/>
      <c r="L3" s="18"/>
      <c r="M3" s="19" t="s">
        <v>10</v>
      </c>
      <c r="N3" s="20" t="s">
        <v>11</v>
      </c>
      <c r="O3" s="21"/>
      <c r="P3" s="21"/>
      <c r="Q3" s="21"/>
      <c r="R3" s="21"/>
      <c r="S3" s="39" t="s">
        <v>12</v>
      </c>
      <c r="T3" s="40" t="s">
        <v>13</v>
      </c>
      <c r="U3" s="41" t="s">
        <v>14</v>
      </c>
      <c r="V3" s="42"/>
      <c r="W3" s="43"/>
      <c r="X3" s="44" t="s">
        <v>15</v>
      </c>
      <c r="Y3" s="60" t="s">
        <v>16</v>
      </c>
    </row>
    <row r="4" s="1" customFormat="1" ht="20" customHeight="1" spans="1:25">
      <c r="A4" s="5"/>
      <c r="B4" s="6"/>
      <c r="C4" s="7"/>
      <c r="D4" s="8"/>
      <c r="E4" s="8"/>
      <c r="F4" s="6"/>
      <c r="G4" s="6"/>
      <c r="H4" s="6"/>
      <c r="I4" s="22" t="s">
        <v>17</v>
      </c>
      <c r="J4" s="23" t="s">
        <v>18</v>
      </c>
      <c r="K4" s="24" t="s">
        <v>19</v>
      </c>
      <c r="L4" s="25" t="s">
        <v>20</v>
      </c>
      <c r="M4" s="26"/>
      <c r="N4" s="27" t="s">
        <v>21</v>
      </c>
      <c r="O4" s="28" t="s">
        <v>22</v>
      </c>
      <c r="P4" s="28" t="s">
        <v>23</v>
      </c>
      <c r="Q4" s="28" t="s">
        <v>24</v>
      </c>
      <c r="R4" s="28" t="s">
        <v>25</v>
      </c>
      <c r="S4" s="45"/>
      <c r="T4" s="46"/>
      <c r="U4" s="47" t="s">
        <v>26</v>
      </c>
      <c r="V4" s="48" t="s">
        <v>27</v>
      </c>
      <c r="W4" s="49" t="s">
        <v>20</v>
      </c>
      <c r="X4" s="50" t="s">
        <v>28</v>
      </c>
      <c r="Y4" s="61"/>
    </row>
    <row r="5" customFormat="1" spans="1:25">
      <c r="A5" s="9" t="s">
        <v>29</v>
      </c>
      <c r="B5" s="10" t="s">
        <v>30</v>
      </c>
      <c r="C5" s="11">
        <v>240713000018</v>
      </c>
      <c r="D5" s="12">
        <v>45492</v>
      </c>
      <c r="E5" s="12" t="s">
        <v>31</v>
      </c>
      <c r="F5" s="10" t="s">
        <v>32</v>
      </c>
      <c r="G5" s="10" t="s">
        <v>33</v>
      </c>
      <c r="H5" s="10">
        <v>392.5</v>
      </c>
      <c r="I5" s="29">
        <v>33362.5</v>
      </c>
      <c r="J5" s="30"/>
      <c r="K5" s="30"/>
      <c r="L5" s="30">
        <f t="shared" ref="L5:L8" si="0">SUM(I5)</f>
        <v>33362.5</v>
      </c>
      <c r="M5" s="31">
        <f>SUM(L5:L7)</f>
        <v>38782</v>
      </c>
      <c r="N5" s="31" t="s">
        <v>34</v>
      </c>
      <c r="O5" s="32">
        <f>SUM(20114/446.5)*H5</f>
        <v>17681.3997760358</v>
      </c>
      <c r="P5" s="32"/>
      <c r="Q5" s="51">
        <f>SUM(40.45/446.5)*H5</f>
        <v>35.5579507278835</v>
      </c>
      <c r="R5" s="32"/>
      <c r="S5" s="32"/>
      <c r="T5" s="32">
        <f>SUM(O5:S5)</f>
        <v>17716.9577267637</v>
      </c>
      <c r="U5" s="52">
        <f>SUM(8542/446.5)*H5</f>
        <v>7508.92497200448</v>
      </c>
      <c r="V5" s="32"/>
      <c r="W5" s="32">
        <f>SUM(U5:V5)</f>
        <v>7508.92497200448</v>
      </c>
      <c r="X5" s="32">
        <f>SUM(T5+W5)</f>
        <v>25225.8826987682</v>
      </c>
      <c r="Y5" s="32">
        <f>SUM(L5-X5)</f>
        <v>8136.6173012318</v>
      </c>
    </row>
    <row r="6" customFormat="1" spans="1:25">
      <c r="A6" s="9"/>
      <c r="B6" s="10"/>
      <c r="C6" s="11">
        <v>240715000038</v>
      </c>
      <c r="D6" s="12">
        <v>45492</v>
      </c>
      <c r="E6" s="12" t="s">
        <v>35</v>
      </c>
      <c r="F6" s="10" t="s">
        <v>35</v>
      </c>
      <c r="G6" s="10" t="s">
        <v>36</v>
      </c>
      <c r="H6" s="10">
        <v>10</v>
      </c>
      <c r="I6" s="29">
        <v>1379.5</v>
      </c>
      <c r="J6" s="30"/>
      <c r="K6" s="30"/>
      <c r="L6" s="30">
        <f t="shared" si="0"/>
        <v>1379.5</v>
      </c>
      <c r="M6" s="33"/>
      <c r="N6" s="33"/>
      <c r="O6" s="32">
        <f>SUM(20114/446.5)*H6</f>
        <v>450.481522956327</v>
      </c>
      <c r="P6" s="32"/>
      <c r="Q6" s="51">
        <f>SUM(40.45/446.5)*H6</f>
        <v>0.905935050391937</v>
      </c>
      <c r="R6" s="32"/>
      <c r="S6" s="32"/>
      <c r="T6" s="32">
        <f>SUM(O6:S6)</f>
        <v>451.387458006719</v>
      </c>
      <c r="U6" s="52">
        <f>SUM(8542/446.5)*H6</f>
        <v>191.310190369541</v>
      </c>
      <c r="V6" s="32">
        <v>100</v>
      </c>
      <c r="W6" s="32">
        <f>SUM(U6:V6)</f>
        <v>291.310190369541</v>
      </c>
      <c r="X6" s="32">
        <f>SUM(T6+W6)</f>
        <v>742.69764837626</v>
      </c>
      <c r="Y6" s="32">
        <f>SUM(L6-X6)</f>
        <v>636.80235162374</v>
      </c>
    </row>
    <row r="7" customFormat="1" spans="1:25">
      <c r="A7" s="9"/>
      <c r="B7" s="10"/>
      <c r="C7" s="11">
        <v>240715000039</v>
      </c>
      <c r="D7" s="12">
        <v>45492</v>
      </c>
      <c r="E7" s="12" t="s">
        <v>35</v>
      </c>
      <c r="F7" s="10" t="s">
        <v>35</v>
      </c>
      <c r="G7" s="10" t="s">
        <v>37</v>
      </c>
      <c r="H7" s="10">
        <v>44</v>
      </c>
      <c r="I7" s="29">
        <v>4040</v>
      </c>
      <c r="J7" s="30"/>
      <c r="K7" s="30"/>
      <c r="L7" s="30">
        <f t="shared" si="0"/>
        <v>4040</v>
      </c>
      <c r="M7" s="34"/>
      <c r="N7" s="34"/>
      <c r="O7" s="32">
        <f>SUM(20114/446.5)*H7</f>
        <v>1982.11870100784</v>
      </c>
      <c r="P7" s="32"/>
      <c r="Q7" s="51">
        <f>SUM(40.45/446.5)*H7</f>
        <v>3.98611422172452</v>
      </c>
      <c r="R7" s="32">
        <v>100</v>
      </c>
      <c r="S7" s="32"/>
      <c r="T7" s="32">
        <f>SUM(O7:S7)</f>
        <v>2086.10481522956</v>
      </c>
      <c r="U7" s="52">
        <f>SUM(8542/446.5)*H7</f>
        <v>841.76483762598</v>
      </c>
      <c r="V7" s="32">
        <v>200</v>
      </c>
      <c r="W7" s="32">
        <f>SUM(U7:V7)</f>
        <v>1041.76483762598</v>
      </c>
      <c r="X7" s="32">
        <f>SUM(T7+W7)</f>
        <v>3127.86965285554</v>
      </c>
      <c r="Y7" s="32">
        <f>SUM(L7-X7)</f>
        <v>912.130347144457</v>
      </c>
    </row>
    <row r="8" customFormat="1" spans="1:25">
      <c r="A8" s="9" t="s">
        <v>38</v>
      </c>
      <c r="B8" s="10" t="s">
        <v>39</v>
      </c>
      <c r="C8" s="11">
        <v>240726000011</v>
      </c>
      <c r="D8" s="12">
        <v>45504</v>
      </c>
      <c r="E8" s="12" t="s">
        <v>31</v>
      </c>
      <c r="F8" s="10" t="s">
        <v>32</v>
      </c>
      <c r="G8" s="10" t="s">
        <v>40</v>
      </c>
      <c r="H8" s="10">
        <v>174.5</v>
      </c>
      <c r="I8" s="29">
        <v>15282.5</v>
      </c>
      <c r="J8" s="30"/>
      <c r="K8" s="30"/>
      <c r="L8" s="30">
        <f t="shared" si="0"/>
        <v>15282.5</v>
      </c>
      <c r="M8" s="30">
        <f>SUM(L8)</f>
        <v>15282.5</v>
      </c>
      <c r="N8" s="35" t="s">
        <v>41</v>
      </c>
      <c r="O8" s="36">
        <v>8972</v>
      </c>
      <c r="P8" s="36"/>
      <c r="Q8" s="36"/>
      <c r="R8" s="36"/>
      <c r="S8" s="36"/>
      <c r="T8" s="53">
        <f>SUM(O8:S8)</f>
        <v>8972</v>
      </c>
      <c r="U8" s="54">
        <v>3020</v>
      </c>
      <c r="V8" s="36">
        <v>900</v>
      </c>
      <c r="W8" s="53">
        <f>SUM(U8:V8)</f>
        <v>3920</v>
      </c>
      <c r="X8" s="36">
        <f>SUM(T8+W8)</f>
        <v>12892</v>
      </c>
      <c r="Y8" s="36">
        <f>SUM(M8-X8)</f>
        <v>2390.5</v>
      </c>
    </row>
    <row r="9" customFormat="1" spans="1:25">
      <c r="A9" s="9"/>
      <c r="B9" s="10"/>
      <c r="C9" s="13"/>
      <c r="D9" s="12"/>
      <c r="E9" s="12"/>
      <c r="F9" s="10"/>
      <c r="G9" s="10"/>
      <c r="H9" s="10"/>
      <c r="I9" s="29"/>
      <c r="J9" s="30"/>
      <c r="K9" s="30"/>
      <c r="L9" s="30"/>
      <c r="M9" s="34"/>
      <c r="N9" s="34"/>
      <c r="O9" s="34"/>
      <c r="P9" s="34"/>
      <c r="Q9" s="55"/>
      <c r="R9" s="34"/>
      <c r="S9" s="34"/>
      <c r="T9" s="32"/>
      <c r="U9" s="56"/>
      <c r="V9" s="57"/>
      <c r="W9" s="34"/>
      <c r="X9" s="34"/>
      <c r="Y9" s="34"/>
    </row>
    <row r="10" spans="1:25">
      <c r="A10" s="14" t="s">
        <v>42</v>
      </c>
      <c r="B10" s="14"/>
      <c r="C10" s="14"/>
      <c r="D10" s="14"/>
      <c r="E10" s="14"/>
      <c r="F10" s="14"/>
      <c r="G10" s="14"/>
      <c r="H10" s="14"/>
      <c r="I10" s="14">
        <f>SUM(I3:I4)</f>
        <v>0</v>
      </c>
      <c r="J10" s="14">
        <f>SUM(J3:J4)</f>
        <v>0</v>
      </c>
      <c r="K10" s="14"/>
      <c r="L10" s="14">
        <f>SUM(L3:L4)</f>
        <v>0</v>
      </c>
      <c r="M10" s="14"/>
      <c r="N10" s="14"/>
      <c r="O10" s="14"/>
      <c r="P10" s="14"/>
      <c r="Q10" s="14"/>
      <c r="R10" s="14"/>
      <c r="S10" s="14"/>
      <c r="T10" s="14"/>
      <c r="U10" s="58"/>
      <c r="V10" s="59"/>
      <c r="W10" s="14">
        <f>SUM(W3:W4)</f>
        <v>0</v>
      </c>
      <c r="X10" s="14"/>
      <c r="Y10" s="62">
        <f>SUM(Y5:Y9)</f>
        <v>12076.05</v>
      </c>
    </row>
  </sheetData>
  <autoFilter xmlns:etc="http://www.wps.cn/officeDocument/2017/etCustomData" ref="A3:Y10" etc:filterBottomFollowUsedRange="0">
    <extLst/>
  </autoFilter>
  <mergeCells count="19">
    <mergeCell ref="A1:Z1"/>
    <mergeCell ref="I3:L3"/>
    <mergeCell ref="U3:W3"/>
    <mergeCell ref="A3:A4"/>
    <mergeCell ref="A5:A7"/>
    <mergeCell ref="B3:B4"/>
    <mergeCell ref="B5:B7"/>
    <mergeCell ref="C3:C4"/>
    <mergeCell ref="D3:D4"/>
    <mergeCell ref="E3:E4"/>
    <mergeCell ref="F3:F4"/>
    <mergeCell ref="G3:G4"/>
    <mergeCell ref="H3:H4"/>
    <mergeCell ref="M3:M4"/>
    <mergeCell ref="M5:M7"/>
    <mergeCell ref="N5:N7"/>
    <mergeCell ref="S3:S4"/>
    <mergeCell ref="T3:T4"/>
    <mergeCell ref="Y3:Y4"/>
  </mergeCells>
  <hyperlinks>
    <hyperlink ref="C8" r:id="rId1" display="240726000011" tooltip="http://www.mailmailexp.com/Logistics_Admin/javascript:openDetail('240726000011');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2020-12-22T03:25:00Z</dcterms:created>
  <dcterms:modified xsi:type="dcterms:W3CDTF">2024-10-21T08:17:23Z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56FC7B15CC344A57B35700787C6E07A0</vt:lpwstr>
  </property>
</Properties>
</file>