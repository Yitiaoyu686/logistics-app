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10" authorId="0">
      <text>
        <r>
          <rPr>
            <sz val="9"/>
            <rFont val="宋体"/>
            <charset val="134"/>
          </rPr>
          <t xml:space="preserve">预付130转到付USD18.13
</t>
        </r>
      </text>
    </comment>
    <comment ref="J13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13" authorId="0">
      <text>
        <r>
          <rPr>
            <sz val="9"/>
            <rFont val="宋体"/>
            <charset val="134"/>
          </rPr>
          <t xml:space="preserve">预付160转到付USD22.31
</t>
        </r>
      </text>
    </comment>
    <comment ref="J14" authorId="0">
      <text>
        <r>
          <rPr>
            <sz val="9"/>
            <rFont val="宋体"/>
            <charset val="134"/>
          </rPr>
          <t xml:space="preserve">240129000039/240131000023合计295625
</t>
        </r>
      </text>
    </comment>
    <comment ref="M14" authorId="0">
      <text>
        <r>
          <rPr>
            <sz val="9"/>
            <rFont val="宋体"/>
            <charset val="134"/>
          </rPr>
          <t xml:space="preserve">预付1000转到付USD139.47
</t>
        </r>
      </text>
    </comment>
    <comment ref="J15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M15" authorId="0">
      <text>
        <r>
          <rPr>
            <sz val="9"/>
            <rFont val="宋体"/>
            <charset val="134"/>
          </rPr>
          <t xml:space="preserve">预付3100转到付USD432.35
</t>
        </r>
      </text>
    </comment>
    <comment ref="J16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M16" authorId="0">
      <text>
        <r>
          <rPr>
            <sz val="9"/>
            <rFont val="宋体"/>
            <charset val="134"/>
          </rPr>
          <t xml:space="preserve">预付3100转到付USD432.35
</t>
        </r>
      </text>
    </comment>
    <comment ref="M22" authorId="0">
      <text>
        <r>
          <rPr>
            <sz val="9"/>
            <rFont val="宋体"/>
            <charset val="134"/>
          </rPr>
          <t xml:space="preserve">预付320转到付USD44.63
</t>
        </r>
      </text>
    </comment>
    <comment ref="J24" authorId="0">
      <text>
        <r>
          <rPr>
            <sz val="9"/>
            <rFont val="宋体"/>
            <charset val="134"/>
          </rPr>
          <t xml:space="preserve">240129000039/240131000023合计295625
</t>
        </r>
      </text>
    </comment>
    <comment ref="M24" authorId="0">
      <text>
        <r>
          <rPr>
            <sz val="9"/>
            <rFont val="宋体"/>
            <charset val="134"/>
          </rPr>
          <t>预付375转到付USD52.3</t>
        </r>
      </text>
    </comment>
    <comment ref="J25" authorId="0">
      <text>
        <r>
          <rPr>
            <sz val="9"/>
            <rFont val="宋体"/>
            <charset val="134"/>
          </rPr>
          <t xml:space="preserve">240129000063/240131000026/240131000027/240131000028合计1479475
</t>
        </r>
      </text>
    </comment>
    <comment ref="M25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J26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M26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J27" authorId="0">
      <text>
        <r>
          <rPr>
            <sz val="9"/>
            <rFont val="宋体"/>
            <charset val="134"/>
          </rPr>
          <t xml:space="preserve">240129000061/240129000062/240129000064/240129000065/240131000029/240131000030合计3215862.
</t>
        </r>
      </text>
    </comment>
    <comment ref="M27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J28" authorId="0">
      <text>
        <r>
          <rPr>
            <sz val="9"/>
            <rFont val="宋体"/>
            <charset val="134"/>
          </rPr>
          <t xml:space="preserve">合计38700000.
</t>
        </r>
      </text>
    </comment>
    <comment ref="M28" authorId="0">
      <text>
        <r>
          <rPr>
            <sz val="9"/>
            <rFont val="宋体"/>
            <charset val="134"/>
          </rPr>
          <t xml:space="preserve">预付240转到付USD33.47
</t>
        </r>
      </text>
    </comment>
    <comment ref="M31" authorId="0">
      <text>
        <r>
          <rPr>
            <b/>
            <sz val="9"/>
            <rFont val="宋体"/>
            <charset val="134"/>
          </rPr>
          <t>3预付400转到付SD55.63</t>
        </r>
      </text>
    </comment>
    <comment ref="J32" authorId="0">
      <text>
        <r>
          <rPr>
            <sz val="9"/>
            <rFont val="宋体"/>
            <charset val="134"/>
          </rPr>
          <t xml:space="preserve">240131000047/240202000044合计550937.5
</t>
        </r>
      </text>
    </comment>
    <comment ref="M32" authorId="0">
      <text>
        <r>
          <rPr>
            <sz val="9"/>
            <rFont val="宋体"/>
            <charset val="134"/>
          </rPr>
          <t xml:space="preserve">预付1437.5转到付ISD200.48
</t>
        </r>
      </text>
    </comment>
    <comment ref="K43" authorId="0">
      <text>
        <r>
          <rPr>
            <sz val="9"/>
            <rFont val="宋体"/>
            <charset val="134"/>
          </rPr>
          <t xml:space="preserve">231204000041/231121000021合计3220
</t>
        </r>
      </text>
    </comment>
    <comment ref="K47" authorId="0">
      <text>
        <r>
          <rPr>
            <sz val="9"/>
            <rFont val="宋体"/>
            <charset val="134"/>
          </rPr>
          <t xml:space="preserve">231204000041/231121000021合计3220.
</t>
        </r>
      </text>
    </comment>
    <comment ref="J51" authorId="0">
      <text>
        <r>
          <rPr>
            <sz val="9"/>
            <rFont val="宋体"/>
            <charset val="134"/>
          </rPr>
          <t xml:space="preserve">240203000012/240202000024/240124000024合计443438
</t>
        </r>
      </text>
    </comment>
    <comment ref="M51" authorId="0">
      <text>
        <r>
          <rPr>
            <sz val="9"/>
            <rFont val="宋体"/>
            <charset val="134"/>
          </rPr>
          <t xml:space="preserve">预付500转到付USD69.73
</t>
        </r>
      </text>
    </comment>
    <comment ref="J54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54" authorId="0">
      <text>
        <r>
          <rPr>
            <sz val="9"/>
            <rFont val="宋体"/>
            <charset val="134"/>
          </rPr>
          <t xml:space="preserve">预付650转到付USD90.65
</t>
        </r>
      </text>
    </comment>
    <comment ref="J55" authorId="0">
      <text>
        <r>
          <rPr>
            <sz val="9"/>
            <rFont val="宋体"/>
            <charset val="134"/>
          </rPr>
          <t xml:space="preserve">240129000063/240131000026/240131000027/240131000028合计1479475
</t>
        </r>
      </text>
    </comment>
    <comment ref="M55" authorId="0">
      <text>
        <r>
          <rPr>
            <sz val="9"/>
            <rFont val="宋体"/>
            <charset val="134"/>
          </rPr>
          <t xml:space="preserve">预付2945转到付USD410.73
</t>
        </r>
      </text>
    </comment>
    <comment ref="J56" authorId="0">
      <text>
        <r>
          <rPr>
            <sz val="9"/>
            <rFont val="宋体"/>
            <charset val="134"/>
          </rPr>
          <t xml:space="preserve">240129000063/240131000026/240131000027/240131000028合计1479475.
</t>
        </r>
      </text>
    </comment>
    <comment ref="M56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J57" authorId="0">
      <text>
        <r>
          <rPr>
            <sz val="9"/>
            <rFont val="宋体"/>
            <charset val="134"/>
          </rPr>
          <t xml:space="preserve">240129000063/240131000026/240131000027/240131000028合计1479475.
</t>
        </r>
      </text>
    </comment>
    <comment ref="M57" authorId="0">
      <text>
        <r>
          <rPr>
            <sz val="9"/>
            <rFont val="宋体"/>
            <charset val="134"/>
          </rPr>
          <t xml:space="preserve">预付1162.5转到付USD162.13
</t>
        </r>
      </text>
    </comment>
    <comment ref="J60" authorId="0">
      <text>
        <r>
          <rPr>
            <sz val="9"/>
            <rFont val="宋体"/>
            <charset val="134"/>
          </rPr>
          <t>240203000012/240202000024/240124000014合计443438.</t>
        </r>
      </text>
    </comment>
    <comment ref="M60" authorId="0">
      <text>
        <r>
          <rPr>
            <sz val="9"/>
            <rFont val="宋体"/>
            <charset val="134"/>
          </rPr>
          <t xml:space="preserve">预付750转到付USD104.6
</t>
        </r>
      </text>
    </comment>
    <comment ref="M62" authorId="0">
      <text>
        <r>
          <rPr>
            <sz val="9"/>
            <rFont val="宋体"/>
            <charset val="134"/>
          </rPr>
          <t xml:space="preserve">预付312.5转到付USD43.58
</t>
        </r>
      </text>
    </comment>
    <comment ref="J66" authorId="0">
      <text>
        <r>
          <rPr>
            <sz val="9"/>
            <rFont val="宋体"/>
            <charset val="134"/>
          </rPr>
          <t xml:space="preserve">240203000012/240202000024/240124000014合计443538.
</t>
        </r>
      </text>
    </comment>
    <comment ref="M66" authorId="0">
      <text>
        <r>
          <rPr>
            <sz val="9"/>
            <rFont val="宋体"/>
            <charset val="134"/>
          </rPr>
          <t xml:space="preserve">预付625转到付USD87.16
</t>
        </r>
      </text>
    </comment>
    <comment ref="I79" authorId="0">
      <text>
        <r>
          <rPr>
            <b/>
            <sz val="9"/>
            <rFont val="宋体"/>
            <charset val="134"/>
          </rPr>
          <t>30993:到付USD30.92转预付178.</t>
        </r>
      </text>
    </comment>
    <comment ref="M81" authorId="0">
      <text>
        <r>
          <rPr>
            <sz val="9"/>
            <rFont val="宋体"/>
            <charset val="134"/>
          </rPr>
          <t xml:space="preserve">预付4369.6转到付USD609.42
</t>
        </r>
      </text>
    </comment>
    <comment ref="M87" authorId="0">
      <text>
        <r>
          <rPr>
            <sz val="9"/>
            <rFont val="宋体"/>
            <charset val="134"/>
          </rPr>
          <t xml:space="preserve">预付1466.1转到付USD204.47
</t>
        </r>
      </text>
    </comment>
    <comment ref="J90" authorId="0">
      <text>
        <r>
          <rPr>
            <sz val="9"/>
            <rFont val="宋体"/>
            <charset val="134"/>
          </rPr>
          <t xml:space="preserve">240125000051/240126000032/240127000017/240127000018合计1196511.12.
</t>
        </r>
      </text>
    </comment>
    <comment ref="J91" authorId="0">
      <text>
        <r>
          <rPr>
            <sz val="9"/>
            <rFont val="宋体"/>
            <charset val="134"/>
          </rPr>
          <t>240124000033/240128000001合计585540</t>
        </r>
      </text>
    </comment>
    <comment ref="J92" authorId="0">
      <text>
        <r>
          <rPr>
            <sz val="9"/>
            <rFont val="宋体"/>
            <charset val="134"/>
          </rPr>
          <t>240111000030/240112000027/240129000009/240129000011/240202000008/240202000007/240305000009/231211000060/231225000009合计
7,446,710.00.</t>
        </r>
      </text>
    </comment>
    <comment ref="M92" authorId="0">
      <text>
        <r>
          <rPr>
            <sz val="9"/>
            <rFont val="宋体"/>
            <charset val="134"/>
          </rPr>
          <t xml:space="preserve">预付397.5转到付USD55.28
</t>
        </r>
      </text>
    </comment>
    <comment ref="J93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M93" authorId="0">
      <text>
        <r>
          <rPr>
            <sz val="9"/>
            <rFont val="宋体"/>
            <charset val="134"/>
          </rPr>
          <t xml:space="preserve">预付1040转到付USD144.64
</t>
        </r>
      </text>
    </comment>
    <comment ref="M95" authorId="0">
      <text>
        <r>
          <rPr>
            <sz val="9"/>
            <rFont val="宋体"/>
            <charset val="134"/>
          </rPr>
          <t xml:space="preserve">预付756转到付USD105.43
</t>
        </r>
      </text>
    </comment>
    <comment ref="J107" authorId="0">
      <text>
        <r>
          <rPr>
            <sz val="9"/>
            <rFont val="宋体"/>
            <charset val="134"/>
          </rPr>
          <t xml:space="preserve">240126000038=CNY65
240125000036=CNY19272.5
240220000049=CNY45
NGN36,120,000.00/213=CNY169,577.00  需退回运费169577-19382.5=CNY150,194.00
</t>
        </r>
      </text>
    </comment>
    <comment ref="M107" authorId="0">
      <text>
        <r>
          <rPr>
            <sz val="9"/>
            <rFont val="宋体"/>
            <charset val="134"/>
          </rPr>
          <t xml:space="preserve">预付19272.5转到付USD2680.45
</t>
        </r>
      </text>
    </comment>
    <comment ref="M108" authorId="0">
      <text>
        <r>
          <rPr>
            <sz val="9"/>
            <rFont val="宋体"/>
            <charset val="134"/>
          </rPr>
          <t xml:space="preserve">预付994转到付USD138.24
</t>
        </r>
      </text>
    </comment>
    <comment ref="J109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109" authorId="0">
      <text>
        <r>
          <rPr>
            <sz val="9"/>
            <rFont val="宋体"/>
            <charset val="134"/>
          </rPr>
          <t xml:space="preserve">预付1680转到付USD234.3
</t>
        </r>
      </text>
    </comment>
    <comment ref="M115" authorId="0">
      <text>
        <r>
          <rPr>
            <sz val="9"/>
            <rFont val="宋体"/>
            <charset val="134"/>
          </rPr>
          <t xml:space="preserve">预付916.5转到付USD127.46
</t>
        </r>
      </text>
    </comment>
    <comment ref="M116" authorId="0">
      <text>
        <r>
          <rPr>
            <sz val="9"/>
            <rFont val="宋体"/>
            <charset val="134"/>
          </rPr>
          <t xml:space="preserve">预付1158转到付USD161.5
</t>
        </r>
      </text>
    </comment>
    <comment ref="M120" authorId="0">
      <text>
        <r>
          <rPr>
            <sz val="9"/>
            <rFont val="宋体"/>
            <charset val="134"/>
          </rPr>
          <t>预付21939转到付USD3051.32.</t>
        </r>
      </text>
    </comment>
    <comment ref="J121" authorId="0">
      <text>
        <r>
          <rPr>
            <sz val="9"/>
            <rFont val="宋体"/>
            <charset val="134"/>
          </rPr>
          <t xml:space="preserve">合计10325267.5.
</t>
        </r>
      </text>
    </comment>
    <comment ref="J127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127" authorId="0">
      <text>
        <r>
          <rPr>
            <sz val="9"/>
            <rFont val="宋体"/>
            <charset val="134"/>
          </rPr>
          <t xml:space="preserve">预付1225转到付USD170.85
</t>
        </r>
      </text>
    </comment>
    <comment ref="J131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131" authorId="0">
      <text>
        <r>
          <rPr>
            <sz val="9"/>
            <rFont val="宋体"/>
            <charset val="134"/>
          </rPr>
          <t xml:space="preserve">预付350转到付USD48.81
</t>
        </r>
      </text>
    </comment>
    <comment ref="M133" authorId="0">
      <text>
        <r>
          <rPr>
            <sz val="9"/>
            <rFont val="宋体"/>
            <charset val="134"/>
          </rPr>
          <t xml:space="preserve">预付325转到付USD45.2
</t>
        </r>
      </text>
    </comment>
    <comment ref="M134" authorId="0">
      <text>
        <r>
          <rPr>
            <sz val="9"/>
            <rFont val="宋体"/>
            <charset val="134"/>
          </rPr>
          <t xml:space="preserve">预付2461.2转到付USD343.26
</t>
        </r>
      </text>
    </comment>
    <comment ref="J135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M135" authorId="0">
      <text>
        <r>
          <rPr>
            <sz val="9"/>
            <rFont val="宋体"/>
            <charset val="134"/>
          </rPr>
          <t xml:space="preserve">预付3684.4转到付USD512.43
</t>
        </r>
      </text>
    </comment>
    <comment ref="J141" authorId="0">
      <text>
        <r>
          <rPr>
            <sz val="9"/>
            <rFont val="宋体"/>
            <charset val="134"/>
          </rPr>
          <t xml:space="preserve">240223000025, 240222000004 AND 240124000007合计645700.
</t>
        </r>
      </text>
    </comment>
    <comment ref="M141" authorId="0">
      <text>
        <r>
          <rPr>
            <sz val="9"/>
            <rFont val="宋体"/>
            <charset val="134"/>
          </rPr>
          <t xml:space="preserve">预付643转到付USD89.42
</t>
        </r>
      </text>
    </comment>
    <comment ref="J144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M150" authorId="0">
      <text>
        <r>
          <rPr>
            <sz val="9"/>
            <rFont val="宋体"/>
            <charset val="134"/>
          </rPr>
          <t xml:space="preserve">预付70.5转到付USD9.8
</t>
        </r>
      </text>
    </comment>
    <comment ref="J151" authorId="0">
      <text>
        <r>
          <rPr>
            <sz val="9"/>
            <rFont val="宋体"/>
            <charset val="134"/>
          </rPr>
          <t xml:space="preserve">240124000033/240128000001合计585540.
</t>
        </r>
      </text>
    </comment>
    <comment ref="J156" authorId="0">
      <text>
        <r>
          <rPr>
            <sz val="9"/>
            <rFont val="宋体"/>
            <charset val="134"/>
          </rPr>
          <t xml:space="preserve">240125000019 and 240129000020合计153226.
</t>
        </r>
      </text>
    </comment>
    <comment ref="J157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J161" authorId="0">
      <text>
        <r>
          <rPr>
            <sz val="9"/>
            <rFont val="宋体"/>
            <charset val="134"/>
          </rPr>
          <t xml:space="preserve">240125000037/240129000007合计615780.
</t>
        </r>
      </text>
    </comment>
    <comment ref="M161" authorId="0">
      <text>
        <r>
          <rPr>
            <sz val="9"/>
            <rFont val="宋体"/>
            <charset val="134"/>
          </rPr>
          <t xml:space="preserve">预付282转到付USD39.22
</t>
        </r>
      </text>
    </comment>
    <comment ref="J164" authorId="0">
      <text>
        <r>
          <rPr>
            <sz val="9"/>
            <rFont val="宋体"/>
            <charset val="134"/>
          </rPr>
          <t xml:space="preserve">240125000051/240126000032/240127000017/240127000018合计1196511.12
</t>
        </r>
      </text>
    </comment>
    <comment ref="J166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J167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240123000032/240124000015/240125000022/240126000003/240126000004/240126000052/240129000008/240129000010/240129000012/240129000014/290129000041/290129000060/290130000023/240130000034/240123000034合计723868.5
</t>
        </r>
      </text>
    </comment>
    <comment ref="M170" authorId="0">
      <text>
        <r>
          <rPr>
            <sz val="9"/>
            <rFont val="宋体"/>
            <charset val="134"/>
          </rPr>
          <t xml:space="preserve">预付63转到付USD8.78
</t>
        </r>
      </text>
    </comment>
    <comment ref="K174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J176" authorId="0">
      <text>
        <r>
          <rPr>
            <sz val="9"/>
            <rFont val="宋体"/>
            <charset val="134"/>
          </rPr>
          <t xml:space="preserve">240125000051/240126000032/240127000017/240127000018合计1196511.12.
</t>
        </r>
      </text>
    </comment>
    <comment ref="J177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177" authorId="0">
      <text>
        <r>
          <rPr>
            <sz val="9"/>
            <rFont val="宋体"/>
            <charset val="134"/>
          </rPr>
          <t xml:space="preserve">预付150转至USD20.92
</t>
        </r>
      </text>
    </comment>
    <comment ref="J182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J185" authorId="0">
      <text>
        <r>
          <rPr>
            <sz val="9"/>
            <rFont val="宋体"/>
            <charset val="134"/>
          </rPr>
          <t xml:space="preserve">240125000051/240126000032/240127000017/240127000018合计1196511.12
</t>
        </r>
      </text>
    </comment>
    <comment ref="M187" authorId="0">
      <text>
        <r>
          <rPr>
            <sz val="9"/>
            <rFont val="宋体"/>
            <charset val="134"/>
          </rPr>
          <t xml:space="preserve">预付223转到付USD31.01
</t>
        </r>
      </text>
    </comment>
    <comment ref="J188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J189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J190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
</t>
        </r>
      </text>
    </comment>
    <comment ref="K191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J192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
</t>
        </r>
      </text>
    </comment>
    <comment ref="J195" authorId="0">
      <text>
        <r>
          <rPr>
            <sz val="9"/>
            <rFont val="宋体"/>
            <charset val="134"/>
          </rPr>
          <t xml:space="preserve">240125000019 and 240129000020合计153226.
</t>
        </r>
      </text>
    </comment>
    <comment ref="M195" authorId="0">
      <text>
        <r>
          <rPr>
            <sz val="9"/>
            <rFont val="宋体"/>
            <charset val="134"/>
          </rPr>
          <t xml:space="preserve">预付243转到付USD33.89
</t>
        </r>
      </text>
    </comment>
    <comment ref="M197" authorId="0">
      <text>
        <r>
          <rPr>
            <sz val="9"/>
            <rFont val="宋体"/>
            <charset val="134"/>
          </rPr>
          <t xml:space="preserve">预付379转到付USD52.85
</t>
        </r>
      </text>
    </comment>
    <comment ref="J198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J199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199" authorId="0">
      <text>
        <r>
          <rPr>
            <sz val="9"/>
            <rFont val="宋体"/>
            <charset val="134"/>
          </rPr>
          <t xml:space="preserve">预付100转到付USD13.94
</t>
        </r>
      </text>
    </comment>
    <comment ref="J201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201" authorId="0">
      <text>
        <r>
          <rPr>
            <sz val="9"/>
            <rFont val="宋体"/>
            <charset val="134"/>
          </rPr>
          <t xml:space="preserve">预付700转到付USD97.35
</t>
        </r>
      </text>
    </comment>
    <comment ref="J203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240123000032/240124000015/240125000022/240126000003/240126000004/240126000052/240129000008/240129000010/240129000012/240129000014/290129000041/290129000060/290130000023/240130000034/240123000034合计723868.6.
</t>
        </r>
      </text>
    </comment>
    <comment ref="J204" authorId="0">
      <text>
        <r>
          <rPr>
            <sz val="9"/>
            <rFont val="宋体"/>
            <charset val="134"/>
          </rPr>
          <t xml:space="preserve">231219000012/240129000042合计539046
</t>
        </r>
      </text>
    </comment>
    <comment ref="M207" authorId="0">
      <text>
        <r>
          <rPr>
            <sz val="9"/>
            <rFont val="宋体"/>
            <charset val="134"/>
          </rPr>
          <t xml:space="preserve">预付1383转到付USD192.35
</t>
        </r>
      </text>
    </comment>
    <comment ref="J208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J215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J218" authorId="0">
      <text>
        <r>
          <rPr>
            <sz val="9"/>
            <rFont val="宋体"/>
            <charset val="134"/>
          </rPr>
          <t xml:space="preserve">240123000032/240124000015/240125000022/240126000003/240126000004/240126000052/240129000008/240129000010/240129000012/240129000014/240129000041/240129000060/240130000023/240130000034/240123000034合计723868.6.
</t>
        </r>
      </text>
    </comment>
    <comment ref="J221" authorId="0">
      <text>
        <r>
          <rPr>
            <sz val="9"/>
            <rFont val="宋体"/>
            <charset val="134"/>
          </rPr>
          <t xml:space="preserve">240131000047/240202000044合计550937.5.
</t>
        </r>
      </text>
    </comment>
    <comment ref="M221" authorId="0">
      <text>
        <r>
          <rPr>
            <sz val="9"/>
            <rFont val="宋体"/>
            <charset val="134"/>
          </rPr>
          <t xml:space="preserve">预付1250转到付USD174.33
</t>
        </r>
      </text>
    </comment>
    <comment ref="I228" authorId="0">
      <text>
        <r>
          <rPr>
            <sz val="9"/>
            <rFont val="宋体"/>
            <charset val="134"/>
          </rPr>
          <t xml:space="preserve">到付USD43.66转预付319.
</t>
        </r>
      </text>
    </comment>
    <comment ref="M236" authorId="0">
      <text>
        <r>
          <rPr>
            <sz val="9"/>
            <rFont val="宋体"/>
            <charset val="134"/>
          </rPr>
          <t xml:space="preserve">预付113转到付USD15.76
</t>
        </r>
      </text>
    </comment>
    <comment ref="M255" authorId="0">
      <text>
        <r>
          <rPr>
            <sz val="9"/>
            <rFont val="宋体"/>
            <charset val="134"/>
          </rPr>
          <t xml:space="preserve">预付124.2转到付USD17.27
</t>
        </r>
      </text>
    </comment>
    <comment ref="M269" authorId="0">
      <text>
        <r>
          <rPr>
            <b/>
            <sz val="9"/>
            <rFont val="宋体"/>
            <charset val="134"/>
          </rPr>
          <t>预付841.6转到付USD117.37</t>
        </r>
      </text>
    </comment>
    <comment ref="J272" authorId="0">
      <text>
        <r>
          <rPr>
            <sz val="9"/>
            <rFont val="宋体"/>
            <charset val="134"/>
          </rPr>
          <t xml:space="preserve">40111000030/240112000027/240129000009/240129000011/240202000008/240202000007/240305000009/231211000060/231225000009合计7,446,710.00.
</t>
        </r>
      </text>
    </comment>
    <comment ref="M272" authorId="0">
      <text>
        <r>
          <rPr>
            <sz val="9"/>
            <rFont val="宋体"/>
            <charset val="134"/>
          </rPr>
          <t xml:space="preserve">预付122.5转USD17.03
</t>
        </r>
      </text>
    </comment>
    <comment ref="J280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M280" authorId="0">
      <text>
        <r>
          <rPr>
            <sz val="9"/>
            <rFont val="宋体"/>
            <charset val="134"/>
          </rPr>
          <t xml:space="preserve">预付60转USD8.34
</t>
        </r>
      </text>
    </comment>
    <comment ref="J302" authorId="0">
      <text>
        <r>
          <rPr>
            <sz val="9"/>
            <rFont val="宋体"/>
            <charset val="134"/>
          </rPr>
          <t xml:space="preserve">240125000037/240129000007合计615780.
</t>
        </r>
      </text>
    </comment>
    <comment ref="M302" authorId="0">
      <text>
        <r>
          <rPr>
            <sz val="9"/>
            <rFont val="宋体"/>
            <charset val="134"/>
          </rPr>
          <t xml:space="preserve">预付2517转到付USD350.06
</t>
        </r>
      </text>
    </comment>
    <comment ref="M305" authorId="0">
      <text>
        <r>
          <rPr>
            <sz val="9"/>
            <rFont val="宋体"/>
            <charset val="134"/>
          </rPr>
          <t xml:space="preserve">预付140.5转到付USD19.59
</t>
        </r>
      </text>
    </comment>
    <comment ref="M306" authorId="0">
      <text>
        <r>
          <rPr>
            <sz val="9"/>
            <rFont val="宋体"/>
            <charset val="134"/>
          </rPr>
          <t xml:space="preserve">预付2790转到付USD389.12
</t>
        </r>
      </text>
    </comment>
    <comment ref="J310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M310" authorId="0">
      <text>
        <r>
          <rPr>
            <sz val="9"/>
            <rFont val="宋体"/>
            <charset val="134"/>
          </rPr>
          <t xml:space="preserve">预付235转到付USD32.68
</t>
        </r>
      </text>
    </comment>
    <comment ref="M314" authorId="0">
      <text>
        <r>
          <rPr>
            <sz val="9"/>
            <rFont val="宋体"/>
            <charset val="134"/>
          </rPr>
          <t xml:space="preserve">预付58转到付USD8.06
</t>
        </r>
      </text>
    </comment>
    <comment ref="J317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J319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319" authorId="0">
      <text>
        <r>
          <rPr>
            <sz val="9"/>
            <rFont val="宋体"/>
            <charset val="134"/>
          </rPr>
          <t xml:space="preserve">预付350转到付USD48.67
</t>
        </r>
      </text>
    </comment>
    <comment ref="M320" authorId="0">
      <text>
        <r>
          <rPr>
            <sz val="9"/>
            <rFont val="宋体"/>
            <charset val="134"/>
          </rPr>
          <t xml:space="preserve">预付448转到付USD62.48
</t>
        </r>
      </text>
    </comment>
    <comment ref="J324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J325" authorId="0">
      <text>
        <r>
          <rPr>
            <sz val="9"/>
            <rFont val="宋体"/>
            <charset val="134"/>
          </rPr>
          <t xml:space="preserve">240105000029/240131000048合计146520
</t>
        </r>
      </text>
    </comment>
    <comment ref="M325" authorId="0">
      <text>
        <r>
          <rPr>
            <sz val="9"/>
            <rFont val="宋体"/>
            <charset val="134"/>
          </rPr>
          <t xml:space="preserve">预付225转到付USD31.38
</t>
        </r>
      </text>
    </comment>
    <comment ref="M326" authorId="0">
      <text>
        <r>
          <rPr>
            <sz val="9"/>
            <rFont val="宋体"/>
            <charset val="134"/>
          </rPr>
          <t>预付991转到付USD138.21</t>
        </r>
      </text>
    </comment>
    <comment ref="J328" authorId="0">
      <text>
        <r>
          <rPr>
            <sz val="9"/>
            <rFont val="宋体"/>
            <charset val="134"/>
          </rPr>
          <t xml:space="preserve">240202000018/240201000001/240202000019合计214400.
</t>
        </r>
      </text>
    </comment>
    <comment ref="M342" authorId="0">
      <text>
        <r>
          <rPr>
            <sz val="9"/>
            <rFont val="宋体"/>
            <charset val="134"/>
          </rPr>
          <t>预付1410.5转到付USD196.72</t>
        </r>
      </text>
    </comment>
    <comment ref="J346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M346" authorId="0">
      <text>
        <r>
          <rPr>
            <sz val="9"/>
            <rFont val="宋体"/>
            <charset val="134"/>
          </rPr>
          <t xml:space="preserve">预付2024转到付USD281.5
</t>
        </r>
      </text>
    </comment>
    <comment ref="M347" authorId="0">
      <text>
        <r>
          <rPr>
            <sz val="9"/>
            <rFont val="宋体"/>
            <charset val="134"/>
          </rPr>
          <t xml:space="preserve">预付472.5转到付UAS65.89
</t>
        </r>
      </text>
    </comment>
    <comment ref="M348" authorId="0">
      <text>
        <r>
          <rPr>
            <sz val="9"/>
            <rFont val="宋体"/>
            <charset val="134"/>
          </rPr>
          <t xml:space="preserve">预付2028转到付USD282.84
</t>
        </r>
      </text>
    </comment>
    <comment ref="J349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240118000011/240122000040/240123000039/240126000014/240130000029/240202000015/240202000039/240202000051合计8529080.
</t>
        </r>
      </text>
    </comment>
    <comment ref="M349" authorId="0">
      <text>
        <r>
          <rPr>
            <sz val="9"/>
            <rFont val="宋体"/>
            <charset val="134"/>
          </rPr>
          <t xml:space="preserve">预付611转到付USD84.97
</t>
        </r>
      </text>
    </comment>
    <comment ref="J351" authorId="0">
      <text>
        <r>
          <rPr>
            <sz val="9"/>
            <rFont val="宋体"/>
            <charset val="134"/>
          </rPr>
          <t>240202000018/240201000001/240202000019合计214400.</t>
        </r>
      </text>
    </comment>
    <comment ref="J352" authorId="0">
      <text>
        <r>
          <rPr>
            <sz val="9"/>
            <rFont val="宋体"/>
            <charset val="134"/>
          </rPr>
          <t xml:space="preserve">240202000018/240201000001/240202000019合计214400.
</t>
        </r>
      </text>
    </comment>
    <comment ref="M353" authorId="0">
      <text>
        <r>
          <rPr>
            <sz val="9"/>
            <rFont val="宋体"/>
            <charset val="134"/>
          </rPr>
          <t xml:space="preserve">预付769转到付USD107.25
</t>
        </r>
      </text>
    </comment>
    <comment ref="M356" authorId="0">
      <text>
        <r>
          <rPr>
            <sz val="9"/>
            <rFont val="宋体"/>
            <charset val="134"/>
          </rPr>
          <t xml:space="preserve">预付250.5转到付USD34.84.
</t>
        </r>
      </text>
    </comment>
    <comment ref="M363" authorId="0">
      <text>
        <r>
          <rPr>
            <sz val="9"/>
            <rFont val="宋体"/>
            <charset val="134"/>
          </rPr>
          <t xml:space="preserve">预付1505转到付USD209.31.
</t>
        </r>
      </text>
    </comment>
    <comment ref="M366" authorId="0">
      <text>
        <r>
          <rPr>
            <sz val="9"/>
            <rFont val="宋体"/>
            <charset val="134"/>
          </rPr>
          <t xml:space="preserve">预付1020转到付USD142.25
</t>
        </r>
      </text>
    </comment>
    <comment ref="J368" authorId="0">
      <text>
        <r>
          <rPr>
            <sz val="9"/>
            <rFont val="宋体"/>
            <charset val="134"/>
          </rPr>
          <t xml:space="preserve">240110000008/240123000017/240203000018合计1879164.
</t>
        </r>
      </text>
    </comment>
    <comment ref="M368" authorId="0">
      <text>
        <r>
          <rPr>
            <sz val="9"/>
            <rFont val="宋体"/>
            <charset val="134"/>
          </rPr>
          <t xml:space="preserve">预付2678转到付USD372.46
</t>
        </r>
      </text>
    </comment>
    <comment ref="J370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370" authorId="0">
      <text>
        <r>
          <rPr>
            <sz val="9"/>
            <rFont val="宋体"/>
            <charset val="134"/>
          </rPr>
          <t xml:space="preserve">预付4450转到付USD620.64
</t>
        </r>
      </text>
    </comment>
    <comment ref="J371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M371" authorId="0">
      <text>
        <r>
          <rPr>
            <sz val="9"/>
            <rFont val="宋体"/>
            <charset val="134"/>
          </rPr>
          <t xml:space="preserve">预付2117转到付USD294.43
</t>
        </r>
      </text>
    </comment>
    <comment ref="M375" authorId="0">
      <text>
        <r>
          <rPr>
            <sz val="9"/>
            <rFont val="宋体"/>
            <charset val="134"/>
          </rPr>
          <t>预付7180转到付USD998.6</t>
        </r>
      </text>
    </comment>
    <comment ref="J377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M380" authorId="0">
      <text>
        <r>
          <rPr>
            <sz val="9"/>
            <rFont val="宋体"/>
            <charset val="134"/>
          </rPr>
          <t xml:space="preserve">预付9464转到付USD1319.94
</t>
        </r>
      </text>
    </comment>
    <comment ref="M381" authorId="0">
      <text>
        <r>
          <rPr>
            <sz val="9"/>
            <rFont val="宋体"/>
            <charset val="134"/>
          </rPr>
          <t xml:space="preserve">预付5670转到付USD788.59.
</t>
        </r>
      </text>
    </comment>
    <comment ref="J384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384" authorId="0">
      <text>
        <r>
          <rPr>
            <sz val="9"/>
            <rFont val="宋体"/>
            <charset val="134"/>
          </rPr>
          <t xml:space="preserve">预付156转到付USD21.75
</t>
        </r>
      </text>
    </comment>
    <comment ref="M390" authorId="0">
      <text>
        <r>
          <rPr>
            <sz val="9"/>
            <rFont val="宋体"/>
            <charset val="134"/>
          </rPr>
          <t>预付6396转到付USD889.56</t>
        </r>
      </text>
    </comment>
    <comment ref="M391" authorId="0">
      <text>
        <r>
          <rPr>
            <sz val="9"/>
            <rFont val="宋体"/>
            <charset val="134"/>
          </rPr>
          <t xml:space="preserve">预付1057.5转到付USD147.07
</t>
        </r>
      </text>
    </comment>
    <comment ref="J393" authorId="0">
      <text>
        <r>
          <rPr>
            <sz val="9"/>
            <rFont val="宋体"/>
            <charset val="134"/>
          </rPr>
          <t xml:space="preserve">240118000011/240122000040/240123000039/240126000014/240130000029/240202000015/240202000039/240202000051合计8529080
</t>
        </r>
      </text>
    </comment>
    <comment ref="M393" authorId="0">
      <text>
        <r>
          <rPr>
            <sz val="9"/>
            <rFont val="宋体"/>
            <charset val="134"/>
          </rPr>
          <t xml:space="preserve">预付6671.5转到付USD927.88
</t>
        </r>
      </text>
    </comment>
    <comment ref="J397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M400" authorId="0">
      <text>
        <r>
          <rPr>
            <sz val="9"/>
            <rFont val="宋体"/>
            <charset val="134"/>
          </rPr>
          <t xml:space="preserve">预付474转到付USD66.1
</t>
        </r>
      </text>
    </comment>
    <comment ref="J401" authorId="0">
      <text>
        <r>
          <rPr>
            <sz val="9"/>
            <rFont val="宋体"/>
            <charset val="134"/>
          </rPr>
          <t xml:space="preserve">合计7946754.
</t>
        </r>
      </text>
    </comment>
    <comment ref="M401" authorId="0">
      <text>
        <r>
          <rPr>
            <sz val="9"/>
            <rFont val="宋体"/>
            <charset val="134"/>
          </rPr>
          <t xml:space="preserve">预付725转到付USD100.83
</t>
        </r>
      </text>
    </comment>
    <comment ref="M402" authorId="0">
      <text>
        <r>
          <rPr>
            <sz val="9"/>
            <rFont val="宋体"/>
            <charset val="134"/>
          </rPr>
          <t xml:space="preserve">预付2213转到付USD308.64
</t>
        </r>
      </text>
    </comment>
    <comment ref="M404" authorId="0">
      <text>
        <r>
          <rPr>
            <sz val="9"/>
            <rFont val="宋体"/>
            <charset val="134"/>
          </rPr>
          <t xml:space="preserve">预付1878转到付USD261.19
</t>
        </r>
      </text>
    </comment>
    <comment ref="J409" authorId="0">
      <text>
        <r>
          <rPr>
            <sz val="9"/>
            <rFont val="宋体"/>
            <charset val="134"/>
          </rPr>
          <t xml:space="preserve">240122000008/240129000031/240131000007/240131000042/240129000057/240131000039/240204000004合计12151980.
</t>
        </r>
      </text>
    </comment>
    <comment ref="M412" authorId="0">
      <text>
        <r>
          <rPr>
            <sz val="9"/>
            <rFont val="宋体"/>
            <charset val="134"/>
          </rPr>
          <t xml:space="preserve">预付1108转到付USD154.1
</t>
        </r>
      </text>
    </comment>
    <comment ref="J415" authorId="0">
      <text>
        <r>
          <rPr>
            <sz val="9"/>
            <rFont val="宋体"/>
            <charset val="134"/>
          </rPr>
          <t xml:space="preserve">240111000012/240204000018合计3150735.
</t>
        </r>
      </text>
    </comment>
    <comment ref="M415" authorId="0">
      <text>
        <r>
          <rPr>
            <sz val="9"/>
            <rFont val="宋体"/>
            <charset val="134"/>
          </rPr>
          <t xml:space="preserve">预付1014转到付USD141.02
</t>
        </r>
      </text>
    </comment>
    <comment ref="J417" authorId="0">
      <text>
        <r>
          <rPr>
            <sz val="9"/>
            <rFont val="宋体"/>
            <charset val="134"/>
          </rPr>
          <t xml:space="preserve">合计578511
</t>
        </r>
      </text>
    </comment>
    <comment ref="J419" authorId="0">
      <text>
        <r>
          <rPr>
            <sz val="9"/>
            <rFont val="宋体"/>
            <charset val="134"/>
          </rPr>
          <t xml:space="preserve">合计578511
</t>
        </r>
      </text>
    </comment>
    <comment ref="M429" authorId="0">
      <text>
        <r>
          <rPr>
            <sz val="9"/>
            <rFont val="宋体"/>
            <charset val="134"/>
          </rPr>
          <t xml:space="preserve">预付45860转到付USD6378.3
</t>
        </r>
      </text>
    </comment>
    <comment ref="J431" authorId="0">
      <text>
        <r>
          <rPr>
            <sz val="9"/>
            <rFont val="宋体"/>
            <charset val="134"/>
          </rPr>
          <t xml:space="preserve">231215000015=RMB2618.18=576,000.00
240221000016=RMB19200=N4,224,000.00
Total：N4,800,000.00
</t>
        </r>
      </text>
    </comment>
    <comment ref="M431" authorId="0">
      <text>
        <r>
          <rPr>
            <sz val="9"/>
            <rFont val="宋体"/>
            <charset val="134"/>
          </rPr>
          <t xml:space="preserve">预付19200转到付USD2670.37
</t>
        </r>
      </text>
    </comment>
    <comment ref="J434" authorId="0">
      <text>
        <r>
          <rPr>
            <sz val="9"/>
            <rFont val="宋体"/>
            <charset val="134"/>
          </rPr>
          <t xml:space="preserve">240217000001/240217000002/240217000003/240218000003合计131220.
</t>
        </r>
      </text>
    </comment>
    <comment ref="J435" authorId="0">
      <text>
        <r>
          <rPr>
            <sz val="9"/>
            <rFont val="宋体"/>
            <charset val="134"/>
          </rPr>
          <t xml:space="preserve">240217000001/240217000002/240217000003/240218000003合计131220.
</t>
        </r>
      </text>
    </comment>
    <comment ref="J436" authorId="0">
      <text>
        <r>
          <rPr>
            <sz val="9"/>
            <rFont val="宋体"/>
            <charset val="134"/>
          </rPr>
          <t xml:space="preserve">240217000001/240217000002/240217000003/240218000003合计131200
</t>
        </r>
      </text>
    </comment>
    <comment ref="J437" authorId="0">
      <text>
        <r>
          <rPr>
            <sz val="9"/>
            <rFont val="宋体"/>
            <charset val="134"/>
          </rPr>
          <t xml:space="preserve">240217000001/240217000002/240217000003/240218000003合计131200.
</t>
        </r>
      </text>
    </comment>
    <comment ref="M439" authorId="0">
      <text>
        <r>
          <rPr>
            <sz val="9"/>
            <rFont val="宋体"/>
            <charset val="134"/>
          </rPr>
          <t xml:space="preserve">预付360转到付USD50.06
</t>
        </r>
      </text>
    </comment>
    <comment ref="M440" authorId="0">
      <text>
        <r>
          <rPr>
            <sz val="9"/>
            <rFont val="宋体"/>
            <charset val="134"/>
          </rPr>
          <t xml:space="preserve">预付900转到付USD125.52
</t>
        </r>
      </text>
    </comment>
    <comment ref="M442" authorId="0">
      <text>
        <r>
          <rPr>
            <sz val="9"/>
            <rFont val="宋体"/>
            <charset val="134"/>
          </rPr>
          <t xml:space="preserve">预付402.5转到付USD55.98
</t>
        </r>
      </text>
    </comment>
    <comment ref="J449" authorId="0">
      <text>
        <r>
          <rPr>
            <sz val="9"/>
            <rFont val="宋体"/>
            <charset val="134"/>
          </rPr>
          <t>240204000002/240206000003合计184050.</t>
        </r>
      </text>
    </comment>
    <comment ref="M450" authorId="0">
      <text>
        <r>
          <rPr>
            <sz val="9"/>
            <rFont val="宋体"/>
            <charset val="134"/>
          </rPr>
          <t xml:space="preserve">预付214转到付USD29.76
</t>
        </r>
      </text>
    </comment>
    <comment ref="J451" authorId="0">
      <text>
        <r>
          <rPr>
            <sz val="9"/>
            <rFont val="宋体"/>
            <charset val="134"/>
          </rPr>
          <t xml:space="preserve">240204000002/240206000003合计184050.
</t>
        </r>
      </text>
    </comment>
    <comment ref="M461" authorId="0">
      <text>
        <r>
          <rPr>
            <sz val="9"/>
            <rFont val="宋体"/>
            <charset val="134"/>
          </rPr>
          <t xml:space="preserve">预付1755转到付USD244.08
</t>
        </r>
      </text>
    </comment>
    <comment ref="M462" authorId="0">
      <text>
        <r>
          <rPr>
            <sz val="9"/>
            <rFont val="宋体"/>
            <charset val="134"/>
          </rPr>
          <t xml:space="preserve">预付2068转到付USD287.62
</t>
        </r>
      </text>
    </comment>
    <comment ref="M463" authorId="0">
      <text>
        <r>
          <rPr>
            <sz val="9"/>
            <rFont val="宋体"/>
            <charset val="134"/>
          </rPr>
          <t>预付1292.5转到付USD179.76.</t>
        </r>
      </text>
    </comment>
    <comment ref="M464" authorId="0">
      <text>
        <r>
          <rPr>
            <sz val="9"/>
            <rFont val="宋体"/>
            <charset val="134"/>
          </rPr>
          <t xml:space="preserve">预付1198.5转到付USD166.68
</t>
        </r>
      </text>
    </comment>
    <comment ref="M468" authorId="0">
      <text>
        <r>
          <rPr>
            <sz val="9"/>
            <rFont val="宋体"/>
            <charset val="134"/>
          </rPr>
          <t xml:space="preserve">预付238转到付USD33.1
</t>
        </r>
      </text>
    </comment>
    <comment ref="M471" authorId="0">
      <text>
        <r>
          <rPr>
            <sz val="9"/>
            <rFont val="宋体"/>
            <charset val="134"/>
          </rPr>
          <t xml:space="preserve">预付4025转到付USD559.8
</t>
        </r>
      </text>
    </comment>
    <comment ref="J481" authorId="0">
      <text>
        <r>
          <rPr>
            <sz val="9"/>
            <rFont val="宋体"/>
            <charset val="134"/>
          </rPr>
          <t xml:space="preserve">240126000038=CNY65
240125000036=CNY19272.5
240220000049=CNY45
NGN36,120,000.00/213=CNY169,577.00  需退回运费169577-19382.5=CNY150,194.00
</t>
        </r>
      </text>
    </comment>
    <comment ref="M481" authorId="0">
      <text>
        <r>
          <rPr>
            <sz val="9"/>
            <rFont val="宋体"/>
            <charset val="134"/>
          </rPr>
          <t xml:space="preserve">预付45转到付USD6.25
</t>
        </r>
      </text>
    </comment>
    <comment ref="J485" authorId="0">
      <text>
        <r>
          <rPr>
            <sz val="9"/>
            <rFont val="宋体"/>
            <charset val="134"/>
          </rPr>
          <t>240221000003/240305000004/240301000022合计38400.</t>
        </r>
      </text>
    </comment>
    <comment ref="M489" authorId="0">
      <text>
        <r>
          <rPr>
            <sz val="9"/>
            <rFont val="宋体"/>
            <charset val="134"/>
          </rPr>
          <t xml:space="preserve">预付446转到付USD62.03
</t>
        </r>
      </text>
    </comment>
    <comment ref="M490" authorId="0">
      <text>
        <r>
          <rPr>
            <sz val="9"/>
            <rFont val="宋体"/>
            <charset val="134"/>
          </rPr>
          <t xml:space="preserve">预付721.5转到付USD100.34
</t>
        </r>
      </text>
    </comment>
    <comment ref="J495" authorId="0">
      <text>
        <r>
          <rPr>
            <sz val="9"/>
            <rFont val="宋体"/>
            <charset val="134"/>
          </rPr>
          <t xml:space="preserve">240221000023/240222000001/240223000015合计655000.
</t>
        </r>
      </text>
    </comment>
    <comment ref="J497" authorId="0">
      <text>
        <r>
          <rPr>
            <sz val="9"/>
            <rFont val="宋体"/>
            <charset val="134"/>
          </rPr>
          <t xml:space="preserve">240221000023/240222000001/240223000015合计655000.
</t>
        </r>
      </text>
    </comment>
    <comment ref="J499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</t>
        </r>
      </text>
    </comment>
    <comment ref="M499" authorId="0">
      <text>
        <r>
          <rPr>
            <sz val="9"/>
            <rFont val="宋体"/>
            <charset val="134"/>
          </rPr>
          <t xml:space="preserve">预付1786转到付USD248.4
</t>
        </r>
      </text>
    </comment>
    <comment ref="J501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M501" authorId="0">
      <text>
        <r>
          <rPr>
            <sz val="9"/>
            <rFont val="宋体"/>
            <charset val="134"/>
          </rPr>
          <t xml:space="preserve">预付831转到付USD115.57
</t>
        </r>
      </text>
    </comment>
    <comment ref="M502" authorId="0">
      <text>
        <r>
          <rPr>
            <sz val="9"/>
            <rFont val="宋体"/>
            <charset val="134"/>
          </rPr>
          <t xml:space="preserve">预付6217.31转到付USD864.71
</t>
        </r>
      </text>
    </comment>
    <comment ref="M503" authorId="0">
      <text>
        <r>
          <rPr>
            <sz val="9"/>
            <rFont val="宋体"/>
            <charset val="134"/>
          </rPr>
          <t xml:space="preserve">预付2937.5转 到付USD408.55
</t>
        </r>
      </text>
    </comment>
    <comment ref="M505" authorId="0">
      <text>
        <r>
          <rPr>
            <sz val="9"/>
            <rFont val="宋体"/>
            <charset val="134"/>
          </rPr>
          <t xml:space="preserve">预付564转到付USD78.44
</t>
        </r>
      </text>
    </comment>
    <comment ref="M506" authorId="0">
      <text>
        <r>
          <rPr>
            <sz val="9"/>
            <rFont val="宋体"/>
            <charset val="134"/>
          </rPr>
          <t xml:space="preserve">预付82.5转到付USD11.47
</t>
        </r>
      </text>
    </comment>
    <comment ref="J508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M508" authorId="0">
      <text>
        <r>
          <rPr>
            <sz val="9"/>
            <rFont val="宋体"/>
            <charset val="134"/>
          </rPr>
          <t xml:space="preserve">预付45转到USD6.25
</t>
        </r>
      </text>
    </comment>
    <comment ref="J510" authorId="0">
      <text>
        <r>
          <rPr>
            <sz val="9"/>
            <rFont val="宋体"/>
            <charset val="134"/>
          </rPr>
          <t xml:space="preserve">合计2559775.
</t>
        </r>
      </text>
    </comment>
    <comment ref="M510" authorId="0">
      <text>
        <r>
          <rPr>
            <sz val="9"/>
            <rFont val="宋体"/>
            <charset val="134"/>
          </rPr>
          <t xml:space="preserve">预付188.5转到付USD26.21
</t>
        </r>
      </text>
    </comment>
    <comment ref="M511" authorId="0">
      <text>
        <r>
          <rPr>
            <sz val="9"/>
            <rFont val="宋体"/>
            <charset val="134"/>
          </rPr>
          <t>预付963.5转到付USD134.</t>
        </r>
      </text>
    </comment>
    <comment ref="M512" authorId="0">
      <text>
        <r>
          <rPr>
            <sz val="9"/>
            <rFont val="宋体"/>
            <charset val="134"/>
          </rPr>
          <t xml:space="preserve">预付564转到付USD78.44
</t>
        </r>
      </text>
    </comment>
    <comment ref="J517" authorId="0">
      <text>
        <r>
          <rPr>
            <sz val="9"/>
            <rFont val="宋体"/>
            <charset val="134"/>
          </rPr>
          <t>240221000023/240222000001/240223000015合计655000</t>
        </r>
      </text>
    </comment>
    <comment ref="I520" authorId="0">
      <text>
        <r>
          <rPr>
            <sz val="9"/>
            <rFont val="宋体"/>
            <charset val="134"/>
          </rPr>
          <t xml:space="preserve">到付USD169.6转预付1332.
</t>
        </r>
      </text>
    </comment>
    <comment ref="J523" authorId="0">
      <text>
        <r>
          <rPr>
            <sz val="9"/>
            <rFont val="宋体"/>
            <charset val="134"/>
          </rPr>
          <t xml:space="preserve">240223000025, 240222000004 AND 240124000007合计645700
</t>
        </r>
      </text>
    </comment>
    <comment ref="M523" authorId="0">
      <text>
        <r>
          <rPr>
            <sz val="9"/>
            <rFont val="宋体"/>
            <charset val="134"/>
          </rPr>
          <t xml:space="preserve">预付506转到付USD70.37
</t>
        </r>
      </text>
    </comment>
    <comment ref="M529" authorId="0">
      <text>
        <r>
          <rPr>
            <sz val="9"/>
            <rFont val="宋体"/>
            <charset val="134"/>
          </rPr>
          <t xml:space="preserve">预付3913转到付USD544.22
</t>
        </r>
      </text>
    </comment>
    <comment ref="M530" authorId="0">
      <text>
        <r>
          <rPr>
            <sz val="9"/>
            <rFont val="宋体"/>
            <charset val="134"/>
          </rPr>
          <t xml:space="preserve">预付145转到付USD20.16
</t>
        </r>
      </text>
    </comment>
    <comment ref="J536" authorId="0">
      <text>
        <r>
          <rPr>
            <sz val="9"/>
            <rFont val="宋体"/>
            <charset val="134"/>
          </rPr>
          <t xml:space="preserve">240311000043/240308000027/240220000015合计119394.2
</t>
        </r>
      </text>
    </comment>
    <comment ref="M536" authorId="0">
      <text>
        <r>
          <rPr>
            <sz val="9"/>
            <rFont val="宋体"/>
            <charset val="134"/>
          </rPr>
          <t xml:space="preserve">预付289.5转到付USD40.25
</t>
        </r>
      </text>
    </comment>
    <comment ref="M537" authorId="0">
      <text>
        <r>
          <rPr>
            <sz val="9"/>
            <rFont val="宋体"/>
            <charset val="134"/>
          </rPr>
          <t xml:space="preserve">预付517.2转到付USD71.93
</t>
        </r>
      </text>
    </comment>
    <comment ref="J556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M556" authorId="0">
      <text>
        <r>
          <rPr>
            <sz val="9"/>
            <rFont val="宋体"/>
            <charset val="134"/>
          </rPr>
          <t xml:space="preserve">预付3053转到付USD424.61
</t>
        </r>
      </text>
    </comment>
    <comment ref="I558" authorId="0">
      <text>
        <r>
          <rPr>
            <sz val="9"/>
            <rFont val="宋体"/>
            <charset val="134"/>
          </rPr>
          <t xml:space="preserve">到付USD94.68转预付701
</t>
        </r>
      </text>
    </comment>
    <comment ref="M564" authorId="0">
      <text>
        <r>
          <rPr>
            <sz val="9"/>
            <rFont val="宋体"/>
            <charset val="134"/>
          </rPr>
          <t xml:space="preserve">预付343.8转到付USD47.81
</t>
        </r>
      </text>
    </comment>
    <comment ref="J565" authorId="0">
      <text>
        <r>
          <rPr>
            <sz val="9"/>
            <rFont val="宋体"/>
            <charset val="134"/>
          </rPr>
          <t xml:space="preserve">240220000055/240223000024合计7187184.
</t>
        </r>
      </text>
    </comment>
  </commentList>
</comments>
</file>

<file path=xl/sharedStrings.xml><?xml version="1.0" encoding="utf-8"?>
<sst xmlns="http://schemas.openxmlformats.org/spreadsheetml/2006/main" count="1824" uniqueCount="425">
  <si>
    <t>2024年02月份LOS毛利表</t>
  </si>
  <si>
    <t>JOB</t>
  </si>
  <si>
    <t>集装编号 </t>
  </si>
  <si>
    <t>运单编号 </t>
  </si>
  <si>
    <t>日期</t>
  </si>
  <si>
    <t xml:space="preserve">业务 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</si>
  <si>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</si>
  <si>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</si>
  <si>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</si>
  <si>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</si>
  <si>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</si>
  <si>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</si>
  <si>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</si>
  <si>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</si>
  <si>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</si>
  <si>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</si>
  <si>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</si>
  <si>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</si>
  <si>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</si>
  <si>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</si>
  <si>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</si>
  <si>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</si>
  <si>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</si>
  <si>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</si>
  <si>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</si>
  <si>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</si>
  <si>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</si>
  <si>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</si>
  <si>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</si>
  <si>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</si>
  <si>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</si>
  <si>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</si>
  <si>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</si>
  <si>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</si>
  <si>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</si>
  <si>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JOB020137</t>
  </si>
  <si>
    <t>COLL003812</t>
  </si>
  <si>
    <t>黄颖</t>
  </si>
  <si>
    <t>ying</t>
  </si>
  <si>
    <t>peter</t>
  </si>
  <si>
    <t>富姐</t>
  </si>
  <si>
    <t>吕沛霖</t>
  </si>
  <si>
    <t>喵喵速运-Layne</t>
  </si>
  <si>
    <t>Tia</t>
  </si>
  <si>
    <t>Sam.Pao</t>
  </si>
  <si>
    <t>David Zhao</t>
  </si>
  <si>
    <t>Sagamu</t>
  </si>
  <si>
    <t>JOB020138</t>
  </si>
  <si>
    <t>COLL003814</t>
  </si>
  <si>
    <t>Sampao</t>
  </si>
  <si>
    <t>顶派</t>
  </si>
  <si>
    <t>JOB020139</t>
  </si>
  <si>
    <t>COLL003815</t>
  </si>
  <si>
    <t>Steven Abuja</t>
  </si>
  <si>
    <t>Julie LEE</t>
  </si>
  <si>
    <t>Julie lee</t>
  </si>
  <si>
    <t>吴敏琪</t>
  </si>
  <si>
    <t>易小羔</t>
  </si>
  <si>
    <t>Robin Tai</t>
  </si>
  <si>
    <t>William Xu</t>
  </si>
  <si>
    <t>xiongge</t>
  </si>
  <si>
    <t>GONG</t>
  </si>
  <si>
    <t xml:space="preserve">Bella </t>
  </si>
  <si>
    <t>Bella Chan</t>
  </si>
  <si>
    <t>wang hong sheng</t>
  </si>
  <si>
    <t>felix</t>
  </si>
  <si>
    <t>MA ZONG</t>
  </si>
  <si>
    <t>chi de jian</t>
  </si>
  <si>
    <t>Angel</t>
  </si>
  <si>
    <t>Song Wen Tao</t>
  </si>
  <si>
    <t>Zhang cui</t>
  </si>
  <si>
    <t>Guo Hui 郭总</t>
  </si>
  <si>
    <t>yuanbiao</t>
  </si>
  <si>
    <t>tang qiao lin</t>
  </si>
  <si>
    <t>PAN</t>
  </si>
  <si>
    <t>mr</t>
  </si>
  <si>
    <t>朱小飞</t>
  </si>
  <si>
    <t>Isabel Zhu</t>
  </si>
  <si>
    <t>Long Er</t>
  </si>
  <si>
    <t>laohuang</t>
  </si>
  <si>
    <t>zhouyicheng</t>
  </si>
  <si>
    <t>Lee Wen Wei</t>
  </si>
  <si>
    <t>Chinex</t>
  </si>
  <si>
    <t>JOB020141</t>
  </si>
  <si>
    <t>COLL003819</t>
  </si>
  <si>
    <t>NENG SHI</t>
  </si>
  <si>
    <t>捷道</t>
  </si>
  <si>
    <t>JOB020142</t>
  </si>
  <si>
    <t>COLL003820</t>
  </si>
  <si>
    <t>Bolaji Abidoye</t>
  </si>
  <si>
    <t>阿米拉海运</t>
  </si>
  <si>
    <t>James</t>
  </si>
  <si>
    <t>谭小瑜</t>
  </si>
  <si>
    <t>Kaylee</t>
  </si>
  <si>
    <t>ABDULRAHMANE DANMAALLAM</t>
  </si>
  <si>
    <t>XiongQiJun</t>
  </si>
  <si>
    <t>ShanShan</t>
  </si>
  <si>
    <t>james</t>
  </si>
  <si>
    <t>WangXianTao</t>
  </si>
  <si>
    <t>JOB020143</t>
  </si>
  <si>
    <t>COLL003821</t>
  </si>
  <si>
    <t>wei hui zhu</t>
  </si>
  <si>
    <t>a niu ge</t>
  </si>
  <si>
    <t>YingYi</t>
  </si>
  <si>
    <t>Kelly He</t>
  </si>
  <si>
    <t>JOHNNIE</t>
  </si>
  <si>
    <t>无人</t>
  </si>
  <si>
    <t>Mailmail Abv sales person 1</t>
  </si>
  <si>
    <t>Fafunso</t>
  </si>
  <si>
    <t>Lissi</t>
  </si>
  <si>
    <t>JOB020144</t>
  </si>
  <si>
    <t>COLL003811</t>
  </si>
  <si>
    <t>喵喵国际</t>
  </si>
  <si>
    <t>David</t>
  </si>
  <si>
    <t>Mikey</t>
  </si>
  <si>
    <t>penglijuan</t>
  </si>
  <si>
    <t>Lisa</t>
  </si>
  <si>
    <t>Ben</t>
  </si>
  <si>
    <t>Weiwei</t>
  </si>
  <si>
    <t>zhuyongjie</t>
  </si>
  <si>
    <t>maohaiming</t>
  </si>
  <si>
    <t>Yangbin</t>
  </si>
  <si>
    <t>慌慌</t>
  </si>
  <si>
    <t>Hillter</t>
  </si>
  <si>
    <t>Xu Jie</t>
  </si>
  <si>
    <t>Jahnson</t>
  </si>
  <si>
    <t>Val</t>
  </si>
  <si>
    <t>SEGUN</t>
  </si>
  <si>
    <t>ChenGaoHong</t>
  </si>
  <si>
    <t>fang ming</t>
  </si>
  <si>
    <t>OBONGHA UKET UBANGH</t>
  </si>
  <si>
    <t>袁安医生 Dr. Andy</t>
  </si>
  <si>
    <t>Andy Yuan</t>
  </si>
  <si>
    <t>Mr. ＡLLEN</t>
  </si>
  <si>
    <t>Charles zhao</t>
  </si>
  <si>
    <t>jiangxia</t>
  </si>
  <si>
    <t>Emma YE</t>
  </si>
  <si>
    <t>MaiKaiNian</t>
  </si>
  <si>
    <t>Joy</t>
  </si>
  <si>
    <t>Kalio Edith</t>
  </si>
  <si>
    <t>Mr.Tabrat</t>
  </si>
  <si>
    <t>Mr.Bernie</t>
  </si>
  <si>
    <t>LOMO</t>
  </si>
  <si>
    <t>Precious Ali</t>
  </si>
  <si>
    <t>Zhang Guo Ren</t>
  </si>
  <si>
    <t>Rachel</t>
  </si>
  <si>
    <t>Peter</t>
  </si>
  <si>
    <t>Gene</t>
  </si>
  <si>
    <t>Miss Yemisi</t>
  </si>
  <si>
    <t>Nkechi</t>
  </si>
  <si>
    <t>LuZhiLong</t>
  </si>
  <si>
    <t>Yuan</t>
  </si>
  <si>
    <t>SKY JET</t>
  </si>
  <si>
    <t>JOB020145</t>
  </si>
  <si>
    <t>COLL003810</t>
  </si>
  <si>
    <t>Jiang Xiaomin</t>
  </si>
  <si>
    <t>mike anya</t>
  </si>
  <si>
    <t>YU DONGHUI</t>
  </si>
  <si>
    <t>Zou Qiyang</t>
  </si>
  <si>
    <t>Hu Wen Cheng</t>
  </si>
  <si>
    <t>FANGYONG</t>
  </si>
  <si>
    <t>Mr</t>
  </si>
  <si>
    <t>Tang Zhao</t>
  </si>
  <si>
    <t>Sun Li</t>
  </si>
  <si>
    <t>Wilson Liang</t>
  </si>
  <si>
    <t>Mr Adewale Famoroti</t>
  </si>
  <si>
    <t>Mr Ayuba</t>
  </si>
  <si>
    <t>Oyedele Soyege</t>
  </si>
  <si>
    <t>Zhou Ji BBQ</t>
  </si>
  <si>
    <t>JOB020146</t>
  </si>
  <si>
    <t>COLL003818</t>
  </si>
  <si>
    <t>John 张</t>
  </si>
  <si>
    <t>zhuzhu</t>
  </si>
  <si>
    <t>Jerry Zhang</t>
  </si>
  <si>
    <t>Engr.Isa</t>
  </si>
  <si>
    <t>Wen Yi Min</t>
  </si>
  <si>
    <t>haowangjun</t>
  </si>
  <si>
    <t>Chen Quan</t>
  </si>
  <si>
    <t>Joe</t>
  </si>
  <si>
    <t>Qingqing Zhang</t>
  </si>
  <si>
    <t>Ka Ka 4分部</t>
  </si>
  <si>
    <t>huang zong</t>
  </si>
  <si>
    <t>Harper</t>
  </si>
  <si>
    <t>Ope Olofinjana</t>
  </si>
  <si>
    <t>liujinchun</t>
  </si>
  <si>
    <t>Steve</t>
  </si>
  <si>
    <t>chidi</t>
  </si>
  <si>
    <t>gilbert</t>
  </si>
  <si>
    <t>David Wei</t>
  </si>
  <si>
    <t>Liu Xiao Yun</t>
  </si>
  <si>
    <t>LEO WEI</t>
  </si>
  <si>
    <t>EMMANUEL &amp; LONG XINGXING</t>
  </si>
  <si>
    <t>Hu Hai Liang</t>
  </si>
  <si>
    <t>Jerry Zhao</t>
  </si>
  <si>
    <t>Apeji Yaariv</t>
  </si>
  <si>
    <t>Adams</t>
  </si>
  <si>
    <t>Wu Jiao Xing</t>
  </si>
  <si>
    <t>lizhiwei</t>
  </si>
  <si>
    <t>LOUIS</t>
  </si>
  <si>
    <t>ZHABV</t>
  </si>
  <si>
    <t>leoyang</t>
  </si>
  <si>
    <t>Xuting</t>
  </si>
  <si>
    <t>matt</t>
  </si>
  <si>
    <t>飞鸟</t>
  </si>
  <si>
    <t>FENG</t>
  </si>
  <si>
    <t>fast hours DM NIGHT LED</t>
  </si>
  <si>
    <t>Mayor Group</t>
  </si>
  <si>
    <t>Yuan Shi Jin</t>
  </si>
  <si>
    <t>dong wu lin</t>
  </si>
  <si>
    <t>James/KC</t>
  </si>
  <si>
    <t>Chen Fang Ping</t>
  </si>
  <si>
    <t>Ye Chun Hui</t>
  </si>
  <si>
    <t>los徐周鹏</t>
  </si>
  <si>
    <t>Zhao Xin</t>
  </si>
  <si>
    <t>wuma</t>
  </si>
  <si>
    <t>liangyu</t>
  </si>
  <si>
    <t>Dosunmu oluwafemi</t>
  </si>
  <si>
    <t>Feng</t>
  </si>
  <si>
    <t>weng zixian</t>
  </si>
  <si>
    <t>Feng Ying</t>
  </si>
  <si>
    <t>OTW 埃德维</t>
  </si>
  <si>
    <t>JOB020147</t>
  </si>
  <si>
    <t>COLL003823</t>
  </si>
  <si>
    <t>DAVID ZHAO</t>
  </si>
  <si>
    <t>Shang yafei</t>
  </si>
  <si>
    <t>鸿</t>
  </si>
  <si>
    <t>Mr YiBinYu</t>
  </si>
  <si>
    <t>DengYaDi</t>
  </si>
  <si>
    <t>crystal</t>
  </si>
  <si>
    <t>Wangjianshe</t>
  </si>
  <si>
    <t>JOB020148</t>
  </si>
  <si>
    <t>COLL003816</t>
  </si>
  <si>
    <t>Jacklee</t>
  </si>
  <si>
    <t>Zeng Xiu Zhuang</t>
  </si>
  <si>
    <t>wang hong wei</t>
  </si>
  <si>
    <t>yunus</t>
  </si>
  <si>
    <t>li tao</t>
  </si>
  <si>
    <t>Lia</t>
  </si>
  <si>
    <t>yangzekun</t>
  </si>
  <si>
    <t>barnabas</t>
  </si>
  <si>
    <t>zhangzhibin</t>
  </si>
  <si>
    <t>amaka</t>
  </si>
  <si>
    <t>WangMingXin</t>
  </si>
  <si>
    <t>Mr Akin Gbola</t>
  </si>
  <si>
    <t>Mr Pan Li</t>
  </si>
  <si>
    <t>Chide</t>
  </si>
  <si>
    <t>Cindy</t>
  </si>
  <si>
    <t>Mr.Richard 志强</t>
  </si>
  <si>
    <t>zhang long ting</t>
  </si>
  <si>
    <t>Mr. Rick</t>
  </si>
  <si>
    <t>Zhang Mao Zhen</t>
  </si>
  <si>
    <t>Chinedu</t>
  </si>
  <si>
    <t>Ma Chao</t>
  </si>
  <si>
    <t>Lu Qing Xiao</t>
  </si>
  <si>
    <t>lin jinwei</t>
  </si>
  <si>
    <t>wang rui</t>
  </si>
  <si>
    <t>Adamu</t>
  </si>
  <si>
    <t>Bello</t>
  </si>
  <si>
    <t>Charles</t>
  </si>
  <si>
    <t>Dean</t>
  </si>
  <si>
    <t>WANG WEI</t>
  </si>
  <si>
    <t>Adindu</t>
  </si>
  <si>
    <t>LiZhuoLin</t>
  </si>
  <si>
    <t>Yu Yu</t>
  </si>
  <si>
    <t>Candice Ding</t>
  </si>
  <si>
    <t>Kevin</t>
  </si>
  <si>
    <t>CH</t>
  </si>
  <si>
    <t>XIao Qiang</t>
  </si>
  <si>
    <t>xieziqing</t>
  </si>
  <si>
    <t>Halifa Success</t>
  </si>
  <si>
    <t>REMI</t>
  </si>
  <si>
    <t>Lee Ming</t>
  </si>
  <si>
    <t>LAN</t>
  </si>
  <si>
    <t>William Wei</t>
  </si>
  <si>
    <t>Mr. Jason</t>
  </si>
  <si>
    <t>Hao Peng</t>
  </si>
  <si>
    <t>Anolue Arinze Anthony</t>
  </si>
  <si>
    <t>JOB020149</t>
  </si>
  <si>
    <t>COLL003813</t>
  </si>
  <si>
    <t>liufang</t>
  </si>
  <si>
    <t>Rose 徐艳秋</t>
  </si>
  <si>
    <t>JOSIAS</t>
  </si>
  <si>
    <t>Mr Folabidayo</t>
  </si>
  <si>
    <t>Alex</t>
  </si>
  <si>
    <t>CHIGBO CHIDOZIE CHRISTIAN</t>
  </si>
  <si>
    <t>MIranda</t>
  </si>
  <si>
    <t>Toyin</t>
  </si>
  <si>
    <t>Francis</t>
  </si>
  <si>
    <t>ZUBBY EQUIPMENT TECHNOLOGY</t>
  </si>
  <si>
    <t>CHENG ZHONG</t>
  </si>
  <si>
    <t>JAMES Felicity</t>
  </si>
  <si>
    <t>LI LING BO</t>
  </si>
  <si>
    <t>Li Ce</t>
  </si>
  <si>
    <t>chenxiaoru</t>
  </si>
  <si>
    <t>yanjian</t>
  </si>
  <si>
    <t>Mr Samson Okonkwo</t>
  </si>
  <si>
    <t>Shuaixueqiang</t>
  </si>
  <si>
    <t>MR HE</t>
  </si>
  <si>
    <t>Rotimi</t>
  </si>
  <si>
    <t>MS HUANG</t>
  </si>
  <si>
    <t>WuQiang</t>
  </si>
  <si>
    <t>zhong zi xin</t>
  </si>
  <si>
    <t>Mr Zhou Jia Liang</t>
  </si>
  <si>
    <t>Yang Jun Jie</t>
  </si>
  <si>
    <t>Alice08105750388</t>
  </si>
  <si>
    <t>James Mr.Yuan</t>
  </si>
  <si>
    <t>Mr Gbenga</t>
  </si>
  <si>
    <t>Gbenga/Emma</t>
  </si>
  <si>
    <t>huang jun</t>
  </si>
  <si>
    <t>TIM</t>
  </si>
  <si>
    <t>DUDUHE鹤</t>
  </si>
  <si>
    <t>SHAN NAN</t>
  </si>
  <si>
    <t>JOB020150</t>
  </si>
  <si>
    <t>COLL003824</t>
  </si>
  <si>
    <t>Wendy</t>
  </si>
  <si>
    <t>风儿吹</t>
  </si>
  <si>
    <t>Joshua Afuye</t>
  </si>
  <si>
    <t>tuoni</t>
  </si>
  <si>
    <t>WENDY</t>
  </si>
  <si>
    <t>Li 明亮</t>
  </si>
  <si>
    <t>Feny</t>
  </si>
  <si>
    <t>zhaohuoxian</t>
  </si>
  <si>
    <t>Mr.zhou小周</t>
  </si>
  <si>
    <t>MR. HAMMED ABIODUN . S.</t>
  </si>
  <si>
    <t>Funtua Mr Lee</t>
  </si>
  <si>
    <t>Mr.Leo</t>
  </si>
  <si>
    <t>Zhang Xin Jian</t>
  </si>
  <si>
    <t>JOB020151</t>
  </si>
  <si>
    <t>COLL003822</t>
  </si>
  <si>
    <t>Robert Hu</t>
  </si>
  <si>
    <t>顶派=41756
广州通达=2387.6</t>
  </si>
  <si>
    <t>Charles obiora chukwuekmeka</t>
  </si>
  <si>
    <t>Mr.Ola</t>
  </si>
  <si>
    <t>SHI</t>
  </si>
  <si>
    <t>Allen Zhou</t>
  </si>
  <si>
    <t>Ye Hui</t>
  </si>
  <si>
    <t>shuaixueqiang</t>
  </si>
  <si>
    <t>Kim</t>
  </si>
  <si>
    <t>sofia</t>
  </si>
  <si>
    <t>long</t>
  </si>
  <si>
    <t>Lynda</t>
  </si>
  <si>
    <t>Martin</t>
  </si>
  <si>
    <t>JOB020152</t>
  </si>
  <si>
    <t>COLL003825</t>
  </si>
  <si>
    <t>LAYER FIVE INTEGRATED LIMITED</t>
  </si>
  <si>
    <t>JOB020153</t>
  </si>
  <si>
    <t>COLL003826</t>
  </si>
  <si>
    <t>WuTao</t>
  </si>
  <si>
    <t>顶派=33618.5
驿马=291.2</t>
  </si>
  <si>
    <t>JOB020154</t>
  </si>
  <si>
    <t>COLL003827</t>
  </si>
  <si>
    <t>只清关</t>
  </si>
  <si>
    <t>JOB020157</t>
  </si>
  <si>
    <t>COLL003829</t>
  </si>
  <si>
    <t>Mr.Yang</t>
  </si>
  <si>
    <t>JOB020156</t>
  </si>
  <si>
    <t>COLL003830</t>
  </si>
  <si>
    <t>JOB020158</t>
  </si>
  <si>
    <t>COLL003833</t>
  </si>
  <si>
    <t>家峰</t>
  </si>
  <si>
    <t>jiafeng</t>
  </si>
  <si>
    <t>SHAN DONG KUANG YE</t>
  </si>
  <si>
    <t>OLOOLU YUNUS BIOLA</t>
  </si>
  <si>
    <t>LEE</t>
  </si>
  <si>
    <t>TOYIN S. ADEKUNLE</t>
  </si>
  <si>
    <t>jinwenda</t>
  </si>
  <si>
    <t>Chief Prince</t>
  </si>
  <si>
    <t>JOB020159</t>
  </si>
  <si>
    <t>COLL003831</t>
  </si>
  <si>
    <t>顶派=76978.5
广州通达=4201.2</t>
  </si>
  <si>
    <t>new hope</t>
  </si>
  <si>
    <t>ZENG ZONG</t>
  </si>
  <si>
    <t>Tomonsachi</t>
  </si>
  <si>
    <t>Tuntex</t>
  </si>
  <si>
    <t>Zhang Wen Hao</t>
  </si>
  <si>
    <t>Miaomiao Dogu</t>
  </si>
  <si>
    <t>MailMail速运</t>
  </si>
  <si>
    <t>zhang feng</t>
  </si>
  <si>
    <t>LI HONGLIANG</t>
  </si>
  <si>
    <t>Jason</t>
  </si>
  <si>
    <t>Musa Mohammed</t>
  </si>
  <si>
    <t>Atten Engr Kola Balogun</t>
  </si>
  <si>
    <t>Paul</t>
  </si>
  <si>
    <t>ZUO Qiyang</t>
  </si>
  <si>
    <t>clarkzeng2</t>
  </si>
  <si>
    <t>zengyugui</t>
  </si>
  <si>
    <t>Du Li Zi Xin</t>
  </si>
  <si>
    <t>Ekene OGUJI</t>
  </si>
  <si>
    <t>Mr Guan</t>
  </si>
  <si>
    <t>Wang Dong Feng</t>
  </si>
  <si>
    <t>Neshmet</t>
  </si>
  <si>
    <t>Dawn</t>
  </si>
  <si>
    <t>Doris Xie</t>
  </si>
  <si>
    <t>MR. EZEKIEL</t>
  </si>
  <si>
    <t>zhang jian fei</t>
  </si>
  <si>
    <t>JOB020160</t>
  </si>
  <si>
    <t>COLL003834</t>
  </si>
  <si>
    <t>Roda</t>
  </si>
  <si>
    <t>Mr Hu</t>
  </si>
  <si>
    <t>Sophia</t>
  </si>
  <si>
    <t>JOB020161</t>
  </si>
  <si>
    <t>COLL003832</t>
  </si>
  <si>
    <t>ai ge li</t>
  </si>
  <si>
    <t>Mr sarajo</t>
  </si>
  <si>
    <t>sun li</t>
  </si>
  <si>
    <t>MeiMei</t>
  </si>
  <si>
    <t>Linyang</t>
  </si>
  <si>
    <t>xiaohanbing</t>
  </si>
  <si>
    <t>zhangpu</t>
  </si>
  <si>
    <t>zhusufei</t>
  </si>
  <si>
    <t>Gao Tian</t>
  </si>
  <si>
    <t>Chen Bi</t>
  </si>
  <si>
    <t>xu ming</t>
  </si>
  <si>
    <t>Allen Answer</t>
  </si>
  <si>
    <t>Japhia 于佳慧</t>
  </si>
  <si>
    <t>CHOMA</t>
  </si>
  <si>
    <t>yangxianwu</t>
  </si>
  <si>
    <t>QS 青速</t>
  </si>
  <si>
    <t>Mahamadou Ayouba</t>
  </si>
  <si>
    <t>Qin chong</t>
  </si>
  <si>
    <t>JOB020162</t>
  </si>
  <si>
    <t>COLL003837</t>
  </si>
  <si>
    <t>David Gbenga</t>
  </si>
  <si>
    <t>捷道海运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</si>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</sst>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.75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9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0"/>
      <color rgb="FF00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9" borderId="14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10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8" fillId="0" borderId="2" xfId="0" applyNumberFormat="1" applyFont="1" applyFill="1" applyBorder="1">
      <alignment vertical="center"/>
    </xf>
    <xf numFmtId="58" fontId="9" fillId="0" borderId="2" xfId="0" applyNumberFormat="1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>
      <alignment vertical="center"/>
    </xf>
    <xf numFmtId="181" fontId="8" fillId="3" borderId="2" xfId="0" applyNumberFormat="1" applyFont="1" applyFill="1" applyBorder="1">
      <alignment vertical="center"/>
    </xf>
    <xf numFmtId="58" fontId="9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0" fontId="7" fillId="2" borderId="2" xfId="0" applyFont="1" applyFill="1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82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2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176" fontId="13" fillId="3" borderId="2" xfId="0" applyNumberFormat="1" applyFont="1" applyFill="1" applyBorder="1" applyAlignment="1">
      <alignment horizontal="center" vertical="center" wrapText="1"/>
    </xf>
    <xf numFmtId="182" fontId="13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4" fillId="3" borderId="2" xfId="0" applyNumberFormat="1" applyFont="1" applyFill="1" applyBorder="1" applyAlignment="1">
      <alignment horizontal="center" vertical="center"/>
    </xf>
    <xf numFmtId="182" fontId="15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6" fillId="0" borderId="2" xfId="0" applyNumberFormat="1" applyFont="1" applyFill="1" applyBorder="1">
      <alignment vertical="center"/>
    </xf>
    <xf numFmtId="176" fontId="16" fillId="0" borderId="2" xfId="0" applyNumberFormat="1" applyFont="1" applyFill="1" applyBorder="1" applyAlignment="1">
      <alignment horizontal="center" vertical="center"/>
    </xf>
    <xf numFmtId="177" fontId="16" fillId="0" borderId="2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6" fontId="7" fillId="2" borderId="2" xfId="0" applyNumberFormat="1" applyFont="1" applyFill="1" applyBorder="1">
      <alignment vertical="center"/>
    </xf>
    <xf numFmtId="182" fontId="7" fillId="2" borderId="2" xfId="0" applyNumberFormat="1" applyFont="1" applyFill="1" applyBorder="1">
      <alignment vertical="center"/>
    </xf>
    <xf numFmtId="182" fontId="7" fillId="2" borderId="1" xfId="0" applyNumberFormat="1" applyFont="1" applyFill="1" applyBorder="1" applyAlignment="1">
      <alignment horizontal="center" vertical="center"/>
    </xf>
    <xf numFmtId="182" fontId="7" fillId="2" borderId="3" xfId="0" applyNumberFormat="1" applyFont="1" applyFill="1" applyBorder="1" applyAlignment="1">
      <alignment horizontal="center" vertical="center"/>
    </xf>
    <xf numFmtId="182" fontId="7" fillId="2" borderId="7" xfId="0" applyNumberFormat="1" applyFont="1" applyFill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/>
    </xf>
    <xf numFmtId="177" fontId="10" fillId="3" borderId="2" xfId="0" applyNumberFormat="1" applyFont="1" applyFill="1" applyBorder="1" applyAlignment="1">
      <alignment horizontal="center" vertical="center"/>
    </xf>
    <xf numFmtId="177" fontId="10" fillId="2" borderId="2" xfId="0" applyNumberFormat="1" applyFont="1" applyFill="1" applyBorder="1">
      <alignment vertical="center"/>
    </xf>
    <xf numFmtId="176" fontId="17" fillId="2" borderId="2" xfId="0" applyNumberFormat="1" applyFont="1" applyFill="1" applyBorder="1">
      <alignment vertical="center"/>
    </xf>
    <xf numFmtId="182" fontId="7" fillId="0" borderId="2" xfId="0" applyNumberFormat="1" applyFont="1" applyBorder="1" applyAlignment="1">
      <alignment horizontal="center" vertical="center"/>
    </xf>
    <xf numFmtId="176" fontId="16" fillId="3" borderId="2" xfId="0" applyNumberFormat="1" applyFont="1" applyFill="1" applyBorder="1" applyAlignment="1">
      <alignment horizontal="center" vertical="center"/>
    </xf>
    <xf numFmtId="177" fontId="16" fillId="2" borderId="2" xfId="0" applyNumberFormat="1" applyFont="1" applyFill="1" applyBorder="1">
      <alignment vertical="center"/>
    </xf>
    <xf numFmtId="182" fontId="7" fillId="2" borderId="2" xfId="0" applyNumberFormat="1" applyFont="1" applyFill="1" applyBorder="1" applyAlignment="1">
      <alignment horizontal="center" vertical="center"/>
    </xf>
    <xf numFmtId="177" fontId="16" fillId="3" borderId="2" xfId="0" applyNumberFormat="1" applyFont="1" applyFill="1" applyBorder="1" applyAlignment="1">
      <alignment horizontal="center" vertical="center"/>
    </xf>
    <xf numFmtId="176" fontId="16" fillId="2" borderId="2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 applyAlignment="1">
      <alignment vertical="center"/>
    </xf>
    <xf numFmtId="176" fontId="7" fillId="2" borderId="2" xfId="0" applyNumberFormat="1" applyFont="1" applyFill="1" applyBorder="1" applyAlignment="1">
      <alignment horizontal="center" vertical="center"/>
    </xf>
    <xf numFmtId="177" fontId="16" fillId="2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4" fillId="0" borderId="8" xfId="0" applyNumberFormat="1" applyFont="1" applyFill="1" applyBorder="1" applyAlignment="1">
      <alignment horizontal="center" vertical="center" wrapText="1"/>
    </xf>
    <xf numFmtId="182" fontId="18" fillId="3" borderId="1" xfId="0" applyNumberFormat="1" applyFont="1" applyFill="1" applyBorder="1" applyAlignment="1">
      <alignment horizontal="center" vertical="center" wrapText="1"/>
    </xf>
    <xf numFmtId="177" fontId="14" fillId="3" borderId="2" xfId="0" applyNumberFormat="1" applyFont="1" applyFill="1" applyBorder="1" applyAlignment="1">
      <alignment horizontal="center" vertical="center"/>
    </xf>
    <xf numFmtId="183" fontId="19" fillId="5" borderId="2" xfId="4" applyNumberFormat="1" applyFont="1" applyFill="1" applyBorder="1" applyAlignment="1">
      <alignment horizontal="center" vertical="center"/>
    </xf>
    <xf numFmtId="182" fontId="15" fillId="5" borderId="2" xfId="4" applyNumberFormat="1" applyFont="1" applyFill="1" applyBorder="1" applyAlignment="1">
      <alignment horizontal="center" vertical="center"/>
    </xf>
    <xf numFmtId="183" fontId="15" fillId="0" borderId="2" xfId="4" applyNumberFormat="1" applyFont="1" applyFill="1" applyBorder="1" applyAlignment="1">
      <alignment horizontal="center" vertical="center"/>
    </xf>
    <xf numFmtId="182" fontId="15" fillId="0" borderId="2" xfId="4" applyNumberFormat="1" applyFont="1" applyFill="1" applyBorder="1" applyAlignment="1">
      <alignment horizontal="center" vertical="center"/>
    </xf>
    <xf numFmtId="182" fontId="14" fillId="0" borderId="9" xfId="0" applyNumberFormat="1" applyFont="1" applyFill="1" applyBorder="1" applyAlignment="1">
      <alignment horizontal="center" vertical="center" wrapText="1"/>
    </xf>
    <xf numFmtId="182" fontId="18" fillId="3" borderId="3" xfId="0" applyNumberFormat="1" applyFont="1" applyFill="1" applyBorder="1" applyAlignment="1">
      <alignment horizontal="center" vertical="center" wrapText="1"/>
    </xf>
    <xf numFmtId="177" fontId="20" fillId="3" borderId="2" xfId="0" applyNumberFormat="1" applyFont="1" applyFill="1" applyBorder="1" applyAlignment="1">
      <alignment vertical="center" wrapText="1"/>
    </xf>
    <xf numFmtId="7" fontId="7" fillId="2" borderId="2" xfId="0" applyNumberFormat="1" applyFont="1" applyFill="1" applyBorder="1" applyAlignment="1">
      <alignment vertical="center"/>
    </xf>
    <xf numFmtId="177" fontId="7" fillId="2" borderId="2" xfId="0" applyNumberFormat="1" applyFont="1" applyFill="1" applyBorder="1" applyAlignment="1">
      <alignment vertical="center"/>
    </xf>
    <xf numFmtId="182" fontId="7" fillId="3" borderId="2" xfId="0" applyNumberFormat="1" applyFont="1" applyFill="1" applyBorder="1" applyAlignment="1">
      <alignment vertical="center"/>
    </xf>
    <xf numFmtId="177" fontId="7" fillId="0" borderId="2" xfId="0" applyNumberFormat="1" applyFont="1" applyBorder="1" applyAlignment="1">
      <alignment horizontal="center" vertical="center"/>
    </xf>
    <xf numFmtId="182" fontId="7" fillId="2" borderId="1" xfId="0" applyNumberFormat="1" applyFont="1" applyFill="1" applyBorder="1" applyAlignment="1">
      <alignment horizontal="right" vertical="center"/>
    </xf>
    <xf numFmtId="7" fontId="7" fillId="2" borderId="1" xfId="0" applyNumberFormat="1" applyFont="1" applyFill="1" applyBorder="1" applyAlignment="1">
      <alignment horizontal="right" vertical="center"/>
    </xf>
    <xf numFmtId="177" fontId="7" fillId="2" borderId="1" xfId="0" applyNumberFormat="1" applyFont="1" applyFill="1" applyBorder="1" applyAlignment="1">
      <alignment horizontal="right" vertical="center"/>
    </xf>
    <xf numFmtId="182" fontId="7" fillId="2" borderId="7" xfId="0" applyNumberFormat="1" applyFont="1" applyFill="1" applyBorder="1" applyAlignment="1">
      <alignment horizontal="right" vertical="center"/>
    </xf>
    <xf numFmtId="7" fontId="7" fillId="2" borderId="7" xfId="0" applyNumberFormat="1" applyFont="1" applyFill="1" applyBorder="1" applyAlignment="1">
      <alignment horizontal="right" vertical="center"/>
    </xf>
    <xf numFmtId="177" fontId="7" fillId="2" borderId="7" xfId="0" applyNumberFormat="1" applyFont="1" applyFill="1" applyBorder="1" applyAlignment="1">
      <alignment horizontal="right" vertical="center"/>
    </xf>
    <xf numFmtId="176" fontId="14" fillId="3" borderId="2" xfId="0" applyNumberFormat="1" applyFont="1" applyFill="1" applyBorder="1" applyAlignment="1">
      <alignment horizontal="center" vertical="center"/>
    </xf>
    <xf numFmtId="182" fontId="14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4" fillId="3" borderId="2" xfId="0" applyNumberFormat="1" applyFont="1" applyFill="1" applyBorder="1" applyAlignment="1">
      <alignment horizontal="right" vertical="center"/>
    </xf>
    <xf numFmtId="176" fontId="18" fillId="3" borderId="2" xfId="0" applyNumberFormat="1" applyFont="1" applyFill="1" applyBorder="1" applyAlignment="1">
      <alignment horizontal="center" vertical="center"/>
    </xf>
    <xf numFmtId="182" fontId="14" fillId="3" borderId="2" xfId="0" applyNumberFormat="1" applyFont="1" applyFill="1" applyBorder="1" applyAlignment="1">
      <alignment horizontal="center" vertical="center"/>
    </xf>
    <xf numFmtId="182" fontId="14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vertical="center"/>
    </xf>
    <xf numFmtId="177" fontId="7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right" vertical="center"/>
    </xf>
    <xf numFmtId="177" fontId="7" fillId="2" borderId="7" xfId="0" applyNumberFormat="1" applyFont="1" applyFill="1" applyBorder="1" applyAlignment="1">
      <alignment horizontal="center" vertical="center"/>
    </xf>
    <xf numFmtId="176" fontId="7" fillId="2" borderId="7" xfId="0" applyNumberFormat="1" applyFont="1" applyFill="1" applyBorder="1" applyAlignment="1">
      <alignment horizontal="right" vertical="center"/>
    </xf>
    <xf numFmtId="182" fontId="16" fillId="2" borderId="2" xfId="0" applyNumberFormat="1" applyFont="1" applyFill="1" applyBorder="1">
      <alignment vertical="center"/>
    </xf>
    <xf numFmtId="182" fontId="16" fillId="3" borderId="2" xfId="0" applyNumberFormat="1" applyFont="1" applyFill="1" applyBorder="1">
      <alignment vertical="center"/>
    </xf>
    <xf numFmtId="177" fontId="21" fillId="0" borderId="2" xfId="0" applyNumberFormat="1" applyFont="1" applyFill="1" applyBorder="1" applyAlignment="1">
      <alignment horizontal="center" vertical="center"/>
    </xf>
    <xf numFmtId="58" fontId="9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177" fontId="21" fillId="2" borderId="2" xfId="0" applyNumberFormat="1" applyFont="1" applyFill="1" applyBorder="1" applyAlignment="1">
      <alignment horizontal="center" vertical="center"/>
    </xf>
    <xf numFmtId="177" fontId="16" fillId="3" borderId="2" xfId="0" applyNumberFormat="1" applyFont="1" applyFill="1" applyBorder="1">
      <alignment vertical="center"/>
    </xf>
    <xf numFmtId="176" fontId="17" fillId="2" borderId="2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7" fillId="2" borderId="1" xfId="0" applyNumberFormat="1" applyFont="1" applyFill="1" applyBorder="1" applyAlignment="1">
      <alignment horizontal="center" vertical="center" wrapText="1"/>
    </xf>
    <xf numFmtId="182" fontId="7" fillId="2" borderId="2" xfId="0" applyNumberFormat="1" applyFont="1" applyFill="1" applyBorder="1" applyAlignment="1">
      <alignment horizontal="center" vertical="center" wrapText="1"/>
    </xf>
    <xf numFmtId="182" fontId="9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>
      <alignment vertical="center"/>
    </xf>
    <xf numFmtId="177" fontId="2" fillId="0" borderId="2" xfId="0" applyNumberFormat="1" applyFont="1" applyBorder="1" applyAlignment="1">
      <alignment horizontal="center" vertical="center"/>
    </xf>
    <xf numFmtId="182" fontId="2" fillId="3" borderId="2" xfId="0" applyNumberFormat="1" applyFont="1" applyFill="1" applyBorder="1" applyAlignment="1">
      <alignment horizontal="center" vertical="center"/>
    </xf>
    <xf numFmtId="182" fontId="2" fillId="3" borderId="2" xfId="0" applyNumberFormat="1" applyFont="1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177" fontId="0" fillId="0" borderId="2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614"/>
  <sheetViews>
    <sheetView tabSelected="1" workbookViewId="0">
      <selection activeCell="I372" sqref="I372:O37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3.875"/>
    <col min="10" max="10" width="15.125" style="3"/>
    <col min="11" max="11" width="13.875"/>
    <col min="12" max="12" width="13.875" style="3"/>
    <col min="13" max="13" width="13.625"/>
    <col min="14" max="14" width="12.625"/>
    <col min="15" max="15" width="13.875"/>
    <col min="16" max="16" width="12.375" customWidth="1"/>
    <col min="17" max="17" width="11.25" customWidth="1"/>
    <col min="18" max="18" width="16.125"/>
    <col min="19" max="19" width="11.25" style="4" customWidth="1"/>
    <col min="20" max="20" width="10.25" style="4"/>
    <col min="21" max="22" width="11.25" style="4"/>
    <col min="23" max="23" width="14.75" style="5"/>
    <col min="24" max="24" width="11.875" style="6" customWidth="1"/>
    <col min="25" max="25" width="11.125" style="6" customWidth="1"/>
    <col min="26" max="26" width="11.25" style="6"/>
    <col min="27" max="27" width="12.625" style="6"/>
    <col min="28" max="28" width="12" style="3"/>
    <col min="29" max="29" width="12.875"/>
    <col min="30" max="30" width="14.875"/>
    <col min="31" max="31" width="14.75"/>
    <col min="32" max="32" width="12.62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8"/>
      <c r="K1" s="7"/>
      <c r="L1" s="28"/>
      <c r="M1" s="7"/>
      <c r="N1" s="29"/>
      <c r="O1" s="7"/>
      <c r="P1" s="7"/>
      <c r="Q1" s="7"/>
      <c r="R1" s="7"/>
      <c r="S1" s="70"/>
      <c r="T1" s="70"/>
      <c r="U1" s="71"/>
      <c r="V1" s="70"/>
      <c r="W1" s="72"/>
      <c r="X1" s="73"/>
      <c r="Y1" s="73"/>
      <c r="Z1" s="73"/>
      <c r="AA1" s="73"/>
      <c r="AB1" s="28"/>
      <c r="AC1" s="73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30" t="s">
        <v>9</v>
      </c>
      <c r="J2" s="31"/>
      <c r="K2" s="32"/>
      <c r="L2" s="31"/>
      <c r="M2" s="33"/>
      <c r="N2" s="34"/>
      <c r="O2" s="35"/>
      <c r="P2" s="36" t="s">
        <v>10</v>
      </c>
      <c r="Q2" s="74" t="s">
        <v>11</v>
      </c>
      <c r="R2" s="75"/>
      <c r="S2" s="76"/>
      <c r="T2" s="77"/>
      <c r="U2" s="78"/>
      <c r="V2" s="79" t="s">
        <v>12</v>
      </c>
      <c r="W2" s="80" t="s">
        <v>13</v>
      </c>
      <c r="X2" s="81" t="s">
        <v>14</v>
      </c>
      <c r="Y2" s="81"/>
      <c r="Z2" s="81"/>
      <c r="AA2" s="81"/>
      <c r="AB2" s="99"/>
      <c r="AC2" s="81"/>
      <c r="AD2" s="100" t="s">
        <v>15</v>
      </c>
      <c r="AE2" s="101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7" t="s">
        <v>17</v>
      </c>
      <c r="J3" s="38" t="s">
        <v>18</v>
      </c>
      <c r="K3" s="39" t="s">
        <v>19</v>
      </c>
      <c r="L3" s="38" t="s">
        <v>20</v>
      </c>
      <c r="M3" s="40" t="s">
        <v>21</v>
      </c>
      <c r="N3" s="41" t="s">
        <v>22</v>
      </c>
      <c r="O3" s="42" t="s">
        <v>23</v>
      </c>
      <c r="P3" s="43"/>
      <c r="Q3" s="82" t="s">
        <v>24</v>
      </c>
      <c r="R3" s="83" t="s">
        <v>25</v>
      </c>
      <c r="S3" s="84" t="s">
        <v>26</v>
      </c>
      <c r="T3" s="85" t="s">
        <v>27</v>
      </c>
      <c r="U3" s="84" t="s">
        <v>28</v>
      </c>
      <c r="V3" s="86"/>
      <c r="W3" s="87"/>
      <c r="X3" s="88" t="s">
        <v>29</v>
      </c>
      <c r="Y3" s="88" t="s">
        <v>30</v>
      </c>
      <c r="Z3" s="88" t="s">
        <v>31</v>
      </c>
      <c r="AA3" s="102" t="s">
        <v>32</v>
      </c>
      <c r="AB3" s="103" t="s">
        <v>33</v>
      </c>
      <c r="AC3" s="104" t="s">
        <v>23</v>
      </c>
      <c r="AD3" s="105" t="s">
        <v>34</v>
      </c>
      <c r="AE3" s="106"/>
    </row>
    <row r="4" customFormat="1" spans="1:31">
      <c r="A4" s="18" t="s">
        <v>35</v>
      </c>
      <c r="B4" s="19" t="s">
        <v>36</v>
      </c>
      <c r="C4" s="20">
        <v>240125000046</v>
      </c>
      <c r="D4" s="21">
        <v>45324</v>
      </c>
      <c r="E4" s="21" t="s">
        <v>37</v>
      </c>
      <c r="F4" s="19" t="s">
        <v>38</v>
      </c>
      <c r="G4" s="19" t="s">
        <v>39</v>
      </c>
      <c r="H4" s="19">
        <v>18</v>
      </c>
      <c r="I4" s="44">
        <v>2250</v>
      </c>
      <c r="J4" s="45"/>
      <c r="K4" s="46"/>
      <c r="L4" s="45"/>
      <c r="M4" s="47"/>
      <c r="N4" s="48"/>
      <c r="O4" s="49">
        <f t="shared" ref="O4:O10" si="0">SUM(I4)</f>
        <v>2250</v>
      </c>
      <c r="P4" s="50">
        <f>SUM(O4:O7)</f>
        <v>3774</v>
      </c>
      <c r="Q4" s="50" t="s">
        <v>40</v>
      </c>
      <c r="R4" s="67">
        <f>SUM(2200/30)*H4</f>
        <v>1320</v>
      </c>
      <c r="S4" s="67"/>
      <c r="T4" s="67">
        <v>0</v>
      </c>
      <c r="U4" s="67"/>
      <c r="V4" s="67"/>
      <c r="W4" s="89">
        <f t="shared" ref="W4:W9" si="1">SUM(R4:V4)</f>
        <v>1320</v>
      </c>
      <c r="X4" s="90">
        <f>SUM(44.57/30)*H4</f>
        <v>26.742</v>
      </c>
      <c r="Y4" s="90"/>
      <c r="Z4" s="90"/>
      <c r="AA4" s="90">
        <f t="shared" ref="AA4:AA9" si="2">SUM(X4:Z4)</f>
        <v>26.742</v>
      </c>
      <c r="AB4" s="107">
        <v>7.19</v>
      </c>
      <c r="AC4" s="67">
        <f t="shared" ref="AC4:AC9" si="3">SUM(AA4*AB4)</f>
        <v>192.27498</v>
      </c>
      <c r="AD4" s="67">
        <f t="shared" ref="AD4:AD9" si="4">SUM(W4+AC4)</f>
        <v>1512.27498</v>
      </c>
      <c r="AE4" s="67">
        <f t="shared" ref="AE4:AE9" si="5">SUM(O4-AD4)</f>
        <v>737.72502</v>
      </c>
    </row>
    <row r="5" customFormat="1" spans="1:31">
      <c r="A5" s="18"/>
      <c r="B5" s="19"/>
      <c r="C5" s="20">
        <v>240126000040</v>
      </c>
      <c r="D5" s="21">
        <v>45324</v>
      </c>
      <c r="E5" s="21" t="s">
        <v>41</v>
      </c>
      <c r="F5" s="19" t="s">
        <v>42</v>
      </c>
      <c r="G5" s="19" t="s">
        <v>43</v>
      </c>
      <c r="H5" s="19">
        <v>2</v>
      </c>
      <c r="I5" s="44">
        <v>250</v>
      </c>
      <c r="J5" s="45"/>
      <c r="K5" s="46"/>
      <c r="L5" s="45"/>
      <c r="M5" s="47"/>
      <c r="N5" s="48"/>
      <c r="O5" s="49">
        <f t="shared" si="0"/>
        <v>250</v>
      </c>
      <c r="P5" s="51"/>
      <c r="Q5" s="51"/>
      <c r="R5" s="67">
        <f>SUM(2200/30)*H5</f>
        <v>146.666666666667</v>
      </c>
      <c r="S5" s="67"/>
      <c r="T5" s="67">
        <v>0</v>
      </c>
      <c r="U5" s="67"/>
      <c r="V5" s="67"/>
      <c r="W5" s="89">
        <f t="shared" si="1"/>
        <v>146.666666666667</v>
      </c>
      <c r="X5" s="90">
        <f>SUM(44.57/30)*H5</f>
        <v>2.97133333333333</v>
      </c>
      <c r="Y5" s="90"/>
      <c r="Z5" s="90"/>
      <c r="AA5" s="90">
        <f t="shared" si="2"/>
        <v>2.97133333333333</v>
      </c>
      <c r="AB5" s="107">
        <v>7.19</v>
      </c>
      <c r="AC5" s="67">
        <f t="shared" si="3"/>
        <v>21.3638866666667</v>
      </c>
      <c r="AD5" s="67">
        <f t="shared" si="4"/>
        <v>168.030553333333</v>
      </c>
      <c r="AE5" s="67">
        <f t="shared" si="5"/>
        <v>81.9694466666667</v>
      </c>
    </row>
    <row r="6" customFormat="1" spans="1:31">
      <c r="A6" s="18"/>
      <c r="B6" s="19"/>
      <c r="C6" s="20">
        <v>240126000043</v>
      </c>
      <c r="D6" s="21">
        <v>45324</v>
      </c>
      <c r="E6" s="21" t="s">
        <v>44</v>
      </c>
      <c r="F6" s="19" t="s">
        <v>44</v>
      </c>
      <c r="G6" s="19" t="s">
        <v>45</v>
      </c>
      <c r="H6" s="19">
        <v>8.5</v>
      </c>
      <c r="I6" s="44">
        <v>1062.5</v>
      </c>
      <c r="J6" s="45"/>
      <c r="K6" s="46"/>
      <c r="L6" s="45"/>
      <c r="M6" s="47"/>
      <c r="N6" s="48"/>
      <c r="O6" s="49">
        <f t="shared" si="0"/>
        <v>1062.5</v>
      </c>
      <c r="P6" s="51"/>
      <c r="Q6" s="51"/>
      <c r="R6" s="67">
        <f>SUM(2200/30)*H6</f>
        <v>623.333333333333</v>
      </c>
      <c r="S6" s="67"/>
      <c r="T6" s="67">
        <v>0</v>
      </c>
      <c r="U6" s="67"/>
      <c r="V6" s="67"/>
      <c r="W6" s="89">
        <f t="shared" si="1"/>
        <v>623.333333333333</v>
      </c>
      <c r="X6" s="90">
        <f>SUM(44.57/30)*H6</f>
        <v>12.6281666666667</v>
      </c>
      <c r="Y6" s="90"/>
      <c r="Z6" s="90"/>
      <c r="AA6" s="90">
        <f t="shared" si="2"/>
        <v>12.6281666666667</v>
      </c>
      <c r="AB6" s="107">
        <v>7.19</v>
      </c>
      <c r="AC6" s="67">
        <f t="shared" si="3"/>
        <v>90.7965183333333</v>
      </c>
      <c r="AD6" s="67">
        <f t="shared" si="4"/>
        <v>714.129851666667</v>
      </c>
      <c r="AE6" s="67">
        <f t="shared" si="5"/>
        <v>348.370148333333</v>
      </c>
    </row>
    <row r="7" customFormat="1" spans="1:31">
      <c r="A7" s="18"/>
      <c r="B7" s="19"/>
      <c r="C7" s="20">
        <v>240129000048</v>
      </c>
      <c r="D7" s="21">
        <v>45324</v>
      </c>
      <c r="E7" s="21" t="s">
        <v>37</v>
      </c>
      <c r="F7" s="19" t="s">
        <v>38</v>
      </c>
      <c r="G7" s="19" t="s">
        <v>46</v>
      </c>
      <c r="H7" s="19">
        <v>1.5</v>
      </c>
      <c r="I7" s="44">
        <v>211.5</v>
      </c>
      <c r="J7" s="45"/>
      <c r="K7" s="46"/>
      <c r="L7" s="45"/>
      <c r="M7" s="47"/>
      <c r="N7" s="48"/>
      <c r="O7" s="49">
        <f t="shared" si="0"/>
        <v>211.5</v>
      </c>
      <c r="P7" s="52"/>
      <c r="Q7" s="52"/>
      <c r="R7" s="67">
        <f>SUM(2200/30)*H7</f>
        <v>110</v>
      </c>
      <c r="S7" s="67"/>
      <c r="T7" s="67">
        <v>0</v>
      </c>
      <c r="U7" s="67"/>
      <c r="V7" s="91">
        <v>24</v>
      </c>
      <c r="W7" s="89">
        <f t="shared" si="1"/>
        <v>134</v>
      </c>
      <c r="X7" s="90">
        <f>SUM(44.57/30)*H7</f>
        <v>2.2285</v>
      </c>
      <c r="Y7" s="90"/>
      <c r="Z7" s="90"/>
      <c r="AA7" s="90">
        <f t="shared" si="2"/>
        <v>2.2285</v>
      </c>
      <c r="AB7" s="107">
        <v>7.19</v>
      </c>
      <c r="AC7" s="67">
        <f t="shared" si="3"/>
        <v>16.022915</v>
      </c>
      <c r="AD7" s="67">
        <f t="shared" si="4"/>
        <v>150.022915</v>
      </c>
      <c r="AE7" s="67">
        <f t="shared" si="5"/>
        <v>61.477085</v>
      </c>
    </row>
    <row r="8" customFormat="1" spans="1:31">
      <c r="A8" s="18" t="s">
        <v>47</v>
      </c>
      <c r="B8" s="19" t="s">
        <v>48</v>
      </c>
      <c r="C8" s="20">
        <v>240202000025</v>
      </c>
      <c r="D8" s="21">
        <v>45324</v>
      </c>
      <c r="E8" s="21" t="s">
        <v>44</v>
      </c>
      <c r="F8" s="19" t="s">
        <v>44</v>
      </c>
      <c r="G8" s="19" t="s">
        <v>49</v>
      </c>
      <c r="H8" s="19">
        <v>551</v>
      </c>
      <c r="I8" s="53">
        <v>27558</v>
      </c>
      <c r="J8" s="54"/>
      <c r="K8" s="55"/>
      <c r="L8" s="54"/>
      <c r="M8" s="47"/>
      <c r="N8" s="48"/>
      <c r="O8" s="49">
        <f t="shared" si="0"/>
        <v>27558</v>
      </c>
      <c r="P8" s="49">
        <f>SUM(O8)</f>
        <v>27558</v>
      </c>
      <c r="Q8" s="63" t="s">
        <v>50</v>
      </c>
      <c r="R8" s="49">
        <v>41352</v>
      </c>
      <c r="S8" s="49"/>
      <c r="T8" s="49"/>
      <c r="U8" s="49"/>
      <c r="V8" s="49"/>
      <c r="W8" s="89">
        <f t="shared" si="1"/>
        <v>41352</v>
      </c>
      <c r="X8" s="47">
        <v>497.42</v>
      </c>
      <c r="Y8" s="47"/>
      <c r="Z8" s="47"/>
      <c r="AA8" s="90">
        <f t="shared" si="2"/>
        <v>497.42</v>
      </c>
      <c r="AB8" s="107">
        <v>7.19</v>
      </c>
      <c r="AC8" s="67">
        <f t="shared" si="3"/>
        <v>3576.4498</v>
      </c>
      <c r="AD8" s="67">
        <f t="shared" si="4"/>
        <v>44928.4498</v>
      </c>
      <c r="AE8" s="67">
        <f t="shared" si="5"/>
        <v>-17370.4498</v>
      </c>
    </row>
    <row r="9" customFormat="1" spans="1:31">
      <c r="A9" s="22" t="s">
        <v>51</v>
      </c>
      <c r="B9" s="23" t="s">
        <v>52</v>
      </c>
      <c r="C9" s="20">
        <v>240202000026</v>
      </c>
      <c r="D9" s="21">
        <v>45324</v>
      </c>
      <c r="E9" s="21" t="s">
        <v>44</v>
      </c>
      <c r="F9" s="23" t="s">
        <v>44</v>
      </c>
      <c r="G9" s="23" t="s">
        <v>49</v>
      </c>
      <c r="H9" s="23">
        <v>296</v>
      </c>
      <c r="I9" s="53">
        <v>14808</v>
      </c>
      <c r="J9" s="56"/>
      <c r="K9" s="57"/>
      <c r="L9" s="56"/>
      <c r="M9" s="58"/>
      <c r="N9" s="59"/>
      <c r="O9" s="49">
        <f t="shared" si="0"/>
        <v>14808</v>
      </c>
      <c r="P9" s="60">
        <f>SUM(O9)</f>
        <v>14808</v>
      </c>
      <c r="Q9" s="60"/>
      <c r="R9" s="60"/>
      <c r="S9" s="60"/>
      <c r="T9" s="60"/>
      <c r="U9" s="60"/>
      <c r="V9" s="60"/>
      <c r="W9" s="89">
        <f t="shared" si="1"/>
        <v>0</v>
      </c>
      <c r="X9" s="92">
        <v>303.62</v>
      </c>
      <c r="Y9" s="92"/>
      <c r="Z9" s="92"/>
      <c r="AA9" s="90">
        <f t="shared" si="2"/>
        <v>303.62</v>
      </c>
      <c r="AB9" s="107">
        <v>7.19</v>
      </c>
      <c r="AC9" s="67">
        <f t="shared" si="3"/>
        <v>2183.0278</v>
      </c>
      <c r="AD9" s="67">
        <f t="shared" si="4"/>
        <v>2183.0278</v>
      </c>
      <c r="AE9" s="67">
        <f t="shared" si="5"/>
        <v>12624.9722</v>
      </c>
    </row>
    <row r="10" customFormat="1" spans="1:31">
      <c r="A10" s="18"/>
      <c r="B10" s="19"/>
      <c r="C10" s="20">
        <v>240127000011</v>
      </c>
      <c r="D10" s="21">
        <v>45325</v>
      </c>
      <c r="E10" s="21" t="s">
        <v>37</v>
      </c>
      <c r="F10" s="19" t="s">
        <v>38</v>
      </c>
      <c r="G10" s="19" t="s">
        <v>53</v>
      </c>
      <c r="H10" s="19">
        <v>0.73</v>
      </c>
      <c r="I10" s="53"/>
      <c r="J10" s="61">
        <v>27950</v>
      </c>
      <c r="K10" s="55"/>
      <c r="L10" s="61">
        <f>SUM(J10/M10)</f>
        <v>1545.90707964602</v>
      </c>
      <c r="M10" s="62">
        <v>18.08</v>
      </c>
      <c r="N10" s="48">
        <v>7.19</v>
      </c>
      <c r="O10" s="49">
        <f t="shared" ref="O10:O17" si="6">SUM(M10*N10)</f>
        <v>129.9952</v>
      </c>
      <c r="P10" s="63"/>
      <c r="Q10" s="63"/>
      <c r="R10" s="67">
        <f t="shared" ref="R10:R38" si="7">SUM(11400/160)*H10</f>
        <v>52.0125</v>
      </c>
      <c r="S10" s="67"/>
      <c r="T10" s="91">
        <f t="shared" ref="T10:T38" si="8">SUM(205.43/160)*H10</f>
        <v>0.937274375</v>
      </c>
      <c r="U10" s="67"/>
      <c r="V10" s="67"/>
      <c r="W10" s="89">
        <f t="shared" ref="W10:W39" si="9">SUM(R10:V10)</f>
        <v>52.949774375</v>
      </c>
      <c r="X10" s="90">
        <f t="shared" ref="X10:X38" si="10">SUM(369.41/160)*H10</f>
        <v>1.685433125</v>
      </c>
      <c r="Y10" s="90"/>
      <c r="Z10" s="90"/>
      <c r="AA10" s="90">
        <f t="shared" ref="AA10:AA39" si="11">SUM(X10:Z10)</f>
        <v>1.685433125</v>
      </c>
      <c r="AB10" s="107">
        <v>7.19</v>
      </c>
      <c r="AC10" s="67">
        <f t="shared" ref="AC10:AC38" si="12">SUM(AA10*AB10)</f>
        <v>12.11826416875</v>
      </c>
      <c r="AD10" s="67">
        <f t="shared" ref="AD10:AD38" si="13">SUM(W10+AC10)</f>
        <v>65.06803854375</v>
      </c>
      <c r="AE10" s="67">
        <f t="shared" ref="AE10:AE38" si="14">SUM(O10-AD10)</f>
        <v>64.92716145625</v>
      </c>
    </row>
    <row r="11" customFormat="1" spans="1:31">
      <c r="A11" s="18"/>
      <c r="B11" s="19"/>
      <c r="C11" s="20">
        <v>240128000005</v>
      </c>
      <c r="D11" s="21">
        <v>45325</v>
      </c>
      <c r="E11" s="21" t="s">
        <v>44</v>
      </c>
      <c r="F11" s="19" t="s">
        <v>54</v>
      </c>
      <c r="G11" s="19" t="s">
        <v>55</v>
      </c>
      <c r="H11" s="19">
        <v>3</v>
      </c>
      <c r="I11" s="44">
        <v>390</v>
      </c>
      <c r="J11" s="45"/>
      <c r="K11" s="46"/>
      <c r="L11" s="45"/>
      <c r="M11" s="47"/>
      <c r="N11" s="48"/>
      <c r="O11" s="49">
        <f>SUM(I11)</f>
        <v>390</v>
      </c>
      <c r="P11" s="63"/>
      <c r="Q11" s="63"/>
      <c r="R11" s="67">
        <f t="shared" si="7"/>
        <v>213.75</v>
      </c>
      <c r="S11" s="67"/>
      <c r="T11" s="91">
        <f t="shared" si="8"/>
        <v>3.8518125</v>
      </c>
      <c r="U11" s="67"/>
      <c r="V11" s="67"/>
      <c r="W11" s="89">
        <f t="shared" si="9"/>
        <v>217.6018125</v>
      </c>
      <c r="X11" s="90">
        <f t="shared" si="10"/>
        <v>6.9264375</v>
      </c>
      <c r="Y11" s="90"/>
      <c r="Z11" s="90"/>
      <c r="AA11" s="90">
        <f t="shared" si="11"/>
        <v>6.9264375</v>
      </c>
      <c r="AB11" s="107">
        <v>7.19</v>
      </c>
      <c r="AC11" s="67">
        <f t="shared" si="12"/>
        <v>49.801085625</v>
      </c>
      <c r="AD11" s="67">
        <f t="shared" si="13"/>
        <v>267.402898125</v>
      </c>
      <c r="AE11" s="67">
        <f t="shared" si="14"/>
        <v>122.597101875</v>
      </c>
    </row>
    <row r="12" customFormat="1" spans="1:31">
      <c r="A12" s="18"/>
      <c r="B12" s="19"/>
      <c r="C12" s="20">
        <v>240129000036</v>
      </c>
      <c r="D12" s="21">
        <v>45325</v>
      </c>
      <c r="E12" s="21" t="s">
        <v>56</v>
      </c>
      <c r="F12" s="19" t="s">
        <v>57</v>
      </c>
      <c r="G12" s="19" t="s">
        <v>58</v>
      </c>
      <c r="H12" s="19">
        <v>2</v>
      </c>
      <c r="I12" s="44">
        <v>250</v>
      </c>
      <c r="J12" s="45"/>
      <c r="K12" s="46"/>
      <c r="L12" s="45"/>
      <c r="M12" s="47"/>
      <c r="N12" s="48"/>
      <c r="O12" s="49">
        <f>SUM(I12)</f>
        <v>250</v>
      </c>
      <c r="P12" s="63"/>
      <c r="Q12" s="63"/>
      <c r="R12" s="67">
        <f t="shared" si="7"/>
        <v>142.5</v>
      </c>
      <c r="S12" s="67"/>
      <c r="T12" s="91">
        <f t="shared" si="8"/>
        <v>2.567875</v>
      </c>
      <c r="U12" s="67"/>
      <c r="V12" s="67"/>
      <c r="W12" s="89">
        <f t="shared" si="9"/>
        <v>145.067875</v>
      </c>
      <c r="X12" s="90">
        <f t="shared" si="10"/>
        <v>4.617625</v>
      </c>
      <c r="Y12" s="90"/>
      <c r="Z12" s="90"/>
      <c r="AA12" s="90">
        <f t="shared" si="11"/>
        <v>4.617625</v>
      </c>
      <c r="AB12" s="107">
        <v>7.19</v>
      </c>
      <c r="AC12" s="67">
        <f t="shared" si="12"/>
        <v>33.20072375</v>
      </c>
      <c r="AD12" s="67">
        <f t="shared" si="13"/>
        <v>178.26859875</v>
      </c>
      <c r="AE12" s="67">
        <f t="shared" si="14"/>
        <v>71.73140125</v>
      </c>
    </row>
    <row r="13" customFormat="1" spans="1:31">
      <c r="A13" s="18"/>
      <c r="B13" s="19"/>
      <c r="C13" s="20">
        <v>240129000037</v>
      </c>
      <c r="D13" s="21">
        <v>45325</v>
      </c>
      <c r="E13" s="21" t="s">
        <v>41</v>
      </c>
      <c r="F13" s="19" t="s">
        <v>42</v>
      </c>
      <c r="G13" s="19" t="s">
        <v>59</v>
      </c>
      <c r="H13" s="19">
        <v>0.6</v>
      </c>
      <c r="I13" s="53"/>
      <c r="J13" s="61">
        <v>34880</v>
      </c>
      <c r="K13" s="55"/>
      <c r="L13" s="61">
        <f>SUM(J13/M13)</f>
        <v>1567.6404494382</v>
      </c>
      <c r="M13" s="62">
        <v>22.25</v>
      </c>
      <c r="N13" s="48">
        <v>7.19</v>
      </c>
      <c r="O13" s="49">
        <f t="shared" si="6"/>
        <v>159.9775</v>
      </c>
      <c r="P13" s="63"/>
      <c r="Q13" s="63"/>
      <c r="R13" s="67">
        <f t="shared" si="7"/>
        <v>42.75</v>
      </c>
      <c r="S13" s="67"/>
      <c r="T13" s="91">
        <f t="shared" si="8"/>
        <v>0.7703625</v>
      </c>
      <c r="U13" s="67"/>
      <c r="V13" s="67"/>
      <c r="W13" s="89">
        <f t="shared" si="9"/>
        <v>43.5203625</v>
      </c>
      <c r="X13" s="90">
        <f t="shared" si="10"/>
        <v>1.3852875</v>
      </c>
      <c r="Y13" s="90"/>
      <c r="Z13" s="90"/>
      <c r="AA13" s="90">
        <f t="shared" si="11"/>
        <v>1.3852875</v>
      </c>
      <c r="AB13" s="107">
        <v>7.19</v>
      </c>
      <c r="AC13" s="67">
        <f t="shared" si="12"/>
        <v>9.960217125</v>
      </c>
      <c r="AD13" s="67">
        <f t="shared" si="13"/>
        <v>53.480579625</v>
      </c>
      <c r="AE13" s="67">
        <f t="shared" si="14"/>
        <v>106.496920375</v>
      </c>
    </row>
    <row r="14" customFormat="1" spans="1:31">
      <c r="A14" s="18"/>
      <c r="B14" s="19"/>
      <c r="C14" s="20">
        <v>240129000039</v>
      </c>
      <c r="D14" s="21">
        <v>45325</v>
      </c>
      <c r="E14" s="21" t="s">
        <v>37</v>
      </c>
      <c r="F14" s="19" t="s">
        <v>38</v>
      </c>
      <c r="G14" s="19" t="s">
        <v>60</v>
      </c>
      <c r="H14" s="19">
        <v>8</v>
      </c>
      <c r="I14" s="53"/>
      <c r="J14" s="61">
        <v>215000</v>
      </c>
      <c r="K14" s="55"/>
      <c r="L14" s="61">
        <f>SUM(J14/M14)</f>
        <v>1545.87287891861</v>
      </c>
      <c r="M14" s="62">
        <v>139.08</v>
      </c>
      <c r="N14" s="48">
        <v>7.19</v>
      </c>
      <c r="O14" s="49">
        <f t="shared" si="6"/>
        <v>999.9852</v>
      </c>
      <c r="P14" s="63"/>
      <c r="Q14" s="63"/>
      <c r="R14" s="67">
        <f t="shared" si="7"/>
        <v>570</v>
      </c>
      <c r="S14" s="67"/>
      <c r="T14" s="91">
        <f t="shared" si="8"/>
        <v>10.2715</v>
      </c>
      <c r="U14" s="67"/>
      <c r="V14" s="67"/>
      <c r="W14" s="89">
        <f t="shared" si="9"/>
        <v>580.2715</v>
      </c>
      <c r="X14" s="90">
        <f t="shared" si="10"/>
        <v>18.4705</v>
      </c>
      <c r="Y14" s="90"/>
      <c r="Z14" s="90"/>
      <c r="AA14" s="90">
        <f t="shared" si="11"/>
        <v>18.4705</v>
      </c>
      <c r="AB14" s="107">
        <v>7.19</v>
      </c>
      <c r="AC14" s="67">
        <f t="shared" si="12"/>
        <v>132.802895</v>
      </c>
      <c r="AD14" s="67">
        <f t="shared" si="13"/>
        <v>713.074395</v>
      </c>
      <c r="AE14" s="67">
        <f t="shared" si="14"/>
        <v>286.910805</v>
      </c>
    </row>
    <row r="15" customFormat="1" spans="1:31">
      <c r="A15" s="18"/>
      <c r="B15" s="19"/>
      <c r="C15" s="20">
        <v>240129000064</v>
      </c>
      <c r="D15" s="21">
        <v>45325</v>
      </c>
      <c r="E15" s="21" t="s">
        <v>41</v>
      </c>
      <c r="F15" s="19" t="s">
        <v>42</v>
      </c>
      <c r="G15" s="19" t="s">
        <v>61</v>
      </c>
      <c r="H15" s="19">
        <v>20</v>
      </c>
      <c r="I15" s="53"/>
      <c r="J15" s="61">
        <v>666500</v>
      </c>
      <c r="K15" s="64"/>
      <c r="L15" s="61">
        <f>SUM(J15/M15)</f>
        <v>1545.86570799026</v>
      </c>
      <c r="M15" s="62">
        <v>431.15</v>
      </c>
      <c r="N15" s="48">
        <v>7.19</v>
      </c>
      <c r="O15" s="49">
        <f t="shared" si="6"/>
        <v>3099.9685</v>
      </c>
      <c r="P15" s="63"/>
      <c r="Q15" s="63"/>
      <c r="R15" s="67">
        <f t="shared" si="7"/>
        <v>1425</v>
      </c>
      <c r="S15" s="67"/>
      <c r="T15" s="91">
        <f t="shared" si="8"/>
        <v>25.67875</v>
      </c>
      <c r="U15" s="67"/>
      <c r="V15" s="67"/>
      <c r="W15" s="89">
        <f t="shared" si="9"/>
        <v>1450.67875</v>
      </c>
      <c r="X15" s="90">
        <f t="shared" si="10"/>
        <v>46.17625</v>
      </c>
      <c r="Y15" s="90"/>
      <c r="Z15" s="90"/>
      <c r="AA15" s="90">
        <f t="shared" si="11"/>
        <v>46.17625</v>
      </c>
      <c r="AB15" s="107">
        <v>7.19</v>
      </c>
      <c r="AC15" s="67">
        <f t="shared" si="12"/>
        <v>332.0072375</v>
      </c>
      <c r="AD15" s="67">
        <f t="shared" si="13"/>
        <v>1782.6859875</v>
      </c>
      <c r="AE15" s="67">
        <f t="shared" si="14"/>
        <v>1317.2825125</v>
      </c>
    </row>
    <row r="16" customFormat="1" spans="1:31">
      <c r="A16" s="18"/>
      <c r="B16" s="19"/>
      <c r="C16" s="20">
        <v>240129000065</v>
      </c>
      <c r="D16" s="21">
        <v>45325</v>
      </c>
      <c r="E16" s="21" t="s">
        <v>41</v>
      </c>
      <c r="F16" s="19" t="s">
        <v>42</v>
      </c>
      <c r="G16" s="19" t="s">
        <v>61</v>
      </c>
      <c r="H16" s="19">
        <v>20</v>
      </c>
      <c r="I16" s="53"/>
      <c r="J16" s="61">
        <v>666500</v>
      </c>
      <c r="K16" s="64"/>
      <c r="L16" s="61">
        <f>SUM(J16/M16)</f>
        <v>1545.86570799026</v>
      </c>
      <c r="M16" s="62">
        <v>431.15</v>
      </c>
      <c r="N16" s="48">
        <v>7.19</v>
      </c>
      <c r="O16" s="49">
        <f t="shared" si="6"/>
        <v>3099.9685</v>
      </c>
      <c r="P16" s="63"/>
      <c r="Q16" s="63"/>
      <c r="R16" s="67">
        <f t="shared" si="7"/>
        <v>1425</v>
      </c>
      <c r="S16" s="67"/>
      <c r="T16" s="91">
        <f t="shared" si="8"/>
        <v>25.67875</v>
      </c>
      <c r="U16" s="67"/>
      <c r="V16" s="67"/>
      <c r="W16" s="89">
        <f t="shared" si="9"/>
        <v>1450.67875</v>
      </c>
      <c r="X16" s="90">
        <f t="shared" si="10"/>
        <v>46.17625</v>
      </c>
      <c r="Y16" s="90"/>
      <c r="Z16" s="90"/>
      <c r="AA16" s="90">
        <f t="shared" si="11"/>
        <v>46.17625</v>
      </c>
      <c r="AB16" s="107">
        <v>7.19</v>
      </c>
      <c r="AC16" s="67">
        <f t="shared" si="12"/>
        <v>332.0072375</v>
      </c>
      <c r="AD16" s="67">
        <f t="shared" si="13"/>
        <v>1782.6859875</v>
      </c>
      <c r="AE16" s="67">
        <f t="shared" si="14"/>
        <v>1317.2825125</v>
      </c>
    </row>
    <row r="17" customFormat="1" spans="1:31">
      <c r="A17" s="18"/>
      <c r="B17" s="19"/>
      <c r="C17" s="20">
        <v>240129000070</v>
      </c>
      <c r="D17" s="21">
        <v>45325</v>
      </c>
      <c r="E17" s="21" t="s">
        <v>62</v>
      </c>
      <c r="F17" s="19" t="s">
        <v>63</v>
      </c>
      <c r="G17" s="19" t="s">
        <v>64</v>
      </c>
      <c r="H17" s="19">
        <v>2.5</v>
      </c>
      <c r="I17" s="49"/>
      <c r="J17" s="65">
        <v>68127.48</v>
      </c>
      <c r="K17" s="66"/>
      <c r="L17" s="61">
        <f>SUM(J17/M17)</f>
        <v>1547.99992965235</v>
      </c>
      <c r="M17" s="62">
        <v>44.010002</v>
      </c>
      <c r="N17" s="48">
        <v>7.19</v>
      </c>
      <c r="O17" s="49">
        <f t="shared" si="6"/>
        <v>316.43191438</v>
      </c>
      <c r="P17" s="63"/>
      <c r="Q17" s="63"/>
      <c r="R17" s="67">
        <f t="shared" si="7"/>
        <v>178.125</v>
      </c>
      <c r="S17" s="67"/>
      <c r="T17" s="91">
        <f t="shared" si="8"/>
        <v>3.20984375</v>
      </c>
      <c r="U17" s="67"/>
      <c r="V17" s="67"/>
      <c r="W17" s="89">
        <f t="shared" si="9"/>
        <v>181.33484375</v>
      </c>
      <c r="X17" s="90">
        <f t="shared" si="10"/>
        <v>5.77203125</v>
      </c>
      <c r="Y17" s="90"/>
      <c r="Z17" s="90"/>
      <c r="AA17" s="90">
        <f t="shared" si="11"/>
        <v>5.77203125</v>
      </c>
      <c r="AB17" s="107">
        <v>7.19</v>
      </c>
      <c r="AC17" s="67">
        <f t="shared" si="12"/>
        <v>41.5009046875</v>
      </c>
      <c r="AD17" s="67">
        <f t="shared" si="13"/>
        <v>222.8357484375</v>
      </c>
      <c r="AE17" s="67">
        <f t="shared" si="14"/>
        <v>93.5961659425</v>
      </c>
    </row>
    <row r="18" customFormat="1" spans="1:31">
      <c r="A18" s="18"/>
      <c r="B18" s="19"/>
      <c r="C18" s="20">
        <v>240129000073</v>
      </c>
      <c r="D18" s="21">
        <v>45325</v>
      </c>
      <c r="E18" s="21" t="s">
        <v>37</v>
      </c>
      <c r="F18" s="19" t="s">
        <v>38</v>
      </c>
      <c r="G18" s="19" t="s">
        <v>65</v>
      </c>
      <c r="H18" s="19">
        <v>3</v>
      </c>
      <c r="I18" s="44">
        <v>410</v>
      </c>
      <c r="J18" s="45"/>
      <c r="K18" s="46"/>
      <c r="L18" s="45"/>
      <c r="M18" s="47"/>
      <c r="N18" s="48"/>
      <c r="O18" s="49">
        <f t="shared" ref="O18:O21" si="15">SUM(I18)</f>
        <v>410</v>
      </c>
      <c r="P18" s="63"/>
      <c r="Q18" s="63"/>
      <c r="R18" s="67">
        <f t="shared" si="7"/>
        <v>213.75</v>
      </c>
      <c r="S18" s="67"/>
      <c r="T18" s="91">
        <f t="shared" si="8"/>
        <v>3.8518125</v>
      </c>
      <c r="U18" s="67"/>
      <c r="V18" s="67"/>
      <c r="W18" s="89">
        <f t="shared" si="9"/>
        <v>217.6018125</v>
      </c>
      <c r="X18" s="90">
        <f t="shared" si="10"/>
        <v>6.9264375</v>
      </c>
      <c r="Y18" s="90">
        <v>4.8</v>
      </c>
      <c r="Z18" s="90"/>
      <c r="AA18" s="90">
        <f t="shared" si="11"/>
        <v>11.7264375</v>
      </c>
      <c r="AB18" s="107">
        <v>7.19</v>
      </c>
      <c r="AC18" s="67">
        <f t="shared" si="12"/>
        <v>84.313085625</v>
      </c>
      <c r="AD18" s="67">
        <f t="shared" si="13"/>
        <v>301.914898125</v>
      </c>
      <c r="AE18" s="67">
        <f t="shared" si="14"/>
        <v>108.085101875</v>
      </c>
    </row>
    <row r="19" customFormat="1" spans="1:31">
      <c r="A19" s="18"/>
      <c r="B19" s="19"/>
      <c r="C19" s="20">
        <v>240130000008</v>
      </c>
      <c r="D19" s="21">
        <v>45325</v>
      </c>
      <c r="E19" s="21" t="s">
        <v>41</v>
      </c>
      <c r="F19" s="19" t="s">
        <v>42</v>
      </c>
      <c r="G19" s="19" t="s">
        <v>66</v>
      </c>
      <c r="H19" s="19">
        <v>0.26</v>
      </c>
      <c r="I19" s="44">
        <v>130</v>
      </c>
      <c r="J19" s="45"/>
      <c r="K19" s="46"/>
      <c r="L19" s="45"/>
      <c r="M19" s="47"/>
      <c r="N19" s="48"/>
      <c r="O19" s="49">
        <f t="shared" si="15"/>
        <v>130</v>
      </c>
      <c r="P19" s="63"/>
      <c r="Q19" s="63"/>
      <c r="R19" s="67">
        <f t="shared" si="7"/>
        <v>18.525</v>
      </c>
      <c r="S19" s="67"/>
      <c r="T19" s="91">
        <f t="shared" si="8"/>
        <v>0.33382375</v>
      </c>
      <c r="U19" s="67"/>
      <c r="V19" s="67"/>
      <c r="W19" s="89">
        <f t="shared" si="9"/>
        <v>18.85882375</v>
      </c>
      <c r="X19" s="90">
        <f t="shared" si="10"/>
        <v>0.60029125</v>
      </c>
      <c r="Y19" s="90"/>
      <c r="Z19" s="90"/>
      <c r="AA19" s="90">
        <f t="shared" si="11"/>
        <v>0.60029125</v>
      </c>
      <c r="AB19" s="107">
        <v>7.19</v>
      </c>
      <c r="AC19" s="67">
        <f t="shared" si="12"/>
        <v>4.3160940875</v>
      </c>
      <c r="AD19" s="67">
        <f t="shared" si="13"/>
        <v>23.1749178375</v>
      </c>
      <c r="AE19" s="67">
        <f t="shared" si="14"/>
        <v>106.8250821625</v>
      </c>
    </row>
    <row r="20" customFormat="1" spans="1:31">
      <c r="A20" s="18"/>
      <c r="B20" s="19"/>
      <c r="C20" s="20">
        <v>240130000025</v>
      </c>
      <c r="D20" s="21">
        <v>45325</v>
      </c>
      <c r="E20" s="21" t="s">
        <v>62</v>
      </c>
      <c r="F20" s="19" t="s">
        <v>63</v>
      </c>
      <c r="G20" s="19" t="s">
        <v>67</v>
      </c>
      <c r="H20" s="19">
        <v>0.38</v>
      </c>
      <c r="I20" s="44">
        <v>125</v>
      </c>
      <c r="J20" s="45"/>
      <c r="K20" s="46"/>
      <c r="L20" s="45"/>
      <c r="M20" s="47"/>
      <c r="N20" s="48"/>
      <c r="O20" s="49">
        <f t="shared" si="15"/>
        <v>125</v>
      </c>
      <c r="P20" s="63"/>
      <c r="Q20" s="63"/>
      <c r="R20" s="67">
        <f t="shared" si="7"/>
        <v>27.075</v>
      </c>
      <c r="S20" s="67"/>
      <c r="T20" s="91">
        <f t="shared" si="8"/>
        <v>0.48789625</v>
      </c>
      <c r="U20" s="67"/>
      <c r="V20" s="67"/>
      <c r="W20" s="89">
        <f t="shared" si="9"/>
        <v>27.56289625</v>
      </c>
      <c r="X20" s="90">
        <f t="shared" si="10"/>
        <v>0.87734875</v>
      </c>
      <c r="Y20" s="90"/>
      <c r="Z20" s="90"/>
      <c r="AA20" s="90">
        <f t="shared" si="11"/>
        <v>0.87734875</v>
      </c>
      <c r="AB20" s="107">
        <v>7.19</v>
      </c>
      <c r="AC20" s="67">
        <f t="shared" si="12"/>
        <v>6.3081375125</v>
      </c>
      <c r="AD20" s="67">
        <f t="shared" si="13"/>
        <v>33.8710337625</v>
      </c>
      <c r="AE20" s="67">
        <f t="shared" si="14"/>
        <v>91.1289662375</v>
      </c>
    </row>
    <row r="21" customFormat="1" spans="1:31">
      <c r="A21" s="18"/>
      <c r="B21" s="19"/>
      <c r="C21" s="20">
        <v>240130000040</v>
      </c>
      <c r="D21" s="21">
        <v>45325</v>
      </c>
      <c r="E21" s="21" t="s">
        <v>44</v>
      </c>
      <c r="F21" s="19" t="s">
        <v>44</v>
      </c>
      <c r="G21" s="19" t="s">
        <v>68</v>
      </c>
      <c r="H21" s="19">
        <v>7</v>
      </c>
      <c r="I21" s="44">
        <v>875</v>
      </c>
      <c r="J21" s="45"/>
      <c r="K21" s="46"/>
      <c r="L21" s="45"/>
      <c r="M21" s="47"/>
      <c r="N21" s="48"/>
      <c r="O21" s="49">
        <f t="shared" si="15"/>
        <v>875</v>
      </c>
      <c r="P21" s="63"/>
      <c r="Q21" s="63"/>
      <c r="R21" s="67">
        <f t="shared" si="7"/>
        <v>498.75</v>
      </c>
      <c r="S21" s="67"/>
      <c r="T21" s="91">
        <f t="shared" si="8"/>
        <v>8.9875625</v>
      </c>
      <c r="U21" s="67"/>
      <c r="V21" s="67"/>
      <c r="W21" s="89">
        <f t="shared" si="9"/>
        <v>507.7375625</v>
      </c>
      <c r="X21" s="90">
        <f t="shared" si="10"/>
        <v>16.1616875</v>
      </c>
      <c r="Y21" s="90"/>
      <c r="Z21" s="90"/>
      <c r="AA21" s="90">
        <f t="shared" si="11"/>
        <v>16.1616875</v>
      </c>
      <c r="AB21" s="107">
        <v>7.19</v>
      </c>
      <c r="AC21" s="67">
        <f t="shared" si="12"/>
        <v>116.202533125</v>
      </c>
      <c r="AD21" s="67">
        <f t="shared" si="13"/>
        <v>623.940095625</v>
      </c>
      <c r="AE21" s="67">
        <f t="shared" si="14"/>
        <v>251.059904375</v>
      </c>
    </row>
    <row r="22" customFormat="1" spans="1:31">
      <c r="A22" s="18"/>
      <c r="B22" s="19"/>
      <c r="C22" s="20">
        <v>240131000008</v>
      </c>
      <c r="D22" s="21">
        <v>45325</v>
      </c>
      <c r="E22" s="21" t="s">
        <v>41</v>
      </c>
      <c r="F22" s="19" t="s">
        <v>42</v>
      </c>
      <c r="G22" s="19" t="s">
        <v>69</v>
      </c>
      <c r="H22" s="19">
        <v>1.5</v>
      </c>
      <c r="I22" s="53"/>
      <c r="J22" s="61">
        <v>65600</v>
      </c>
      <c r="K22" s="55"/>
      <c r="L22" s="61">
        <f>SUM(J22/M22)</f>
        <v>1474.15730337079</v>
      </c>
      <c r="M22" s="62">
        <v>44.5</v>
      </c>
      <c r="N22" s="48">
        <v>7.19</v>
      </c>
      <c r="O22" s="49">
        <f t="shared" ref="O22:O28" si="16">SUM(M22*N22)</f>
        <v>319.955</v>
      </c>
      <c r="P22" s="63"/>
      <c r="Q22" s="63"/>
      <c r="R22" s="67">
        <f t="shared" si="7"/>
        <v>106.875</v>
      </c>
      <c r="S22" s="67"/>
      <c r="T22" s="91">
        <f t="shared" si="8"/>
        <v>1.92590625</v>
      </c>
      <c r="U22" s="67"/>
      <c r="V22" s="67"/>
      <c r="W22" s="89">
        <f t="shared" si="9"/>
        <v>108.80090625</v>
      </c>
      <c r="X22" s="90">
        <f t="shared" si="10"/>
        <v>3.46321875</v>
      </c>
      <c r="Y22" s="90"/>
      <c r="Z22" s="90"/>
      <c r="AA22" s="90">
        <f t="shared" si="11"/>
        <v>3.46321875</v>
      </c>
      <c r="AB22" s="107">
        <v>7.19</v>
      </c>
      <c r="AC22" s="67">
        <f t="shared" si="12"/>
        <v>24.9005428125</v>
      </c>
      <c r="AD22" s="67">
        <f t="shared" si="13"/>
        <v>133.7014490625</v>
      </c>
      <c r="AE22" s="67">
        <f t="shared" si="14"/>
        <v>186.2535509375</v>
      </c>
    </row>
    <row r="23" customFormat="1" spans="1:31">
      <c r="A23" s="18"/>
      <c r="B23" s="19"/>
      <c r="C23" s="20">
        <v>240131000013</v>
      </c>
      <c r="D23" s="21">
        <v>45325</v>
      </c>
      <c r="E23" s="21" t="s">
        <v>62</v>
      </c>
      <c r="F23" s="19" t="s">
        <v>63</v>
      </c>
      <c r="G23" s="19" t="s">
        <v>70</v>
      </c>
      <c r="H23" s="19">
        <v>3</v>
      </c>
      <c r="I23" s="44">
        <v>219</v>
      </c>
      <c r="J23" s="45"/>
      <c r="K23" s="46"/>
      <c r="L23" s="45"/>
      <c r="M23" s="47"/>
      <c r="N23" s="48"/>
      <c r="O23" s="49">
        <f>SUM(I23)</f>
        <v>219</v>
      </c>
      <c r="P23" s="63"/>
      <c r="Q23" s="63"/>
      <c r="R23" s="67">
        <f t="shared" si="7"/>
        <v>213.75</v>
      </c>
      <c r="S23" s="67"/>
      <c r="T23" s="91">
        <f t="shared" si="8"/>
        <v>3.8518125</v>
      </c>
      <c r="U23" s="67"/>
      <c r="V23" s="67"/>
      <c r="W23" s="89">
        <f t="shared" si="9"/>
        <v>217.6018125</v>
      </c>
      <c r="X23" s="90">
        <f t="shared" si="10"/>
        <v>6.9264375</v>
      </c>
      <c r="Y23" s="90"/>
      <c r="Z23" s="90"/>
      <c r="AA23" s="90">
        <f t="shared" si="11"/>
        <v>6.9264375</v>
      </c>
      <c r="AB23" s="107">
        <v>7.19</v>
      </c>
      <c r="AC23" s="67">
        <f t="shared" si="12"/>
        <v>49.801085625</v>
      </c>
      <c r="AD23" s="67">
        <f t="shared" si="13"/>
        <v>267.402898125</v>
      </c>
      <c r="AE23" s="67">
        <f t="shared" si="14"/>
        <v>-48.402898125</v>
      </c>
    </row>
    <row r="24" customFormat="1" spans="1:31">
      <c r="A24" s="18"/>
      <c r="B24" s="19"/>
      <c r="C24" s="20">
        <v>240131000023</v>
      </c>
      <c r="D24" s="21">
        <v>45325</v>
      </c>
      <c r="E24" s="21" t="s">
        <v>37</v>
      </c>
      <c r="F24" s="19" t="s">
        <v>38</v>
      </c>
      <c r="G24" s="19" t="s">
        <v>60</v>
      </c>
      <c r="H24" s="19">
        <v>3</v>
      </c>
      <c r="I24" s="53"/>
      <c r="J24" s="61">
        <v>90625</v>
      </c>
      <c r="K24" s="64"/>
      <c r="L24" s="61">
        <f>SUM(J24/M24)</f>
        <v>1737.77564717162</v>
      </c>
      <c r="M24" s="62">
        <v>52.15</v>
      </c>
      <c r="N24" s="48">
        <v>7.19</v>
      </c>
      <c r="O24" s="49">
        <f t="shared" si="16"/>
        <v>374.9585</v>
      </c>
      <c r="P24" s="63"/>
      <c r="Q24" s="63"/>
      <c r="R24" s="67">
        <f t="shared" si="7"/>
        <v>213.75</v>
      </c>
      <c r="S24" s="67"/>
      <c r="T24" s="91">
        <f t="shared" si="8"/>
        <v>3.8518125</v>
      </c>
      <c r="U24" s="67"/>
      <c r="V24" s="67"/>
      <c r="W24" s="89">
        <f t="shared" si="9"/>
        <v>217.6018125</v>
      </c>
      <c r="X24" s="90">
        <f t="shared" si="10"/>
        <v>6.9264375</v>
      </c>
      <c r="Y24" s="90"/>
      <c r="Z24" s="90"/>
      <c r="AA24" s="90">
        <f t="shared" si="11"/>
        <v>6.9264375</v>
      </c>
      <c r="AB24" s="107">
        <v>7.19</v>
      </c>
      <c r="AC24" s="67">
        <f t="shared" si="12"/>
        <v>49.801085625</v>
      </c>
      <c r="AD24" s="67">
        <f t="shared" si="13"/>
        <v>267.402898125</v>
      </c>
      <c r="AE24" s="67">
        <f t="shared" si="14"/>
        <v>107.555601875</v>
      </c>
    </row>
    <row r="25" customFormat="1" spans="1:31">
      <c r="A25" s="18"/>
      <c r="B25" s="19"/>
      <c r="C25" s="20">
        <v>240131000026</v>
      </c>
      <c r="D25" s="21">
        <v>45325</v>
      </c>
      <c r="E25" s="21" t="s">
        <v>41</v>
      </c>
      <c r="F25" s="19" t="s">
        <v>42</v>
      </c>
      <c r="G25" s="19" t="s">
        <v>61</v>
      </c>
      <c r="H25" s="19">
        <v>7.5</v>
      </c>
      <c r="I25" s="53"/>
      <c r="J25" s="45">
        <v>267375</v>
      </c>
      <c r="K25" s="55"/>
      <c r="L25" s="61">
        <f>SUM(J25/M25)</f>
        <v>1653.72958931222</v>
      </c>
      <c r="M25" s="62">
        <v>161.68</v>
      </c>
      <c r="N25" s="48">
        <v>7.19</v>
      </c>
      <c r="O25" s="49">
        <f t="shared" si="16"/>
        <v>1162.4792</v>
      </c>
      <c r="P25" s="63"/>
      <c r="Q25" s="63"/>
      <c r="R25" s="67">
        <f t="shared" si="7"/>
        <v>534.375</v>
      </c>
      <c r="S25" s="67"/>
      <c r="T25" s="91">
        <f t="shared" si="8"/>
        <v>9.62953125</v>
      </c>
      <c r="U25" s="67"/>
      <c r="V25" s="67"/>
      <c r="W25" s="89">
        <f t="shared" si="9"/>
        <v>544.00453125</v>
      </c>
      <c r="X25" s="90">
        <f t="shared" si="10"/>
        <v>17.31609375</v>
      </c>
      <c r="Y25" s="90"/>
      <c r="Z25" s="90"/>
      <c r="AA25" s="90">
        <f t="shared" si="11"/>
        <v>17.31609375</v>
      </c>
      <c r="AB25" s="107">
        <v>7.19</v>
      </c>
      <c r="AC25" s="67">
        <f t="shared" si="12"/>
        <v>124.5027140625</v>
      </c>
      <c r="AD25" s="67">
        <f t="shared" si="13"/>
        <v>668.5072453125</v>
      </c>
      <c r="AE25" s="67">
        <f t="shared" si="14"/>
        <v>493.9719546875</v>
      </c>
    </row>
    <row r="26" customFormat="1" spans="1:31">
      <c r="A26" s="18"/>
      <c r="B26" s="19"/>
      <c r="C26" s="20">
        <v>240131000029</v>
      </c>
      <c r="D26" s="21">
        <v>45325</v>
      </c>
      <c r="E26" s="21" t="s">
        <v>41</v>
      </c>
      <c r="F26" s="19" t="s">
        <v>42</v>
      </c>
      <c r="G26" s="19" t="s">
        <v>61</v>
      </c>
      <c r="H26" s="19">
        <v>7.5</v>
      </c>
      <c r="I26" s="53"/>
      <c r="J26" s="61">
        <v>249937.5</v>
      </c>
      <c r="K26" s="64"/>
      <c r="L26" s="61">
        <f>SUM(J26/M26)</f>
        <v>1545.87765957447</v>
      </c>
      <c r="M26" s="62">
        <v>161.68</v>
      </c>
      <c r="N26" s="48">
        <v>7.19</v>
      </c>
      <c r="O26" s="49">
        <f t="shared" si="16"/>
        <v>1162.4792</v>
      </c>
      <c r="P26" s="63"/>
      <c r="Q26" s="63"/>
      <c r="R26" s="67">
        <f t="shared" si="7"/>
        <v>534.375</v>
      </c>
      <c r="S26" s="67"/>
      <c r="T26" s="91">
        <f t="shared" si="8"/>
        <v>9.62953125</v>
      </c>
      <c r="U26" s="67"/>
      <c r="V26" s="67"/>
      <c r="W26" s="89">
        <f t="shared" si="9"/>
        <v>544.00453125</v>
      </c>
      <c r="X26" s="90">
        <f t="shared" si="10"/>
        <v>17.31609375</v>
      </c>
      <c r="Y26" s="90"/>
      <c r="Z26" s="90"/>
      <c r="AA26" s="90">
        <f t="shared" si="11"/>
        <v>17.31609375</v>
      </c>
      <c r="AB26" s="107">
        <v>7.19</v>
      </c>
      <c r="AC26" s="67">
        <f t="shared" si="12"/>
        <v>124.5027140625</v>
      </c>
      <c r="AD26" s="67">
        <f t="shared" si="13"/>
        <v>668.5072453125</v>
      </c>
      <c r="AE26" s="67">
        <f t="shared" si="14"/>
        <v>493.9719546875</v>
      </c>
    </row>
    <row r="27" customFormat="1" spans="1:31">
      <c r="A27" s="18"/>
      <c r="B27" s="19"/>
      <c r="C27" s="20">
        <v>240131000030</v>
      </c>
      <c r="D27" s="21">
        <v>45325</v>
      </c>
      <c r="E27" s="21" t="s">
        <v>41</v>
      </c>
      <c r="F27" s="19" t="s">
        <v>42</v>
      </c>
      <c r="G27" s="19" t="s">
        <v>61</v>
      </c>
      <c r="H27" s="19">
        <v>7.5</v>
      </c>
      <c r="I27" s="53"/>
      <c r="J27" s="61">
        <v>249937.5</v>
      </c>
      <c r="K27" s="64"/>
      <c r="L27" s="61">
        <f>SUM(J27/M27)</f>
        <v>1545.87765957447</v>
      </c>
      <c r="M27" s="62">
        <v>161.68</v>
      </c>
      <c r="N27" s="48">
        <v>7.19</v>
      </c>
      <c r="O27" s="49">
        <f t="shared" si="16"/>
        <v>1162.4792</v>
      </c>
      <c r="P27" s="63"/>
      <c r="Q27" s="63"/>
      <c r="R27" s="67">
        <f t="shared" si="7"/>
        <v>534.375</v>
      </c>
      <c r="S27" s="67"/>
      <c r="T27" s="91">
        <f t="shared" si="8"/>
        <v>9.62953125</v>
      </c>
      <c r="U27" s="67"/>
      <c r="V27" s="67"/>
      <c r="W27" s="89">
        <f t="shared" si="9"/>
        <v>544.00453125</v>
      </c>
      <c r="X27" s="90">
        <f t="shared" si="10"/>
        <v>17.31609375</v>
      </c>
      <c r="Y27" s="90"/>
      <c r="Z27" s="90"/>
      <c r="AA27" s="90">
        <f t="shared" si="11"/>
        <v>17.31609375</v>
      </c>
      <c r="AB27" s="107">
        <v>7.19</v>
      </c>
      <c r="AC27" s="67">
        <f t="shared" si="12"/>
        <v>124.5027140625</v>
      </c>
      <c r="AD27" s="67">
        <f t="shared" si="13"/>
        <v>668.5072453125</v>
      </c>
      <c r="AE27" s="67">
        <f t="shared" si="14"/>
        <v>493.9719546875</v>
      </c>
    </row>
    <row r="28" customFormat="1" spans="1:31">
      <c r="A28" s="18"/>
      <c r="B28" s="19"/>
      <c r="C28" s="20">
        <v>240131000035</v>
      </c>
      <c r="D28" s="21">
        <v>45325</v>
      </c>
      <c r="E28" s="21" t="s">
        <v>41</v>
      </c>
      <c r="F28" s="19" t="s">
        <v>42</v>
      </c>
      <c r="G28" s="19" t="s">
        <v>71</v>
      </c>
      <c r="H28" s="19">
        <v>1</v>
      </c>
      <c r="I28" s="53"/>
      <c r="J28" s="61">
        <v>50640</v>
      </c>
      <c r="K28" s="55"/>
      <c r="L28" s="61">
        <f>SUM(J28/M28)</f>
        <v>1517.53071621217</v>
      </c>
      <c r="M28" s="62">
        <v>33.37</v>
      </c>
      <c r="N28" s="48">
        <v>7.19</v>
      </c>
      <c r="O28" s="49">
        <f t="shared" si="16"/>
        <v>239.9303</v>
      </c>
      <c r="P28" s="63"/>
      <c r="Q28" s="63"/>
      <c r="R28" s="67">
        <f t="shared" si="7"/>
        <v>71.25</v>
      </c>
      <c r="S28" s="67"/>
      <c r="T28" s="91">
        <f t="shared" si="8"/>
        <v>1.2839375</v>
      </c>
      <c r="U28" s="67"/>
      <c r="V28" s="67"/>
      <c r="W28" s="89">
        <f t="shared" si="9"/>
        <v>72.5339375</v>
      </c>
      <c r="X28" s="90">
        <f t="shared" si="10"/>
        <v>2.3088125</v>
      </c>
      <c r="Y28" s="90"/>
      <c r="Z28" s="90"/>
      <c r="AA28" s="90">
        <f t="shared" si="11"/>
        <v>2.3088125</v>
      </c>
      <c r="AB28" s="107">
        <v>7.19</v>
      </c>
      <c r="AC28" s="67">
        <f t="shared" si="12"/>
        <v>16.600361875</v>
      </c>
      <c r="AD28" s="67">
        <f t="shared" si="13"/>
        <v>89.134299375</v>
      </c>
      <c r="AE28" s="67">
        <f t="shared" si="14"/>
        <v>150.796000625</v>
      </c>
    </row>
    <row r="29" customFormat="1" spans="1:31">
      <c r="A29" s="18"/>
      <c r="B29" s="19"/>
      <c r="C29" s="20">
        <v>240131000040</v>
      </c>
      <c r="D29" s="21">
        <v>45325</v>
      </c>
      <c r="E29" s="21" t="s">
        <v>44</v>
      </c>
      <c r="F29" s="19" t="s">
        <v>44</v>
      </c>
      <c r="G29" s="19" t="s">
        <v>68</v>
      </c>
      <c r="H29" s="19">
        <v>1</v>
      </c>
      <c r="I29" s="44">
        <v>125</v>
      </c>
      <c r="J29" s="45"/>
      <c r="K29" s="46"/>
      <c r="L29" s="45"/>
      <c r="M29" s="47"/>
      <c r="N29" s="48"/>
      <c r="O29" s="49">
        <f t="shared" ref="O29:O42" si="17">SUM(I29)</f>
        <v>125</v>
      </c>
      <c r="P29" s="63"/>
      <c r="Q29" s="63"/>
      <c r="R29" s="67">
        <f t="shared" si="7"/>
        <v>71.25</v>
      </c>
      <c r="S29" s="67"/>
      <c r="T29" s="91">
        <f t="shared" si="8"/>
        <v>1.2839375</v>
      </c>
      <c r="U29" s="67"/>
      <c r="V29" s="67"/>
      <c r="W29" s="89">
        <f t="shared" si="9"/>
        <v>72.5339375</v>
      </c>
      <c r="X29" s="90">
        <f t="shared" si="10"/>
        <v>2.3088125</v>
      </c>
      <c r="Y29" s="90"/>
      <c r="Z29" s="90"/>
      <c r="AA29" s="90">
        <f t="shared" si="11"/>
        <v>2.3088125</v>
      </c>
      <c r="AB29" s="107">
        <v>7.19</v>
      </c>
      <c r="AC29" s="67">
        <f t="shared" si="12"/>
        <v>16.600361875</v>
      </c>
      <c r="AD29" s="67">
        <f t="shared" si="13"/>
        <v>89.134299375</v>
      </c>
      <c r="AE29" s="67">
        <f t="shared" si="14"/>
        <v>35.865700625</v>
      </c>
    </row>
    <row r="30" customFormat="1" spans="1:31">
      <c r="A30" s="18"/>
      <c r="B30" s="19"/>
      <c r="C30" s="24">
        <v>240131000041</v>
      </c>
      <c r="D30" s="25">
        <v>45325</v>
      </c>
      <c r="E30" s="21" t="s">
        <v>56</v>
      </c>
      <c r="F30" s="26" t="s">
        <v>57</v>
      </c>
      <c r="G30" s="26" t="s">
        <v>72</v>
      </c>
      <c r="H30" s="26">
        <v>13</v>
      </c>
      <c r="I30" s="44">
        <v>1690</v>
      </c>
      <c r="J30" s="45"/>
      <c r="K30" s="46"/>
      <c r="L30" s="45"/>
      <c r="M30" s="47"/>
      <c r="N30" s="48"/>
      <c r="O30" s="49">
        <f t="shared" si="17"/>
        <v>1690</v>
      </c>
      <c r="P30" s="63"/>
      <c r="Q30" s="63"/>
      <c r="R30" s="67">
        <f t="shared" si="7"/>
        <v>926.25</v>
      </c>
      <c r="S30" s="67"/>
      <c r="T30" s="91">
        <f t="shared" si="8"/>
        <v>16.6911875</v>
      </c>
      <c r="U30" s="67"/>
      <c r="V30" s="67"/>
      <c r="W30" s="89">
        <f t="shared" si="9"/>
        <v>942.9411875</v>
      </c>
      <c r="X30" s="90">
        <f t="shared" si="10"/>
        <v>30.0145625</v>
      </c>
      <c r="Y30" s="90"/>
      <c r="Z30" s="90"/>
      <c r="AA30" s="90">
        <f t="shared" si="11"/>
        <v>30.0145625</v>
      </c>
      <c r="AB30" s="107">
        <v>7.19</v>
      </c>
      <c r="AC30" s="67">
        <f t="shared" si="12"/>
        <v>215.804704375</v>
      </c>
      <c r="AD30" s="67">
        <f t="shared" si="13"/>
        <v>1158.745891875</v>
      </c>
      <c r="AE30" s="67">
        <f t="shared" si="14"/>
        <v>531.254108125</v>
      </c>
    </row>
    <row r="31" customFormat="1" spans="1:31">
      <c r="A31" s="18"/>
      <c r="B31" s="19"/>
      <c r="C31" s="20">
        <v>240131000045</v>
      </c>
      <c r="D31" s="21">
        <v>45325</v>
      </c>
      <c r="E31" s="21" t="s">
        <v>62</v>
      </c>
      <c r="F31" s="19" t="s">
        <v>63</v>
      </c>
      <c r="G31" s="19" t="s">
        <v>73</v>
      </c>
      <c r="H31" s="19">
        <v>1.5</v>
      </c>
      <c r="I31" s="53"/>
      <c r="J31" s="61">
        <v>86000</v>
      </c>
      <c r="K31" s="55"/>
      <c r="L31" s="61">
        <f>SUM(J31/M31)</f>
        <v>1545.92845586914</v>
      </c>
      <c r="M31" s="62">
        <v>55.63</v>
      </c>
      <c r="N31" s="48">
        <v>7.19</v>
      </c>
      <c r="O31" s="49">
        <f>SUM(M31*N31)</f>
        <v>399.9797</v>
      </c>
      <c r="P31" s="63"/>
      <c r="Q31" s="63"/>
      <c r="R31" s="67">
        <f t="shared" si="7"/>
        <v>106.875</v>
      </c>
      <c r="S31" s="67"/>
      <c r="T31" s="91">
        <f t="shared" si="8"/>
        <v>1.92590625</v>
      </c>
      <c r="U31" s="67"/>
      <c r="V31" s="67"/>
      <c r="W31" s="89">
        <f t="shared" si="9"/>
        <v>108.80090625</v>
      </c>
      <c r="X31" s="90">
        <f t="shared" si="10"/>
        <v>3.46321875</v>
      </c>
      <c r="Y31" s="90"/>
      <c r="Z31" s="90"/>
      <c r="AA31" s="90">
        <f t="shared" si="11"/>
        <v>3.46321875</v>
      </c>
      <c r="AB31" s="107">
        <v>7.19</v>
      </c>
      <c r="AC31" s="67">
        <f t="shared" si="12"/>
        <v>24.9005428125</v>
      </c>
      <c r="AD31" s="67">
        <f t="shared" si="13"/>
        <v>133.7014490625</v>
      </c>
      <c r="AE31" s="67">
        <f t="shared" si="14"/>
        <v>266.2782509375</v>
      </c>
    </row>
    <row r="32" customFormat="1" spans="1:31">
      <c r="A32" s="18"/>
      <c r="B32" s="19"/>
      <c r="C32" s="20">
        <v>240131000047</v>
      </c>
      <c r="D32" s="21">
        <v>45325</v>
      </c>
      <c r="E32" s="21" t="s">
        <v>56</v>
      </c>
      <c r="F32" s="19" t="s">
        <v>57</v>
      </c>
      <c r="G32" s="19" t="s">
        <v>74</v>
      </c>
      <c r="H32" s="19">
        <v>11.5</v>
      </c>
      <c r="I32" s="53"/>
      <c r="J32" s="61">
        <v>294687.5</v>
      </c>
      <c r="K32" s="55"/>
      <c r="L32" s="61">
        <f>SUM(J32/M32)</f>
        <v>1473.95338368429</v>
      </c>
      <c r="M32" s="62">
        <v>199.93</v>
      </c>
      <c r="N32" s="48">
        <v>7.19</v>
      </c>
      <c r="O32" s="49">
        <f>SUM(M32*N32)</f>
        <v>1437.4967</v>
      </c>
      <c r="P32" s="63"/>
      <c r="Q32" s="63"/>
      <c r="R32" s="67">
        <f t="shared" si="7"/>
        <v>819.375</v>
      </c>
      <c r="S32" s="67"/>
      <c r="T32" s="91">
        <f t="shared" si="8"/>
        <v>14.76528125</v>
      </c>
      <c r="U32" s="67"/>
      <c r="V32" s="67"/>
      <c r="W32" s="89">
        <f t="shared" si="9"/>
        <v>834.14028125</v>
      </c>
      <c r="X32" s="90">
        <f t="shared" si="10"/>
        <v>26.55134375</v>
      </c>
      <c r="Y32" s="90"/>
      <c r="Z32" s="90"/>
      <c r="AA32" s="90">
        <f t="shared" si="11"/>
        <v>26.55134375</v>
      </c>
      <c r="AB32" s="107">
        <v>7.19</v>
      </c>
      <c r="AC32" s="67">
        <f t="shared" si="12"/>
        <v>190.9041615625</v>
      </c>
      <c r="AD32" s="67">
        <f t="shared" si="13"/>
        <v>1025.0444428125</v>
      </c>
      <c r="AE32" s="67">
        <f t="shared" si="14"/>
        <v>412.4522571875</v>
      </c>
    </row>
    <row r="33" customFormat="1" spans="1:31">
      <c r="A33" s="18"/>
      <c r="B33" s="19"/>
      <c r="C33" s="20">
        <v>240131000052</v>
      </c>
      <c r="D33" s="21">
        <v>45325</v>
      </c>
      <c r="E33" s="21" t="s">
        <v>37</v>
      </c>
      <c r="F33" s="19" t="s">
        <v>38</v>
      </c>
      <c r="G33" s="19" t="s">
        <v>75</v>
      </c>
      <c r="H33" s="19">
        <v>7.5</v>
      </c>
      <c r="I33" s="44">
        <v>1127.5</v>
      </c>
      <c r="J33" s="45"/>
      <c r="K33" s="46"/>
      <c r="L33" s="45"/>
      <c r="M33" s="47"/>
      <c r="N33" s="48"/>
      <c r="O33" s="49">
        <f t="shared" si="17"/>
        <v>1127.5</v>
      </c>
      <c r="P33" s="63"/>
      <c r="Q33" s="63"/>
      <c r="R33" s="67">
        <f t="shared" si="7"/>
        <v>534.375</v>
      </c>
      <c r="S33" s="67"/>
      <c r="T33" s="91">
        <f t="shared" si="8"/>
        <v>9.62953125</v>
      </c>
      <c r="U33" s="67"/>
      <c r="V33" s="67"/>
      <c r="W33" s="89">
        <f t="shared" si="9"/>
        <v>544.00453125</v>
      </c>
      <c r="X33" s="90">
        <f t="shared" si="10"/>
        <v>17.31609375</v>
      </c>
      <c r="Y33" s="90"/>
      <c r="Z33" s="90"/>
      <c r="AA33" s="90">
        <f t="shared" si="11"/>
        <v>17.31609375</v>
      </c>
      <c r="AB33" s="107">
        <v>7.19</v>
      </c>
      <c r="AC33" s="67">
        <f t="shared" si="12"/>
        <v>124.5027140625</v>
      </c>
      <c r="AD33" s="67">
        <f t="shared" si="13"/>
        <v>668.5072453125</v>
      </c>
      <c r="AE33" s="67">
        <f t="shared" si="14"/>
        <v>458.9927546875</v>
      </c>
    </row>
    <row r="34" customFormat="1" spans="1:31">
      <c r="A34" s="18"/>
      <c r="B34" s="19"/>
      <c r="C34" s="20">
        <v>240201000002</v>
      </c>
      <c r="D34" s="21">
        <v>45325</v>
      </c>
      <c r="E34" s="21" t="s">
        <v>76</v>
      </c>
      <c r="F34" s="19" t="s">
        <v>77</v>
      </c>
      <c r="G34" s="19" t="s">
        <v>78</v>
      </c>
      <c r="H34" s="19">
        <v>4</v>
      </c>
      <c r="I34" s="44">
        <v>520</v>
      </c>
      <c r="J34" s="45"/>
      <c r="K34" s="46"/>
      <c r="L34" s="45"/>
      <c r="M34" s="47"/>
      <c r="N34" s="48"/>
      <c r="O34" s="49">
        <f t="shared" si="17"/>
        <v>520</v>
      </c>
      <c r="P34" s="63"/>
      <c r="Q34" s="63"/>
      <c r="R34" s="67">
        <f t="shared" si="7"/>
        <v>285</v>
      </c>
      <c r="S34" s="67"/>
      <c r="T34" s="91">
        <f t="shared" si="8"/>
        <v>5.13575</v>
      </c>
      <c r="U34" s="67"/>
      <c r="V34" s="67"/>
      <c r="W34" s="89">
        <f t="shared" si="9"/>
        <v>290.13575</v>
      </c>
      <c r="X34" s="90">
        <f t="shared" si="10"/>
        <v>9.23525</v>
      </c>
      <c r="Y34" s="90"/>
      <c r="Z34" s="90"/>
      <c r="AA34" s="90">
        <f t="shared" si="11"/>
        <v>9.23525</v>
      </c>
      <c r="AB34" s="107">
        <v>7.19</v>
      </c>
      <c r="AC34" s="67">
        <f t="shared" si="12"/>
        <v>66.4014475</v>
      </c>
      <c r="AD34" s="67">
        <f t="shared" si="13"/>
        <v>356.5371975</v>
      </c>
      <c r="AE34" s="67">
        <f t="shared" si="14"/>
        <v>163.4628025</v>
      </c>
    </row>
    <row r="35" customFormat="1" spans="1:31">
      <c r="A35" s="18"/>
      <c r="B35" s="19"/>
      <c r="C35" s="20">
        <v>240201000016</v>
      </c>
      <c r="D35" s="21">
        <v>45325</v>
      </c>
      <c r="E35" s="21" t="s">
        <v>56</v>
      </c>
      <c r="F35" s="19" t="s">
        <v>57</v>
      </c>
      <c r="G35" s="19" t="s">
        <v>79</v>
      </c>
      <c r="H35" s="19">
        <v>4.5</v>
      </c>
      <c r="I35" s="44">
        <v>562.5</v>
      </c>
      <c r="J35" s="45"/>
      <c r="K35" s="46"/>
      <c r="L35" s="45"/>
      <c r="M35" s="47"/>
      <c r="N35" s="48"/>
      <c r="O35" s="49">
        <f t="shared" si="17"/>
        <v>562.5</v>
      </c>
      <c r="P35" s="63"/>
      <c r="Q35" s="63"/>
      <c r="R35" s="67">
        <f t="shared" si="7"/>
        <v>320.625</v>
      </c>
      <c r="S35" s="67"/>
      <c r="T35" s="91">
        <f t="shared" si="8"/>
        <v>5.77771875</v>
      </c>
      <c r="U35" s="67"/>
      <c r="V35" s="67"/>
      <c r="W35" s="89">
        <f t="shared" si="9"/>
        <v>326.40271875</v>
      </c>
      <c r="X35" s="90">
        <f t="shared" si="10"/>
        <v>10.38965625</v>
      </c>
      <c r="Y35" s="90"/>
      <c r="Z35" s="90"/>
      <c r="AA35" s="90">
        <f t="shared" si="11"/>
        <v>10.38965625</v>
      </c>
      <c r="AB35" s="107">
        <v>7.19</v>
      </c>
      <c r="AC35" s="67">
        <f t="shared" si="12"/>
        <v>74.7016284375</v>
      </c>
      <c r="AD35" s="67">
        <f t="shared" si="13"/>
        <v>401.1043471875</v>
      </c>
      <c r="AE35" s="67">
        <f t="shared" si="14"/>
        <v>161.3956528125</v>
      </c>
    </row>
    <row r="36" customFormat="1" spans="1:31">
      <c r="A36" s="18"/>
      <c r="B36" s="19"/>
      <c r="C36" s="20">
        <v>240201000035</v>
      </c>
      <c r="D36" s="21">
        <v>45325</v>
      </c>
      <c r="E36" s="21" t="s">
        <v>56</v>
      </c>
      <c r="F36" s="19" t="s">
        <v>57</v>
      </c>
      <c r="G36" s="19" t="s">
        <v>80</v>
      </c>
      <c r="H36" s="19">
        <v>4</v>
      </c>
      <c r="I36" s="44">
        <v>520</v>
      </c>
      <c r="J36" s="45"/>
      <c r="K36" s="46"/>
      <c r="L36" s="45"/>
      <c r="M36" s="47"/>
      <c r="N36" s="48"/>
      <c r="O36" s="49">
        <f t="shared" si="17"/>
        <v>520</v>
      </c>
      <c r="P36" s="63"/>
      <c r="Q36" s="63"/>
      <c r="R36" s="67">
        <f t="shared" si="7"/>
        <v>285</v>
      </c>
      <c r="S36" s="67"/>
      <c r="T36" s="91">
        <f t="shared" si="8"/>
        <v>5.13575</v>
      </c>
      <c r="U36" s="67"/>
      <c r="V36" s="67"/>
      <c r="W36" s="89">
        <f t="shared" si="9"/>
        <v>290.13575</v>
      </c>
      <c r="X36" s="90">
        <f t="shared" si="10"/>
        <v>9.23525</v>
      </c>
      <c r="Y36" s="90"/>
      <c r="Z36" s="90"/>
      <c r="AA36" s="90">
        <f t="shared" si="11"/>
        <v>9.23525</v>
      </c>
      <c r="AB36" s="107">
        <v>7.19</v>
      </c>
      <c r="AC36" s="67">
        <f t="shared" si="12"/>
        <v>66.4014475</v>
      </c>
      <c r="AD36" s="67">
        <f t="shared" si="13"/>
        <v>356.5371975</v>
      </c>
      <c r="AE36" s="67">
        <f t="shared" si="14"/>
        <v>163.4628025</v>
      </c>
    </row>
    <row r="37" customFormat="1" spans="1:31">
      <c r="A37" s="18"/>
      <c r="B37" s="19"/>
      <c r="C37" s="20">
        <v>240202000012</v>
      </c>
      <c r="D37" s="21">
        <v>45325</v>
      </c>
      <c r="E37" s="21" t="s">
        <v>41</v>
      </c>
      <c r="F37" s="19" t="s">
        <v>42</v>
      </c>
      <c r="G37" s="19" t="s">
        <v>81</v>
      </c>
      <c r="H37" s="19">
        <v>3</v>
      </c>
      <c r="I37" s="44">
        <v>375</v>
      </c>
      <c r="J37" s="45"/>
      <c r="K37" s="46"/>
      <c r="L37" s="45"/>
      <c r="M37" s="47"/>
      <c r="N37" s="48"/>
      <c r="O37" s="49">
        <f t="shared" si="17"/>
        <v>375</v>
      </c>
      <c r="P37" s="63"/>
      <c r="Q37" s="63"/>
      <c r="R37" s="67">
        <f t="shared" si="7"/>
        <v>213.75</v>
      </c>
      <c r="S37" s="67"/>
      <c r="T37" s="91">
        <f t="shared" si="8"/>
        <v>3.8518125</v>
      </c>
      <c r="U37" s="67"/>
      <c r="V37" s="67"/>
      <c r="W37" s="89">
        <f t="shared" si="9"/>
        <v>217.6018125</v>
      </c>
      <c r="X37" s="90">
        <f t="shared" si="10"/>
        <v>6.9264375</v>
      </c>
      <c r="Y37" s="90"/>
      <c r="Z37" s="90"/>
      <c r="AA37" s="90">
        <f t="shared" si="11"/>
        <v>6.9264375</v>
      </c>
      <c r="AB37" s="107">
        <v>7.19</v>
      </c>
      <c r="AC37" s="67">
        <f t="shared" si="12"/>
        <v>49.801085625</v>
      </c>
      <c r="AD37" s="67">
        <f t="shared" si="13"/>
        <v>267.402898125</v>
      </c>
      <c r="AE37" s="67">
        <f t="shared" si="14"/>
        <v>107.597101875</v>
      </c>
    </row>
    <row r="38" customFormat="1" spans="1:31">
      <c r="A38" s="18"/>
      <c r="B38" s="19"/>
      <c r="C38" s="20">
        <v>240202000020</v>
      </c>
      <c r="D38" s="21">
        <v>45325</v>
      </c>
      <c r="E38" s="21" t="s">
        <v>37</v>
      </c>
      <c r="F38" s="19" t="s">
        <v>38</v>
      </c>
      <c r="G38" s="19" t="s">
        <v>82</v>
      </c>
      <c r="H38" s="19">
        <v>18.5</v>
      </c>
      <c r="I38" s="44">
        <v>2867.5</v>
      </c>
      <c r="J38" s="45"/>
      <c r="K38" s="46"/>
      <c r="L38" s="45"/>
      <c r="M38" s="47"/>
      <c r="N38" s="48"/>
      <c r="O38" s="49">
        <f t="shared" si="17"/>
        <v>2867.5</v>
      </c>
      <c r="P38" s="63"/>
      <c r="Q38" s="63"/>
      <c r="R38" s="67">
        <f t="shared" si="7"/>
        <v>1318.125</v>
      </c>
      <c r="S38" s="67"/>
      <c r="T38" s="91">
        <f t="shared" si="8"/>
        <v>23.75284375</v>
      </c>
      <c r="U38" s="67"/>
      <c r="V38" s="67"/>
      <c r="W38" s="89">
        <f t="shared" si="9"/>
        <v>1341.87784375</v>
      </c>
      <c r="X38" s="90">
        <f t="shared" si="10"/>
        <v>42.71303125</v>
      </c>
      <c r="Y38" s="90"/>
      <c r="Z38" s="90"/>
      <c r="AA38" s="90">
        <f t="shared" si="11"/>
        <v>42.71303125</v>
      </c>
      <c r="AB38" s="107">
        <v>7.19</v>
      </c>
      <c r="AC38" s="67">
        <f t="shared" si="12"/>
        <v>307.1066946875</v>
      </c>
      <c r="AD38" s="67">
        <f t="shared" si="13"/>
        <v>1648.9845384375</v>
      </c>
      <c r="AE38" s="67">
        <f t="shared" si="14"/>
        <v>1218.5154615625</v>
      </c>
    </row>
    <row r="39" customFormat="1" spans="1:31">
      <c r="A39" s="18" t="s">
        <v>83</v>
      </c>
      <c r="B39" s="19" t="s">
        <v>84</v>
      </c>
      <c r="C39" s="20">
        <v>240202000041</v>
      </c>
      <c r="D39" s="21">
        <v>45326</v>
      </c>
      <c r="E39" s="21" t="s">
        <v>41</v>
      </c>
      <c r="F39" s="19" t="s">
        <v>42</v>
      </c>
      <c r="G39" s="19" t="s">
        <v>85</v>
      </c>
      <c r="H39" s="19">
        <v>0.812</v>
      </c>
      <c r="I39" s="44">
        <v>2278</v>
      </c>
      <c r="J39" s="45"/>
      <c r="K39" s="46"/>
      <c r="L39" s="45"/>
      <c r="M39" s="47"/>
      <c r="N39" s="48"/>
      <c r="O39" s="49">
        <f t="shared" si="17"/>
        <v>2278</v>
      </c>
      <c r="P39" s="50">
        <f>SUM(O39:O40)</f>
        <v>4870</v>
      </c>
      <c r="Q39" s="50" t="s">
        <v>86</v>
      </c>
      <c r="R39" s="93">
        <v>3386.8</v>
      </c>
      <c r="S39" s="93"/>
      <c r="T39" s="93">
        <v>0</v>
      </c>
      <c r="U39" s="93"/>
      <c r="V39" s="93"/>
      <c r="W39" s="94">
        <f t="shared" si="9"/>
        <v>3386.8</v>
      </c>
      <c r="X39" s="95"/>
      <c r="Y39" s="95"/>
      <c r="Z39" s="95"/>
      <c r="AA39" s="108">
        <f t="shared" si="11"/>
        <v>0</v>
      </c>
      <c r="AB39" s="109"/>
      <c r="AC39" s="93">
        <f t="shared" ref="AC39:AC51" si="18">SUM(AA39*AB39)</f>
        <v>0</v>
      </c>
      <c r="AD39" s="93">
        <f t="shared" ref="AD39:AD51" si="19">SUM(W39+AC39)</f>
        <v>3386.8</v>
      </c>
      <c r="AE39" s="50">
        <f>SUM(P39-AD39)</f>
        <v>1483.2</v>
      </c>
    </row>
    <row r="40" customFormat="1" spans="1:31">
      <c r="A40" s="18"/>
      <c r="B40" s="19"/>
      <c r="C40" s="20">
        <v>240202000042</v>
      </c>
      <c r="D40" s="21">
        <v>45326</v>
      </c>
      <c r="E40" s="21" t="s">
        <v>41</v>
      </c>
      <c r="F40" s="19" t="s">
        <v>42</v>
      </c>
      <c r="G40" s="19" t="s">
        <v>85</v>
      </c>
      <c r="H40" s="19">
        <v>1.0815</v>
      </c>
      <c r="I40" s="44">
        <v>2592</v>
      </c>
      <c r="J40" s="45"/>
      <c r="K40" s="46"/>
      <c r="L40" s="45"/>
      <c r="M40" s="47"/>
      <c r="N40" s="48"/>
      <c r="O40" s="49">
        <f t="shared" si="17"/>
        <v>2592</v>
      </c>
      <c r="P40" s="52"/>
      <c r="Q40" s="52"/>
      <c r="R40" s="96"/>
      <c r="S40" s="96"/>
      <c r="T40" s="96"/>
      <c r="U40" s="96"/>
      <c r="V40" s="96"/>
      <c r="W40" s="97"/>
      <c r="X40" s="98"/>
      <c r="Y40" s="98"/>
      <c r="Z40" s="98"/>
      <c r="AA40" s="110"/>
      <c r="AB40" s="111"/>
      <c r="AC40" s="96"/>
      <c r="AD40" s="96"/>
      <c r="AE40" s="52"/>
    </row>
    <row r="41" customFormat="1" spans="1:31">
      <c r="A41" s="27" t="s">
        <v>87</v>
      </c>
      <c r="B41" s="27" t="s">
        <v>88</v>
      </c>
      <c r="C41" s="20">
        <v>231120000065</v>
      </c>
      <c r="D41" s="21">
        <v>45326</v>
      </c>
      <c r="E41" s="21" t="s">
        <v>44</v>
      </c>
      <c r="F41" s="19" t="s">
        <v>44</v>
      </c>
      <c r="G41" s="19" t="s">
        <v>89</v>
      </c>
      <c r="H41" s="19">
        <v>34.9091</v>
      </c>
      <c r="I41" s="44">
        <v>72931.25</v>
      </c>
      <c r="J41" s="45"/>
      <c r="K41" s="46"/>
      <c r="L41" s="45"/>
      <c r="M41" s="47"/>
      <c r="N41" s="48"/>
      <c r="O41" s="49">
        <f t="shared" si="17"/>
        <v>72931.25</v>
      </c>
      <c r="P41" s="67">
        <f t="shared" ref="P41:P50" si="20">SUM(O41)</f>
        <v>72931.25</v>
      </c>
      <c r="Q41" s="63" t="s">
        <v>90</v>
      </c>
      <c r="R41" s="67">
        <v>56564</v>
      </c>
      <c r="S41" s="67"/>
      <c r="T41" s="67">
        <v>0</v>
      </c>
      <c r="U41" s="67"/>
      <c r="V41" s="67"/>
      <c r="W41" s="89">
        <f t="shared" ref="W41:W50" si="21">SUM(R41:V41)</f>
        <v>56564</v>
      </c>
      <c r="X41" s="90">
        <v>1658.55</v>
      </c>
      <c r="Y41" s="90"/>
      <c r="Z41" s="90"/>
      <c r="AA41" s="90">
        <f t="shared" ref="AA41:AA66" si="22">SUM(X41:Z41)</f>
        <v>1658.55</v>
      </c>
      <c r="AB41" s="107">
        <v>7.19</v>
      </c>
      <c r="AC41" s="67">
        <f t="shared" si="18"/>
        <v>11924.9745</v>
      </c>
      <c r="AD41" s="67">
        <f t="shared" si="19"/>
        <v>68488.9745</v>
      </c>
      <c r="AE41" s="67">
        <f t="shared" ref="AE41:AE66" si="23">SUM(O41-AD41)</f>
        <v>4442.2755</v>
      </c>
    </row>
    <row r="42" customFormat="1" spans="1:31">
      <c r="A42" s="27" t="s">
        <v>87</v>
      </c>
      <c r="B42" s="27" t="s">
        <v>88</v>
      </c>
      <c r="C42" s="20">
        <v>231120000066</v>
      </c>
      <c r="D42" s="21">
        <v>45326</v>
      </c>
      <c r="E42" s="21" t="s">
        <v>44</v>
      </c>
      <c r="F42" s="19" t="s">
        <v>44</v>
      </c>
      <c r="G42" s="19" t="s">
        <v>89</v>
      </c>
      <c r="H42" s="19">
        <v>26.2876</v>
      </c>
      <c r="I42" s="44">
        <v>53440.63</v>
      </c>
      <c r="J42" s="45"/>
      <c r="K42" s="46"/>
      <c r="L42" s="45"/>
      <c r="M42" s="47"/>
      <c r="N42" s="48"/>
      <c r="O42" s="49">
        <f t="shared" si="17"/>
        <v>53440.63</v>
      </c>
      <c r="P42" s="67">
        <f t="shared" si="20"/>
        <v>53440.63</v>
      </c>
      <c r="Q42" s="63" t="s">
        <v>90</v>
      </c>
      <c r="R42" s="67">
        <v>42160</v>
      </c>
      <c r="S42" s="67"/>
      <c r="T42" s="67"/>
      <c r="U42" s="67"/>
      <c r="V42" s="67"/>
      <c r="W42" s="89">
        <f t="shared" si="21"/>
        <v>42160</v>
      </c>
      <c r="X42" s="90"/>
      <c r="Y42" s="90"/>
      <c r="Z42" s="90"/>
      <c r="AA42" s="90">
        <f t="shared" si="22"/>
        <v>0</v>
      </c>
      <c r="AB42" s="107">
        <v>7.19</v>
      </c>
      <c r="AC42" s="67">
        <f t="shared" si="18"/>
        <v>0</v>
      </c>
      <c r="AD42" s="67">
        <f t="shared" si="19"/>
        <v>42160</v>
      </c>
      <c r="AE42" s="67">
        <f t="shared" si="23"/>
        <v>11280.63</v>
      </c>
    </row>
    <row r="43" customFormat="1" spans="1:31">
      <c r="A43" s="27" t="s">
        <v>87</v>
      </c>
      <c r="B43" s="27" t="s">
        <v>88</v>
      </c>
      <c r="C43" s="20">
        <v>231121000021</v>
      </c>
      <c r="D43" s="21">
        <v>45326</v>
      </c>
      <c r="E43" s="21" t="s">
        <v>62</v>
      </c>
      <c r="F43" s="19" t="s">
        <v>63</v>
      </c>
      <c r="G43" s="19" t="s">
        <v>91</v>
      </c>
      <c r="H43" s="19">
        <v>1.9058</v>
      </c>
      <c r="I43" s="49"/>
      <c r="J43" s="68"/>
      <c r="K43" s="69">
        <v>560</v>
      </c>
      <c r="L43" s="61"/>
      <c r="M43" s="62">
        <v>560</v>
      </c>
      <c r="N43" s="48">
        <v>7.19</v>
      </c>
      <c r="O43" s="49">
        <f t="shared" ref="O43:O48" si="24">SUM(M43*N43)</f>
        <v>4026.4</v>
      </c>
      <c r="P43" s="67">
        <f t="shared" si="20"/>
        <v>4026.4</v>
      </c>
      <c r="Q43" s="63" t="s">
        <v>90</v>
      </c>
      <c r="R43" s="67">
        <v>3247.84</v>
      </c>
      <c r="S43" s="67"/>
      <c r="T43" s="67">
        <v>144</v>
      </c>
      <c r="U43" s="67"/>
      <c r="V43" s="67"/>
      <c r="W43" s="89">
        <f t="shared" si="21"/>
        <v>3391.84</v>
      </c>
      <c r="X43" s="90"/>
      <c r="Y43" s="90"/>
      <c r="Z43" s="90"/>
      <c r="AA43" s="90">
        <f t="shared" si="22"/>
        <v>0</v>
      </c>
      <c r="AB43" s="107">
        <v>7.19</v>
      </c>
      <c r="AC43" s="67">
        <f t="shared" si="18"/>
        <v>0</v>
      </c>
      <c r="AD43" s="67">
        <f t="shared" si="19"/>
        <v>3391.84</v>
      </c>
      <c r="AE43" s="67">
        <f t="shared" si="23"/>
        <v>634.56</v>
      </c>
    </row>
    <row r="44" customFormat="1" spans="1:31">
      <c r="A44" s="27" t="s">
        <v>87</v>
      </c>
      <c r="B44" s="27" t="s">
        <v>88</v>
      </c>
      <c r="C44" s="20">
        <v>231125000001</v>
      </c>
      <c r="D44" s="21">
        <v>45326</v>
      </c>
      <c r="E44" s="21" t="s">
        <v>92</v>
      </c>
      <c r="F44" s="19" t="s">
        <v>93</v>
      </c>
      <c r="G44" s="19" t="s">
        <v>94</v>
      </c>
      <c r="H44" s="19">
        <v>4.1594</v>
      </c>
      <c r="I44" s="44">
        <v>14161</v>
      </c>
      <c r="J44" s="45"/>
      <c r="K44" s="46"/>
      <c r="L44" s="45"/>
      <c r="M44" s="47"/>
      <c r="N44" s="48"/>
      <c r="O44" s="49">
        <f t="shared" ref="O44:O46" si="25">SUM(I44)</f>
        <v>14161</v>
      </c>
      <c r="P44" s="67">
        <f t="shared" si="20"/>
        <v>14161</v>
      </c>
      <c r="Q44" s="63" t="s">
        <v>90</v>
      </c>
      <c r="R44" s="67">
        <v>6680</v>
      </c>
      <c r="S44" s="67"/>
      <c r="T44" s="67">
        <v>0</v>
      </c>
      <c r="U44" s="67"/>
      <c r="V44" s="67"/>
      <c r="W44" s="89">
        <f t="shared" si="21"/>
        <v>6680</v>
      </c>
      <c r="X44" s="90"/>
      <c r="Y44" s="90"/>
      <c r="Z44" s="90"/>
      <c r="AA44" s="90">
        <f t="shared" si="22"/>
        <v>0</v>
      </c>
      <c r="AB44" s="107">
        <v>7.19</v>
      </c>
      <c r="AC44" s="67">
        <f t="shared" si="18"/>
        <v>0</v>
      </c>
      <c r="AD44" s="67">
        <f t="shared" si="19"/>
        <v>6680</v>
      </c>
      <c r="AE44" s="67">
        <f t="shared" si="23"/>
        <v>7481</v>
      </c>
    </row>
    <row r="45" customFormat="1" spans="1:31">
      <c r="A45" s="27" t="s">
        <v>87</v>
      </c>
      <c r="B45" s="27" t="s">
        <v>88</v>
      </c>
      <c r="C45" s="20">
        <v>231204000024</v>
      </c>
      <c r="D45" s="21">
        <v>45326</v>
      </c>
      <c r="E45" s="21" t="s">
        <v>44</v>
      </c>
      <c r="F45" s="19" t="s">
        <v>44</v>
      </c>
      <c r="G45" s="19" t="s">
        <v>95</v>
      </c>
      <c r="H45" s="19">
        <v>0.0303</v>
      </c>
      <c r="I45" s="44">
        <v>370</v>
      </c>
      <c r="J45" s="45"/>
      <c r="K45" s="46"/>
      <c r="L45" s="45"/>
      <c r="M45" s="47"/>
      <c r="N45" s="48"/>
      <c r="O45" s="49">
        <f t="shared" si="25"/>
        <v>370</v>
      </c>
      <c r="P45" s="67">
        <f t="shared" si="20"/>
        <v>370</v>
      </c>
      <c r="Q45" s="63" t="s">
        <v>90</v>
      </c>
      <c r="R45" s="67">
        <v>56</v>
      </c>
      <c r="S45" s="67"/>
      <c r="T45" s="67"/>
      <c r="U45" s="67"/>
      <c r="V45" s="67"/>
      <c r="W45" s="89">
        <f t="shared" si="21"/>
        <v>56</v>
      </c>
      <c r="X45" s="90"/>
      <c r="Y45" s="90"/>
      <c r="Z45" s="90"/>
      <c r="AA45" s="90">
        <f t="shared" si="22"/>
        <v>0</v>
      </c>
      <c r="AB45" s="107">
        <v>7.19</v>
      </c>
      <c r="AC45" s="67">
        <f t="shared" si="18"/>
        <v>0</v>
      </c>
      <c r="AD45" s="67">
        <f t="shared" si="19"/>
        <v>56</v>
      </c>
      <c r="AE45" s="67">
        <f t="shared" si="23"/>
        <v>314</v>
      </c>
    </row>
    <row r="46" customFormat="1" spans="1:31">
      <c r="A46" s="27" t="s">
        <v>87</v>
      </c>
      <c r="B46" s="27" t="s">
        <v>88</v>
      </c>
      <c r="C46" s="20">
        <v>231206000012</v>
      </c>
      <c r="D46" s="21">
        <v>45326</v>
      </c>
      <c r="E46" s="21" t="s">
        <v>44</v>
      </c>
      <c r="F46" s="19" t="s">
        <v>44</v>
      </c>
      <c r="G46" s="19" t="s">
        <v>96</v>
      </c>
      <c r="H46" s="19">
        <v>11.4031</v>
      </c>
      <c r="I46" s="44">
        <v>23092</v>
      </c>
      <c r="J46" s="45"/>
      <c r="K46" s="46"/>
      <c r="L46" s="45"/>
      <c r="M46" s="47"/>
      <c r="N46" s="48"/>
      <c r="O46" s="49">
        <f t="shared" si="25"/>
        <v>23092</v>
      </c>
      <c r="P46" s="67">
        <f t="shared" si="20"/>
        <v>23092</v>
      </c>
      <c r="Q46" s="63" t="s">
        <v>90</v>
      </c>
      <c r="R46" s="67">
        <v>16749.12</v>
      </c>
      <c r="S46" s="67"/>
      <c r="T46" s="67"/>
      <c r="U46" s="67"/>
      <c r="V46" s="67"/>
      <c r="W46" s="89">
        <f t="shared" si="21"/>
        <v>16749.12</v>
      </c>
      <c r="X46" s="90"/>
      <c r="Y46" s="90"/>
      <c r="Z46" s="90"/>
      <c r="AA46" s="90">
        <f t="shared" si="22"/>
        <v>0</v>
      </c>
      <c r="AB46" s="107">
        <v>7.19</v>
      </c>
      <c r="AC46" s="67">
        <f t="shared" si="18"/>
        <v>0</v>
      </c>
      <c r="AD46" s="67">
        <f t="shared" si="19"/>
        <v>16749.12</v>
      </c>
      <c r="AE46" s="67">
        <f t="shared" si="23"/>
        <v>6342.88</v>
      </c>
    </row>
    <row r="47" customFormat="1" spans="1:31">
      <c r="A47" s="27" t="s">
        <v>87</v>
      </c>
      <c r="B47" s="27" t="s">
        <v>88</v>
      </c>
      <c r="C47" s="20">
        <v>231204000041</v>
      </c>
      <c r="D47" s="21">
        <v>45326</v>
      </c>
      <c r="E47" s="21" t="s">
        <v>62</v>
      </c>
      <c r="F47" s="19" t="s">
        <v>63</v>
      </c>
      <c r="G47" s="19" t="s">
        <v>97</v>
      </c>
      <c r="H47" s="19">
        <v>9.0797</v>
      </c>
      <c r="I47" s="49"/>
      <c r="J47" s="68"/>
      <c r="K47" s="69">
        <v>2660</v>
      </c>
      <c r="L47" s="61"/>
      <c r="M47" s="62">
        <v>2660</v>
      </c>
      <c r="N47" s="48">
        <v>7.19</v>
      </c>
      <c r="O47" s="49">
        <f t="shared" si="24"/>
        <v>19125.4</v>
      </c>
      <c r="P47" s="67">
        <f t="shared" si="20"/>
        <v>19125.4</v>
      </c>
      <c r="Q47" s="63" t="s">
        <v>90</v>
      </c>
      <c r="R47" s="67">
        <v>14582</v>
      </c>
      <c r="S47" s="67"/>
      <c r="T47" s="67">
        <v>179.2</v>
      </c>
      <c r="U47" s="67"/>
      <c r="V47" s="67"/>
      <c r="W47" s="89">
        <f t="shared" si="21"/>
        <v>14761.2</v>
      </c>
      <c r="X47" s="90"/>
      <c r="Y47" s="90"/>
      <c r="Z47" s="90"/>
      <c r="AA47" s="90">
        <f t="shared" si="22"/>
        <v>0</v>
      </c>
      <c r="AB47" s="107">
        <v>7.19</v>
      </c>
      <c r="AC47" s="67">
        <f t="shared" si="18"/>
        <v>0</v>
      </c>
      <c r="AD47" s="67">
        <f t="shared" si="19"/>
        <v>14761.2</v>
      </c>
      <c r="AE47" s="67">
        <f t="shared" si="23"/>
        <v>4364.2</v>
      </c>
    </row>
    <row r="48" customFormat="1" spans="1:31">
      <c r="A48" s="27" t="s">
        <v>87</v>
      </c>
      <c r="B48" s="27" t="s">
        <v>88</v>
      </c>
      <c r="C48" s="20">
        <v>231207000022</v>
      </c>
      <c r="D48" s="21">
        <v>45326</v>
      </c>
      <c r="E48" s="21" t="s">
        <v>62</v>
      </c>
      <c r="F48" s="19" t="s">
        <v>63</v>
      </c>
      <c r="G48" s="19" t="s">
        <v>97</v>
      </c>
      <c r="H48" s="19">
        <v>6.1718</v>
      </c>
      <c r="I48" s="49"/>
      <c r="J48" s="68"/>
      <c r="K48" s="69">
        <v>1820</v>
      </c>
      <c r="L48" s="68"/>
      <c r="M48" s="62">
        <v>1820</v>
      </c>
      <c r="N48" s="48">
        <v>7.19</v>
      </c>
      <c r="O48" s="49">
        <f t="shared" si="24"/>
        <v>13085.8</v>
      </c>
      <c r="P48" s="67">
        <f t="shared" si="20"/>
        <v>13085.8</v>
      </c>
      <c r="Q48" s="63" t="s">
        <v>90</v>
      </c>
      <c r="R48" s="67">
        <v>9579.6</v>
      </c>
      <c r="S48" s="67"/>
      <c r="T48" s="67">
        <v>100</v>
      </c>
      <c r="U48" s="67"/>
      <c r="V48" s="67"/>
      <c r="W48" s="89">
        <f t="shared" si="21"/>
        <v>9679.6</v>
      </c>
      <c r="X48" s="90"/>
      <c r="Y48" s="90"/>
      <c r="Z48" s="90"/>
      <c r="AA48" s="90">
        <f t="shared" si="22"/>
        <v>0</v>
      </c>
      <c r="AB48" s="107">
        <v>7.19</v>
      </c>
      <c r="AC48" s="67">
        <f t="shared" si="18"/>
        <v>0</v>
      </c>
      <c r="AD48" s="67">
        <f t="shared" si="19"/>
        <v>9679.6</v>
      </c>
      <c r="AE48" s="67">
        <f t="shared" si="23"/>
        <v>3406.2</v>
      </c>
    </row>
    <row r="49" customFormat="1" spans="1:31">
      <c r="A49" s="27" t="s">
        <v>87</v>
      </c>
      <c r="B49" s="27" t="s">
        <v>88</v>
      </c>
      <c r="C49" s="20">
        <v>231208000023</v>
      </c>
      <c r="D49" s="21">
        <v>45326</v>
      </c>
      <c r="E49" s="21" t="s">
        <v>44</v>
      </c>
      <c r="F49" s="19" t="s">
        <v>44</v>
      </c>
      <c r="G49" s="19" t="s">
        <v>98</v>
      </c>
      <c r="H49" s="19">
        <v>2.0996</v>
      </c>
      <c r="I49" s="44">
        <v>4890.75</v>
      </c>
      <c r="J49" s="54"/>
      <c r="K49" s="55"/>
      <c r="L49" s="54"/>
      <c r="M49" s="47"/>
      <c r="N49" s="48"/>
      <c r="O49" s="49">
        <f t="shared" ref="O49:O53" si="26">SUM(I49)</f>
        <v>4890.75</v>
      </c>
      <c r="P49" s="67">
        <f t="shared" si="20"/>
        <v>4890.75</v>
      </c>
      <c r="Q49" s="63" t="s">
        <v>90</v>
      </c>
      <c r="R49" s="67">
        <v>3678.47</v>
      </c>
      <c r="S49" s="67"/>
      <c r="T49" s="67"/>
      <c r="U49" s="67"/>
      <c r="V49" s="67"/>
      <c r="W49" s="89">
        <f t="shared" si="21"/>
        <v>3678.47</v>
      </c>
      <c r="X49" s="90"/>
      <c r="Y49" s="90"/>
      <c r="Z49" s="90"/>
      <c r="AA49" s="90">
        <f t="shared" si="22"/>
        <v>0</v>
      </c>
      <c r="AB49" s="107">
        <v>7.19</v>
      </c>
      <c r="AC49" s="67">
        <f t="shared" si="18"/>
        <v>0</v>
      </c>
      <c r="AD49" s="67">
        <f t="shared" si="19"/>
        <v>3678.47</v>
      </c>
      <c r="AE49" s="67">
        <f t="shared" si="23"/>
        <v>1212.28</v>
      </c>
    </row>
    <row r="50" customFormat="1" spans="1:31">
      <c r="A50" s="27" t="s">
        <v>87</v>
      </c>
      <c r="B50" s="27" t="s">
        <v>88</v>
      </c>
      <c r="C50" s="20">
        <v>231208000025</v>
      </c>
      <c r="D50" s="21">
        <v>45326</v>
      </c>
      <c r="E50" s="21" t="s">
        <v>44</v>
      </c>
      <c r="F50" s="19" t="s">
        <v>44</v>
      </c>
      <c r="G50" s="19" t="s">
        <v>98</v>
      </c>
      <c r="H50" s="19">
        <v>1.7994</v>
      </c>
      <c r="I50" s="44">
        <v>9521.5</v>
      </c>
      <c r="J50" s="54"/>
      <c r="K50" s="55"/>
      <c r="L50" s="54"/>
      <c r="M50" s="47"/>
      <c r="N50" s="48"/>
      <c r="O50" s="49">
        <f t="shared" si="26"/>
        <v>9521.5</v>
      </c>
      <c r="P50" s="67">
        <f t="shared" si="20"/>
        <v>9521.5</v>
      </c>
      <c r="Q50" s="63" t="s">
        <v>90</v>
      </c>
      <c r="R50" s="67">
        <v>6754.32</v>
      </c>
      <c r="S50" s="67"/>
      <c r="T50" s="67"/>
      <c r="U50" s="67"/>
      <c r="V50" s="67"/>
      <c r="W50" s="89">
        <f t="shared" ref="W50:W66" si="27">SUM(R50:V50)</f>
        <v>6754.32</v>
      </c>
      <c r="X50" s="90"/>
      <c r="Y50" s="90"/>
      <c r="Z50" s="90"/>
      <c r="AA50" s="90">
        <f t="shared" si="22"/>
        <v>0</v>
      </c>
      <c r="AB50" s="107">
        <v>7.19</v>
      </c>
      <c r="AC50" s="67">
        <f t="shared" si="18"/>
        <v>0</v>
      </c>
      <c r="AD50" s="67">
        <f t="shared" ref="AD50:AD66" si="28">SUM(W50+AC50)</f>
        <v>6754.32</v>
      </c>
      <c r="AE50" s="67">
        <f t="shared" si="23"/>
        <v>2767.18</v>
      </c>
    </row>
    <row r="51" customFormat="1" spans="1:31">
      <c r="A51" s="18" t="s">
        <v>99</v>
      </c>
      <c r="B51" s="19" t="s">
        <v>100</v>
      </c>
      <c r="C51" s="20">
        <v>240124000024</v>
      </c>
      <c r="D51" s="21">
        <v>45326</v>
      </c>
      <c r="E51" s="21" t="s">
        <v>37</v>
      </c>
      <c r="F51" s="19" t="s">
        <v>38</v>
      </c>
      <c r="G51" s="19" t="s">
        <v>60</v>
      </c>
      <c r="H51" s="19">
        <v>5</v>
      </c>
      <c r="I51" s="53"/>
      <c r="J51" s="61">
        <v>118250.5</v>
      </c>
      <c r="K51" s="55"/>
      <c r="L51" s="61">
        <f>SUM(J51/M51)</f>
        <v>1700.46735691688</v>
      </c>
      <c r="M51" s="62">
        <v>69.54</v>
      </c>
      <c r="N51" s="48">
        <v>7.19</v>
      </c>
      <c r="O51" s="49">
        <f t="shared" ref="O51:O57" si="29">SUM(M51*N51)</f>
        <v>499.9926</v>
      </c>
      <c r="P51" s="50">
        <f>SUM(O51:O66)</f>
        <v>17625.9161</v>
      </c>
      <c r="Q51" s="50" t="s">
        <v>40</v>
      </c>
      <c r="R51" s="67">
        <f>SUM(9820/128)*H51</f>
        <v>383.59375</v>
      </c>
      <c r="S51" s="67"/>
      <c r="T51" s="91">
        <f>SUM(68.81/128)*H51</f>
        <v>2.687890625</v>
      </c>
      <c r="U51" s="67"/>
      <c r="V51" s="67"/>
      <c r="W51" s="89">
        <f t="shared" si="27"/>
        <v>386.281640625</v>
      </c>
      <c r="X51" s="90">
        <f>SUM(282.52/128)*H51</f>
        <v>11.0359375</v>
      </c>
      <c r="Y51" s="90"/>
      <c r="Z51" s="90"/>
      <c r="AA51" s="90">
        <f t="shared" si="22"/>
        <v>11.0359375</v>
      </c>
      <c r="AB51" s="107">
        <v>7.19</v>
      </c>
      <c r="AC51" s="67">
        <f t="shared" ref="AC51:AC66" si="30">SUM(AA51*AB51)</f>
        <v>79.348390625</v>
      </c>
      <c r="AD51" s="67">
        <f t="shared" si="28"/>
        <v>465.63003125</v>
      </c>
      <c r="AE51" s="67">
        <f t="shared" si="23"/>
        <v>34.36256875</v>
      </c>
    </row>
    <row r="52" customFormat="1" spans="1:31">
      <c r="A52" s="18"/>
      <c r="B52" s="19"/>
      <c r="C52" s="20">
        <v>240129000002</v>
      </c>
      <c r="D52" s="21">
        <v>45326</v>
      </c>
      <c r="E52" s="21" t="s">
        <v>62</v>
      </c>
      <c r="F52" s="19" t="s">
        <v>63</v>
      </c>
      <c r="G52" s="19" t="s">
        <v>101</v>
      </c>
      <c r="H52" s="19">
        <v>7.5</v>
      </c>
      <c r="I52" s="44">
        <v>440</v>
      </c>
      <c r="J52" s="45"/>
      <c r="K52" s="46"/>
      <c r="L52" s="45"/>
      <c r="M52" s="47"/>
      <c r="N52" s="48"/>
      <c r="O52" s="49">
        <f t="shared" si="26"/>
        <v>440</v>
      </c>
      <c r="P52" s="51"/>
      <c r="Q52" s="51"/>
      <c r="R52" s="67">
        <f t="shared" ref="R52:R66" si="31">SUM(9820/128)*H52</f>
        <v>575.390625</v>
      </c>
      <c r="S52" s="67"/>
      <c r="T52" s="91">
        <f t="shared" ref="T52:T66" si="32">SUM(68.81/128)*H52</f>
        <v>4.0318359375</v>
      </c>
      <c r="U52" s="67"/>
      <c r="V52" s="67"/>
      <c r="W52" s="89">
        <f t="shared" si="27"/>
        <v>579.4224609375</v>
      </c>
      <c r="X52" s="90">
        <f t="shared" ref="X52:X66" si="33">SUM(282.52/128)*H52</f>
        <v>16.55390625</v>
      </c>
      <c r="Y52" s="90"/>
      <c r="Z52" s="90"/>
      <c r="AA52" s="90">
        <f t="shared" si="22"/>
        <v>16.55390625</v>
      </c>
      <c r="AB52" s="107">
        <v>7.19</v>
      </c>
      <c r="AC52" s="67">
        <f t="shared" si="30"/>
        <v>119.0225859375</v>
      </c>
      <c r="AD52" s="67">
        <f t="shared" si="28"/>
        <v>698.445046875</v>
      </c>
      <c r="AE52" s="67">
        <f t="shared" si="23"/>
        <v>-258.445046875</v>
      </c>
    </row>
    <row r="53" customFormat="1" spans="1:31">
      <c r="A53" s="18"/>
      <c r="B53" s="19"/>
      <c r="C53" s="20">
        <v>240129000018</v>
      </c>
      <c r="D53" s="21">
        <v>45326</v>
      </c>
      <c r="E53" s="21" t="s">
        <v>62</v>
      </c>
      <c r="F53" s="19" t="s">
        <v>63</v>
      </c>
      <c r="G53" s="19" t="s">
        <v>102</v>
      </c>
      <c r="H53" s="19">
        <v>0.96</v>
      </c>
      <c r="I53" s="44">
        <v>125</v>
      </c>
      <c r="J53" s="45"/>
      <c r="K53" s="46"/>
      <c r="L53" s="45"/>
      <c r="M53" s="47"/>
      <c r="N53" s="48"/>
      <c r="O53" s="49">
        <f t="shared" si="26"/>
        <v>125</v>
      </c>
      <c r="P53" s="51"/>
      <c r="Q53" s="51"/>
      <c r="R53" s="67">
        <f t="shared" si="31"/>
        <v>73.65</v>
      </c>
      <c r="S53" s="67"/>
      <c r="T53" s="91">
        <f t="shared" si="32"/>
        <v>0.516075</v>
      </c>
      <c r="U53" s="67"/>
      <c r="V53" s="67"/>
      <c r="W53" s="89">
        <f t="shared" si="27"/>
        <v>74.166075</v>
      </c>
      <c r="X53" s="90">
        <f t="shared" si="33"/>
        <v>2.1189</v>
      </c>
      <c r="Y53" s="90"/>
      <c r="Z53" s="90"/>
      <c r="AA53" s="90">
        <f t="shared" si="22"/>
        <v>2.1189</v>
      </c>
      <c r="AB53" s="107">
        <v>7.19</v>
      </c>
      <c r="AC53" s="67">
        <f t="shared" si="30"/>
        <v>15.234891</v>
      </c>
      <c r="AD53" s="67">
        <f t="shared" si="28"/>
        <v>89.400966</v>
      </c>
      <c r="AE53" s="67">
        <f t="shared" si="23"/>
        <v>35.599034</v>
      </c>
    </row>
    <row r="54" customFormat="1" spans="1:31">
      <c r="A54" s="18"/>
      <c r="B54" s="19"/>
      <c r="C54" s="20">
        <v>240129000032</v>
      </c>
      <c r="D54" s="21">
        <v>45326</v>
      </c>
      <c r="E54" s="21" t="s">
        <v>41</v>
      </c>
      <c r="F54" s="19" t="s">
        <v>42</v>
      </c>
      <c r="G54" s="19" t="s">
        <v>59</v>
      </c>
      <c r="H54" s="19">
        <v>5</v>
      </c>
      <c r="I54" s="53"/>
      <c r="J54" s="61">
        <v>141700</v>
      </c>
      <c r="K54" s="55"/>
      <c r="L54" s="61">
        <f>SUM(J54/M54)</f>
        <v>1567.47787610619</v>
      </c>
      <c r="M54" s="62">
        <v>90.4</v>
      </c>
      <c r="N54" s="48">
        <v>7.19</v>
      </c>
      <c r="O54" s="49">
        <f t="shared" si="29"/>
        <v>649.976</v>
      </c>
      <c r="P54" s="51"/>
      <c r="Q54" s="51"/>
      <c r="R54" s="67">
        <f t="shared" si="31"/>
        <v>383.59375</v>
      </c>
      <c r="S54" s="67"/>
      <c r="T54" s="91">
        <f t="shared" si="32"/>
        <v>2.687890625</v>
      </c>
      <c r="U54" s="67"/>
      <c r="V54" s="67"/>
      <c r="W54" s="89">
        <f t="shared" si="27"/>
        <v>386.281640625</v>
      </c>
      <c r="X54" s="90">
        <f t="shared" si="33"/>
        <v>11.0359375</v>
      </c>
      <c r="Y54" s="90"/>
      <c r="Z54" s="90"/>
      <c r="AA54" s="90">
        <f t="shared" si="22"/>
        <v>11.0359375</v>
      </c>
      <c r="AB54" s="107">
        <v>7.19</v>
      </c>
      <c r="AC54" s="67">
        <f t="shared" si="30"/>
        <v>79.348390625</v>
      </c>
      <c r="AD54" s="67">
        <f t="shared" si="28"/>
        <v>465.63003125</v>
      </c>
      <c r="AE54" s="67">
        <f t="shared" si="23"/>
        <v>184.34596875</v>
      </c>
    </row>
    <row r="55" customFormat="1" spans="1:31">
      <c r="A55" s="18"/>
      <c r="B55" s="19"/>
      <c r="C55" s="20">
        <v>240129000063</v>
      </c>
      <c r="D55" s="21">
        <v>45326</v>
      </c>
      <c r="E55" s="21" t="s">
        <v>41</v>
      </c>
      <c r="F55" s="19" t="s">
        <v>42</v>
      </c>
      <c r="G55" s="19" t="s">
        <v>61</v>
      </c>
      <c r="H55" s="19">
        <v>19</v>
      </c>
      <c r="I55" s="53"/>
      <c r="J55" s="61">
        <v>677350</v>
      </c>
      <c r="K55" s="55"/>
      <c r="L55" s="61">
        <f>SUM(J55/M55)</f>
        <v>1653.72689762934</v>
      </c>
      <c r="M55" s="62">
        <v>409.59</v>
      </c>
      <c r="N55" s="48">
        <v>7.19</v>
      </c>
      <c r="O55" s="49">
        <f t="shared" si="29"/>
        <v>2944.9521</v>
      </c>
      <c r="P55" s="51"/>
      <c r="Q55" s="51"/>
      <c r="R55" s="67">
        <f t="shared" si="31"/>
        <v>1457.65625</v>
      </c>
      <c r="S55" s="67"/>
      <c r="T55" s="91">
        <f t="shared" si="32"/>
        <v>10.213984375</v>
      </c>
      <c r="U55" s="67"/>
      <c r="V55" s="67"/>
      <c r="W55" s="89">
        <f t="shared" si="27"/>
        <v>1467.870234375</v>
      </c>
      <c r="X55" s="90">
        <f t="shared" si="33"/>
        <v>41.9365625</v>
      </c>
      <c r="Y55" s="90"/>
      <c r="Z55" s="90"/>
      <c r="AA55" s="90">
        <f t="shared" si="22"/>
        <v>41.9365625</v>
      </c>
      <c r="AB55" s="107">
        <v>7.19</v>
      </c>
      <c r="AC55" s="67">
        <f t="shared" si="30"/>
        <v>301.523884375</v>
      </c>
      <c r="AD55" s="67">
        <f t="shared" si="28"/>
        <v>1769.39411875</v>
      </c>
      <c r="AE55" s="67">
        <f t="shared" si="23"/>
        <v>1175.55798125</v>
      </c>
    </row>
    <row r="56" customFormat="1" spans="1:31">
      <c r="A56" s="18"/>
      <c r="B56" s="19"/>
      <c r="C56" s="20">
        <v>240131000027</v>
      </c>
      <c r="D56" s="21">
        <v>45326</v>
      </c>
      <c r="E56" s="21" t="s">
        <v>41</v>
      </c>
      <c r="F56" s="19" t="s">
        <v>42</v>
      </c>
      <c r="G56" s="19" t="s">
        <v>61</v>
      </c>
      <c r="H56" s="19">
        <v>7.5</v>
      </c>
      <c r="I56" s="53"/>
      <c r="J56" s="45">
        <v>267375</v>
      </c>
      <c r="K56" s="55"/>
      <c r="L56" s="61">
        <f>SUM(J56/M56)</f>
        <v>1653.72958931222</v>
      </c>
      <c r="M56" s="62">
        <v>161.68</v>
      </c>
      <c r="N56" s="48">
        <v>7.19</v>
      </c>
      <c r="O56" s="49">
        <f t="shared" si="29"/>
        <v>1162.4792</v>
      </c>
      <c r="P56" s="51"/>
      <c r="Q56" s="51"/>
      <c r="R56" s="67">
        <f t="shared" si="31"/>
        <v>575.390625</v>
      </c>
      <c r="S56" s="67"/>
      <c r="T56" s="91">
        <f t="shared" si="32"/>
        <v>4.0318359375</v>
      </c>
      <c r="U56" s="67"/>
      <c r="V56" s="67"/>
      <c r="W56" s="89">
        <f t="shared" si="27"/>
        <v>579.4224609375</v>
      </c>
      <c r="X56" s="90">
        <f t="shared" si="33"/>
        <v>16.55390625</v>
      </c>
      <c r="Y56" s="90"/>
      <c r="Z56" s="90"/>
      <c r="AA56" s="90">
        <f t="shared" si="22"/>
        <v>16.55390625</v>
      </c>
      <c r="AB56" s="107">
        <v>7.19</v>
      </c>
      <c r="AC56" s="67">
        <f t="shared" si="30"/>
        <v>119.0225859375</v>
      </c>
      <c r="AD56" s="67">
        <f t="shared" si="28"/>
        <v>698.445046875</v>
      </c>
      <c r="AE56" s="67">
        <f t="shared" si="23"/>
        <v>464.034153125</v>
      </c>
    </row>
    <row r="57" customFormat="1" spans="1:31">
      <c r="A57" s="18"/>
      <c r="B57" s="19"/>
      <c r="C57" s="20">
        <v>240131000028</v>
      </c>
      <c r="D57" s="21">
        <v>45326</v>
      </c>
      <c r="E57" s="21" t="s">
        <v>41</v>
      </c>
      <c r="F57" s="19" t="s">
        <v>42</v>
      </c>
      <c r="G57" s="19" t="s">
        <v>61</v>
      </c>
      <c r="H57" s="19">
        <v>7.5</v>
      </c>
      <c r="I57" s="53"/>
      <c r="J57" s="45">
        <v>267375</v>
      </c>
      <c r="K57" s="55"/>
      <c r="L57" s="61">
        <f>SUM(J57/M57)</f>
        <v>1653.72958931222</v>
      </c>
      <c r="M57" s="62">
        <v>161.68</v>
      </c>
      <c r="N57" s="48">
        <v>7.19</v>
      </c>
      <c r="O57" s="49">
        <f t="shared" si="29"/>
        <v>1162.4792</v>
      </c>
      <c r="P57" s="51"/>
      <c r="Q57" s="51"/>
      <c r="R57" s="67">
        <f t="shared" si="31"/>
        <v>575.390625</v>
      </c>
      <c r="S57" s="67"/>
      <c r="T57" s="91">
        <f t="shared" si="32"/>
        <v>4.0318359375</v>
      </c>
      <c r="U57" s="67"/>
      <c r="V57" s="67"/>
      <c r="W57" s="89">
        <f t="shared" si="27"/>
        <v>579.4224609375</v>
      </c>
      <c r="X57" s="90">
        <f t="shared" si="33"/>
        <v>16.55390625</v>
      </c>
      <c r="Y57" s="90"/>
      <c r="Z57" s="90"/>
      <c r="AA57" s="90">
        <f t="shared" si="22"/>
        <v>16.55390625</v>
      </c>
      <c r="AB57" s="107">
        <v>7.19</v>
      </c>
      <c r="AC57" s="67">
        <f t="shared" si="30"/>
        <v>119.0225859375</v>
      </c>
      <c r="AD57" s="67">
        <f t="shared" si="28"/>
        <v>698.445046875</v>
      </c>
      <c r="AE57" s="67">
        <f t="shared" si="23"/>
        <v>464.034153125</v>
      </c>
    </row>
    <row r="58" customFormat="1" spans="1:31">
      <c r="A58" s="18"/>
      <c r="B58" s="19"/>
      <c r="C58" s="20">
        <v>240201000028</v>
      </c>
      <c r="D58" s="21">
        <v>45326</v>
      </c>
      <c r="E58" s="21" t="s">
        <v>44</v>
      </c>
      <c r="F58" s="19" t="s">
        <v>44</v>
      </c>
      <c r="G58" s="19" t="s">
        <v>103</v>
      </c>
      <c r="H58" s="19">
        <v>25.5</v>
      </c>
      <c r="I58" s="44">
        <v>3315</v>
      </c>
      <c r="J58" s="45"/>
      <c r="K58" s="46"/>
      <c r="L58" s="45"/>
      <c r="M58" s="47"/>
      <c r="N58" s="48"/>
      <c r="O58" s="49">
        <f t="shared" ref="O58:O61" si="34">SUM(I58)</f>
        <v>3315</v>
      </c>
      <c r="P58" s="51"/>
      <c r="Q58" s="51"/>
      <c r="R58" s="67">
        <f t="shared" si="31"/>
        <v>1956.328125</v>
      </c>
      <c r="S58" s="67"/>
      <c r="T58" s="91">
        <f t="shared" si="32"/>
        <v>13.7082421875</v>
      </c>
      <c r="U58" s="67"/>
      <c r="V58" s="67"/>
      <c r="W58" s="89">
        <f t="shared" si="27"/>
        <v>1970.0363671875</v>
      </c>
      <c r="X58" s="90">
        <f t="shared" si="33"/>
        <v>56.28328125</v>
      </c>
      <c r="Y58" s="90"/>
      <c r="Z58" s="90"/>
      <c r="AA58" s="90">
        <f t="shared" si="22"/>
        <v>56.28328125</v>
      </c>
      <c r="AB58" s="107">
        <v>7.19</v>
      </c>
      <c r="AC58" s="67">
        <f t="shared" si="30"/>
        <v>404.6767921875</v>
      </c>
      <c r="AD58" s="67">
        <f t="shared" si="28"/>
        <v>2374.713159375</v>
      </c>
      <c r="AE58" s="67">
        <f t="shared" si="23"/>
        <v>940.286840625</v>
      </c>
    </row>
    <row r="59" customFormat="1" spans="1:31">
      <c r="A59" s="18"/>
      <c r="B59" s="19"/>
      <c r="C59" s="20">
        <v>240202000003</v>
      </c>
      <c r="D59" s="21">
        <v>45326</v>
      </c>
      <c r="E59" s="21" t="s">
        <v>76</v>
      </c>
      <c r="F59" s="19" t="s">
        <v>77</v>
      </c>
      <c r="G59" s="19" t="s">
        <v>78</v>
      </c>
      <c r="H59" s="19">
        <v>1.5</v>
      </c>
      <c r="I59" s="44">
        <v>195</v>
      </c>
      <c r="J59" s="45"/>
      <c r="K59" s="46"/>
      <c r="L59" s="45"/>
      <c r="M59" s="47"/>
      <c r="N59" s="48"/>
      <c r="O59" s="49">
        <f t="shared" si="34"/>
        <v>195</v>
      </c>
      <c r="P59" s="51"/>
      <c r="Q59" s="51"/>
      <c r="R59" s="67">
        <f t="shared" si="31"/>
        <v>115.078125</v>
      </c>
      <c r="S59" s="67"/>
      <c r="T59" s="91">
        <f t="shared" si="32"/>
        <v>0.8063671875</v>
      </c>
      <c r="U59" s="67"/>
      <c r="V59" s="67"/>
      <c r="W59" s="89">
        <f t="shared" si="27"/>
        <v>115.8844921875</v>
      </c>
      <c r="X59" s="90">
        <f t="shared" si="33"/>
        <v>3.31078125</v>
      </c>
      <c r="Y59" s="90"/>
      <c r="Z59" s="90"/>
      <c r="AA59" s="90">
        <f t="shared" si="22"/>
        <v>3.31078125</v>
      </c>
      <c r="AB59" s="107">
        <v>7.19</v>
      </c>
      <c r="AC59" s="67">
        <f t="shared" si="30"/>
        <v>23.8045171875</v>
      </c>
      <c r="AD59" s="67">
        <f t="shared" si="28"/>
        <v>139.689009375</v>
      </c>
      <c r="AE59" s="67">
        <f t="shared" si="23"/>
        <v>55.310990625</v>
      </c>
    </row>
    <row r="60" customFormat="1" spans="1:31">
      <c r="A60" s="18"/>
      <c r="B60" s="19"/>
      <c r="C60" s="20">
        <v>240202000024</v>
      </c>
      <c r="D60" s="21">
        <v>45326</v>
      </c>
      <c r="E60" s="21" t="s">
        <v>37</v>
      </c>
      <c r="F60" s="19" t="s">
        <v>38</v>
      </c>
      <c r="G60" s="19" t="s">
        <v>60</v>
      </c>
      <c r="H60" s="19">
        <v>7.5</v>
      </c>
      <c r="I60" s="53"/>
      <c r="J60" s="61">
        <v>177375</v>
      </c>
      <c r="K60" s="55"/>
      <c r="L60" s="61">
        <f>SUM(J60/M60)</f>
        <v>1700.46016681047</v>
      </c>
      <c r="M60" s="62">
        <v>104.31</v>
      </c>
      <c r="N60" s="48">
        <v>7.19</v>
      </c>
      <c r="O60" s="49">
        <f t="shared" ref="O60:O63" si="35">SUM(M60*N60)</f>
        <v>749.9889</v>
      </c>
      <c r="P60" s="51"/>
      <c r="Q60" s="51"/>
      <c r="R60" s="67">
        <f t="shared" si="31"/>
        <v>575.390625</v>
      </c>
      <c r="S60" s="67"/>
      <c r="T60" s="91">
        <f t="shared" si="32"/>
        <v>4.0318359375</v>
      </c>
      <c r="U60" s="67"/>
      <c r="V60" s="67"/>
      <c r="W60" s="89">
        <f t="shared" si="27"/>
        <v>579.4224609375</v>
      </c>
      <c r="X60" s="90">
        <f t="shared" si="33"/>
        <v>16.55390625</v>
      </c>
      <c r="Y60" s="90"/>
      <c r="Z60" s="90"/>
      <c r="AA60" s="90">
        <f t="shared" si="22"/>
        <v>16.55390625</v>
      </c>
      <c r="AB60" s="107">
        <v>7.19</v>
      </c>
      <c r="AC60" s="67">
        <f t="shared" si="30"/>
        <v>119.0225859375</v>
      </c>
      <c r="AD60" s="67">
        <f t="shared" si="28"/>
        <v>698.445046875</v>
      </c>
      <c r="AE60" s="67">
        <f t="shared" si="23"/>
        <v>51.5438531249999</v>
      </c>
    </row>
    <row r="61" customFormat="1" spans="1:31">
      <c r="A61" s="18"/>
      <c r="B61" s="19"/>
      <c r="C61" s="20">
        <v>240202000045</v>
      </c>
      <c r="D61" s="21">
        <v>45326</v>
      </c>
      <c r="E61" s="21" t="s">
        <v>76</v>
      </c>
      <c r="F61" s="19" t="s">
        <v>77</v>
      </c>
      <c r="G61" s="19" t="s">
        <v>104</v>
      </c>
      <c r="H61" s="19">
        <v>4.5</v>
      </c>
      <c r="I61" s="44">
        <v>562</v>
      </c>
      <c r="J61" s="45"/>
      <c r="K61" s="46"/>
      <c r="L61" s="45"/>
      <c r="M61" s="47"/>
      <c r="N61" s="48"/>
      <c r="O61" s="49">
        <f t="shared" si="34"/>
        <v>562</v>
      </c>
      <c r="P61" s="51"/>
      <c r="Q61" s="51"/>
      <c r="R61" s="67">
        <f t="shared" si="31"/>
        <v>345.234375</v>
      </c>
      <c r="S61" s="67"/>
      <c r="T61" s="91">
        <f t="shared" si="32"/>
        <v>2.4191015625</v>
      </c>
      <c r="U61" s="67"/>
      <c r="V61" s="67"/>
      <c r="W61" s="89">
        <f t="shared" si="27"/>
        <v>347.6534765625</v>
      </c>
      <c r="X61" s="90">
        <f t="shared" si="33"/>
        <v>9.93234375</v>
      </c>
      <c r="Y61" s="90"/>
      <c r="Z61" s="90"/>
      <c r="AA61" s="90">
        <f t="shared" si="22"/>
        <v>9.93234375</v>
      </c>
      <c r="AB61" s="107">
        <v>7.19</v>
      </c>
      <c r="AC61" s="67">
        <f t="shared" si="30"/>
        <v>71.4135515625</v>
      </c>
      <c r="AD61" s="67">
        <f t="shared" si="28"/>
        <v>419.067028125</v>
      </c>
      <c r="AE61" s="67">
        <f t="shared" si="23"/>
        <v>142.932971875</v>
      </c>
    </row>
    <row r="62" customFormat="1" spans="1:31">
      <c r="A62" s="18"/>
      <c r="B62" s="19"/>
      <c r="C62" s="20">
        <v>240202000050</v>
      </c>
      <c r="D62" s="21">
        <v>45326</v>
      </c>
      <c r="E62" s="21" t="s">
        <v>37</v>
      </c>
      <c r="F62" s="19" t="s">
        <v>38</v>
      </c>
      <c r="G62" s="19" t="s">
        <v>105</v>
      </c>
      <c r="H62" s="19">
        <v>2.5</v>
      </c>
      <c r="I62" s="53"/>
      <c r="J62" s="61">
        <v>64000</v>
      </c>
      <c r="K62" s="55"/>
      <c r="L62" s="61">
        <f>SUM(J62/M62)</f>
        <v>1472.6184997699</v>
      </c>
      <c r="M62" s="62">
        <v>43.46</v>
      </c>
      <c r="N62" s="48">
        <v>7.19</v>
      </c>
      <c r="O62" s="49">
        <f t="shared" si="35"/>
        <v>312.4774</v>
      </c>
      <c r="P62" s="51"/>
      <c r="Q62" s="51"/>
      <c r="R62" s="67">
        <f t="shared" si="31"/>
        <v>191.796875</v>
      </c>
      <c r="S62" s="67"/>
      <c r="T62" s="91">
        <f t="shared" si="32"/>
        <v>1.3439453125</v>
      </c>
      <c r="U62" s="67"/>
      <c r="V62" s="67"/>
      <c r="W62" s="89">
        <f t="shared" si="27"/>
        <v>193.1408203125</v>
      </c>
      <c r="X62" s="90">
        <f t="shared" si="33"/>
        <v>5.51796875</v>
      </c>
      <c r="Y62" s="90"/>
      <c r="Z62" s="90"/>
      <c r="AA62" s="90">
        <f t="shared" si="22"/>
        <v>5.51796875</v>
      </c>
      <c r="AB62" s="107">
        <v>7.19</v>
      </c>
      <c r="AC62" s="67">
        <f t="shared" si="30"/>
        <v>39.6741953125</v>
      </c>
      <c r="AD62" s="67">
        <f t="shared" si="28"/>
        <v>232.815015625</v>
      </c>
      <c r="AE62" s="67">
        <f t="shared" si="23"/>
        <v>79.662384375</v>
      </c>
    </row>
    <row r="63" customFormat="1" spans="1:31">
      <c r="A63" s="18"/>
      <c r="B63" s="19"/>
      <c r="C63" s="20">
        <v>240202000059</v>
      </c>
      <c r="D63" s="21">
        <v>45326</v>
      </c>
      <c r="E63" s="21" t="s">
        <v>106</v>
      </c>
      <c r="F63" s="19" t="s">
        <v>107</v>
      </c>
      <c r="G63" s="19" t="s">
        <v>108</v>
      </c>
      <c r="H63" s="19">
        <v>0.3</v>
      </c>
      <c r="I63" s="49"/>
      <c r="J63" s="65">
        <v>27260</v>
      </c>
      <c r="K63" s="66"/>
      <c r="L63" s="61">
        <f>SUM(J63/M63)</f>
        <v>1547.98409994321</v>
      </c>
      <c r="M63" s="62">
        <v>17.61</v>
      </c>
      <c r="N63" s="48">
        <v>7.19</v>
      </c>
      <c r="O63" s="49">
        <f t="shared" si="35"/>
        <v>126.6159</v>
      </c>
      <c r="P63" s="51"/>
      <c r="Q63" s="51"/>
      <c r="R63" s="67">
        <f t="shared" si="31"/>
        <v>23.015625</v>
      </c>
      <c r="S63" s="67"/>
      <c r="T63" s="91">
        <f t="shared" si="32"/>
        <v>0.1612734375</v>
      </c>
      <c r="U63" s="67"/>
      <c r="V63" s="67"/>
      <c r="W63" s="89">
        <f t="shared" si="27"/>
        <v>23.1768984375</v>
      </c>
      <c r="X63" s="90">
        <f t="shared" si="33"/>
        <v>0.66215625</v>
      </c>
      <c r="Y63" s="90"/>
      <c r="Z63" s="90"/>
      <c r="AA63" s="90">
        <f t="shared" si="22"/>
        <v>0.66215625</v>
      </c>
      <c r="AB63" s="107">
        <v>7.19</v>
      </c>
      <c r="AC63" s="67">
        <f t="shared" si="30"/>
        <v>4.7609034375</v>
      </c>
      <c r="AD63" s="67">
        <f t="shared" si="28"/>
        <v>27.937801875</v>
      </c>
      <c r="AE63" s="67">
        <f t="shared" si="23"/>
        <v>98.678098125</v>
      </c>
    </row>
    <row r="64" customFormat="1" spans="1:31">
      <c r="A64" s="18"/>
      <c r="B64" s="19"/>
      <c r="C64" s="20">
        <v>240203000008</v>
      </c>
      <c r="D64" s="21">
        <v>45326</v>
      </c>
      <c r="E64" s="21" t="s">
        <v>37</v>
      </c>
      <c r="F64" s="19" t="s">
        <v>38</v>
      </c>
      <c r="G64" s="19" t="s">
        <v>109</v>
      </c>
      <c r="H64" s="19">
        <v>1.5</v>
      </c>
      <c r="I64" s="44">
        <v>380</v>
      </c>
      <c r="J64" s="45"/>
      <c r="K64" s="46"/>
      <c r="L64" s="45"/>
      <c r="M64" s="47"/>
      <c r="N64" s="48"/>
      <c r="O64" s="49">
        <f t="shared" ref="O64:O74" si="36">SUM(I64)</f>
        <v>380</v>
      </c>
      <c r="P64" s="51"/>
      <c r="Q64" s="51"/>
      <c r="R64" s="67">
        <f t="shared" si="31"/>
        <v>115.078125</v>
      </c>
      <c r="S64" s="67"/>
      <c r="T64" s="91">
        <f t="shared" si="32"/>
        <v>0.8063671875</v>
      </c>
      <c r="U64" s="67"/>
      <c r="V64" s="67"/>
      <c r="W64" s="89">
        <f t="shared" si="27"/>
        <v>115.8844921875</v>
      </c>
      <c r="X64" s="90">
        <f t="shared" si="33"/>
        <v>3.31078125</v>
      </c>
      <c r="Y64" s="90"/>
      <c r="Z64" s="90"/>
      <c r="AA64" s="90">
        <f t="shared" si="22"/>
        <v>3.31078125</v>
      </c>
      <c r="AB64" s="107">
        <v>7.19</v>
      </c>
      <c r="AC64" s="67">
        <f t="shared" si="30"/>
        <v>23.8045171875</v>
      </c>
      <c r="AD64" s="67">
        <f t="shared" ref="AD64:AD105" si="37">SUM(W64+AC64)</f>
        <v>139.689009375</v>
      </c>
      <c r="AE64" s="67">
        <f t="shared" ref="AE64:AE105" si="38">SUM(O64-AD64)</f>
        <v>240.310990625</v>
      </c>
    </row>
    <row r="65" customFormat="1" spans="1:31">
      <c r="A65" s="18"/>
      <c r="B65" s="19"/>
      <c r="C65" s="20">
        <v>240203000009</v>
      </c>
      <c r="D65" s="21">
        <v>45326</v>
      </c>
      <c r="E65" s="21" t="s">
        <v>37</v>
      </c>
      <c r="F65" s="19" t="s">
        <v>38</v>
      </c>
      <c r="G65" s="19" t="s">
        <v>82</v>
      </c>
      <c r="H65" s="19">
        <v>35</v>
      </c>
      <c r="I65" s="44">
        <v>4375</v>
      </c>
      <c r="J65" s="45"/>
      <c r="K65" s="46"/>
      <c r="L65" s="45"/>
      <c r="M65" s="47"/>
      <c r="N65" s="48"/>
      <c r="O65" s="49">
        <f t="shared" si="36"/>
        <v>4375</v>
      </c>
      <c r="P65" s="51"/>
      <c r="Q65" s="51"/>
      <c r="R65" s="67">
        <f t="shared" si="31"/>
        <v>2685.15625</v>
      </c>
      <c r="S65" s="67"/>
      <c r="T65" s="91">
        <f t="shared" si="32"/>
        <v>18.815234375</v>
      </c>
      <c r="U65" s="67"/>
      <c r="V65" s="67"/>
      <c r="W65" s="89">
        <f t="shared" si="27"/>
        <v>2703.971484375</v>
      </c>
      <c r="X65" s="90">
        <f t="shared" si="33"/>
        <v>77.2515625</v>
      </c>
      <c r="Y65" s="90"/>
      <c r="Z65" s="90"/>
      <c r="AA65" s="90">
        <f t="shared" si="22"/>
        <v>77.2515625</v>
      </c>
      <c r="AB65" s="107">
        <v>7.19</v>
      </c>
      <c r="AC65" s="67">
        <f t="shared" ref="AC65:AC105" si="39">SUM(AA65*AB65)</f>
        <v>555.438734375</v>
      </c>
      <c r="AD65" s="67">
        <f t="shared" si="37"/>
        <v>3259.41021875</v>
      </c>
      <c r="AE65" s="67">
        <f t="shared" si="38"/>
        <v>1115.58978125</v>
      </c>
    </row>
    <row r="66" customFormat="1" spans="1:31">
      <c r="A66" s="18"/>
      <c r="B66" s="19"/>
      <c r="C66" s="20">
        <v>240203000012</v>
      </c>
      <c r="D66" s="21">
        <v>45326</v>
      </c>
      <c r="E66" s="21" t="s">
        <v>37</v>
      </c>
      <c r="F66" s="19" t="s">
        <v>38</v>
      </c>
      <c r="G66" s="19" t="s">
        <v>60</v>
      </c>
      <c r="H66" s="19">
        <v>5.5</v>
      </c>
      <c r="I66" s="53"/>
      <c r="J66" s="61">
        <v>147812.5</v>
      </c>
      <c r="K66" s="55"/>
      <c r="L66" s="61">
        <f>SUM(J66/M66)</f>
        <v>1700.55798435343</v>
      </c>
      <c r="M66" s="62">
        <v>86.92</v>
      </c>
      <c r="N66" s="48">
        <v>7.19</v>
      </c>
      <c r="O66" s="49">
        <f>SUM(M66*N66)</f>
        <v>624.9548</v>
      </c>
      <c r="P66" s="52"/>
      <c r="Q66" s="52"/>
      <c r="R66" s="67">
        <f t="shared" si="31"/>
        <v>421.953125</v>
      </c>
      <c r="S66" s="67"/>
      <c r="T66" s="91">
        <f t="shared" si="32"/>
        <v>2.9566796875</v>
      </c>
      <c r="U66" s="67"/>
      <c r="V66" s="67"/>
      <c r="W66" s="89">
        <f t="shared" ref="W66:W105" si="40">SUM(R66:V66)</f>
        <v>424.9098046875</v>
      </c>
      <c r="X66" s="90">
        <f t="shared" si="33"/>
        <v>12.13953125</v>
      </c>
      <c r="Y66" s="90"/>
      <c r="Z66" s="90"/>
      <c r="AA66" s="90">
        <f t="shared" si="22"/>
        <v>12.13953125</v>
      </c>
      <c r="AB66" s="107">
        <v>7.19</v>
      </c>
      <c r="AC66" s="67">
        <f t="shared" si="39"/>
        <v>87.2832296875</v>
      </c>
      <c r="AD66" s="67">
        <f t="shared" si="37"/>
        <v>512.193034375</v>
      </c>
      <c r="AE66" s="67">
        <f t="shared" si="38"/>
        <v>112.761765625</v>
      </c>
    </row>
    <row r="67" customFormat="1" spans="1:31">
      <c r="A67" s="18" t="s">
        <v>110</v>
      </c>
      <c r="B67" s="19" t="s">
        <v>111</v>
      </c>
      <c r="C67" s="20">
        <v>240119000016</v>
      </c>
      <c r="D67" s="21">
        <v>45326</v>
      </c>
      <c r="E67" s="21" t="s">
        <v>56</v>
      </c>
      <c r="F67" s="19" t="s">
        <v>112</v>
      </c>
      <c r="G67" s="19" t="s">
        <v>113</v>
      </c>
      <c r="H67" s="19">
        <v>21.5</v>
      </c>
      <c r="I67" s="44">
        <v>1299.6</v>
      </c>
      <c r="J67" s="45"/>
      <c r="K67" s="46"/>
      <c r="L67" s="45"/>
      <c r="M67" s="47"/>
      <c r="N67" s="48"/>
      <c r="O67" s="49">
        <f t="shared" si="36"/>
        <v>1299.6</v>
      </c>
      <c r="P67" s="50">
        <f>SUM(O67:O105)</f>
        <v>118689.11970653</v>
      </c>
      <c r="Q67" s="50" t="s">
        <v>50</v>
      </c>
      <c r="R67" s="67">
        <f>SUM(89213.5/1963)*H67</f>
        <v>977.121879775853</v>
      </c>
      <c r="S67" s="67"/>
      <c r="T67" s="91">
        <f>SUM(145/1963)*H67</f>
        <v>1.58813041263372</v>
      </c>
      <c r="U67" s="67"/>
      <c r="V67" s="67"/>
      <c r="W67" s="89">
        <f t="shared" si="40"/>
        <v>978.710010188487</v>
      </c>
      <c r="X67" s="90">
        <f>SUM(1424.83/1963)*H67</f>
        <v>15.6056265919511</v>
      </c>
      <c r="Y67" s="90"/>
      <c r="Z67" s="90"/>
      <c r="AA67" s="90">
        <f t="shared" ref="AA67:AA105" si="41">SUM(X67:Z67)</f>
        <v>15.6056265919511</v>
      </c>
      <c r="AB67" s="107">
        <v>7.19</v>
      </c>
      <c r="AC67" s="67">
        <f t="shared" si="39"/>
        <v>112.204455196128</v>
      </c>
      <c r="AD67" s="67">
        <f t="shared" si="37"/>
        <v>1090.91446538462</v>
      </c>
      <c r="AE67" s="67">
        <f t="shared" si="38"/>
        <v>208.685534615385</v>
      </c>
    </row>
    <row r="68" customFormat="1" spans="1:31">
      <c r="A68" s="18"/>
      <c r="B68" s="19"/>
      <c r="C68" s="20">
        <v>240123000024</v>
      </c>
      <c r="D68" s="21">
        <v>45326</v>
      </c>
      <c r="E68" s="21" t="s">
        <v>56</v>
      </c>
      <c r="F68" s="19" t="s">
        <v>114</v>
      </c>
      <c r="G68" s="19" t="s">
        <v>115</v>
      </c>
      <c r="H68" s="19">
        <v>21</v>
      </c>
      <c r="I68" s="44">
        <v>1269.6</v>
      </c>
      <c r="J68" s="45"/>
      <c r="K68" s="46"/>
      <c r="L68" s="45"/>
      <c r="M68" s="47"/>
      <c r="N68" s="48"/>
      <c r="O68" s="49">
        <f t="shared" si="36"/>
        <v>1269.6</v>
      </c>
      <c r="P68" s="51"/>
      <c r="Q68" s="51"/>
      <c r="R68" s="67">
        <f t="shared" ref="R68:R105" si="42">SUM(89213.5/1963)*H68</f>
        <v>954.398115129903</v>
      </c>
      <c r="S68" s="67"/>
      <c r="T68" s="91">
        <f t="shared" ref="T68:T105" si="43">SUM(145/1963)*H68</f>
        <v>1.55119714722364</v>
      </c>
      <c r="U68" s="67"/>
      <c r="V68" s="67"/>
      <c r="W68" s="89">
        <f t="shared" si="40"/>
        <v>955.949312277127</v>
      </c>
      <c r="X68" s="90">
        <f t="shared" ref="X68:X105" si="44">SUM(1424.83/1963)*H68</f>
        <v>15.2427050433011</v>
      </c>
      <c r="Y68" s="90"/>
      <c r="Z68" s="90"/>
      <c r="AA68" s="90">
        <f t="shared" si="41"/>
        <v>15.2427050433011</v>
      </c>
      <c r="AB68" s="107">
        <v>7.19</v>
      </c>
      <c r="AC68" s="67">
        <f t="shared" si="39"/>
        <v>109.595049261335</v>
      </c>
      <c r="AD68" s="67">
        <f t="shared" si="37"/>
        <v>1065.54436153846</v>
      </c>
      <c r="AE68" s="67">
        <f t="shared" si="38"/>
        <v>204.055638461538</v>
      </c>
    </row>
    <row r="69" customFormat="1" spans="1:31">
      <c r="A69" s="18"/>
      <c r="B69" s="19"/>
      <c r="C69" s="20">
        <v>240123000033</v>
      </c>
      <c r="D69" s="21">
        <v>45326</v>
      </c>
      <c r="E69" s="21" t="s">
        <v>41</v>
      </c>
      <c r="F69" s="19" t="s">
        <v>42</v>
      </c>
      <c r="G69" s="19" t="s">
        <v>116</v>
      </c>
      <c r="H69" s="19">
        <v>1.5</v>
      </c>
      <c r="I69" s="44">
        <v>90</v>
      </c>
      <c r="J69" s="45"/>
      <c r="K69" s="46"/>
      <c r="L69" s="45"/>
      <c r="M69" s="47"/>
      <c r="N69" s="48"/>
      <c r="O69" s="49">
        <f t="shared" si="36"/>
        <v>90</v>
      </c>
      <c r="P69" s="51"/>
      <c r="Q69" s="51"/>
      <c r="R69" s="67">
        <f t="shared" si="42"/>
        <v>68.1712939378502</v>
      </c>
      <c r="S69" s="67"/>
      <c r="T69" s="91">
        <f t="shared" si="43"/>
        <v>0.11079979623026</v>
      </c>
      <c r="U69" s="67"/>
      <c r="V69" s="67"/>
      <c r="W69" s="89">
        <f t="shared" si="40"/>
        <v>68.2820937340805</v>
      </c>
      <c r="X69" s="90">
        <f t="shared" si="44"/>
        <v>1.08876464595008</v>
      </c>
      <c r="Y69" s="90"/>
      <c r="Z69" s="90"/>
      <c r="AA69" s="90">
        <f t="shared" si="41"/>
        <v>1.08876464595008</v>
      </c>
      <c r="AB69" s="107">
        <v>7.19</v>
      </c>
      <c r="AC69" s="67">
        <f t="shared" si="39"/>
        <v>7.82821780438105</v>
      </c>
      <c r="AD69" s="67">
        <f t="shared" si="37"/>
        <v>76.1103115384615</v>
      </c>
      <c r="AE69" s="67">
        <f t="shared" si="38"/>
        <v>13.8896884615385</v>
      </c>
    </row>
    <row r="70" customFormat="1" spans="1:31">
      <c r="A70" s="18"/>
      <c r="B70" s="19"/>
      <c r="C70" s="20">
        <v>240124000018</v>
      </c>
      <c r="D70" s="21">
        <v>45326</v>
      </c>
      <c r="E70" s="21" t="s">
        <v>56</v>
      </c>
      <c r="F70" s="19" t="s">
        <v>112</v>
      </c>
      <c r="G70" s="19" t="s">
        <v>117</v>
      </c>
      <c r="H70" s="19">
        <v>3</v>
      </c>
      <c r="I70" s="44">
        <v>201.6</v>
      </c>
      <c r="J70" s="45"/>
      <c r="K70" s="46"/>
      <c r="L70" s="45"/>
      <c r="M70" s="47"/>
      <c r="N70" s="48"/>
      <c r="O70" s="49">
        <f t="shared" si="36"/>
        <v>201.6</v>
      </c>
      <c r="P70" s="51"/>
      <c r="Q70" s="51"/>
      <c r="R70" s="67">
        <f t="shared" si="42"/>
        <v>136.3425878757</v>
      </c>
      <c r="S70" s="67"/>
      <c r="T70" s="91">
        <f t="shared" si="43"/>
        <v>0.22159959246052</v>
      </c>
      <c r="U70" s="67"/>
      <c r="V70" s="67"/>
      <c r="W70" s="89">
        <f t="shared" si="40"/>
        <v>136.564187468161</v>
      </c>
      <c r="X70" s="90">
        <f t="shared" si="44"/>
        <v>2.17752929190015</v>
      </c>
      <c r="Y70" s="90"/>
      <c r="Z70" s="90"/>
      <c r="AA70" s="90">
        <f t="shared" si="41"/>
        <v>2.17752929190015</v>
      </c>
      <c r="AB70" s="107">
        <v>7.19</v>
      </c>
      <c r="AC70" s="67">
        <f t="shared" si="39"/>
        <v>15.6564356087621</v>
      </c>
      <c r="AD70" s="67">
        <f t="shared" si="37"/>
        <v>152.220623076923</v>
      </c>
      <c r="AE70" s="67">
        <f t="shared" si="38"/>
        <v>49.3793769230769</v>
      </c>
    </row>
    <row r="71" customFormat="1" spans="1:31">
      <c r="A71" s="18"/>
      <c r="B71" s="19"/>
      <c r="C71" s="20">
        <v>240124000030</v>
      </c>
      <c r="D71" s="21">
        <v>45326</v>
      </c>
      <c r="E71" s="21" t="s">
        <v>56</v>
      </c>
      <c r="F71" s="19" t="s">
        <v>112</v>
      </c>
      <c r="G71" s="19" t="s">
        <v>118</v>
      </c>
      <c r="H71" s="19">
        <v>8</v>
      </c>
      <c r="I71" s="44">
        <v>562.8</v>
      </c>
      <c r="J71" s="45"/>
      <c r="K71" s="46"/>
      <c r="L71" s="45"/>
      <c r="M71" s="47"/>
      <c r="N71" s="48"/>
      <c r="O71" s="49">
        <f t="shared" si="36"/>
        <v>562.8</v>
      </c>
      <c r="P71" s="51"/>
      <c r="Q71" s="51"/>
      <c r="R71" s="67">
        <f t="shared" si="42"/>
        <v>363.580234335201</v>
      </c>
      <c r="S71" s="67"/>
      <c r="T71" s="91">
        <f t="shared" si="43"/>
        <v>0.590932246561386</v>
      </c>
      <c r="U71" s="67"/>
      <c r="V71" s="67"/>
      <c r="W71" s="89">
        <f t="shared" si="40"/>
        <v>364.171166581763</v>
      </c>
      <c r="X71" s="90">
        <f t="shared" si="44"/>
        <v>5.80674477840041</v>
      </c>
      <c r="Y71" s="90"/>
      <c r="Z71" s="90"/>
      <c r="AA71" s="90">
        <f t="shared" si="41"/>
        <v>5.80674477840041</v>
      </c>
      <c r="AB71" s="107">
        <v>7.19</v>
      </c>
      <c r="AC71" s="67">
        <f t="shared" si="39"/>
        <v>41.7504949566989</v>
      </c>
      <c r="AD71" s="67">
        <f t="shared" si="37"/>
        <v>405.921661538462</v>
      </c>
      <c r="AE71" s="67">
        <f t="shared" si="38"/>
        <v>156.878338461538</v>
      </c>
    </row>
    <row r="72" customFormat="1" spans="1:31">
      <c r="A72" s="18"/>
      <c r="B72" s="19"/>
      <c r="C72" s="20">
        <v>240124000036</v>
      </c>
      <c r="D72" s="21">
        <v>45326</v>
      </c>
      <c r="E72" s="21" t="s">
        <v>37</v>
      </c>
      <c r="F72" s="19" t="s">
        <v>38</v>
      </c>
      <c r="G72" s="19" t="s">
        <v>119</v>
      </c>
      <c r="H72" s="19">
        <v>40</v>
      </c>
      <c r="I72" s="44">
        <v>4400</v>
      </c>
      <c r="J72" s="45"/>
      <c r="K72" s="46"/>
      <c r="L72" s="45"/>
      <c r="M72" s="47"/>
      <c r="N72" s="48"/>
      <c r="O72" s="49">
        <f t="shared" si="36"/>
        <v>4400</v>
      </c>
      <c r="P72" s="51"/>
      <c r="Q72" s="51"/>
      <c r="R72" s="67">
        <f t="shared" si="42"/>
        <v>1817.90117167601</v>
      </c>
      <c r="S72" s="67"/>
      <c r="T72" s="91">
        <f t="shared" si="43"/>
        <v>2.95466123280693</v>
      </c>
      <c r="U72" s="67">
        <v>2392</v>
      </c>
      <c r="V72" s="67"/>
      <c r="W72" s="89">
        <f t="shared" si="40"/>
        <v>4212.85583290881</v>
      </c>
      <c r="X72" s="90">
        <f t="shared" si="44"/>
        <v>29.033723892002</v>
      </c>
      <c r="Y72" s="90"/>
      <c r="Z72" s="90"/>
      <c r="AA72" s="90">
        <f t="shared" si="41"/>
        <v>29.033723892002</v>
      </c>
      <c r="AB72" s="107">
        <v>7.19</v>
      </c>
      <c r="AC72" s="67">
        <f t="shared" si="39"/>
        <v>208.752474783495</v>
      </c>
      <c r="AD72" s="67">
        <f t="shared" si="37"/>
        <v>4421.60830769231</v>
      </c>
      <c r="AE72" s="67">
        <f t="shared" si="38"/>
        <v>-21.6083076923078</v>
      </c>
    </row>
    <row r="73" customFormat="1" spans="1:31">
      <c r="A73" s="18"/>
      <c r="B73" s="19"/>
      <c r="C73" s="20">
        <v>240125000028</v>
      </c>
      <c r="D73" s="21">
        <v>45326</v>
      </c>
      <c r="E73" s="21" t="s">
        <v>37</v>
      </c>
      <c r="F73" s="19" t="s">
        <v>38</v>
      </c>
      <c r="G73" s="19" t="s">
        <v>39</v>
      </c>
      <c r="H73" s="19">
        <v>1.5</v>
      </c>
      <c r="I73" s="44">
        <v>102.6</v>
      </c>
      <c r="J73" s="45"/>
      <c r="K73" s="46"/>
      <c r="L73" s="45"/>
      <c r="M73" s="47"/>
      <c r="N73" s="48"/>
      <c r="O73" s="49">
        <f t="shared" si="36"/>
        <v>102.6</v>
      </c>
      <c r="P73" s="51"/>
      <c r="Q73" s="51"/>
      <c r="R73" s="67">
        <f t="shared" si="42"/>
        <v>68.1712939378502</v>
      </c>
      <c r="S73" s="67"/>
      <c r="T73" s="91">
        <f t="shared" si="43"/>
        <v>0.11079979623026</v>
      </c>
      <c r="U73" s="67"/>
      <c r="V73" s="67"/>
      <c r="W73" s="89">
        <f t="shared" si="40"/>
        <v>68.2820937340805</v>
      </c>
      <c r="X73" s="90">
        <f t="shared" si="44"/>
        <v>1.08876464595008</v>
      </c>
      <c r="Y73" s="90"/>
      <c r="Z73" s="90"/>
      <c r="AA73" s="90">
        <f t="shared" si="41"/>
        <v>1.08876464595008</v>
      </c>
      <c r="AB73" s="107">
        <v>7.19</v>
      </c>
      <c r="AC73" s="67">
        <f t="shared" si="39"/>
        <v>7.82821780438105</v>
      </c>
      <c r="AD73" s="67">
        <f t="shared" si="37"/>
        <v>76.1103115384615</v>
      </c>
      <c r="AE73" s="67">
        <f t="shared" si="38"/>
        <v>26.4896884615384</v>
      </c>
    </row>
    <row r="74" customFormat="1" spans="1:31">
      <c r="A74" s="18"/>
      <c r="B74" s="19"/>
      <c r="C74" s="20">
        <v>240125000033</v>
      </c>
      <c r="D74" s="21">
        <v>45326</v>
      </c>
      <c r="E74" s="21" t="s">
        <v>56</v>
      </c>
      <c r="F74" s="19" t="s">
        <v>114</v>
      </c>
      <c r="G74" s="19" t="s">
        <v>120</v>
      </c>
      <c r="H74" s="19">
        <v>9</v>
      </c>
      <c r="I74" s="44">
        <v>527</v>
      </c>
      <c r="J74" s="45"/>
      <c r="K74" s="46"/>
      <c r="L74" s="45"/>
      <c r="M74" s="47"/>
      <c r="N74" s="48"/>
      <c r="O74" s="49">
        <f t="shared" si="36"/>
        <v>527</v>
      </c>
      <c r="P74" s="51"/>
      <c r="Q74" s="51"/>
      <c r="R74" s="67">
        <f t="shared" si="42"/>
        <v>409.027763627101</v>
      </c>
      <c r="S74" s="67"/>
      <c r="T74" s="91">
        <f t="shared" si="43"/>
        <v>0.664798777381559</v>
      </c>
      <c r="U74" s="67"/>
      <c r="V74" s="67"/>
      <c r="W74" s="89">
        <f t="shared" si="40"/>
        <v>409.692562404483</v>
      </c>
      <c r="X74" s="90">
        <f t="shared" si="44"/>
        <v>6.53258787570046</v>
      </c>
      <c r="Y74" s="90"/>
      <c r="Z74" s="90"/>
      <c r="AA74" s="90">
        <f t="shared" si="41"/>
        <v>6.53258787570046</v>
      </c>
      <c r="AB74" s="107">
        <v>7.19</v>
      </c>
      <c r="AC74" s="67">
        <f t="shared" si="39"/>
        <v>46.9693068262863</v>
      </c>
      <c r="AD74" s="67">
        <f t="shared" si="37"/>
        <v>456.661869230769</v>
      </c>
      <c r="AE74" s="67">
        <f t="shared" si="38"/>
        <v>70.3381307692308</v>
      </c>
    </row>
    <row r="75" customFormat="1" spans="1:31">
      <c r="A75" s="18"/>
      <c r="B75" s="19"/>
      <c r="C75" s="20">
        <v>240125000052</v>
      </c>
      <c r="D75" s="21">
        <v>45326</v>
      </c>
      <c r="E75" s="21" t="s">
        <v>44</v>
      </c>
      <c r="F75" s="19" t="s">
        <v>44</v>
      </c>
      <c r="G75" s="19" t="s">
        <v>121</v>
      </c>
      <c r="H75" s="19">
        <v>5</v>
      </c>
      <c r="I75" s="49"/>
      <c r="J75" s="65">
        <v>78205</v>
      </c>
      <c r="K75" s="66"/>
      <c r="L75" s="61">
        <f>SUM(J75/M75)</f>
        <v>1548.00088368968</v>
      </c>
      <c r="M75" s="62">
        <v>50.519997</v>
      </c>
      <c r="N75" s="48">
        <v>7.19</v>
      </c>
      <c r="O75" s="49">
        <f>SUM(M75*N75)</f>
        <v>363.23877843</v>
      </c>
      <c r="P75" s="51"/>
      <c r="Q75" s="51"/>
      <c r="R75" s="67">
        <f t="shared" si="42"/>
        <v>227.237646459501</v>
      </c>
      <c r="S75" s="67"/>
      <c r="T75" s="91">
        <f t="shared" si="43"/>
        <v>0.369332654100866</v>
      </c>
      <c r="U75" s="67"/>
      <c r="V75" s="67"/>
      <c r="W75" s="89">
        <f t="shared" si="40"/>
        <v>227.606979113602</v>
      </c>
      <c r="X75" s="90">
        <f t="shared" si="44"/>
        <v>3.62921548650025</v>
      </c>
      <c r="Y75" s="90"/>
      <c r="Z75" s="90"/>
      <c r="AA75" s="90">
        <f t="shared" si="41"/>
        <v>3.62921548650025</v>
      </c>
      <c r="AB75" s="107">
        <v>7.19</v>
      </c>
      <c r="AC75" s="67">
        <f t="shared" si="39"/>
        <v>26.0940593479368</v>
      </c>
      <c r="AD75" s="67">
        <f t="shared" si="37"/>
        <v>253.701038461538</v>
      </c>
      <c r="AE75" s="67">
        <f t="shared" si="38"/>
        <v>109.537739968462</v>
      </c>
    </row>
    <row r="76" customFormat="1" spans="1:31">
      <c r="A76" s="18"/>
      <c r="B76" s="19"/>
      <c r="C76" s="20">
        <v>240126000001</v>
      </c>
      <c r="D76" s="21">
        <v>45326</v>
      </c>
      <c r="E76" s="21" t="s">
        <v>37</v>
      </c>
      <c r="F76" s="19" t="s">
        <v>122</v>
      </c>
      <c r="G76" s="19" t="s">
        <v>123</v>
      </c>
      <c r="H76" s="19">
        <v>53.5</v>
      </c>
      <c r="I76" s="44">
        <v>3756.2</v>
      </c>
      <c r="J76" s="45"/>
      <c r="K76" s="46"/>
      <c r="L76" s="45"/>
      <c r="M76" s="47"/>
      <c r="N76" s="48"/>
      <c r="O76" s="49">
        <f t="shared" ref="O76:O78" si="45">SUM(I76)</f>
        <v>3756.2</v>
      </c>
      <c r="P76" s="51"/>
      <c r="Q76" s="51"/>
      <c r="R76" s="67">
        <f t="shared" si="42"/>
        <v>2431.44281711666</v>
      </c>
      <c r="S76" s="67"/>
      <c r="T76" s="91">
        <f t="shared" si="43"/>
        <v>3.95185939887927</v>
      </c>
      <c r="U76" s="67"/>
      <c r="V76" s="67"/>
      <c r="W76" s="89">
        <f t="shared" si="40"/>
        <v>2435.39467651554</v>
      </c>
      <c r="X76" s="90">
        <f t="shared" si="44"/>
        <v>38.8326057055527</v>
      </c>
      <c r="Y76" s="90"/>
      <c r="Z76" s="90"/>
      <c r="AA76" s="90">
        <f t="shared" si="41"/>
        <v>38.8326057055527</v>
      </c>
      <c r="AB76" s="107">
        <v>7.19</v>
      </c>
      <c r="AC76" s="67">
        <f t="shared" si="39"/>
        <v>279.206435022924</v>
      </c>
      <c r="AD76" s="67">
        <f t="shared" si="37"/>
        <v>2714.60111153846</v>
      </c>
      <c r="AE76" s="67">
        <f t="shared" si="38"/>
        <v>1041.59888846154</v>
      </c>
    </row>
    <row r="77" customFormat="1" spans="1:31">
      <c r="A77" s="18"/>
      <c r="B77" s="19"/>
      <c r="C77" s="20">
        <v>240126000002</v>
      </c>
      <c r="D77" s="21">
        <v>45326</v>
      </c>
      <c r="E77" s="21" t="s">
        <v>76</v>
      </c>
      <c r="F77" s="19" t="s">
        <v>77</v>
      </c>
      <c r="G77" s="19" t="s">
        <v>124</v>
      </c>
      <c r="H77" s="19">
        <v>6</v>
      </c>
      <c r="I77" s="44">
        <v>402</v>
      </c>
      <c r="J77" s="45"/>
      <c r="K77" s="46"/>
      <c r="L77" s="45"/>
      <c r="M77" s="47"/>
      <c r="N77" s="48"/>
      <c r="O77" s="49">
        <f t="shared" si="45"/>
        <v>402</v>
      </c>
      <c r="P77" s="51"/>
      <c r="Q77" s="51"/>
      <c r="R77" s="67">
        <f t="shared" si="42"/>
        <v>272.685175751401</v>
      </c>
      <c r="S77" s="67"/>
      <c r="T77" s="91">
        <f t="shared" si="43"/>
        <v>0.443199184921039</v>
      </c>
      <c r="U77" s="67"/>
      <c r="V77" s="67"/>
      <c r="W77" s="89">
        <f t="shared" si="40"/>
        <v>273.128374936322</v>
      </c>
      <c r="X77" s="90">
        <f t="shared" si="44"/>
        <v>4.35505858380031</v>
      </c>
      <c r="Y77" s="90"/>
      <c r="Z77" s="90"/>
      <c r="AA77" s="90">
        <f t="shared" si="41"/>
        <v>4.35505858380031</v>
      </c>
      <c r="AB77" s="107">
        <v>7.19</v>
      </c>
      <c r="AC77" s="67">
        <f t="shared" si="39"/>
        <v>31.3128712175242</v>
      </c>
      <c r="AD77" s="67">
        <f t="shared" si="37"/>
        <v>304.441246153846</v>
      </c>
      <c r="AE77" s="67">
        <f t="shared" si="38"/>
        <v>97.5587538461538</v>
      </c>
    </row>
    <row r="78" customFormat="1" spans="1:31">
      <c r="A78" s="18"/>
      <c r="B78" s="19"/>
      <c r="C78" s="20">
        <v>240126000008</v>
      </c>
      <c r="D78" s="21">
        <v>45326</v>
      </c>
      <c r="E78" s="21" t="s">
        <v>62</v>
      </c>
      <c r="F78" s="19" t="s">
        <v>63</v>
      </c>
      <c r="G78" s="19" t="s">
        <v>125</v>
      </c>
      <c r="H78" s="19">
        <v>2</v>
      </c>
      <c r="I78" s="44">
        <v>206.8</v>
      </c>
      <c r="J78" s="45"/>
      <c r="K78" s="46"/>
      <c r="L78" s="45"/>
      <c r="M78" s="47"/>
      <c r="N78" s="48"/>
      <c r="O78" s="49">
        <f t="shared" si="45"/>
        <v>206.8</v>
      </c>
      <c r="P78" s="51"/>
      <c r="Q78" s="51"/>
      <c r="R78" s="67">
        <f t="shared" si="42"/>
        <v>90.8950585838003</v>
      </c>
      <c r="S78" s="67"/>
      <c r="T78" s="91">
        <f t="shared" si="43"/>
        <v>0.147733061640346</v>
      </c>
      <c r="U78" s="67"/>
      <c r="V78" s="67"/>
      <c r="W78" s="89">
        <f t="shared" si="40"/>
        <v>91.0427916454407</v>
      </c>
      <c r="X78" s="90">
        <f t="shared" si="44"/>
        <v>1.4516861946001</v>
      </c>
      <c r="Y78" s="90"/>
      <c r="Z78" s="90"/>
      <c r="AA78" s="90">
        <f t="shared" si="41"/>
        <v>1.4516861946001</v>
      </c>
      <c r="AB78" s="107">
        <v>7.19</v>
      </c>
      <c r="AC78" s="67">
        <f t="shared" si="39"/>
        <v>10.4376237391747</v>
      </c>
      <c r="AD78" s="67">
        <f t="shared" si="37"/>
        <v>101.480415384615</v>
      </c>
      <c r="AE78" s="67">
        <f t="shared" si="38"/>
        <v>105.319584615385</v>
      </c>
    </row>
    <row r="79" customFormat="1" spans="1:31">
      <c r="A79" s="18"/>
      <c r="B79" s="19"/>
      <c r="C79" s="20">
        <v>240126000009</v>
      </c>
      <c r="D79" s="21">
        <v>45326</v>
      </c>
      <c r="E79" s="21" t="s">
        <v>62</v>
      </c>
      <c r="F79" s="19" t="s">
        <v>63</v>
      </c>
      <c r="G79" s="19" t="s">
        <v>126</v>
      </c>
      <c r="H79" s="19">
        <v>3</v>
      </c>
      <c r="I79" s="112">
        <v>178</v>
      </c>
      <c r="J79" s="68"/>
      <c r="K79" s="66"/>
      <c r="L79" s="68"/>
      <c r="M79" s="47"/>
      <c r="N79" s="48"/>
      <c r="O79" s="49">
        <f>SUBTOTAL(9,I79)</f>
        <v>178</v>
      </c>
      <c r="P79" s="51"/>
      <c r="Q79" s="51"/>
      <c r="R79" s="67">
        <f t="shared" si="42"/>
        <v>136.3425878757</v>
      </c>
      <c r="S79" s="67"/>
      <c r="T79" s="91">
        <f t="shared" si="43"/>
        <v>0.22159959246052</v>
      </c>
      <c r="U79" s="67"/>
      <c r="V79" s="67"/>
      <c r="W79" s="89">
        <f t="shared" si="40"/>
        <v>136.564187468161</v>
      </c>
      <c r="X79" s="90">
        <f t="shared" si="44"/>
        <v>2.17752929190015</v>
      </c>
      <c r="Y79" s="90"/>
      <c r="Z79" s="90"/>
      <c r="AA79" s="90">
        <f t="shared" si="41"/>
        <v>2.17752929190015</v>
      </c>
      <c r="AB79" s="107">
        <v>7.19</v>
      </c>
      <c r="AC79" s="67">
        <f t="shared" si="39"/>
        <v>15.6564356087621</v>
      </c>
      <c r="AD79" s="67">
        <f t="shared" si="37"/>
        <v>152.220623076923</v>
      </c>
      <c r="AE79" s="67">
        <f t="shared" si="38"/>
        <v>25.779376923077</v>
      </c>
    </row>
    <row r="80" customFormat="1" spans="1:31">
      <c r="A80" s="18"/>
      <c r="B80" s="19"/>
      <c r="C80" s="20">
        <v>240126000015</v>
      </c>
      <c r="D80" s="21">
        <v>45326</v>
      </c>
      <c r="E80" s="21" t="s">
        <v>37</v>
      </c>
      <c r="F80" s="19" t="s">
        <v>38</v>
      </c>
      <c r="G80" s="19" t="s">
        <v>127</v>
      </c>
      <c r="H80" s="19">
        <v>26</v>
      </c>
      <c r="I80" s="44">
        <v>1840.3</v>
      </c>
      <c r="J80" s="45"/>
      <c r="K80" s="46"/>
      <c r="L80" s="45"/>
      <c r="M80" s="47"/>
      <c r="N80" s="48"/>
      <c r="O80" s="49">
        <f t="shared" ref="O80:O86" si="46">SUM(I80)</f>
        <v>1840.3</v>
      </c>
      <c r="P80" s="51"/>
      <c r="Q80" s="51"/>
      <c r="R80" s="67">
        <f t="shared" si="42"/>
        <v>1181.6357615894</v>
      </c>
      <c r="S80" s="67"/>
      <c r="T80" s="91">
        <f t="shared" si="43"/>
        <v>1.9205298013245</v>
      </c>
      <c r="U80" s="67"/>
      <c r="V80" s="91">
        <f>SUM(153+127.3)</f>
        <v>280.3</v>
      </c>
      <c r="W80" s="89">
        <f t="shared" si="40"/>
        <v>1463.85629139073</v>
      </c>
      <c r="X80" s="90">
        <f t="shared" si="44"/>
        <v>18.8719205298013</v>
      </c>
      <c r="Y80" s="90"/>
      <c r="Z80" s="90"/>
      <c r="AA80" s="90">
        <f t="shared" si="41"/>
        <v>18.8719205298013</v>
      </c>
      <c r="AB80" s="107">
        <v>7.19</v>
      </c>
      <c r="AC80" s="67">
        <f t="shared" si="39"/>
        <v>135.689108609271</v>
      </c>
      <c r="AD80" s="67">
        <f t="shared" si="37"/>
        <v>1599.5454</v>
      </c>
      <c r="AE80" s="67">
        <f t="shared" si="38"/>
        <v>240.7546</v>
      </c>
    </row>
    <row r="81" customFormat="1" spans="1:31">
      <c r="A81" s="18"/>
      <c r="B81" s="19"/>
      <c r="C81" s="20">
        <v>240126000023</v>
      </c>
      <c r="D81" s="21">
        <v>45326</v>
      </c>
      <c r="E81" s="21" t="s">
        <v>44</v>
      </c>
      <c r="F81" s="19" t="s">
        <v>44</v>
      </c>
      <c r="G81" s="19" t="s">
        <v>128</v>
      </c>
      <c r="H81" s="19">
        <v>71</v>
      </c>
      <c r="I81" s="53"/>
      <c r="J81" s="61">
        <v>926355.2</v>
      </c>
      <c r="K81" s="55"/>
      <c r="L81" s="61">
        <f>SUM(J81/M81)</f>
        <v>1524.28743027331</v>
      </c>
      <c r="M81" s="62">
        <v>607.73</v>
      </c>
      <c r="N81" s="48">
        <v>7.19</v>
      </c>
      <c r="O81" s="49">
        <f>SUM(M81*N81)</f>
        <v>4369.5787</v>
      </c>
      <c r="P81" s="51"/>
      <c r="Q81" s="51"/>
      <c r="R81" s="67">
        <f t="shared" si="42"/>
        <v>3226.77457972491</v>
      </c>
      <c r="S81" s="67"/>
      <c r="T81" s="91">
        <f t="shared" si="43"/>
        <v>5.2445236882323</v>
      </c>
      <c r="U81" s="67">
        <f>SUM(60+40)</f>
        <v>100</v>
      </c>
      <c r="V81" s="67"/>
      <c r="W81" s="89">
        <f t="shared" si="40"/>
        <v>3332.01910341314</v>
      </c>
      <c r="X81" s="90">
        <f t="shared" si="44"/>
        <v>51.5348599083036</v>
      </c>
      <c r="Y81" s="90"/>
      <c r="Z81" s="90"/>
      <c r="AA81" s="90">
        <f t="shared" si="41"/>
        <v>51.5348599083036</v>
      </c>
      <c r="AB81" s="107">
        <v>7.19</v>
      </c>
      <c r="AC81" s="67">
        <f t="shared" si="39"/>
        <v>370.535642740703</v>
      </c>
      <c r="AD81" s="67">
        <f t="shared" si="37"/>
        <v>3702.55474615385</v>
      </c>
      <c r="AE81" s="67">
        <f t="shared" si="38"/>
        <v>667.023953846154</v>
      </c>
    </row>
    <row r="82" customFormat="1" spans="1:31">
      <c r="A82" s="18"/>
      <c r="B82" s="19"/>
      <c r="C82" s="20">
        <v>240126000034</v>
      </c>
      <c r="D82" s="21">
        <v>45326</v>
      </c>
      <c r="E82" s="21" t="s">
        <v>62</v>
      </c>
      <c r="F82" s="19" t="s">
        <v>63</v>
      </c>
      <c r="G82" s="19" t="s">
        <v>129</v>
      </c>
      <c r="H82" s="19">
        <v>14.5</v>
      </c>
      <c r="I82" s="44">
        <v>1015.2</v>
      </c>
      <c r="J82" s="45"/>
      <c r="K82" s="46"/>
      <c r="L82" s="45"/>
      <c r="M82" s="47"/>
      <c r="N82" s="48"/>
      <c r="O82" s="49">
        <f t="shared" si="46"/>
        <v>1015.2</v>
      </c>
      <c r="P82" s="51"/>
      <c r="Q82" s="51"/>
      <c r="R82" s="67">
        <f t="shared" si="42"/>
        <v>658.989174732552</v>
      </c>
      <c r="S82" s="67"/>
      <c r="T82" s="91">
        <f t="shared" si="43"/>
        <v>1.07106469689251</v>
      </c>
      <c r="U82" s="67"/>
      <c r="V82" s="67"/>
      <c r="W82" s="89">
        <f t="shared" si="40"/>
        <v>660.060239429445</v>
      </c>
      <c r="X82" s="90">
        <f t="shared" si="44"/>
        <v>10.5247249108507</v>
      </c>
      <c r="Y82" s="90"/>
      <c r="Z82" s="90"/>
      <c r="AA82" s="90">
        <f t="shared" si="41"/>
        <v>10.5247249108507</v>
      </c>
      <c r="AB82" s="107">
        <v>7.19</v>
      </c>
      <c r="AC82" s="67">
        <f t="shared" si="39"/>
        <v>75.6727721090168</v>
      </c>
      <c r="AD82" s="67">
        <f t="shared" si="37"/>
        <v>735.733011538462</v>
      </c>
      <c r="AE82" s="67">
        <f t="shared" si="38"/>
        <v>279.466988461538</v>
      </c>
    </row>
    <row r="83" customFormat="1" spans="1:31">
      <c r="A83" s="18"/>
      <c r="B83" s="19"/>
      <c r="C83" s="20">
        <v>240126000035</v>
      </c>
      <c r="D83" s="21">
        <v>45326</v>
      </c>
      <c r="E83" s="21" t="s">
        <v>76</v>
      </c>
      <c r="F83" s="19" t="s">
        <v>77</v>
      </c>
      <c r="G83" s="19" t="s">
        <v>130</v>
      </c>
      <c r="H83" s="19">
        <v>7</v>
      </c>
      <c r="I83" s="44">
        <v>604</v>
      </c>
      <c r="J83" s="45"/>
      <c r="K83" s="46"/>
      <c r="L83" s="45"/>
      <c r="M83" s="47"/>
      <c r="N83" s="48"/>
      <c r="O83" s="49">
        <f t="shared" si="46"/>
        <v>604</v>
      </c>
      <c r="P83" s="51"/>
      <c r="Q83" s="51"/>
      <c r="R83" s="67">
        <f t="shared" si="42"/>
        <v>318.132705043301</v>
      </c>
      <c r="S83" s="67"/>
      <c r="T83" s="91">
        <f t="shared" si="43"/>
        <v>0.517065715741212</v>
      </c>
      <c r="U83" s="67"/>
      <c r="V83" s="67"/>
      <c r="W83" s="89">
        <f t="shared" si="40"/>
        <v>318.649770759042</v>
      </c>
      <c r="X83" s="90">
        <f t="shared" si="44"/>
        <v>5.08090168110036</v>
      </c>
      <c r="Y83" s="90"/>
      <c r="Z83" s="90"/>
      <c r="AA83" s="90">
        <f t="shared" si="41"/>
        <v>5.08090168110036</v>
      </c>
      <c r="AB83" s="107">
        <v>7.19</v>
      </c>
      <c r="AC83" s="67">
        <f t="shared" si="39"/>
        <v>36.5316830871116</v>
      </c>
      <c r="AD83" s="67">
        <f t="shared" si="37"/>
        <v>355.181453846154</v>
      </c>
      <c r="AE83" s="67">
        <f t="shared" si="38"/>
        <v>248.818546153846</v>
      </c>
    </row>
    <row r="84" customFormat="1" spans="1:31">
      <c r="A84" s="18"/>
      <c r="B84" s="19"/>
      <c r="C84" s="20">
        <v>240126000055</v>
      </c>
      <c r="D84" s="21">
        <v>45326</v>
      </c>
      <c r="E84" s="21" t="s">
        <v>41</v>
      </c>
      <c r="F84" s="19" t="s">
        <v>131</v>
      </c>
      <c r="G84" s="19" t="s">
        <v>132</v>
      </c>
      <c r="H84" s="19">
        <v>18.5</v>
      </c>
      <c r="I84" s="44">
        <v>1509.2</v>
      </c>
      <c r="J84" s="45"/>
      <c r="K84" s="46"/>
      <c r="L84" s="45"/>
      <c r="M84" s="47"/>
      <c r="N84" s="48"/>
      <c r="O84" s="49">
        <f t="shared" si="46"/>
        <v>1509.2</v>
      </c>
      <c r="P84" s="51"/>
      <c r="Q84" s="51"/>
      <c r="R84" s="67">
        <f t="shared" si="42"/>
        <v>840.779291900153</v>
      </c>
      <c r="S84" s="67"/>
      <c r="T84" s="91">
        <f t="shared" si="43"/>
        <v>1.3665308201732</v>
      </c>
      <c r="U84" s="67"/>
      <c r="V84" s="67"/>
      <c r="W84" s="89">
        <f t="shared" si="40"/>
        <v>842.145822720326</v>
      </c>
      <c r="X84" s="90">
        <f t="shared" si="44"/>
        <v>13.4280973000509</v>
      </c>
      <c r="Y84" s="90"/>
      <c r="Z84" s="90"/>
      <c r="AA84" s="90">
        <f t="shared" si="41"/>
        <v>13.4280973000509</v>
      </c>
      <c r="AB84" s="107">
        <v>7.19</v>
      </c>
      <c r="AC84" s="67">
        <f t="shared" si="39"/>
        <v>96.5480195873663</v>
      </c>
      <c r="AD84" s="67">
        <f t="shared" si="37"/>
        <v>938.693842307692</v>
      </c>
      <c r="AE84" s="67">
        <f t="shared" si="38"/>
        <v>570.506157692308</v>
      </c>
    </row>
    <row r="85" customFormat="1" spans="1:31">
      <c r="A85" s="18"/>
      <c r="B85" s="19"/>
      <c r="C85" s="20">
        <v>240127000001</v>
      </c>
      <c r="D85" s="21">
        <v>45326</v>
      </c>
      <c r="E85" s="21" t="s">
        <v>56</v>
      </c>
      <c r="F85" s="19" t="s">
        <v>114</v>
      </c>
      <c r="G85" s="19" t="s">
        <v>133</v>
      </c>
      <c r="H85" s="19">
        <v>11</v>
      </c>
      <c r="I85" s="44">
        <v>968</v>
      </c>
      <c r="J85" s="45"/>
      <c r="K85" s="46"/>
      <c r="L85" s="45"/>
      <c r="M85" s="47"/>
      <c r="N85" s="48"/>
      <c r="O85" s="49">
        <f t="shared" si="46"/>
        <v>968</v>
      </c>
      <c r="P85" s="51"/>
      <c r="Q85" s="51"/>
      <c r="R85" s="67">
        <f t="shared" si="42"/>
        <v>499.922822210902</v>
      </c>
      <c r="S85" s="67"/>
      <c r="T85" s="91">
        <f t="shared" si="43"/>
        <v>0.812531839021905</v>
      </c>
      <c r="U85" s="67"/>
      <c r="V85" s="67"/>
      <c r="W85" s="89">
        <f t="shared" si="40"/>
        <v>500.735354049924</v>
      </c>
      <c r="X85" s="90">
        <f t="shared" si="44"/>
        <v>7.98427407030056</v>
      </c>
      <c r="Y85" s="90"/>
      <c r="Z85" s="90"/>
      <c r="AA85" s="90">
        <f t="shared" si="41"/>
        <v>7.98427407030056</v>
      </c>
      <c r="AB85" s="107">
        <v>7.19</v>
      </c>
      <c r="AC85" s="67">
        <f t="shared" si="39"/>
        <v>57.406930565461</v>
      </c>
      <c r="AD85" s="67">
        <f t="shared" si="37"/>
        <v>558.142284615385</v>
      </c>
      <c r="AE85" s="67">
        <f t="shared" si="38"/>
        <v>409.857715384615</v>
      </c>
    </row>
    <row r="86" customFormat="1" spans="1:31">
      <c r="A86" s="18"/>
      <c r="B86" s="19"/>
      <c r="C86" s="20">
        <v>240127000005</v>
      </c>
      <c r="D86" s="21">
        <v>45326</v>
      </c>
      <c r="E86" s="21" t="s">
        <v>44</v>
      </c>
      <c r="F86" s="19" t="s">
        <v>44</v>
      </c>
      <c r="G86" s="19" t="s">
        <v>134</v>
      </c>
      <c r="H86" s="19">
        <v>4.5</v>
      </c>
      <c r="I86" s="44">
        <v>300.6</v>
      </c>
      <c r="J86" s="45"/>
      <c r="K86" s="46"/>
      <c r="L86" s="45"/>
      <c r="M86" s="47"/>
      <c r="N86" s="48"/>
      <c r="O86" s="49">
        <f t="shared" si="46"/>
        <v>300.6</v>
      </c>
      <c r="P86" s="51"/>
      <c r="Q86" s="51"/>
      <c r="R86" s="67">
        <f t="shared" si="42"/>
        <v>204.513881813551</v>
      </c>
      <c r="S86" s="67"/>
      <c r="T86" s="91">
        <f t="shared" si="43"/>
        <v>0.332399388690779</v>
      </c>
      <c r="U86" s="67"/>
      <c r="V86" s="67"/>
      <c r="W86" s="89">
        <f t="shared" si="40"/>
        <v>204.846281202241</v>
      </c>
      <c r="X86" s="90">
        <f t="shared" si="44"/>
        <v>3.26629393785023</v>
      </c>
      <c r="Y86" s="90"/>
      <c r="Z86" s="90"/>
      <c r="AA86" s="90">
        <f t="shared" si="41"/>
        <v>3.26629393785023</v>
      </c>
      <c r="AB86" s="107">
        <v>7.19</v>
      </c>
      <c r="AC86" s="67">
        <f t="shared" si="39"/>
        <v>23.4846534131431</v>
      </c>
      <c r="AD86" s="67">
        <f t="shared" si="37"/>
        <v>228.330934615385</v>
      </c>
      <c r="AE86" s="67">
        <f t="shared" si="38"/>
        <v>72.2690653846154</v>
      </c>
    </row>
    <row r="87" customFormat="1" spans="1:31">
      <c r="A87" s="18"/>
      <c r="B87" s="19"/>
      <c r="C87" s="20">
        <v>240127000006</v>
      </c>
      <c r="D87" s="21">
        <v>45326</v>
      </c>
      <c r="E87" s="21" t="s">
        <v>37</v>
      </c>
      <c r="F87" s="19" t="s">
        <v>38</v>
      </c>
      <c r="G87" s="19" t="s">
        <v>135</v>
      </c>
      <c r="H87" s="19">
        <v>18</v>
      </c>
      <c r="I87" s="53"/>
      <c r="J87" s="61">
        <v>313745</v>
      </c>
      <c r="K87" s="55"/>
      <c r="L87" s="61">
        <f>SUM(J87/M87)</f>
        <v>1538.71996076508</v>
      </c>
      <c r="M87" s="62">
        <v>203.9</v>
      </c>
      <c r="N87" s="48">
        <v>7.19</v>
      </c>
      <c r="O87" s="49">
        <f t="shared" ref="O87:O95" si="47">SUM(M87*N87)</f>
        <v>1466.041</v>
      </c>
      <c r="P87" s="51"/>
      <c r="Q87" s="51"/>
      <c r="R87" s="67">
        <f t="shared" si="42"/>
        <v>818.055527254203</v>
      </c>
      <c r="S87" s="67"/>
      <c r="T87" s="91">
        <f t="shared" si="43"/>
        <v>1.32959755476312</v>
      </c>
      <c r="U87" s="67">
        <v>80</v>
      </c>
      <c r="V87" s="67"/>
      <c r="W87" s="89">
        <f t="shared" si="40"/>
        <v>899.385124808966</v>
      </c>
      <c r="X87" s="90">
        <f t="shared" si="44"/>
        <v>13.0651757514009</v>
      </c>
      <c r="Y87" s="90"/>
      <c r="Z87" s="90"/>
      <c r="AA87" s="90">
        <f t="shared" si="41"/>
        <v>13.0651757514009</v>
      </c>
      <c r="AB87" s="107">
        <v>7.19</v>
      </c>
      <c r="AC87" s="67">
        <f t="shared" si="39"/>
        <v>93.9386136525726</v>
      </c>
      <c r="AD87" s="67">
        <f t="shared" si="37"/>
        <v>993.323738461538</v>
      </c>
      <c r="AE87" s="67">
        <f t="shared" si="38"/>
        <v>472.717261538461</v>
      </c>
    </row>
    <row r="88" customFormat="1" spans="1:31">
      <c r="A88" s="18"/>
      <c r="B88" s="19"/>
      <c r="C88" s="24">
        <v>240127000008</v>
      </c>
      <c r="D88" s="25">
        <v>45326</v>
      </c>
      <c r="E88" s="21" t="s">
        <v>37</v>
      </c>
      <c r="F88" s="26" t="s">
        <v>38</v>
      </c>
      <c r="G88" s="26" t="s">
        <v>136</v>
      </c>
      <c r="H88" s="26">
        <v>15.5</v>
      </c>
      <c r="I88" s="113">
        <v>1210</v>
      </c>
      <c r="J88" s="61"/>
      <c r="K88" s="64"/>
      <c r="L88" s="61"/>
      <c r="M88" s="47"/>
      <c r="N88" s="48"/>
      <c r="O88" s="49">
        <f>SUM(I88)</f>
        <v>1210</v>
      </c>
      <c r="P88" s="51"/>
      <c r="Q88" s="51"/>
      <c r="R88" s="67">
        <f t="shared" si="42"/>
        <v>704.436704024452</v>
      </c>
      <c r="S88" s="67"/>
      <c r="T88" s="91">
        <f t="shared" si="43"/>
        <v>1.14493122771268</v>
      </c>
      <c r="U88" s="67"/>
      <c r="V88" s="67"/>
      <c r="W88" s="89">
        <f t="shared" si="40"/>
        <v>705.581635252165</v>
      </c>
      <c r="X88" s="90">
        <f t="shared" si="44"/>
        <v>11.2505680081508</v>
      </c>
      <c r="Y88" s="90">
        <v>27.8</v>
      </c>
      <c r="Z88" s="90"/>
      <c r="AA88" s="90">
        <f t="shared" si="41"/>
        <v>39.0505680081508</v>
      </c>
      <c r="AB88" s="107">
        <v>7.19</v>
      </c>
      <c r="AC88" s="67">
        <f t="shared" si="39"/>
        <v>280.773583978604</v>
      </c>
      <c r="AD88" s="67">
        <f t="shared" si="37"/>
        <v>986.355219230769</v>
      </c>
      <c r="AE88" s="67">
        <f t="shared" si="38"/>
        <v>223.644780769231</v>
      </c>
    </row>
    <row r="89" customFormat="1" spans="1:31">
      <c r="A89" s="18"/>
      <c r="B89" s="19"/>
      <c r="C89" s="20">
        <v>240127000013</v>
      </c>
      <c r="D89" s="21">
        <v>45326</v>
      </c>
      <c r="E89" s="21" t="s">
        <v>44</v>
      </c>
      <c r="F89" s="19" t="s">
        <v>44</v>
      </c>
      <c r="G89" s="19" t="s">
        <v>137</v>
      </c>
      <c r="H89" s="19">
        <v>5.5</v>
      </c>
      <c r="I89" s="44">
        <v>440</v>
      </c>
      <c r="J89" s="45"/>
      <c r="K89" s="46"/>
      <c r="L89" s="45"/>
      <c r="M89" s="47"/>
      <c r="N89" s="48"/>
      <c r="O89" s="49">
        <f>SUM(I89)</f>
        <v>440</v>
      </c>
      <c r="P89" s="51"/>
      <c r="Q89" s="51"/>
      <c r="R89" s="67">
        <f t="shared" si="42"/>
        <v>249.961411105451</v>
      </c>
      <c r="S89" s="67"/>
      <c r="T89" s="91">
        <f t="shared" si="43"/>
        <v>0.406265919510953</v>
      </c>
      <c r="U89" s="67"/>
      <c r="V89" s="67"/>
      <c r="W89" s="89">
        <f t="shared" si="40"/>
        <v>250.367677024962</v>
      </c>
      <c r="X89" s="90">
        <f t="shared" si="44"/>
        <v>3.99213703515028</v>
      </c>
      <c r="Y89" s="90"/>
      <c r="Z89" s="90"/>
      <c r="AA89" s="90">
        <f t="shared" si="41"/>
        <v>3.99213703515028</v>
      </c>
      <c r="AB89" s="107">
        <v>7.19</v>
      </c>
      <c r="AC89" s="67">
        <f t="shared" si="39"/>
        <v>28.7034652827305</v>
      </c>
      <c r="AD89" s="67">
        <f t="shared" si="37"/>
        <v>279.071142307692</v>
      </c>
      <c r="AE89" s="67">
        <f t="shared" si="38"/>
        <v>160.928857692308</v>
      </c>
    </row>
    <row r="90" customFormat="1" spans="1:31">
      <c r="A90" s="18"/>
      <c r="B90" s="19"/>
      <c r="C90" s="20">
        <v>240127000017</v>
      </c>
      <c r="D90" s="21">
        <v>45326</v>
      </c>
      <c r="E90" s="21" t="s">
        <v>76</v>
      </c>
      <c r="F90" s="19" t="s">
        <v>77</v>
      </c>
      <c r="G90" s="19" t="s">
        <v>138</v>
      </c>
      <c r="H90" s="19">
        <v>40</v>
      </c>
      <c r="I90" s="49"/>
      <c r="J90" s="65">
        <v>630672.5</v>
      </c>
      <c r="K90" s="66"/>
      <c r="L90" s="61">
        <f t="shared" ref="L90:L95" si="48">SUM(J90/M90)</f>
        <v>1576.68125</v>
      </c>
      <c r="M90" s="62">
        <v>400</v>
      </c>
      <c r="N90" s="48">
        <v>7.19</v>
      </c>
      <c r="O90" s="49">
        <f t="shared" si="47"/>
        <v>2876</v>
      </c>
      <c r="P90" s="51"/>
      <c r="Q90" s="51"/>
      <c r="R90" s="67">
        <f t="shared" si="42"/>
        <v>1817.90117167601</v>
      </c>
      <c r="S90" s="67"/>
      <c r="T90" s="91">
        <f t="shared" si="43"/>
        <v>2.95466123280693</v>
      </c>
      <c r="U90" s="67"/>
      <c r="V90" s="67"/>
      <c r="W90" s="89">
        <f t="shared" si="40"/>
        <v>1820.85583290881</v>
      </c>
      <c r="X90" s="90">
        <f t="shared" si="44"/>
        <v>29.033723892002</v>
      </c>
      <c r="Y90" s="90"/>
      <c r="Z90" s="90"/>
      <c r="AA90" s="90">
        <f t="shared" si="41"/>
        <v>29.033723892002</v>
      </c>
      <c r="AB90" s="107">
        <v>7.19</v>
      </c>
      <c r="AC90" s="67">
        <f t="shared" si="39"/>
        <v>208.752474783495</v>
      </c>
      <c r="AD90" s="67">
        <f t="shared" si="37"/>
        <v>2029.60830769231</v>
      </c>
      <c r="AE90" s="67">
        <f t="shared" si="38"/>
        <v>846.391692307692</v>
      </c>
    </row>
    <row r="91" customFormat="1" spans="1:31">
      <c r="A91" s="18"/>
      <c r="B91" s="19"/>
      <c r="C91" s="20">
        <v>240128000001</v>
      </c>
      <c r="D91" s="21">
        <v>45326</v>
      </c>
      <c r="E91" s="21" t="s">
        <v>106</v>
      </c>
      <c r="F91" s="19" t="s">
        <v>107</v>
      </c>
      <c r="G91" s="19" t="s">
        <v>139</v>
      </c>
      <c r="H91" s="19">
        <v>13.5</v>
      </c>
      <c r="I91" s="49"/>
      <c r="J91" s="65">
        <v>150595</v>
      </c>
      <c r="K91" s="66"/>
      <c r="L91" s="61">
        <f t="shared" si="48"/>
        <v>1554.93030459473</v>
      </c>
      <c r="M91" s="62">
        <v>96.85</v>
      </c>
      <c r="N91" s="48">
        <v>7.19</v>
      </c>
      <c r="O91" s="49">
        <f t="shared" si="47"/>
        <v>696.3515</v>
      </c>
      <c r="P91" s="51"/>
      <c r="Q91" s="51"/>
      <c r="R91" s="67">
        <f t="shared" si="42"/>
        <v>613.541645440652</v>
      </c>
      <c r="S91" s="67"/>
      <c r="T91" s="91">
        <f t="shared" si="43"/>
        <v>0.997198166072338</v>
      </c>
      <c r="U91" s="67"/>
      <c r="V91" s="67"/>
      <c r="W91" s="89">
        <f t="shared" si="40"/>
        <v>614.538843606724</v>
      </c>
      <c r="X91" s="90">
        <f t="shared" si="44"/>
        <v>9.79888181355069</v>
      </c>
      <c r="Y91" s="90"/>
      <c r="Z91" s="90"/>
      <c r="AA91" s="90">
        <f t="shared" si="41"/>
        <v>9.79888181355069</v>
      </c>
      <c r="AB91" s="107">
        <v>7.19</v>
      </c>
      <c r="AC91" s="67">
        <f t="shared" si="39"/>
        <v>70.4539602394294</v>
      </c>
      <c r="AD91" s="67">
        <f t="shared" si="37"/>
        <v>684.992803846154</v>
      </c>
      <c r="AE91" s="67">
        <f t="shared" si="38"/>
        <v>11.3586961538462</v>
      </c>
    </row>
    <row r="92" customFormat="1" spans="1:31">
      <c r="A92" s="18"/>
      <c r="B92" s="19"/>
      <c r="C92" s="20">
        <v>240129000009</v>
      </c>
      <c r="D92" s="21">
        <v>45326</v>
      </c>
      <c r="E92" s="21" t="s">
        <v>41</v>
      </c>
      <c r="F92" s="19" t="s">
        <v>42</v>
      </c>
      <c r="G92" s="19" t="s">
        <v>140</v>
      </c>
      <c r="H92" s="19">
        <v>5.5</v>
      </c>
      <c r="I92" s="53"/>
      <c r="J92" s="61">
        <v>88642.5</v>
      </c>
      <c r="K92" s="55"/>
      <c r="L92" s="61">
        <f t="shared" si="48"/>
        <v>1603.51845151954</v>
      </c>
      <c r="M92" s="62">
        <v>55.28</v>
      </c>
      <c r="N92" s="48">
        <v>7.19</v>
      </c>
      <c r="O92" s="49">
        <f t="shared" si="47"/>
        <v>397.4632</v>
      </c>
      <c r="P92" s="51"/>
      <c r="Q92" s="51"/>
      <c r="R92" s="67">
        <f t="shared" si="42"/>
        <v>249.961411105451</v>
      </c>
      <c r="S92" s="67"/>
      <c r="T92" s="91">
        <f t="shared" si="43"/>
        <v>0.406265919510953</v>
      </c>
      <c r="U92" s="67"/>
      <c r="V92" s="67"/>
      <c r="W92" s="89">
        <f t="shared" si="40"/>
        <v>250.367677024962</v>
      </c>
      <c r="X92" s="90">
        <f t="shared" si="44"/>
        <v>3.99213703515028</v>
      </c>
      <c r="Y92" s="90"/>
      <c r="Z92" s="90"/>
      <c r="AA92" s="90">
        <f t="shared" si="41"/>
        <v>3.99213703515028</v>
      </c>
      <c r="AB92" s="107">
        <v>7.19</v>
      </c>
      <c r="AC92" s="67">
        <f t="shared" si="39"/>
        <v>28.7034652827305</v>
      </c>
      <c r="AD92" s="67">
        <f t="shared" si="37"/>
        <v>279.071142307692</v>
      </c>
      <c r="AE92" s="67">
        <f t="shared" si="38"/>
        <v>118.392057692308</v>
      </c>
    </row>
    <row r="93" customFormat="1" spans="1:31">
      <c r="A93" s="18"/>
      <c r="B93" s="19"/>
      <c r="C93" s="20">
        <v>240129000011</v>
      </c>
      <c r="D93" s="21">
        <v>45326</v>
      </c>
      <c r="E93" s="21" t="s">
        <v>41</v>
      </c>
      <c r="F93" s="19" t="s">
        <v>42</v>
      </c>
      <c r="G93" s="19" t="s">
        <v>141</v>
      </c>
      <c r="H93" s="19">
        <v>16</v>
      </c>
      <c r="I93" s="53"/>
      <c r="J93" s="61">
        <v>231920</v>
      </c>
      <c r="K93" s="55"/>
      <c r="L93" s="61">
        <f t="shared" si="48"/>
        <v>1603.42920353982</v>
      </c>
      <c r="M93" s="62">
        <v>144.64</v>
      </c>
      <c r="N93" s="48">
        <v>7.19</v>
      </c>
      <c r="O93" s="49">
        <f t="shared" si="47"/>
        <v>1039.9616</v>
      </c>
      <c r="P93" s="51"/>
      <c r="Q93" s="51"/>
      <c r="R93" s="67">
        <f t="shared" si="42"/>
        <v>727.160468670402</v>
      </c>
      <c r="S93" s="67"/>
      <c r="T93" s="91">
        <f t="shared" si="43"/>
        <v>1.18186449312277</v>
      </c>
      <c r="U93" s="67"/>
      <c r="V93" s="67"/>
      <c r="W93" s="89">
        <f t="shared" si="40"/>
        <v>728.342333163525</v>
      </c>
      <c r="X93" s="90">
        <f t="shared" si="44"/>
        <v>11.6134895568008</v>
      </c>
      <c r="Y93" s="90"/>
      <c r="Z93" s="90"/>
      <c r="AA93" s="90">
        <f t="shared" si="41"/>
        <v>11.6134895568008</v>
      </c>
      <c r="AB93" s="107">
        <v>7.19</v>
      </c>
      <c r="AC93" s="67">
        <f t="shared" si="39"/>
        <v>83.5009899133979</v>
      </c>
      <c r="AD93" s="67">
        <f t="shared" si="37"/>
        <v>811.843323076923</v>
      </c>
      <c r="AE93" s="67">
        <f t="shared" si="38"/>
        <v>228.118276923077</v>
      </c>
    </row>
    <row r="94" customFormat="1" spans="1:31">
      <c r="A94" s="18"/>
      <c r="B94" s="19"/>
      <c r="C94" s="20">
        <v>240129000016</v>
      </c>
      <c r="D94" s="21">
        <v>45326</v>
      </c>
      <c r="E94" s="21" t="s">
        <v>62</v>
      </c>
      <c r="F94" s="19" t="s">
        <v>63</v>
      </c>
      <c r="G94" s="19" t="s">
        <v>91</v>
      </c>
      <c r="H94" s="19">
        <v>13</v>
      </c>
      <c r="I94" s="49"/>
      <c r="J94" s="65">
        <v>195000</v>
      </c>
      <c r="K94" s="66"/>
      <c r="L94" s="61">
        <f t="shared" si="48"/>
        <v>1543.20999867126</v>
      </c>
      <c r="M94" s="62">
        <v>126.35999</v>
      </c>
      <c r="N94" s="48">
        <v>7.19</v>
      </c>
      <c r="O94" s="49">
        <f t="shared" si="47"/>
        <v>908.5283281</v>
      </c>
      <c r="P94" s="51"/>
      <c r="Q94" s="51"/>
      <c r="R94" s="67">
        <f t="shared" si="42"/>
        <v>590.817880794702</v>
      </c>
      <c r="S94" s="67"/>
      <c r="T94" s="91">
        <f t="shared" si="43"/>
        <v>0.960264900662252</v>
      </c>
      <c r="U94" s="67"/>
      <c r="V94" s="67"/>
      <c r="W94" s="89">
        <f t="shared" si="40"/>
        <v>591.778145695364</v>
      </c>
      <c r="X94" s="90">
        <f t="shared" si="44"/>
        <v>9.43596026490066</v>
      </c>
      <c r="Y94" s="90"/>
      <c r="Z94" s="90"/>
      <c r="AA94" s="90">
        <f t="shared" si="41"/>
        <v>9.43596026490066</v>
      </c>
      <c r="AB94" s="107">
        <v>7.19</v>
      </c>
      <c r="AC94" s="67">
        <f t="shared" si="39"/>
        <v>67.8445543046357</v>
      </c>
      <c r="AD94" s="67">
        <f t="shared" si="37"/>
        <v>659.6227</v>
      </c>
      <c r="AE94" s="67">
        <f t="shared" si="38"/>
        <v>248.9056281</v>
      </c>
    </row>
    <row r="95" customFormat="1" spans="1:31">
      <c r="A95" s="18"/>
      <c r="B95" s="19"/>
      <c r="C95" s="20">
        <v>240129000025</v>
      </c>
      <c r="D95" s="21">
        <v>45326</v>
      </c>
      <c r="E95" s="21" t="s">
        <v>56</v>
      </c>
      <c r="F95" s="19" t="s">
        <v>112</v>
      </c>
      <c r="G95" s="19" t="s">
        <v>142</v>
      </c>
      <c r="H95" s="19">
        <v>12</v>
      </c>
      <c r="I95" s="53"/>
      <c r="J95" s="61">
        <v>161784</v>
      </c>
      <c r="K95" s="55"/>
      <c r="L95" s="61">
        <f t="shared" si="48"/>
        <v>1538.7483355526</v>
      </c>
      <c r="M95" s="62">
        <v>105.14</v>
      </c>
      <c r="N95" s="48">
        <v>7.19</v>
      </c>
      <c r="O95" s="49">
        <f t="shared" si="47"/>
        <v>755.9566</v>
      </c>
      <c r="P95" s="51"/>
      <c r="Q95" s="51"/>
      <c r="R95" s="67">
        <f t="shared" si="42"/>
        <v>545.370351502802</v>
      </c>
      <c r="S95" s="67"/>
      <c r="T95" s="91">
        <f t="shared" si="43"/>
        <v>0.886398369842079</v>
      </c>
      <c r="U95" s="67"/>
      <c r="V95" s="67"/>
      <c r="W95" s="89">
        <f t="shared" si="40"/>
        <v>546.256749872644</v>
      </c>
      <c r="X95" s="90">
        <f t="shared" si="44"/>
        <v>8.71011716760061</v>
      </c>
      <c r="Y95" s="90"/>
      <c r="Z95" s="90"/>
      <c r="AA95" s="90">
        <f t="shared" si="41"/>
        <v>8.71011716760061</v>
      </c>
      <c r="AB95" s="107">
        <v>7.19</v>
      </c>
      <c r="AC95" s="67">
        <f t="shared" si="39"/>
        <v>62.6257424350484</v>
      </c>
      <c r="AD95" s="67">
        <f t="shared" si="37"/>
        <v>608.882492307692</v>
      </c>
      <c r="AE95" s="67">
        <f t="shared" si="38"/>
        <v>147.074107692308</v>
      </c>
    </row>
    <row r="96" customFormat="1" spans="1:31">
      <c r="A96" s="18"/>
      <c r="B96" s="19"/>
      <c r="C96" s="20">
        <v>240129000027</v>
      </c>
      <c r="D96" s="21">
        <v>45326</v>
      </c>
      <c r="E96" s="21" t="s">
        <v>62</v>
      </c>
      <c r="F96" s="19" t="s">
        <v>63</v>
      </c>
      <c r="G96" s="19" t="s">
        <v>143</v>
      </c>
      <c r="H96" s="19">
        <v>3</v>
      </c>
      <c r="I96" s="44">
        <v>337.2</v>
      </c>
      <c r="J96" s="54"/>
      <c r="K96" s="55"/>
      <c r="L96" s="54"/>
      <c r="M96" s="47"/>
      <c r="N96" s="48"/>
      <c r="O96" s="49">
        <f t="shared" ref="O96:O106" si="49">SUM(I96)</f>
        <v>337.2</v>
      </c>
      <c r="P96" s="51"/>
      <c r="Q96" s="51"/>
      <c r="R96" s="67">
        <f t="shared" si="42"/>
        <v>136.3425878757</v>
      </c>
      <c r="S96" s="67"/>
      <c r="T96" s="91">
        <f t="shared" si="43"/>
        <v>0.22159959246052</v>
      </c>
      <c r="U96" s="67"/>
      <c r="V96" s="67"/>
      <c r="W96" s="89">
        <f t="shared" si="40"/>
        <v>136.564187468161</v>
      </c>
      <c r="X96" s="90">
        <f t="shared" si="44"/>
        <v>2.17752929190015</v>
      </c>
      <c r="Y96" s="90"/>
      <c r="Z96" s="90"/>
      <c r="AA96" s="90">
        <f t="shared" si="41"/>
        <v>2.17752929190015</v>
      </c>
      <c r="AB96" s="107">
        <v>7.19</v>
      </c>
      <c r="AC96" s="67">
        <f t="shared" si="39"/>
        <v>15.6564356087621</v>
      </c>
      <c r="AD96" s="67">
        <f t="shared" si="37"/>
        <v>152.220623076923</v>
      </c>
      <c r="AE96" s="67">
        <f t="shared" si="38"/>
        <v>184.979376923077</v>
      </c>
    </row>
    <row r="97" customFormat="1" spans="1:31">
      <c r="A97" s="18"/>
      <c r="B97" s="19"/>
      <c r="C97" s="20">
        <v>240129000046</v>
      </c>
      <c r="D97" s="21">
        <v>45326</v>
      </c>
      <c r="E97" s="21" t="s">
        <v>41</v>
      </c>
      <c r="F97" s="19" t="s">
        <v>42</v>
      </c>
      <c r="G97" s="19" t="s">
        <v>144</v>
      </c>
      <c r="H97" s="19">
        <v>2</v>
      </c>
      <c r="I97" s="44">
        <v>135.6</v>
      </c>
      <c r="J97" s="45"/>
      <c r="K97" s="46"/>
      <c r="L97" s="45"/>
      <c r="M97" s="47"/>
      <c r="N97" s="48"/>
      <c r="O97" s="49">
        <f t="shared" si="49"/>
        <v>135.6</v>
      </c>
      <c r="P97" s="51"/>
      <c r="Q97" s="51"/>
      <c r="R97" s="67">
        <f t="shared" si="42"/>
        <v>90.8950585838003</v>
      </c>
      <c r="S97" s="67"/>
      <c r="T97" s="91">
        <f t="shared" si="43"/>
        <v>0.147733061640346</v>
      </c>
      <c r="U97" s="67"/>
      <c r="V97" s="67"/>
      <c r="W97" s="89">
        <f t="shared" si="40"/>
        <v>91.0427916454407</v>
      </c>
      <c r="X97" s="90">
        <f t="shared" si="44"/>
        <v>1.4516861946001</v>
      </c>
      <c r="Y97" s="90"/>
      <c r="Z97" s="90"/>
      <c r="AA97" s="90">
        <f t="shared" si="41"/>
        <v>1.4516861946001</v>
      </c>
      <c r="AB97" s="107">
        <v>7.19</v>
      </c>
      <c r="AC97" s="67">
        <f t="shared" si="39"/>
        <v>10.4376237391747</v>
      </c>
      <c r="AD97" s="67">
        <f t="shared" si="37"/>
        <v>101.480415384615</v>
      </c>
      <c r="AE97" s="67">
        <f t="shared" si="38"/>
        <v>34.1195846153846</v>
      </c>
    </row>
    <row r="98" customFormat="1" spans="1:31">
      <c r="A98" s="18"/>
      <c r="B98" s="19"/>
      <c r="C98" s="20">
        <v>240129000052</v>
      </c>
      <c r="D98" s="21">
        <v>45326</v>
      </c>
      <c r="E98" s="21" t="s">
        <v>41</v>
      </c>
      <c r="F98" s="19" t="s">
        <v>42</v>
      </c>
      <c r="G98" s="19" t="s">
        <v>145</v>
      </c>
      <c r="H98" s="19">
        <v>249</v>
      </c>
      <c r="I98" s="44">
        <v>13554</v>
      </c>
      <c r="J98" s="45"/>
      <c r="K98" s="46"/>
      <c r="L98" s="45"/>
      <c r="M98" s="47"/>
      <c r="N98" s="48"/>
      <c r="O98" s="49">
        <f t="shared" si="49"/>
        <v>13554</v>
      </c>
      <c r="P98" s="51"/>
      <c r="Q98" s="51"/>
      <c r="R98" s="67">
        <f t="shared" si="42"/>
        <v>11316.4347936831</v>
      </c>
      <c r="S98" s="67"/>
      <c r="T98" s="91">
        <f t="shared" si="43"/>
        <v>18.3927661742231</v>
      </c>
      <c r="U98" s="67">
        <v>100</v>
      </c>
      <c r="V98" s="67"/>
      <c r="W98" s="89">
        <f t="shared" si="40"/>
        <v>11434.8275598574</v>
      </c>
      <c r="X98" s="90">
        <f t="shared" si="44"/>
        <v>180.734931227713</v>
      </c>
      <c r="Y98" s="90"/>
      <c r="Z98" s="90"/>
      <c r="AA98" s="90">
        <f t="shared" si="41"/>
        <v>180.734931227713</v>
      </c>
      <c r="AB98" s="107">
        <v>7.19</v>
      </c>
      <c r="AC98" s="67">
        <f t="shared" si="39"/>
        <v>1299.48415552725</v>
      </c>
      <c r="AD98" s="67">
        <f t="shared" si="37"/>
        <v>12734.3117153846</v>
      </c>
      <c r="AE98" s="67">
        <f t="shared" si="38"/>
        <v>819.688284615384</v>
      </c>
    </row>
    <row r="99" customFormat="1" spans="1:31">
      <c r="A99" s="18"/>
      <c r="B99" s="19"/>
      <c r="C99" s="20">
        <v>240129000054</v>
      </c>
      <c r="D99" s="21">
        <v>45326</v>
      </c>
      <c r="E99" s="21" t="s">
        <v>41</v>
      </c>
      <c r="F99" s="19" t="s">
        <v>42</v>
      </c>
      <c r="G99" s="19" t="s">
        <v>146</v>
      </c>
      <c r="H99" s="19">
        <v>2.5</v>
      </c>
      <c r="I99" s="44">
        <v>168.6</v>
      </c>
      <c r="J99" s="45"/>
      <c r="K99" s="46"/>
      <c r="L99" s="45"/>
      <c r="M99" s="47"/>
      <c r="N99" s="48"/>
      <c r="O99" s="49">
        <f t="shared" si="49"/>
        <v>168.6</v>
      </c>
      <c r="P99" s="51"/>
      <c r="Q99" s="51"/>
      <c r="R99" s="67">
        <f t="shared" si="42"/>
        <v>113.61882322975</v>
      </c>
      <c r="S99" s="67"/>
      <c r="T99" s="91">
        <f t="shared" si="43"/>
        <v>0.184666327050433</v>
      </c>
      <c r="U99" s="67"/>
      <c r="V99" s="67"/>
      <c r="W99" s="89">
        <f t="shared" si="40"/>
        <v>113.803489556801</v>
      </c>
      <c r="X99" s="90">
        <f t="shared" si="44"/>
        <v>1.81460774325013</v>
      </c>
      <c r="Y99" s="90"/>
      <c r="Z99" s="90"/>
      <c r="AA99" s="90">
        <f t="shared" si="41"/>
        <v>1.81460774325013</v>
      </c>
      <c r="AB99" s="107">
        <v>7.19</v>
      </c>
      <c r="AC99" s="67">
        <f t="shared" si="39"/>
        <v>13.0470296739684</v>
      </c>
      <c r="AD99" s="67">
        <f t="shared" si="37"/>
        <v>126.850519230769</v>
      </c>
      <c r="AE99" s="67">
        <f t="shared" si="38"/>
        <v>41.7494807692308</v>
      </c>
    </row>
    <row r="100" customFormat="1" spans="1:31">
      <c r="A100" s="18"/>
      <c r="B100" s="19"/>
      <c r="C100" s="20">
        <v>240130000002</v>
      </c>
      <c r="D100" s="21">
        <v>45326</v>
      </c>
      <c r="E100" s="21" t="s">
        <v>76</v>
      </c>
      <c r="F100" s="19" t="s">
        <v>77</v>
      </c>
      <c r="G100" s="19" t="s">
        <v>147</v>
      </c>
      <c r="H100" s="19">
        <v>6</v>
      </c>
      <c r="I100" s="44">
        <v>494</v>
      </c>
      <c r="J100" s="45"/>
      <c r="K100" s="46"/>
      <c r="L100" s="45"/>
      <c r="M100" s="47"/>
      <c r="N100" s="48"/>
      <c r="O100" s="49">
        <f t="shared" si="49"/>
        <v>494</v>
      </c>
      <c r="P100" s="51"/>
      <c r="Q100" s="51"/>
      <c r="R100" s="67">
        <f t="shared" si="42"/>
        <v>272.685175751401</v>
      </c>
      <c r="S100" s="67"/>
      <c r="T100" s="91">
        <f t="shared" si="43"/>
        <v>0.443199184921039</v>
      </c>
      <c r="U100" s="67"/>
      <c r="V100" s="67"/>
      <c r="W100" s="89">
        <f t="shared" si="40"/>
        <v>273.128374936322</v>
      </c>
      <c r="X100" s="90">
        <f t="shared" si="44"/>
        <v>4.35505858380031</v>
      </c>
      <c r="Y100" s="90"/>
      <c r="Z100" s="90"/>
      <c r="AA100" s="90">
        <f t="shared" si="41"/>
        <v>4.35505858380031</v>
      </c>
      <c r="AB100" s="107">
        <v>7.19</v>
      </c>
      <c r="AC100" s="67">
        <f t="shared" si="39"/>
        <v>31.3128712175242</v>
      </c>
      <c r="AD100" s="67">
        <f t="shared" si="37"/>
        <v>304.441246153846</v>
      </c>
      <c r="AE100" s="67">
        <f t="shared" si="38"/>
        <v>189.558753846154</v>
      </c>
    </row>
    <row r="101" customFormat="1" spans="1:31">
      <c r="A101" s="18"/>
      <c r="B101" s="19"/>
      <c r="C101" s="20">
        <v>240130000012</v>
      </c>
      <c r="D101" s="21">
        <v>45326</v>
      </c>
      <c r="E101" s="21" t="s">
        <v>37</v>
      </c>
      <c r="F101" s="19" t="s">
        <v>38</v>
      </c>
      <c r="G101" s="19" t="s">
        <v>148</v>
      </c>
      <c r="H101" s="19">
        <v>30.5</v>
      </c>
      <c r="I101" s="44">
        <v>1830</v>
      </c>
      <c r="J101" s="45"/>
      <c r="K101" s="46"/>
      <c r="L101" s="45"/>
      <c r="M101" s="47"/>
      <c r="N101" s="48"/>
      <c r="O101" s="49">
        <f t="shared" si="49"/>
        <v>1830</v>
      </c>
      <c r="P101" s="51"/>
      <c r="Q101" s="51"/>
      <c r="R101" s="67">
        <f t="shared" si="42"/>
        <v>1386.14964340295</v>
      </c>
      <c r="S101" s="67"/>
      <c r="T101" s="91">
        <f t="shared" si="43"/>
        <v>2.25292919001528</v>
      </c>
      <c r="U101" s="67"/>
      <c r="V101" s="67"/>
      <c r="W101" s="89">
        <f t="shared" si="40"/>
        <v>1388.40257259297</v>
      </c>
      <c r="X101" s="90">
        <f t="shared" si="44"/>
        <v>22.1382144676516</v>
      </c>
      <c r="Y101" s="90"/>
      <c r="Z101" s="90"/>
      <c r="AA101" s="90">
        <f t="shared" si="41"/>
        <v>22.1382144676516</v>
      </c>
      <c r="AB101" s="107">
        <v>7.19</v>
      </c>
      <c r="AC101" s="67">
        <f t="shared" si="39"/>
        <v>159.173762022415</v>
      </c>
      <c r="AD101" s="67">
        <f t="shared" si="37"/>
        <v>1547.57633461538</v>
      </c>
      <c r="AE101" s="67">
        <f t="shared" si="38"/>
        <v>282.423665384615</v>
      </c>
    </row>
    <row r="102" customFormat="1" spans="1:31">
      <c r="A102" s="18"/>
      <c r="B102" s="19"/>
      <c r="C102" s="20">
        <v>240130000026</v>
      </c>
      <c r="D102" s="21">
        <v>45326</v>
      </c>
      <c r="E102" s="21" t="s">
        <v>44</v>
      </c>
      <c r="F102" s="19" t="s">
        <v>44</v>
      </c>
      <c r="G102" s="19" t="s">
        <v>149</v>
      </c>
      <c r="H102" s="19">
        <v>501.5</v>
      </c>
      <c r="I102" s="44">
        <v>26715.5</v>
      </c>
      <c r="J102" s="45"/>
      <c r="K102" s="46"/>
      <c r="L102" s="45"/>
      <c r="M102" s="47"/>
      <c r="N102" s="48"/>
      <c r="O102" s="49">
        <f t="shared" si="49"/>
        <v>26715.5</v>
      </c>
      <c r="P102" s="51"/>
      <c r="Q102" s="51"/>
      <c r="R102" s="67">
        <f t="shared" si="42"/>
        <v>22791.9359398879</v>
      </c>
      <c r="S102" s="67"/>
      <c r="T102" s="91">
        <f t="shared" si="43"/>
        <v>37.0440652063169</v>
      </c>
      <c r="U102" s="67"/>
      <c r="V102" s="67"/>
      <c r="W102" s="89">
        <f t="shared" si="40"/>
        <v>22828.9800050942</v>
      </c>
      <c r="X102" s="90">
        <f t="shared" si="44"/>
        <v>364.010313295976</v>
      </c>
      <c r="Y102" s="90"/>
      <c r="Z102" s="90"/>
      <c r="AA102" s="90">
        <f t="shared" si="41"/>
        <v>364.010313295976</v>
      </c>
      <c r="AB102" s="107">
        <v>7.19</v>
      </c>
      <c r="AC102" s="67">
        <f t="shared" si="39"/>
        <v>2617.23415259806</v>
      </c>
      <c r="AD102" s="67">
        <f t="shared" si="37"/>
        <v>25446.2141576923</v>
      </c>
      <c r="AE102" s="67">
        <f t="shared" si="38"/>
        <v>1269.28584230769</v>
      </c>
    </row>
    <row r="103" customFormat="1" spans="1:31">
      <c r="A103" s="18"/>
      <c r="B103" s="19"/>
      <c r="C103" s="20">
        <v>240130000028</v>
      </c>
      <c r="D103" s="21">
        <v>45326</v>
      </c>
      <c r="E103" s="21" t="s">
        <v>44</v>
      </c>
      <c r="F103" s="19" t="s">
        <v>44</v>
      </c>
      <c r="G103" s="19" t="s">
        <v>150</v>
      </c>
      <c r="H103" s="19">
        <v>37</v>
      </c>
      <c r="I103" s="44">
        <v>2229.6</v>
      </c>
      <c r="J103" s="45"/>
      <c r="K103" s="46"/>
      <c r="L103" s="45"/>
      <c r="M103" s="47"/>
      <c r="N103" s="48"/>
      <c r="O103" s="49">
        <f t="shared" si="49"/>
        <v>2229.6</v>
      </c>
      <c r="P103" s="51"/>
      <c r="Q103" s="51"/>
      <c r="R103" s="67">
        <f t="shared" si="42"/>
        <v>1681.55858380031</v>
      </c>
      <c r="S103" s="67"/>
      <c r="T103" s="91">
        <f t="shared" si="43"/>
        <v>2.73306164034641</v>
      </c>
      <c r="U103" s="67"/>
      <c r="V103" s="67"/>
      <c r="W103" s="89">
        <f t="shared" si="40"/>
        <v>1684.29164544065</v>
      </c>
      <c r="X103" s="90">
        <f t="shared" si="44"/>
        <v>26.8561946001019</v>
      </c>
      <c r="Y103" s="90"/>
      <c r="Z103" s="90"/>
      <c r="AA103" s="90">
        <f t="shared" si="41"/>
        <v>26.8561946001019</v>
      </c>
      <c r="AB103" s="107">
        <v>7.19</v>
      </c>
      <c r="AC103" s="67">
        <f t="shared" si="39"/>
        <v>193.096039174733</v>
      </c>
      <c r="AD103" s="67">
        <f t="shared" si="37"/>
        <v>1877.38768461538</v>
      </c>
      <c r="AE103" s="67">
        <f t="shared" ref="AE103:AE126" si="50">SUM(O103-AD103)</f>
        <v>352.21231538462</v>
      </c>
    </row>
    <row r="104" customFormat="1" spans="1:31">
      <c r="A104" s="18"/>
      <c r="B104" s="19"/>
      <c r="C104" s="20">
        <v>240130000036</v>
      </c>
      <c r="D104" s="21">
        <v>45326</v>
      </c>
      <c r="E104" s="21" t="s">
        <v>44</v>
      </c>
      <c r="F104" s="19" t="s">
        <v>44</v>
      </c>
      <c r="G104" s="19" t="s">
        <v>151</v>
      </c>
      <c r="H104" s="19">
        <v>22</v>
      </c>
      <c r="I104" s="53">
        <v>1320</v>
      </c>
      <c r="J104" s="54"/>
      <c r="K104" s="55"/>
      <c r="L104" s="54"/>
      <c r="M104" s="47"/>
      <c r="N104" s="48"/>
      <c r="O104" s="49">
        <f t="shared" si="49"/>
        <v>1320</v>
      </c>
      <c r="P104" s="51"/>
      <c r="Q104" s="51"/>
      <c r="R104" s="67">
        <f t="shared" si="42"/>
        <v>999.845644421803</v>
      </c>
      <c r="S104" s="67"/>
      <c r="T104" s="91">
        <f t="shared" si="43"/>
        <v>1.62506367804381</v>
      </c>
      <c r="U104" s="67"/>
      <c r="V104" s="67"/>
      <c r="W104" s="89">
        <f t="shared" si="40"/>
        <v>1001.47070809985</v>
      </c>
      <c r="X104" s="90">
        <f t="shared" si="44"/>
        <v>15.9685481406011</v>
      </c>
      <c r="Y104" s="90"/>
      <c r="Z104" s="90"/>
      <c r="AA104" s="90">
        <f t="shared" si="41"/>
        <v>15.9685481406011</v>
      </c>
      <c r="AB104" s="107">
        <v>7.19</v>
      </c>
      <c r="AC104" s="67">
        <f t="shared" si="39"/>
        <v>114.813861130922</v>
      </c>
      <c r="AD104" s="67">
        <f t="shared" ref="AD104:AD126" si="51">SUM(W104+AC104)</f>
        <v>1116.28456923077</v>
      </c>
      <c r="AE104" s="67">
        <f t="shared" si="50"/>
        <v>203.71543076923</v>
      </c>
    </row>
    <row r="105" customFormat="1" spans="1:31">
      <c r="A105" s="18"/>
      <c r="B105" s="19"/>
      <c r="C105" s="20">
        <v>240130000041</v>
      </c>
      <c r="D105" s="21">
        <v>45326</v>
      </c>
      <c r="E105" s="21" t="s">
        <v>44</v>
      </c>
      <c r="F105" s="19" t="s">
        <v>44</v>
      </c>
      <c r="G105" s="19" t="s">
        <v>152</v>
      </c>
      <c r="H105" s="19">
        <v>748</v>
      </c>
      <c r="I105" s="53">
        <v>38148</v>
      </c>
      <c r="J105" s="54"/>
      <c r="K105" s="55"/>
      <c r="L105" s="54"/>
      <c r="M105" s="47"/>
      <c r="N105" s="48"/>
      <c r="O105" s="49">
        <f t="shared" si="49"/>
        <v>38148</v>
      </c>
      <c r="P105" s="52"/>
      <c r="Q105" s="52"/>
      <c r="R105" s="67">
        <f t="shared" si="42"/>
        <v>33994.7519103413</v>
      </c>
      <c r="S105" s="67"/>
      <c r="T105" s="91">
        <f t="shared" si="43"/>
        <v>55.2521650534896</v>
      </c>
      <c r="U105" s="67"/>
      <c r="V105" s="67"/>
      <c r="W105" s="89">
        <f t="shared" ref="W105:W126" si="52">SUM(R105:V105)</f>
        <v>34050.0040753948</v>
      </c>
      <c r="X105" s="90">
        <f t="shared" si="44"/>
        <v>542.930636780438</v>
      </c>
      <c r="Y105" s="90"/>
      <c r="Z105" s="90"/>
      <c r="AA105" s="90">
        <f t="shared" si="41"/>
        <v>542.930636780438</v>
      </c>
      <c r="AB105" s="107">
        <v>7.19</v>
      </c>
      <c r="AC105" s="67">
        <f t="shared" ref="AC105:AC126" si="53">SUM(AA105*AB105)</f>
        <v>3903.67127845135</v>
      </c>
      <c r="AD105" s="67">
        <f t="shared" si="51"/>
        <v>37953.6753538462</v>
      </c>
      <c r="AE105" s="67">
        <f t="shared" si="50"/>
        <v>194.3246461538</v>
      </c>
    </row>
    <row r="106" customFormat="1" spans="1:31">
      <c r="A106" s="18" t="s">
        <v>153</v>
      </c>
      <c r="B106" s="19" t="s">
        <v>154</v>
      </c>
      <c r="C106" s="20">
        <v>240123000030</v>
      </c>
      <c r="D106" s="21">
        <v>45326</v>
      </c>
      <c r="E106" s="21" t="s">
        <v>37</v>
      </c>
      <c r="F106" s="19" t="s">
        <v>38</v>
      </c>
      <c r="G106" s="19" t="s">
        <v>155</v>
      </c>
      <c r="H106" s="19">
        <v>13</v>
      </c>
      <c r="I106" s="44">
        <v>799</v>
      </c>
      <c r="J106" s="45"/>
      <c r="K106" s="46"/>
      <c r="L106" s="45"/>
      <c r="M106" s="47"/>
      <c r="N106" s="48"/>
      <c r="O106" s="49">
        <f t="shared" si="49"/>
        <v>799</v>
      </c>
      <c r="P106" s="50">
        <f>SUM(O106:O126)</f>
        <v>289786.1098</v>
      </c>
      <c r="Q106" s="50" t="s">
        <v>50</v>
      </c>
      <c r="R106" s="67">
        <f>SUM(192184/5678)*H106</f>
        <v>440.01268052131</v>
      </c>
      <c r="S106" s="67"/>
      <c r="T106" s="91">
        <f>SUM(165/5678)*H106</f>
        <v>0.377773864036633</v>
      </c>
      <c r="U106" s="67">
        <v>40</v>
      </c>
      <c r="V106" s="67"/>
      <c r="W106" s="89">
        <f t="shared" si="52"/>
        <v>480.390454385347</v>
      </c>
      <c r="X106" s="90">
        <f>SUM(3315.03/5678)*H106</f>
        <v>7.58988904543853</v>
      </c>
      <c r="Y106" s="90"/>
      <c r="Z106" s="90"/>
      <c r="AA106" s="90">
        <f t="shared" ref="AA106:AA126" si="54">SUM(X106:Z106)</f>
        <v>7.58988904543853</v>
      </c>
      <c r="AB106" s="107">
        <v>7.19</v>
      </c>
      <c r="AC106" s="67">
        <f t="shared" si="53"/>
        <v>54.5713022367031</v>
      </c>
      <c r="AD106" s="67">
        <f t="shared" si="51"/>
        <v>534.96175662205</v>
      </c>
      <c r="AE106" s="67">
        <f t="shared" si="50"/>
        <v>264.03824337795</v>
      </c>
    </row>
    <row r="107" customFormat="1" spans="1:31">
      <c r="A107" s="18"/>
      <c r="B107" s="19"/>
      <c r="C107" s="20">
        <v>240125000036</v>
      </c>
      <c r="D107" s="21">
        <v>45326</v>
      </c>
      <c r="E107" s="21" t="s">
        <v>41</v>
      </c>
      <c r="F107" s="19" t="s">
        <v>42</v>
      </c>
      <c r="G107" s="19" t="s">
        <v>71</v>
      </c>
      <c r="H107" s="19">
        <v>421</v>
      </c>
      <c r="I107" s="53"/>
      <c r="J107" s="61">
        <v>4105042.5</v>
      </c>
      <c r="K107" s="64"/>
      <c r="L107" s="61">
        <f>SUM(J107/M107)</f>
        <v>1531.47512544535</v>
      </c>
      <c r="M107" s="62">
        <v>2680.45</v>
      </c>
      <c r="N107" s="48">
        <v>7.19</v>
      </c>
      <c r="O107" s="49">
        <f t="shared" ref="O107:O109" si="55">SUM(M107*N107)</f>
        <v>19272.4355</v>
      </c>
      <c r="P107" s="51"/>
      <c r="Q107" s="51"/>
      <c r="R107" s="67">
        <f t="shared" ref="R107:R126" si="56">SUM(192184/5678)*H107</f>
        <v>14249.6414230363</v>
      </c>
      <c r="S107" s="67"/>
      <c r="T107" s="91">
        <f t="shared" ref="T107:T126" si="57">SUM(165/5678)*H107</f>
        <v>12.2340612891863</v>
      </c>
      <c r="U107" s="67"/>
      <c r="V107" s="67"/>
      <c r="W107" s="89">
        <f t="shared" si="52"/>
        <v>14261.8754843255</v>
      </c>
      <c r="X107" s="90">
        <f t="shared" ref="X107:X126" si="58">SUM(3315.03/5678)*H107</f>
        <v>245.795637548433</v>
      </c>
      <c r="Y107" s="90"/>
      <c r="Z107" s="90"/>
      <c r="AA107" s="90">
        <f t="shared" si="54"/>
        <v>245.795637548433</v>
      </c>
      <c r="AB107" s="107">
        <v>7.19</v>
      </c>
      <c r="AC107" s="67">
        <f t="shared" si="53"/>
        <v>1767.27063397323</v>
      </c>
      <c r="AD107" s="67">
        <f t="shared" si="51"/>
        <v>16029.1461182987</v>
      </c>
      <c r="AE107" s="67">
        <f t="shared" si="50"/>
        <v>3243.2893817013</v>
      </c>
    </row>
    <row r="108" customFormat="1" spans="1:31">
      <c r="A108" s="18"/>
      <c r="B108" s="19"/>
      <c r="C108" s="20">
        <v>240126000012</v>
      </c>
      <c r="D108" s="21">
        <v>45326</v>
      </c>
      <c r="E108" s="21" t="s">
        <v>62</v>
      </c>
      <c r="F108" s="19" t="s">
        <v>63</v>
      </c>
      <c r="G108" s="19" t="s">
        <v>156</v>
      </c>
      <c r="H108" s="19">
        <v>19</v>
      </c>
      <c r="I108" s="53"/>
      <c r="J108" s="61">
        <v>228620</v>
      </c>
      <c r="K108" s="55"/>
      <c r="L108" s="61">
        <f>SUM(J108/M108)</f>
        <v>1653.79050925926</v>
      </c>
      <c r="M108" s="62">
        <v>138.24</v>
      </c>
      <c r="N108" s="48">
        <v>7.19</v>
      </c>
      <c r="O108" s="49">
        <f t="shared" si="55"/>
        <v>993.9456</v>
      </c>
      <c r="P108" s="51"/>
      <c r="Q108" s="51"/>
      <c r="R108" s="67">
        <f t="shared" si="56"/>
        <v>643.095456146531</v>
      </c>
      <c r="S108" s="67"/>
      <c r="T108" s="91">
        <f t="shared" si="57"/>
        <v>0.55213103205354</v>
      </c>
      <c r="U108" s="67"/>
      <c r="V108" s="67"/>
      <c r="W108" s="89">
        <f t="shared" si="52"/>
        <v>643.647587178584</v>
      </c>
      <c r="X108" s="90">
        <f t="shared" si="58"/>
        <v>11.0929147587179</v>
      </c>
      <c r="Y108" s="90"/>
      <c r="Z108" s="90"/>
      <c r="AA108" s="90">
        <f t="shared" si="54"/>
        <v>11.0929147587179</v>
      </c>
      <c r="AB108" s="107">
        <v>7.19</v>
      </c>
      <c r="AC108" s="67">
        <f t="shared" si="53"/>
        <v>79.7580571151814</v>
      </c>
      <c r="AD108" s="67">
        <f t="shared" si="51"/>
        <v>723.405644293765</v>
      </c>
      <c r="AE108" s="67">
        <f t="shared" si="50"/>
        <v>270.539955706235</v>
      </c>
    </row>
    <row r="109" customFormat="1" spans="1:31">
      <c r="A109" s="18"/>
      <c r="B109" s="19"/>
      <c r="C109" s="20">
        <v>240126000019</v>
      </c>
      <c r="D109" s="21">
        <v>45326</v>
      </c>
      <c r="E109" s="21" t="s">
        <v>41</v>
      </c>
      <c r="F109" s="19" t="s">
        <v>42</v>
      </c>
      <c r="G109" s="19" t="s">
        <v>59</v>
      </c>
      <c r="H109" s="19">
        <v>32</v>
      </c>
      <c r="I109" s="53"/>
      <c r="J109" s="61">
        <v>366240</v>
      </c>
      <c r="K109" s="55"/>
      <c r="L109" s="61">
        <f>SUM(J109/M109)</f>
        <v>1567.47271560026</v>
      </c>
      <c r="M109" s="62">
        <v>233.65</v>
      </c>
      <c r="N109" s="48">
        <v>7.19</v>
      </c>
      <c r="O109" s="49">
        <f t="shared" si="55"/>
        <v>1679.9435</v>
      </c>
      <c r="P109" s="51"/>
      <c r="Q109" s="51"/>
      <c r="R109" s="67">
        <f t="shared" si="56"/>
        <v>1083.10813666784</v>
      </c>
      <c r="S109" s="67"/>
      <c r="T109" s="91">
        <f t="shared" si="57"/>
        <v>0.929904896090173</v>
      </c>
      <c r="U109" s="67">
        <v>80</v>
      </c>
      <c r="V109" s="67"/>
      <c r="W109" s="89">
        <f t="shared" si="52"/>
        <v>1164.03804156393</v>
      </c>
      <c r="X109" s="90">
        <f t="shared" si="58"/>
        <v>18.6828038041564</v>
      </c>
      <c r="Y109" s="90"/>
      <c r="Z109" s="90"/>
      <c r="AA109" s="90">
        <f t="shared" si="54"/>
        <v>18.6828038041564</v>
      </c>
      <c r="AB109" s="107">
        <v>7.19</v>
      </c>
      <c r="AC109" s="67">
        <f t="shared" si="53"/>
        <v>134.329359351884</v>
      </c>
      <c r="AD109" s="67">
        <f t="shared" si="51"/>
        <v>1298.36740091582</v>
      </c>
      <c r="AE109" s="67">
        <f t="shared" si="50"/>
        <v>381.57609908418</v>
      </c>
    </row>
    <row r="110" customFormat="1" spans="1:31">
      <c r="A110" s="18"/>
      <c r="B110" s="19"/>
      <c r="C110" s="20">
        <v>240127000002</v>
      </c>
      <c r="D110" s="21">
        <v>45326</v>
      </c>
      <c r="E110" s="21" t="s">
        <v>56</v>
      </c>
      <c r="F110" s="19" t="s">
        <v>114</v>
      </c>
      <c r="G110" s="19" t="s">
        <v>133</v>
      </c>
      <c r="H110" s="19">
        <v>15</v>
      </c>
      <c r="I110" s="44">
        <v>750</v>
      </c>
      <c r="J110" s="45"/>
      <c r="K110" s="46"/>
      <c r="L110" s="45"/>
      <c r="M110" s="47"/>
      <c r="N110" s="48"/>
      <c r="O110" s="49">
        <f t="shared" ref="O110:O113" si="59">SUM(I110)</f>
        <v>750</v>
      </c>
      <c r="P110" s="51"/>
      <c r="Q110" s="51"/>
      <c r="R110" s="67">
        <f t="shared" si="56"/>
        <v>507.70693906305</v>
      </c>
      <c r="S110" s="67"/>
      <c r="T110" s="91">
        <f t="shared" si="57"/>
        <v>0.435892920042268</v>
      </c>
      <c r="U110" s="67"/>
      <c r="V110" s="67"/>
      <c r="W110" s="89">
        <f t="shared" si="52"/>
        <v>508.142831983093</v>
      </c>
      <c r="X110" s="90">
        <f t="shared" si="58"/>
        <v>8.75756428319831</v>
      </c>
      <c r="Y110" s="90"/>
      <c r="Z110" s="90"/>
      <c r="AA110" s="90">
        <f t="shared" si="54"/>
        <v>8.75756428319831</v>
      </c>
      <c r="AB110" s="107">
        <v>7.19</v>
      </c>
      <c r="AC110" s="67">
        <f t="shared" si="53"/>
        <v>62.9668871961958</v>
      </c>
      <c r="AD110" s="67">
        <f t="shared" si="51"/>
        <v>571.109719179289</v>
      </c>
      <c r="AE110" s="67">
        <f t="shared" si="50"/>
        <v>178.890280820711</v>
      </c>
    </row>
    <row r="111" customFormat="1" spans="1:31">
      <c r="A111" s="18"/>
      <c r="B111" s="19"/>
      <c r="C111" s="20">
        <v>240127000007</v>
      </c>
      <c r="D111" s="21">
        <v>45326</v>
      </c>
      <c r="E111" s="21" t="s">
        <v>37</v>
      </c>
      <c r="F111" s="19" t="s">
        <v>38</v>
      </c>
      <c r="G111" s="19" t="s">
        <v>157</v>
      </c>
      <c r="H111" s="19">
        <v>3410</v>
      </c>
      <c r="I111" s="44">
        <v>161410</v>
      </c>
      <c r="J111" s="45"/>
      <c r="K111" s="46"/>
      <c r="L111" s="45"/>
      <c r="M111" s="47"/>
      <c r="N111" s="48"/>
      <c r="O111" s="49">
        <f t="shared" si="59"/>
        <v>161410</v>
      </c>
      <c r="P111" s="51"/>
      <c r="Q111" s="51"/>
      <c r="R111" s="67">
        <f t="shared" si="56"/>
        <v>115418.710813667</v>
      </c>
      <c r="S111" s="67"/>
      <c r="T111" s="91">
        <f t="shared" si="57"/>
        <v>99.092990489609</v>
      </c>
      <c r="U111" s="67"/>
      <c r="V111" s="67"/>
      <c r="W111" s="89">
        <f t="shared" si="52"/>
        <v>115517.803804156</v>
      </c>
      <c r="X111" s="90">
        <f t="shared" si="58"/>
        <v>1990.88628038042</v>
      </c>
      <c r="Y111" s="90"/>
      <c r="Z111" s="90"/>
      <c r="AA111" s="90">
        <f t="shared" si="54"/>
        <v>1990.88628038042</v>
      </c>
      <c r="AB111" s="107">
        <v>7.19</v>
      </c>
      <c r="AC111" s="67">
        <f t="shared" si="53"/>
        <v>14314.4723559352</v>
      </c>
      <c r="AD111" s="67">
        <f t="shared" si="51"/>
        <v>129832.276160092</v>
      </c>
      <c r="AE111" s="67">
        <f t="shared" si="50"/>
        <v>31577.723839908</v>
      </c>
    </row>
    <row r="112" customFormat="1" spans="1:31">
      <c r="A112" s="18"/>
      <c r="B112" s="19"/>
      <c r="C112" s="20">
        <v>240127000023</v>
      </c>
      <c r="D112" s="21">
        <v>45326</v>
      </c>
      <c r="E112" s="21" t="s">
        <v>44</v>
      </c>
      <c r="F112" s="19" t="s">
        <v>44</v>
      </c>
      <c r="G112" s="19" t="s">
        <v>98</v>
      </c>
      <c r="H112" s="19">
        <v>27</v>
      </c>
      <c r="I112" s="44">
        <v>1858</v>
      </c>
      <c r="J112" s="54"/>
      <c r="K112" s="55"/>
      <c r="L112" s="54"/>
      <c r="M112" s="47"/>
      <c r="N112" s="48"/>
      <c r="O112" s="49">
        <f t="shared" si="59"/>
        <v>1858</v>
      </c>
      <c r="P112" s="51"/>
      <c r="Q112" s="51"/>
      <c r="R112" s="67">
        <f t="shared" si="56"/>
        <v>913.872490313491</v>
      </c>
      <c r="S112" s="67"/>
      <c r="T112" s="91">
        <f t="shared" si="57"/>
        <v>0.784607256076083</v>
      </c>
      <c r="U112" s="67"/>
      <c r="V112" s="67"/>
      <c r="W112" s="89">
        <f t="shared" si="52"/>
        <v>914.657097569567</v>
      </c>
      <c r="X112" s="90">
        <f t="shared" si="58"/>
        <v>15.763615709757</v>
      </c>
      <c r="Y112" s="90"/>
      <c r="Z112" s="90"/>
      <c r="AA112" s="90">
        <f t="shared" si="54"/>
        <v>15.763615709757</v>
      </c>
      <c r="AB112" s="107">
        <v>7.19</v>
      </c>
      <c r="AC112" s="67">
        <f t="shared" si="53"/>
        <v>113.340396953153</v>
      </c>
      <c r="AD112" s="67">
        <f t="shared" si="51"/>
        <v>1027.99749452272</v>
      </c>
      <c r="AE112" s="67">
        <f t="shared" si="50"/>
        <v>830.00250547728</v>
      </c>
    </row>
    <row r="113" customFormat="1" spans="1:31">
      <c r="A113" s="18"/>
      <c r="B113" s="19"/>
      <c r="C113" s="20">
        <v>240129000001</v>
      </c>
      <c r="D113" s="21">
        <v>45326</v>
      </c>
      <c r="E113" s="21" t="s">
        <v>62</v>
      </c>
      <c r="F113" s="19" t="s">
        <v>63</v>
      </c>
      <c r="G113" s="19" t="s">
        <v>158</v>
      </c>
      <c r="H113" s="19">
        <v>45.5</v>
      </c>
      <c r="I113" s="44">
        <v>2411.5</v>
      </c>
      <c r="J113" s="54"/>
      <c r="K113" s="55"/>
      <c r="L113" s="54"/>
      <c r="M113" s="47"/>
      <c r="N113" s="48"/>
      <c r="O113" s="49">
        <f t="shared" si="59"/>
        <v>2411.5</v>
      </c>
      <c r="P113" s="51"/>
      <c r="Q113" s="51"/>
      <c r="R113" s="67">
        <f t="shared" si="56"/>
        <v>1540.04438182459</v>
      </c>
      <c r="S113" s="67"/>
      <c r="T113" s="91">
        <f t="shared" si="57"/>
        <v>1.32220852412821</v>
      </c>
      <c r="U113" s="67"/>
      <c r="V113" s="67"/>
      <c r="W113" s="89">
        <f t="shared" si="52"/>
        <v>1541.36659034871</v>
      </c>
      <c r="X113" s="90">
        <f t="shared" si="58"/>
        <v>26.5646116590349</v>
      </c>
      <c r="Y113" s="90"/>
      <c r="Z113" s="90"/>
      <c r="AA113" s="90">
        <f t="shared" si="54"/>
        <v>26.5646116590349</v>
      </c>
      <c r="AB113" s="107">
        <v>7.19</v>
      </c>
      <c r="AC113" s="67">
        <f t="shared" si="53"/>
        <v>190.999557828461</v>
      </c>
      <c r="AD113" s="67">
        <f t="shared" si="51"/>
        <v>1732.36614817718</v>
      </c>
      <c r="AE113" s="67">
        <f t="shared" si="50"/>
        <v>679.13385182282</v>
      </c>
    </row>
    <row r="114" customFormat="1" spans="1:31">
      <c r="A114" s="18"/>
      <c r="B114" s="19"/>
      <c r="C114" s="20">
        <v>240129000005</v>
      </c>
      <c r="D114" s="21">
        <v>45326</v>
      </c>
      <c r="E114" s="21" t="s">
        <v>62</v>
      </c>
      <c r="F114" s="19" t="s">
        <v>63</v>
      </c>
      <c r="G114" s="19" t="s">
        <v>126</v>
      </c>
      <c r="H114" s="19">
        <v>55.5</v>
      </c>
      <c r="I114" s="49"/>
      <c r="J114" s="68"/>
      <c r="K114" s="69">
        <v>421</v>
      </c>
      <c r="L114" s="61"/>
      <c r="M114" s="62">
        <v>416.25</v>
      </c>
      <c r="N114" s="48">
        <v>7.19</v>
      </c>
      <c r="O114" s="49">
        <f t="shared" ref="O114:O116" si="60">SUM(M114*N114)</f>
        <v>2992.8375</v>
      </c>
      <c r="P114" s="51"/>
      <c r="Q114" s="51"/>
      <c r="R114" s="67">
        <f t="shared" si="56"/>
        <v>1878.51567453329</v>
      </c>
      <c r="S114" s="67"/>
      <c r="T114" s="91">
        <f t="shared" si="57"/>
        <v>1.61280380415639</v>
      </c>
      <c r="U114" s="67"/>
      <c r="V114" s="67"/>
      <c r="W114" s="89">
        <f t="shared" si="52"/>
        <v>1880.12847833744</v>
      </c>
      <c r="X114" s="90">
        <f t="shared" si="58"/>
        <v>32.4029878478337</v>
      </c>
      <c r="Y114" s="90"/>
      <c r="Z114" s="90"/>
      <c r="AA114" s="90">
        <f t="shared" si="54"/>
        <v>32.4029878478337</v>
      </c>
      <c r="AB114" s="107">
        <v>7.19</v>
      </c>
      <c r="AC114" s="67">
        <f t="shared" si="53"/>
        <v>232.977482625925</v>
      </c>
      <c r="AD114" s="67">
        <f t="shared" si="51"/>
        <v>2113.10596096337</v>
      </c>
      <c r="AE114" s="67">
        <f t="shared" si="50"/>
        <v>879.73153903663</v>
      </c>
    </row>
    <row r="115" customFormat="1" spans="1:31">
      <c r="A115" s="18"/>
      <c r="B115" s="19"/>
      <c r="C115" s="20">
        <v>240129000015</v>
      </c>
      <c r="D115" s="21">
        <v>45326</v>
      </c>
      <c r="E115" s="21" t="s">
        <v>41</v>
      </c>
      <c r="F115" s="19" t="s">
        <v>42</v>
      </c>
      <c r="G115" s="19" t="s">
        <v>159</v>
      </c>
      <c r="H115" s="19">
        <v>19.5</v>
      </c>
      <c r="I115" s="53"/>
      <c r="J115" s="61">
        <v>210795</v>
      </c>
      <c r="K115" s="55"/>
      <c r="L115" s="61">
        <f t="shared" ref="L115:L121" si="61">SUM(J115/M115)</f>
        <v>1653.81296092892</v>
      </c>
      <c r="M115" s="62">
        <v>127.46</v>
      </c>
      <c r="N115" s="48">
        <v>7.19</v>
      </c>
      <c r="O115" s="49">
        <f t="shared" si="60"/>
        <v>916.4374</v>
      </c>
      <c r="P115" s="51"/>
      <c r="Q115" s="51"/>
      <c r="R115" s="67">
        <f t="shared" si="56"/>
        <v>660.019020781966</v>
      </c>
      <c r="S115" s="67"/>
      <c r="T115" s="91">
        <f t="shared" si="57"/>
        <v>0.566660796054949</v>
      </c>
      <c r="U115" s="67"/>
      <c r="V115" s="67"/>
      <c r="W115" s="89">
        <f t="shared" si="52"/>
        <v>660.585681578021</v>
      </c>
      <c r="X115" s="90">
        <f t="shared" si="58"/>
        <v>11.3848335681578</v>
      </c>
      <c r="Y115" s="90"/>
      <c r="Z115" s="90"/>
      <c r="AA115" s="90">
        <f t="shared" si="54"/>
        <v>11.3848335681578</v>
      </c>
      <c r="AB115" s="107">
        <v>7.19</v>
      </c>
      <c r="AC115" s="67">
        <f t="shared" si="53"/>
        <v>81.8569533550546</v>
      </c>
      <c r="AD115" s="67">
        <f t="shared" si="51"/>
        <v>742.442634933075</v>
      </c>
      <c r="AE115" s="67">
        <f t="shared" si="50"/>
        <v>173.994765066925</v>
      </c>
    </row>
    <row r="116" customFormat="1" spans="1:31">
      <c r="A116" s="18"/>
      <c r="B116" s="19"/>
      <c r="C116" s="20">
        <v>240129000040</v>
      </c>
      <c r="D116" s="21">
        <v>45326</v>
      </c>
      <c r="E116" s="21" t="s">
        <v>37</v>
      </c>
      <c r="F116" s="19" t="s">
        <v>38</v>
      </c>
      <c r="G116" s="19" t="s">
        <v>160</v>
      </c>
      <c r="H116" s="19">
        <v>23</v>
      </c>
      <c r="I116" s="53"/>
      <c r="J116" s="61">
        <v>247812</v>
      </c>
      <c r="K116" s="55"/>
      <c r="L116" s="61">
        <f t="shared" si="61"/>
        <v>1538.72710338404</v>
      </c>
      <c r="M116" s="62">
        <v>161.05</v>
      </c>
      <c r="N116" s="48">
        <v>7.19</v>
      </c>
      <c r="O116" s="49">
        <f t="shared" si="60"/>
        <v>1157.9495</v>
      </c>
      <c r="P116" s="51"/>
      <c r="Q116" s="51"/>
      <c r="R116" s="67">
        <f t="shared" si="56"/>
        <v>778.483973230011</v>
      </c>
      <c r="S116" s="67"/>
      <c r="T116" s="91">
        <f t="shared" si="57"/>
        <v>0.668369144064812</v>
      </c>
      <c r="U116" s="67"/>
      <c r="V116" s="67"/>
      <c r="W116" s="89">
        <f t="shared" si="52"/>
        <v>779.152342374075</v>
      </c>
      <c r="X116" s="90">
        <f t="shared" si="58"/>
        <v>13.4282652342374</v>
      </c>
      <c r="Y116" s="90"/>
      <c r="Z116" s="90"/>
      <c r="AA116" s="90">
        <f t="shared" si="54"/>
        <v>13.4282652342374</v>
      </c>
      <c r="AB116" s="107">
        <v>7.19</v>
      </c>
      <c r="AC116" s="67">
        <f t="shared" si="53"/>
        <v>96.549227034167</v>
      </c>
      <c r="AD116" s="67">
        <f t="shared" si="51"/>
        <v>875.701569408242</v>
      </c>
      <c r="AE116" s="67">
        <f t="shared" si="50"/>
        <v>282.247930591758</v>
      </c>
    </row>
    <row r="117" customFormat="1" spans="1:31">
      <c r="A117" s="18"/>
      <c r="B117" s="19"/>
      <c r="C117" s="20">
        <v>240129000044</v>
      </c>
      <c r="D117" s="21">
        <v>45326</v>
      </c>
      <c r="E117" s="21" t="s">
        <v>37</v>
      </c>
      <c r="F117" s="19" t="s">
        <v>38</v>
      </c>
      <c r="G117" s="19" t="s">
        <v>161</v>
      </c>
      <c r="H117" s="19">
        <v>264</v>
      </c>
      <c r="I117" s="44">
        <v>12675</v>
      </c>
      <c r="J117" s="45"/>
      <c r="K117" s="46"/>
      <c r="L117" s="45"/>
      <c r="M117" s="47"/>
      <c r="N117" s="48"/>
      <c r="O117" s="49">
        <f t="shared" ref="O117:O120" si="62">SUM(I117)</f>
        <v>12675</v>
      </c>
      <c r="P117" s="51"/>
      <c r="Q117" s="51"/>
      <c r="R117" s="67">
        <f t="shared" si="56"/>
        <v>8935.64212750969</v>
      </c>
      <c r="S117" s="67"/>
      <c r="T117" s="91">
        <f t="shared" si="57"/>
        <v>7.67171539274392</v>
      </c>
      <c r="U117" s="67"/>
      <c r="V117" s="67"/>
      <c r="W117" s="89">
        <f t="shared" si="52"/>
        <v>8943.31384290243</v>
      </c>
      <c r="X117" s="90">
        <f t="shared" si="58"/>
        <v>154.13313138429</v>
      </c>
      <c r="Y117" s="90"/>
      <c r="Z117" s="90"/>
      <c r="AA117" s="90">
        <f t="shared" si="54"/>
        <v>154.13313138429</v>
      </c>
      <c r="AB117" s="107">
        <v>7.19</v>
      </c>
      <c r="AC117" s="67">
        <f t="shared" si="53"/>
        <v>1108.21721465305</v>
      </c>
      <c r="AD117" s="67">
        <f t="shared" si="51"/>
        <v>10051.5310575555</v>
      </c>
      <c r="AE117" s="67">
        <f t="shared" si="50"/>
        <v>2623.4689424445</v>
      </c>
    </row>
    <row r="118" customFormat="1" spans="1:31">
      <c r="A118" s="18"/>
      <c r="B118" s="19"/>
      <c r="C118" s="20">
        <v>240129000045</v>
      </c>
      <c r="D118" s="21">
        <v>45326</v>
      </c>
      <c r="E118" s="21" t="s">
        <v>41</v>
      </c>
      <c r="F118" s="19" t="s">
        <v>42</v>
      </c>
      <c r="G118" s="19" t="s">
        <v>162</v>
      </c>
      <c r="H118" s="19">
        <v>25.5</v>
      </c>
      <c r="I118" s="44">
        <v>1147.5</v>
      </c>
      <c r="J118" s="54"/>
      <c r="K118" s="55"/>
      <c r="L118" s="54"/>
      <c r="M118" s="47"/>
      <c r="N118" s="48"/>
      <c r="O118" s="49">
        <f t="shared" si="62"/>
        <v>1147.5</v>
      </c>
      <c r="P118" s="51"/>
      <c r="Q118" s="51"/>
      <c r="R118" s="67">
        <f t="shared" si="56"/>
        <v>863.101796407186</v>
      </c>
      <c r="S118" s="67"/>
      <c r="T118" s="91">
        <f t="shared" si="57"/>
        <v>0.741017964071856</v>
      </c>
      <c r="U118" s="67"/>
      <c r="V118" s="67"/>
      <c r="W118" s="89">
        <f t="shared" si="52"/>
        <v>863.842814371258</v>
      </c>
      <c r="X118" s="90">
        <f t="shared" si="58"/>
        <v>14.8878592814371</v>
      </c>
      <c r="Y118" s="90"/>
      <c r="Z118" s="90"/>
      <c r="AA118" s="90">
        <f t="shared" si="54"/>
        <v>14.8878592814371</v>
      </c>
      <c r="AB118" s="107">
        <v>7.19</v>
      </c>
      <c r="AC118" s="67">
        <f t="shared" si="53"/>
        <v>107.043708233533</v>
      </c>
      <c r="AD118" s="67">
        <f t="shared" si="51"/>
        <v>970.88652260479</v>
      </c>
      <c r="AE118" s="67">
        <f t="shared" si="50"/>
        <v>176.61347739521</v>
      </c>
    </row>
    <row r="119" customFormat="1" spans="1:31">
      <c r="A119" s="18"/>
      <c r="B119" s="19"/>
      <c r="C119" s="20">
        <v>240129000051</v>
      </c>
      <c r="D119" s="21">
        <v>45326</v>
      </c>
      <c r="E119" s="21" t="s">
        <v>41</v>
      </c>
      <c r="F119" s="19" t="s">
        <v>42</v>
      </c>
      <c r="G119" s="19" t="s">
        <v>145</v>
      </c>
      <c r="H119" s="19">
        <v>428</v>
      </c>
      <c r="I119" s="44">
        <v>25695</v>
      </c>
      <c r="J119" s="45"/>
      <c r="K119" s="46"/>
      <c r="L119" s="45"/>
      <c r="M119" s="47"/>
      <c r="N119" s="48"/>
      <c r="O119" s="49">
        <f t="shared" si="62"/>
        <v>25695</v>
      </c>
      <c r="P119" s="51"/>
      <c r="Q119" s="51"/>
      <c r="R119" s="67">
        <f t="shared" si="56"/>
        <v>14486.5713279324</v>
      </c>
      <c r="S119" s="67"/>
      <c r="T119" s="91">
        <f t="shared" si="57"/>
        <v>12.4374779852061</v>
      </c>
      <c r="U119" s="91">
        <f>SUM(200+220)</f>
        <v>420</v>
      </c>
      <c r="V119" s="67"/>
      <c r="W119" s="89">
        <f t="shared" si="52"/>
        <v>14919.0088059176</v>
      </c>
      <c r="X119" s="90">
        <f t="shared" si="58"/>
        <v>249.882500880592</v>
      </c>
      <c r="Y119" s="90"/>
      <c r="Z119" s="90"/>
      <c r="AA119" s="90">
        <f t="shared" si="54"/>
        <v>249.882500880592</v>
      </c>
      <c r="AB119" s="107">
        <v>7.19</v>
      </c>
      <c r="AC119" s="67">
        <f t="shared" si="53"/>
        <v>1796.65518133145</v>
      </c>
      <c r="AD119" s="67">
        <f t="shared" si="51"/>
        <v>16715.663987249</v>
      </c>
      <c r="AE119" s="67">
        <f t="shared" si="50"/>
        <v>8979.336012751</v>
      </c>
    </row>
    <row r="120" customFormat="1" spans="1:31">
      <c r="A120" s="18"/>
      <c r="B120" s="19"/>
      <c r="C120" s="20">
        <v>240129000075</v>
      </c>
      <c r="D120" s="21">
        <v>45326</v>
      </c>
      <c r="E120" s="21" t="s">
        <v>41</v>
      </c>
      <c r="F120" s="19" t="s">
        <v>42</v>
      </c>
      <c r="G120" s="19" t="s">
        <v>163</v>
      </c>
      <c r="H120" s="19">
        <v>391.5</v>
      </c>
      <c r="I120" s="53"/>
      <c r="J120" s="61">
        <v>4716885</v>
      </c>
      <c r="K120" s="55"/>
      <c r="L120" s="61">
        <f t="shared" si="61"/>
        <v>1545.85064824404</v>
      </c>
      <c r="M120" s="62">
        <v>3051.32</v>
      </c>
      <c r="N120" s="68">
        <v>7.19</v>
      </c>
      <c r="O120" s="49">
        <f>SUM(M120*N120)</f>
        <v>21938.9908</v>
      </c>
      <c r="P120" s="51"/>
      <c r="Q120" s="51"/>
      <c r="R120" s="67">
        <f t="shared" si="56"/>
        <v>13251.1511095456</v>
      </c>
      <c r="S120" s="67"/>
      <c r="T120" s="91">
        <f t="shared" si="57"/>
        <v>11.3768052131032</v>
      </c>
      <c r="U120" s="67"/>
      <c r="V120" s="91">
        <v>798</v>
      </c>
      <c r="W120" s="89">
        <f t="shared" si="52"/>
        <v>14060.5279147587</v>
      </c>
      <c r="X120" s="90">
        <f t="shared" si="58"/>
        <v>228.572427791476</v>
      </c>
      <c r="Y120" s="90"/>
      <c r="Z120" s="90"/>
      <c r="AA120" s="90">
        <f t="shared" si="54"/>
        <v>228.572427791476</v>
      </c>
      <c r="AB120" s="107">
        <v>7.19</v>
      </c>
      <c r="AC120" s="67">
        <f t="shared" si="53"/>
        <v>1643.43575582071</v>
      </c>
      <c r="AD120" s="67">
        <f t="shared" si="51"/>
        <v>15703.9636705794</v>
      </c>
      <c r="AE120" s="67">
        <f t="shared" si="50"/>
        <v>6235.0271294206</v>
      </c>
    </row>
    <row r="121" customFormat="1" spans="1:31">
      <c r="A121" s="18"/>
      <c r="B121" s="19"/>
      <c r="C121" s="20">
        <v>240129000078</v>
      </c>
      <c r="D121" s="21">
        <v>45326</v>
      </c>
      <c r="E121" s="21" t="s">
        <v>44</v>
      </c>
      <c r="F121" s="19" t="s">
        <v>44</v>
      </c>
      <c r="G121" s="19" t="s">
        <v>164</v>
      </c>
      <c r="H121" s="19">
        <v>492.5</v>
      </c>
      <c r="I121" s="44">
        <v>493</v>
      </c>
      <c r="J121" s="45">
        <v>5188487.5</v>
      </c>
      <c r="K121" s="114"/>
      <c r="L121" s="61">
        <f t="shared" si="61"/>
        <v>1523.78487518355</v>
      </c>
      <c r="M121" s="62">
        <v>3405</v>
      </c>
      <c r="N121" s="48">
        <v>7.19</v>
      </c>
      <c r="O121" s="49">
        <f>SUM(M121*N121+I121)</f>
        <v>24974.95</v>
      </c>
      <c r="P121" s="51"/>
      <c r="Q121" s="51"/>
      <c r="R121" s="67">
        <f t="shared" si="56"/>
        <v>16669.7111659035</v>
      </c>
      <c r="S121" s="67"/>
      <c r="T121" s="91">
        <f t="shared" si="57"/>
        <v>14.3118175413878</v>
      </c>
      <c r="U121" s="67"/>
      <c r="V121" s="67"/>
      <c r="W121" s="89">
        <f t="shared" si="52"/>
        <v>16684.0229834449</v>
      </c>
      <c r="X121" s="90">
        <f t="shared" si="58"/>
        <v>287.540027298345</v>
      </c>
      <c r="Y121" s="90"/>
      <c r="Z121" s="90"/>
      <c r="AA121" s="90">
        <f t="shared" si="54"/>
        <v>287.540027298345</v>
      </c>
      <c r="AB121" s="107">
        <v>7.19</v>
      </c>
      <c r="AC121" s="67">
        <f t="shared" si="53"/>
        <v>2067.4127962751</v>
      </c>
      <c r="AD121" s="67">
        <f t="shared" si="51"/>
        <v>18751.43577972</v>
      </c>
      <c r="AE121" s="67">
        <f t="shared" si="50"/>
        <v>6223.51422028</v>
      </c>
    </row>
    <row r="122" customFormat="1" spans="1:31">
      <c r="A122" s="18"/>
      <c r="B122" s="19"/>
      <c r="C122" s="20">
        <v>240130000003</v>
      </c>
      <c r="D122" s="21">
        <v>45326</v>
      </c>
      <c r="E122" s="21" t="s">
        <v>76</v>
      </c>
      <c r="F122" s="19" t="s">
        <v>77</v>
      </c>
      <c r="G122" s="19" t="s">
        <v>165</v>
      </c>
      <c r="H122" s="19">
        <v>111.5</v>
      </c>
      <c r="I122" s="44">
        <v>5575</v>
      </c>
      <c r="J122" s="45"/>
      <c r="K122" s="46"/>
      <c r="L122" s="45"/>
      <c r="M122" s="47"/>
      <c r="N122" s="48"/>
      <c r="O122" s="49">
        <f t="shared" ref="O122:O126" si="63">SUM(I122)</f>
        <v>5575</v>
      </c>
      <c r="P122" s="51"/>
      <c r="Q122" s="51"/>
      <c r="R122" s="67">
        <f t="shared" si="56"/>
        <v>3773.95491370201</v>
      </c>
      <c r="S122" s="67"/>
      <c r="T122" s="91">
        <f t="shared" si="57"/>
        <v>3.24013737231419</v>
      </c>
      <c r="U122" s="67"/>
      <c r="V122" s="67"/>
      <c r="W122" s="89">
        <f t="shared" si="52"/>
        <v>3777.19505107432</v>
      </c>
      <c r="X122" s="90">
        <f t="shared" si="58"/>
        <v>65.0978945051074</v>
      </c>
      <c r="Y122" s="90"/>
      <c r="Z122" s="90"/>
      <c r="AA122" s="90">
        <f t="shared" si="54"/>
        <v>65.0978945051074</v>
      </c>
      <c r="AB122" s="107">
        <v>7.19</v>
      </c>
      <c r="AC122" s="67">
        <f t="shared" si="53"/>
        <v>468.053861491722</v>
      </c>
      <c r="AD122" s="67">
        <f t="shared" si="51"/>
        <v>4245.24891256604</v>
      </c>
      <c r="AE122" s="67">
        <f t="shared" si="50"/>
        <v>1329.75108743396</v>
      </c>
    </row>
    <row r="123" customFormat="1" spans="1:31">
      <c r="A123" s="18"/>
      <c r="B123" s="19"/>
      <c r="C123" s="20">
        <v>240130000007</v>
      </c>
      <c r="D123" s="21">
        <v>45326</v>
      </c>
      <c r="E123" s="21" t="s">
        <v>44</v>
      </c>
      <c r="F123" s="19" t="s">
        <v>44</v>
      </c>
      <c r="G123" s="19" t="s">
        <v>166</v>
      </c>
      <c r="H123" s="19">
        <v>8.5</v>
      </c>
      <c r="I123" s="44">
        <v>425</v>
      </c>
      <c r="J123" s="45"/>
      <c r="K123" s="46"/>
      <c r="L123" s="45"/>
      <c r="M123" s="47"/>
      <c r="N123" s="48"/>
      <c r="O123" s="49">
        <f t="shared" si="63"/>
        <v>425</v>
      </c>
      <c r="P123" s="51"/>
      <c r="Q123" s="51"/>
      <c r="R123" s="67">
        <f t="shared" si="56"/>
        <v>287.700598802395</v>
      </c>
      <c r="S123" s="67"/>
      <c r="T123" s="91">
        <f t="shared" si="57"/>
        <v>0.247005988023952</v>
      </c>
      <c r="U123" s="67"/>
      <c r="V123" s="67"/>
      <c r="W123" s="89">
        <f t="shared" si="52"/>
        <v>287.947604790419</v>
      </c>
      <c r="X123" s="90">
        <f t="shared" si="58"/>
        <v>4.96261976047904</v>
      </c>
      <c r="Y123" s="90"/>
      <c r="Z123" s="90"/>
      <c r="AA123" s="90">
        <f t="shared" si="54"/>
        <v>4.96261976047904</v>
      </c>
      <c r="AB123" s="107">
        <v>7.19</v>
      </c>
      <c r="AC123" s="67">
        <f t="shared" si="53"/>
        <v>35.6812360778443</v>
      </c>
      <c r="AD123" s="67">
        <f t="shared" si="51"/>
        <v>323.628840868263</v>
      </c>
      <c r="AE123" s="67">
        <f t="shared" si="50"/>
        <v>101.371159131737</v>
      </c>
    </row>
    <row r="124" customFormat="1" spans="1:31">
      <c r="A124" s="18"/>
      <c r="B124" s="19"/>
      <c r="C124" s="20">
        <v>240130000017</v>
      </c>
      <c r="D124" s="21">
        <v>45326</v>
      </c>
      <c r="E124" s="21" t="s">
        <v>44</v>
      </c>
      <c r="F124" s="19" t="s">
        <v>44</v>
      </c>
      <c r="G124" s="19" t="s">
        <v>167</v>
      </c>
      <c r="H124" s="19">
        <v>5</v>
      </c>
      <c r="I124" s="44">
        <v>305</v>
      </c>
      <c r="J124" s="54"/>
      <c r="K124" s="55"/>
      <c r="L124" s="54"/>
      <c r="M124" s="47"/>
      <c r="N124" s="48"/>
      <c r="O124" s="49">
        <f t="shared" si="63"/>
        <v>305</v>
      </c>
      <c r="P124" s="51"/>
      <c r="Q124" s="51"/>
      <c r="R124" s="67">
        <f t="shared" si="56"/>
        <v>169.23564635435</v>
      </c>
      <c r="S124" s="67"/>
      <c r="T124" s="91">
        <f t="shared" si="57"/>
        <v>0.145297640014089</v>
      </c>
      <c r="U124" s="67"/>
      <c r="V124" s="67"/>
      <c r="W124" s="89">
        <f t="shared" si="52"/>
        <v>169.380943994364</v>
      </c>
      <c r="X124" s="90">
        <f t="shared" si="58"/>
        <v>2.91918809439944</v>
      </c>
      <c r="Y124" s="90"/>
      <c r="Z124" s="90"/>
      <c r="AA124" s="90">
        <f t="shared" si="54"/>
        <v>2.91918809439944</v>
      </c>
      <c r="AB124" s="107">
        <v>7.19</v>
      </c>
      <c r="AC124" s="67">
        <f t="shared" si="53"/>
        <v>20.9889623987319</v>
      </c>
      <c r="AD124" s="67">
        <f t="shared" si="51"/>
        <v>190.369906393096</v>
      </c>
      <c r="AE124" s="67">
        <f t="shared" si="50"/>
        <v>114.630093606904</v>
      </c>
    </row>
    <row r="125" customFormat="1" spans="1:31">
      <c r="A125" s="18"/>
      <c r="B125" s="19"/>
      <c r="C125" s="20">
        <v>240130000027</v>
      </c>
      <c r="D125" s="21">
        <v>45326</v>
      </c>
      <c r="E125" s="21" t="s">
        <v>37</v>
      </c>
      <c r="F125" s="19" t="s">
        <v>122</v>
      </c>
      <c r="G125" s="19" t="s">
        <v>123</v>
      </c>
      <c r="H125" s="19">
        <v>6.5</v>
      </c>
      <c r="I125" s="44">
        <v>655.5</v>
      </c>
      <c r="J125" s="45"/>
      <c r="K125" s="46"/>
      <c r="L125" s="45"/>
      <c r="M125" s="47"/>
      <c r="N125" s="48"/>
      <c r="O125" s="49">
        <f t="shared" si="63"/>
        <v>655.5</v>
      </c>
      <c r="P125" s="51"/>
      <c r="Q125" s="51"/>
      <c r="R125" s="67">
        <f t="shared" si="56"/>
        <v>220.006340260655</v>
      </c>
      <c r="S125" s="67"/>
      <c r="T125" s="91">
        <f t="shared" si="57"/>
        <v>0.188886932018316</v>
      </c>
      <c r="U125" s="67"/>
      <c r="V125" s="67"/>
      <c r="W125" s="89">
        <f t="shared" ref="W125:W156" si="64">SUM(R125:V125)</f>
        <v>220.195227192673</v>
      </c>
      <c r="X125" s="90">
        <f t="shared" si="58"/>
        <v>3.79494452271927</v>
      </c>
      <c r="Y125" s="90"/>
      <c r="Z125" s="90"/>
      <c r="AA125" s="90">
        <f t="shared" si="54"/>
        <v>3.79494452271927</v>
      </c>
      <c r="AB125" s="107">
        <v>7.19</v>
      </c>
      <c r="AC125" s="67">
        <f t="shared" si="53"/>
        <v>27.2856511183515</v>
      </c>
      <c r="AD125" s="67">
        <f t="shared" si="51"/>
        <v>247.480878311025</v>
      </c>
      <c r="AE125" s="67">
        <f t="shared" si="50"/>
        <v>408.019121688975</v>
      </c>
    </row>
    <row r="126" customFormat="1" spans="1:31">
      <c r="A126" s="18"/>
      <c r="B126" s="19"/>
      <c r="C126" s="20">
        <v>240130000030</v>
      </c>
      <c r="D126" s="21">
        <v>45326</v>
      </c>
      <c r="E126" s="21" t="s">
        <v>41</v>
      </c>
      <c r="F126" s="19" t="s">
        <v>42</v>
      </c>
      <c r="G126" s="19" t="s">
        <v>168</v>
      </c>
      <c r="H126" s="19">
        <v>36.5</v>
      </c>
      <c r="I126" s="44">
        <v>2152.12</v>
      </c>
      <c r="J126" s="45"/>
      <c r="K126" s="46"/>
      <c r="L126" s="45"/>
      <c r="M126" s="47"/>
      <c r="N126" s="48"/>
      <c r="O126" s="49">
        <f t="shared" si="63"/>
        <v>2152.12</v>
      </c>
      <c r="P126" s="52"/>
      <c r="Q126" s="52"/>
      <c r="R126" s="67">
        <f t="shared" si="56"/>
        <v>1235.42021838676</v>
      </c>
      <c r="S126" s="67"/>
      <c r="T126" s="91">
        <f t="shared" si="57"/>
        <v>1.06067277210285</v>
      </c>
      <c r="U126" s="91">
        <v>290</v>
      </c>
      <c r="V126" s="91">
        <v>37.12</v>
      </c>
      <c r="W126" s="89">
        <f t="shared" si="64"/>
        <v>1563.60089115886</v>
      </c>
      <c r="X126" s="90">
        <f t="shared" si="58"/>
        <v>21.3100730891159</v>
      </c>
      <c r="Y126" s="90"/>
      <c r="Z126" s="90"/>
      <c r="AA126" s="90">
        <f t="shared" si="54"/>
        <v>21.3100730891159</v>
      </c>
      <c r="AB126" s="107">
        <v>7.19</v>
      </c>
      <c r="AC126" s="67">
        <f t="shared" si="53"/>
        <v>153.219425510743</v>
      </c>
      <c r="AD126" s="67">
        <f t="shared" ref="AD126:AD157" si="65">SUM(W126+AC126)</f>
        <v>1716.8203166696</v>
      </c>
      <c r="AE126" s="67">
        <f t="shared" si="50"/>
        <v>435.2996833304</v>
      </c>
    </row>
    <row r="127" customFormat="1" spans="1:31">
      <c r="A127" s="18" t="s">
        <v>169</v>
      </c>
      <c r="B127" s="19" t="s">
        <v>170</v>
      </c>
      <c r="C127" s="20">
        <v>240122000024</v>
      </c>
      <c r="D127" s="21">
        <v>45327</v>
      </c>
      <c r="E127" s="21" t="s">
        <v>41</v>
      </c>
      <c r="F127" s="19" t="s">
        <v>42</v>
      </c>
      <c r="G127" s="19" t="s">
        <v>59</v>
      </c>
      <c r="H127" s="19">
        <v>24.5</v>
      </c>
      <c r="I127" s="53"/>
      <c r="J127" s="61">
        <v>267050</v>
      </c>
      <c r="K127" s="55"/>
      <c r="L127" s="61">
        <f>SUM(J127/M127)</f>
        <v>1567.47079884956</v>
      </c>
      <c r="M127" s="62">
        <v>170.37</v>
      </c>
      <c r="N127" s="48">
        <v>7.19</v>
      </c>
      <c r="O127" s="49">
        <f>SUM(M127*N127)</f>
        <v>1224.9603</v>
      </c>
      <c r="P127" s="50">
        <f>SUM(O127:O219)</f>
        <v>65751.69689868</v>
      </c>
      <c r="Q127" s="50" t="s">
        <v>50</v>
      </c>
      <c r="R127" s="67">
        <f>SUM(39798.5/1139)*H127</f>
        <v>856.0695785777</v>
      </c>
      <c r="S127" s="67"/>
      <c r="T127" s="67">
        <v>0</v>
      </c>
      <c r="U127" s="67"/>
      <c r="V127" s="67"/>
      <c r="W127" s="89">
        <f t="shared" si="64"/>
        <v>856.0695785777</v>
      </c>
      <c r="X127" s="90">
        <f>SUM(660.06/1139)*H127</f>
        <v>14.1979543459175</v>
      </c>
      <c r="Y127" s="90"/>
      <c r="Z127" s="90"/>
      <c r="AA127" s="90">
        <f t="shared" ref="AA127:AA158" si="66">SUM(X127:Z127)</f>
        <v>14.1979543459175</v>
      </c>
      <c r="AB127" s="107">
        <v>7.19</v>
      </c>
      <c r="AC127" s="67">
        <f t="shared" ref="AC127:AC158" si="67">SUM(AA127*AB127)</f>
        <v>102.083291747147</v>
      </c>
      <c r="AD127" s="67">
        <f t="shared" si="65"/>
        <v>958.152870324846</v>
      </c>
      <c r="AE127" s="67">
        <f t="shared" ref="AE127:AE158" si="68">SUM(O127-AD127)</f>
        <v>266.807429675154</v>
      </c>
    </row>
    <row r="128" customFormat="1" spans="1:31">
      <c r="A128" s="18"/>
      <c r="B128" s="19"/>
      <c r="C128" s="20">
        <v>240122000037</v>
      </c>
      <c r="D128" s="21">
        <v>45327</v>
      </c>
      <c r="E128" s="21" t="s">
        <v>56</v>
      </c>
      <c r="F128" s="19" t="s">
        <v>112</v>
      </c>
      <c r="G128" s="19" t="s">
        <v>171</v>
      </c>
      <c r="H128" s="19">
        <v>7.5</v>
      </c>
      <c r="I128" s="44">
        <v>451.6</v>
      </c>
      <c r="J128" s="45"/>
      <c r="K128" s="46"/>
      <c r="L128" s="45"/>
      <c r="M128" s="47"/>
      <c r="N128" s="48"/>
      <c r="O128" s="49">
        <f t="shared" ref="O128:O130" si="69">SUM(I128)</f>
        <v>451.6</v>
      </c>
      <c r="P128" s="51"/>
      <c r="Q128" s="51"/>
      <c r="R128" s="67">
        <f t="shared" ref="R128:R159" si="70">SUM(39798.5/1139)*H128</f>
        <v>262.062115891133</v>
      </c>
      <c r="S128" s="67"/>
      <c r="T128" s="67">
        <v>0</v>
      </c>
      <c r="U128" s="67"/>
      <c r="V128" s="67"/>
      <c r="W128" s="89">
        <f t="shared" si="64"/>
        <v>262.062115891133</v>
      </c>
      <c r="X128" s="90">
        <f t="shared" ref="X128:X159" si="71">SUM(660.06/1139)*H128</f>
        <v>4.3463125548727</v>
      </c>
      <c r="Y128" s="90"/>
      <c r="Z128" s="90"/>
      <c r="AA128" s="90">
        <f t="shared" si="66"/>
        <v>4.3463125548727</v>
      </c>
      <c r="AB128" s="107">
        <v>7.19</v>
      </c>
      <c r="AC128" s="67">
        <f t="shared" si="67"/>
        <v>31.2499872695347</v>
      </c>
      <c r="AD128" s="67">
        <f t="shared" si="65"/>
        <v>293.312103160667</v>
      </c>
      <c r="AE128" s="67">
        <f t="shared" si="68"/>
        <v>158.287896839333</v>
      </c>
    </row>
    <row r="129" customFormat="1" spans="1:31">
      <c r="A129" s="18"/>
      <c r="B129" s="19"/>
      <c r="C129" s="20">
        <v>240122000039</v>
      </c>
      <c r="D129" s="21">
        <v>45327</v>
      </c>
      <c r="E129" s="21" t="s">
        <v>56</v>
      </c>
      <c r="F129" s="19" t="s">
        <v>114</v>
      </c>
      <c r="G129" s="19" t="s">
        <v>58</v>
      </c>
      <c r="H129" s="19">
        <v>18</v>
      </c>
      <c r="I129" s="44">
        <v>942</v>
      </c>
      <c r="J129" s="45"/>
      <c r="K129" s="46"/>
      <c r="L129" s="45"/>
      <c r="M129" s="47"/>
      <c r="N129" s="48"/>
      <c r="O129" s="49">
        <f t="shared" si="69"/>
        <v>942</v>
      </c>
      <c r="P129" s="51"/>
      <c r="Q129" s="51"/>
      <c r="R129" s="67">
        <f t="shared" si="70"/>
        <v>628.949078138718</v>
      </c>
      <c r="S129" s="67"/>
      <c r="T129" s="67">
        <v>0</v>
      </c>
      <c r="U129" s="67"/>
      <c r="V129" s="67"/>
      <c r="W129" s="89">
        <f t="shared" si="64"/>
        <v>628.949078138718</v>
      </c>
      <c r="X129" s="90">
        <f t="shared" si="71"/>
        <v>10.4311501316945</v>
      </c>
      <c r="Y129" s="90"/>
      <c r="Z129" s="90"/>
      <c r="AA129" s="90">
        <f t="shared" si="66"/>
        <v>10.4311501316945</v>
      </c>
      <c r="AB129" s="107">
        <v>7.19</v>
      </c>
      <c r="AC129" s="67">
        <f t="shared" si="67"/>
        <v>74.9999694468832</v>
      </c>
      <c r="AD129" s="67">
        <f t="shared" si="65"/>
        <v>703.949047585602</v>
      </c>
      <c r="AE129" s="67">
        <f t="shared" si="68"/>
        <v>238.050952414398</v>
      </c>
    </row>
    <row r="130" customFormat="1" spans="1:31">
      <c r="A130" s="18"/>
      <c r="B130" s="19"/>
      <c r="C130" s="20">
        <v>240122000052</v>
      </c>
      <c r="D130" s="21">
        <v>45327</v>
      </c>
      <c r="E130" s="21" t="s">
        <v>37</v>
      </c>
      <c r="F130" s="19" t="s">
        <v>38</v>
      </c>
      <c r="G130" s="19" t="s">
        <v>172</v>
      </c>
      <c r="H130" s="19">
        <v>3</v>
      </c>
      <c r="I130" s="44">
        <v>168</v>
      </c>
      <c r="J130" s="45"/>
      <c r="K130" s="46"/>
      <c r="L130" s="45"/>
      <c r="M130" s="47"/>
      <c r="N130" s="48"/>
      <c r="O130" s="49">
        <f t="shared" si="69"/>
        <v>168</v>
      </c>
      <c r="P130" s="51"/>
      <c r="Q130" s="51"/>
      <c r="R130" s="67">
        <f t="shared" si="70"/>
        <v>104.824846356453</v>
      </c>
      <c r="S130" s="67"/>
      <c r="T130" s="67">
        <v>0</v>
      </c>
      <c r="U130" s="67"/>
      <c r="V130" s="67"/>
      <c r="W130" s="89">
        <f t="shared" si="64"/>
        <v>104.824846356453</v>
      </c>
      <c r="X130" s="90">
        <f t="shared" si="71"/>
        <v>1.73852502194908</v>
      </c>
      <c r="Y130" s="90"/>
      <c r="Z130" s="90"/>
      <c r="AA130" s="90">
        <f t="shared" si="66"/>
        <v>1.73852502194908</v>
      </c>
      <c r="AB130" s="107">
        <v>7.19</v>
      </c>
      <c r="AC130" s="67">
        <f t="shared" si="67"/>
        <v>12.4999949078139</v>
      </c>
      <c r="AD130" s="67">
        <f t="shared" si="65"/>
        <v>117.324841264267</v>
      </c>
      <c r="AE130" s="67">
        <f t="shared" si="68"/>
        <v>50.6751587357331</v>
      </c>
    </row>
    <row r="131" customFormat="1" spans="1:31">
      <c r="A131" s="18"/>
      <c r="B131" s="19"/>
      <c r="C131" s="20">
        <v>240122000053</v>
      </c>
      <c r="D131" s="21">
        <v>45327</v>
      </c>
      <c r="E131" s="21" t="s">
        <v>41</v>
      </c>
      <c r="F131" s="19" t="s">
        <v>42</v>
      </c>
      <c r="G131" s="19" t="s">
        <v>59</v>
      </c>
      <c r="H131" s="19">
        <v>7</v>
      </c>
      <c r="I131" s="53"/>
      <c r="J131" s="61">
        <v>76300</v>
      </c>
      <c r="K131" s="55"/>
      <c r="L131" s="61">
        <f>SUM(J131/M131)</f>
        <v>1567.70084240805</v>
      </c>
      <c r="M131" s="62">
        <v>48.67</v>
      </c>
      <c r="N131" s="48">
        <v>7.19</v>
      </c>
      <c r="O131" s="49">
        <f t="shared" ref="O131:O135" si="72">SUM(M131*N131)</f>
        <v>349.9373</v>
      </c>
      <c r="P131" s="51"/>
      <c r="Q131" s="51"/>
      <c r="R131" s="67">
        <f t="shared" si="70"/>
        <v>244.591308165057</v>
      </c>
      <c r="S131" s="67"/>
      <c r="T131" s="67">
        <v>0</v>
      </c>
      <c r="U131" s="67"/>
      <c r="V131" s="67"/>
      <c r="W131" s="89">
        <f t="shared" si="64"/>
        <v>244.591308165057</v>
      </c>
      <c r="X131" s="90">
        <f t="shared" si="71"/>
        <v>4.05655838454785</v>
      </c>
      <c r="Y131" s="90"/>
      <c r="Z131" s="90"/>
      <c r="AA131" s="90">
        <f t="shared" si="66"/>
        <v>4.05655838454785</v>
      </c>
      <c r="AB131" s="107">
        <v>7.19</v>
      </c>
      <c r="AC131" s="67">
        <f t="shared" si="67"/>
        <v>29.166654784899</v>
      </c>
      <c r="AD131" s="67">
        <f t="shared" si="65"/>
        <v>273.757962949956</v>
      </c>
      <c r="AE131" s="67">
        <f t="shared" si="68"/>
        <v>76.1793370500439</v>
      </c>
    </row>
    <row r="132" customFormat="1" spans="1:31">
      <c r="A132" s="18"/>
      <c r="B132" s="19"/>
      <c r="C132" s="20">
        <v>240123000011</v>
      </c>
      <c r="D132" s="21">
        <v>45327</v>
      </c>
      <c r="E132" s="21" t="s">
        <v>41</v>
      </c>
      <c r="F132" s="19" t="s">
        <v>42</v>
      </c>
      <c r="G132" s="19" t="s">
        <v>173</v>
      </c>
      <c r="H132" s="19">
        <v>7.5</v>
      </c>
      <c r="I132" s="44">
        <v>337.5</v>
      </c>
      <c r="J132" s="45"/>
      <c r="K132" s="46"/>
      <c r="L132" s="45"/>
      <c r="M132" s="47"/>
      <c r="N132" s="48"/>
      <c r="O132" s="49">
        <f t="shared" ref="O132:O140" si="73">SUM(I132)</f>
        <v>337.5</v>
      </c>
      <c r="P132" s="51"/>
      <c r="Q132" s="51"/>
      <c r="R132" s="67">
        <f t="shared" si="70"/>
        <v>262.062115891133</v>
      </c>
      <c r="S132" s="67"/>
      <c r="T132" s="67">
        <v>0</v>
      </c>
      <c r="U132" s="67"/>
      <c r="V132" s="67"/>
      <c r="W132" s="89">
        <f t="shared" si="64"/>
        <v>262.062115891133</v>
      </c>
      <c r="X132" s="90">
        <f t="shared" si="71"/>
        <v>4.3463125548727</v>
      </c>
      <c r="Y132" s="90"/>
      <c r="Z132" s="90"/>
      <c r="AA132" s="90">
        <f t="shared" si="66"/>
        <v>4.3463125548727</v>
      </c>
      <c r="AB132" s="107">
        <v>7.19</v>
      </c>
      <c r="AC132" s="67">
        <f t="shared" si="67"/>
        <v>31.2499872695347</v>
      </c>
      <c r="AD132" s="67">
        <f t="shared" si="65"/>
        <v>293.312103160667</v>
      </c>
      <c r="AE132" s="67">
        <f t="shared" si="68"/>
        <v>44.1878968393327</v>
      </c>
    </row>
    <row r="133" customFormat="1" spans="1:31">
      <c r="A133" s="18"/>
      <c r="B133" s="19"/>
      <c r="C133" s="20">
        <v>240123000013</v>
      </c>
      <c r="D133" s="21">
        <v>45327</v>
      </c>
      <c r="E133" s="21" t="s">
        <v>41</v>
      </c>
      <c r="F133" s="19" t="s">
        <v>42</v>
      </c>
      <c r="G133" s="19" t="s">
        <v>159</v>
      </c>
      <c r="H133" s="19">
        <v>6.5</v>
      </c>
      <c r="I133" s="53"/>
      <c r="J133" s="61">
        <v>74750</v>
      </c>
      <c r="K133" s="55"/>
      <c r="L133" s="61">
        <f>SUM(J133/M133)</f>
        <v>1653.7610619469</v>
      </c>
      <c r="M133" s="62">
        <v>45.2</v>
      </c>
      <c r="N133" s="48">
        <v>7.19</v>
      </c>
      <c r="O133" s="49">
        <f t="shared" si="72"/>
        <v>324.988</v>
      </c>
      <c r="P133" s="51"/>
      <c r="Q133" s="51"/>
      <c r="R133" s="67">
        <f t="shared" si="70"/>
        <v>227.120500438982</v>
      </c>
      <c r="S133" s="67"/>
      <c r="T133" s="67">
        <v>0</v>
      </c>
      <c r="U133" s="67"/>
      <c r="V133" s="67"/>
      <c r="W133" s="89">
        <f t="shared" si="64"/>
        <v>227.120500438982</v>
      </c>
      <c r="X133" s="90">
        <f t="shared" si="71"/>
        <v>3.766804214223</v>
      </c>
      <c r="Y133" s="90"/>
      <c r="Z133" s="90"/>
      <c r="AA133" s="90">
        <f t="shared" si="66"/>
        <v>3.766804214223</v>
      </c>
      <c r="AB133" s="107">
        <v>7.19</v>
      </c>
      <c r="AC133" s="67">
        <f t="shared" si="67"/>
        <v>27.0833223002634</v>
      </c>
      <c r="AD133" s="67">
        <f t="shared" si="65"/>
        <v>254.203822739245</v>
      </c>
      <c r="AE133" s="67">
        <f t="shared" si="68"/>
        <v>70.784177260755</v>
      </c>
    </row>
    <row r="134" customFormat="1" spans="1:31">
      <c r="A134" s="18"/>
      <c r="B134" s="19"/>
      <c r="C134" s="20">
        <v>240123000016</v>
      </c>
      <c r="D134" s="21">
        <v>45327</v>
      </c>
      <c r="E134" s="21" t="s">
        <v>44</v>
      </c>
      <c r="F134" s="19" t="s">
        <v>44</v>
      </c>
      <c r="G134" s="19" t="s">
        <v>174</v>
      </c>
      <c r="H134" s="19">
        <v>44.5</v>
      </c>
      <c r="I134" s="53"/>
      <c r="J134" s="61">
        <v>506998</v>
      </c>
      <c r="K134" s="55"/>
      <c r="L134" s="61">
        <f>SUM(J134/M134)</f>
        <v>1481.15103710196</v>
      </c>
      <c r="M134" s="62">
        <v>342.3</v>
      </c>
      <c r="N134" s="48">
        <v>7.19</v>
      </c>
      <c r="O134" s="49">
        <f t="shared" si="72"/>
        <v>2461.137</v>
      </c>
      <c r="P134" s="51"/>
      <c r="Q134" s="51"/>
      <c r="R134" s="67">
        <f t="shared" si="70"/>
        <v>1554.90188762072</v>
      </c>
      <c r="S134" s="67"/>
      <c r="T134" s="67">
        <v>0</v>
      </c>
      <c r="U134" s="67"/>
      <c r="V134" s="67"/>
      <c r="W134" s="89">
        <f t="shared" si="64"/>
        <v>1554.90188762072</v>
      </c>
      <c r="X134" s="90">
        <f t="shared" si="71"/>
        <v>25.7881211589113</v>
      </c>
      <c r="Y134" s="90"/>
      <c r="Z134" s="90"/>
      <c r="AA134" s="90">
        <f t="shared" si="66"/>
        <v>25.7881211589113</v>
      </c>
      <c r="AB134" s="107">
        <v>7.19</v>
      </c>
      <c r="AC134" s="67">
        <f t="shared" si="67"/>
        <v>185.416591132572</v>
      </c>
      <c r="AD134" s="67">
        <f t="shared" si="65"/>
        <v>1740.31847875329</v>
      </c>
      <c r="AE134" s="67">
        <f t="shared" si="68"/>
        <v>720.818521246708</v>
      </c>
    </row>
    <row r="135" customFormat="1" spans="1:31">
      <c r="A135" s="18"/>
      <c r="B135" s="19"/>
      <c r="C135" s="20">
        <v>240123000017</v>
      </c>
      <c r="D135" s="21">
        <v>45327</v>
      </c>
      <c r="E135" s="21" t="s">
        <v>41</v>
      </c>
      <c r="F135" s="19" t="s">
        <v>42</v>
      </c>
      <c r="G135" s="19" t="s">
        <v>175</v>
      </c>
      <c r="H135" s="19">
        <v>67</v>
      </c>
      <c r="I135" s="53"/>
      <c r="J135" s="61">
        <v>773724</v>
      </c>
      <c r="K135" s="55"/>
      <c r="L135" s="61">
        <f>SUM(J135/M135)</f>
        <v>1509.91159768163</v>
      </c>
      <c r="M135" s="62">
        <v>512.43</v>
      </c>
      <c r="N135" s="48">
        <v>7.19</v>
      </c>
      <c r="O135" s="49">
        <f t="shared" si="72"/>
        <v>3684.3717</v>
      </c>
      <c r="P135" s="51"/>
      <c r="Q135" s="51"/>
      <c r="R135" s="67">
        <f t="shared" si="70"/>
        <v>2341.08823529412</v>
      </c>
      <c r="S135" s="67"/>
      <c r="T135" s="67">
        <v>0</v>
      </c>
      <c r="U135" s="67"/>
      <c r="V135" s="91">
        <v>133.4</v>
      </c>
      <c r="W135" s="89">
        <f t="shared" si="64"/>
        <v>2474.48823529412</v>
      </c>
      <c r="X135" s="90">
        <f t="shared" si="71"/>
        <v>38.8270588235294</v>
      </c>
      <c r="Y135" s="90"/>
      <c r="Z135" s="90"/>
      <c r="AA135" s="90">
        <f t="shared" si="66"/>
        <v>38.8270588235294</v>
      </c>
      <c r="AB135" s="107">
        <v>7.19</v>
      </c>
      <c r="AC135" s="67">
        <f t="shared" si="67"/>
        <v>279.166552941177</v>
      </c>
      <c r="AD135" s="67">
        <f t="shared" si="65"/>
        <v>2753.65478823529</v>
      </c>
      <c r="AE135" s="67">
        <f t="shared" si="68"/>
        <v>930.716911764705</v>
      </c>
    </row>
    <row r="136" customFormat="1" spans="1:31">
      <c r="A136" s="18"/>
      <c r="B136" s="19"/>
      <c r="C136" s="20">
        <v>240123000026</v>
      </c>
      <c r="D136" s="21">
        <v>45327</v>
      </c>
      <c r="E136" s="21" t="s">
        <v>37</v>
      </c>
      <c r="F136" s="19" t="s">
        <v>38</v>
      </c>
      <c r="G136" s="19" t="s">
        <v>176</v>
      </c>
      <c r="H136" s="19">
        <v>15</v>
      </c>
      <c r="I136" s="44">
        <v>786</v>
      </c>
      <c r="J136" s="45"/>
      <c r="K136" s="46"/>
      <c r="L136" s="45"/>
      <c r="M136" s="47"/>
      <c r="N136" s="48"/>
      <c r="O136" s="49">
        <f t="shared" si="73"/>
        <v>786</v>
      </c>
      <c r="P136" s="51"/>
      <c r="Q136" s="51"/>
      <c r="R136" s="67">
        <f t="shared" si="70"/>
        <v>524.124231782265</v>
      </c>
      <c r="S136" s="67"/>
      <c r="T136" s="67">
        <v>0</v>
      </c>
      <c r="U136" s="67"/>
      <c r="V136" s="67"/>
      <c r="W136" s="89">
        <f t="shared" si="64"/>
        <v>524.124231782265</v>
      </c>
      <c r="X136" s="90">
        <f t="shared" si="71"/>
        <v>8.69262510974539</v>
      </c>
      <c r="Y136" s="90"/>
      <c r="Z136" s="90"/>
      <c r="AA136" s="90">
        <f t="shared" si="66"/>
        <v>8.69262510974539</v>
      </c>
      <c r="AB136" s="107">
        <v>7.19</v>
      </c>
      <c r="AC136" s="67">
        <f t="shared" si="67"/>
        <v>62.4999745390694</v>
      </c>
      <c r="AD136" s="67">
        <f t="shared" si="65"/>
        <v>586.624206321335</v>
      </c>
      <c r="AE136" s="67">
        <f t="shared" si="68"/>
        <v>199.375793678665</v>
      </c>
    </row>
    <row r="137" customFormat="1" spans="1:31">
      <c r="A137" s="18"/>
      <c r="B137" s="19"/>
      <c r="C137" s="20">
        <v>240123000041</v>
      </c>
      <c r="D137" s="21">
        <v>45327</v>
      </c>
      <c r="E137" s="21" t="s">
        <v>56</v>
      </c>
      <c r="F137" s="19" t="s">
        <v>112</v>
      </c>
      <c r="G137" s="19" t="s">
        <v>177</v>
      </c>
      <c r="H137" s="19">
        <v>4.5</v>
      </c>
      <c r="I137" s="44">
        <v>250.5</v>
      </c>
      <c r="J137" s="45"/>
      <c r="K137" s="46"/>
      <c r="L137" s="45"/>
      <c r="M137" s="47"/>
      <c r="N137" s="48"/>
      <c r="O137" s="49">
        <f t="shared" si="73"/>
        <v>250.5</v>
      </c>
      <c r="P137" s="51"/>
      <c r="Q137" s="51"/>
      <c r="R137" s="67">
        <f t="shared" si="70"/>
        <v>157.23726953468</v>
      </c>
      <c r="S137" s="67"/>
      <c r="T137" s="67">
        <v>0</v>
      </c>
      <c r="U137" s="67"/>
      <c r="V137" s="67"/>
      <c r="W137" s="89">
        <f t="shared" si="64"/>
        <v>157.23726953468</v>
      </c>
      <c r="X137" s="90">
        <f t="shared" si="71"/>
        <v>2.60778753292362</v>
      </c>
      <c r="Y137" s="90"/>
      <c r="Z137" s="90"/>
      <c r="AA137" s="90">
        <f t="shared" si="66"/>
        <v>2.60778753292362</v>
      </c>
      <c r="AB137" s="107">
        <v>7.19</v>
      </c>
      <c r="AC137" s="67">
        <f t="shared" si="67"/>
        <v>18.7499923617208</v>
      </c>
      <c r="AD137" s="67">
        <f t="shared" si="65"/>
        <v>175.9872618964</v>
      </c>
      <c r="AE137" s="67">
        <f t="shared" si="68"/>
        <v>74.5127381035996</v>
      </c>
    </row>
    <row r="138" customFormat="1" spans="1:31">
      <c r="A138" s="18"/>
      <c r="B138" s="19"/>
      <c r="C138" s="20">
        <v>240123000046</v>
      </c>
      <c r="D138" s="21">
        <v>45327</v>
      </c>
      <c r="E138" s="21" t="s">
        <v>44</v>
      </c>
      <c r="F138" s="19" t="s">
        <v>44</v>
      </c>
      <c r="G138" s="19" t="s">
        <v>150</v>
      </c>
      <c r="H138" s="19">
        <v>24</v>
      </c>
      <c r="I138" s="44">
        <v>1208</v>
      </c>
      <c r="J138" s="45"/>
      <c r="K138" s="46"/>
      <c r="L138" s="45"/>
      <c r="M138" s="47"/>
      <c r="N138" s="48"/>
      <c r="O138" s="49">
        <f t="shared" si="73"/>
        <v>1208</v>
      </c>
      <c r="P138" s="51"/>
      <c r="Q138" s="51"/>
      <c r="R138" s="67">
        <f t="shared" si="70"/>
        <v>838.598770851624</v>
      </c>
      <c r="S138" s="67"/>
      <c r="T138" s="67">
        <v>0</v>
      </c>
      <c r="U138" s="67"/>
      <c r="V138" s="67"/>
      <c r="W138" s="89">
        <f t="shared" si="64"/>
        <v>838.598770851624</v>
      </c>
      <c r="X138" s="90">
        <f t="shared" si="71"/>
        <v>13.9082001755926</v>
      </c>
      <c r="Y138" s="90"/>
      <c r="Z138" s="90"/>
      <c r="AA138" s="90">
        <f t="shared" si="66"/>
        <v>13.9082001755926</v>
      </c>
      <c r="AB138" s="107">
        <v>7.19</v>
      </c>
      <c r="AC138" s="67">
        <f t="shared" si="67"/>
        <v>99.999959262511</v>
      </c>
      <c r="AD138" s="67">
        <f t="shared" si="65"/>
        <v>938.598730114135</v>
      </c>
      <c r="AE138" s="67">
        <f t="shared" si="68"/>
        <v>269.401269885865</v>
      </c>
    </row>
    <row r="139" customFormat="1" spans="1:31">
      <c r="A139" s="18"/>
      <c r="B139" s="19"/>
      <c r="C139" s="20">
        <v>240124000001</v>
      </c>
      <c r="D139" s="21">
        <v>45327</v>
      </c>
      <c r="E139" s="21" t="s">
        <v>76</v>
      </c>
      <c r="F139" s="19" t="s">
        <v>77</v>
      </c>
      <c r="G139" s="19" t="s">
        <v>178</v>
      </c>
      <c r="H139" s="19">
        <v>6.5</v>
      </c>
      <c r="I139" s="44">
        <v>344</v>
      </c>
      <c r="J139" s="45"/>
      <c r="K139" s="46"/>
      <c r="L139" s="45"/>
      <c r="M139" s="47"/>
      <c r="N139" s="48"/>
      <c r="O139" s="49">
        <f t="shared" si="73"/>
        <v>344</v>
      </c>
      <c r="P139" s="51"/>
      <c r="Q139" s="51"/>
      <c r="R139" s="67">
        <f t="shared" si="70"/>
        <v>227.120500438982</v>
      </c>
      <c r="S139" s="67"/>
      <c r="T139" s="67">
        <v>0</v>
      </c>
      <c r="U139" s="67"/>
      <c r="V139" s="67"/>
      <c r="W139" s="89">
        <f t="shared" si="64"/>
        <v>227.120500438982</v>
      </c>
      <c r="X139" s="90">
        <f t="shared" si="71"/>
        <v>3.766804214223</v>
      </c>
      <c r="Y139" s="90"/>
      <c r="Z139" s="90"/>
      <c r="AA139" s="90">
        <f t="shared" si="66"/>
        <v>3.766804214223</v>
      </c>
      <c r="AB139" s="107">
        <v>7.19</v>
      </c>
      <c r="AC139" s="67">
        <f t="shared" si="67"/>
        <v>27.0833223002634</v>
      </c>
      <c r="AD139" s="67">
        <f t="shared" si="65"/>
        <v>254.203822739245</v>
      </c>
      <c r="AE139" s="67">
        <f t="shared" si="68"/>
        <v>89.796177260755</v>
      </c>
    </row>
    <row r="140" customFormat="1" spans="1:31">
      <c r="A140" s="18"/>
      <c r="B140" s="19"/>
      <c r="C140" s="20">
        <v>240124000004</v>
      </c>
      <c r="D140" s="21">
        <v>45327</v>
      </c>
      <c r="E140" s="21" t="s">
        <v>76</v>
      </c>
      <c r="F140" s="19" t="s">
        <v>77</v>
      </c>
      <c r="G140" s="19" t="s">
        <v>179</v>
      </c>
      <c r="H140" s="19">
        <v>27.5</v>
      </c>
      <c r="I140" s="44">
        <v>1375</v>
      </c>
      <c r="J140" s="45"/>
      <c r="K140" s="46"/>
      <c r="L140" s="45"/>
      <c r="M140" s="47"/>
      <c r="N140" s="48"/>
      <c r="O140" s="49">
        <f t="shared" si="73"/>
        <v>1375</v>
      </c>
      <c r="P140" s="51"/>
      <c r="Q140" s="51"/>
      <c r="R140" s="67">
        <f t="shared" si="70"/>
        <v>960.894424934153</v>
      </c>
      <c r="S140" s="67"/>
      <c r="T140" s="67">
        <v>0</v>
      </c>
      <c r="U140" s="67"/>
      <c r="V140" s="67"/>
      <c r="W140" s="89">
        <f t="shared" si="64"/>
        <v>960.894424934153</v>
      </c>
      <c r="X140" s="90">
        <f t="shared" si="71"/>
        <v>15.9364793678665</v>
      </c>
      <c r="Y140" s="90"/>
      <c r="Z140" s="90"/>
      <c r="AA140" s="90">
        <f t="shared" si="66"/>
        <v>15.9364793678665</v>
      </c>
      <c r="AB140" s="107">
        <v>7.19</v>
      </c>
      <c r="AC140" s="67">
        <f t="shared" si="67"/>
        <v>114.583286654961</v>
      </c>
      <c r="AD140" s="67">
        <f t="shared" si="65"/>
        <v>1075.47771158911</v>
      </c>
      <c r="AE140" s="67">
        <f t="shared" si="68"/>
        <v>299.522288410887</v>
      </c>
    </row>
    <row r="141" customFormat="1" spans="1:31">
      <c r="A141" s="18"/>
      <c r="B141" s="19"/>
      <c r="C141" s="20">
        <v>240124000007</v>
      </c>
      <c r="D141" s="21">
        <v>45327</v>
      </c>
      <c r="E141" s="21" t="s">
        <v>41</v>
      </c>
      <c r="F141" s="19" t="s">
        <v>42</v>
      </c>
      <c r="G141" s="19" t="s">
        <v>180</v>
      </c>
      <c r="H141" s="19">
        <v>11</v>
      </c>
      <c r="I141" s="53"/>
      <c r="J141" s="61">
        <v>141460</v>
      </c>
      <c r="K141" s="55"/>
      <c r="L141" s="61">
        <f>SUM(J141/M141)</f>
        <v>1581.97271303959</v>
      </c>
      <c r="M141" s="62">
        <v>89.42</v>
      </c>
      <c r="N141" s="48">
        <v>7.19</v>
      </c>
      <c r="O141" s="49">
        <f>SUM(M141*N141)</f>
        <v>642.9298</v>
      </c>
      <c r="P141" s="51"/>
      <c r="Q141" s="51"/>
      <c r="R141" s="67">
        <f t="shared" si="70"/>
        <v>384.357769973661</v>
      </c>
      <c r="S141" s="67"/>
      <c r="T141" s="67">
        <v>0</v>
      </c>
      <c r="U141" s="67"/>
      <c r="V141" s="67"/>
      <c r="W141" s="89">
        <f t="shared" si="64"/>
        <v>384.357769973661</v>
      </c>
      <c r="X141" s="90">
        <f t="shared" si="71"/>
        <v>6.37459174714662</v>
      </c>
      <c r="Y141" s="90"/>
      <c r="Z141" s="90"/>
      <c r="AA141" s="90">
        <f t="shared" si="66"/>
        <v>6.37459174714662</v>
      </c>
      <c r="AB141" s="107">
        <v>7.19</v>
      </c>
      <c r="AC141" s="67">
        <f t="shared" si="67"/>
        <v>45.8333146619842</v>
      </c>
      <c r="AD141" s="67">
        <f t="shared" si="65"/>
        <v>430.191084635645</v>
      </c>
      <c r="AE141" s="67">
        <f t="shared" si="68"/>
        <v>212.738715364355</v>
      </c>
    </row>
    <row r="142" customFormat="1" spans="1:31">
      <c r="A142" s="18"/>
      <c r="B142" s="19"/>
      <c r="C142" s="20">
        <v>240124000009</v>
      </c>
      <c r="D142" s="21">
        <v>45327</v>
      </c>
      <c r="E142" s="21" t="s">
        <v>62</v>
      </c>
      <c r="F142" s="19" t="s">
        <v>63</v>
      </c>
      <c r="G142" s="19" t="s">
        <v>181</v>
      </c>
      <c r="H142" s="19">
        <v>3</v>
      </c>
      <c r="I142" s="44">
        <v>141</v>
      </c>
      <c r="J142" s="45"/>
      <c r="K142" s="46"/>
      <c r="L142" s="45"/>
      <c r="M142" s="47"/>
      <c r="N142" s="48"/>
      <c r="O142" s="49">
        <f t="shared" ref="O142:O148" si="74">SUM(I142)</f>
        <v>141</v>
      </c>
      <c r="P142" s="51"/>
      <c r="Q142" s="51"/>
      <c r="R142" s="67">
        <f t="shared" si="70"/>
        <v>104.824846356453</v>
      </c>
      <c r="S142" s="67"/>
      <c r="T142" s="67">
        <v>0</v>
      </c>
      <c r="U142" s="67"/>
      <c r="V142" s="67"/>
      <c r="W142" s="89">
        <f t="shared" si="64"/>
        <v>104.824846356453</v>
      </c>
      <c r="X142" s="90">
        <f t="shared" si="71"/>
        <v>1.73852502194908</v>
      </c>
      <c r="Y142" s="90"/>
      <c r="Z142" s="90"/>
      <c r="AA142" s="90">
        <f t="shared" si="66"/>
        <v>1.73852502194908</v>
      </c>
      <c r="AB142" s="107">
        <v>7.19</v>
      </c>
      <c r="AC142" s="67">
        <f t="shared" si="67"/>
        <v>12.4999949078139</v>
      </c>
      <c r="AD142" s="67">
        <f t="shared" si="65"/>
        <v>117.324841264267</v>
      </c>
      <c r="AE142" s="67">
        <f t="shared" si="68"/>
        <v>23.6751587357331</v>
      </c>
    </row>
    <row r="143" customFormat="1" spans="1:31">
      <c r="A143" s="18"/>
      <c r="B143" s="19"/>
      <c r="C143" s="20">
        <v>240124000011</v>
      </c>
      <c r="D143" s="21">
        <v>45327</v>
      </c>
      <c r="E143" s="21" t="s">
        <v>62</v>
      </c>
      <c r="F143" s="19" t="s">
        <v>63</v>
      </c>
      <c r="G143" s="19" t="s">
        <v>182</v>
      </c>
      <c r="H143" s="19">
        <v>9</v>
      </c>
      <c r="I143" s="44">
        <v>906</v>
      </c>
      <c r="J143" s="45"/>
      <c r="K143" s="46"/>
      <c r="L143" s="45"/>
      <c r="M143" s="47"/>
      <c r="N143" s="48"/>
      <c r="O143" s="49">
        <f t="shared" si="74"/>
        <v>906</v>
      </c>
      <c r="P143" s="51"/>
      <c r="Q143" s="51"/>
      <c r="R143" s="67">
        <f t="shared" si="70"/>
        <v>314.474539069359</v>
      </c>
      <c r="S143" s="67"/>
      <c r="T143" s="67">
        <v>0</v>
      </c>
      <c r="U143" s="67">
        <v>60</v>
      </c>
      <c r="V143" s="67"/>
      <c r="W143" s="89">
        <f t="shared" si="64"/>
        <v>374.474539069359</v>
      </c>
      <c r="X143" s="90">
        <f t="shared" si="71"/>
        <v>5.21557506584723</v>
      </c>
      <c r="Y143" s="90"/>
      <c r="Z143" s="90"/>
      <c r="AA143" s="90">
        <f t="shared" si="66"/>
        <v>5.21557506584723</v>
      </c>
      <c r="AB143" s="107">
        <v>7.19</v>
      </c>
      <c r="AC143" s="67">
        <f t="shared" si="67"/>
        <v>37.4999847234416</v>
      </c>
      <c r="AD143" s="67">
        <f t="shared" si="65"/>
        <v>411.974523792801</v>
      </c>
      <c r="AE143" s="67">
        <f t="shared" si="68"/>
        <v>494.025476207199</v>
      </c>
    </row>
    <row r="144" customFormat="1" spans="1:31">
      <c r="A144" s="18"/>
      <c r="B144" s="19"/>
      <c r="C144" s="20">
        <v>240124000015</v>
      </c>
      <c r="D144" s="21">
        <v>45327</v>
      </c>
      <c r="E144" s="21" t="s">
        <v>76</v>
      </c>
      <c r="F144" s="19" t="s">
        <v>77</v>
      </c>
      <c r="G144" s="19" t="s">
        <v>183</v>
      </c>
      <c r="H144" s="19">
        <v>9.5</v>
      </c>
      <c r="I144" s="49"/>
      <c r="J144" s="65">
        <v>104796</v>
      </c>
      <c r="K144" s="66"/>
      <c r="L144" s="61">
        <f>SUM(J144/M144)</f>
        <v>1530.98612125639</v>
      </c>
      <c r="M144" s="62">
        <v>68.45</v>
      </c>
      <c r="N144" s="48">
        <v>7.19</v>
      </c>
      <c r="O144" s="49">
        <f>SUM(M144*N144)</f>
        <v>492.1555</v>
      </c>
      <c r="P144" s="51"/>
      <c r="Q144" s="51"/>
      <c r="R144" s="67">
        <f t="shared" si="70"/>
        <v>331.945346795435</v>
      </c>
      <c r="S144" s="67"/>
      <c r="T144" s="67">
        <v>0</v>
      </c>
      <c r="U144" s="67"/>
      <c r="V144" s="67"/>
      <c r="W144" s="89">
        <f t="shared" si="64"/>
        <v>331.945346795435</v>
      </c>
      <c r="X144" s="90">
        <f t="shared" si="71"/>
        <v>5.50532923617208</v>
      </c>
      <c r="Y144" s="90"/>
      <c r="Z144" s="90"/>
      <c r="AA144" s="90">
        <f t="shared" si="66"/>
        <v>5.50532923617208</v>
      </c>
      <c r="AB144" s="107">
        <v>7.19</v>
      </c>
      <c r="AC144" s="67">
        <f t="shared" si="67"/>
        <v>39.5833172080773</v>
      </c>
      <c r="AD144" s="67">
        <f t="shared" si="65"/>
        <v>371.528664003512</v>
      </c>
      <c r="AE144" s="67">
        <f t="shared" si="68"/>
        <v>120.626835996488</v>
      </c>
    </row>
    <row r="145" customFormat="1" spans="1:31">
      <c r="A145" s="18"/>
      <c r="B145" s="19"/>
      <c r="C145" s="20">
        <v>240124000019</v>
      </c>
      <c r="D145" s="21">
        <v>45327</v>
      </c>
      <c r="E145" s="21" t="s">
        <v>56</v>
      </c>
      <c r="F145" s="19" t="s">
        <v>114</v>
      </c>
      <c r="G145" s="19" t="s">
        <v>184</v>
      </c>
      <c r="H145" s="19">
        <v>27</v>
      </c>
      <c r="I145" s="44">
        <v>1393</v>
      </c>
      <c r="J145" s="45"/>
      <c r="K145" s="46"/>
      <c r="L145" s="45"/>
      <c r="M145" s="47"/>
      <c r="N145" s="48"/>
      <c r="O145" s="49">
        <f t="shared" si="74"/>
        <v>1393</v>
      </c>
      <c r="P145" s="51"/>
      <c r="Q145" s="51"/>
      <c r="R145" s="67">
        <f t="shared" si="70"/>
        <v>943.423617208077</v>
      </c>
      <c r="S145" s="67"/>
      <c r="T145" s="67">
        <v>0</v>
      </c>
      <c r="U145" s="67"/>
      <c r="V145" s="67"/>
      <c r="W145" s="89">
        <f t="shared" si="64"/>
        <v>943.423617208077</v>
      </c>
      <c r="X145" s="90">
        <f t="shared" si="71"/>
        <v>15.6467251975417</v>
      </c>
      <c r="Y145" s="90"/>
      <c r="Z145" s="90"/>
      <c r="AA145" s="90">
        <f t="shared" si="66"/>
        <v>15.6467251975417</v>
      </c>
      <c r="AB145" s="107">
        <v>7.19</v>
      </c>
      <c r="AC145" s="67">
        <f t="shared" si="67"/>
        <v>112.499954170325</v>
      </c>
      <c r="AD145" s="67">
        <f t="shared" si="65"/>
        <v>1055.9235713784</v>
      </c>
      <c r="AE145" s="67">
        <f t="shared" si="68"/>
        <v>337.076428621598</v>
      </c>
    </row>
    <row r="146" customFormat="1" spans="1:31">
      <c r="A146" s="18"/>
      <c r="B146" s="19"/>
      <c r="C146" s="20">
        <v>240124000022</v>
      </c>
      <c r="D146" s="21">
        <v>45327</v>
      </c>
      <c r="E146" s="21" t="s">
        <v>56</v>
      </c>
      <c r="F146" s="19" t="s">
        <v>112</v>
      </c>
      <c r="G146" s="19" t="s">
        <v>185</v>
      </c>
      <c r="H146" s="19">
        <v>14.5</v>
      </c>
      <c r="I146" s="44">
        <v>760</v>
      </c>
      <c r="J146" s="45"/>
      <c r="K146" s="46"/>
      <c r="L146" s="45"/>
      <c r="M146" s="47"/>
      <c r="N146" s="48"/>
      <c r="O146" s="49">
        <f t="shared" si="74"/>
        <v>760</v>
      </c>
      <c r="P146" s="51"/>
      <c r="Q146" s="51"/>
      <c r="R146" s="67">
        <f t="shared" si="70"/>
        <v>506.65342405619</v>
      </c>
      <c r="S146" s="67"/>
      <c r="T146" s="67">
        <v>0</v>
      </c>
      <c r="U146" s="67"/>
      <c r="V146" s="67"/>
      <c r="W146" s="89">
        <f t="shared" si="64"/>
        <v>506.65342405619</v>
      </c>
      <c r="X146" s="90">
        <f t="shared" si="71"/>
        <v>8.40287093942054</v>
      </c>
      <c r="Y146" s="90"/>
      <c r="Z146" s="90"/>
      <c r="AA146" s="90">
        <f t="shared" si="66"/>
        <v>8.40287093942054</v>
      </c>
      <c r="AB146" s="107">
        <v>7.19</v>
      </c>
      <c r="AC146" s="67">
        <f t="shared" si="67"/>
        <v>60.4166420544337</v>
      </c>
      <c r="AD146" s="67">
        <f t="shared" si="65"/>
        <v>567.070066110623</v>
      </c>
      <c r="AE146" s="67">
        <f t="shared" si="68"/>
        <v>192.929933889377</v>
      </c>
    </row>
    <row r="147" customFormat="1" spans="1:31">
      <c r="A147" s="18"/>
      <c r="B147" s="19"/>
      <c r="C147" s="20">
        <v>240124000025</v>
      </c>
      <c r="D147" s="21">
        <v>45327</v>
      </c>
      <c r="E147" s="21" t="s">
        <v>37</v>
      </c>
      <c r="F147" s="19" t="s">
        <v>38</v>
      </c>
      <c r="G147" s="19" t="s">
        <v>60</v>
      </c>
      <c r="H147" s="19">
        <v>65</v>
      </c>
      <c r="I147" s="44">
        <v>3375</v>
      </c>
      <c r="J147" s="45"/>
      <c r="K147" s="46"/>
      <c r="L147" s="45"/>
      <c r="M147" s="47"/>
      <c r="N147" s="48"/>
      <c r="O147" s="49">
        <f t="shared" si="74"/>
        <v>3375</v>
      </c>
      <c r="P147" s="51"/>
      <c r="Q147" s="51"/>
      <c r="R147" s="67">
        <f t="shared" si="70"/>
        <v>2271.20500438982</v>
      </c>
      <c r="S147" s="67"/>
      <c r="T147" s="67">
        <v>0</v>
      </c>
      <c r="U147" s="67"/>
      <c r="V147" s="67"/>
      <c r="W147" s="89">
        <f t="shared" si="64"/>
        <v>2271.20500438982</v>
      </c>
      <c r="X147" s="90">
        <f t="shared" si="71"/>
        <v>37.66804214223</v>
      </c>
      <c r="Y147" s="90"/>
      <c r="Z147" s="90"/>
      <c r="AA147" s="90">
        <f t="shared" si="66"/>
        <v>37.66804214223</v>
      </c>
      <c r="AB147" s="107">
        <v>7.19</v>
      </c>
      <c r="AC147" s="67">
        <f t="shared" si="67"/>
        <v>270.833223002634</v>
      </c>
      <c r="AD147" s="67">
        <f t="shared" si="65"/>
        <v>2542.03822739245</v>
      </c>
      <c r="AE147" s="67">
        <f t="shared" si="68"/>
        <v>832.96177260755</v>
      </c>
    </row>
    <row r="148" customFormat="1" spans="1:31">
      <c r="A148" s="18"/>
      <c r="B148" s="19"/>
      <c r="C148" s="24">
        <v>240124000027</v>
      </c>
      <c r="D148" s="25">
        <v>45327</v>
      </c>
      <c r="E148" s="21" t="s">
        <v>37</v>
      </c>
      <c r="F148" s="26" t="s">
        <v>38</v>
      </c>
      <c r="G148" s="26" t="s">
        <v>109</v>
      </c>
      <c r="H148" s="26">
        <v>0.76</v>
      </c>
      <c r="I148" s="113">
        <v>63</v>
      </c>
      <c r="J148" s="61"/>
      <c r="K148" s="64"/>
      <c r="L148" s="61"/>
      <c r="M148" s="47"/>
      <c r="N148" s="48"/>
      <c r="O148" s="49">
        <f t="shared" si="74"/>
        <v>63</v>
      </c>
      <c r="P148" s="51"/>
      <c r="Q148" s="51"/>
      <c r="R148" s="67">
        <f t="shared" si="70"/>
        <v>26.5556277436348</v>
      </c>
      <c r="S148" s="67"/>
      <c r="T148" s="67">
        <v>0</v>
      </c>
      <c r="U148" s="67"/>
      <c r="V148" s="67"/>
      <c r="W148" s="89">
        <f t="shared" si="64"/>
        <v>26.5556277436348</v>
      </c>
      <c r="X148" s="90">
        <f t="shared" si="71"/>
        <v>0.440426338893766</v>
      </c>
      <c r="Y148" s="90"/>
      <c r="Z148" s="90"/>
      <c r="AA148" s="90">
        <f t="shared" si="66"/>
        <v>0.440426338893766</v>
      </c>
      <c r="AB148" s="107">
        <v>7.19</v>
      </c>
      <c r="AC148" s="67">
        <f t="shared" si="67"/>
        <v>3.16666537664618</v>
      </c>
      <c r="AD148" s="67">
        <f t="shared" si="65"/>
        <v>29.722293120281</v>
      </c>
      <c r="AE148" s="67">
        <f t="shared" si="68"/>
        <v>33.277706879719</v>
      </c>
    </row>
    <row r="149" customFormat="1" spans="1:31">
      <c r="A149" s="18"/>
      <c r="B149" s="19"/>
      <c r="C149" s="20">
        <v>240124000031</v>
      </c>
      <c r="D149" s="21">
        <v>45327</v>
      </c>
      <c r="E149" s="21" t="s">
        <v>62</v>
      </c>
      <c r="F149" s="19" t="s">
        <v>63</v>
      </c>
      <c r="G149" s="19" t="s">
        <v>186</v>
      </c>
      <c r="H149" s="19">
        <v>2</v>
      </c>
      <c r="I149" s="49"/>
      <c r="J149" s="65">
        <v>24458</v>
      </c>
      <c r="K149" s="66"/>
      <c r="L149" s="61">
        <f>SUM(J149/M149)</f>
        <v>1547.9746835443</v>
      </c>
      <c r="M149" s="62">
        <v>15.8</v>
      </c>
      <c r="N149" s="48">
        <v>7.19</v>
      </c>
      <c r="O149" s="49">
        <f t="shared" ref="O149:O152" si="75">SUM(M149*N149)</f>
        <v>113.602</v>
      </c>
      <c r="P149" s="51"/>
      <c r="Q149" s="51"/>
      <c r="R149" s="67">
        <f t="shared" si="70"/>
        <v>69.883230904302</v>
      </c>
      <c r="S149" s="67"/>
      <c r="T149" s="67">
        <v>0</v>
      </c>
      <c r="U149" s="67"/>
      <c r="V149" s="67"/>
      <c r="W149" s="89">
        <f t="shared" si="64"/>
        <v>69.883230904302</v>
      </c>
      <c r="X149" s="90">
        <f t="shared" si="71"/>
        <v>1.15901668129939</v>
      </c>
      <c r="Y149" s="90"/>
      <c r="Z149" s="90"/>
      <c r="AA149" s="90">
        <f t="shared" si="66"/>
        <v>1.15901668129939</v>
      </c>
      <c r="AB149" s="107">
        <v>7.19</v>
      </c>
      <c r="AC149" s="67">
        <f t="shared" si="67"/>
        <v>8.33332993854258</v>
      </c>
      <c r="AD149" s="67">
        <f t="shared" si="65"/>
        <v>78.2165608428446</v>
      </c>
      <c r="AE149" s="67">
        <f t="shared" si="68"/>
        <v>35.3854391571554</v>
      </c>
    </row>
    <row r="150" customFormat="1" spans="1:31">
      <c r="A150" s="18"/>
      <c r="B150" s="19"/>
      <c r="C150" s="20">
        <v>240124000032</v>
      </c>
      <c r="D150" s="21">
        <v>45327</v>
      </c>
      <c r="E150" s="21" t="s">
        <v>62</v>
      </c>
      <c r="F150" s="19" t="s">
        <v>63</v>
      </c>
      <c r="G150" s="19" t="s">
        <v>187</v>
      </c>
      <c r="H150" s="19">
        <v>1.5</v>
      </c>
      <c r="I150" s="53"/>
      <c r="J150" s="61">
        <v>15087</v>
      </c>
      <c r="K150" s="55"/>
      <c r="L150" s="61">
        <f>SUM(J150/M150)</f>
        <v>1539.48979591837</v>
      </c>
      <c r="M150" s="62">
        <v>9.8</v>
      </c>
      <c r="N150" s="48">
        <v>7.19</v>
      </c>
      <c r="O150" s="49">
        <f t="shared" si="75"/>
        <v>70.462</v>
      </c>
      <c r="P150" s="51"/>
      <c r="Q150" s="51"/>
      <c r="R150" s="67">
        <f t="shared" si="70"/>
        <v>52.4124231782265</v>
      </c>
      <c r="S150" s="67"/>
      <c r="T150" s="67">
        <v>0</v>
      </c>
      <c r="U150" s="67"/>
      <c r="V150" s="67"/>
      <c r="W150" s="89">
        <f t="shared" si="64"/>
        <v>52.4124231782265</v>
      </c>
      <c r="X150" s="90">
        <f t="shared" si="71"/>
        <v>0.869262510974539</v>
      </c>
      <c r="Y150" s="90"/>
      <c r="Z150" s="90"/>
      <c r="AA150" s="90">
        <f t="shared" si="66"/>
        <v>0.869262510974539</v>
      </c>
      <c r="AB150" s="107">
        <v>7.19</v>
      </c>
      <c r="AC150" s="67">
        <f t="shared" si="67"/>
        <v>6.24999745390694</v>
      </c>
      <c r="AD150" s="67">
        <f t="shared" si="65"/>
        <v>58.6624206321335</v>
      </c>
      <c r="AE150" s="67">
        <f t="shared" si="68"/>
        <v>11.7995793678665</v>
      </c>
    </row>
    <row r="151" customFormat="1" spans="1:31">
      <c r="A151" s="18"/>
      <c r="B151" s="19"/>
      <c r="C151" s="20">
        <v>240124000033</v>
      </c>
      <c r="D151" s="21">
        <v>45327</v>
      </c>
      <c r="E151" s="21" t="s">
        <v>106</v>
      </c>
      <c r="F151" s="19" t="s">
        <v>107</v>
      </c>
      <c r="G151" s="19" t="s">
        <v>139</v>
      </c>
      <c r="H151" s="19">
        <v>42</v>
      </c>
      <c r="I151" s="49"/>
      <c r="J151" s="65">
        <v>434945</v>
      </c>
      <c r="K151" s="66"/>
      <c r="L151" s="61">
        <f>SUM(J151/M151)</f>
        <v>1545.64676616915</v>
      </c>
      <c r="M151" s="62">
        <v>281.4</v>
      </c>
      <c r="N151" s="48">
        <v>7.19</v>
      </c>
      <c r="O151" s="49">
        <f t="shared" si="75"/>
        <v>2023.266</v>
      </c>
      <c r="P151" s="51"/>
      <c r="Q151" s="51"/>
      <c r="R151" s="67">
        <f t="shared" si="70"/>
        <v>1467.54784899034</v>
      </c>
      <c r="S151" s="67"/>
      <c r="T151" s="67">
        <v>0</v>
      </c>
      <c r="U151" s="67"/>
      <c r="V151" s="67"/>
      <c r="W151" s="89">
        <f t="shared" si="64"/>
        <v>1467.54784899034</v>
      </c>
      <c r="X151" s="90">
        <f t="shared" si="71"/>
        <v>24.3393503072871</v>
      </c>
      <c r="Y151" s="90"/>
      <c r="Z151" s="90"/>
      <c r="AA151" s="90">
        <f t="shared" si="66"/>
        <v>24.3393503072871</v>
      </c>
      <c r="AB151" s="107">
        <v>7.19</v>
      </c>
      <c r="AC151" s="67">
        <f t="shared" si="67"/>
        <v>174.999928709394</v>
      </c>
      <c r="AD151" s="67">
        <f t="shared" si="65"/>
        <v>1642.54777769974</v>
      </c>
      <c r="AE151" s="67">
        <f t="shared" si="68"/>
        <v>380.718222300263</v>
      </c>
    </row>
    <row r="152" customFormat="1" spans="1:31">
      <c r="A152" s="18"/>
      <c r="B152" s="19"/>
      <c r="C152" s="20">
        <v>240125000001</v>
      </c>
      <c r="D152" s="21">
        <v>45327</v>
      </c>
      <c r="E152" s="21" t="s">
        <v>44</v>
      </c>
      <c r="F152" s="19" t="s">
        <v>44</v>
      </c>
      <c r="G152" s="19" t="s">
        <v>188</v>
      </c>
      <c r="H152" s="19">
        <v>20.5</v>
      </c>
      <c r="I152" s="49"/>
      <c r="J152" s="65">
        <v>258284</v>
      </c>
      <c r="K152" s="66"/>
      <c r="L152" s="61">
        <f>SUM(J152/M152)</f>
        <v>1548.00119868145</v>
      </c>
      <c r="M152" s="62">
        <v>166.85</v>
      </c>
      <c r="N152" s="48">
        <v>7.19</v>
      </c>
      <c r="O152" s="49">
        <f t="shared" si="75"/>
        <v>1199.6515</v>
      </c>
      <c r="P152" s="51"/>
      <c r="Q152" s="51"/>
      <c r="R152" s="67">
        <f t="shared" si="70"/>
        <v>716.303116769096</v>
      </c>
      <c r="S152" s="67"/>
      <c r="T152" s="67">
        <v>0</v>
      </c>
      <c r="U152" s="67"/>
      <c r="V152" s="67"/>
      <c r="W152" s="89">
        <f t="shared" si="64"/>
        <v>716.303116769096</v>
      </c>
      <c r="X152" s="90">
        <f t="shared" si="71"/>
        <v>11.8799209833187</v>
      </c>
      <c r="Y152" s="90"/>
      <c r="Z152" s="90"/>
      <c r="AA152" s="90">
        <f t="shared" si="66"/>
        <v>11.8799209833187</v>
      </c>
      <c r="AB152" s="107">
        <v>7.19</v>
      </c>
      <c r="AC152" s="67">
        <f t="shared" si="67"/>
        <v>85.4166318700615</v>
      </c>
      <c r="AD152" s="67">
        <f t="shared" si="65"/>
        <v>801.719748639157</v>
      </c>
      <c r="AE152" s="67">
        <f t="shared" si="68"/>
        <v>397.931751360843</v>
      </c>
    </row>
    <row r="153" customFormat="1" spans="1:31">
      <c r="A153" s="18"/>
      <c r="B153" s="19"/>
      <c r="C153" s="20">
        <v>240125000004</v>
      </c>
      <c r="D153" s="21">
        <v>45327</v>
      </c>
      <c r="E153" s="21" t="s">
        <v>44</v>
      </c>
      <c r="F153" s="19" t="s">
        <v>44</v>
      </c>
      <c r="G153" s="19" t="s">
        <v>95</v>
      </c>
      <c r="H153" s="19">
        <v>22</v>
      </c>
      <c r="I153" s="44">
        <v>1056</v>
      </c>
      <c r="J153" s="45"/>
      <c r="K153" s="46"/>
      <c r="L153" s="45"/>
      <c r="M153" s="47"/>
      <c r="N153" s="48"/>
      <c r="O153" s="49">
        <f t="shared" ref="O153:O155" si="76">SUM(I153)</f>
        <v>1056</v>
      </c>
      <c r="P153" s="51"/>
      <c r="Q153" s="51"/>
      <c r="R153" s="67">
        <f t="shared" si="70"/>
        <v>768.715539947322</v>
      </c>
      <c r="S153" s="67"/>
      <c r="T153" s="67">
        <v>0</v>
      </c>
      <c r="U153" s="67"/>
      <c r="V153" s="67"/>
      <c r="W153" s="89">
        <f t="shared" si="64"/>
        <v>768.715539947322</v>
      </c>
      <c r="X153" s="90">
        <f t="shared" si="71"/>
        <v>12.7491834942932</v>
      </c>
      <c r="Y153" s="90"/>
      <c r="Z153" s="90"/>
      <c r="AA153" s="90">
        <f t="shared" si="66"/>
        <v>12.7491834942932</v>
      </c>
      <c r="AB153" s="107">
        <v>7.19</v>
      </c>
      <c r="AC153" s="67">
        <f t="shared" si="67"/>
        <v>91.6666293239684</v>
      </c>
      <c r="AD153" s="67">
        <f t="shared" si="65"/>
        <v>860.382169271291</v>
      </c>
      <c r="AE153" s="67">
        <f t="shared" si="68"/>
        <v>195.617830728709</v>
      </c>
    </row>
    <row r="154" customFormat="1" spans="1:31">
      <c r="A154" s="18"/>
      <c r="B154" s="19"/>
      <c r="C154" s="20">
        <v>240125000007</v>
      </c>
      <c r="D154" s="21">
        <v>45327</v>
      </c>
      <c r="E154" s="21" t="s">
        <v>76</v>
      </c>
      <c r="F154" s="19" t="s">
        <v>77</v>
      </c>
      <c r="G154" s="19" t="s">
        <v>189</v>
      </c>
      <c r="H154" s="19">
        <v>5.5</v>
      </c>
      <c r="I154" s="44">
        <v>306</v>
      </c>
      <c r="J154" s="45"/>
      <c r="K154" s="46"/>
      <c r="L154" s="45"/>
      <c r="M154" s="47"/>
      <c r="N154" s="48"/>
      <c r="O154" s="49">
        <f t="shared" si="76"/>
        <v>306</v>
      </c>
      <c r="P154" s="51"/>
      <c r="Q154" s="51"/>
      <c r="R154" s="67">
        <f t="shared" si="70"/>
        <v>192.178884986831</v>
      </c>
      <c r="S154" s="67"/>
      <c r="T154" s="67">
        <v>0</v>
      </c>
      <c r="U154" s="67"/>
      <c r="V154" s="67"/>
      <c r="W154" s="89">
        <f t="shared" si="64"/>
        <v>192.178884986831</v>
      </c>
      <c r="X154" s="90">
        <f t="shared" si="71"/>
        <v>3.18729587357331</v>
      </c>
      <c r="Y154" s="90"/>
      <c r="Z154" s="90"/>
      <c r="AA154" s="90">
        <f t="shared" si="66"/>
        <v>3.18729587357331</v>
      </c>
      <c r="AB154" s="107">
        <v>7.19</v>
      </c>
      <c r="AC154" s="67">
        <f t="shared" si="67"/>
        <v>22.9166573309921</v>
      </c>
      <c r="AD154" s="67">
        <f t="shared" si="65"/>
        <v>215.095542317823</v>
      </c>
      <c r="AE154" s="67">
        <f t="shared" si="68"/>
        <v>90.9044576821773</v>
      </c>
    </row>
    <row r="155" customFormat="1" spans="1:31">
      <c r="A155" s="18"/>
      <c r="B155" s="19"/>
      <c r="C155" s="20">
        <v>240125000008</v>
      </c>
      <c r="D155" s="21">
        <v>45327</v>
      </c>
      <c r="E155" s="21" t="s">
        <v>56</v>
      </c>
      <c r="F155" s="19" t="s">
        <v>112</v>
      </c>
      <c r="G155" s="19" t="s">
        <v>171</v>
      </c>
      <c r="H155" s="19">
        <v>0.88</v>
      </c>
      <c r="I155" s="44">
        <v>63</v>
      </c>
      <c r="J155" s="45"/>
      <c r="K155" s="46"/>
      <c r="L155" s="45"/>
      <c r="M155" s="47"/>
      <c r="N155" s="48"/>
      <c r="O155" s="49">
        <f t="shared" si="76"/>
        <v>63</v>
      </c>
      <c r="P155" s="51"/>
      <c r="Q155" s="51"/>
      <c r="R155" s="67">
        <f t="shared" si="70"/>
        <v>30.7486215978929</v>
      </c>
      <c r="S155" s="67"/>
      <c r="T155" s="67">
        <v>0</v>
      </c>
      <c r="U155" s="67"/>
      <c r="V155" s="67"/>
      <c r="W155" s="89">
        <f t="shared" si="64"/>
        <v>30.7486215978929</v>
      </c>
      <c r="X155" s="90">
        <f t="shared" si="71"/>
        <v>0.50996733977173</v>
      </c>
      <c r="Y155" s="90"/>
      <c r="Z155" s="90"/>
      <c r="AA155" s="90">
        <f t="shared" si="66"/>
        <v>0.50996733977173</v>
      </c>
      <c r="AB155" s="107">
        <v>7.19</v>
      </c>
      <c r="AC155" s="67">
        <f t="shared" si="67"/>
        <v>3.66666517295874</v>
      </c>
      <c r="AD155" s="67">
        <f t="shared" si="65"/>
        <v>34.4152867708516</v>
      </c>
      <c r="AE155" s="67">
        <f t="shared" si="68"/>
        <v>28.5847132291484</v>
      </c>
    </row>
    <row r="156" customFormat="1" spans="1:31">
      <c r="A156" s="18"/>
      <c r="B156" s="19"/>
      <c r="C156" s="20">
        <v>240125000019</v>
      </c>
      <c r="D156" s="21">
        <v>45327</v>
      </c>
      <c r="E156" s="21" t="s">
        <v>41</v>
      </c>
      <c r="F156" s="19" t="s">
        <v>42</v>
      </c>
      <c r="G156" s="19" t="s">
        <v>190</v>
      </c>
      <c r="H156" s="19">
        <v>8.5</v>
      </c>
      <c r="I156" s="49"/>
      <c r="J156" s="65">
        <v>100981</v>
      </c>
      <c r="K156" s="66"/>
      <c r="L156" s="61">
        <f>SUM(J156/M156)</f>
        <v>1544.28811744915</v>
      </c>
      <c r="M156" s="62">
        <v>65.39</v>
      </c>
      <c r="N156" s="48">
        <v>7.19</v>
      </c>
      <c r="O156" s="49">
        <f t="shared" ref="O156:O162" si="77">SUM(M156*N156)</f>
        <v>470.1541</v>
      </c>
      <c r="P156" s="51"/>
      <c r="Q156" s="51"/>
      <c r="R156" s="67">
        <f t="shared" si="70"/>
        <v>297.003731343284</v>
      </c>
      <c r="S156" s="67"/>
      <c r="T156" s="67">
        <v>0</v>
      </c>
      <c r="U156" s="67"/>
      <c r="V156" s="67"/>
      <c r="W156" s="89">
        <f t="shared" si="64"/>
        <v>297.003731343284</v>
      </c>
      <c r="X156" s="90">
        <f t="shared" si="71"/>
        <v>4.92582089552239</v>
      </c>
      <c r="Y156" s="90"/>
      <c r="Z156" s="90"/>
      <c r="AA156" s="90">
        <f t="shared" si="66"/>
        <v>4.92582089552239</v>
      </c>
      <c r="AB156" s="107">
        <v>7.19</v>
      </c>
      <c r="AC156" s="67">
        <f t="shared" si="67"/>
        <v>35.416652238806</v>
      </c>
      <c r="AD156" s="67">
        <f t="shared" si="65"/>
        <v>332.42038358209</v>
      </c>
      <c r="AE156" s="67">
        <f t="shared" si="68"/>
        <v>137.73371641791</v>
      </c>
    </row>
    <row r="157" customFormat="1" spans="1:31">
      <c r="A157" s="18"/>
      <c r="B157" s="19"/>
      <c r="C157" s="20">
        <v>240125000022</v>
      </c>
      <c r="D157" s="21">
        <v>45327</v>
      </c>
      <c r="E157" s="21" t="s">
        <v>76</v>
      </c>
      <c r="F157" s="19" t="s">
        <v>77</v>
      </c>
      <c r="G157" s="19" t="s">
        <v>183</v>
      </c>
      <c r="H157" s="19">
        <v>1.5</v>
      </c>
      <c r="I157" s="49"/>
      <c r="J157" s="65">
        <v>54315</v>
      </c>
      <c r="K157" s="66"/>
      <c r="L157" s="61">
        <f>SUM(J157/M157)</f>
        <v>1525.70224719101</v>
      </c>
      <c r="M157" s="62">
        <v>35.6</v>
      </c>
      <c r="N157" s="48">
        <v>7.19</v>
      </c>
      <c r="O157" s="49">
        <f t="shared" si="77"/>
        <v>255.964</v>
      </c>
      <c r="P157" s="51"/>
      <c r="Q157" s="51"/>
      <c r="R157" s="67">
        <f t="shared" si="70"/>
        <v>52.4124231782265</v>
      </c>
      <c r="S157" s="67"/>
      <c r="T157" s="67">
        <v>0</v>
      </c>
      <c r="U157" s="67"/>
      <c r="V157" s="67"/>
      <c r="W157" s="89">
        <f t="shared" ref="W157:W188" si="78">SUM(R157:V157)</f>
        <v>52.4124231782265</v>
      </c>
      <c r="X157" s="90">
        <f t="shared" si="71"/>
        <v>0.869262510974539</v>
      </c>
      <c r="Y157" s="90"/>
      <c r="Z157" s="90"/>
      <c r="AA157" s="90">
        <f t="shared" si="66"/>
        <v>0.869262510974539</v>
      </c>
      <c r="AB157" s="107">
        <v>7.19</v>
      </c>
      <c r="AC157" s="67">
        <f t="shared" si="67"/>
        <v>6.24999745390694</v>
      </c>
      <c r="AD157" s="67">
        <f t="shared" si="65"/>
        <v>58.6624206321335</v>
      </c>
      <c r="AE157" s="67">
        <f t="shared" si="68"/>
        <v>197.301579367867</v>
      </c>
    </row>
    <row r="158" customFormat="1" spans="1:31">
      <c r="A158" s="18"/>
      <c r="B158" s="19"/>
      <c r="C158" s="20">
        <v>240125000023</v>
      </c>
      <c r="D158" s="21">
        <v>45327</v>
      </c>
      <c r="E158" s="21" t="s">
        <v>41</v>
      </c>
      <c r="F158" s="19" t="s">
        <v>42</v>
      </c>
      <c r="G158" s="19" t="s">
        <v>191</v>
      </c>
      <c r="H158" s="19">
        <v>16.5</v>
      </c>
      <c r="I158" s="44">
        <v>915</v>
      </c>
      <c r="J158" s="45"/>
      <c r="K158" s="46"/>
      <c r="L158" s="45"/>
      <c r="M158" s="47"/>
      <c r="N158" s="48"/>
      <c r="O158" s="49">
        <f t="shared" ref="O158:O160" si="79">SUM(I158)</f>
        <v>915</v>
      </c>
      <c r="P158" s="51"/>
      <c r="Q158" s="51"/>
      <c r="R158" s="67">
        <f t="shared" si="70"/>
        <v>576.536654960492</v>
      </c>
      <c r="S158" s="67"/>
      <c r="T158" s="67">
        <v>0</v>
      </c>
      <c r="U158" s="67"/>
      <c r="V158" s="67"/>
      <c r="W158" s="89">
        <f t="shared" si="78"/>
        <v>576.536654960492</v>
      </c>
      <c r="X158" s="90">
        <f t="shared" si="71"/>
        <v>9.56188762071993</v>
      </c>
      <c r="Y158" s="90"/>
      <c r="Z158" s="90"/>
      <c r="AA158" s="90">
        <f t="shared" si="66"/>
        <v>9.56188762071993</v>
      </c>
      <c r="AB158" s="107">
        <v>7.19</v>
      </c>
      <c r="AC158" s="67">
        <f t="shared" si="67"/>
        <v>68.7499719929763</v>
      </c>
      <c r="AD158" s="67">
        <f t="shared" ref="AD158:AD189" si="80">SUM(W158+AC158)</f>
        <v>645.286626953468</v>
      </c>
      <c r="AE158" s="67">
        <f t="shared" si="68"/>
        <v>269.713373046532</v>
      </c>
    </row>
    <row r="159" customFormat="1" spans="1:31">
      <c r="A159" s="18"/>
      <c r="B159" s="19"/>
      <c r="C159" s="20">
        <v>240125000024</v>
      </c>
      <c r="D159" s="21">
        <v>45327</v>
      </c>
      <c r="E159" s="21" t="s">
        <v>37</v>
      </c>
      <c r="F159" s="19" t="s">
        <v>122</v>
      </c>
      <c r="G159" s="19" t="s">
        <v>123</v>
      </c>
      <c r="H159" s="19">
        <v>7.5</v>
      </c>
      <c r="I159" s="44">
        <v>352.5</v>
      </c>
      <c r="J159" s="45"/>
      <c r="K159" s="46"/>
      <c r="L159" s="45"/>
      <c r="M159" s="47"/>
      <c r="N159" s="48"/>
      <c r="O159" s="49">
        <f t="shared" si="79"/>
        <v>352.5</v>
      </c>
      <c r="P159" s="51"/>
      <c r="Q159" s="51"/>
      <c r="R159" s="67">
        <f t="shared" si="70"/>
        <v>262.062115891133</v>
      </c>
      <c r="S159" s="67"/>
      <c r="T159" s="67">
        <v>0</v>
      </c>
      <c r="U159" s="67"/>
      <c r="V159" s="67"/>
      <c r="W159" s="89">
        <f t="shared" si="78"/>
        <v>262.062115891133</v>
      </c>
      <c r="X159" s="90">
        <f t="shared" si="71"/>
        <v>4.3463125548727</v>
      </c>
      <c r="Y159" s="90"/>
      <c r="Z159" s="90"/>
      <c r="AA159" s="90">
        <f t="shared" ref="AA159:AA190" si="81">SUM(X159:Z159)</f>
        <v>4.3463125548727</v>
      </c>
      <c r="AB159" s="107">
        <v>7.19</v>
      </c>
      <c r="AC159" s="67">
        <f t="shared" ref="AC159:AC190" si="82">SUM(AA159*AB159)</f>
        <v>31.2499872695347</v>
      </c>
      <c r="AD159" s="67">
        <f t="shared" si="80"/>
        <v>293.312103160667</v>
      </c>
      <c r="AE159" s="67">
        <f t="shared" ref="AE159:AE190" si="83">SUM(O159-AD159)</f>
        <v>59.1878968393327</v>
      </c>
    </row>
    <row r="160" customFormat="1" spans="1:31">
      <c r="A160" s="18"/>
      <c r="B160" s="19"/>
      <c r="C160" s="20">
        <v>240125000025</v>
      </c>
      <c r="D160" s="21">
        <v>45327</v>
      </c>
      <c r="E160" s="21" t="s">
        <v>41</v>
      </c>
      <c r="F160" s="19" t="s">
        <v>42</v>
      </c>
      <c r="G160" s="19" t="s">
        <v>173</v>
      </c>
      <c r="H160" s="19">
        <v>2.5</v>
      </c>
      <c r="I160" s="44">
        <v>112.5</v>
      </c>
      <c r="J160" s="45"/>
      <c r="K160" s="46"/>
      <c r="L160" s="45"/>
      <c r="M160" s="47"/>
      <c r="N160" s="48"/>
      <c r="O160" s="49">
        <f t="shared" si="79"/>
        <v>112.5</v>
      </c>
      <c r="P160" s="51"/>
      <c r="Q160" s="51"/>
      <c r="R160" s="67">
        <f t="shared" ref="R160:R191" si="84">SUM(39798.5/1139)*H160</f>
        <v>87.3540386303775</v>
      </c>
      <c r="S160" s="67"/>
      <c r="T160" s="67">
        <v>0</v>
      </c>
      <c r="U160" s="67"/>
      <c r="V160" s="67"/>
      <c r="W160" s="89">
        <f t="shared" si="78"/>
        <v>87.3540386303775</v>
      </c>
      <c r="X160" s="90">
        <f t="shared" ref="X160:X191" si="85">SUM(660.06/1139)*H160</f>
        <v>1.44877085162423</v>
      </c>
      <c r="Y160" s="90"/>
      <c r="Z160" s="90"/>
      <c r="AA160" s="90">
        <f t="shared" si="81"/>
        <v>1.44877085162423</v>
      </c>
      <c r="AB160" s="107">
        <v>7.19</v>
      </c>
      <c r="AC160" s="67">
        <f t="shared" si="82"/>
        <v>10.4166624231782</v>
      </c>
      <c r="AD160" s="67">
        <f t="shared" si="80"/>
        <v>97.7707010535558</v>
      </c>
      <c r="AE160" s="67">
        <f t="shared" si="83"/>
        <v>14.7292989464442</v>
      </c>
    </row>
    <row r="161" customFormat="1" spans="1:31">
      <c r="A161" s="18"/>
      <c r="B161" s="19"/>
      <c r="C161" s="20">
        <v>240125000037</v>
      </c>
      <c r="D161" s="21">
        <v>45327</v>
      </c>
      <c r="E161" s="21" t="s">
        <v>41</v>
      </c>
      <c r="F161" s="19" t="s">
        <v>42</v>
      </c>
      <c r="G161" s="19" t="s">
        <v>192</v>
      </c>
      <c r="H161" s="19">
        <v>6</v>
      </c>
      <c r="I161" s="53"/>
      <c r="J161" s="61">
        <v>62040</v>
      </c>
      <c r="K161" s="55"/>
      <c r="L161" s="61">
        <f>SUM(J161/M161)</f>
        <v>1581.84599694034</v>
      </c>
      <c r="M161" s="62">
        <v>39.22</v>
      </c>
      <c r="N161" s="48">
        <v>7.19</v>
      </c>
      <c r="O161" s="49">
        <f t="shared" si="77"/>
        <v>281.9918</v>
      </c>
      <c r="P161" s="51"/>
      <c r="Q161" s="51"/>
      <c r="R161" s="67">
        <f t="shared" si="84"/>
        <v>209.649692712906</v>
      </c>
      <c r="S161" s="67"/>
      <c r="T161" s="67">
        <v>0</v>
      </c>
      <c r="U161" s="67"/>
      <c r="V161" s="67"/>
      <c r="W161" s="89">
        <f t="shared" si="78"/>
        <v>209.649692712906</v>
      </c>
      <c r="X161" s="90">
        <f t="shared" si="85"/>
        <v>3.47705004389816</v>
      </c>
      <c r="Y161" s="90"/>
      <c r="Z161" s="90"/>
      <c r="AA161" s="90">
        <f t="shared" si="81"/>
        <v>3.47705004389816</v>
      </c>
      <c r="AB161" s="107">
        <v>7.19</v>
      </c>
      <c r="AC161" s="67">
        <f t="shared" si="82"/>
        <v>24.9999898156277</v>
      </c>
      <c r="AD161" s="67">
        <f t="shared" si="80"/>
        <v>234.649682528534</v>
      </c>
      <c r="AE161" s="67">
        <f t="shared" si="83"/>
        <v>47.3421174714662</v>
      </c>
    </row>
    <row r="162" customFormat="1" spans="1:31">
      <c r="A162" s="18"/>
      <c r="B162" s="19"/>
      <c r="C162" s="20">
        <v>240125000044</v>
      </c>
      <c r="D162" s="21">
        <v>45327</v>
      </c>
      <c r="E162" s="21" t="s">
        <v>76</v>
      </c>
      <c r="F162" s="19" t="s">
        <v>77</v>
      </c>
      <c r="G162" s="19" t="s">
        <v>193</v>
      </c>
      <c r="H162" s="19">
        <v>0.96</v>
      </c>
      <c r="I162" s="49"/>
      <c r="J162" s="65">
        <v>12538</v>
      </c>
      <c r="K162" s="66"/>
      <c r="L162" s="61">
        <f>SUM(J162/M162)</f>
        <v>1547.9012345679</v>
      </c>
      <c r="M162" s="62">
        <v>8.1</v>
      </c>
      <c r="N162" s="48">
        <v>7.19</v>
      </c>
      <c r="O162" s="49">
        <f t="shared" si="77"/>
        <v>58.239</v>
      </c>
      <c r="P162" s="51"/>
      <c r="Q162" s="51"/>
      <c r="R162" s="67">
        <f t="shared" si="84"/>
        <v>33.543950834065</v>
      </c>
      <c r="S162" s="67"/>
      <c r="T162" s="67">
        <v>0</v>
      </c>
      <c r="U162" s="67"/>
      <c r="V162" s="67"/>
      <c r="W162" s="89">
        <f t="shared" si="78"/>
        <v>33.543950834065</v>
      </c>
      <c r="X162" s="90">
        <f t="shared" si="85"/>
        <v>0.556328007023705</v>
      </c>
      <c r="Y162" s="90"/>
      <c r="Z162" s="90"/>
      <c r="AA162" s="90">
        <f t="shared" si="81"/>
        <v>0.556328007023705</v>
      </c>
      <c r="AB162" s="107">
        <v>7.19</v>
      </c>
      <c r="AC162" s="67">
        <f t="shared" si="82"/>
        <v>3.99999837050044</v>
      </c>
      <c r="AD162" s="67">
        <f t="shared" si="80"/>
        <v>37.5439492045654</v>
      </c>
      <c r="AE162" s="67">
        <f t="shared" si="83"/>
        <v>20.6950507954346</v>
      </c>
    </row>
    <row r="163" customFormat="1" spans="1:31">
      <c r="A163" s="18"/>
      <c r="B163" s="19"/>
      <c r="C163" s="20">
        <v>240125000048</v>
      </c>
      <c r="D163" s="21">
        <v>45327</v>
      </c>
      <c r="E163" s="21" t="s">
        <v>37</v>
      </c>
      <c r="F163" s="19" t="s">
        <v>38</v>
      </c>
      <c r="G163" s="19" t="s">
        <v>194</v>
      </c>
      <c r="H163" s="19">
        <v>3</v>
      </c>
      <c r="I163" s="44">
        <v>218</v>
      </c>
      <c r="J163" s="45"/>
      <c r="K163" s="46"/>
      <c r="L163" s="45"/>
      <c r="M163" s="47"/>
      <c r="N163" s="48"/>
      <c r="O163" s="49">
        <f>SUM(I163)</f>
        <v>218</v>
      </c>
      <c r="P163" s="51"/>
      <c r="Q163" s="51"/>
      <c r="R163" s="67">
        <f t="shared" si="84"/>
        <v>104.824846356453</v>
      </c>
      <c r="S163" s="67"/>
      <c r="T163" s="67">
        <v>0</v>
      </c>
      <c r="U163" s="67"/>
      <c r="V163" s="67"/>
      <c r="W163" s="89">
        <f t="shared" si="78"/>
        <v>104.824846356453</v>
      </c>
      <c r="X163" s="90">
        <f t="shared" si="85"/>
        <v>1.73852502194908</v>
      </c>
      <c r="Y163" s="90">
        <v>4.8</v>
      </c>
      <c r="Z163" s="90"/>
      <c r="AA163" s="90">
        <f t="shared" si="81"/>
        <v>6.53852502194908</v>
      </c>
      <c r="AB163" s="107">
        <v>7.19</v>
      </c>
      <c r="AC163" s="67">
        <f t="shared" si="82"/>
        <v>47.0119949078139</v>
      </c>
      <c r="AD163" s="67">
        <f t="shared" si="80"/>
        <v>151.836841264267</v>
      </c>
      <c r="AE163" s="67">
        <f t="shared" si="83"/>
        <v>66.1631587357331</v>
      </c>
    </row>
    <row r="164" customFormat="1" spans="1:31">
      <c r="A164" s="18"/>
      <c r="B164" s="19"/>
      <c r="C164" s="20">
        <v>240125000051</v>
      </c>
      <c r="D164" s="21">
        <v>45327</v>
      </c>
      <c r="E164" s="21" t="s">
        <v>76</v>
      </c>
      <c r="F164" s="19" t="s">
        <v>77</v>
      </c>
      <c r="G164" s="19" t="s">
        <v>138</v>
      </c>
      <c r="H164" s="19">
        <v>4.5</v>
      </c>
      <c r="I164" s="49"/>
      <c r="J164" s="65">
        <v>56427.12</v>
      </c>
      <c r="K164" s="66"/>
      <c r="L164" s="61">
        <f>SUM(J164/M164)</f>
        <v>1567.42</v>
      </c>
      <c r="M164" s="62">
        <v>36</v>
      </c>
      <c r="N164" s="48">
        <v>7.19</v>
      </c>
      <c r="O164" s="49">
        <f t="shared" ref="O164:O168" si="86">SUM(M164*N164)</f>
        <v>258.84</v>
      </c>
      <c r="P164" s="51"/>
      <c r="Q164" s="51"/>
      <c r="R164" s="67">
        <f t="shared" si="84"/>
        <v>157.23726953468</v>
      </c>
      <c r="S164" s="67"/>
      <c r="T164" s="67">
        <v>0</v>
      </c>
      <c r="U164" s="67"/>
      <c r="V164" s="67"/>
      <c r="W164" s="89">
        <f t="shared" si="78"/>
        <v>157.23726953468</v>
      </c>
      <c r="X164" s="90">
        <f t="shared" si="85"/>
        <v>2.60778753292362</v>
      </c>
      <c r="Y164" s="90"/>
      <c r="Z164" s="90"/>
      <c r="AA164" s="90">
        <f t="shared" si="81"/>
        <v>2.60778753292362</v>
      </c>
      <c r="AB164" s="107">
        <v>7.19</v>
      </c>
      <c r="AC164" s="67">
        <f t="shared" si="82"/>
        <v>18.7499923617208</v>
      </c>
      <c r="AD164" s="67">
        <f t="shared" si="80"/>
        <v>175.9872618964</v>
      </c>
      <c r="AE164" s="67">
        <f t="shared" si="83"/>
        <v>82.8527381035996</v>
      </c>
    </row>
    <row r="165" customFormat="1" spans="1:31">
      <c r="A165" s="18"/>
      <c r="B165" s="19"/>
      <c r="C165" s="20">
        <v>240125000053</v>
      </c>
      <c r="D165" s="21">
        <v>45327</v>
      </c>
      <c r="E165" s="21" t="s">
        <v>106</v>
      </c>
      <c r="F165" s="19" t="s">
        <v>107</v>
      </c>
      <c r="G165" s="19" t="s">
        <v>108</v>
      </c>
      <c r="H165" s="19">
        <v>0.32</v>
      </c>
      <c r="I165" s="49"/>
      <c r="J165" s="65">
        <v>12540</v>
      </c>
      <c r="K165" s="66"/>
      <c r="L165" s="61">
        <f>SUM(J165/M165)</f>
        <v>1548.14814814815</v>
      </c>
      <c r="M165" s="62">
        <v>8.1</v>
      </c>
      <c r="N165" s="48">
        <v>7.19</v>
      </c>
      <c r="O165" s="49">
        <f t="shared" si="86"/>
        <v>58.239</v>
      </c>
      <c r="P165" s="51"/>
      <c r="Q165" s="51"/>
      <c r="R165" s="67">
        <f t="shared" si="84"/>
        <v>11.1813169446883</v>
      </c>
      <c r="S165" s="67"/>
      <c r="T165" s="67">
        <v>0</v>
      </c>
      <c r="U165" s="67"/>
      <c r="V165" s="67"/>
      <c r="W165" s="89">
        <f t="shared" si="78"/>
        <v>11.1813169446883</v>
      </c>
      <c r="X165" s="90">
        <f t="shared" si="85"/>
        <v>0.185442669007902</v>
      </c>
      <c r="Y165" s="90"/>
      <c r="Z165" s="90"/>
      <c r="AA165" s="90">
        <f t="shared" si="81"/>
        <v>0.185442669007902</v>
      </c>
      <c r="AB165" s="107">
        <v>7.19</v>
      </c>
      <c r="AC165" s="67">
        <f t="shared" si="82"/>
        <v>1.33333279016681</v>
      </c>
      <c r="AD165" s="67">
        <f t="shared" si="80"/>
        <v>12.5146497348551</v>
      </c>
      <c r="AE165" s="67">
        <f t="shared" si="83"/>
        <v>45.7243502651449</v>
      </c>
    </row>
    <row r="166" customFormat="1" spans="1:31">
      <c r="A166" s="18"/>
      <c r="B166" s="19"/>
      <c r="C166" s="20">
        <v>240126000003</v>
      </c>
      <c r="D166" s="21">
        <v>45327</v>
      </c>
      <c r="E166" s="21" t="s">
        <v>76</v>
      </c>
      <c r="F166" s="19" t="s">
        <v>77</v>
      </c>
      <c r="G166" s="19" t="s">
        <v>183</v>
      </c>
      <c r="H166" s="19">
        <v>0.24</v>
      </c>
      <c r="I166" s="49"/>
      <c r="J166" s="65">
        <v>12354</v>
      </c>
      <c r="K166" s="66"/>
      <c r="L166" s="61">
        <f>SUM(J166/M166)</f>
        <v>1525.18518518519</v>
      </c>
      <c r="M166" s="62">
        <v>8.1</v>
      </c>
      <c r="N166" s="48">
        <v>7.19</v>
      </c>
      <c r="O166" s="49">
        <f t="shared" si="86"/>
        <v>58.239</v>
      </c>
      <c r="P166" s="51"/>
      <c r="Q166" s="51"/>
      <c r="R166" s="67">
        <f t="shared" si="84"/>
        <v>8.38598770851624</v>
      </c>
      <c r="S166" s="67"/>
      <c r="T166" s="67">
        <v>0</v>
      </c>
      <c r="U166" s="67"/>
      <c r="V166" s="67"/>
      <c r="W166" s="89">
        <f t="shared" si="78"/>
        <v>8.38598770851624</v>
      </c>
      <c r="X166" s="90">
        <f t="shared" si="85"/>
        <v>0.139082001755926</v>
      </c>
      <c r="Y166" s="90"/>
      <c r="Z166" s="90"/>
      <c r="AA166" s="90">
        <f t="shared" si="81"/>
        <v>0.139082001755926</v>
      </c>
      <c r="AB166" s="107">
        <v>7.19</v>
      </c>
      <c r="AC166" s="67">
        <f t="shared" si="82"/>
        <v>0.99999959262511</v>
      </c>
      <c r="AD166" s="67">
        <f t="shared" si="80"/>
        <v>9.38598730114135</v>
      </c>
      <c r="AE166" s="67">
        <f t="shared" si="83"/>
        <v>48.8530126988586</v>
      </c>
    </row>
    <row r="167" customFormat="1" spans="1:31">
      <c r="A167" s="18"/>
      <c r="B167" s="19"/>
      <c r="C167" s="20">
        <v>240126000004</v>
      </c>
      <c r="D167" s="21">
        <v>45327</v>
      </c>
      <c r="E167" s="21" t="s">
        <v>76</v>
      </c>
      <c r="F167" s="19" t="s">
        <v>77</v>
      </c>
      <c r="G167" s="19" t="s">
        <v>183</v>
      </c>
      <c r="H167" s="19">
        <v>0.31</v>
      </c>
      <c r="I167" s="49"/>
      <c r="J167" s="65">
        <v>12354</v>
      </c>
      <c r="K167" s="66"/>
      <c r="L167" s="61">
        <f>SUM(J167/M167)</f>
        <v>1525.18518518519</v>
      </c>
      <c r="M167" s="62">
        <v>8.1</v>
      </c>
      <c r="N167" s="48">
        <v>7.19</v>
      </c>
      <c r="O167" s="49">
        <f t="shared" si="86"/>
        <v>58.239</v>
      </c>
      <c r="P167" s="51"/>
      <c r="Q167" s="51"/>
      <c r="R167" s="67">
        <f t="shared" si="84"/>
        <v>10.8319007901668</v>
      </c>
      <c r="S167" s="67"/>
      <c r="T167" s="67">
        <v>0</v>
      </c>
      <c r="U167" s="67"/>
      <c r="V167" s="67"/>
      <c r="W167" s="89">
        <f t="shared" si="78"/>
        <v>10.8319007901668</v>
      </c>
      <c r="X167" s="90">
        <f t="shared" si="85"/>
        <v>0.179647585601405</v>
      </c>
      <c r="Y167" s="90"/>
      <c r="Z167" s="90"/>
      <c r="AA167" s="90">
        <f t="shared" si="81"/>
        <v>0.179647585601405</v>
      </c>
      <c r="AB167" s="107">
        <v>7.19</v>
      </c>
      <c r="AC167" s="67">
        <f t="shared" si="82"/>
        <v>1.2916661404741</v>
      </c>
      <c r="AD167" s="67">
        <f t="shared" si="80"/>
        <v>12.1235669306409</v>
      </c>
      <c r="AE167" s="67">
        <f t="shared" si="83"/>
        <v>46.1154330693591</v>
      </c>
    </row>
    <row r="168" customFormat="1" spans="1:31">
      <c r="A168" s="18"/>
      <c r="B168" s="19"/>
      <c r="C168" s="20">
        <v>240126000005</v>
      </c>
      <c r="D168" s="21">
        <v>45327</v>
      </c>
      <c r="E168" s="21" t="s">
        <v>76</v>
      </c>
      <c r="F168" s="19" t="s">
        <v>77</v>
      </c>
      <c r="G168" s="19" t="s">
        <v>195</v>
      </c>
      <c r="H168" s="19">
        <v>1.5</v>
      </c>
      <c r="I168" s="49"/>
      <c r="J168" s="65">
        <v>18498.6</v>
      </c>
      <c r="K168" s="66"/>
      <c r="L168" s="61">
        <f>SUM(J168/M168)</f>
        <v>1547.99987046026</v>
      </c>
      <c r="M168" s="62">
        <v>11.950001</v>
      </c>
      <c r="N168" s="48">
        <v>7.19</v>
      </c>
      <c r="O168" s="49">
        <f t="shared" si="86"/>
        <v>85.92050719</v>
      </c>
      <c r="P168" s="51"/>
      <c r="Q168" s="51"/>
      <c r="R168" s="67">
        <f t="shared" si="84"/>
        <v>52.4124231782265</v>
      </c>
      <c r="S168" s="67"/>
      <c r="T168" s="67">
        <v>0</v>
      </c>
      <c r="U168" s="67"/>
      <c r="V168" s="67"/>
      <c r="W168" s="89">
        <f t="shared" si="78"/>
        <v>52.4124231782265</v>
      </c>
      <c r="X168" s="90">
        <f t="shared" si="85"/>
        <v>0.869262510974539</v>
      </c>
      <c r="Y168" s="90"/>
      <c r="Z168" s="90"/>
      <c r="AA168" s="90">
        <f t="shared" si="81"/>
        <v>0.869262510974539</v>
      </c>
      <c r="AB168" s="107">
        <v>7.19</v>
      </c>
      <c r="AC168" s="67">
        <f t="shared" si="82"/>
        <v>6.24999745390694</v>
      </c>
      <c r="AD168" s="67">
        <f t="shared" si="80"/>
        <v>58.6624206321335</v>
      </c>
      <c r="AE168" s="67">
        <f t="shared" si="83"/>
        <v>27.2580865578665</v>
      </c>
    </row>
    <row r="169" customFormat="1" spans="1:31">
      <c r="A169" s="18"/>
      <c r="B169" s="19"/>
      <c r="C169" s="20">
        <v>240126000010</v>
      </c>
      <c r="D169" s="21">
        <v>45327</v>
      </c>
      <c r="E169" s="21" t="s">
        <v>76</v>
      </c>
      <c r="F169" s="19" t="s">
        <v>77</v>
      </c>
      <c r="G169" s="19" t="s">
        <v>196</v>
      </c>
      <c r="H169" s="19">
        <v>0.33</v>
      </c>
      <c r="I169" s="44">
        <v>58</v>
      </c>
      <c r="J169" s="45"/>
      <c r="K169" s="46"/>
      <c r="L169" s="45"/>
      <c r="M169" s="47"/>
      <c r="N169" s="48"/>
      <c r="O169" s="49">
        <f t="shared" ref="O169:O173" si="87">SUM(I169)</f>
        <v>58</v>
      </c>
      <c r="P169" s="51"/>
      <c r="Q169" s="51"/>
      <c r="R169" s="67">
        <f t="shared" si="84"/>
        <v>11.5307330992098</v>
      </c>
      <c r="S169" s="67"/>
      <c r="T169" s="67">
        <v>0</v>
      </c>
      <c r="U169" s="67"/>
      <c r="V169" s="67"/>
      <c r="W169" s="89">
        <f t="shared" si="78"/>
        <v>11.5307330992098</v>
      </c>
      <c r="X169" s="90">
        <f t="shared" si="85"/>
        <v>0.191237752414399</v>
      </c>
      <c r="Y169" s="90"/>
      <c r="Z169" s="90"/>
      <c r="AA169" s="90">
        <f t="shared" si="81"/>
        <v>0.191237752414399</v>
      </c>
      <c r="AB169" s="107">
        <v>7.19</v>
      </c>
      <c r="AC169" s="67">
        <f t="shared" si="82"/>
        <v>1.37499943985953</v>
      </c>
      <c r="AD169" s="67">
        <f t="shared" si="80"/>
        <v>12.9057325390694</v>
      </c>
      <c r="AE169" s="67">
        <f t="shared" si="83"/>
        <v>45.0942674609306</v>
      </c>
    </row>
    <row r="170" customFormat="1" spans="1:31">
      <c r="A170" s="18"/>
      <c r="B170" s="19"/>
      <c r="C170" s="20">
        <v>240126000017</v>
      </c>
      <c r="D170" s="115">
        <v>45327</v>
      </c>
      <c r="E170" s="21" t="s">
        <v>37</v>
      </c>
      <c r="F170" s="116" t="s">
        <v>38</v>
      </c>
      <c r="G170" s="116" t="s">
        <v>197</v>
      </c>
      <c r="H170" s="116">
        <v>0.38</v>
      </c>
      <c r="I170" s="53"/>
      <c r="J170" s="61">
        <v>13482</v>
      </c>
      <c r="K170" s="55"/>
      <c r="L170" s="61">
        <f>SUM(J170/M170)</f>
        <v>1539.04109589041</v>
      </c>
      <c r="M170" s="62">
        <v>8.76</v>
      </c>
      <c r="N170" s="48">
        <v>7.19</v>
      </c>
      <c r="O170" s="49">
        <f>SUM(M170*N170)</f>
        <v>62.9844</v>
      </c>
      <c r="P170" s="51"/>
      <c r="Q170" s="51"/>
      <c r="R170" s="67">
        <f t="shared" si="84"/>
        <v>13.2778138718174</v>
      </c>
      <c r="S170" s="67"/>
      <c r="T170" s="67">
        <v>0</v>
      </c>
      <c r="U170" s="67"/>
      <c r="V170" s="67"/>
      <c r="W170" s="89">
        <f t="shared" si="78"/>
        <v>13.2778138718174</v>
      </c>
      <c r="X170" s="90">
        <f t="shared" si="85"/>
        <v>0.220213169446883</v>
      </c>
      <c r="Y170" s="90"/>
      <c r="Z170" s="90"/>
      <c r="AA170" s="90">
        <f t="shared" si="81"/>
        <v>0.220213169446883</v>
      </c>
      <c r="AB170" s="107">
        <v>7.19</v>
      </c>
      <c r="AC170" s="67">
        <f t="shared" si="82"/>
        <v>1.58333268832309</v>
      </c>
      <c r="AD170" s="67">
        <f t="shared" si="80"/>
        <v>14.8611465601405</v>
      </c>
      <c r="AE170" s="67">
        <f t="shared" si="83"/>
        <v>48.1232534398595</v>
      </c>
    </row>
    <row r="171" customFormat="1" spans="1:31">
      <c r="A171" s="18"/>
      <c r="B171" s="19"/>
      <c r="C171" s="24">
        <v>240126000018</v>
      </c>
      <c r="D171" s="25">
        <v>45327</v>
      </c>
      <c r="E171" s="21" t="s">
        <v>37</v>
      </c>
      <c r="F171" s="26" t="s">
        <v>38</v>
      </c>
      <c r="G171" s="26" t="s">
        <v>198</v>
      </c>
      <c r="H171" s="26">
        <v>3</v>
      </c>
      <c r="I171" s="113">
        <v>168</v>
      </c>
      <c r="J171" s="61"/>
      <c r="K171" s="64"/>
      <c r="L171" s="61"/>
      <c r="M171" s="47"/>
      <c r="N171" s="48"/>
      <c r="O171" s="49">
        <f t="shared" si="87"/>
        <v>168</v>
      </c>
      <c r="P171" s="51"/>
      <c r="Q171" s="51"/>
      <c r="R171" s="67">
        <f t="shared" si="84"/>
        <v>104.824846356453</v>
      </c>
      <c r="S171" s="67"/>
      <c r="T171" s="67">
        <v>0</v>
      </c>
      <c r="U171" s="67"/>
      <c r="V171" s="67"/>
      <c r="W171" s="89">
        <f t="shared" si="78"/>
        <v>104.824846356453</v>
      </c>
      <c r="X171" s="90">
        <f t="shared" si="85"/>
        <v>1.73852502194908</v>
      </c>
      <c r="Y171" s="90"/>
      <c r="Z171" s="90"/>
      <c r="AA171" s="90">
        <f t="shared" si="81"/>
        <v>1.73852502194908</v>
      </c>
      <c r="AB171" s="107">
        <v>7.19</v>
      </c>
      <c r="AC171" s="67">
        <f t="shared" si="82"/>
        <v>12.4999949078139</v>
      </c>
      <c r="AD171" s="67">
        <f t="shared" si="80"/>
        <v>117.324841264267</v>
      </c>
      <c r="AE171" s="67">
        <f t="shared" si="83"/>
        <v>50.6751587357331</v>
      </c>
    </row>
    <row r="172" customFormat="1" spans="1:31">
      <c r="A172" s="18"/>
      <c r="B172" s="19"/>
      <c r="C172" s="20">
        <v>240126000020</v>
      </c>
      <c r="D172" s="21">
        <v>45327</v>
      </c>
      <c r="E172" s="21" t="s">
        <v>41</v>
      </c>
      <c r="F172" s="19" t="s">
        <v>42</v>
      </c>
      <c r="G172" s="19" t="s">
        <v>199</v>
      </c>
      <c r="H172" s="19">
        <v>1.5</v>
      </c>
      <c r="I172" s="44">
        <v>93</v>
      </c>
      <c r="J172" s="45"/>
      <c r="K172" s="46"/>
      <c r="L172" s="45"/>
      <c r="M172" s="47"/>
      <c r="N172" s="48"/>
      <c r="O172" s="49">
        <f t="shared" si="87"/>
        <v>93</v>
      </c>
      <c r="P172" s="51"/>
      <c r="Q172" s="51"/>
      <c r="R172" s="67">
        <f t="shared" si="84"/>
        <v>52.4124231782265</v>
      </c>
      <c r="S172" s="67"/>
      <c r="T172" s="67">
        <v>0</v>
      </c>
      <c r="U172" s="67"/>
      <c r="V172" s="67"/>
      <c r="W172" s="89">
        <f t="shared" si="78"/>
        <v>52.4124231782265</v>
      </c>
      <c r="X172" s="90">
        <f t="shared" si="85"/>
        <v>0.869262510974539</v>
      </c>
      <c r="Y172" s="90"/>
      <c r="Z172" s="90"/>
      <c r="AA172" s="90">
        <f t="shared" si="81"/>
        <v>0.869262510974539</v>
      </c>
      <c r="AB172" s="107">
        <v>7.19</v>
      </c>
      <c r="AC172" s="67">
        <f t="shared" si="82"/>
        <v>6.24999745390694</v>
      </c>
      <c r="AD172" s="67">
        <f t="shared" si="80"/>
        <v>58.6624206321335</v>
      </c>
      <c r="AE172" s="67">
        <f t="shared" si="83"/>
        <v>34.3375793678665</v>
      </c>
    </row>
    <row r="173" customFormat="1" spans="1:31">
      <c r="A173" s="18"/>
      <c r="B173" s="19"/>
      <c r="C173" s="20">
        <v>240126000024</v>
      </c>
      <c r="D173" s="21">
        <v>45327</v>
      </c>
      <c r="E173" s="21" t="s">
        <v>37</v>
      </c>
      <c r="F173" s="19" t="s">
        <v>38</v>
      </c>
      <c r="G173" s="19" t="s">
        <v>200</v>
      </c>
      <c r="H173" s="19">
        <v>7</v>
      </c>
      <c r="I173" s="44">
        <v>370</v>
      </c>
      <c r="J173" s="45"/>
      <c r="K173" s="46"/>
      <c r="L173" s="45"/>
      <c r="M173" s="47"/>
      <c r="N173" s="48"/>
      <c r="O173" s="49">
        <f t="shared" si="87"/>
        <v>370</v>
      </c>
      <c r="P173" s="51"/>
      <c r="Q173" s="51"/>
      <c r="R173" s="67">
        <f t="shared" si="84"/>
        <v>244.591308165057</v>
      </c>
      <c r="S173" s="67"/>
      <c r="T173" s="67">
        <v>0</v>
      </c>
      <c r="U173" s="67"/>
      <c r="V173" s="67"/>
      <c r="W173" s="89">
        <f t="shared" si="78"/>
        <v>244.591308165057</v>
      </c>
      <c r="X173" s="90">
        <f t="shared" si="85"/>
        <v>4.05655838454785</v>
      </c>
      <c r="Y173" s="90"/>
      <c r="Z173" s="90"/>
      <c r="AA173" s="90">
        <f t="shared" si="81"/>
        <v>4.05655838454785</v>
      </c>
      <c r="AB173" s="107">
        <v>7.19</v>
      </c>
      <c r="AC173" s="67">
        <f t="shared" si="82"/>
        <v>29.166654784899</v>
      </c>
      <c r="AD173" s="67">
        <f t="shared" si="80"/>
        <v>273.757962949956</v>
      </c>
      <c r="AE173" s="67">
        <f t="shared" si="83"/>
        <v>96.2420370500439</v>
      </c>
    </row>
    <row r="174" customFormat="1" spans="1:31">
      <c r="A174" s="18"/>
      <c r="B174" s="19"/>
      <c r="C174" s="20">
        <v>240126000025</v>
      </c>
      <c r="D174" s="21">
        <v>45327</v>
      </c>
      <c r="E174" s="21" t="s">
        <v>62</v>
      </c>
      <c r="F174" s="19" t="s">
        <v>63</v>
      </c>
      <c r="G174" s="19" t="s">
        <v>91</v>
      </c>
      <c r="H174" s="19">
        <v>14</v>
      </c>
      <c r="I174" s="49"/>
      <c r="J174" s="68"/>
      <c r="K174" s="69">
        <v>100.4</v>
      </c>
      <c r="L174" s="61"/>
      <c r="M174" s="62">
        <v>100.40001</v>
      </c>
      <c r="N174" s="48">
        <v>7.19</v>
      </c>
      <c r="O174" s="49">
        <f t="shared" ref="O174:O177" si="88">SUM(M174*N174)</f>
        <v>721.8760719</v>
      </c>
      <c r="P174" s="51"/>
      <c r="Q174" s="51"/>
      <c r="R174" s="67">
        <f t="shared" si="84"/>
        <v>489.182616330114</v>
      </c>
      <c r="S174" s="67"/>
      <c r="T174" s="67">
        <v>0</v>
      </c>
      <c r="U174" s="67"/>
      <c r="V174" s="67"/>
      <c r="W174" s="89">
        <f t="shared" si="78"/>
        <v>489.182616330114</v>
      </c>
      <c r="X174" s="90">
        <f t="shared" si="85"/>
        <v>8.1131167690957</v>
      </c>
      <c r="Y174" s="90"/>
      <c r="Z174" s="90"/>
      <c r="AA174" s="90">
        <f t="shared" si="81"/>
        <v>8.1131167690957</v>
      </c>
      <c r="AB174" s="107">
        <v>7.19</v>
      </c>
      <c r="AC174" s="67">
        <f t="shared" si="82"/>
        <v>58.3333095697981</v>
      </c>
      <c r="AD174" s="67">
        <f t="shared" si="80"/>
        <v>547.515925899912</v>
      </c>
      <c r="AE174" s="67">
        <f t="shared" si="83"/>
        <v>174.360146000088</v>
      </c>
    </row>
    <row r="175" customFormat="1" spans="1:31">
      <c r="A175" s="18"/>
      <c r="B175" s="19"/>
      <c r="C175" s="20">
        <v>240126000028</v>
      </c>
      <c r="D175" s="21">
        <v>45327</v>
      </c>
      <c r="E175" s="21" t="s">
        <v>56</v>
      </c>
      <c r="F175" s="19" t="s">
        <v>112</v>
      </c>
      <c r="G175" s="19" t="s">
        <v>201</v>
      </c>
      <c r="H175" s="19">
        <v>16</v>
      </c>
      <c r="I175" s="44">
        <v>838</v>
      </c>
      <c r="J175" s="45"/>
      <c r="K175" s="46"/>
      <c r="L175" s="45"/>
      <c r="M175" s="47"/>
      <c r="N175" s="48"/>
      <c r="O175" s="49">
        <f t="shared" ref="O175:O181" si="89">SUM(I175)</f>
        <v>838</v>
      </c>
      <c r="P175" s="51"/>
      <c r="Q175" s="51"/>
      <c r="R175" s="67">
        <f t="shared" si="84"/>
        <v>559.065847234416</v>
      </c>
      <c r="S175" s="67"/>
      <c r="T175" s="67">
        <v>0</v>
      </c>
      <c r="U175" s="67"/>
      <c r="V175" s="67"/>
      <c r="W175" s="89">
        <f t="shared" si="78"/>
        <v>559.065847234416</v>
      </c>
      <c r="X175" s="90">
        <f t="shared" si="85"/>
        <v>9.27213345039508</v>
      </c>
      <c r="Y175" s="90"/>
      <c r="Z175" s="90"/>
      <c r="AA175" s="90">
        <f t="shared" si="81"/>
        <v>9.27213345039508</v>
      </c>
      <c r="AB175" s="107">
        <v>7.19</v>
      </c>
      <c r="AC175" s="67">
        <f t="shared" si="82"/>
        <v>66.6666395083407</v>
      </c>
      <c r="AD175" s="67">
        <f t="shared" si="80"/>
        <v>625.732486742757</v>
      </c>
      <c r="AE175" s="67">
        <f t="shared" si="83"/>
        <v>212.267513257243</v>
      </c>
    </row>
    <row r="176" customFormat="1" spans="1:31">
      <c r="A176" s="18"/>
      <c r="B176" s="19"/>
      <c r="C176" s="20">
        <v>240126000032</v>
      </c>
      <c r="D176" s="21">
        <v>45327</v>
      </c>
      <c r="E176" s="21" t="s">
        <v>76</v>
      </c>
      <c r="F176" s="19" t="s">
        <v>77</v>
      </c>
      <c r="G176" s="19" t="s">
        <v>138</v>
      </c>
      <c r="H176" s="19">
        <v>20</v>
      </c>
      <c r="I176" s="49"/>
      <c r="J176" s="65">
        <v>282135.6</v>
      </c>
      <c r="K176" s="66"/>
      <c r="L176" s="61">
        <f>SUM(J176/M176)</f>
        <v>1567.42</v>
      </c>
      <c r="M176" s="62">
        <v>180</v>
      </c>
      <c r="N176" s="48">
        <v>7.19</v>
      </c>
      <c r="O176" s="49">
        <f t="shared" si="88"/>
        <v>1294.2</v>
      </c>
      <c r="P176" s="51"/>
      <c r="Q176" s="51"/>
      <c r="R176" s="67">
        <f t="shared" si="84"/>
        <v>698.83230904302</v>
      </c>
      <c r="S176" s="67"/>
      <c r="T176" s="67">
        <v>0</v>
      </c>
      <c r="U176" s="91">
        <v>60</v>
      </c>
      <c r="V176" s="67"/>
      <c r="W176" s="89">
        <f t="shared" si="78"/>
        <v>758.83230904302</v>
      </c>
      <c r="X176" s="90">
        <f t="shared" si="85"/>
        <v>11.5901668129939</v>
      </c>
      <c r="Y176" s="90"/>
      <c r="Z176" s="90"/>
      <c r="AA176" s="90">
        <f t="shared" si="81"/>
        <v>11.5901668129939</v>
      </c>
      <c r="AB176" s="107">
        <v>7.19</v>
      </c>
      <c r="AC176" s="67">
        <f t="shared" si="82"/>
        <v>83.3332993854258</v>
      </c>
      <c r="AD176" s="67">
        <f t="shared" si="80"/>
        <v>842.165608428446</v>
      </c>
      <c r="AE176" s="67">
        <f t="shared" si="83"/>
        <v>452.034391571554</v>
      </c>
    </row>
    <row r="177" customFormat="1" spans="1:31">
      <c r="A177" s="18"/>
      <c r="B177" s="19"/>
      <c r="C177" s="20">
        <v>240126000033</v>
      </c>
      <c r="D177" s="21">
        <v>45327</v>
      </c>
      <c r="E177" s="21" t="s">
        <v>41</v>
      </c>
      <c r="F177" s="19" t="s">
        <v>42</v>
      </c>
      <c r="G177" s="19" t="s">
        <v>59</v>
      </c>
      <c r="H177" s="19">
        <v>3</v>
      </c>
      <c r="I177" s="53"/>
      <c r="J177" s="61">
        <v>32700</v>
      </c>
      <c r="K177" s="55"/>
      <c r="L177" s="61">
        <f>SUM(J177/M177)</f>
        <v>1567.59348034516</v>
      </c>
      <c r="M177" s="62">
        <v>20.86</v>
      </c>
      <c r="N177" s="48">
        <v>7.19</v>
      </c>
      <c r="O177" s="49">
        <f t="shared" si="88"/>
        <v>149.9834</v>
      </c>
      <c r="P177" s="51"/>
      <c r="Q177" s="51"/>
      <c r="R177" s="67">
        <f t="shared" si="84"/>
        <v>104.824846356453</v>
      </c>
      <c r="S177" s="67"/>
      <c r="T177" s="67">
        <v>0</v>
      </c>
      <c r="U177" s="67"/>
      <c r="V177" s="67"/>
      <c r="W177" s="89">
        <f t="shared" si="78"/>
        <v>104.824846356453</v>
      </c>
      <c r="X177" s="90">
        <f t="shared" si="85"/>
        <v>1.73852502194908</v>
      </c>
      <c r="Y177" s="90"/>
      <c r="Z177" s="90"/>
      <c r="AA177" s="90">
        <f t="shared" si="81"/>
        <v>1.73852502194908</v>
      </c>
      <c r="AB177" s="107">
        <v>7.19</v>
      </c>
      <c r="AC177" s="67">
        <f t="shared" si="82"/>
        <v>12.4999949078139</v>
      </c>
      <c r="AD177" s="67">
        <f t="shared" si="80"/>
        <v>117.324841264267</v>
      </c>
      <c r="AE177" s="67">
        <f t="shared" si="83"/>
        <v>32.6585587357331</v>
      </c>
    </row>
    <row r="178" customFormat="1" spans="1:31">
      <c r="A178" s="18"/>
      <c r="B178" s="19"/>
      <c r="C178" s="20">
        <v>240126000037</v>
      </c>
      <c r="D178" s="21">
        <v>45327</v>
      </c>
      <c r="E178" s="21" t="s">
        <v>56</v>
      </c>
      <c r="F178" s="19" t="s">
        <v>112</v>
      </c>
      <c r="G178" s="19" t="s">
        <v>202</v>
      </c>
      <c r="H178" s="19">
        <v>16</v>
      </c>
      <c r="I178" s="44">
        <v>838</v>
      </c>
      <c r="J178" s="45"/>
      <c r="K178" s="46"/>
      <c r="L178" s="45"/>
      <c r="M178" s="47"/>
      <c r="N178" s="48"/>
      <c r="O178" s="49">
        <f t="shared" si="89"/>
        <v>838</v>
      </c>
      <c r="P178" s="51"/>
      <c r="Q178" s="51"/>
      <c r="R178" s="67">
        <f t="shared" si="84"/>
        <v>559.065847234416</v>
      </c>
      <c r="S178" s="67"/>
      <c r="T178" s="67">
        <v>0</v>
      </c>
      <c r="U178" s="67"/>
      <c r="V178" s="67"/>
      <c r="W178" s="89">
        <f t="shared" si="78"/>
        <v>559.065847234416</v>
      </c>
      <c r="X178" s="90">
        <f t="shared" si="85"/>
        <v>9.27213345039508</v>
      </c>
      <c r="Y178" s="90"/>
      <c r="Z178" s="90"/>
      <c r="AA178" s="90">
        <f t="shared" si="81"/>
        <v>9.27213345039508</v>
      </c>
      <c r="AB178" s="107">
        <v>7.19</v>
      </c>
      <c r="AC178" s="67">
        <f t="shared" si="82"/>
        <v>66.6666395083407</v>
      </c>
      <c r="AD178" s="67">
        <f t="shared" si="80"/>
        <v>625.732486742757</v>
      </c>
      <c r="AE178" s="67">
        <f t="shared" si="83"/>
        <v>212.267513257243</v>
      </c>
    </row>
    <row r="179" customFormat="1" spans="1:31">
      <c r="A179" s="18"/>
      <c r="B179" s="19"/>
      <c r="C179" s="20">
        <v>240126000039</v>
      </c>
      <c r="D179" s="21">
        <v>45327</v>
      </c>
      <c r="E179" s="21" t="s">
        <v>62</v>
      </c>
      <c r="F179" s="19" t="s">
        <v>203</v>
      </c>
      <c r="G179" s="19" t="s">
        <v>204</v>
      </c>
      <c r="H179" s="19">
        <v>7</v>
      </c>
      <c r="I179" s="49"/>
      <c r="J179" s="65">
        <v>91242</v>
      </c>
      <c r="K179" s="66"/>
      <c r="L179" s="61">
        <f>SUM(J179/M179)</f>
        <v>1800</v>
      </c>
      <c r="M179" s="62">
        <v>50.69</v>
      </c>
      <c r="N179" s="48">
        <v>7.19</v>
      </c>
      <c r="O179" s="49">
        <f>SUM(M179*N179)</f>
        <v>364.4611</v>
      </c>
      <c r="P179" s="51"/>
      <c r="Q179" s="51"/>
      <c r="R179" s="67">
        <f t="shared" si="84"/>
        <v>244.591308165057</v>
      </c>
      <c r="S179" s="67"/>
      <c r="T179" s="67">
        <v>0</v>
      </c>
      <c r="U179" s="67"/>
      <c r="V179" s="67"/>
      <c r="W179" s="89">
        <f t="shared" si="78"/>
        <v>244.591308165057</v>
      </c>
      <c r="X179" s="90">
        <f t="shared" si="85"/>
        <v>4.05655838454785</v>
      </c>
      <c r="Y179" s="90"/>
      <c r="Z179" s="90"/>
      <c r="AA179" s="90">
        <f t="shared" si="81"/>
        <v>4.05655838454785</v>
      </c>
      <c r="AB179" s="107">
        <v>7.19</v>
      </c>
      <c r="AC179" s="67">
        <f t="shared" si="82"/>
        <v>29.166654784899</v>
      </c>
      <c r="AD179" s="67">
        <f t="shared" si="80"/>
        <v>273.757962949956</v>
      </c>
      <c r="AE179" s="67">
        <f t="shared" si="83"/>
        <v>90.7031370500439</v>
      </c>
    </row>
    <row r="180" customFormat="1" spans="1:31">
      <c r="A180" s="18"/>
      <c r="B180" s="19"/>
      <c r="C180" s="20">
        <v>240126000042</v>
      </c>
      <c r="D180" s="21">
        <v>45327</v>
      </c>
      <c r="E180" s="21" t="s">
        <v>41</v>
      </c>
      <c r="F180" s="19" t="s">
        <v>42</v>
      </c>
      <c r="G180" s="19" t="s">
        <v>205</v>
      </c>
      <c r="H180" s="19">
        <v>0.46</v>
      </c>
      <c r="I180" s="44">
        <v>58</v>
      </c>
      <c r="J180" s="45"/>
      <c r="K180" s="46"/>
      <c r="L180" s="45"/>
      <c r="M180" s="47"/>
      <c r="N180" s="48"/>
      <c r="O180" s="49">
        <f t="shared" si="89"/>
        <v>58</v>
      </c>
      <c r="P180" s="51"/>
      <c r="Q180" s="51"/>
      <c r="R180" s="67">
        <f t="shared" si="84"/>
        <v>16.0731431079895</v>
      </c>
      <c r="S180" s="67"/>
      <c r="T180" s="67">
        <v>0</v>
      </c>
      <c r="U180" s="67"/>
      <c r="V180" s="67"/>
      <c r="W180" s="89">
        <f t="shared" si="78"/>
        <v>16.0731431079895</v>
      </c>
      <c r="X180" s="90">
        <f t="shared" si="85"/>
        <v>0.266573836698859</v>
      </c>
      <c r="Y180" s="90"/>
      <c r="Z180" s="90"/>
      <c r="AA180" s="90">
        <f t="shared" si="81"/>
        <v>0.266573836698859</v>
      </c>
      <c r="AB180" s="107">
        <v>7.19</v>
      </c>
      <c r="AC180" s="67">
        <f t="shared" si="82"/>
        <v>1.91666588586479</v>
      </c>
      <c r="AD180" s="67">
        <f t="shared" si="80"/>
        <v>17.9898089938543</v>
      </c>
      <c r="AE180" s="67">
        <f t="shared" si="83"/>
        <v>40.0101910061457</v>
      </c>
    </row>
    <row r="181" customFormat="1" spans="1:31">
      <c r="A181" s="18"/>
      <c r="B181" s="19"/>
      <c r="C181" s="20">
        <v>240126000047</v>
      </c>
      <c r="D181" s="21">
        <v>45327</v>
      </c>
      <c r="E181" s="21" t="s">
        <v>44</v>
      </c>
      <c r="F181" s="19" t="s">
        <v>44</v>
      </c>
      <c r="G181" s="19" t="s">
        <v>151</v>
      </c>
      <c r="H181" s="19">
        <v>199</v>
      </c>
      <c r="I181" s="53">
        <v>8358</v>
      </c>
      <c r="J181" s="54"/>
      <c r="K181" s="55"/>
      <c r="L181" s="54"/>
      <c r="M181" s="47"/>
      <c r="N181" s="48"/>
      <c r="O181" s="49">
        <f t="shared" si="89"/>
        <v>8358</v>
      </c>
      <c r="P181" s="51"/>
      <c r="Q181" s="51"/>
      <c r="R181" s="67">
        <f t="shared" si="84"/>
        <v>6953.38147497805</v>
      </c>
      <c r="S181" s="67"/>
      <c r="T181" s="67">
        <v>0</v>
      </c>
      <c r="U181" s="67"/>
      <c r="V181" s="67"/>
      <c r="W181" s="89">
        <f t="shared" si="78"/>
        <v>6953.38147497805</v>
      </c>
      <c r="X181" s="90">
        <f t="shared" si="85"/>
        <v>115.322159789289</v>
      </c>
      <c r="Y181" s="90"/>
      <c r="Z181" s="90"/>
      <c r="AA181" s="90">
        <f t="shared" si="81"/>
        <v>115.322159789289</v>
      </c>
      <c r="AB181" s="107">
        <v>7.19</v>
      </c>
      <c r="AC181" s="67">
        <f t="shared" si="82"/>
        <v>829.166328884987</v>
      </c>
      <c r="AD181" s="67">
        <f t="shared" si="80"/>
        <v>7782.54780386304</v>
      </c>
      <c r="AE181" s="67">
        <f t="shared" si="83"/>
        <v>575.452196136962</v>
      </c>
    </row>
    <row r="182" customFormat="1" spans="1:31">
      <c r="A182" s="18"/>
      <c r="B182" s="19"/>
      <c r="C182" s="20">
        <v>240126000052</v>
      </c>
      <c r="D182" s="21">
        <v>45327</v>
      </c>
      <c r="E182" s="21" t="s">
        <v>76</v>
      </c>
      <c r="F182" s="19" t="s">
        <v>77</v>
      </c>
      <c r="G182" s="19" t="s">
        <v>183</v>
      </c>
      <c r="H182" s="19">
        <v>0.39</v>
      </c>
      <c r="I182" s="49"/>
      <c r="J182" s="65">
        <v>12354</v>
      </c>
      <c r="K182" s="66"/>
      <c r="L182" s="61">
        <f>SUM(J182/M182)</f>
        <v>1525.18518518519</v>
      </c>
      <c r="M182" s="62">
        <v>8.1</v>
      </c>
      <c r="N182" s="48">
        <v>7.19</v>
      </c>
      <c r="O182" s="49">
        <f t="shared" ref="O182:O192" si="90">SUM(M182*N182)</f>
        <v>58.239</v>
      </c>
      <c r="P182" s="51"/>
      <c r="Q182" s="51"/>
      <c r="R182" s="67">
        <f t="shared" si="84"/>
        <v>13.6272300263389</v>
      </c>
      <c r="S182" s="67"/>
      <c r="T182" s="67">
        <v>0</v>
      </c>
      <c r="U182" s="67"/>
      <c r="V182" s="67"/>
      <c r="W182" s="89">
        <f t="shared" si="78"/>
        <v>13.6272300263389</v>
      </c>
      <c r="X182" s="90">
        <f t="shared" si="85"/>
        <v>0.22600825285338</v>
      </c>
      <c r="Y182" s="90"/>
      <c r="Z182" s="90"/>
      <c r="AA182" s="90">
        <f t="shared" si="81"/>
        <v>0.22600825285338</v>
      </c>
      <c r="AB182" s="107">
        <v>7.19</v>
      </c>
      <c r="AC182" s="67">
        <f t="shared" si="82"/>
        <v>1.6249993380158</v>
      </c>
      <c r="AD182" s="67">
        <f t="shared" si="80"/>
        <v>15.2522293643547</v>
      </c>
      <c r="AE182" s="67">
        <f t="shared" si="83"/>
        <v>42.9867706356453</v>
      </c>
    </row>
    <row r="183" customFormat="1" spans="1:31">
      <c r="A183" s="18"/>
      <c r="B183" s="19"/>
      <c r="C183" s="20">
        <v>240127000003</v>
      </c>
      <c r="D183" s="21">
        <v>45327</v>
      </c>
      <c r="E183" s="21" t="s">
        <v>56</v>
      </c>
      <c r="F183" s="19" t="s">
        <v>114</v>
      </c>
      <c r="G183" s="19" t="s">
        <v>206</v>
      </c>
      <c r="H183" s="19">
        <v>7</v>
      </c>
      <c r="I183" s="44">
        <v>462</v>
      </c>
      <c r="J183" s="45"/>
      <c r="K183" s="46"/>
      <c r="L183" s="45"/>
      <c r="M183" s="47"/>
      <c r="N183" s="48"/>
      <c r="O183" s="49">
        <f t="shared" ref="O183:O186" si="91">SUM(I183)</f>
        <v>462</v>
      </c>
      <c r="P183" s="51"/>
      <c r="Q183" s="51"/>
      <c r="R183" s="67">
        <f t="shared" si="84"/>
        <v>244.591308165057</v>
      </c>
      <c r="S183" s="67"/>
      <c r="T183" s="67">
        <v>0</v>
      </c>
      <c r="U183" s="67"/>
      <c r="V183" s="91">
        <v>42</v>
      </c>
      <c r="W183" s="89">
        <f t="shared" si="78"/>
        <v>286.591308165057</v>
      </c>
      <c r="X183" s="90">
        <f t="shared" si="85"/>
        <v>4.05655838454785</v>
      </c>
      <c r="Y183" s="90"/>
      <c r="Z183" s="90"/>
      <c r="AA183" s="90">
        <f t="shared" si="81"/>
        <v>4.05655838454785</v>
      </c>
      <c r="AB183" s="107">
        <v>7.19</v>
      </c>
      <c r="AC183" s="67">
        <f t="shared" si="82"/>
        <v>29.166654784899</v>
      </c>
      <c r="AD183" s="67">
        <f t="shared" si="80"/>
        <v>315.757962949956</v>
      </c>
      <c r="AE183" s="67">
        <f t="shared" si="83"/>
        <v>146.242037050044</v>
      </c>
    </row>
    <row r="184" customFormat="1" spans="1:31">
      <c r="A184" s="18"/>
      <c r="B184" s="19"/>
      <c r="C184" s="20">
        <v>240127000016</v>
      </c>
      <c r="D184" s="21">
        <v>45327</v>
      </c>
      <c r="E184" s="21" t="s">
        <v>76</v>
      </c>
      <c r="F184" s="19" t="s">
        <v>77</v>
      </c>
      <c r="G184" s="19" t="s">
        <v>207</v>
      </c>
      <c r="H184" s="19">
        <v>3</v>
      </c>
      <c r="I184" s="44">
        <v>168</v>
      </c>
      <c r="J184" s="45"/>
      <c r="K184" s="46"/>
      <c r="L184" s="45"/>
      <c r="M184" s="47"/>
      <c r="N184" s="48"/>
      <c r="O184" s="49">
        <f t="shared" si="91"/>
        <v>168</v>
      </c>
      <c r="P184" s="51"/>
      <c r="Q184" s="51"/>
      <c r="R184" s="67">
        <f t="shared" si="84"/>
        <v>104.824846356453</v>
      </c>
      <c r="S184" s="67"/>
      <c r="T184" s="67">
        <v>0</v>
      </c>
      <c r="U184" s="67"/>
      <c r="V184" s="67"/>
      <c r="W184" s="89">
        <f t="shared" si="78"/>
        <v>104.824846356453</v>
      </c>
      <c r="X184" s="90">
        <f t="shared" si="85"/>
        <v>1.73852502194908</v>
      </c>
      <c r="Y184" s="90"/>
      <c r="Z184" s="90"/>
      <c r="AA184" s="90">
        <f t="shared" si="81"/>
        <v>1.73852502194908</v>
      </c>
      <c r="AB184" s="107">
        <v>7.19</v>
      </c>
      <c r="AC184" s="67">
        <f t="shared" si="82"/>
        <v>12.4999949078139</v>
      </c>
      <c r="AD184" s="67">
        <f t="shared" si="80"/>
        <v>117.324841264267</v>
      </c>
      <c r="AE184" s="67">
        <f t="shared" si="83"/>
        <v>50.6751587357331</v>
      </c>
    </row>
    <row r="185" customFormat="1" spans="1:31">
      <c r="A185" s="18"/>
      <c r="B185" s="19"/>
      <c r="C185" s="20">
        <v>240127000018</v>
      </c>
      <c r="D185" s="21">
        <v>45327</v>
      </c>
      <c r="E185" s="21" t="s">
        <v>76</v>
      </c>
      <c r="F185" s="19" t="s">
        <v>77</v>
      </c>
      <c r="G185" s="19" t="s">
        <v>138</v>
      </c>
      <c r="H185" s="19">
        <v>14.5</v>
      </c>
      <c r="I185" s="49"/>
      <c r="J185" s="65">
        <v>227275.9</v>
      </c>
      <c r="K185" s="117"/>
      <c r="L185" s="61">
        <f>SUM(J185/M185)</f>
        <v>1567.42</v>
      </c>
      <c r="M185" s="62">
        <v>145</v>
      </c>
      <c r="N185" s="48">
        <v>7.19</v>
      </c>
      <c r="O185" s="49">
        <f t="shared" si="90"/>
        <v>1042.55</v>
      </c>
      <c r="P185" s="51"/>
      <c r="Q185" s="51"/>
      <c r="R185" s="67">
        <f t="shared" si="84"/>
        <v>506.65342405619</v>
      </c>
      <c r="S185" s="67"/>
      <c r="T185" s="67">
        <v>0</v>
      </c>
      <c r="U185" s="67"/>
      <c r="V185" s="67"/>
      <c r="W185" s="89">
        <f t="shared" si="78"/>
        <v>506.65342405619</v>
      </c>
      <c r="X185" s="90">
        <f t="shared" si="85"/>
        <v>8.40287093942054</v>
      </c>
      <c r="Y185" s="90"/>
      <c r="Z185" s="90"/>
      <c r="AA185" s="90">
        <f t="shared" si="81"/>
        <v>8.40287093942054</v>
      </c>
      <c r="AB185" s="107">
        <v>7.19</v>
      </c>
      <c r="AC185" s="67">
        <f t="shared" si="82"/>
        <v>60.4166420544337</v>
      </c>
      <c r="AD185" s="67">
        <f t="shared" si="80"/>
        <v>567.070066110623</v>
      </c>
      <c r="AE185" s="67">
        <f t="shared" si="83"/>
        <v>475.479933889377</v>
      </c>
    </row>
    <row r="186" customFormat="1" spans="1:31">
      <c r="A186" s="18"/>
      <c r="B186" s="19"/>
      <c r="C186" s="20">
        <v>240127000022</v>
      </c>
      <c r="D186" s="21">
        <v>45327</v>
      </c>
      <c r="E186" s="21" t="s">
        <v>44</v>
      </c>
      <c r="F186" s="19" t="s">
        <v>44</v>
      </c>
      <c r="G186" s="19" t="s">
        <v>95</v>
      </c>
      <c r="H186" s="19">
        <v>14.5</v>
      </c>
      <c r="I186" s="44">
        <v>780.8</v>
      </c>
      <c r="J186" s="45"/>
      <c r="K186" s="46"/>
      <c r="L186" s="45"/>
      <c r="M186" s="47"/>
      <c r="N186" s="48"/>
      <c r="O186" s="49">
        <f t="shared" si="91"/>
        <v>780.8</v>
      </c>
      <c r="P186" s="51"/>
      <c r="Q186" s="51"/>
      <c r="R186" s="67">
        <f t="shared" si="84"/>
        <v>506.65342405619</v>
      </c>
      <c r="S186" s="67"/>
      <c r="T186" s="67">
        <v>0</v>
      </c>
      <c r="U186" s="67"/>
      <c r="V186" s="67"/>
      <c r="W186" s="89">
        <f t="shared" si="78"/>
        <v>506.65342405619</v>
      </c>
      <c r="X186" s="90">
        <f t="shared" si="85"/>
        <v>8.40287093942054</v>
      </c>
      <c r="Y186" s="90"/>
      <c r="Z186" s="90"/>
      <c r="AA186" s="90">
        <f t="shared" si="81"/>
        <v>8.40287093942054</v>
      </c>
      <c r="AB186" s="107">
        <v>7.19</v>
      </c>
      <c r="AC186" s="67">
        <f t="shared" si="82"/>
        <v>60.4166420544337</v>
      </c>
      <c r="AD186" s="67">
        <f t="shared" si="80"/>
        <v>567.070066110623</v>
      </c>
      <c r="AE186" s="67">
        <f t="shared" si="83"/>
        <v>213.729933889377</v>
      </c>
    </row>
    <row r="187" customFormat="1" spans="1:31">
      <c r="A187" s="18"/>
      <c r="B187" s="19"/>
      <c r="C187" s="20">
        <v>240129000003</v>
      </c>
      <c r="D187" s="21">
        <v>45327</v>
      </c>
      <c r="E187" s="21" t="s">
        <v>62</v>
      </c>
      <c r="F187" s="19" t="s">
        <v>63</v>
      </c>
      <c r="G187" s="19" t="s">
        <v>208</v>
      </c>
      <c r="H187" s="19">
        <v>4</v>
      </c>
      <c r="I187" s="53"/>
      <c r="J187" s="61">
        <v>48420</v>
      </c>
      <c r="K187" s="64"/>
      <c r="L187" s="61">
        <f t="shared" ref="L187:L192" si="92">SUM(J187/M187)</f>
        <v>1561.43179619478</v>
      </c>
      <c r="M187" s="62">
        <v>31.01</v>
      </c>
      <c r="N187" s="48">
        <v>7.19</v>
      </c>
      <c r="O187" s="49">
        <f t="shared" si="90"/>
        <v>222.9619</v>
      </c>
      <c r="P187" s="51"/>
      <c r="Q187" s="51"/>
      <c r="R187" s="67">
        <f t="shared" si="84"/>
        <v>139.766461808604</v>
      </c>
      <c r="S187" s="67"/>
      <c r="T187" s="67">
        <v>0</v>
      </c>
      <c r="U187" s="67"/>
      <c r="V187" s="67"/>
      <c r="W187" s="89">
        <f t="shared" si="78"/>
        <v>139.766461808604</v>
      </c>
      <c r="X187" s="90">
        <f t="shared" si="85"/>
        <v>2.31803336259877</v>
      </c>
      <c r="Y187" s="90"/>
      <c r="Z187" s="90"/>
      <c r="AA187" s="90">
        <f t="shared" si="81"/>
        <v>2.31803336259877</v>
      </c>
      <c r="AB187" s="107">
        <v>7.19</v>
      </c>
      <c r="AC187" s="67">
        <f t="shared" si="82"/>
        <v>16.6666598770852</v>
      </c>
      <c r="AD187" s="67">
        <f t="shared" si="80"/>
        <v>156.433121685689</v>
      </c>
      <c r="AE187" s="67">
        <f t="shared" si="83"/>
        <v>66.5287783143108</v>
      </c>
    </row>
    <row r="188" customFormat="1" spans="1:31">
      <c r="A188" s="18"/>
      <c r="B188" s="19"/>
      <c r="C188" s="20">
        <v>240129000008</v>
      </c>
      <c r="D188" s="21">
        <v>45327</v>
      </c>
      <c r="E188" s="21" t="s">
        <v>76</v>
      </c>
      <c r="F188" s="19" t="s">
        <v>77</v>
      </c>
      <c r="G188" s="19" t="s">
        <v>183</v>
      </c>
      <c r="H188" s="19">
        <v>1.5</v>
      </c>
      <c r="I188" s="49"/>
      <c r="J188" s="65">
        <v>18105</v>
      </c>
      <c r="K188" s="66"/>
      <c r="L188" s="61">
        <f t="shared" si="92"/>
        <v>1515.06263472279</v>
      </c>
      <c r="M188" s="62">
        <v>11.950001</v>
      </c>
      <c r="N188" s="48">
        <v>7.19</v>
      </c>
      <c r="O188" s="49">
        <f t="shared" si="90"/>
        <v>85.92050719</v>
      </c>
      <c r="P188" s="51"/>
      <c r="Q188" s="51"/>
      <c r="R188" s="67">
        <f t="shared" si="84"/>
        <v>52.4124231782265</v>
      </c>
      <c r="S188" s="67"/>
      <c r="T188" s="67">
        <v>0</v>
      </c>
      <c r="U188" s="67"/>
      <c r="V188" s="67"/>
      <c r="W188" s="89">
        <f t="shared" si="78"/>
        <v>52.4124231782265</v>
      </c>
      <c r="X188" s="90">
        <f t="shared" si="85"/>
        <v>0.869262510974539</v>
      </c>
      <c r="Y188" s="90"/>
      <c r="Z188" s="90"/>
      <c r="AA188" s="90">
        <f t="shared" si="81"/>
        <v>0.869262510974539</v>
      </c>
      <c r="AB188" s="107">
        <v>7.19</v>
      </c>
      <c r="AC188" s="67">
        <f t="shared" si="82"/>
        <v>6.24999745390694</v>
      </c>
      <c r="AD188" s="67">
        <f t="shared" si="80"/>
        <v>58.6624206321335</v>
      </c>
      <c r="AE188" s="67">
        <f t="shared" si="83"/>
        <v>27.2580865578665</v>
      </c>
    </row>
    <row r="189" customFormat="1" spans="1:31">
      <c r="A189" s="18"/>
      <c r="B189" s="19"/>
      <c r="C189" s="20">
        <v>240129000010</v>
      </c>
      <c r="D189" s="21">
        <v>45327</v>
      </c>
      <c r="E189" s="21" t="s">
        <v>76</v>
      </c>
      <c r="F189" s="19" t="s">
        <v>77</v>
      </c>
      <c r="G189" s="19" t="s">
        <v>183</v>
      </c>
      <c r="H189" s="19">
        <v>0.45</v>
      </c>
      <c r="I189" s="49"/>
      <c r="J189" s="65">
        <v>12354</v>
      </c>
      <c r="K189" s="66"/>
      <c r="L189" s="61">
        <f t="shared" si="92"/>
        <v>1525.18518518519</v>
      </c>
      <c r="M189" s="62">
        <v>8.1</v>
      </c>
      <c r="N189" s="48">
        <v>7.19</v>
      </c>
      <c r="O189" s="49">
        <f t="shared" si="90"/>
        <v>58.239</v>
      </c>
      <c r="P189" s="51"/>
      <c r="Q189" s="51"/>
      <c r="R189" s="67">
        <f t="shared" si="84"/>
        <v>15.723726953468</v>
      </c>
      <c r="S189" s="67"/>
      <c r="T189" s="67">
        <v>0</v>
      </c>
      <c r="U189" s="67"/>
      <c r="V189" s="67"/>
      <c r="W189" s="89">
        <f t="shared" ref="W189:W219" si="93">SUM(R189:V189)</f>
        <v>15.723726953468</v>
      </c>
      <c r="X189" s="90">
        <f t="shared" si="85"/>
        <v>0.260778753292362</v>
      </c>
      <c r="Y189" s="90"/>
      <c r="Z189" s="90"/>
      <c r="AA189" s="90">
        <f t="shared" si="81"/>
        <v>0.260778753292362</v>
      </c>
      <c r="AB189" s="107">
        <v>7.19</v>
      </c>
      <c r="AC189" s="67">
        <f t="shared" si="82"/>
        <v>1.87499923617208</v>
      </c>
      <c r="AD189" s="67">
        <f t="shared" si="80"/>
        <v>17.59872618964</v>
      </c>
      <c r="AE189" s="67">
        <f t="shared" si="83"/>
        <v>40.64027381036</v>
      </c>
    </row>
    <row r="190" customFormat="1" spans="1:31">
      <c r="A190" s="18"/>
      <c r="B190" s="19"/>
      <c r="C190" s="20">
        <v>240129000012</v>
      </c>
      <c r="D190" s="21">
        <v>45327</v>
      </c>
      <c r="E190" s="21" t="s">
        <v>76</v>
      </c>
      <c r="F190" s="19" t="s">
        <v>77</v>
      </c>
      <c r="G190" s="19" t="s">
        <v>183</v>
      </c>
      <c r="H190" s="19">
        <v>6.5</v>
      </c>
      <c r="I190" s="49"/>
      <c r="J190" s="65">
        <v>72207</v>
      </c>
      <c r="K190" s="66"/>
      <c r="L190" s="61">
        <f t="shared" si="92"/>
        <v>1531.43160127253</v>
      </c>
      <c r="M190" s="62">
        <v>47.15</v>
      </c>
      <c r="N190" s="48">
        <v>7.19</v>
      </c>
      <c r="O190" s="49">
        <f t="shared" si="90"/>
        <v>339.0085</v>
      </c>
      <c r="P190" s="51"/>
      <c r="Q190" s="51"/>
      <c r="R190" s="67">
        <f t="shared" si="84"/>
        <v>227.120500438982</v>
      </c>
      <c r="S190" s="67"/>
      <c r="T190" s="67">
        <v>0</v>
      </c>
      <c r="U190" s="67"/>
      <c r="V190" s="67"/>
      <c r="W190" s="89">
        <f t="shared" si="93"/>
        <v>227.120500438982</v>
      </c>
      <c r="X190" s="90">
        <f t="shared" si="85"/>
        <v>3.766804214223</v>
      </c>
      <c r="Y190" s="90"/>
      <c r="Z190" s="90"/>
      <c r="AA190" s="90">
        <f t="shared" si="81"/>
        <v>3.766804214223</v>
      </c>
      <c r="AB190" s="107">
        <v>7.19</v>
      </c>
      <c r="AC190" s="67">
        <f t="shared" si="82"/>
        <v>27.0833223002634</v>
      </c>
      <c r="AD190" s="67">
        <f t="shared" ref="AD190:AD219" si="94">SUM(W190+AC190)</f>
        <v>254.203822739245</v>
      </c>
      <c r="AE190" s="67">
        <f t="shared" si="83"/>
        <v>84.8046772607551</v>
      </c>
    </row>
    <row r="191" customFormat="1" spans="1:31">
      <c r="A191" s="18"/>
      <c r="B191" s="19"/>
      <c r="C191" s="20">
        <v>240129000013</v>
      </c>
      <c r="D191" s="21">
        <v>45327</v>
      </c>
      <c r="E191" s="21" t="s">
        <v>62</v>
      </c>
      <c r="F191" s="19" t="s">
        <v>63</v>
      </c>
      <c r="G191" s="19" t="s">
        <v>209</v>
      </c>
      <c r="H191" s="19">
        <v>0.8</v>
      </c>
      <c r="I191" s="49"/>
      <c r="J191" s="68"/>
      <c r="K191" s="69">
        <v>8.1</v>
      </c>
      <c r="L191" s="61"/>
      <c r="M191" s="62">
        <v>8.1</v>
      </c>
      <c r="N191" s="48">
        <v>7.19</v>
      </c>
      <c r="O191" s="49">
        <f t="shared" si="90"/>
        <v>58.239</v>
      </c>
      <c r="P191" s="51"/>
      <c r="Q191" s="51"/>
      <c r="R191" s="67">
        <f t="shared" si="84"/>
        <v>27.9532923617208</v>
      </c>
      <c r="S191" s="67"/>
      <c r="T191" s="67">
        <v>0</v>
      </c>
      <c r="U191" s="67"/>
      <c r="V191" s="67"/>
      <c r="W191" s="89">
        <f t="shared" si="93"/>
        <v>27.9532923617208</v>
      </c>
      <c r="X191" s="90">
        <f t="shared" si="85"/>
        <v>0.463606672519754</v>
      </c>
      <c r="Y191" s="90"/>
      <c r="Z191" s="90"/>
      <c r="AA191" s="90">
        <f t="shared" ref="AA191:AA219" si="95">SUM(X191:Z191)</f>
        <v>0.463606672519754</v>
      </c>
      <c r="AB191" s="107">
        <v>7.19</v>
      </c>
      <c r="AC191" s="67">
        <f t="shared" ref="AC191:AC219" si="96">SUM(AA191*AB191)</f>
        <v>3.33333197541703</v>
      </c>
      <c r="AD191" s="67">
        <f t="shared" si="94"/>
        <v>31.2866243371378</v>
      </c>
      <c r="AE191" s="67">
        <f t="shared" ref="AE191:AE219" si="97">SUM(O191-AD191)</f>
        <v>26.9523756628622</v>
      </c>
    </row>
    <row r="192" customFormat="1" spans="1:31">
      <c r="A192" s="18"/>
      <c r="B192" s="19"/>
      <c r="C192" s="20">
        <v>240129000014</v>
      </c>
      <c r="D192" s="21">
        <v>45327</v>
      </c>
      <c r="E192" s="21" t="s">
        <v>76</v>
      </c>
      <c r="F192" s="19" t="s">
        <v>77</v>
      </c>
      <c r="G192" s="19" t="s">
        <v>183</v>
      </c>
      <c r="H192" s="19">
        <v>6.5</v>
      </c>
      <c r="I192" s="49"/>
      <c r="J192" s="65">
        <v>72207</v>
      </c>
      <c r="K192" s="66"/>
      <c r="L192" s="61">
        <f t="shared" si="92"/>
        <v>1531.43160127253</v>
      </c>
      <c r="M192" s="62">
        <v>47.15</v>
      </c>
      <c r="N192" s="48">
        <v>7.19</v>
      </c>
      <c r="O192" s="49">
        <f t="shared" si="90"/>
        <v>339.0085</v>
      </c>
      <c r="P192" s="51"/>
      <c r="Q192" s="51"/>
      <c r="R192" s="67">
        <f t="shared" ref="R192:R219" si="98">SUM(39798.5/1139)*H192</f>
        <v>227.120500438982</v>
      </c>
      <c r="S192" s="67"/>
      <c r="T192" s="67">
        <v>0</v>
      </c>
      <c r="U192" s="67"/>
      <c r="V192" s="67"/>
      <c r="W192" s="89">
        <f t="shared" si="93"/>
        <v>227.120500438982</v>
      </c>
      <c r="X192" s="90">
        <f t="shared" ref="X192:X219" si="99">SUM(660.06/1139)*H192</f>
        <v>3.766804214223</v>
      </c>
      <c r="Y192" s="90"/>
      <c r="Z192" s="90"/>
      <c r="AA192" s="90">
        <f t="shared" si="95"/>
        <v>3.766804214223</v>
      </c>
      <c r="AB192" s="107">
        <v>7.19</v>
      </c>
      <c r="AC192" s="67">
        <f t="shared" si="96"/>
        <v>27.0833223002634</v>
      </c>
      <c r="AD192" s="67">
        <f t="shared" si="94"/>
        <v>254.203822739245</v>
      </c>
      <c r="AE192" s="67">
        <f t="shared" si="97"/>
        <v>84.8046772607551</v>
      </c>
    </row>
    <row r="193" customFormat="1" spans="1:31">
      <c r="A193" s="18"/>
      <c r="B193" s="19"/>
      <c r="C193" s="20">
        <v>240129000017</v>
      </c>
      <c r="D193" s="21">
        <v>45327</v>
      </c>
      <c r="E193" s="21" t="s">
        <v>76</v>
      </c>
      <c r="F193" s="19" t="s">
        <v>77</v>
      </c>
      <c r="G193" s="19" t="s">
        <v>196</v>
      </c>
      <c r="H193" s="19">
        <v>6</v>
      </c>
      <c r="I193" s="44">
        <v>318</v>
      </c>
      <c r="J193" s="45"/>
      <c r="K193" s="46"/>
      <c r="L193" s="45"/>
      <c r="M193" s="47"/>
      <c r="N193" s="48"/>
      <c r="O193" s="49">
        <f>SUM(I193)</f>
        <v>318</v>
      </c>
      <c r="P193" s="51"/>
      <c r="Q193" s="51"/>
      <c r="R193" s="67">
        <f t="shared" si="98"/>
        <v>209.649692712906</v>
      </c>
      <c r="S193" s="67"/>
      <c r="T193" s="67">
        <v>0</v>
      </c>
      <c r="U193" s="67"/>
      <c r="V193" s="67"/>
      <c r="W193" s="89">
        <f t="shared" si="93"/>
        <v>209.649692712906</v>
      </c>
      <c r="X193" s="90">
        <f t="shared" si="99"/>
        <v>3.47705004389816</v>
      </c>
      <c r="Y193" s="90"/>
      <c r="Z193" s="90"/>
      <c r="AA193" s="90">
        <f t="shared" si="95"/>
        <v>3.47705004389816</v>
      </c>
      <c r="AB193" s="107">
        <v>7.19</v>
      </c>
      <c r="AC193" s="67">
        <f t="shared" si="96"/>
        <v>24.9999898156277</v>
      </c>
      <c r="AD193" s="67">
        <f t="shared" si="94"/>
        <v>234.649682528534</v>
      </c>
      <c r="AE193" s="67">
        <f t="shared" si="97"/>
        <v>83.3503174714662</v>
      </c>
    </row>
    <row r="194" customFormat="1" spans="1:31">
      <c r="A194" s="18"/>
      <c r="B194" s="19"/>
      <c r="C194" s="20">
        <v>240129000019</v>
      </c>
      <c r="D194" s="21">
        <v>45327</v>
      </c>
      <c r="E194" s="21" t="s">
        <v>76</v>
      </c>
      <c r="F194" s="19" t="s">
        <v>77</v>
      </c>
      <c r="G194" s="19" t="s">
        <v>210</v>
      </c>
      <c r="H194" s="19">
        <v>14.5</v>
      </c>
      <c r="I194" s="49"/>
      <c r="J194" s="65">
        <v>183051</v>
      </c>
      <c r="K194" s="66"/>
      <c r="L194" s="61">
        <f>SUM(J194/M194)</f>
        <v>1365.84838083868</v>
      </c>
      <c r="M194" s="62">
        <v>134.02</v>
      </c>
      <c r="N194" s="48">
        <v>7.19</v>
      </c>
      <c r="O194" s="49">
        <f t="shared" ref="O194:O199" si="100">SUM(M194*N194)</f>
        <v>963.6038</v>
      </c>
      <c r="P194" s="51"/>
      <c r="Q194" s="51"/>
      <c r="R194" s="67">
        <f t="shared" si="98"/>
        <v>506.65342405619</v>
      </c>
      <c r="S194" s="67"/>
      <c r="T194" s="67">
        <v>0</v>
      </c>
      <c r="U194" s="67"/>
      <c r="V194" s="91">
        <v>112</v>
      </c>
      <c r="W194" s="89">
        <f t="shared" si="93"/>
        <v>618.65342405619</v>
      </c>
      <c r="X194" s="90">
        <f t="shared" si="99"/>
        <v>8.40287093942054</v>
      </c>
      <c r="Y194" s="90"/>
      <c r="Z194" s="90"/>
      <c r="AA194" s="90">
        <f t="shared" si="95"/>
        <v>8.40287093942054</v>
      </c>
      <c r="AB194" s="107">
        <v>7.19</v>
      </c>
      <c r="AC194" s="67">
        <f t="shared" si="96"/>
        <v>60.4166420544337</v>
      </c>
      <c r="AD194" s="67">
        <f t="shared" si="94"/>
        <v>679.070066110623</v>
      </c>
      <c r="AE194" s="67">
        <f t="shared" si="97"/>
        <v>284.533733889377</v>
      </c>
    </row>
    <row r="195" customFormat="1" spans="1:31">
      <c r="A195" s="18"/>
      <c r="B195" s="19"/>
      <c r="C195" s="24">
        <v>240129000020</v>
      </c>
      <c r="D195" s="25">
        <v>45327</v>
      </c>
      <c r="E195" s="21" t="s">
        <v>41</v>
      </c>
      <c r="F195" s="26" t="s">
        <v>42</v>
      </c>
      <c r="G195" s="26" t="s">
        <v>190</v>
      </c>
      <c r="H195" s="26">
        <v>4</v>
      </c>
      <c r="I195" s="53"/>
      <c r="J195" s="61">
        <v>52245</v>
      </c>
      <c r="K195" s="55"/>
      <c r="L195" s="61">
        <f>SUM(J195/M195)</f>
        <v>1546.16750517905</v>
      </c>
      <c r="M195" s="118">
        <v>33.79</v>
      </c>
      <c r="N195" s="48">
        <v>7.19</v>
      </c>
      <c r="O195" s="49">
        <f t="shared" si="100"/>
        <v>242.9501</v>
      </c>
      <c r="P195" s="51"/>
      <c r="Q195" s="51"/>
      <c r="R195" s="67">
        <f t="shared" si="98"/>
        <v>139.766461808604</v>
      </c>
      <c r="S195" s="67"/>
      <c r="T195" s="67">
        <v>0</v>
      </c>
      <c r="U195" s="67"/>
      <c r="V195" s="67"/>
      <c r="W195" s="89">
        <f t="shared" si="93"/>
        <v>139.766461808604</v>
      </c>
      <c r="X195" s="90">
        <f t="shared" si="99"/>
        <v>2.31803336259877</v>
      </c>
      <c r="Y195" s="90"/>
      <c r="Z195" s="90"/>
      <c r="AA195" s="90">
        <f t="shared" si="95"/>
        <v>2.31803336259877</v>
      </c>
      <c r="AB195" s="107">
        <v>7.19</v>
      </c>
      <c r="AC195" s="67">
        <f t="shared" si="96"/>
        <v>16.6666598770852</v>
      </c>
      <c r="AD195" s="67">
        <f t="shared" si="94"/>
        <v>156.433121685689</v>
      </c>
      <c r="AE195" s="67">
        <f t="shared" si="97"/>
        <v>86.5169783143108</v>
      </c>
    </row>
    <row r="196" customFormat="1" spans="1:31">
      <c r="A196" s="18"/>
      <c r="B196" s="19"/>
      <c r="C196" s="20">
        <v>240129000023</v>
      </c>
      <c r="D196" s="21">
        <v>45327</v>
      </c>
      <c r="E196" s="21" t="s">
        <v>62</v>
      </c>
      <c r="F196" s="19" t="s">
        <v>63</v>
      </c>
      <c r="G196" s="19" t="s">
        <v>129</v>
      </c>
      <c r="H196" s="19">
        <v>4</v>
      </c>
      <c r="I196" s="44">
        <v>243</v>
      </c>
      <c r="J196" s="45"/>
      <c r="K196" s="46"/>
      <c r="L196" s="45"/>
      <c r="M196" s="47"/>
      <c r="N196" s="48"/>
      <c r="O196" s="49">
        <f>SUM(I196)</f>
        <v>243</v>
      </c>
      <c r="P196" s="51"/>
      <c r="Q196" s="51"/>
      <c r="R196" s="67">
        <f t="shared" si="98"/>
        <v>139.766461808604</v>
      </c>
      <c r="S196" s="67"/>
      <c r="T196" s="67">
        <v>0</v>
      </c>
      <c r="U196" s="67"/>
      <c r="V196" s="67"/>
      <c r="W196" s="89">
        <f t="shared" si="93"/>
        <v>139.766461808604</v>
      </c>
      <c r="X196" s="90">
        <f t="shared" si="99"/>
        <v>2.31803336259877</v>
      </c>
      <c r="Y196" s="90"/>
      <c r="Z196" s="90"/>
      <c r="AA196" s="90">
        <f t="shared" si="95"/>
        <v>2.31803336259877</v>
      </c>
      <c r="AB196" s="107">
        <v>7.19</v>
      </c>
      <c r="AC196" s="67">
        <f t="shared" si="96"/>
        <v>16.6666598770852</v>
      </c>
      <c r="AD196" s="67">
        <f t="shared" si="94"/>
        <v>156.433121685689</v>
      </c>
      <c r="AE196" s="67">
        <f t="shared" si="97"/>
        <v>86.5668783143108</v>
      </c>
    </row>
    <row r="197" customFormat="1" spans="1:31">
      <c r="A197" s="18"/>
      <c r="B197" s="19"/>
      <c r="C197" s="20">
        <v>240129000030</v>
      </c>
      <c r="D197" s="21">
        <v>45327</v>
      </c>
      <c r="E197" s="21" t="s">
        <v>41</v>
      </c>
      <c r="F197" s="19" t="s">
        <v>42</v>
      </c>
      <c r="G197" s="19" t="s">
        <v>211</v>
      </c>
      <c r="H197" s="19">
        <v>5</v>
      </c>
      <c r="I197" s="53"/>
      <c r="J197" s="61">
        <v>81485</v>
      </c>
      <c r="K197" s="55"/>
      <c r="L197" s="61">
        <f>SUM(J197/M197)</f>
        <v>1545.91159172832</v>
      </c>
      <c r="M197" s="62">
        <v>52.71</v>
      </c>
      <c r="N197" s="48">
        <v>7.19</v>
      </c>
      <c r="O197" s="49">
        <f t="shared" si="100"/>
        <v>378.9849</v>
      </c>
      <c r="P197" s="51"/>
      <c r="Q197" s="51"/>
      <c r="R197" s="67">
        <f t="shared" si="98"/>
        <v>174.708077260755</v>
      </c>
      <c r="S197" s="67"/>
      <c r="T197" s="67">
        <v>0</v>
      </c>
      <c r="U197" s="67"/>
      <c r="V197" s="91">
        <v>76</v>
      </c>
      <c r="W197" s="89">
        <f t="shared" si="93"/>
        <v>250.708077260755</v>
      </c>
      <c r="X197" s="90">
        <f t="shared" si="99"/>
        <v>2.89754170324846</v>
      </c>
      <c r="Y197" s="90"/>
      <c r="Z197" s="90"/>
      <c r="AA197" s="90">
        <f t="shared" si="95"/>
        <v>2.89754170324846</v>
      </c>
      <c r="AB197" s="107">
        <v>7.19</v>
      </c>
      <c r="AC197" s="67">
        <f t="shared" si="96"/>
        <v>20.8333248463565</v>
      </c>
      <c r="AD197" s="67">
        <f t="shared" si="94"/>
        <v>271.541402107112</v>
      </c>
      <c r="AE197" s="67">
        <f t="shared" si="97"/>
        <v>107.443497892888</v>
      </c>
    </row>
    <row r="198" customFormat="1" spans="1:31">
      <c r="A198" s="18"/>
      <c r="B198" s="19"/>
      <c r="C198" s="20">
        <v>240129000031</v>
      </c>
      <c r="D198" s="21">
        <v>45327</v>
      </c>
      <c r="E198" s="21" t="s">
        <v>62</v>
      </c>
      <c r="F198" s="19" t="s">
        <v>63</v>
      </c>
      <c r="G198" s="19" t="s">
        <v>212</v>
      </c>
      <c r="H198" s="19">
        <v>129.5</v>
      </c>
      <c r="I198" s="49"/>
      <c r="J198" s="65">
        <v>1560420</v>
      </c>
      <c r="K198" s="66"/>
      <c r="L198" s="61">
        <f>SUM(J198/M198)</f>
        <v>1800.00008305457</v>
      </c>
      <c r="M198" s="62">
        <v>866.89996</v>
      </c>
      <c r="N198" s="48">
        <v>7.19</v>
      </c>
      <c r="O198" s="49">
        <f t="shared" si="100"/>
        <v>6233.0107124</v>
      </c>
      <c r="P198" s="51"/>
      <c r="Q198" s="51"/>
      <c r="R198" s="67">
        <f t="shared" si="98"/>
        <v>4524.93920105356</v>
      </c>
      <c r="S198" s="67"/>
      <c r="T198" s="67">
        <v>0</v>
      </c>
      <c r="U198" s="67"/>
      <c r="V198" s="67"/>
      <c r="W198" s="89">
        <f t="shared" si="93"/>
        <v>4524.93920105356</v>
      </c>
      <c r="X198" s="90">
        <f t="shared" si="99"/>
        <v>75.0463301141352</v>
      </c>
      <c r="Y198" s="90"/>
      <c r="Z198" s="90"/>
      <c r="AA198" s="90">
        <f t="shared" si="95"/>
        <v>75.0463301141352</v>
      </c>
      <c r="AB198" s="107">
        <v>7.19</v>
      </c>
      <c r="AC198" s="67">
        <f t="shared" si="96"/>
        <v>539.583113520632</v>
      </c>
      <c r="AD198" s="67">
        <f t="shared" si="94"/>
        <v>5064.52231457419</v>
      </c>
      <c r="AE198" s="67">
        <f t="shared" si="97"/>
        <v>1168.48839782581</v>
      </c>
    </row>
    <row r="199" customFormat="1" spans="1:31">
      <c r="A199" s="18"/>
      <c r="B199" s="19"/>
      <c r="C199" s="20">
        <v>240129000033</v>
      </c>
      <c r="D199" s="21">
        <v>45327</v>
      </c>
      <c r="E199" s="21" t="s">
        <v>41</v>
      </c>
      <c r="F199" s="19" t="s">
        <v>42</v>
      </c>
      <c r="G199" s="19" t="s">
        <v>59</v>
      </c>
      <c r="H199" s="19">
        <v>2</v>
      </c>
      <c r="I199" s="53"/>
      <c r="J199" s="61">
        <v>21800</v>
      </c>
      <c r="K199" s="55"/>
      <c r="L199" s="61">
        <f>SUM(J199/M199)</f>
        <v>1568.34532374101</v>
      </c>
      <c r="M199" s="62">
        <v>13.9</v>
      </c>
      <c r="N199" s="48">
        <v>7.19</v>
      </c>
      <c r="O199" s="49">
        <f t="shared" si="100"/>
        <v>99.941</v>
      </c>
      <c r="P199" s="51"/>
      <c r="Q199" s="51"/>
      <c r="R199" s="67">
        <f t="shared" si="98"/>
        <v>69.883230904302</v>
      </c>
      <c r="S199" s="67"/>
      <c r="T199" s="67">
        <v>0</v>
      </c>
      <c r="U199" s="67"/>
      <c r="V199" s="67"/>
      <c r="W199" s="89">
        <f t="shared" si="93"/>
        <v>69.883230904302</v>
      </c>
      <c r="X199" s="90">
        <f t="shared" si="99"/>
        <v>1.15901668129939</v>
      </c>
      <c r="Y199" s="90"/>
      <c r="Z199" s="90"/>
      <c r="AA199" s="90">
        <f t="shared" si="95"/>
        <v>1.15901668129939</v>
      </c>
      <c r="AB199" s="107">
        <v>7.19</v>
      </c>
      <c r="AC199" s="67">
        <f t="shared" si="96"/>
        <v>8.33332993854258</v>
      </c>
      <c r="AD199" s="67">
        <f t="shared" si="94"/>
        <v>78.2165608428446</v>
      </c>
      <c r="AE199" s="67">
        <f t="shared" si="97"/>
        <v>21.7244391571554</v>
      </c>
    </row>
    <row r="200" customFormat="1" spans="1:31">
      <c r="A200" s="18"/>
      <c r="B200" s="19"/>
      <c r="C200" s="20">
        <v>240129000034</v>
      </c>
      <c r="D200" s="21">
        <v>45327</v>
      </c>
      <c r="E200" s="21" t="s">
        <v>37</v>
      </c>
      <c r="F200" s="19" t="s">
        <v>38</v>
      </c>
      <c r="G200" s="19" t="s">
        <v>127</v>
      </c>
      <c r="H200" s="19">
        <v>78.5</v>
      </c>
      <c r="I200" s="44">
        <v>3689.5</v>
      </c>
      <c r="J200" s="45"/>
      <c r="K200" s="46"/>
      <c r="L200" s="45"/>
      <c r="M200" s="47"/>
      <c r="N200" s="48"/>
      <c r="O200" s="49">
        <f t="shared" ref="O200:O206" si="101">SUM(I200)</f>
        <v>3689.5</v>
      </c>
      <c r="P200" s="51"/>
      <c r="Q200" s="51"/>
      <c r="R200" s="67">
        <f t="shared" si="98"/>
        <v>2742.91681299385</v>
      </c>
      <c r="S200" s="67"/>
      <c r="T200" s="67">
        <v>0</v>
      </c>
      <c r="U200" s="67"/>
      <c r="V200" s="67"/>
      <c r="W200" s="89">
        <f t="shared" si="93"/>
        <v>2742.91681299385</v>
      </c>
      <c r="X200" s="90">
        <f t="shared" si="99"/>
        <v>45.4914047410009</v>
      </c>
      <c r="Y200" s="90"/>
      <c r="Z200" s="90"/>
      <c r="AA200" s="90">
        <f t="shared" si="95"/>
        <v>45.4914047410009</v>
      </c>
      <c r="AB200" s="107">
        <v>7.19</v>
      </c>
      <c r="AC200" s="67">
        <f t="shared" si="96"/>
        <v>327.083200087796</v>
      </c>
      <c r="AD200" s="67">
        <f t="shared" si="94"/>
        <v>3070.00001308165</v>
      </c>
      <c r="AE200" s="67">
        <f t="shared" si="97"/>
        <v>619.499986918349</v>
      </c>
    </row>
    <row r="201" customFormat="1" spans="1:31">
      <c r="A201" s="18"/>
      <c r="B201" s="19"/>
      <c r="C201" s="20">
        <v>240129000035</v>
      </c>
      <c r="D201" s="21">
        <v>45327</v>
      </c>
      <c r="E201" s="21" t="s">
        <v>41</v>
      </c>
      <c r="F201" s="19" t="s">
        <v>42</v>
      </c>
      <c r="G201" s="19" t="s">
        <v>59</v>
      </c>
      <c r="H201" s="19">
        <v>14</v>
      </c>
      <c r="I201" s="53"/>
      <c r="J201" s="61">
        <v>152600</v>
      </c>
      <c r="K201" s="55"/>
      <c r="L201" s="61">
        <f>SUM(J201/M201)</f>
        <v>1567.53980482794</v>
      </c>
      <c r="M201" s="62">
        <v>97.35</v>
      </c>
      <c r="N201" s="48">
        <v>7.19</v>
      </c>
      <c r="O201" s="49">
        <f t="shared" ref="O201:O204" si="102">SUM(M201*N201)</f>
        <v>699.9465</v>
      </c>
      <c r="P201" s="51"/>
      <c r="Q201" s="51"/>
      <c r="R201" s="67">
        <f t="shared" si="98"/>
        <v>489.182616330114</v>
      </c>
      <c r="S201" s="67"/>
      <c r="T201" s="67">
        <v>0</v>
      </c>
      <c r="U201" s="67"/>
      <c r="V201" s="67"/>
      <c r="W201" s="89">
        <f t="shared" si="93"/>
        <v>489.182616330114</v>
      </c>
      <c r="X201" s="90">
        <f t="shared" si="99"/>
        <v>8.1131167690957</v>
      </c>
      <c r="Y201" s="90"/>
      <c r="Z201" s="90"/>
      <c r="AA201" s="90">
        <f t="shared" si="95"/>
        <v>8.1131167690957</v>
      </c>
      <c r="AB201" s="107">
        <v>7.19</v>
      </c>
      <c r="AC201" s="67">
        <f t="shared" si="96"/>
        <v>58.3333095697981</v>
      </c>
      <c r="AD201" s="67">
        <f t="shared" si="94"/>
        <v>547.515925899912</v>
      </c>
      <c r="AE201" s="67">
        <f t="shared" si="97"/>
        <v>152.430574100088</v>
      </c>
    </row>
    <row r="202" customFormat="1" spans="1:31">
      <c r="A202" s="18"/>
      <c r="B202" s="19"/>
      <c r="C202" s="20">
        <v>240129000038</v>
      </c>
      <c r="D202" s="21">
        <v>45327</v>
      </c>
      <c r="E202" s="21" t="s">
        <v>56</v>
      </c>
      <c r="F202" s="19" t="s">
        <v>114</v>
      </c>
      <c r="G202" s="19" t="s">
        <v>58</v>
      </c>
      <c r="H202" s="19">
        <v>14.5</v>
      </c>
      <c r="I202" s="44">
        <v>760</v>
      </c>
      <c r="J202" s="45"/>
      <c r="K202" s="46"/>
      <c r="L202" s="45"/>
      <c r="M202" s="47"/>
      <c r="N202" s="48"/>
      <c r="O202" s="49">
        <f t="shared" si="101"/>
        <v>760</v>
      </c>
      <c r="P202" s="51"/>
      <c r="Q202" s="51"/>
      <c r="R202" s="67">
        <f t="shared" si="98"/>
        <v>506.65342405619</v>
      </c>
      <c r="S202" s="67"/>
      <c r="T202" s="67">
        <v>0</v>
      </c>
      <c r="U202" s="67"/>
      <c r="V202" s="67"/>
      <c r="W202" s="89">
        <f t="shared" si="93"/>
        <v>506.65342405619</v>
      </c>
      <c r="X202" s="90">
        <f t="shared" si="99"/>
        <v>8.40287093942054</v>
      </c>
      <c r="Y202" s="90"/>
      <c r="Z202" s="90"/>
      <c r="AA202" s="90">
        <f t="shared" si="95"/>
        <v>8.40287093942054</v>
      </c>
      <c r="AB202" s="107">
        <v>7.19</v>
      </c>
      <c r="AC202" s="67">
        <f t="shared" si="96"/>
        <v>60.4166420544337</v>
      </c>
      <c r="AD202" s="67">
        <f t="shared" si="94"/>
        <v>567.070066110623</v>
      </c>
      <c r="AE202" s="67">
        <f t="shared" si="97"/>
        <v>192.929933889377</v>
      </c>
    </row>
    <row r="203" customFormat="1" spans="1:31">
      <c r="A203" s="18"/>
      <c r="B203" s="19"/>
      <c r="C203" s="20">
        <v>240129000041</v>
      </c>
      <c r="D203" s="21">
        <v>45327</v>
      </c>
      <c r="E203" s="21" t="s">
        <v>76</v>
      </c>
      <c r="F203" s="19" t="s">
        <v>77</v>
      </c>
      <c r="G203" s="19" t="s">
        <v>183</v>
      </c>
      <c r="H203" s="19">
        <v>0.34</v>
      </c>
      <c r="I203" s="49"/>
      <c r="J203" s="65">
        <v>12354</v>
      </c>
      <c r="K203" s="66"/>
      <c r="L203" s="61">
        <f>SUM(J203/M203)</f>
        <v>1525.18518518519</v>
      </c>
      <c r="M203" s="62">
        <v>8.1</v>
      </c>
      <c r="N203" s="48">
        <v>7.19</v>
      </c>
      <c r="O203" s="49">
        <f t="shared" si="102"/>
        <v>58.239</v>
      </c>
      <c r="P203" s="51"/>
      <c r="Q203" s="51"/>
      <c r="R203" s="67">
        <f t="shared" si="98"/>
        <v>11.8801492537313</v>
      </c>
      <c r="S203" s="67"/>
      <c r="T203" s="67">
        <v>0</v>
      </c>
      <c r="U203" s="67"/>
      <c r="V203" s="67"/>
      <c r="W203" s="89">
        <f t="shared" si="93"/>
        <v>11.8801492537313</v>
      </c>
      <c r="X203" s="90">
        <f t="shared" si="99"/>
        <v>0.197032835820896</v>
      </c>
      <c r="Y203" s="90"/>
      <c r="Z203" s="90"/>
      <c r="AA203" s="90">
        <f t="shared" si="95"/>
        <v>0.197032835820896</v>
      </c>
      <c r="AB203" s="107">
        <v>7.19</v>
      </c>
      <c r="AC203" s="67">
        <f t="shared" si="96"/>
        <v>1.41666608955224</v>
      </c>
      <c r="AD203" s="67">
        <f t="shared" si="94"/>
        <v>13.2968153432836</v>
      </c>
      <c r="AE203" s="67">
        <f t="shared" si="97"/>
        <v>44.9421846567164</v>
      </c>
    </row>
    <row r="204" customFormat="1" spans="1:31">
      <c r="A204" s="18"/>
      <c r="B204" s="19"/>
      <c r="C204" s="20">
        <v>240129000042</v>
      </c>
      <c r="D204" s="21">
        <v>45327</v>
      </c>
      <c r="E204" s="21" t="s">
        <v>62</v>
      </c>
      <c r="F204" s="19" t="s">
        <v>63</v>
      </c>
      <c r="G204" s="19" t="s">
        <v>212</v>
      </c>
      <c r="H204" s="19">
        <v>31</v>
      </c>
      <c r="I204" s="49"/>
      <c r="J204" s="61">
        <v>361000</v>
      </c>
      <c r="K204" s="55"/>
      <c r="L204" s="61">
        <f>SUM(J204/M204)</f>
        <v>1797.36121483694</v>
      </c>
      <c r="M204" s="62">
        <v>200.85</v>
      </c>
      <c r="N204" s="48">
        <v>7.19</v>
      </c>
      <c r="O204" s="49">
        <f t="shared" si="102"/>
        <v>1444.1115</v>
      </c>
      <c r="P204" s="51"/>
      <c r="Q204" s="51"/>
      <c r="R204" s="67">
        <f t="shared" si="98"/>
        <v>1083.19007901668</v>
      </c>
      <c r="S204" s="67"/>
      <c r="T204" s="67">
        <v>0</v>
      </c>
      <c r="U204" s="67"/>
      <c r="V204" s="67"/>
      <c r="W204" s="89">
        <f t="shared" si="93"/>
        <v>1083.19007901668</v>
      </c>
      <c r="X204" s="90">
        <f t="shared" si="99"/>
        <v>17.9647585601405</v>
      </c>
      <c r="Y204" s="90"/>
      <c r="Z204" s="90"/>
      <c r="AA204" s="90">
        <f t="shared" si="95"/>
        <v>17.9647585601405</v>
      </c>
      <c r="AB204" s="107">
        <v>7.19</v>
      </c>
      <c r="AC204" s="67">
        <f t="shared" si="96"/>
        <v>129.16661404741</v>
      </c>
      <c r="AD204" s="67">
        <f t="shared" si="94"/>
        <v>1212.35669306409</v>
      </c>
      <c r="AE204" s="67">
        <f t="shared" si="97"/>
        <v>231.754806935909</v>
      </c>
    </row>
    <row r="205" customFormat="1" spans="1:31">
      <c r="A205" s="18"/>
      <c r="B205" s="19"/>
      <c r="C205" s="20">
        <v>240129000047</v>
      </c>
      <c r="D205" s="21">
        <v>45327</v>
      </c>
      <c r="E205" s="21" t="s">
        <v>41</v>
      </c>
      <c r="F205" s="19" t="s">
        <v>42</v>
      </c>
      <c r="G205" s="19" t="s">
        <v>213</v>
      </c>
      <c r="H205" s="19">
        <v>1.5</v>
      </c>
      <c r="I205" s="44">
        <v>93</v>
      </c>
      <c r="J205" s="45"/>
      <c r="K205" s="46"/>
      <c r="L205" s="45"/>
      <c r="M205" s="47"/>
      <c r="N205" s="48"/>
      <c r="O205" s="49">
        <f t="shared" si="101"/>
        <v>93</v>
      </c>
      <c r="P205" s="51"/>
      <c r="Q205" s="51"/>
      <c r="R205" s="67">
        <f t="shared" si="98"/>
        <v>52.4124231782265</v>
      </c>
      <c r="S205" s="67"/>
      <c r="T205" s="67">
        <v>0</v>
      </c>
      <c r="U205" s="67"/>
      <c r="V205" s="67"/>
      <c r="W205" s="89">
        <f t="shared" si="93"/>
        <v>52.4124231782265</v>
      </c>
      <c r="X205" s="90">
        <f t="shared" si="99"/>
        <v>0.869262510974539</v>
      </c>
      <c r="Y205" s="90"/>
      <c r="Z205" s="90"/>
      <c r="AA205" s="90">
        <f t="shared" si="95"/>
        <v>0.869262510974539</v>
      </c>
      <c r="AB205" s="107">
        <v>7.19</v>
      </c>
      <c r="AC205" s="67">
        <f t="shared" si="96"/>
        <v>6.24999745390694</v>
      </c>
      <c r="AD205" s="67">
        <f t="shared" si="94"/>
        <v>58.6624206321335</v>
      </c>
      <c r="AE205" s="67">
        <f t="shared" si="97"/>
        <v>34.3375793678665</v>
      </c>
    </row>
    <row r="206" customFormat="1" spans="1:31">
      <c r="A206" s="18"/>
      <c r="B206" s="19"/>
      <c r="C206" s="20">
        <v>240129000055</v>
      </c>
      <c r="D206" s="21">
        <v>45327</v>
      </c>
      <c r="E206" s="21" t="s">
        <v>37</v>
      </c>
      <c r="F206" s="19" t="s">
        <v>38</v>
      </c>
      <c r="G206" s="19" t="s">
        <v>214</v>
      </c>
      <c r="H206" s="19">
        <v>2.5</v>
      </c>
      <c r="I206" s="44">
        <v>153</v>
      </c>
      <c r="J206" s="45"/>
      <c r="K206" s="46"/>
      <c r="L206" s="45"/>
      <c r="M206" s="47"/>
      <c r="N206" s="48"/>
      <c r="O206" s="49">
        <f t="shared" si="101"/>
        <v>153</v>
      </c>
      <c r="P206" s="51"/>
      <c r="Q206" s="51"/>
      <c r="R206" s="67">
        <f t="shared" si="98"/>
        <v>87.3540386303775</v>
      </c>
      <c r="S206" s="67"/>
      <c r="T206" s="67">
        <v>0</v>
      </c>
      <c r="U206" s="67"/>
      <c r="V206" s="67"/>
      <c r="W206" s="89">
        <f t="shared" si="93"/>
        <v>87.3540386303775</v>
      </c>
      <c r="X206" s="90">
        <f t="shared" si="99"/>
        <v>1.44877085162423</v>
      </c>
      <c r="Y206" s="90"/>
      <c r="Z206" s="90"/>
      <c r="AA206" s="90">
        <f t="shared" si="95"/>
        <v>1.44877085162423</v>
      </c>
      <c r="AB206" s="107">
        <v>7.19</v>
      </c>
      <c r="AC206" s="67">
        <f t="shared" si="96"/>
        <v>10.4166624231782</v>
      </c>
      <c r="AD206" s="67">
        <f t="shared" si="94"/>
        <v>97.7707010535558</v>
      </c>
      <c r="AE206" s="67">
        <f t="shared" si="97"/>
        <v>55.2292989464442</v>
      </c>
    </row>
    <row r="207" customFormat="1" spans="1:31">
      <c r="A207" s="18"/>
      <c r="B207" s="19"/>
      <c r="C207" s="20">
        <v>240129000059</v>
      </c>
      <c r="D207" s="21">
        <v>45327</v>
      </c>
      <c r="E207" s="21" t="s">
        <v>37</v>
      </c>
      <c r="F207" s="19" t="s">
        <v>38</v>
      </c>
      <c r="G207" s="19" t="s">
        <v>215</v>
      </c>
      <c r="H207" s="19">
        <v>27.5</v>
      </c>
      <c r="I207" s="53"/>
      <c r="J207" s="61">
        <v>290430</v>
      </c>
      <c r="K207" s="55"/>
      <c r="L207" s="61">
        <f>SUM(J207/M207)</f>
        <v>1509.90382115934</v>
      </c>
      <c r="M207" s="62">
        <v>192.35</v>
      </c>
      <c r="N207" s="48">
        <v>7.19</v>
      </c>
      <c r="O207" s="49">
        <f t="shared" ref="O207:O211" si="103">SUM(M207*N207)</f>
        <v>1382.9965</v>
      </c>
      <c r="P207" s="51"/>
      <c r="Q207" s="51"/>
      <c r="R207" s="67">
        <f t="shared" si="98"/>
        <v>960.894424934153</v>
      </c>
      <c r="S207" s="67"/>
      <c r="T207" s="67">
        <v>0</v>
      </c>
      <c r="U207" s="67"/>
      <c r="V207" s="67"/>
      <c r="W207" s="89">
        <f t="shared" si="93"/>
        <v>960.894424934153</v>
      </c>
      <c r="X207" s="90">
        <f t="shared" si="99"/>
        <v>15.9364793678665</v>
      </c>
      <c r="Y207" s="90"/>
      <c r="Z207" s="90"/>
      <c r="AA207" s="90">
        <f t="shared" si="95"/>
        <v>15.9364793678665</v>
      </c>
      <c r="AB207" s="107">
        <v>7.19</v>
      </c>
      <c r="AC207" s="67">
        <f t="shared" si="96"/>
        <v>114.583286654961</v>
      </c>
      <c r="AD207" s="67">
        <f t="shared" si="94"/>
        <v>1075.47771158911</v>
      </c>
      <c r="AE207" s="67">
        <f t="shared" si="97"/>
        <v>307.518788410887</v>
      </c>
    </row>
    <row r="208" customFormat="1" spans="1:31">
      <c r="A208" s="18"/>
      <c r="B208" s="19"/>
      <c r="C208" s="20">
        <v>240129000060</v>
      </c>
      <c r="D208" s="21">
        <v>45327</v>
      </c>
      <c r="E208" s="21" t="s">
        <v>76</v>
      </c>
      <c r="F208" s="19" t="s">
        <v>77</v>
      </c>
      <c r="G208" s="19" t="s">
        <v>183</v>
      </c>
      <c r="H208" s="19">
        <v>0.3</v>
      </c>
      <c r="I208" s="49"/>
      <c r="J208" s="65">
        <v>12354</v>
      </c>
      <c r="K208" s="66"/>
      <c r="L208" s="61">
        <f>SUM(J208/M208)</f>
        <v>1525.18518518519</v>
      </c>
      <c r="M208" s="62">
        <v>8.1</v>
      </c>
      <c r="N208" s="48">
        <v>7.19</v>
      </c>
      <c r="O208" s="49">
        <f t="shared" si="103"/>
        <v>58.239</v>
      </c>
      <c r="P208" s="51"/>
      <c r="Q208" s="51"/>
      <c r="R208" s="67">
        <f t="shared" si="98"/>
        <v>10.4824846356453</v>
      </c>
      <c r="S208" s="67"/>
      <c r="T208" s="67">
        <v>0</v>
      </c>
      <c r="U208" s="67"/>
      <c r="V208" s="67"/>
      <c r="W208" s="89">
        <f t="shared" si="93"/>
        <v>10.4824846356453</v>
      </c>
      <c r="X208" s="90">
        <f t="shared" si="99"/>
        <v>0.173852502194908</v>
      </c>
      <c r="Y208" s="90"/>
      <c r="Z208" s="90"/>
      <c r="AA208" s="90">
        <f t="shared" si="95"/>
        <v>0.173852502194908</v>
      </c>
      <c r="AB208" s="107">
        <v>7.19</v>
      </c>
      <c r="AC208" s="67">
        <f t="shared" si="96"/>
        <v>1.24999949078139</v>
      </c>
      <c r="AD208" s="67">
        <f t="shared" si="94"/>
        <v>11.7324841264267</v>
      </c>
      <c r="AE208" s="67">
        <f t="shared" si="97"/>
        <v>46.5065158735733</v>
      </c>
    </row>
    <row r="209" customFormat="1" spans="1:31">
      <c r="A209" s="18"/>
      <c r="B209" s="19"/>
      <c r="C209" s="20">
        <v>240129000066</v>
      </c>
      <c r="D209" s="21">
        <v>45327</v>
      </c>
      <c r="E209" s="21" t="s">
        <v>37</v>
      </c>
      <c r="F209" s="19" t="s">
        <v>38</v>
      </c>
      <c r="G209" s="19" t="s">
        <v>216</v>
      </c>
      <c r="H209" s="19">
        <v>1.5</v>
      </c>
      <c r="I209" s="44">
        <v>157</v>
      </c>
      <c r="J209" s="45"/>
      <c r="K209" s="46"/>
      <c r="L209" s="45"/>
      <c r="M209" s="47"/>
      <c r="N209" s="48"/>
      <c r="O209" s="49">
        <f t="shared" ref="O209:O214" si="104">SUM(I209)</f>
        <v>157</v>
      </c>
      <c r="P209" s="51"/>
      <c r="Q209" s="51"/>
      <c r="R209" s="67">
        <f t="shared" si="98"/>
        <v>52.4124231782265</v>
      </c>
      <c r="S209" s="67"/>
      <c r="T209" s="67">
        <v>0</v>
      </c>
      <c r="U209" s="67"/>
      <c r="V209" s="67"/>
      <c r="W209" s="89">
        <f t="shared" si="93"/>
        <v>52.4124231782265</v>
      </c>
      <c r="X209" s="90">
        <f t="shared" si="99"/>
        <v>0.869262510974539</v>
      </c>
      <c r="Y209" s="90"/>
      <c r="Z209" s="90"/>
      <c r="AA209" s="90">
        <f t="shared" si="95"/>
        <v>0.869262510974539</v>
      </c>
      <c r="AB209" s="107">
        <v>7.19</v>
      </c>
      <c r="AC209" s="67">
        <f t="shared" si="96"/>
        <v>6.24999745390694</v>
      </c>
      <c r="AD209" s="67">
        <f t="shared" si="94"/>
        <v>58.6624206321335</v>
      </c>
      <c r="AE209" s="67">
        <f t="shared" si="97"/>
        <v>98.3375793678665</v>
      </c>
    </row>
    <row r="210" customFormat="1" spans="1:31">
      <c r="A210" s="18"/>
      <c r="B210" s="19"/>
      <c r="C210" s="20">
        <v>240129000067</v>
      </c>
      <c r="D210" s="21">
        <v>45327</v>
      </c>
      <c r="E210" s="21" t="s">
        <v>62</v>
      </c>
      <c r="F210" s="19" t="s">
        <v>63</v>
      </c>
      <c r="G210" s="19" t="s">
        <v>217</v>
      </c>
      <c r="H210" s="19">
        <v>0.76</v>
      </c>
      <c r="I210" s="49"/>
      <c r="J210" s="65">
        <v>12539</v>
      </c>
      <c r="K210" s="66"/>
      <c r="L210" s="61">
        <f>SUM(J210/M210)</f>
        <v>1548.02469135802</v>
      </c>
      <c r="M210" s="62">
        <v>8.1</v>
      </c>
      <c r="N210" s="48">
        <v>7.19</v>
      </c>
      <c r="O210" s="49">
        <f t="shared" si="103"/>
        <v>58.239</v>
      </c>
      <c r="P210" s="51"/>
      <c r="Q210" s="51"/>
      <c r="R210" s="67">
        <f t="shared" si="98"/>
        <v>26.5556277436348</v>
      </c>
      <c r="S210" s="67"/>
      <c r="T210" s="67">
        <v>0</v>
      </c>
      <c r="U210" s="67"/>
      <c r="V210" s="67"/>
      <c r="W210" s="89">
        <f t="shared" si="93"/>
        <v>26.5556277436348</v>
      </c>
      <c r="X210" s="90">
        <f t="shared" si="99"/>
        <v>0.440426338893766</v>
      </c>
      <c r="Y210" s="90"/>
      <c r="Z210" s="90"/>
      <c r="AA210" s="90">
        <f t="shared" si="95"/>
        <v>0.440426338893766</v>
      </c>
      <c r="AB210" s="107">
        <v>7.19</v>
      </c>
      <c r="AC210" s="67">
        <f t="shared" si="96"/>
        <v>3.16666537664618</v>
      </c>
      <c r="AD210" s="67">
        <f t="shared" si="94"/>
        <v>29.722293120281</v>
      </c>
      <c r="AE210" s="67">
        <f t="shared" si="97"/>
        <v>28.516706879719</v>
      </c>
    </row>
    <row r="211" customFormat="1" spans="1:31">
      <c r="A211" s="18"/>
      <c r="B211" s="19"/>
      <c r="C211" s="20">
        <v>240129000071</v>
      </c>
      <c r="D211" s="21">
        <v>45327</v>
      </c>
      <c r="E211" s="21" t="s">
        <v>62</v>
      </c>
      <c r="F211" s="19">
        <v>13635229849</v>
      </c>
      <c r="G211" s="19" t="s">
        <v>218</v>
      </c>
      <c r="H211" s="19">
        <v>14</v>
      </c>
      <c r="I211" s="49"/>
      <c r="J211" s="65">
        <v>176781</v>
      </c>
      <c r="K211" s="66"/>
      <c r="L211" s="61">
        <f>SUM(J211/M211)</f>
        <v>1547.99474605954</v>
      </c>
      <c r="M211" s="62">
        <v>114.2</v>
      </c>
      <c r="N211" s="48">
        <v>7.19</v>
      </c>
      <c r="O211" s="49">
        <f t="shared" si="103"/>
        <v>821.098</v>
      </c>
      <c r="P211" s="51"/>
      <c r="Q211" s="51"/>
      <c r="R211" s="67">
        <f t="shared" si="98"/>
        <v>489.182616330114</v>
      </c>
      <c r="S211" s="67"/>
      <c r="T211" s="67">
        <v>0</v>
      </c>
      <c r="U211" s="67"/>
      <c r="V211" s="67"/>
      <c r="W211" s="89">
        <f t="shared" si="93"/>
        <v>489.182616330114</v>
      </c>
      <c r="X211" s="90">
        <f t="shared" si="99"/>
        <v>8.1131167690957</v>
      </c>
      <c r="Y211" s="90"/>
      <c r="Z211" s="90"/>
      <c r="AA211" s="90">
        <f t="shared" si="95"/>
        <v>8.1131167690957</v>
      </c>
      <c r="AB211" s="107">
        <v>7.19</v>
      </c>
      <c r="AC211" s="67">
        <f t="shared" si="96"/>
        <v>58.3333095697981</v>
      </c>
      <c r="AD211" s="67">
        <f t="shared" si="94"/>
        <v>547.515925899912</v>
      </c>
      <c r="AE211" s="67">
        <f t="shared" si="97"/>
        <v>273.582074100088</v>
      </c>
    </row>
    <row r="212" customFormat="1" spans="1:31">
      <c r="A212" s="18"/>
      <c r="B212" s="19"/>
      <c r="C212" s="20">
        <v>240129000072</v>
      </c>
      <c r="D212" s="21">
        <v>45327</v>
      </c>
      <c r="E212" s="21" t="s">
        <v>76</v>
      </c>
      <c r="F212" s="19" t="s">
        <v>77</v>
      </c>
      <c r="G212" s="19" t="s">
        <v>219</v>
      </c>
      <c r="H212" s="19">
        <v>1.5</v>
      </c>
      <c r="I212" s="44">
        <v>86</v>
      </c>
      <c r="J212" s="45"/>
      <c r="K212" s="46"/>
      <c r="L212" s="45"/>
      <c r="M212" s="47"/>
      <c r="N212" s="48"/>
      <c r="O212" s="49">
        <f t="shared" si="104"/>
        <v>86</v>
      </c>
      <c r="P212" s="51"/>
      <c r="Q212" s="51"/>
      <c r="R212" s="67">
        <f t="shared" si="98"/>
        <v>52.4124231782265</v>
      </c>
      <c r="S212" s="67"/>
      <c r="T212" s="67">
        <v>0</v>
      </c>
      <c r="U212" s="67"/>
      <c r="V212" s="67"/>
      <c r="W212" s="89">
        <f t="shared" si="93"/>
        <v>52.4124231782265</v>
      </c>
      <c r="X212" s="90">
        <f t="shared" si="99"/>
        <v>0.869262510974539</v>
      </c>
      <c r="Y212" s="90"/>
      <c r="Z212" s="90"/>
      <c r="AA212" s="90">
        <f t="shared" si="95"/>
        <v>0.869262510974539</v>
      </c>
      <c r="AB212" s="107">
        <v>7.19</v>
      </c>
      <c r="AC212" s="67">
        <f t="shared" si="96"/>
        <v>6.24999745390694</v>
      </c>
      <c r="AD212" s="67">
        <f t="shared" si="94"/>
        <v>58.6624206321335</v>
      </c>
      <c r="AE212" s="67">
        <f t="shared" si="97"/>
        <v>27.3375793678665</v>
      </c>
    </row>
    <row r="213" customFormat="1" spans="1:31">
      <c r="A213" s="18"/>
      <c r="B213" s="19"/>
      <c r="C213" s="20">
        <v>240130000004</v>
      </c>
      <c r="D213" s="21">
        <v>45327</v>
      </c>
      <c r="E213" s="21" t="s">
        <v>76</v>
      </c>
      <c r="F213" s="19" t="s">
        <v>77</v>
      </c>
      <c r="G213" s="19" t="s">
        <v>196</v>
      </c>
      <c r="H213" s="19">
        <v>0.22</v>
      </c>
      <c r="I213" s="44">
        <v>58</v>
      </c>
      <c r="J213" s="45"/>
      <c r="K213" s="46"/>
      <c r="L213" s="45"/>
      <c r="M213" s="47"/>
      <c r="N213" s="48"/>
      <c r="O213" s="49">
        <f t="shared" si="104"/>
        <v>58</v>
      </c>
      <c r="P213" s="51"/>
      <c r="Q213" s="51"/>
      <c r="R213" s="67">
        <f t="shared" si="98"/>
        <v>7.68715539947322</v>
      </c>
      <c r="S213" s="67"/>
      <c r="T213" s="67">
        <v>0</v>
      </c>
      <c r="U213" s="67"/>
      <c r="V213" s="67"/>
      <c r="W213" s="89">
        <f t="shared" si="93"/>
        <v>7.68715539947322</v>
      </c>
      <c r="X213" s="90">
        <f t="shared" si="99"/>
        <v>0.127491834942932</v>
      </c>
      <c r="Y213" s="90"/>
      <c r="Z213" s="90"/>
      <c r="AA213" s="90">
        <f t="shared" si="95"/>
        <v>0.127491834942932</v>
      </c>
      <c r="AB213" s="107">
        <v>7.19</v>
      </c>
      <c r="AC213" s="67">
        <f t="shared" si="96"/>
        <v>0.916666293239684</v>
      </c>
      <c r="AD213" s="67">
        <f t="shared" si="94"/>
        <v>8.60382169271291</v>
      </c>
      <c r="AE213" s="67">
        <f t="shared" si="97"/>
        <v>49.3961783072871</v>
      </c>
    </row>
    <row r="214" customFormat="1" spans="1:31">
      <c r="A214" s="18"/>
      <c r="B214" s="19"/>
      <c r="C214" s="20">
        <v>240130000016</v>
      </c>
      <c r="D214" s="21">
        <v>45327</v>
      </c>
      <c r="E214" s="21" t="s">
        <v>41</v>
      </c>
      <c r="F214" s="19" t="s">
        <v>42</v>
      </c>
      <c r="G214" s="19" t="s">
        <v>220</v>
      </c>
      <c r="H214" s="19">
        <v>6</v>
      </c>
      <c r="I214" s="44">
        <v>270</v>
      </c>
      <c r="J214" s="54"/>
      <c r="K214" s="55"/>
      <c r="L214" s="54"/>
      <c r="M214" s="47"/>
      <c r="N214" s="48"/>
      <c r="O214" s="49">
        <f t="shared" si="104"/>
        <v>270</v>
      </c>
      <c r="P214" s="51"/>
      <c r="Q214" s="51"/>
      <c r="R214" s="67">
        <f t="shared" si="98"/>
        <v>209.649692712906</v>
      </c>
      <c r="S214" s="67"/>
      <c r="T214" s="67">
        <v>0</v>
      </c>
      <c r="U214" s="67"/>
      <c r="V214" s="67"/>
      <c r="W214" s="89">
        <f t="shared" si="93"/>
        <v>209.649692712906</v>
      </c>
      <c r="X214" s="90">
        <f t="shared" si="99"/>
        <v>3.47705004389816</v>
      </c>
      <c r="Y214" s="90"/>
      <c r="Z214" s="90"/>
      <c r="AA214" s="90">
        <f t="shared" si="95"/>
        <v>3.47705004389816</v>
      </c>
      <c r="AB214" s="107">
        <v>7.19</v>
      </c>
      <c r="AC214" s="67">
        <f t="shared" si="96"/>
        <v>24.9999898156277</v>
      </c>
      <c r="AD214" s="67">
        <f t="shared" si="94"/>
        <v>234.649682528534</v>
      </c>
      <c r="AE214" s="67">
        <f t="shared" si="97"/>
        <v>35.3503174714662</v>
      </c>
    </row>
    <row r="215" customFormat="1" spans="1:31">
      <c r="A215" s="18"/>
      <c r="B215" s="19"/>
      <c r="C215" s="20">
        <v>240130000023</v>
      </c>
      <c r="D215" s="21">
        <v>45327</v>
      </c>
      <c r="E215" s="21" t="s">
        <v>76</v>
      </c>
      <c r="F215" s="19" t="s">
        <v>77</v>
      </c>
      <c r="G215" s="19" t="s">
        <v>183</v>
      </c>
      <c r="H215" s="19">
        <v>0.78</v>
      </c>
      <c r="I215" s="49"/>
      <c r="J215" s="65">
        <v>12354</v>
      </c>
      <c r="K215" s="66"/>
      <c r="L215" s="61">
        <f>SUM(J215/M215)</f>
        <v>1525.18518518519</v>
      </c>
      <c r="M215" s="62">
        <v>8.1</v>
      </c>
      <c r="N215" s="48">
        <v>7.19</v>
      </c>
      <c r="O215" s="49">
        <f>SUM(M215*N215)</f>
        <v>58.239</v>
      </c>
      <c r="P215" s="51"/>
      <c r="Q215" s="51"/>
      <c r="R215" s="67">
        <f t="shared" si="98"/>
        <v>27.2544600526778</v>
      </c>
      <c r="S215" s="67"/>
      <c r="T215" s="67">
        <v>0</v>
      </c>
      <c r="U215" s="67"/>
      <c r="V215" s="67"/>
      <c r="W215" s="89">
        <f t="shared" si="93"/>
        <v>27.2544600526778</v>
      </c>
      <c r="X215" s="90">
        <f t="shared" si="99"/>
        <v>0.45201650570676</v>
      </c>
      <c r="Y215" s="90"/>
      <c r="Z215" s="90"/>
      <c r="AA215" s="90">
        <f t="shared" si="95"/>
        <v>0.45201650570676</v>
      </c>
      <c r="AB215" s="107">
        <v>7.19</v>
      </c>
      <c r="AC215" s="67">
        <f t="shared" si="96"/>
        <v>3.24999867603161</v>
      </c>
      <c r="AD215" s="67">
        <f t="shared" si="94"/>
        <v>30.5044587287094</v>
      </c>
      <c r="AE215" s="67">
        <f t="shared" si="97"/>
        <v>27.7345412712906</v>
      </c>
    </row>
    <row r="216" customFormat="1" spans="1:31">
      <c r="A216" s="18"/>
      <c r="B216" s="19"/>
      <c r="C216" s="20">
        <v>240130000024</v>
      </c>
      <c r="D216" s="21">
        <v>45327</v>
      </c>
      <c r="E216" s="21" t="s">
        <v>37</v>
      </c>
      <c r="F216" s="19" t="s">
        <v>122</v>
      </c>
      <c r="G216" s="19" t="s">
        <v>123</v>
      </c>
      <c r="H216" s="19">
        <v>12</v>
      </c>
      <c r="I216" s="44">
        <v>564</v>
      </c>
      <c r="J216" s="45"/>
      <c r="K216" s="46"/>
      <c r="L216" s="45"/>
      <c r="M216" s="47"/>
      <c r="N216" s="48"/>
      <c r="O216" s="49">
        <f t="shared" ref="O216:O220" si="105">SUM(I216)</f>
        <v>564</v>
      </c>
      <c r="P216" s="51"/>
      <c r="Q216" s="51"/>
      <c r="R216" s="67">
        <f t="shared" si="98"/>
        <v>419.299385425812</v>
      </c>
      <c r="S216" s="67"/>
      <c r="T216" s="67">
        <v>0</v>
      </c>
      <c r="U216" s="67"/>
      <c r="V216" s="67"/>
      <c r="W216" s="89">
        <f t="shared" si="93"/>
        <v>419.299385425812</v>
      </c>
      <c r="X216" s="90">
        <f t="shared" si="99"/>
        <v>6.95410008779631</v>
      </c>
      <c r="Y216" s="90"/>
      <c r="Z216" s="90"/>
      <c r="AA216" s="90">
        <f t="shared" si="95"/>
        <v>6.95410008779631</v>
      </c>
      <c r="AB216" s="107">
        <v>7.19</v>
      </c>
      <c r="AC216" s="67">
        <f t="shared" si="96"/>
        <v>49.9999796312555</v>
      </c>
      <c r="AD216" s="67">
        <f t="shared" si="94"/>
        <v>469.299365057068</v>
      </c>
      <c r="AE216" s="67">
        <f t="shared" si="97"/>
        <v>94.7006349429324</v>
      </c>
    </row>
    <row r="217" customFormat="1" spans="1:31">
      <c r="A217" s="18"/>
      <c r="B217" s="19"/>
      <c r="C217" s="20">
        <v>240130000032</v>
      </c>
      <c r="D217" s="21">
        <v>45327</v>
      </c>
      <c r="E217" s="21" t="s">
        <v>76</v>
      </c>
      <c r="F217" s="19" t="s">
        <v>77</v>
      </c>
      <c r="G217" s="19" t="s">
        <v>196</v>
      </c>
      <c r="H217" s="19">
        <v>1</v>
      </c>
      <c r="I217" s="44">
        <v>58</v>
      </c>
      <c r="J217" s="45"/>
      <c r="K217" s="46"/>
      <c r="L217" s="45"/>
      <c r="M217" s="47"/>
      <c r="N217" s="48"/>
      <c r="O217" s="49">
        <f t="shared" si="105"/>
        <v>58</v>
      </c>
      <c r="P217" s="51"/>
      <c r="Q217" s="51"/>
      <c r="R217" s="67">
        <f t="shared" si="98"/>
        <v>34.941615452151</v>
      </c>
      <c r="S217" s="67"/>
      <c r="T217" s="67">
        <v>0</v>
      </c>
      <c r="U217" s="67"/>
      <c r="V217" s="67"/>
      <c r="W217" s="89">
        <f t="shared" si="93"/>
        <v>34.941615452151</v>
      </c>
      <c r="X217" s="90">
        <f t="shared" si="99"/>
        <v>0.579508340649693</v>
      </c>
      <c r="Y217" s="90"/>
      <c r="Z217" s="90"/>
      <c r="AA217" s="90">
        <f t="shared" si="95"/>
        <v>0.579508340649693</v>
      </c>
      <c r="AB217" s="107">
        <v>7.19</v>
      </c>
      <c r="AC217" s="67">
        <f t="shared" si="96"/>
        <v>4.16666496927129</v>
      </c>
      <c r="AD217" s="67">
        <f t="shared" si="94"/>
        <v>39.1082804214223</v>
      </c>
      <c r="AE217" s="67">
        <f t="shared" si="97"/>
        <v>18.8917195785777</v>
      </c>
    </row>
    <row r="218" customFormat="1" spans="1:31">
      <c r="A218" s="18"/>
      <c r="B218" s="19"/>
      <c r="C218" s="20">
        <v>240130000034</v>
      </c>
      <c r="D218" s="21">
        <v>45327</v>
      </c>
      <c r="E218" s="21" t="s">
        <v>76</v>
      </c>
      <c r="F218" s="19" t="s">
        <v>77</v>
      </c>
      <c r="G218" s="19" t="s">
        <v>183</v>
      </c>
      <c r="H218" s="19">
        <v>0.36</v>
      </c>
      <c r="I218" s="49"/>
      <c r="J218" s="65">
        <v>12354</v>
      </c>
      <c r="K218" s="66"/>
      <c r="L218" s="61">
        <f>SUM(J218/M218)</f>
        <v>1525.18518518519</v>
      </c>
      <c r="M218" s="62">
        <v>8.1</v>
      </c>
      <c r="N218" s="48">
        <v>7.19</v>
      </c>
      <c r="O218" s="49">
        <f>SUM(M218*N218)</f>
        <v>58.239</v>
      </c>
      <c r="P218" s="51"/>
      <c r="Q218" s="51"/>
      <c r="R218" s="67">
        <f t="shared" si="98"/>
        <v>12.5789815627744</v>
      </c>
      <c r="S218" s="67"/>
      <c r="T218" s="67">
        <v>0</v>
      </c>
      <c r="U218" s="67"/>
      <c r="V218" s="67"/>
      <c r="W218" s="89">
        <f t="shared" si="93"/>
        <v>12.5789815627744</v>
      </c>
      <c r="X218" s="90">
        <f t="shared" si="99"/>
        <v>0.208623002633889</v>
      </c>
      <c r="Y218" s="90"/>
      <c r="Z218" s="90"/>
      <c r="AA218" s="90">
        <f t="shared" si="95"/>
        <v>0.208623002633889</v>
      </c>
      <c r="AB218" s="107">
        <v>7.19</v>
      </c>
      <c r="AC218" s="67">
        <f t="shared" si="96"/>
        <v>1.49999938893766</v>
      </c>
      <c r="AD218" s="67">
        <f t="shared" si="94"/>
        <v>14.078980951712</v>
      </c>
      <c r="AE218" s="67">
        <f t="shared" ref="AE218:AE230" si="106">SUM(O218-AD218)</f>
        <v>44.160019048288</v>
      </c>
    </row>
    <row r="219" customFormat="1" spans="1:31">
      <c r="A219" s="18"/>
      <c r="B219" s="19"/>
      <c r="C219" s="20">
        <v>240130000035</v>
      </c>
      <c r="D219" s="21">
        <v>45327</v>
      </c>
      <c r="E219" s="21" t="s">
        <v>76</v>
      </c>
      <c r="F219" s="19" t="s">
        <v>77</v>
      </c>
      <c r="G219" s="19" t="s">
        <v>196</v>
      </c>
      <c r="H219" s="19">
        <v>0.768</v>
      </c>
      <c r="I219" s="44">
        <v>58</v>
      </c>
      <c r="J219" s="45"/>
      <c r="K219" s="46"/>
      <c r="L219" s="45"/>
      <c r="M219" s="47"/>
      <c r="N219" s="48"/>
      <c r="O219" s="49">
        <f t="shared" si="105"/>
        <v>58</v>
      </c>
      <c r="P219" s="52"/>
      <c r="Q219" s="52"/>
      <c r="R219" s="67">
        <f t="shared" si="98"/>
        <v>26.835160667252</v>
      </c>
      <c r="S219" s="67"/>
      <c r="T219" s="67">
        <v>0</v>
      </c>
      <c r="U219" s="67"/>
      <c r="V219" s="67"/>
      <c r="W219" s="89">
        <f t="shared" si="93"/>
        <v>26.835160667252</v>
      </c>
      <c r="X219" s="90">
        <f t="shared" si="99"/>
        <v>0.445062405618964</v>
      </c>
      <c r="Y219" s="90"/>
      <c r="Z219" s="90"/>
      <c r="AA219" s="90">
        <f t="shared" si="95"/>
        <v>0.445062405618964</v>
      </c>
      <c r="AB219" s="107">
        <v>7.19</v>
      </c>
      <c r="AC219" s="67">
        <f t="shared" ref="AC219:AC230" si="107">SUM(AA219*AB219)</f>
        <v>3.19999869640035</v>
      </c>
      <c r="AD219" s="67">
        <f t="shared" ref="AD219:AD230" si="108">SUM(W219+AC219)</f>
        <v>30.0351593636523</v>
      </c>
      <c r="AE219" s="67">
        <f t="shared" si="106"/>
        <v>27.9648406363477</v>
      </c>
    </row>
    <row r="220" customFormat="1" spans="1:31">
      <c r="A220" s="18" t="s">
        <v>221</v>
      </c>
      <c r="B220" s="19" t="s">
        <v>222</v>
      </c>
      <c r="C220" s="20">
        <v>240202000028</v>
      </c>
      <c r="D220" s="21">
        <v>45328</v>
      </c>
      <c r="E220" s="21" t="s">
        <v>44</v>
      </c>
      <c r="F220" s="19" t="s">
        <v>44</v>
      </c>
      <c r="G220" s="19" t="s">
        <v>223</v>
      </c>
      <c r="H220" s="19">
        <v>4.5</v>
      </c>
      <c r="I220" s="44">
        <v>1120</v>
      </c>
      <c r="J220" s="45"/>
      <c r="K220" s="46"/>
      <c r="L220" s="45"/>
      <c r="M220" s="47"/>
      <c r="N220" s="48"/>
      <c r="O220" s="49">
        <f t="shared" si="105"/>
        <v>1120</v>
      </c>
      <c r="P220" s="50">
        <f>SUM(O220:O230)</f>
        <v>9551.3355</v>
      </c>
      <c r="Q220" s="50" t="s">
        <v>40</v>
      </c>
      <c r="R220" s="67">
        <f>SUM(4000/64)*H220</f>
        <v>281.25</v>
      </c>
      <c r="S220" s="67"/>
      <c r="T220" s="91">
        <f>SUM(82.65/64)*H220</f>
        <v>5.811328125</v>
      </c>
      <c r="U220" s="67"/>
      <c r="V220" s="67"/>
      <c r="W220" s="89">
        <f t="shared" ref="W220:W230" si="109">SUM(R220:V220)</f>
        <v>287.061328125</v>
      </c>
      <c r="X220" s="90">
        <f>SUM(172.81/64)*H220</f>
        <v>12.150703125</v>
      </c>
      <c r="Y220" s="90"/>
      <c r="Z220" s="90"/>
      <c r="AA220" s="90">
        <f t="shared" ref="AA220:AA230" si="110">SUM(X220:Z220)</f>
        <v>12.150703125</v>
      </c>
      <c r="AB220" s="107">
        <v>7.19</v>
      </c>
      <c r="AC220" s="67">
        <f t="shared" si="107"/>
        <v>87.36355546875</v>
      </c>
      <c r="AD220" s="67">
        <f t="shared" si="108"/>
        <v>374.42488359375</v>
      </c>
      <c r="AE220" s="67">
        <f t="shared" si="106"/>
        <v>745.57511640625</v>
      </c>
    </row>
    <row r="221" customFormat="1" spans="1:31">
      <c r="A221" s="18"/>
      <c r="B221" s="19"/>
      <c r="C221" s="20">
        <v>240202000044</v>
      </c>
      <c r="D221" s="21">
        <v>45328</v>
      </c>
      <c r="E221" s="21" t="s">
        <v>56</v>
      </c>
      <c r="F221" s="19" t="s">
        <v>114</v>
      </c>
      <c r="G221" s="19" t="s">
        <v>74</v>
      </c>
      <c r="H221" s="19">
        <v>10</v>
      </c>
      <c r="I221" s="53"/>
      <c r="J221" s="61">
        <v>256250</v>
      </c>
      <c r="K221" s="55"/>
      <c r="L221" s="61">
        <f>SUM(J221/M221)</f>
        <v>1473.97181478286</v>
      </c>
      <c r="M221" s="62">
        <v>173.85</v>
      </c>
      <c r="N221" s="48">
        <v>7.19</v>
      </c>
      <c r="O221" s="49">
        <f>SUM(M221*N221)</f>
        <v>1249.9815</v>
      </c>
      <c r="P221" s="51"/>
      <c r="Q221" s="51"/>
      <c r="R221" s="67">
        <f t="shared" ref="R221:R230" si="111">SUM(4000/64)*H221</f>
        <v>625</v>
      </c>
      <c r="S221" s="67"/>
      <c r="T221" s="91">
        <f t="shared" ref="T221:T230" si="112">SUM(82.65/64)*H221</f>
        <v>12.9140625</v>
      </c>
      <c r="U221" s="67"/>
      <c r="V221" s="67"/>
      <c r="W221" s="89">
        <f t="shared" si="109"/>
        <v>637.9140625</v>
      </c>
      <c r="X221" s="90">
        <f t="shared" ref="X221:X230" si="113">SUM(172.81/64)*H221</f>
        <v>27.0015625</v>
      </c>
      <c r="Y221" s="90"/>
      <c r="Z221" s="90"/>
      <c r="AA221" s="90">
        <f t="shared" si="110"/>
        <v>27.0015625</v>
      </c>
      <c r="AB221" s="107">
        <v>7.19</v>
      </c>
      <c r="AC221" s="67">
        <f t="shared" si="107"/>
        <v>194.141234375</v>
      </c>
      <c r="AD221" s="67">
        <f t="shared" si="108"/>
        <v>832.055296875</v>
      </c>
      <c r="AE221" s="67">
        <f t="shared" si="106"/>
        <v>417.926203125</v>
      </c>
    </row>
    <row r="222" customFormat="1" spans="1:31">
      <c r="A222" s="18"/>
      <c r="B222" s="19"/>
      <c r="C222" s="20">
        <v>240202000052</v>
      </c>
      <c r="D222" s="21">
        <v>45328</v>
      </c>
      <c r="E222" s="21" t="s">
        <v>62</v>
      </c>
      <c r="F222" s="19" t="s">
        <v>63</v>
      </c>
      <c r="G222" s="19" t="s">
        <v>182</v>
      </c>
      <c r="H222" s="19">
        <v>8.5</v>
      </c>
      <c r="I222" s="44">
        <v>1062.5</v>
      </c>
      <c r="J222" s="45"/>
      <c r="K222" s="46"/>
      <c r="L222" s="45"/>
      <c r="M222" s="47"/>
      <c r="N222" s="48"/>
      <c r="O222" s="49">
        <f t="shared" ref="O222:O224" si="114">SUM(I222)</f>
        <v>1062.5</v>
      </c>
      <c r="P222" s="51"/>
      <c r="Q222" s="51"/>
      <c r="R222" s="67">
        <f t="shared" si="111"/>
        <v>531.25</v>
      </c>
      <c r="S222" s="67"/>
      <c r="T222" s="91">
        <f t="shared" si="112"/>
        <v>10.976953125</v>
      </c>
      <c r="U222" s="67"/>
      <c r="V222" s="67"/>
      <c r="W222" s="89">
        <f t="shared" si="109"/>
        <v>542.226953125</v>
      </c>
      <c r="X222" s="90">
        <f t="shared" si="113"/>
        <v>22.951328125</v>
      </c>
      <c r="Y222" s="90"/>
      <c r="Z222" s="90"/>
      <c r="AA222" s="90">
        <f t="shared" si="110"/>
        <v>22.951328125</v>
      </c>
      <c r="AB222" s="107">
        <v>7.19</v>
      </c>
      <c r="AC222" s="67">
        <f t="shared" si="107"/>
        <v>165.02004921875</v>
      </c>
      <c r="AD222" s="67">
        <f t="shared" si="108"/>
        <v>707.24700234375</v>
      </c>
      <c r="AE222" s="67">
        <f t="shared" si="106"/>
        <v>355.25299765625</v>
      </c>
    </row>
    <row r="223" customFormat="1" spans="1:31">
      <c r="A223" s="18"/>
      <c r="B223" s="19"/>
      <c r="C223" s="20">
        <v>240202000057</v>
      </c>
      <c r="D223" s="21">
        <v>45328</v>
      </c>
      <c r="E223" s="21" t="s">
        <v>44</v>
      </c>
      <c r="F223" s="19" t="s">
        <v>44</v>
      </c>
      <c r="G223" s="19" t="s">
        <v>223</v>
      </c>
      <c r="H223" s="19">
        <v>7</v>
      </c>
      <c r="I223" s="44">
        <v>875</v>
      </c>
      <c r="J223" s="45"/>
      <c r="K223" s="46"/>
      <c r="L223" s="45"/>
      <c r="M223" s="47"/>
      <c r="N223" s="48"/>
      <c r="O223" s="49">
        <f t="shared" si="114"/>
        <v>875</v>
      </c>
      <c r="P223" s="51"/>
      <c r="Q223" s="51"/>
      <c r="R223" s="67">
        <f t="shared" si="111"/>
        <v>437.5</v>
      </c>
      <c r="S223" s="67"/>
      <c r="T223" s="91">
        <f t="shared" si="112"/>
        <v>9.03984375</v>
      </c>
      <c r="U223" s="67"/>
      <c r="V223" s="67"/>
      <c r="W223" s="89">
        <f t="shared" si="109"/>
        <v>446.53984375</v>
      </c>
      <c r="X223" s="90">
        <f t="shared" si="113"/>
        <v>18.90109375</v>
      </c>
      <c r="Y223" s="90"/>
      <c r="Z223" s="90"/>
      <c r="AA223" s="90">
        <f t="shared" si="110"/>
        <v>18.90109375</v>
      </c>
      <c r="AB223" s="107">
        <v>7.19</v>
      </c>
      <c r="AC223" s="67">
        <f t="shared" si="107"/>
        <v>135.8988640625</v>
      </c>
      <c r="AD223" s="67">
        <f t="shared" si="108"/>
        <v>582.4387078125</v>
      </c>
      <c r="AE223" s="67">
        <f t="shared" si="106"/>
        <v>292.5612921875</v>
      </c>
    </row>
    <row r="224" customFormat="1" spans="1:31">
      <c r="A224" s="18"/>
      <c r="B224" s="19"/>
      <c r="C224" s="20">
        <v>240203000006</v>
      </c>
      <c r="D224" s="21">
        <v>45328</v>
      </c>
      <c r="E224" s="21" t="s">
        <v>37</v>
      </c>
      <c r="F224" s="19" t="s">
        <v>38</v>
      </c>
      <c r="G224" s="19" t="s">
        <v>224</v>
      </c>
      <c r="H224" s="19">
        <v>0.78</v>
      </c>
      <c r="I224" s="44">
        <v>130</v>
      </c>
      <c r="J224" s="45"/>
      <c r="K224" s="46"/>
      <c r="L224" s="45"/>
      <c r="M224" s="47"/>
      <c r="N224" s="48"/>
      <c r="O224" s="49">
        <f t="shared" si="114"/>
        <v>130</v>
      </c>
      <c r="P224" s="51"/>
      <c r="Q224" s="51"/>
      <c r="R224" s="67">
        <f t="shared" si="111"/>
        <v>48.75</v>
      </c>
      <c r="S224" s="67"/>
      <c r="T224" s="91">
        <f t="shared" si="112"/>
        <v>1.007296875</v>
      </c>
      <c r="U224" s="67"/>
      <c r="V224" s="67"/>
      <c r="W224" s="89">
        <f t="shared" si="109"/>
        <v>49.757296875</v>
      </c>
      <c r="X224" s="90">
        <f t="shared" si="113"/>
        <v>2.106121875</v>
      </c>
      <c r="Y224" s="90"/>
      <c r="Z224" s="90"/>
      <c r="AA224" s="90">
        <f t="shared" si="110"/>
        <v>2.106121875</v>
      </c>
      <c r="AB224" s="107">
        <v>7.19</v>
      </c>
      <c r="AC224" s="67">
        <f t="shared" si="107"/>
        <v>15.14301628125</v>
      </c>
      <c r="AD224" s="67">
        <f t="shared" si="108"/>
        <v>64.90031315625</v>
      </c>
      <c r="AE224" s="67">
        <f t="shared" si="106"/>
        <v>65.09968684375</v>
      </c>
    </row>
    <row r="225" customFormat="1" spans="1:31">
      <c r="A225" s="18"/>
      <c r="B225" s="19"/>
      <c r="C225" s="20">
        <v>240203000025</v>
      </c>
      <c r="D225" s="21">
        <v>45328</v>
      </c>
      <c r="E225" s="21" t="s">
        <v>44</v>
      </c>
      <c r="F225" s="19" t="s">
        <v>225</v>
      </c>
      <c r="G225" s="19" t="s">
        <v>226</v>
      </c>
      <c r="H225" s="19">
        <v>26.5</v>
      </c>
      <c r="I225" s="49"/>
      <c r="J225" s="65">
        <v>722296.8</v>
      </c>
      <c r="K225" s="66"/>
      <c r="L225" s="61">
        <f>SUM(J225/M225)</f>
        <v>1548</v>
      </c>
      <c r="M225" s="62">
        <v>466.6</v>
      </c>
      <c r="N225" s="48">
        <v>7.19</v>
      </c>
      <c r="O225" s="49">
        <f>SUM(M225*N225)</f>
        <v>3354.854</v>
      </c>
      <c r="P225" s="51"/>
      <c r="Q225" s="51"/>
      <c r="R225" s="67">
        <f t="shared" si="111"/>
        <v>1656.25</v>
      </c>
      <c r="S225" s="67"/>
      <c r="T225" s="91">
        <f t="shared" si="112"/>
        <v>34.222265625</v>
      </c>
      <c r="U225" s="67"/>
      <c r="V225" s="67"/>
      <c r="W225" s="89">
        <f t="shared" si="109"/>
        <v>1690.472265625</v>
      </c>
      <c r="X225" s="90">
        <f t="shared" si="113"/>
        <v>71.554140625</v>
      </c>
      <c r="Y225" s="90"/>
      <c r="Z225" s="90"/>
      <c r="AA225" s="90">
        <f t="shared" si="110"/>
        <v>71.554140625</v>
      </c>
      <c r="AB225" s="107">
        <v>7.19</v>
      </c>
      <c r="AC225" s="67">
        <f t="shared" si="107"/>
        <v>514.47427109375</v>
      </c>
      <c r="AD225" s="67">
        <f t="shared" si="108"/>
        <v>2204.94653671875</v>
      </c>
      <c r="AE225" s="67">
        <f t="shared" si="106"/>
        <v>1149.90746328125</v>
      </c>
    </row>
    <row r="226" customFormat="1" spans="1:31">
      <c r="A226" s="18"/>
      <c r="B226" s="19"/>
      <c r="C226" s="20">
        <v>240204000005</v>
      </c>
      <c r="D226" s="21">
        <v>45328</v>
      </c>
      <c r="E226" s="21" t="s">
        <v>44</v>
      </c>
      <c r="F226" s="19" t="s">
        <v>44</v>
      </c>
      <c r="G226" s="19" t="s">
        <v>227</v>
      </c>
      <c r="H226" s="19">
        <v>1.5</v>
      </c>
      <c r="I226" s="44">
        <v>187.5</v>
      </c>
      <c r="J226" s="45"/>
      <c r="K226" s="46"/>
      <c r="L226" s="45"/>
      <c r="M226" s="47"/>
      <c r="N226" s="48"/>
      <c r="O226" s="49">
        <f t="shared" ref="O226:O235" si="115">SUM(I226)</f>
        <v>187.5</v>
      </c>
      <c r="P226" s="51"/>
      <c r="Q226" s="51"/>
      <c r="R226" s="67">
        <f t="shared" si="111"/>
        <v>93.75</v>
      </c>
      <c r="S226" s="67"/>
      <c r="T226" s="91">
        <f t="shared" si="112"/>
        <v>1.937109375</v>
      </c>
      <c r="U226" s="67"/>
      <c r="V226" s="67"/>
      <c r="W226" s="89">
        <f t="shared" si="109"/>
        <v>95.687109375</v>
      </c>
      <c r="X226" s="90">
        <f t="shared" si="113"/>
        <v>4.050234375</v>
      </c>
      <c r="Y226" s="90"/>
      <c r="Z226" s="90"/>
      <c r="AA226" s="90">
        <f t="shared" si="110"/>
        <v>4.050234375</v>
      </c>
      <c r="AB226" s="107">
        <v>7.19</v>
      </c>
      <c r="AC226" s="67">
        <f t="shared" si="107"/>
        <v>29.12118515625</v>
      </c>
      <c r="AD226" s="67">
        <f t="shared" si="108"/>
        <v>124.80829453125</v>
      </c>
      <c r="AE226" s="67">
        <f t="shared" si="106"/>
        <v>62.69170546875</v>
      </c>
    </row>
    <row r="227" customFormat="1" spans="1:31">
      <c r="A227" s="18"/>
      <c r="B227" s="19"/>
      <c r="C227" s="20">
        <v>240204000011</v>
      </c>
      <c r="D227" s="21">
        <v>45328</v>
      </c>
      <c r="E227" s="21" t="s">
        <v>37</v>
      </c>
      <c r="F227" s="19" t="s">
        <v>38</v>
      </c>
      <c r="G227" s="19" t="s">
        <v>105</v>
      </c>
      <c r="H227" s="19">
        <v>2.5</v>
      </c>
      <c r="I227" s="44">
        <v>312.5</v>
      </c>
      <c r="J227" s="45"/>
      <c r="K227" s="46"/>
      <c r="L227" s="45"/>
      <c r="M227" s="47"/>
      <c r="N227" s="48"/>
      <c r="O227" s="49">
        <f t="shared" si="115"/>
        <v>312.5</v>
      </c>
      <c r="P227" s="51"/>
      <c r="Q227" s="51"/>
      <c r="R227" s="67">
        <f t="shared" si="111"/>
        <v>156.25</v>
      </c>
      <c r="S227" s="67"/>
      <c r="T227" s="91">
        <f t="shared" si="112"/>
        <v>3.228515625</v>
      </c>
      <c r="U227" s="67"/>
      <c r="V227" s="67"/>
      <c r="W227" s="89">
        <f t="shared" si="109"/>
        <v>159.478515625</v>
      </c>
      <c r="X227" s="90">
        <f t="shared" si="113"/>
        <v>6.750390625</v>
      </c>
      <c r="Y227" s="90"/>
      <c r="Z227" s="90"/>
      <c r="AA227" s="90">
        <f t="shared" si="110"/>
        <v>6.750390625</v>
      </c>
      <c r="AB227" s="107">
        <v>7.19</v>
      </c>
      <c r="AC227" s="67">
        <f t="shared" si="107"/>
        <v>48.53530859375</v>
      </c>
      <c r="AD227" s="67">
        <f t="shared" si="108"/>
        <v>208.01382421875</v>
      </c>
      <c r="AE227" s="67">
        <f t="shared" si="106"/>
        <v>104.48617578125</v>
      </c>
    </row>
    <row r="228" customFormat="1" spans="1:31">
      <c r="A228" s="18"/>
      <c r="B228" s="19"/>
      <c r="C228" s="20">
        <v>240204000012</v>
      </c>
      <c r="D228" s="21">
        <v>45328</v>
      </c>
      <c r="E228" s="21" t="s">
        <v>37</v>
      </c>
      <c r="F228" s="19" t="s">
        <v>38</v>
      </c>
      <c r="G228" s="19" t="s">
        <v>228</v>
      </c>
      <c r="H228" s="19">
        <v>2</v>
      </c>
      <c r="I228" s="112">
        <v>319</v>
      </c>
      <c r="J228" s="65"/>
      <c r="K228" s="69"/>
      <c r="L228" s="65"/>
      <c r="M228" s="47"/>
      <c r="N228" s="48"/>
      <c r="O228" s="49">
        <f>SUBTOTAL(9,I228)</f>
        <v>319</v>
      </c>
      <c r="P228" s="51"/>
      <c r="Q228" s="51"/>
      <c r="R228" s="67">
        <f t="shared" si="111"/>
        <v>125</v>
      </c>
      <c r="S228" s="67"/>
      <c r="T228" s="91">
        <f t="shared" si="112"/>
        <v>2.5828125</v>
      </c>
      <c r="U228" s="67"/>
      <c r="V228" s="67"/>
      <c r="W228" s="89">
        <f t="shared" si="109"/>
        <v>127.5828125</v>
      </c>
      <c r="X228" s="90">
        <f t="shared" si="113"/>
        <v>5.4003125</v>
      </c>
      <c r="Y228" s="90"/>
      <c r="Z228" s="90"/>
      <c r="AA228" s="90">
        <f t="shared" si="110"/>
        <v>5.4003125</v>
      </c>
      <c r="AB228" s="107">
        <v>7.19</v>
      </c>
      <c r="AC228" s="67">
        <f t="shared" si="107"/>
        <v>38.828246875</v>
      </c>
      <c r="AD228" s="67">
        <f t="shared" si="108"/>
        <v>166.411059375</v>
      </c>
      <c r="AE228" s="67">
        <f t="shared" si="106"/>
        <v>152.588940625</v>
      </c>
    </row>
    <row r="229" customFormat="1" spans="1:31">
      <c r="A229" s="18"/>
      <c r="B229" s="19"/>
      <c r="C229" s="20">
        <v>240204000023</v>
      </c>
      <c r="D229" s="21">
        <v>45328</v>
      </c>
      <c r="E229" s="21" t="s">
        <v>37</v>
      </c>
      <c r="F229" s="19" t="s">
        <v>38</v>
      </c>
      <c r="G229" s="19" t="s">
        <v>229</v>
      </c>
      <c r="H229" s="19">
        <v>0.52</v>
      </c>
      <c r="I229" s="44">
        <v>190</v>
      </c>
      <c r="J229" s="45"/>
      <c r="K229" s="46"/>
      <c r="L229" s="45"/>
      <c r="M229" s="47"/>
      <c r="N229" s="48"/>
      <c r="O229" s="49">
        <f t="shared" si="115"/>
        <v>190</v>
      </c>
      <c r="P229" s="51"/>
      <c r="Q229" s="51"/>
      <c r="R229" s="67">
        <f t="shared" si="111"/>
        <v>32.5</v>
      </c>
      <c r="S229" s="67"/>
      <c r="T229" s="91">
        <f t="shared" si="112"/>
        <v>0.67153125</v>
      </c>
      <c r="U229" s="67"/>
      <c r="V229" s="67"/>
      <c r="W229" s="89">
        <f t="shared" si="109"/>
        <v>33.17153125</v>
      </c>
      <c r="X229" s="90">
        <f t="shared" si="113"/>
        <v>1.40408125</v>
      </c>
      <c r="Y229" s="90"/>
      <c r="Z229" s="90"/>
      <c r="AA229" s="90">
        <f t="shared" si="110"/>
        <v>1.40408125</v>
      </c>
      <c r="AB229" s="107">
        <v>7.19</v>
      </c>
      <c r="AC229" s="67">
        <f t="shared" si="107"/>
        <v>10.0953441875</v>
      </c>
      <c r="AD229" s="67">
        <f t="shared" ref="AD229:AD260" si="116">SUM(W229+AC229)</f>
        <v>43.2668754375</v>
      </c>
      <c r="AE229" s="67">
        <f t="shared" si="106"/>
        <v>146.7331245625</v>
      </c>
    </row>
    <row r="230" customFormat="1" spans="1:31">
      <c r="A230" s="18"/>
      <c r="B230" s="19"/>
      <c r="C230" s="20">
        <v>240204000029</v>
      </c>
      <c r="D230" s="21">
        <v>45328</v>
      </c>
      <c r="E230" s="21" t="s">
        <v>37</v>
      </c>
      <c r="F230" s="19" t="s">
        <v>38</v>
      </c>
      <c r="G230" s="19" t="s">
        <v>60</v>
      </c>
      <c r="H230" s="19">
        <v>6</v>
      </c>
      <c r="I230" s="44">
        <v>750</v>
      </c>
      <c r="J230" s="45"/>
      <c r="K230" s="46"/>
      <c r="L230" s="45"/>
      <c r="M230" s="47"/>
      <c r="N230" s="48"/>
      <c r="O230" s="49">
        <f t="shared" si="115"/>
        <v>750</v>
      </c>
      <c r="P230" s="52"/>
      <c r="Q230" s="52"/>
      <c r="R230" s="67">
        <f t="shared" si="111"/>
        <v>375</v>
      </c>
      <c r="S230" s="67"/>
      <c r="T230" s="91">
        <f t="shared" si="112"/>
        <v>7.7484375</v>
      </c>
      <c r="U230" s="67"/>
      <c r="V230" s="67"/>
      <c r="W230" s="89">
        <f t="shared" ref="W230:W261" si="117">SUM(R230:V230)</f>
        <v>382.7484375</v>
      </c>
      <c r="X230" s="90">
        <f t="shared" si="113"/>
        <v>16.2009375</v>
      </c>
      <c r="Y230" s="90"/>
      <c r="Z230" s="90"/>
      <c r="AA230" s="90">
        <f t="shared" si="110"/>
        <v>16.2009375</v>
      </c>
      <c r="AB230" s="107">
        <v>7.19</v>
      </c>
      <c r="AC230" s="67">
        <f t="shared" ref="AC230:AC261" si="118">SUM(AA230*AB230)</f>
        <v>116.484740625</v>
      </c>
      <c r="AD230" s="67">
        <f t="shared" si="116"/>
        <v>499.233178125</v>
      </c>
      <c r="AE230" s="67">
        <f t="shared" ref="AE230:AE261" si="119">SUM(O230-AD230)</f>
        <v>250.766821875</v>
      </c>
    </row>
    <row r="231" customFormat="1" spans="1:31">
      <c r="A231" s="18" t="s">
        <v>230</v>
      </c>
      <c r="B231" s="19" t="s">
        <v>231</v>
      </c>
      <c r="C231" s="20">
        <v>240125000032</v>
      </c>
      <c r="D231" s="21">
        <v>45329</v>
      </c>
      <c r="E231" s="21" t="s">
        <v>41</v>
      </c>
      <c r="F231" s="19" t="s">
        <v>42</v>
      </c>
      <c r="G231" s="19" t="s">
        <v>232</v>
      </c>
      <c r="H231" s="19">
        <v>10</v>
      </c>
      <c r="I231" s="44">
        <v>650</v>
      </c>
      <c r="J231" s="45"/>
      <c r="K231" s="46"/>
      <c r="L231" s="45"/>
      <c r="M231" s="47"/>
      <c r="N231" s="48"/>
      <c r="O231" s="49">
        <f t="shared" si="115"/>
        <v>650</v>
      </c>
      <c r="P231" s="50">
        <f>SUM(O231:O299)</f>
        <v>145642.46438562</v>
      </c>
      <c r="Q231" s="50" t="s">
        <v>50</v>
      </c>
      <c r="R231" s="67">
        <f>SUM(108437.5/2395)*H231</f>
        <v>452.76617954071</v>
      </c>
      <c r="S231" s="67"/>
      <c r="T231" s="91">
        <f>SUM(162.7/2395)*H231</f>
        <v>0.679331941544885</v>
      </c>
      <c r="U231" s="67"/>
      <c r="V231" s="67"/>
      <c r="W231" s="89">
        <f t="shared" si="117"/>
        <v>453.445511482255</v>
      </c>
      <c r="X231" s="90">
        <f>SUM(1473.36/2395)*H231</f>
        <v>6.15181628392484</v>
      </c>
      <c r="Y231" s="90"/>
      <c r="Z231" s="90"/>
      <c r="AA231" s="90">
        <f t="shared" ref="AA231:AA262" si="120">SUM(X231:Z231)</f>
        <v>6.15181628392484</v>
      </c>
      <c r="AB231" s="107">
        <v>7.19</v>
      </c>
      <c r="AC231" s="67">
        <f t="shared" si="118"/>
        <v>44.2315590814196</v>
      </c>
      <c r="AD231" s="67">
        <f t="shared" si="116"/>
        <v>497.677070563674</v>
      </c>
      <c r="AE231" s="67">
        <f t="shared" si="119"/>
        <v>152.322929436326</v>
      </c>
    </row>
    <row r="232" customFormat="1" spans="1:31">
      <c r="A232" s="18"/>
      <c r="B232" s="19"/>
      <c r="C232" s="20">
        <v>240126000030</v>
      </c>
      <c r="D232" s="21">
        <v>45329</v>
      </c>
      <c r="E232" s="21" t="s">
        <v>37</v>
      </c>
      <c r="F232" s="19" t="s">
        <v>38</v>
      </c>
      <c r="G232" s="19" t="s">
        <v>60</v>
      </c>
      <c r="H232" s="19">
        <v>20.5</v>
      </c>
      <c r="I232" s="44">
        <v>1286.4</v>
      </c>
      <c r="J232" s="45"/>
      <c r="K232" s="46"/>
      <c r="L232" s="45"/>
      <c r="M232" s="47"/>
      <c r="N232" s="48"/>
      <c r="O232" s="49">
        <f t="shared" si="115"/>
        <v>1286.4</v>
      </c>
      <c r="P232" s="51"/>
      <c r="Q232" s="51"/>
      <c r="R232" s="67">
        <f t="shared" ref="R232:R263" si="121">SUM(108437.5/2395)*H232</f>
        <v>928.170668058455</v>
      </c>
      <c r="S232" s="67"/>
      <c r="T232" s="91">
        <f t="shared" ref="T232:T263" si="122">SUM(162.7/2395)*H232</f>
        <v>1.39263048016701</v>
      </c>
      <c r="U232" s="67"/>
      <c r="V232" s="67"/>
      <c r="W232" s="89">
        <f t="shared" si="117"/>
        <v>929.563298538622</v>
      </c>
      <c r="X232" s="90">
        <f t="shared" ref="X232:X263" si="123">SUM(1473.36/2395)*H232</f>
        <v>12.6112233820459</v>
      </c>
      <c r="Y232" s="90"/>
      <c r="Z232" s="90"/>
      <c r="AA232" s="90">
        <f t="shared" si="120"/>
        <v>12.6112233820459</v>
      </c>
      <c r="AB232" s="107">
        <v>7.19</v>
      </c>
      <c r="AC232" s="67">
        <f t="shared" si="118"/>
        <v>90.6746961169102</v>
      </c>
      <c r="AD232" s="67">
        <f t="shared" si="116"/>
        <v>1020.23799465553</v>
      </c>
      <c r="AE232" s="67">
        <f t="shared" si="119"/>
        <v>266.162005344468</v>
      </c>
    </row>
    <row r="233" customFormat="1" spans="1:31">
      <c r="A233" s="18"/>
      <c r="B233" s="19"/>
      <c r="C233" s="20">
        <v>240129000004</v>
      </c>
      <c r="D233" s="21">
        <v>45329</v>
      </c>
      <c r="E233" s="21" t="s">
        <v>41</v>
      </c>
      <c r="F233" s="19" t="s">
        <v>42</v>
      </c>
      <c r="G233" s="19" t="s">
        <v>233</v>
      </c>
      <c r="H233" s="19">
        <v>6.5</v>
      </c>
      <c r="I233" s="44">
        <v>413</v>
      </c>
      <c r="J233" s="45"/>
      <c r="K233" s="46"/>
      <c r="L233" s="45"/>
      <c r="M233" s="47"/>
      <c r="N233" s="48"/>
      <c r="O233" s="49">
        <f t="shared" si="115"/>
        <v>413</v>
      </c>
      <c r="P233" s="51"/>
      <c r="Q233" s="51"/>
      <c r="R233" s="67">
        <f t="shared" si="121"/>
        <v>294.298016701461</v>
      </c>
      <c r="S233" s="67"/>
      <c r="T233" s="91">
        <f t="shared" si="122"/>
        <v>0.441565762004175</v>
      </c>
      <c r="U233" s="67"/>
      <c r="V233" s="67"/>
      <c r="W233" s="89">
        <f t="shared" si="117"/>
        <v>294.739582463466</v>
      </c>
      <c r="X233" s="90">
        <f t="shared" si="123"/>
        <v>3.99868058455115</v>
      </c>
      <c r="Y233" s="90"/>
      <c r="Z233" s="90"/>
      <c r="AA233" s="90">
        <f t="shared" si="120"/>
        <v>3.99868058455115</v>
      </c>
      <c r="AB233" s="107">
        <v>7.19</v>
      </c>
      <c r="AC233" s="67">
        <f t="shared" si="118"/>
        <v>28.7505134029228</v>
      </c>
      <c r="AD233" s="67">
        <f t="shared" si="116"/>
        <v>323.490095866388</v>
      </c>
      <c r="AE233" s="67">
        <f t="shared" si="119"/>
        <v>89.5099041336117</v>
      </c>
    </row>
    <row r="234" customFormat="1" spans="1:31">
      <c r="A234" s="18"/>
      <c r="B234" s="19"/>
      <c r="C234" s="20">
        <v>240129000021</v>
      </c>
      <c r="D234" s="21">
        <v>45329</v>
      </c>
      <c r="E234" s="21" t="s">
        <v>62</v>
      </c>
      <c r="F234" s="19" t="s">
        <v>63</v>
      </c>
      <c r="G234" s="19" t="s">
        <v>234</v>
      </c>
      <c r="H234" s="19">
        <v>19</v>
      </c>
      <c r="I234" s="44">
        <v>988</v>
      </c>
      <c r="J234" s="45"/>
      <c r="K234" s="46"/>
      <c r="L234" s="45"/>
      <c r="M234" s="47"/>
      <c r="N234" s="48"/>
      <c r="O234" s="49">
        <f t="shared" si="115"/>
        <v>988</v>
      </c>
      <c r="P234" s="51"/>
      <c r="Q234" s="51"/>
      <c r="R234" s="67">
        <f t="shared" si="121"/>
        <v>860.255741127349</v>
      </c>
      <c r="S234" s="67"/>
      <c r="T234" s="91">
        <f t="shared" si="122"/>
        <v>1.29073068893528</v>
      </c>
      <c r="U234" s="67"/>
      <c r="V234" s="67"/>
      <c r="W234" s="89">
        <f t="shared" si="117"/>
        <v>861.546471816284</v>
      </c>
      <c r="X234" s="90">
        <f t="shared" si="123"/>
        <v>11.6884509394572</v>
      </c>
      <c r="Y234" s="90"/>
      <c r="Z234" s="90"/>
      <c r="AA234" s="90">
        <f t="shared" si="120"/>
        <v>11.6884509394572</v>
      </c>
      <c r="AB234" s="107">
        <v>7.19</v>
      </c>
      <c r="AC234" s="67">
        <f t="shared" si="118"/>
        <v>84.0399622546973</v>
      </c>
      <c r="AD234" s="67">
        <f t="shared" si="116"/>
        <v>945.586434070981</v>
      </c>
      <c r="AE234" s="67">
        <f t="shared" si="119"/>
        <v>42.4135659290189</v>
      </c>
    </row>
    <row r="235" customFormat="1" spans="1:31">
      <c r="A235" s="18"/>
      <c r="B235" s="19"/>
      <c r="C235" s="20">
        <v>240129000028</v>
      </c>
      <c r="D235" s="21">
        <v>45329</v>
      </c>
      <c r="E235" s="21" t="s">
        <v>56</v>
      </c>
      <c r="F235" s="19" t="s">
        <v>112</v>
      </c>
      <c r="G235" s="19" t="s">
        <v>185</v>
      </c>
      <c r="H235" s="19">
        <v>5.5</v>
      </c>
      <c r="I235" s="44">
        <v>366.6</v>
      </c>
      <c r="J235" s="45"/>
      <c r="K235" s="46"/>
      <c r="L235" s="45"/>
      <c r="M235" s="47"/>
      <c r="N235" s="48"/>
      <c r="O235" s="49">
        <f t="shared" si="115"/>
        <v>366.6</v>
      </c>
      <c r="P235" s="51"/>
      <c r="Q235" s="51"/>
      <c r="R235" s="67">
        <f t="shared" si="121"/>
        <v>249.02139874739</v>
      </c>
      <c r="S235" s="67"/>
      <c r="T235" s="91">
        <f t="shared" si="122"/>
        <v>0.373632567849687</v>
      </c>
      <c r="U235" s="67"/>
      <c r="V235" s="67"/>
      <c r="W235" s="89">
        <f t="shared" si="117"/>
        <v>249.39503131524</v>
      </c>
      <c r="X235" s="90">
        <f t="shared" si="123"/>
        <v>3.38349895615866</v>
      </c>
      <c r="Y235" s="90"/>
      <c r="Z235" s="90"/>
      <c r="AA235" s="90">
        <f t="shared" si="120"/>
        <v>3.38349895615866</v>
      </c>
      <c r="AB235" s="107">
        <v>7.19</v>
      </c>
      <c r="AC235" s="67">
        <f t="shared" si="118"/>
        <v>24.3273574947808</v>
      </c>
      <c r="AD235" s="67">
        <f t="shared" si="116"/>
        <v>273.722388810021</v>
      </c>
      <c r="AE235" s="67">
        <f t="shared" si="119"/>
        <v>92.8776111899792</v>
      </c>
    </row>
    <row r="236" customFormat="1" spans="1:31">
      <c r="A236" s="18"/>
      <c r="B236" s="19"/>
      <c r="C236" s="20">
        <v>240129000058</v>
      </c>
      <c r="D236" s="21">
        <v>45329</v>
      </c>
      <c r="E236" s="21" t="s">
        <v>37</v>
      </c>
      <c r="F236" s="19" t="s">
        <v>38</v>
      </c>
      <c r="G236" s="19" t="s">
        <v>235</v>
      </c>
      <c r="H236" s="19">
        <v>2</v>
      </c>
      <c r="I236" s="53"/>
      <c r="J236" s="61">
        <v>32205</v>
      </c>
      <c r="K236" s="55"/>
      <c r="L236" s="61">
        <f>SUM(J236/M236)</f>
        <v>2049.96817313813</v>
      </c>
      <c r="M236" s="62">
        <v>15.71</v>
      </c>
      <c r="N236" s="48">
        <v>7.19</v>
      </c>
      <c r="O236" s="49">
        <f>SUM(M236*N236)</f>
        <v>112.9549</v>
      </c>
      <c r="P236" s="51"/>
      <c r="Q236" s="51"/>
      <c r="R236" s="67">
        <f t="shared" si="121"/>
        <v>90.553235908142</v>
      </c>
      <c r="S236" s="67"/>
      <c r="T236" s="91">
        <f t="shared" si="122"/>
        <v>0.135866388308977</v>
      </c>
      <c r="U236" s="67"/>
      <c r="V236" s="67"/>
      <c r="W236" s="89">
        <f t="shared" si="117"/>
        <v>90.6891022964509</v>
      </c>
      <c r="X236" s="90">
        <f t="shared" si="123"/>
        <v>1.23036325678497</v>
      </c>
      <c r="Y236" s="90"/>
      <c r="Z236" s="90"/>
      <c r="AA236" s="90">
        <f t="shared" si="120"/>
        <v>1.23036325678497</v>
      </c>
      <c r="AB236" s="107">
        <v>7.19</v>
      </c>
      <c r="AC236" s="67">
        <f t="shared" si="118"/>
        <v>8.84631181628392</v>
      </c>
      <c r="AD236" s="67">
        <f t="shared" si="116"/>
        <v>99.5354141127349</v>
      </c>
      <c r="AE236" s="67">
        <f t="shared" si="119"/>
        <v>13.4194858872651</v>
      </c>
    </row>
    <row r="237" customFormat="1" spans="1:31">
      <c r="A237" s="18"/>
      <c r="B237" s="19"/>
      <c r="C237" s="20">
        <v>240129000068</v>
      </c>
      <c r="D237" s="21">
        <v>45329</v>
      </c>
      <c r="E237" s="21" t="s">
        <v>62</v>
      </c>
      <c r="F237" s="19" t="s">
        <v>63</v>
      </c>
      <c r="G237" s="19" t="s">
        <v>236</v>
      </c>
      <c r="H237" s="19">
        <v>2</v>
      </c>
      <c r="I237" s="44">
        <v>135.6</v>
      </c>
      <c r="J237" s="45"/>
      <c r="K237" s="46"/>
      <c r="L237" s="45"/>
      <c r="M237" s="47"/>
      <c r="N237" s="48"/>
      <c r="O237" s="49">
        <f t="shared" ref="O237:O246" si="124">SUM(I237)</f>
        <v>135.6</v>
      </c>
      <c r="P237" s="51"/>
      <c r="Q237" s="51"/>
      <c r="R237" s="67">
        <f t="shared" si="121"/>
        <v>90.553235908142</v>
      </c>
      <c r="S237" s="67"/>
      <c r="T237" s="91">
        <f t="shared" si="122"/>
        <v>0.135866388308977</v>
      </c>
      <c r="U237" s="67"/>
      <c r="V237" s="67"/>
      <c r="W237" s="89">
        <f t="shared" si="117"/>
        <v>90.6891022964509</v>
      </c>
      <c r="X237" s="90">
        <f t="shared" si="123"/>
        <v>1.23036325678497</v>
      </c>
      <c r="Y237" s="90"/>
      <c r="Z237" s="90"/>
      <c r="AA237" s="90">
        <f t="shared" si="120"/>
        <v>1.23036325678497</v>
      </c>
      <c r="AB237" s="107">
        <v>7.19</v>
      </c>
      <c r="AC237" s="67">
        <f t="shared" si="118"/>
        <v>8.84631181628392</v>
      </c>
      <c r="AD237" s="67">
        <f t="shared" si="116"/>
        <v>99.5354141127349</v>
      </c>
      <c r="AE237" s="67">
        <f t="shared" si="119"/>
        <v>36.0645858872651</v>
      </c>
    </row>
    <row r="238" customFormat="1" spans="1:31">
      <c r="A238" s="18"/>
      <c r="B238" s="19"/>
      <c r="C238" s="20">
        <v>240130000001</v>
      </c>
      <c r="D238" s="21">
        <v>45329</v>
      </c>
      <c r="E238" s="21" t="s">
        <v>76</v>
      </c>
      <c r="F238" s="19" t="s">
        <v>77</v>
      </c>
      <c r="G238" s="19" t="s">
        <v>116</v>
      </c>
      <c r="H238" s="19">
        <v>6</v>
      </c>
      <c r="I238" s="44">
        <v>423</v>
      </c>
      <c r="J238" s="45"/>
      <c r="K238" s="46"/>
      <c r="L238" s="45"/>
      <c r="M238" s="47"/>
      <c r="N238" s="48"/>
      <c r="O238" s="49">
        <f t="shared" si="124"/>
        <v>423</v>
      </c>
      <c r="P238" s="51"/>
      <c r="Q238" s="51"/>
      <c r="R238" s="67">
        <f t="shared" si="121"/>
        <v>271.659707724426</v>
      </c>
      <c r="S238" s="67"/>
      <c r="T238" s="91">
        <f t="shared" si="122"/>
        <v>0.407599164926931</v>
      </c>
      <c r="U238" s="67"/>
      <c r="V238" s="67"/>
      <c r="W238" s="89">
        <f t="shared" si="117"/>
        <v>272.067306889353</v>
      </c>
      <c r="X238" s="90">
        <f t="shared" si="123"/>
        <v>3.69108977035491</v>
      </c>
      <c r="Y238" s="90"/>
      <c r="Z238" s="90"/>
      <c r="AA238" s="90">
        <f t="shared" si="120"/>
        <v>3.69108977035491</v>
      </c>
      <c r="AB238" s="107">
        <v>7.19</v>
      </c>
      <c r="AC238" s="67">
        <f t="shared" si="118"/>
        <v>26.5389354488518</v>
      </c>
      <c r="AD238" s="67">
        <f t="shared" si="116"/>
        <v>298.606242338205</v>
      </c>
      <c r="AE238" s="67">
        <f t="shared" si="119"/>
        <v>124.393757661795</v>
      </c>
    </row>
    <row r="239" customFormat="1" spans="1:31">
      <c r="A239" s="18"/>
      <c r="B239" s="19"/>
      <c r="C239" s="20">
        <v>240130000005</v>
      </c>
      <c r="D239" s="21">
        <v>45329</v>
      </c>
      <c r="E239" s="21" t="s">
        <v>41</v>
      </c>
      <c r="F239" s="19" t="s">
        <v>42</v>
      </c>
      <c r="G239" s="19" t="s">
        <v>237</v>
      </c>
      <c r="H239" s="19">
        <v>6</v>
      </c>
      <c r="I239" s="44">
        <v>381.6</v>
      </c>
      <c r="J239" s="45"/>
      <c r="K239" s="46"/>
      <c r="L239" s="45"/>
      <c r="M239" s="47"/>
      <c r="N239" s="48"/>
      <c r="O239" s="49">
        <f t="shared" si="124"/>
        <v>381.6</v>
      </c>
      <c r="P239" s="51"/>
      <c r="Q239" s="51"/>
      <c r="R239" s="67">
        <f t="shared" si="121"/>
        <v>271.659707724426</v>
      </c>
      <c r="S239" s="67"/>
      <c r="T239" s="91">
        <f t="shared" si="122"/>
        <v>0.407599164926931</v>
      </c>
      <c r="U239" s="67"/>
      <c r="V239" s="67"/>
      <c r="W239" s="89">
        <f t="shared" si="117"/>
        <v>272.067306889353</v>
      </c>
      <c r="X239" s="90">
        <f t="shared" si="123"/>
        <v>3.69108977035491</v>
      </c>
      <c r="Y239" s="90"/>
      <c r="Z239" s="90"/>
      <c r="AA239" s="90">
        <f t="shared" si="120"/>
        <v>3.69108977035491</v>
      </c>
      <c r="AB239" s="107">
        <v>7.19</v>
      </c>
      <c r="AC239" s="67">
        <f t="shared" si="118"/>
        <v>26.5389354488518</v>
      </c>
      <c r="AD239" s="67">
        <f t="shared" si="116"/>
        <v>298.606242338205</v>
      </c>
      <c r="AE239" s="67">
        <f t="shared" si="119"/>
        <v>82.9937576617955</v>
      </c>
    </row>
    <row r="240" customFormat="1" spans="1:31">
      <c r="A240" s="18"/>
      <c r="B240" s="19"/>
      <c r="C240" s="20">
        <v>240130000010</v>
      </c>
      <c r="D240" s="21">
        <v>45329</v>
      </c>
      <c r="E240" s="21" t="s">
        <v>37</v>
      </c>
      <c r="F240" s="19" t="s">
        <v>38</v>
      </c>
      <c r="G240" s="19" t="s">
        <v>238</v>
      </c>
      <c r="H240" s="19">
        <v>3</v>
      </c>
      <c r="I240" s="44">
        <v>219.6</v>
      </c>
      <c r="J240" s="45"/>
      <c r="K240" s="46"/>
      <c r="L240" s="45"/>
      <c r="M240" s="47"/>
      <c r="N240" s="48"/>
      <c r="O240" s="49">
        <f t="shared" si="124"/>
        <v>219.6</v>
      </c>
      <c r="P240" s="51"/>
      <c r="Q240" s="51"/>
      <c r="R240" s="67">
        <f t="shared" si="121"/>
        <v>135.829853862213</v>
      </c>
      <c r="S240" s="67"/>
      <c r="T240" s="91">
        <f t="shared" si="122"/>
        <v>0.203799582463466</v>
      </c>
      <c r="U240" s="67"/>
      <c r="V240" s="67"/>
      <c r="W240" s="89">
        <f t="shared" si="117"/>
        <v>136.033653444676</v>
      </c>
      <c r="X240" s="90">
        <f t="shared" si="123"/>
        <v>1.84554488517745</v>
      </c>
      <c r="Y240" s="90"/>
      <c r="Z240" s="90"/>
      <c r="AA240" s="90">
        <f t="shared" si="120"/>
        <v>1.84554488517745</v>
      </c>
      <c r="AB240" s="107">
        <v>7.19</v>
      </c>
      <c r="AC240" s="67">
        <f t="shared" si="118"/>
        <v>13.2694677244259</v>
      </c>
      <c r="AD240" s="67">
        <f t="shared" si="116"/>
        <v>149.303121169102</v>
      </c>
      <c r="AE240" s="67">
        <f t="shared" si="119"/>
        <v>70.2968788308977</v>
      </c>
    </row>
    <row r="241" customFormat="1" spans="1:31">
      <c r="A241" s="18"/>
      <c r="B241" s="19"/>
      <c r="C241" s="20">
        <v>240130000011</v>
      </c>
      <c r="D241" s="21">
        <v>45329</v>
      </c>
      <c r="E241" s="21" t="s">
        <v>37</v>
      </c>
      <c r="F241" s="19" t="s">
        <v>38</v>
      </c>
      <c r="G241" s="19" t="s">
        <v>239</v>
      </c>
      <c r="H241" s="19">
        <v>1.5</v>
      </c>
      <c r="I241" s="44">
        <v>111.6</v>
      </c>
      <c r="J241" s="45"/>
      <c r="K241" s="46"/>
      <c r="L241" s="45"/>
      <c r="M241" s="47"/>
      <c r="N241" s="48"/>
      <c r="O241" s="49">
        <f t="shared" si="124"/>
        <v>111.6</v>
      </c>
      <c r="P241" s="51"/>
      <c r="Q241" s="51"/>
      <c r="R241" s="67">
        <f t="shared" si="121"/>
        <v>67.9149269311065</v>
      </c>
      <c r="S241" s="67"/>
      <c r="T241" s="91">
        <f t="shared" si="122"/>
        <v>0.101899791231733</v>
      </c>
      <c r="U241" s="67"/>
      <c r="V241" s="67"/>
      <c r="W241" s="89">
        <f t="shared" si="117"/>
        <v>68.0168267223382</v>
      </c>
      <c r="X241" s="90">
        <f t="shared" si="123"/>
        <v>0.922772442588726</v>
      </c>
      <c r="Y241" s="90"/>
      <c r="Z241" s="90"/>
      <c r="AA241" s="90">
        <f t="shared" si="120"/>
        <v>0.922772442588726</v>
      </c>
      <c r="AB241" s="107">
        <v>7.19</v>
      </c>
      <c r="AC241" s="67">
        <f t="shared" si="118"/>
        <v>6.63473386221294</v>
      </c>
      <c r="AD241" s="67">
        <f t="shared" si="116"/>
        <v>74.6515605845511</v>
      </c>
      <c r="AE241" s="67">
        <f t="shared" si="119"/>
        <v>36.9484394154489</v>
      </c>
    </row>
    <row r="242" customFormat="1" spans="1:31">
      <c r="A242" s="18"/>
      <c r="B242" s="19"/>
      <c r="C242" s="20">
        <v>240130000013</v>
      </c>
      <c r="D242" s="21">
        <v>45329</v>
      </c>
      <c r="E242" s="21" t="s">
        <v>37</v>
      </c>
      <c r="F242" s="19" t="s">
        <v>38</v>
      </c>
      <c r="G242" s="19" t="s">
        <v>240</v>
      </c>
      <c r="H242" s="19">
        <v>5.5</v>
      </c>
      <c r="I242" s="44">
        <v>466</v>
      </c>
      <c r="J242" s="45"/>
      <c r="K242" s="46"/>
      <c r="L242" s="45"/>
      <c r="M242" s="47"/>
      <c r="N242" s="48"/>
      <c r="O242" s="49">
        <f t="shared" si="124"/>
        <v>466</v>
      </c>
      <c r="P242" s="51"/>
      <c r="Q242" s="51"/>
      <c r="R242" s="67">
        <f t="shared" si="121"/>
        <v>249.02139874739</v>
      </c>
      <c r="S242" s="67"/>
      <c r="T242" s="91">
        <f t="shared" si="122"/>
        <v>0.373632567849687</v>
      </c>
      <c r="U242" s="67"/>
      <c r="V242" s="67"/>
      <c r="W242" s="89">
        <f t="shared" si="117"/>
        <v>249.39503131524</v>
      </c>
      <c r="X242" s="90">
        <f t="shared" si="123"/>
        <v>3.38349895615866</v>
      </c>
      <c r="Y242" s="90"/>
      <c r="Z242" s="90"/>
      <c r="AA242" s="90">
        <f t="shared" si="120"/>
        <v>3.38349895615866</v>
      </c>
      <c r="AB242" s="107">
        <v>7.19</v>
      </c>
      <c r="AC242" s="67">
        <f t="shared" si="118"/>
        <v>24.3273574947808</v>
      </c>
      <c r="AD242" s="67">
        <f t="shared" si="116"/>
        <v>273.722388810021</v>
      </c>
      <c r="AE242" s="67">
        <f t="shared" si="119"/>
        <v>192.277611189979</v>
      </c>
    </row>
    <row r="243" customFormat="1" spans="1:31">
      <c r="A243" s="18"/>
      <c r="B243" s="19"/>
      <c r="C243" s="20">
        <v>240130000014</v>
      </c>
      <c r="D243" s="21">
        <v>45329</v>
      </c>
      <c r="E243" s="21" t="s">
        <v>37</v>
      </c>
      <c r="F243" s="19" t="s">
        <v>38</v>
      </c>
      <c r="G243" s="19" t="s">
        <v>176</v>
      </c>
      <c r="H243" s="19">
        <v>199.5</v>
      </c>
      <c r="I243" s="44">
        <v>12656</v>
      </c>
      <c r="J243" s="45"/>
      <c r="K243" s="46"/>
      <c r="L243" s="45"/>
      <c r="M243" s="47"/>
      <c r="N243" s="48"/>
      <c r="O243" s="49">
        <f t="shared" si="124"/>
        <v>12656</v>
      </c>
      <c r="P243" s="51"/>
      <c r="Q243" s="51"/>
      <c r="R243" s="67">
        <f t="shared" si="121"/>
        <v>9032.68528183716</v>
      </c>
      <c r="S243" s="67"/>
      <c r="T243" s="91">
        <f t="shared" si="122"/>
        <v>13.5526722338205</v>
      </c>
      <c r="U243" s="67"/>
      <c r="V243" s="67"/>
      <c r="W243" s="89">
        <f t="shared" si="117"/>
        <v>9046.23795407098</v>
      </c>
      <c r="X243" s="90">
        <f t="shared" si="123"/>
        <v>122.728734864301</v>
      </c>
      <c r="Y243" s="90"/>
      <c r="Z243" s="90"/>
      <c r="AA243" s="90">
        <f t="shared" si="120"/>
        <v>122.728734864301</v>
      </c>
      <c r="AB243" s="107">
        <v>7.19</v>
      </c>
      <c r="AC243" s="67">
        <f t="shared" si="118"/>
        <v>882.419603674321</v>
      </c>
      <c r="AD243" s="67">
        <f t="shared" si="116"/>
        <v>9928.6575577453</v>
      </c>
      <c r="AE243" s="67">
        <f t="shared" si="119"/>
        <v>2727.3424422547</v>
      </c>
    </row>
    <row r="244" customFormat="1" spans="1:31">
      <c r="A244" s="18"/>
      <c r="B244" s="19"/>
      <c r="C244" s="20">
        <v>240130000031</v>
      </c>
      <c r="D244" s="21">
        <v>45329</v>
      </c>
      <c r="E244" s="21" t="s">
        <v>37</v>
      </c>
      <c r="F244" s="19" t="s">
        <v>38</v>
      </c>
      <c r="G244" s="19" t="s">
        <v>241</v>
      </c>
      <c r="H244" s="19">
        <v>7.5</v>
      </c>
      <c r="I244" s="44">
        <v>658</v>
      </c>
      <c r="J244" s="45"/>
      <c r="K244" s="46"/>
      <c r="L244" s="45"/>
      <c r="M244" s="47"/>
      <c r="N244" s="48"/>
      <c r="O244" s="49">
        <f t="shared" si="124"/>
        <v>658</v>
      </c>
      <c r="P244" s="51"/>
      <c r="Q244" s="51"/>
      <c r="R244" s="67">
        <f t="shared" si="121"/>
        <v>339.574634655532</v>
      </c>
      <c r="S244" s="67"/>
      <c r="T244" s="91">
        <f t="shared" si="122"/>
        <v>0.509498956158664</v>
      </c>
      <c r="U244" s="67">
        <v>40</v>
      </c>
      <c r="V244" s="67"/>
      <c r="W244" s="89">
        <f t="shared" si="117"/>
        <v>380.084133611691</v>
      </c>
      <c r="X244" s="90">
        <f t="shared" si="123"/>
        <v>4.61386221294363</v>
      </c>
      <c r="Y244" s="90"/>
      <c r="Z244" s="90"/>
      <c r="AA244" s="90">
        <f t="shared" si="120"/>
        <v>4.61386221294363</v>
      </c>
      <c r="AB244" s="107">
        <v>7.19</v>
      </c>
      <c r="AC244" s="67">
        <f t="shared" si="118"/>
        <v>33.1736693110647</v>
      </c>
      <c r="AD244" s="67">
        <f t="shared" si="116"/>
        <v>413.257802922756</v>
      </c>
      <c r="AE244" s="67">
        <f t="shared" si="119"/>
        <v>244.742197077244</v>
      </c>
    </row>
    <row r="245" customFormat="1" spans="1:31">
      <c r="A245" s="18"/>
      <c r="B245" s="19"/>
      <c r="C245" s="20">
        <v>240130000043</v>
      </c>
      <c r="D245" s="21">
        <v>45329</v>
      </c>
      <c r="E245" s="21" t="s">
        <v>44</v>
      </c>
      <c r="F245" s="19" t="s">
        <v>44</v>
      </c>
      <c r="G245" s="19" t="s">
        <v>242</v>
      </c>
      <c r="H245" s="19">
        <v>12.5</v>
      </c>
      <c r="I245" s="44">
        <v>780</v>
      </c>
      <c r="J245" s="54"/>
      <c r="K245" s="55"/>
      <c r="L245" s="54"/>
      <c r="M245" s="47"/>
      <c r="N245" s="48"/>
      <c r="O245" s="49">
        <f t="shared" si="124"/>
        <v>780</v>
      </c>
      <c r="P245" s="51"/>
      <c r="Q245" s="51"/>
      <c r="R245" s="67">
        <f t="shared" si="121"/>
        <v>565.957724425887</v>
      </c>
      <c r="S245" s="67"/>
      <c r="T245" s="91">
        <f t="shared" si="122"/>
        <v>0.849164926931106</v>
      </c>
      <c r="U245" s="67">
        <v>40</v>
      </c>
      <c r="V245" s="67"/>
      <c r="W245" s="89">
        <f t="shared" si="117"/>
        <v>606.806889352818</v>
      </c>
      <c r="X245" s="90">
        <f t="shared" si="123"/>
        <v>7.68977035490605</v>
      </c>
      <c r="Y245" s="90"/>
      <c r="Z245" s="90"/>
      <c r="AA245" s="90">
        <f t="shared" si="120"/>
        <v>7.68977035490605</v>
      </c>
      <c r="AB245" s="107">
        <v>7.19</v>
      </c>
      <c r="AC245" s="67">
        <f t="shared" si="118"/>
        <v>55.2894488517745</v>
      </c>
      <c r="AD245" s="67">
        <f t="shared" si="116"/>
        <v>662.096338204593</v>
      </c>
      <c r="AE245" s="67">
        <f t="shared" si="119"/>
        <v>117.903661795407</v>
      </c>
    </row>
    <row r="246" customFormat="1" spans="1:31">
      <c r="A246" s="18"/>
      <c r="B246" s="19"/>
      <c r="C246" s="20">
        <v>240131000001</v>
      </c>
      <c r="D246" s="21">
        <v>45329</v>
      </c>
      <c r="E246" s="21" t="s">
        <v>76</v>
      </c>
      <c r="F246" s="19" t="s">
        <v>77</v>
      </c>
      <c r="G246" s="19" t="s">
        <v>147</v>
      </c>
      <c r="H246" s="19">
        <v>4.5</v>
      </c>
      <c r="I246" s="44">
        <v>327</v>
      </c>
      <c r="J246" s="45"/>
      <c r="K246" s="46"/>
      <c r="L246" s="45"/>
      <c r="M246" s="47"/>
      <c r="N246" s="48"/>
      <c r="O246" s="49">
        <f t="shared" si="124"/>
        <v>327</v>
      </c>
      <c r="P246" s="51"/>
      <c r="Q246" s="51"/>
      <c r="R246" s="67">
        <f t="shared" si="121"/>
        <v>203.744780793319</v>
      </c>
      <c r="S246" s="67"/>
      <c r="T246" s="91">
        <f t="shared" si="122"/>
        <v>0.305699373695198</v>
      </c>
      <c r="U246" s="67"/>
      <c r="V246" s="67"/>
      <c r="W246" s="89">
        <f t="shared" si="117"/>
        <v>204.050480167015</v>
      </c>
      <c r="X246" s="90">
        <f t="shared" si="123"/>
        <v>2.76831732776618</v>
      </c>
      <c r="Y246" s="90"/>
      <c r="Z246" s="90"/>
      <c r="AA246" s="90">
        <f t="shared" si="120"/>
        <v>2.76831732776618</v>
      </c>
      <c r="AB246" s="107">
        <v>7.19</v>
      </c>
      <c r="AC246" s="67">
        <f t="shared" si="118"/>
        <v>19.9042015866388</v>
      </c>
      <c r="AD246" s="67">
        <f t="shared" si="116"/>
        <v>223.954681753653</v>
      </c>
      <c r="AE246" s="67">
        <f t="shared" si="119"/>
        <v>103.045318246347</v>
      </c>
    </row>
    <row r="247" customFormat="1" spans="1:31">
      <c r="A247" s="18"/>
      <c r="B247" s="19"/>
      <c r="C247" s="20">
        <v>240131000002</v>
      </c>
      <c r="D247" s="21">
        <v>45329</v>
      </c>
      <c r="E247" s="21" t="s">
        <v>76</v>
      </c>
      <c r="F247" s="19" t="s">
        <v>77</v>
      </c>
      <c r="G247" s="19" t="s">
        <v>243</v>
      </c>
      <c r="H247" s="19">
        <v>4.5</v>
      </c>
      <c r="I247" s="49"/>
      <c r="J247" s="65">
        <v>69819.6</v>
      </c>
      <c r="K247" s="66"/>
      <c r="L247" s="61">
        <f>SUM(J247/M247)</f>
        <v>1660.00007893486</v>
      </c>
      <c r="M247" s="62">
        <v>42.059998</v>
      </c>
      <c r="N247" s="48">
        <v>7.19</v>
      </c>
      <c r="O247" s="49">
        <f>SUM(M247*N247)</f>
        <v>302.41138562</v>
      </c>
      <c r="P247" s="51"/>
      <c r="Q247" s="51"/>
      <c r="R247" s="67">
        <f t="shared" si="121"/>
        <v>203.744780793319</v>
      </c>
      <c r="S247" s="67"/>
      <c r="T247" s="91">
        <f t="shared" si="122"/>
        <v>0.305699373695198</v>
      </c>
      <c r="U247" s="67"/>
      <c r="V247" s="67"/>
      <c r="W247" s="89">
        <f t="shared" si="117"/>
        <v>204.050480167015</v>
      </c>
      <c r="X247" s="90">
        <f t="shared" si="123"/>
        <v>2.76831732776618</v>
      </c>
      <c r="Y247" s="90"/>
      <c r="Z247" s="90"/>
      <c r="AA247" s="90">
        <f t="shared" si="120"/>
        <v>2.76831732776618</v>
      </c>
      <c r="AB247" s="107">
        <v>7.19</v>
      </c>
      <c r="AC247" s="67">
        <f t="shared" si="118"/>
        <v>19.9042015866388</v>
      </c>
      <c r="AD247" s="67">
        <f t="shared" si="116"/>
        <v>223.954681753653</v>
      </c>
      <c r="AE247" s="67">
        <f t="shared" si="119"/>
        <v>78.4567038663465</v>
      </c>
    </row>
    <row r="248" customFormat="1" spans="1:31">
      <c r="A248" s="18"/>
      <c r="B248" s="19"/>
      <c r="C248" s="20">
        <v>240131000003</v>
      </c>
      <c r="D248" s="21">
        <v>45329</v>
      </c>
      <c r="E248" s="21" t="s">
        <v>76</v>
      </c>
      <c r="F248" s="19" t="s">
        <v>77</v>
      </c>
      <c r="G248" s="19" t="s">
        <v>244</v>
      </c>
      <c r="H248" s="19">
        <v>7</v>
      </c>
      <c r="I248" s="44">
        <v>541</v>
      </c>
      <c r="J248" s="45"/>
      <c r="K248" s="46"/>
      <c r="L248" s="45"/>
      <c r="M248" s="47"/>
      <c r="N248" s="48"/>
      <c r="O248" s="49">
        <f t="shared" ref="O248:O254" si="125">SUM(I248)</f>
        <v>541</v>
      </c>
      <c r="P248" s="51"/>
      <c r="Q248" s="51"/>
      <c r="R248" s="67">
        <f t="shared" si="121"/>
        <v>316.936325678497</v>
      </c>
      <c r="S248" s="67"/>
      <c r="T248" s="91">
        <f t="shared" si="122"/>
        <v>0.47553235908142</v>
      </c>
      <c r="U248" s="67"/>
      <c r="V248" s="67"/>
      <c r="W248" s="89">
        <f t="shared" si="117"/>
        <v>317.411858037578</v>
      </c>
      <c r="X248" s="90">
        <f t="shared" si="123"/>
        <v>4.30627139874739</v>
      </c>
      <c r="Y248" s="90"/>
      <c r="Z248" s="90"/>
      <c r="AA248" s="90">
        <f t="shared" si="120"/>
        <v>4.30627139874739</v>
      </c>
      <c r="AB248" s="107">
        <v>7.19</v>
      </c>
      <c r="AC248" s="67">
        <f t="shared" si="118"/>
        <v>30.9620913569937</v>
      </c>
      <c r="AD248" s="67">
        <f t="shared" si="116"/>
        <v>348.373949394572</v>
      </c>
      <c r="AE248" s="67">
        <f t="shared" si="119"/>
        <v>192.626050605428</v>
      </c>
    </row>
    <row r="249" customFormat="1" spans="1:31">
      <c r="A249" s="18"/>
      <c r="B249" s="19"/>
      <c r="C249" s="20">
        <v>240131000009</v>
      </c>
      <c r="D249" s="21">
        <v>45329</v>
      </c>
      <c r="E249" s="21" t="s">
        <v>37</v>
      </c>
      <c r="F249" s="19" t="s">
        <v>38</v>
      </c>
      <c r="G249" s="19" t="s">
        <v>245</v>
      </c>
      <c r="H249" s="19">
        <v>5.5</v>
      </c>
      <c r="I249" s="44">
        <v>401.5</v>
      </c>
      <c r="J249" s="45"/>
      <c r="K249" s="46"/>
      <c r="L249" s="45"/>
      <c r="M249" s="47"/>
      <c r="N249" s="48"/>
      <c r="O249" s="49">
        <f t="shared" si="125"/>
        <v>401.5</v>
      </c>
      <c r="P249" s="51"/>
      <c r="Q249" s="51"/>
      <c r="R249" s="67">
        <f t="shared" si="121"/>
        <v>249.02139874739</v>
      </c>
      <c r="S249" s="67"/>
      <c r="T249" s="91">
        <f t="shared" si="122"/>
        <v>0.373632567849687</v>
      </c>
      <c r="U249" s="67"/>
      <c r="V249" s="67"/>
      <c r="W249" s="89">
        <f t="shared" si="117"/>
        <v>249.39503131524</v>
      </c>
      <c r="X249" s="90">
        <f t="shared" si="123"/>
        <v>3.38349895615866</v>
      </c>
      <c r="Y249" s="90"/>
      <c r="Z249" s="90"/>
      <c r="AA249" s="90">
        <f t="shared" si="120"/>
        <v>3.38349895615866</v>
      </c>
      <c r="AB249" s="107">
        <v>7.19</v>
      </c>
      <c r="AC249" s="67">
        <f t="shared" si="118"/>
        <v>24.3273574947808</v>
      </c>
      <c r="AD249" s="67">
        <f t="shared" si="116"/>
        <v>273.722388810021</v>
      </c>
      <c r="AE249" s="67">
        <f t="shared" si="119"/>
        <v>127.777611189979</v>
      </c>
    </row>
    <row r="250" customFormat="1" spans="1:31">
      <c r="A250" s="18"/>
      <c r="B250" s="19"/>
      <c r="C250" s="20">
        <v>240131000014</v>
      </c>
      <c r="D250" s="21">
        <v>45329</v>
      </c>
      <c r="E250" s="21" t="s">
        <v>37</v>
      </c>
      <c r="F250" s="19" t="s">
        <v>38</v>
      </c>
      <c r="G250" s="19" t="s">
        <v>246</v>
      </c>
      <c r="H250" s="19">
        <v>8</v>
      </c>
      <c r="I250" s="44">
        <v>506.4</v>
      </c>
      <c r="J250" s="45"/>
      <c r="K250" s="46"/>
      <c r="L250" s="45"/>
      <c r="M250" s="47"/>
      <c r="N250" s="48"/>
      <c r="O250" s="49">
        <f t="shared" si="125"/>
        <v>506.4</v>
      </c>
      <c r="P250" s="51"/>
      <c r="Q250" s="51"/>
      <c r="R250" s="67">
        <f t="shared" si="121"/>
        <v>362.212943632568</v>
      </c>
      <c r="S250" s="67"/>
      <c r="T250" s="91">
        <f t="shared" si="122"/>
        <v>0.543465553235908</v>
      </c>
      <c r="U250" s="67"/>
      <c r="V250" s="67"/>
      <c r="W250" s="89">
        <f t="shared" si="117"/>
        <v>362.756409185804</v>
      </c>
      <c r="X250" s="90">
        <f t="shared" si="123"/>
        <v>4.92145302713987</v>
      </c>
      <c r="Y250" s="90"/>
      <c r="Z250" s="90"/>
      <c r="AA250" s="90">
        <f t="shared" si="120"/>
        <v>4.92145302713987</v>
      </c>
      <c r="AB250" s="107">
        <v>7.19</v>
      </c>
      <c r="AC250" s="67">
        <f t="shared" si="118"/>
        <v>35.3852472651357</v>
      </c>
      <c r="AD250" s="67">
        <f t="shared" si="116"/>
        <v>398.141656450939</v>
      </c>
      <c r="AE250" s="67">
        <f t="shared" si="119"/>
        <v>108.25834354906</v>
      </c>
    </row>
    <row r="251" customFormat="1" spans="1:31">
      <c r="A251" s="18"/>
      <c r="B251" s="19"/>
      <c r="C251" s="20">
        <v>240131000015</v>
      </c>
      <c r="D251" s="21">
        <v>45329</v>
      </c>
      <c r="E251" s="21" t="s">
        <v>41</v>
      </c>
      <c r="F251" s="19" t="s">
        <v>42</v>
      </c>
      <c r="G251" s="19" t="s">
        <v>247</v>
      </c>
      <c r="H251" s="19">
        <v>0.86</v>
      </c>
      <c r="I251" s="44">
        <v>65</v>
      </c>
      <c r="J251" s="45"/>
      <c r="K251" s="46"/>
      <c r="L251" s="45"/>
      <c r="M251" s="47"/>
      <c r="N251" s="48"/>
      <c r="O251" s="49">
        <f t="shared" si="125"/>
        <v>65</v>
      </c>
      <c r="P251" s="51"/>
      <c r="Q251" s="51"/>
      <c r="R251" s="67">
        <f t="shared" si="121"/>
        <v>38.937891440501</v>
      </c>
      <c r="S251" s="67"/>
      <c r="T251" s="91">
        <f t="shared" si="122"/>
        <v>0.0584225469728601</v>
      </c>
      <c r="U251" s="67"/>
      <c r="V251" s="67"/>
      <c r="W251" s="89">
        <f t="shared" si="117"/>
        <v>38.9963139874739</v>
      </c>
      <c r="X251" s="90">
        <f t="shared" si="123"/>
        <v>0.529056200417536</v>
      </c>
      <c r="Y251" s="90"/>
      <c r="Z251" s="90"/>
      <c r="AA251" s="90">
        <f t="shared" si="120"/>
        <v>0.529056200417536</v>
      </c>
      <c r="AB251" s="107">
        <v>7.19</v>
      </c>
      <c r="AC251" s="67">
        <f t="shared" si="118"/>
        <v>3.80391408100209</v>
      </c>
      <c r="AD251" s="67">
        <f t="shared" si="116"/>
        <v>42.800228068476</v>
      </c>
      <c r="AE251" s="67">
        <f t="shared" si="119"/>
        <v>22.199771931524</v>
      </c>
    </row>
    <row r="252" customFormat="1" spans="1:31">
      <c r="A252" s="18"/>
      <c r="B252" s="19"/>
      <c r="C252" s="24">
        <v>240131000021</v>
      </c>
      <c r="D252" s="25">
        <v>45329</v>
      </c>
      <c r="E252" s="21" t="s">
        <v>62</v>
      </c>
      <c r="F252" s="26" t="s">
        <v>63</v>
      </c>
      <c r="G252" s="26" t="s">
        <v>248</v>
      </c>
      <c r="H252" s="26">
        <v>5.5</v>
      </c>
      <c r="I252" s="113">
        <v>319</v>
      </c>
      <c r="J252" s="61"/>
      <c r="K252" s="64"/>
      <c r="L252" s="61"/>
      <c r="M252" s="47"/>
      <c r="N252" s="48"/>
      <c r="O252" s="49">
        <f t="shared" si="125"/>
        <v>319</v>
      </c>
      <c r="P252" s="51"/>
      <c r="Q252" s="51"/>
      <c r="R252" s="67">
        <f t="shared" si="121"/>
        <v>249.02139874739</v>
      </c>
      <c r="S252" s="67"/>
      <c r="T252" s="91">
        <f t="shared" si="122"/>
        <v>0.373632567849687</v>
      </c>
      <c r="U252" s="67"/>
      <c r="V252" s="67"/>
      <c r="W252" s="89">
        <f t="shared" si="117"/>
        <v>249.39503131524</v>
      </c>
      <c r="X252" s="90">
        <f t="shared" si="123"/>
        <v>3.38349895615866</v>
      </c>
      <c r="Y252" s="90"/>
      <c r="Z252" s="90"/>
      <c r="AA252" s="90">
        <f t="shared" si="120"/>
        <v>3.38349895615866</v>
      </c>
      <c r="AB252" s="107">
        <v>7.19</v>
      </c>
      <c r="AC252" s="67">
        <f t="shared" si="118"/>
        <v>24.3273574947808</v>
      </c>
      <c r="AD252" s="67">
        <f t="shared" si="116"/>
        <v>273.722388810021</v>
      </c>
      <c r="AE252" s="67">
        <f t="shared" si="119"/>
        <v>45.2776111899792</v>
      </c>
    </row>
    <row r="253" customFormat="1" spans="1:31">
      <c r="A253" s="18"/>
      <c r="B253" s="19"/>
      <c r="C253" s="20">
        <v>240131000025</v>
      </c>
      <c r="D253" s="21">
        <v>45329</v>
      </c>
      <c r="E253" s="21" t="s">
        <v>37</v>
      </c>
      <c r="F253" s="19" t="s">
        <v>38</v>
      </c>
      <c r="G253" s="19" t="s">
        <v>249</v>
      </c>
      <c r="H253" s="19">
        <v>3</v>
      </c>
      <c r="I253" s="44">
        <v>201.6</v>
      </c>
      <c r="J253" s="45"/>
      <c r="K253" s="46"/>
      <c r="L253" s="45"/>
      <c r="M253" s="47"/>
      <c r="N253" s="48"/>
      <c r="O253" s="49">
        <f t="shared" si="125"/>
        <v>201.6</v>
      </c>
      <c r="P253" s="51"/>
      <c r="Q253" s="51"/>
      <c r="R253" s="67">
        <f t="shared" si="121"/>
        <v>135.829853862213</v>
      </c>
      <c r="S253" s="67"/>
      <c r="T253" s="91">
        <f t="shared" si="122"/>
        <v>0.203799582463466</v>
      </c>
      <c r="U253" s="67"/>
      <c r="V253" s="67"/>
      <c r="W253" s="89">
        <f t="shared" si="117"/>
        <v>136.033653444676</v>
      </c>
      <c r="X253" s="90">
        <f t="shared" si="123"/>
        <v>1.84554488517745</v>
      </c>
      <c r="Y253" s="90"/>
      <c r="Z253" s="90"/>
      <c r="AA253" s="90">
        <f t="shared" si="120"/>
        <v>1.84554488517745</v>
      </c>
      <c r="AB253" s="107">
        <v>7.19</v>
      </c>
      <c r="AC253" s="67">
        <f t="shared" si="118"/>
        <v>13.2694677244259</v>
      </c>
      <c r="AD253" s="67">
        <f t="shared" si="116"/>
        <v>149.303121169102</v>
      </c>
      <c r="AE253" s="67">
        <f t="shared" si="119"/>
        <v>52.2968788308977</v>
      </c>
    </row>
    <row r="254" customFormat="1" spans="1:31">
      <c r="A254" s="18"/>
      <c r="B254" s="19"/>
      <c r="C254" s="20">
        <v>240131000031</v>
      </c>
      <c r="D254" s="21">
        <v>45329</v>
      </c>
      <c r="E254" s="21" t="s">
        <v>41</v>
      </c>
      <c r="F254" s="19" t="s">
        <v>42</v>
      </c>
      <c r="G254" s="19" t="s">
        <v>250</v>
      </c>
      <c r="H254" s="19">
        <v>4.5</v>
      </c>
      <c r="I254" s="44">
        <v>436.8</v>
      </c>
      <c r="J254" s="45"/>
      <c r="K254" s="46"/>
      <c r="L254" s="45"/>
      <c r="M254" s="47"/>
      <c r="N254" s="48"/>
      <c r="O254" s="49">
        <f t="shared" si="125"/>
        <v>436.8</v>
      </c>
      <c r="P254" s="51"/>
      <c r="Q254" s="51"/>
      <c r="R254" s="67">
        <f t="shared" si="121"/>
        <v>203.744780793319</v>
      </c>
      <c r="S254" s="67"/>
      <c r="T254" s="91">
        <f t="shared" si="122"/>
        <v>0.305699373695198</v>
      </c>
      <c r="U254" s="67"/>
      <c r="V254" s="67"/>
      <c r="W254" s="89">
        <f t="shared" si="117"/>
        <v>204.050480167015</v>
      </c>
      <c r="X254" s="90">
        <f t="shared" si="123"/>
        <v>2.76831732776618</v>
      </c>
      <c r="Y254" s="90"/>
      <c r="Z254" s="90"/>
      <c r="AA254" s="90">
        <f t="shared" si="120"/>
        <v>2.76831732776618</v>
      </c>
      <c r="AB254" s="107">
        <v>7.19</v>
      </c>
      <c r="AC254" s="67">
        <f t="shared" si="118"/>
        <v>19.9042015866388</v>
      </c>
      <c r="AD254" s="67">
        <f t="shared" si="116"/>
        <v>223.954681753653</v>
      </c>
      <c r="AE254" s="67">
        <f t="shared" si="119"/>
        <v>212.845318246347</v>
      </c>
    </row>
    <row r="255" customFormat="1" spans="1:31">
      <c r="A255" s="18"/>
      <c r="B255" s="19"/>
      <c r="C255" s="20">
        <v>240131000032</v>
      </c>
      <c r="D255" s="21">
        <v>45329</v>
      </c>
      <c r="E255" s="21" t="s">
        <v>41</v>
      </c>
      <c r="F255" s="19" t="s">
        <v>42</v>
      </c>
      <c r="G255" s="19" t="s">
        <v>192</v>
      </c>
      <c r="H255" s="19">
        <v>2</v>
      </c>
      <c r="I255" s="53"/>
      <c r="J255" s="61">
        <v>51050</v>
      </c>
      <c r="K255" s="55"/>
      <c r="L255" s="61">
        <f>SUM(J255/M255)</f>
        <v>2955.99305153445</v>
      </c>
      <c r="M255" s="62">
        <v>17.27</v>
      </c>
      <c r="N255" s="48">
        <v>7.19</v>
      </c>
      <c r="O255" s="49">
        <f>SUM(M255*N255)</f>
        <v>124.1713</v>
      </c>
      <c r="P255" s="51"/>
      <c r="Q255" s="51"/>
      <c r="R255" s="67">
        <f t="shared" si="121"/>
        <v>90.553235908142</v>
      </c>
      <c r="S255" s="67"/>
      <c r="T255" s="91">
        <f t="shared" si="122"/>
        <v>0.135866388308977</v>
      </c>
      <c r="U255" s="67"/>
      <c r="V255" s="67"/>
      <c r="W255" s="89">
        <f t="shared" si="117"/>
        <v>90.6891022964509</v>
      </c>
      <c r="X255" s="90">
        <f t="shared" si="123"/>
        <v>1.23036325678497</v>
      </c>
      <c r="Y255" s="90"/>
      <c r="Z255" s="90"/>
      <c r="AA255" s="90">
        <f t="shared" si="120"/>
        <v>1.23036325678497</v>
      </c>
      <c r="AB255" s="107">
        <v>7.19</v>
      </c>
      <c r="AC255" s="67">
        <f t="shared" si="118"/>
        <v>8.84631181628392</v>
      </c>
      <c r="AD255" s="67">
        <f t="shared" si="116"/>
        <v>99.5354141127349</v>
      </c>
      <c r="AE255" s="67">
        <f t="shared" si="119"/>
        <v>24.6358858872651</v>
      </c>
    </row>
    <row r="256" customFormat="1" spans="1:31">
      <c r="A256" s="18"/>
      <c r="B256" s="19"/>
      <c r="C256" s="20">
        <v>240131000033</v>
      </c>
      <c r="D256" s="21">
        <v>45329</v>
      </c>
      <c r="E256" s="21" t="s">
        <v>62</v>
      </c>
      <c r="F256" s="19" t="s">
        <v>63</v>
      </c>
      <c r="G256" s="19" t="s">
        <v>64</v>
      </c>
      <c r="H256" s="19">
        <v>2.5</v>
      </c>
      <c r="I256" s="49"/>
      <c r="J256" s="65">
        <v>39150</v>
      </c>
      <c r="K256" s="66"/>
      <c r="L256" s="61">
        <f>SUM(J256/M256)</f>
        <v>1660.30534351145</v>
      </c>
      <c r="M256" s="62">
        <v>23.58</v>
      </c>
      <c r="N256" s="48">
        <v>7.19</v>
      </c>
      <c r="O256" s="49">
        <f>SUM(M256*N256)</f>
        <v>169.5402</v>
      </c>
      <c r="P256" s="51"/>
      <c r="Q256" s="51"/>
      <c r="R256" s="67">
        <f t="shared" si="121"/>
        <v>113.191544885177</v>
      </c>
      <c r="S256" s="67"/>
      <c r="T256" s="91">
        <f t="shared" si="122"/>
        <v>0.169832985386221</v>
      </c>
      <c r="U256" s="67"/>
      <c r="V256" s="67"/>
      <c r="W256" s="89">
        <f t="shared" si="117"/>
        <v>113.361377870564</v>
      </c>
      <c r="X256" s="90">
        <f t="shared" si="123"/>
        <v>1.53795407098121</v>
      </c>
      <c r="Y256" s="90"/>
      <c r="Z256" s="90"/>
      <c r="AA256" s="90">
        <f t="shared" si="120"/>
        <v>1.53795407098121</v>
      </c>
      <c r="AB256" s="107">
        <v>7.19</v>
      </c>
      <c r="AC256" s="67">
        <f t="shared" si="118"/>
        <v>11.0578897703549</v>
      </c>
      <c r="AD256" s="67">
        <f t="shared" si="116"/>
        <v>124.419267640919</v>
      </c>
      <c r="AE256" s="67">
        <f t="shared" si="119"/>
        <v>45.1209323590814</v>
      </c>
    </row>
    <row r="257" customFormat="1" spans="1:31">
      <c r="A257" s="18"/>
      <c r="B257" s="19"/>
      <c r="C257" s="20">
        <v>240131000034</v>
      </c>
      <c r="D257" s="21">
        <v>45329</v>
      </c>
      <c r="E257" s="21" t="s">
        <v>41</v>
      </c>
      <c r="F257" s="19" t="s">
        <v>42</v>
      </c>
      <c r="G257" s="19" t="s">
        <v>251</v>
      </c>
      <c r="H257" s="19">
        <v>2</v>
      </c>
      <c r="I257" s="44">
        <v>135.6</v>
      </c>
      <c r="J257" s="45"/>
      <c r="K257" s="46"/>
      <c r="L257" s="45"/>
      <c r="M257" s="47"/>
      <c r="N257" s="48"/>
      <c r="O257" s="49">
        <f t="shared" ref="O257:O262" si="126">SUM(I257)</f>
        <v>135.6</v>
      </c>
      <c r="P257" s="51"/>
      <c r="Q257" s="51"/>
      <c r="R257" s="67">
        <f t="shared" si="121"/>
        <v>90.553235908142</v>
      </c>
      <c r="S257" s="67"/>
      <c r="T257" s="91">
        <f t="shared" si="122"/>
        <v>0.135866388308977</v>
      </c>
      <c r="U257" s="67"/>
      <c r="V257" s="67"/>
      <c r="W257" s="89">
        <f t="shared" si="117"/>
        <v>90.6891022964509</v>
      </c>
      <c r="X257" s="90">
        <f t="shared" si="123"/>
        <v>1.23036325678497</v>
      </c>
      <c r="Y257" s="90"/>
      <c r="Z257" s="90"/>
      <c r="AA257" s="90">
        <f t="shared" si="120"/>
        <v>1.23036325678497</v>
      </c>
      <c r="AB257" s="107">
        <v>7.19</v>
      </c>
      <c r="AC257" s="67">
        <f t="shared" si="118"/>
        <v>8.84631181628392</v>
      </c>
      <c r="AD257" s="67">
        <f t="shared" si="116"/>
        <v>99.5354141127349</v>
      </c>
      <c r="AE257" s="67">
        <f t="shared" si="119"/>
        <v>36.0645858872651</v>
      </c>
    </row>
    <row r="258" customFormat="1" spans="1:31">
      <c r="A258" s="18"/>
      <c r="B258" s="19"/>
      <c r="C258" s="20">
        <v>240131000036</v>
      </c>
      <c r="D258" s="21">
        <v>45329</v>
      </c>
      <c r="E258" s="21" t="s">
        <v>76</v>
      </c>
      <c r="F258" s="19" t="s">
        <v>77</v>
      </c>
      <c r="G258" s="19" t="s">
        <v>252</v>
      </c>
      <c r="H258" s="19">
        <v>12</v>
      </c>
      <c r="I258" s="44">
        <v>864</v>
      </c>
      <c r="J258" s="45"/>
      <c r="K258" s="46"/>
      <c r="L258" s="45"/>
      <c r="M258" s="47"/>
      <c r="N258" s="48"/>
      <c r="O258" s="49">
        <f t="shared" si="126"/>
        <v>864</v>
      </c>
      <c r="P258" s="51"/>
      <c r="Q258" s="51"/>
      <c r="R258" s="67">
        <f t="shared" si="121"/>
        <v>543.319415448852</v>
      </c>
      <c r="S258" s="67"/>
      <c r="T258" s="91">
        <f t="shared" si="122"/>
        <v>0.815198329853862</v>
      </c>
      <c r="U258" s="67"/>
      <c r="V258" s="67"/>
      <c r="W258" s="89">
        <f t="shared" si="117"/>
        <v>544.134613778706</v>
      </c>
      <c r="X258" s="90">
        <f t="shared" si="123"/>
        <v>7.38217954070981</v>
      </c>
      <c r="Y258" s="90"/>
      <c r="Z258" s="90"/>
      <c r="AA258" s="90">
        <f t="shared" si="120"/>
        <v>7.38217954070981</v>
      </c>
      <c r="AB258" s="107">
        <v>7.19</v>
      </c>
      <c r="AC258" s="67">
        <f t="shared" si="118"/>
        <v>53.0778708977035</v>
      </c>
      <c r="AD258" s="67">
        <f t="shared" si="116"/>
        <v>597.212484676409</v>
      </c>
      <c r="AE258" s="67">
        <f t="shared" si="119"/>
        <v>266.787515323591</v>
      </c>
    </row>
    <row r="259" customFormat="1" spans="1:31">
      <c r="A259" s="18"/>
      <c r="B259" s="19"/>
      <c r="C259" s="20">
        <v>240131000037</v>
      </c>
      <c r="D259" s="21">
        <v>45329</v>
      </c>
      <c r="E259" s="21" t="s">
        <v>76</v>
      </c>
      <c r="F259" s="19" t="s">
        <v>77</v>
      </c>
      <c r="G259" s="19" t="s">
        <v>253</v>
      </c>
      <c r="H259" s="19">
        <v>6</v>
      </c>
      <c r="I259" s="44">
        <v>450</v>
      </c>
      <c r="J259" s="45"/>
      <c r="K259" s="46"/>
      <c r="L259" s="45"/>
      <c r="M259" s="47"/>
      <c r="N259" s="48"/>
      <c r="O259" s="49">
        <f t="shared" si="126"/>
        <v>450</v>
      </c>
      <c r="P259" s="51"/>
      <c r="Q259" s="51"/>
      <c r="R259" s="67">
        <f t="shared" si="121"/>
        <v>271.659707724426</v>
      </c>
      <c r="S259" s="67"/>
      <c r="T259" s="91">
        <f t="shared" si="122"/>
        <v>0.407599164926931</v>
      </c>
      <c r="U259" s="67"/>
      <c r="V259" s="67"/>
      <c r="W259" s="89">
        <f t="shared" si="117"/>
        <v>272.067306889353</v>
      </c>
      <c r="X259" s="90">
        <f t="shared" si="123"/>
        <v>3.69108977035491</v>
      </c>
      <c r="Y259" s="90"/>
      <c r="Z259" s="90"/>
      <c r="AA259" s="90">
        <f t="shared" si="120"/>
        <v>3.69108977035491</v>
      </c>
      <c r="AB259" s="107">
        <v>7.19</v>
      </c>
      <c r="AC259" s="67">
        <f t="shared" si="118"/>
        <v>26.5389354488518</v>
      </c>
      <c r="AD259" s="67">
        <f t="shared" si="116"/>
        <v>298.606242338205</v>
      </c>
      <c r="AE259" s="67">
        <f t="shared" si="119"/>
        <v>151.393757661795</v>
      </c>
    </row>
    <row r="260" customFormat="1" spans="1:31">
      <c r="A260" s="18"/>
      <c r="B260" s="19"/>
      <c r="C260" s="20">
        <v>240131000043</v>
      </c>
      <c r="D260" s="21">
        <v>45329</v>
      </c>
      <c r="E260" s="21" t="s">
        <v>37</v>
      </c>
      <c r="F260" s="19" t="s">
        <v>38</v>
      </c>
      <c r="G260" s="19" t="s">
        <v>229</v>
      </c>
      <c r="H260" s="19">
        <v>11</v>
      </c>
      <c r="I260" s="44">
        <v>771.6</v>
      </c>
      <c r="J260" s="45"/>
      <c r="K260" s="46"/>
      <c r="L260" s="45"/>
      <c r="M260" s="47"/>
      <c r="N260" s="48"/>
      <c r="O260" s="49">
        <f t="shared" si="126"/>
        <v>771.6</v>
      </c>
      <c r="P260" s="51"/>
      <c r="Q260" s="51"/>
      <c r="R260" s="67">
        <f t="shared" si="121"/>
        <v>498.042797494781</v>
      </c>
      <c r="S260" s="67"/>
      <c r="T260" s="91">
        <f t="shared" si="122"/>
        <v>0.747265135699374</v>
      </c>
      <c r="U260" s="67"/>
      <c r="V260" s="67"/>
      <c r="W260" s="89">
        <f t="shared" si="117"/>
        <v>498.79006263048</v>
      </c>
      <c r="X260" s="90">
        <f t="shared" si="123"/>
        <v>6.76699791231733</v>
      </c>
      <c r="Y260" s="90"/>
      <c r="Z260" s="90"/>
      <c r="AA260" s="90">
        <f t="shared" si="120"/>
        <v>6.76699791231733</v>
      </c>
      <c r="AB260" s="107">
        <v>7.19</v>
      </c>
      <c r="AC260" s="67">
        <f t="shared" si="118"/>
        <v>48.6547149895616</v>
      </c>
      <c r="AD260" s="67">
        <f t="shared" si="116"/>
        <v>547.444777620042</v>
      </c>
      <c r="AE260" s="67">
        <f t="shared" si="119"/>
        <v>224.155222379958</v>
      </c>
    </row>
    <row r="261" customFormat="1" spans="1:31">
      <c r="A261" s="18"/>
      <c r="B261" s="19"/>
      <c r="C261" s="20">
        <v>240131000046</v>
      </c>
      <c r="D261" s="21">
        <v>45329</v>
      </c>
      <c r="E261" s="21" t="s">
        <v>62</v>
      </c>
      <c r="F261" s="19" t="s">
        <v>63</v>
      </c>
      <c r="G261" s="19" t="s">
        <v>254</v>
      </c>
      <c r="H261" s="19">
        <v>6.5</v>
      </c>
      <c r="I261" s="44">
        <v>412.8</v>
      </c>
      <c r="J261" s="45"/>
      <c r="K261" s="46"/>
      <c r="L261" s="45"/>
      <c r="M261" s="47"/>
      <c r="N261" s="48"/>
      <c r="O261" s="49">
        <f t="shared" si="126"/>
        <v>412.8</v>
      </c>
      <c r="P261" s="51"/>
      <c r="Q261" s="51"/>
      <c r="R261" s="67">
        <f t="shared" si="121"/>
        <v>294.298016701461</v>
      </c>
      <c r="S261" s="67"/>
      <c r="T261" s="91">
        <f t="shared" si="122"/>
        <v>0.441565762004175</v>
      </c>
      <c r="U261" s="67"/>
      <c r="V261" s="67"/>
      <c r="W261" s="89">
        <f t="shared" si="117"/>
        <v>294.739582463466</v>
      </c>
      <c r="X261" s="90">
        <f t="shared" si="123"/>
        <v>3.99868058455115</v>
      </c>
      <c r="Y261" s="90"/>
      <c r="Z261" s="90"/>
      <c r="AA261" s="90">
        <f t="shared" si="120"/>
        <v>3.99868058455115</v>
      </c>
      <c r="AB261" s="107">
        <v>7.19</v>
      </c>
      <c r="AC261" s="67">
        <f t="shared" si="118"/>
        <v>28.7505134029228</v>
      </c>
      <c r="AD261" s="67">
        <f t="shared" ref="AD261:AD297" si="127">SUM(W261+AC261)</f>
        <v>323.490095866388</v>
      </c>
      <c r="AE261" s="67">
        <f t="shared" si="119"/>
        <v>89.3099041336117</v>
      </c>
    </row>
    <row r="262" customFormat="1" spans="1:31">
      <c r="A262" s="18"/>
      <c r="B262" s="19"/>
      <c r="C262" s="20">
        <v>240131000050</v>
      </c>
      <c r="D262" s="21">
        <v>45329</v>
      </c>
      <c r="E262" s="21" t="s">
        <v>62</v>
      </c>
      <c r="F262" s="19" t="s">
        <v>63</v>
      </c>
      <c r="G262" s="19" t="s">
        <v>255</v>
      </c>
      <c r="H262" s="19">
        <v>4.5</v>
      </c>
      <c r="I262" s="44">
        <v>300</v>
      </c>
      <c r="J262" s="45"/>
      <c r="K262" s="46"/>
      <c r="L262" s="45"/>
      <c r="M262" s="47"/>
      <c r="N262" s="48"/>
      <c r="O262" s="49">
        <f t="shared" si="126"/>
        <v>300</v>
      </c>
      <c r="P262" s="51"/>
      <c r="Q262" s="51"/>
      <c r="R262" s="67">
        <f t="shared" si="121"/>
        <v>203.744780793319</v>
      </c>
      <c r="S262" s="67"/>
      <c r="T262" s="91">
        <f t="shared" si="122"/>
        <v>0.305699373695198</v>
      </c>
      <c r="U262" s="67"/>
      <c r="V262" s="67"/>
      <c r="W262" s="89">
        <f t="shared" ref="W262:W299" si="128">SUM(R262:V262)</f>
        <v>204.050480167015</v>
      </c>
      <c r="X262" s="90">
        <f t="shared" si="123"/>
        <v>2.76831732776618</v>
      </c>
      <c r="Y262" s="90"/>
      <c r="Z262" s="90"/>
      <c r="AA262" s="90">
        <f t="shared" si="120"/>
        <v>2.76831732776618</v>
      </c>
      <c r="AB262" s="107">
        <v>7.19</v>
      </c>
      <c r="AC262" s="67">
        <f t="shared" ref="AC262:AC298" si="129">SUM(AA262*AB262)</f>
        <v>19.9042015866388</v>
      </c>
      <c r="AD262" s="67">
        <f t="shared" si="127"/>
        <v>223.954681753653</v>
      </c>
      <c r="AE262" s="67">
        <f t="shared" ref="AE262:AE297" si="130">SUM(O262-AD262)</f>
        <v>76.0453182463466</v>
      </c>
    </row>
    <row r="263" customFormat="1" spans="1:31">
      <c r="A263" s="18"/>
      <c r="B263" s="19"/>
      <c r="C263" s="20">
        <v>240131000051</v>
      </c>
      <c r="D263" s="21">
        <v>45329</v>
      </c>
      <c r="E263" s="21" t="s">
        <v>62</v>
      </c>
      <c r="F263" s="19" t="s">
        <v>63</v>
      </c>
      <c r="G263" s="19" t="s">
        <v>256</v>
      </c>
      <c r="H263" s="19">
        <v>0.4</v>
      </c>
      <c r="I263" s="49"/>
      <c r="J263" s="65">
        <v>16135.2</v>
      </c>
      <c r="K263" s="66"/>
      <c r="L263" s="61">
        <f>SUM(J263/M263)</f>
        <v>1660</v>
      </c>
      <c r="M263" s="62">
        <v>9.72</v>
      </c>
      <c r="N263" s="48">
        <v>7.19</v>
      </c>
      <c r="O263" s="49">
        <f>SUM(M263*N263)</f>
        <v>69.8868</v>
      </c>
      <c r="P263" s="51"/>
      <c r="Q263" s="51"/>
      <c r="R263" s="67">
        <f t="shared" si="121"/>
        <v>18.1106471816284</v>
      </c>
      <c r="S263" s="67"/>
      <c r="T263" s="91">
        <f t="shared" si="122"/>
        <v>0.0271732776617954</v>
      </c>
      <c r="U263" s="67"/>
      <c r="V263" s="67"/>
      <c r="W263" s="89">
        <f t="shared" si="128"/>
        <v>18.1378204592902</v>
      </c>
      <c r="X263" s="90">
        <f t="shared" si="123"/>
        <v>0.246072651356994</v>
      </c>
      <c r="Y263" s="90"/>
      <c r="Z263" s="90"/>
      <c r="AA263" s="90">
        <f t="shared" ref="AA263:AA299" si="131">SUM(X263:Z263)</f>
        <v>0.246072651356994</v>
      </c>
      <c r="AB263" s="107">
        <v>7.19</v>
      </c>
      <c r="AC263" s="67">
        <f t="shared" si="129"/>
        <v>1.76926236325678</v>
      </c>
      <c r="AD263" s="67">
        <f t="shared" si="127"/>
        <v>19.907082822547</v>
      </c>
      <c r="AE263" s="67">
        <f t="shared" si="130"/>
        <v>49.979717177453</v>
      </c>
    </row>
    <row r="264" customFormat="1" spans="1:31">
      <c r="A264" s="18"/>
      <c r="B264" s="19"/>
      <c r="C264" s="20">
        <v>240131000053</v>
      </c>
      <c r="D264" s="21">
        <v>45329</v>
      </c>
      <c r="E264" s="21" t="s">
        <v>37</v>
      </c>
      <c r="F264" s="19" t="s">
        <v>38</v>
      </c>
      <c r="G264" s="19" t="s">
        <v>257</v>
      </c>
      <c r="H264" s="19">
        <v>15</v>
      </c>
      <c r="I264" s="44">
        <v>786</v>
      </c>
      <c r="J264" s="45"/>
      <c r="K264" s="46"/>
      <c r="L264" s="45"/>
      <c r="M264" s="47"/>
      <c r="N264" s="48"/>
      <c r="O264" s="49">
        <f t="shared" ref="O264:O268" si="132">SUM(I264)</f>
        <v>786</v>
      </c>
      <c r="P264" s="51"/>
      <c r="Q264" s="51"/>
      <c r="R264" s="67">
        <f t="shared" ref="R264:R299" si="133">SUM(108437.5/2395)*H264</f>
        <v>679.149269311065</v>
      </c>
      <c r="S264" s="67"/>
      <c r="T264" s="91">
        <f t="shared" ref="T264:T299" si="134">SUM(162.7/2395)*H264</f>
        <v>1.01899791231733</v>
      </c>
      <c r="U264" s="67"/>
      <c r="V264" s="67"/>
      <c r="W264" s="89">
        <f t="shared" si="128"/>
        <v>680.168267223382</v>
      </c>
      <c r="X264" s="90">
        <f t="shared" ref="X264:X299" si="135">SUM(1473.36/2395)*H264</f>
        <v>9.22772442588726</v>
      </c>
      <c r="Y264" s="90"/>
      <c r="Z264" s="90"/>
      <c r="AA264" s="90">
        <f t="shared" si="131"/>
        <v>9.22772442588726</v>
      </c>
      <c r="AB264" s="107">
        <v>7.19</v>
      </c>
      <c r="AC264" s="67">
        <f t="shared" si="129"/>
        <v>66.3473386221294</v>
      </c>
      <c r="AD264" s="67">
        <f t="shared" si="127"/>
        <v>746.515605845511</v>
      </c>
      <c r="AE264" s="67">
        <f t="shared" si="130"/>
        <v>39.4843941544885</v>
      </c>
    </row>
    <row r="265" customFormat="1" spans="1:31">
      <c r="A265" s="18"/>
      <c r="B265" s="19"/>
      <c r="C265" s="20">
        <v>240201000004</v>
      </c>
      <c r="D265" s="21">
        <v>45329</v>
      </c>
      <c r="E265" s="21" t="s">
        <v>37</v>
      </c>
      <c r="F265" s="19" t="s">
        <v>38</v>
      </c>
      <c r="G265" s="19" t="s">
        <v>258</v>
      </c>
      <c r="H265" s="19">
        <v>4</v>
      </c>
      <c r="I265" s="44">
        <v>267.6</v>
      </c>
      <c r="J265" s="45"/>
      <c r="K265" s="46"/>
      <c r="L265" s="45"/>
      <c r="M265" s="47"/>
      <c r="N265" s="48"/>
      <c r="O265" s="49">
        <f t="shared" si="132"/>
        <v>267.6</v>
      </c>
      <c r="P265" s="51"/>
      <c r="Q265" s="51"/>
      <c r="R265" s="67">
        <f t="shared" si="133"/>
        <v>181.106471816284</v>
      </c>
      <c r="S265" s="67"/>
      <c r="T265" s="91">
        <f t="shared" si="134"/>
        <v>0.271732776617954</v>
      </c>
      <c r="U265" s="67"/>
      <c r="V265" s="67"/>
      <c r="W265" s="89">
        <f t="shared" si="128"/>
        <v>181.378204592902</v>
      </c>
      <c r="X265" s="90">
        <f t="shared" si="135"/>
        <v>2.46072651356994</v>
      </c>
      <c r="Y265" s="90"/>
      <c r="Z265" s="90"/>
      <c r="AA265" s="90">
        <f t="shared" si="131"/>
        <v>2.46072651356994</v>
      </c>
      <c r="AB265" s="107">
        <v>7.19</v>
      </c>
      <c r="AC265" s="67">
        <f t="shared" si="129"/>
        <v>17.6926236325678</v>
      </c>
      <c r="AD265" s="67">
        <f t="shared" si="127"/>
        <v>199.07082822547</v>
      </c>
      <c r="AE265" s="67">
        <f t="shared" si="130"/>
        <v>68.5291717745303</v>
      </c>
    </row>
    <row r="266" customFormat="1" spans="1:31">
      <c r="A266" s="18"/>
      <c r="B266" s="19"/>
      <c r="C266" s="20">
        <v>240201000005</v>
      </c>
      <c r="D266" s="21">
        <v>45329</v>
      </c>
      <c r="E266" s="21" t="s">
        <v>41</v>
      </c>
      <c r="F266" s="19" t="s">
        <v>42</v>
      </c>
      <c r="G266" s="19" t="s">
        <v>259</v>
      </c>
      <c r="H266" s="19">
        <v>10.5</v>
      </c>
      <c r="I266" s="44">
        <v>585</v>
      </c>
      <c r="J266" s="45"/>
      <c r="K266" s="46"/>
      <c r="L266" s="45"/>
      <c r="M266" s="47"/>
      <c r="N266" s="48"/>
      <c r="O266" s="49">
        <f t="shared" si="132"/>
        <v>585</v>
      </c>
      <c r="P266" s="51"/>
      <c r="Q266" s="51"/>
      <c r="R266" s="67">
        <f t="shared" si="133"/>
        <v>475.404488517745</v>
      </c>
      <c r="S266" s="67"/>
      <c r="T266" s="91">
        <f t="shared" si="134"/>
        <v>0.713298538622129</v>
      </c>
      <c r="U266" s="67"/>
      <c r="V266" s="67"/>
      <c r="W266" s="89">
        <f t="shared" si="128"/>
        <v>476.117787056367</v>
      </c>
      <c r="X266" s="90">
        <f t="shared" si="135"/>
        <v>6.45940709812108</v>
      </c>
      <c r="Y266" s="90"/>
      <c r="Z266" s="90"/>
      <c r="AA266" s="90">
        <f t="shared" si="131"/>
        <v>6.45940709812108</v>
      </c>
      <c r="AB266" s="107">
        <v>7.19</v>
      </c>
      <c r="AC266" s="67">
        <f t="shared" si="129"/>
        <v>46.4431370354906</v>
      </c>
      <c r="AD266" s="67">
        <f t="shared" si="127"/>
        <v>522.560924091858</v>
      </c>
      <c r="AE266" s="67">
        <f t="shared" si="130"/>
        <v>62.4390759081419</v>
      </c>
    </row>
    <row r="267" customFormat="1" spans="1:31">
      <c r="A267" s="18"/>
      <c r="B267" s="19"/>
      <c r="C267" s="20">
        <v>240201000009</v>
      </c>
      <c r="D267" s="21">
        <v>45329</v>
      </c>
      <c r="E267" s="21" t="s">
        <v>41</v>
      </c>
      <c r="F267" s="19" t="s">
        <v>42</v>
      </c>
      <c r="G267" s="19" t="s">
        <v>260</v>
      </c>
      <c r="H267" s="19">
        <v>16</v>
      </c>
      <c r="I267" s="44">
        <v>1119.6</v>
      </c>
      <c r="J267" s="45"/>
      <c r="K267" s="46"/>
      <c r="L267" s="45"/>
      <c r="M267" s="47"/>
      <c r="N267" s="48"/>
      <c r="O267" s="49">
        <f t="shared" si="132"/>
        <v>1119.6</v>
      </c>
      <c r="P267" s="51"/>
      <c r="Q267" s="51"/>
      <c r="R267" s="67">
        <f t="shared" si="133"/>
        <v>724.425887265136</v>
      </c>
      <c r="S267" s="67"/>
      <c r="T267" s="91">
        <f t="shared" si="134"/>
        <v>1.08693110647182</v>
      </c>
      <c r="U267" s="67"/>
      <c r="V267" s="67"/>
      <c r="W267" s="89">
        <f t="shared" si="128"/>
        <v>725.512818371608</v>
      </c>
      <c r="X267" s="90">
        <f t="shared" si="135"/>
        <v>9.84290605427975</v>
      </c>
      <c r="Y267" s="90"/>
      <c r="Z267" s="90"/>
      <c r="AA267" s="90">
        <f t="shared" si="131"/>
        <v>9.84290605427975</v>
      </c>
      <c r="AB267" s="107">
        <v>7.19</v>
      </c>
      <c r="AC267" s="67">
        <f t="shared" si="129"/>
        <v>70.7704945302714</v>
      </c>
      <c r="AD267" s="67">
        <f t="shared" si="127"/>
        <v>796.283312901879</v>
      </c>
      <c r="AE267" s="67">
        <f t="shared" si="130"/>
        <v>323.316687098121</v>
      </c>
    </row>
    <row r="268" customFormat="1" spans="1:31">
      <c r="A268" s="18"/>
      <c r="B268" s="19"/>
      <c r="C268" s="20">
        <v>240201000019</v>
      </c>
      <c r="D268" s="21">
        <v>45329</v>
      </c>
      <c r="E268" s="21" t="s">
        <v>41</v>
      </c>
      <c r="F268" s="19" t="s">
        <v>42</v>
      </c>
      <c r="G268" s="19" t="s">
        <v>145</v>
      </c>
      <c r="H268" s="19">
        <v>53</v>
      </c>
      <c r="I268" s="44">
        <v>3286</v>
      </c>
      <c r="J268" s="45"/>
      <c r="K268" s="46"/>
      <c r="L268" s="45"/>
      <c r="M268" s="47"/>
      <c r="N268" s="48"/>
      <c r="O268" s="49">
        <f t="shared" si="132"/>
        <v>3286</v>
      </c>
      <c r="P268" s="51"/>
      <c r="Q268" s="51"/>
      <c r="R268" s="67">
        <f t="shared" si="133"/>
        <v>2399.66075156576</v>
      </c>
      <c r="S268" s="67"/>
      <c r="T268" s="91">
        <f t="shared" si="134"/>
        <v>3.60045929018789</v>
      </c>
      <c r="U268" s="67"/>
      <c r="V268" s="67"/>
      <c r="W268" s="89">
        <f t="shared" si="128"/>
        <v>2403.26121085595</v>
      </c>
      <c r="X268" s="90">
        <f t="shared" si="135"/>
        <v>32.6046263048017</v>
      </c>
      <c r="Y268" s="90"/>
      <c r="Z268" s="90"/>
      <c r="AA268" s="90">
        <f t="shared" si="131"/>
        <v>32.6046263048017</v>
      </c>
      <c r="AB268" s="107">
        <v>7.19</v>
      </c>
      <c r="AC268" s="67">
        <f t="shared" si="129"/>
        <v>234.427263131524</v>
      </c>
      <c r="AD268" s="67">
        <f t="shared" si="127"/>
        <v>2637.68847398747</v>
      </c>
      <c r="AE268" s="67">
        <f t="shared" si="130"/>
        <v>648.311526012526</v>
      </c>
    </row>
    <row r="269" customFormat="1" spans="1:31">
      <c r="A269" s="18"/>
      <c r="B269" s="19"/>
      <c r="C269" s="20">
        <v>240201000020</v>
      </c>
      <c r="D269" s="21">
        <v>45329</v>
      </c>
      <c r="E269" s="21" t="s">
        <v>37</v>
      </c>
      <c r="F269" s="19" t="s">
        <v>38</v>
      </c>
      <c r="G269" s="19" t="s">
        <v>261</v>
      </c>
      <c r="H269" s="19">
        <v>10</v>
      </c>
      <c r="I269" s="53"/>
      <c r="J269" s="61">
        <v>193568</v>
      </c>
      <c r="K269" s="55"/>
      <c r="L269" s="61">
        <f>SUM(J269/M269)</f>
        <v>1653.72063220846</v>
      </c>
      <c r="M269" s="62">
        <v>117.05</v>
      </c>
      <c r="N269" s="48">
        <v>7.19</v>
      </c>
      <c r="O269" s="49">
        <f>SUM(M269*N269)</f>
        <v>841.5895</v>
      </c>
      <c r="P269" s="51"/>
      <c r="Q269" s="51"/>
      <c r="R269" s="67">
        <f t="shared" si="133"/>
        <v>452.76617954071</v>
      </c>
      <c r="S269" s="67"/>
      <c r="T269" s="91">
        <f t="shared" si="134"/>
        <v>0.679331941544885</v>
      </c>
      <c r="U269" s="67"/>
      <c r="V269" s="67"/>
      <c r="W269" s="89">
        <f t="shared" si="128"/>
        <v>453.445511482255</v>
      </c>
      <c r="X269" s="90">
        <f t="shared" si="135"/>
        <v>6.15181628392484</v>
      </c>
      <c r="Y269" s="90"/>
      <c r="Z269" s="90"/>
      <c r="AA269" s="90">
        <f t="shared" si="131"/>
        <v>6.15181628392484</v>
      </c>
      <c r="AB269" s="107">
        <v>7.19</v>
      </c>
      <c r="AC269" s="67">
        <f t="shared" si="129"/>
        <v>44.2315590814196</v>
      </c>
      <c r="AD269" s="67">
        <f t="shared" si="127"/>
        <v>497.677070563674</v>
      </c>
      <c r="AE269" s="67">
        <f t="shared" si="130"/>
        <v>343.912429436326</v>
      </c>
    </row>
    <row r="270" customFormat="1" spans="1:31">
      <c r="A270" s="18"/>
      <c r="B270" s="19"/>
      <c r="C270" s="20">
        <v>240201000026</v>
      </c>
      <c r="D270" s="21">
        <v>45329</v>
      </c>
      <c r="E270" s="21" t="s">
        <v>44</v>
      </c>
      <c r="F270" s="19" t="s">
        <v>44</v>
      </c>
      <c r="G270" s="19" t="s">
        <v>262</v>
      </c>
      <c r="H270" s="19">
        <v>9.5</v>
      </c>
      <c r="I270" s="44">
        <v>600</v>
      </c>
      <c r="J270" s="45"/>
      <c r="K270" s="46"/>
      <c r="L270" s="45"/>
      <c r="M270" s="47"/>
      <c r="N270" s="48"/>
      <c r="O270" s="49">
        <f t="shared" ref="O270:O279" si="136">SUM(I270)</f>
        <v>600</v>
      </c>
      <c r="P270" s="51"/>
      <c r="Q270" s="51"/>
      <c r="R270" s="67">
        <f t="shared" si="133"/>
        <v>430.127870563674</v>
      </c>
      <c r="S270" s="67"/>
      <c r="T270" s="91">
        <f t="shared" si="134"/>
        <v>0.645365344467641</v>
      </c>
      <c r="U270" s="67"/>
      <c r="V270" s="67"/>
      <c r="W270" s="89">
        <f t="shared" si="128"/>
        <v>430.773235908142</v>
      </c>
      <c r="X270" s="90">
        <f t="shared" si="135"/>
        <v>5.8442254697286</v>
      </c>
      <c r="Y270" s="90"/>
      <c r="Z270" s="90"/>
      <c r="AA270" s="90">
        <f t="shared" si="131"/>
        <v>5.8442254697286</v>
      </c>
      <c r="AB270" s="107">
        <v>7.19</v>
      </c>
      <c r="AC270" s="67">
        <f t="shared" si="129"/>
        <v>42.0199811273486</v>
      </c>
      <c r="AD270" s="67">
        <f t="shared" si="127"/>
        <v>472.793217035491</v>
      </c>
      <c r="AE270" s="67">
        <f t="shared" si="130"/>
        <v>127.206782964509</v>
      </c>
    </row>
    <row r="271" customFormat="1" spans="1:31">
      <c r="A271" s="18"/>
      <c r="B271" s="19"/>
      <c r="C271" s="20">
        <v>240202000004</v>
      </c>
      <c r="D271" s="21">
        <v>45329</v>
      </c>
      <c r="E271" s="21" t="s">
        <v>41</v>
      </c>
      <c r="F271" s="19" t="s">
        <v>42</v>
      </c>
      <c r="G271" s="19" t="s">
        <v>263</v>
      </c>
      <c r="H271" s="19">
        <v>10</v>
      </c>
      <c r="I271" s="44">
        <v>600</v>
      </c>
      <c r="J271" s="45"/>
      <c r="K271" s="46"/>
      <c r="L271" s="45"/>
      <c r="M271" s="47"/>
      <c r="N271" s="48"/>
      <c r="O271" s="49">
        <f t="shared" si="136"/>
        <v>600</v>
      </c>
      <c r="P271" s="51"/>
      <c r="Q271" s="51"/>
      <c r="R271" s="67">
        <f t="shared" si="133"/>
        <v>452.76617954071</v>
      </c>
      <c r="S271" s="67"/>
      <c r="T271" s="91">
        <f t="shared" si="134"/>
        <v>0.679331941544885</v>
      </c>
      <c r="U271" s="67"/>
      <c r="V271" s="67"/>
      <c r="W271" s="89">
        <f t="shared" si="128"/>
        <v>453.445511482255</v>
      </c>
      <c r="X271" s="90">
        <f t="shared" si="135"/>
        <v>6.15181628392484</v>
      </c>
      <c r="Y271" s="90"/>
      <c r="Z271" s="90"/>
      <c r="AA271" s="90">
        <f t="shared" si="131"/>
        <v>6.15181628392484</v>
      </c>
      <c r="AB271" s="107">
        <v>7.19</v>
      </c>
      <c r="AC271" s="67">
        <f t="shared" si="129"/>
        <v>44.2315590814196</v>
      </c>
      <c r="AD271" s="67">
        <f t="shared" si="127"/>
        <v>497.677070563674</v>
      </c>
      <c r="AE271" s="67">
        <f t="shared" si="130"/>
        <v>102.322929436326</v>
      </c>
    </row>
    <row r="272" customFormat="1" spans="1:31">
      <c r="A272" s="18"/>
      <c r="B272" s="19"/>
      <c r="C272" s="20">
        <v>240202000008</v>
      </c>
      <c r="D272" s="21">
        <v>45329</v>
      </c>
      <c r="E272" s="21" t="s">
        <v>41</v>
      </c>
      <c r="F272" s="19" t="s">
        <v>42</v>
      </c>
      <c r="G272" s="19" t="s">
        <v>264</v>
      </c>
      <c r="H272" s="19">
        <v>1.5</v>
      </c>
      <c r="I272" s="53"/>
      <c r="J272" s="61">
        <v>27317.5</v>
      </c>
      <c r="K272" s="55"/>
      <c r="L272" s="61">
        <f>SUM(J272/M272)</f>
        <v>1604.08103347035</v>
      </c>
      <c r="M272" s="62">
        <v>17.03</v>
      </c>
      <c r="N272" s="48">
        <v>7.19</v>
      </c>
      <c r="O272" s="49">
        <f>SUM(M272*N272)</f>
        <v>122.4457</v>
      </c>
      <c r="P272" s="51"/>
      <c r="Q272" s="51"/>
      <c r="R272" s="67">
        <f t="shared" si="133"/>
        <v>67.9149269311065</v>
      </c>
      <c r="S272" s="67"/>
      <c r="T272" s="91">
        <f t="shared" si="134"/>
        <v>0.101899791231733</v>
      </c>
      <c r="U272" s="67"/>
      <c r="V272" s="67"/>
      <c r="W272" s="89">
        <f t="shared" si="128"/>
        <v>68.0168267223382</v>
      </c>
      <c r="X272" s="90">
        <f t="shared" si="135"/>
        <v>0.922772442588726</v>
      </c>
      <c r="Y272" s="90"/>
      <c r="Z272" s="90"/>
      <c r="AA272" s="90">
        <f t="shared" si="131"/>
        <v>0.922772442588726</v>
      </c>
      <c r="AB272" s="107">
        <v>7.19</v>
      </c>
      <c r="AC272" s="67">
        <f t="shared" si="129"/>
        <v>6.63473386221294</v>
      </c>
      <c r="AD272" s="67">
        <f t="shared" si="127"/>
        <v>74.6515605845511</v>
      </c>
      <c r="AE272" s="67">
        <f t="shared" si="130"/>
        <v>47.7941394154489</v>
      </c>
    </row>
    <row r="273" customFormat="1" spans="1:31">
      <c r="A273" s="18"/>
      <c r="B273" s="19"/>
      <c r="C273" s="20">
        <v>240202000011</v>
      </c>
      <c r="D273" s="21">
        <v>45329</v>
      </c>
      <c r="E273" s="21" t="s">
        <v>41</v>
      </c>
      <c r="F273" s="19" t="s">
        <v>42</v>
      </c>
      <c r="G273" s="19" t="s">
        <v>265</v>
      </c>
      <c r="H273" s="19">
        <v>10</v>
      </c>
      <c r="I273" s="44">
        <v>580</v>
      </c>
      <c r="J273" s="45"/>
      <c r="K273" s="46"/>
      <c r="L273" s="45"/>
      <c r="M273" s="47"/>
      <c r="N273" s="48"/>
      <c r="O273" s="49">
        <f t="shared" si="136"/>
        <v>580</v>
      </c>
      <c r="P273" s="51"/>
      <c r="Q273" s="51"/>
      <c r="R273" s="67">
        <f t="shared" si="133"/>
        <v>452.76617954071</v>
      </c>
      <c r="S273" s="67"/>
      <c r="T273" s="91">
        <f t="shared" si="134"/>
        <v>0.679331941544885</v>
      </c>
      <c r="U273" s="67"/>
      <c r="V273" s="67"/>
      <c r="W273" s="89">
        <f t="shared" si="128"/>
        <v>453.445511482255</v>
      </c>
      <c r="X273" s="90">
        <f t="shared" si="135"/>
        <v>6.15181628392484</v>
      </c>
      <c r="Y273" s="90"/>
      <c r="Z273" s="90"/>
      <c r="AA273" s="90">
        <f t="shared" si="131"/>
        <v>6.15181628392484</v>
      </c>
      <c r="AB273" s="107">
        <v>7.19</v>
      </c>
      <c r="AC273" s="67">
        <f t="shared" si="129"/>
        <v>44.2315590814196</v>
      </c>
      <c r="AD273" s="67">
        <f t="shared" si="127"/>
        <v>497.677070563674</v>
      </c>
      <c r="AE273" s="67">
        <f t="shared" si="130"/>
        <v>82.3229294363257</v>
      </c>
    </row>
    <row r="274" customFormat="1" spans="1:31">
      <c r="A274" s="18"/>
      <c r="B274" s="19"/>
      <c r="C274" s="24">
        <v>240202000014</v>
      </c>
      <c r="D274" s="25">
        <v>45329</v>
      </c>
      <c r="E274" s="21" t="s">
        <v>41</v>
      </c>
      <c r="F274" s="26" t="s">
        <v>42</v>
      </c>
      <c r="G274" s="26" t="s">
        <v>266</v>
      </c>
      <c r="H274" s="26">
        <v>6</v>
      </c>
      <c r="I274" s="44">
        <v>353</v>
      </c>
      <c r="J274" s="45"/>
      <c r="K274" s="46"/>
      <c r="L274" s="45"/>
      <c r="M274" s="47"/>
      <c r="N274" s="48"/>
      <c r="O274" s="49">
        <f t="shared" si="136"/>
        <v>353</v>
      </c>
      <c r="P274" s="51"/>
      <c r="Q274" s="51"/>
      <c r="R274" s="67">
        <f t="shared" si="133"/>
        <v>271.659707724426</v>
      </c>
      <c r="S274" s="67"/>
      <c r="T274" s="91">
        <f t="shared" si="134"/>
        <v>0.407599164926931</v>
      </c>
      <c r="U274" s="67"/>
      <c r="V274" s="67"/>
      <c r="W274" s="89">
        <f t="shared" si="128"/>
        <v>272.067306889353</v>
      </c>
      <c r="X274" s="90">
        <f t="shared" si="135"/>
        <v>3.69108977035491</v>
      </c>
      <c r="Y274" s="90"/>
      <c r="Z274" s="90"/>
      <c r="AA274" s="90">
        <f t="shared" si="131"/>
        <v>3.69108977035491</v>
      </c>
      <c r="AB274" s="107">
        <v>7.19</v>
      </c>
      <c r="AC274" s="67">
        <f t="shared" si="129"/>
        <v>26.5389354488518</v>
      </c>
      <c r="AD274" s="67">
        <f t="shared" si="127"/>
        <v>298.606242338205</v>
      </c>
      <c r="AE274" s="67">
        <f t="shared" si="130"/>
        <v>54.3937576617955</v>
      </c>
    </row>
    <row r="275" customFormat="1" spans="1:31">
      <c r="A275" s="18"/>
      <c r="B275" s="19"/>
      <c r="C275" s="20">
        <v>240202000021</v>
      </c>
      <c r="D275" s="21">
        <v>45329</v>
      </c>
      <c r="E275" s="21" t="s">
        <v>37</v>
      </c>
      <c r="F275" s="19" t="s">
        <v>38</v>
      </c>
      <c r="G275" s="19" t="s">
        <v>82</v>
      </c>
      <c r="H275" s="19">
        <v>282</v>
      </c>
      <c r="I275" s="44">
        <v>19820</v>
      </c>
      <c r="J275" s="45"/>
      <c r="K275" s="46"/>
      <c r="L275" s="45"/>
      <c r="M275" s="47"/>
      <c r="N275" s="48"/>
      <c r="O275" s="49">
        <f t="shared" si="136"/>
        <v>19820</v>
      </c>
      <c r="P275" s="51"/>
      <c r="Q275" s="51"/>
      <c r="R275" s="67">
        <f t="shared" si="133"/>
        <v>12768.006263048</v>
      </c>
      <c r="S275" s="67"/>
      <c r="T275" s="91">
        <f t="shared" si="134"/>
        <v>19.1571607515658</v>
      </c>
      <c r="U275" s="91">
        <v>80</v>
      </c>
      <c r="V275" s="67"/>
      <c r="W275" s="89">
        <f t="shared" si="128"/>
        <v>12867.1634237996</v>
      </c>
      <c r="X275" s="90">
        <f t="shared" si="135"/>
        <v>173.481219206681</v>
      </c>
      <c r="Y275" s="90"/>
      <c r="Z275" s="90"/>
      <c r="AA275" s="90">
        <f t="shared" si="131"/>
        <v>173.481219206681</v>
      </c>
      <c r="AB275" s="107">
        <v>7.19</v>
      </c>
      <c r="AC275" s="67">
        <f t="shared" si="129"/>
        <v>1247.32996609603</v>
      </c>
      <c r="AD275" s="67">
        <f t="shared" si="127"/>
        <v>14114.4933898956</v>
      </c>
      <c r="AE275" s="67">
        <f t="shared" si="130"/>
        <v>5705.50661010439</v>
      </c>
    </row>
    <row r="276" customFormat="1" spans="1:31">
      <c r="A276" s="18"/>
      <c r="B276" s="19"/>
      <c r="C276" s="20">
        <v>240202000030</v>
      </c>
      <c r="D276" s="21">
        <v>45329</v>
      </c>
      <c r="E276" s="21" t="s">
        <v>41</v>
      </c>
      <c r="F276" s="19" t="s">
        <v>42</v>
      </c>
      <c r="G276" s="19" t="s">
        <v>267</v>
      </c>
      <c r="H276" s="19">
        <v>0.49</v>
      </c>
      <c r="I276" s="44">
        <v>75</v>
      </c>
      <c r="J276" s="45"/>
      <c r="K276" s="46"/>
      <c r="L276" s="45"/>
      <c r="M276" s="47"/>
      <c r="N276" s="48"/>
      <c r="O276" s="49">
        <f t="shared" si="136"/>
        <v>75</v>
      </c>
      <c r="P276" s="51"/>
      <c r="Q276" s="51"/>
      <c r="R276" s="67">
        <f t="shared" si="133"/>
        <v>22.1855427974948</v>
      </c>
      <c r="S276" s="67"/>
      <c r="T276" s="91">
        <f t="shared" si="134"/>
        <v>0.0332872651356994</v>
      </c>
      <c r="U276" s="67"/>
      <c r="V276" s="67"/>
      <c r="W276" s="89">
        <f t="shared" si="128"/>
        <v>22.2188300626305</v>
      </c>
      <c r="X276" s="90">
        <f t="shared" si="135"/>
        <v>0.301438997912317</v>
      </c>
      <c r="Y276" s="90"/>
      <c r="Z276" s="90"/>
      <c r="AA276" s="90">
        <f t="shared" si="131"/>
        <v>0.301438997912317</v>
      </c>
      <c r="AB276" s="107">
        <v>7.19</v>
      </c>
      <c r="AC276" s="67">
        <f t="shared" si="129"/>
        <v>2.16734639498956</v>
      </c>
      <c r="AD276" s="67">
        <f t="shared" si="127"/>
        <v>24.38617645762</v>
      </c>
      <c r="AE276" s="67">
        <f t="shared" si="130"/>
        <v>50.61382354238</v>
      </c>
    </row>
    <row r="277" customFormat="1" spans="1:31">
      <c r="A277" s="18"/>
      <c r="B277" s="19"/>
      <c r="C277" s="20">
        <v>240202000033</v>
      </c>
      <c r="D277" s="21">
        <v>45329</v>
      </c>
      <c r="E277" s="21" t="s">
        <v>56</v>
      </c>
      <c r="F277" s="19" t="s">
        <v>114</v>
      </c>
      <c r="G277" s="19" t="s">
        <v>268</v>
      </c>
      <c r="H277" s="19">
        <v>8</v>
      </c>
      <c r="I277" s="44">
        <v>656.6</v>
      </c>
      <c r="J277" s="45"/>
      <c r="K277" s="46"/>
      <c r="L277" s="45"/>
      <c r="M277" s="47"/>
      <c r="N277" s="48"/>
      <c r="O277" s="49">
        <f t="shared" si="136"/>
        <v>656.6</v>
      </c>
      <c r="P277" s="51"/>
      <c r="Q277" s="51"/>
      <c r="R277" s="67">
        <f t="shared" si="133"/>
        <v>362.212943632568</v>
      </c>
      <c r="S277" s="67"/>
      <c r="T277" s="91">
        <f t="shared" si="134"/>
        <v>0.543465553235908</v>
      </c>
      <c r="U277" s="67"/>
      <c r="V277" s="67"/>
      <c r="W277" s="89">
        <f t="shared" si="128"/>
        <v>362.756409185804</v>
      </c>
      <c r="X277" s="90">
        <f t="shared" si="135"/>
        <v>4.92145302713987</v>
      </c>
      <c r="Y277" s="90"/>
      <c r="Z277" s="90"/>
      <c r="AA277" s="90">
        <f t="shared" si="131"/>
        <v>4.92145302713987</v>
      </c>
      <c r="AB277" s="107">
        <v>7.19</v>
      </c>
      <c r="AC277" s="67">
        <f t="shared" si="129"/>
        <v>35.3852472651357</v>
      </c>
      <c r="AD277" s="67">
        <f t="shared" si="127"/>
        <v>398.141656450939</v>
      </c>
      <c r="AE277" s="67">
        <f t="shared" si="130"/>
        <v>258.458343549061</v>
      </c>
    </row>
    <row r="278" customFormat="1" spans="1:31">
      <c r="A278" s="18"/>
      <c r="B278" s="19"/>
      <c r="C278" s="20">
        <v>240202000037</v>
      </c>
      <c r="D278" s="21">
        <v>45329</v>
      </c>
      <c r="E278" s="21" t="s">
        <v>76</v>
      </c>
      <c r="F278" s="19" t="s">
        <v>77</v>
      </c>
      <c r="G278" s="19" t="s">
        <v>269</v>
      </c>
      <c r="H278" s="19">
        <v>0.28</v>
      </c>
      <c r="I278" s="44">
        <v>75.4</v>
      </c>
      <c r="J278" s="45"/>
      <c r="K278" s="46"/>
      <c r="L278" s="45"/>
      <c r="M278" s="47"/>
      <c r="N278" s="48"/>
      <c r="O278" s="49">
        <f t="shared" si="136"/>
        <v>75.4</v>
      </c>
      <c r="P278" s="51"/>
      <c r="Q278" s="51"/>
      <c r="R278" s="67">
        <f t="shared" si="133"/>
        <v>12.6774530271399</v>
      </c>
      <c r="S278" s="67"/>
      <c r="T278" s="91">
        <f t="shared" si="134"/>
        <v>0.0190212943632568</v>
      </c>
      <c r="U278" s="67"/>
      <c r="V278" s="67"/>
      <c r="W278" s="89">
        <f t="shared" si="128"/>
        <v>12.6964743215031</v>
      </c>
      <c r="X278" s="90">
        <f t="shared" si="135"/>
        <v>0.172250855949896</v>
      </c>
      <c r="Y278" s="90"/>
      <c r="Z278" s="90"/>
      <c r="AA278" s="90">
        <f t="shared" si="131"/>
        <v>0.172250855949896</v>
      </c>
      <c r="AB278" s="107">
        <v>7.19</v>
      </c>
      <c r="AC278" s="67">
        <f t="shared" si="129"/>
        <v>1.23848365427975</v>
      </c>
      <c r="AD278" s="67">
        <f t="shared" si="127"/>
        <v>13.9349579757829</v>
      </c>
      <c r="AE278" s="67">
        <f t="shared" si="130"/>
        <v>61.4650420242171</v>
      </c>
    </row>
    <row r="279" customFormat="1" spans="1:31">
      <c r="A279" s="18"/>
      <c r="B279" s="19"/>
      <c r="C279" s="20">
        <v>240202000038</v>
      </c>
      <c r="D279" s="21">
        <v>45329</v>
      </c>
      <c r="E279" s="21" t="s">
        <v>76</v>
      </c>
      <c r="F279" s="19" t="s">
        <v>77</v>
      </c>
      <c r="G279" s="19" t="s">
        <v>269</v>
      </c>
      <c r="H279" s="19">
        <v>27</v>
      </c>
      <c r="I279" s="44">
        <v>2308.5</v>
      </c>
      <c r="J279" s="45"/>
      <c r="K279" s="46"/>
      <c r="L279" s="45"/>
      <c r="M279" s="47"/>
      <c r="N279" s="48"/>
      <c r="O279" s="49">
        <f t="shared" si="136"/>
        <v>2308.5</v>
      </c>
      <c r="P279" s="51"/>
      <c r="Q279" s="51"/>
      <c r="R279" s="67">
        <f t="shared" si="133"/>
        <v>1222.46868475992</v>
      </c>
      <c r="S279" s="67"/>
      <c r="T279" s="91">
        <f t="shared" si="134"/>
        <v>1.83419624217119</v>
      </c>
      <c r="U279" s="67"/>
      <c r="V279" s="67"/>
      <c r="W279" s="89">
        <f t="shared" si="128"/>
        <v>1224.30288100209</v>
      </c>
      <c r="X279" s="90">
        <f t="shared" si="135"/>
        <v>16.6099039665971</v>
      </c>
      <c r="Y279" s="90"/>
      <c r="Z279" s="90"/>
      <c r="AA279" s="90">
        <f t="shared" si="131"/>
        <v>16.6099039665971</v>
      </c>
      <c r="AB279" s="107">
        <v>7.19</v>
      </c>
      <c r="AC279" s="67">
        <f t="shared" si="129"/>
        <v>119.425209519833</v>
      </c>
      <c r="AD279" s="67">
        <f t="shared" si="127"/>
        <v>1343.72809052192</v>
      </c>
      <c r="AE279" s="67">
        <f t="shared" si="130"/>
        <v>964.771909478079</v>
      </c>
    </row>
    <row r="280" customFormat="1" spans="1:31">
      <c r="A280" s="18"/>
      <c r="B280" s="19"/>
      <c r="C280" s="20">
        <v>240202000051</v>
      </c>
      <c r="D280" s="21">
        <v>45329</v>
      </c>
      <c r="E280" s="21" t="s">
        <v>41</v>
      </c>
      <c r="F280" s="19" t="s">
        <v>42</v>
      </c>
      <c r="G280" s="19" t="s">
        <v>270</v>
      </c>
      <c r="H280" s="19">
        <v>1</v>
      </c>
      <c r="I280" s="53"/>
      <c r="J280" s="61">
        <v>16800</v>
      </c>
      <c r="K280" s="55"/>
      <c r="L280" s="61">
        <f>SUM(J280/M280)</f>
        <v>2014.38848920863</v>
      </c>
      <c r="M280" s="62">
        <v>8.34</v>
      </c>
      <c r="N280" s="48">
        <v>7.19</v>
      </c>
      <c r="O280" s="49">
        <f>SUM(M280*N280)</f>
        <v>59.9646</v>
      </c>
      <c r="P280" s="51"/>
      <c r="Q280" s="51"/>
      <c r="R280" s="67">
        <f t="shared" si="133"/>
        <v>45.276617954071</v>
      </c>
      <c r="S280" s="67"/>
      <c r="T280" s="91">
        <f t="shared" si="134"/>
        <v>0.0679331941544885</v>
      </c>
      <c r="U280" s="67"/>
      <c r="V280" s="67"/>
      <c r="W280" s="89">
        <f t="shared" si="128"/>
        <v>45.3445511482255</v>
      </c>
      <c r="X280" s="90">
        <f t="shared" si="135"/>
        <v>0.615181628392484</v>
      </c>
      <c r="Y280" s="90"/>
      <c r="Z280" s="90"/>
      <c r="AA280" s="90">
        <f t="shared" si="131"/>
        <v>0.615181628392484</v>
      </c>
      <c r="AB280" s="107">
        <v>7.19</v>
      </c>
      <c r="AC280" s="67">
        <f t="shared" si="129"/>
        <v>4.42315590814196</v>
      </c>
      <c r="AD280" s="67">
        <f t="shared" si="127"/>
        <v>49.7677070563674</v>
      </c>
      <c r="AE280" s="67">
        <f t="shared" si="130"/>
        <v>10.1968929436326</v>
      </c>
    </row>
    <row r="281" customFormat="1" spans="1:31">
      <c r="A281" s="18"/>
      <c r="B281" s="19"/>
      <c r="C281" s="20">
        <v>240202000053</v>
      </c>
      <c r="D281" s="21">
        <v>45329</v>
      </c>
      <c r="E281" s="21" t="s">
        <v>41</v>
      </c>
      <c r="F281" s="19" t="s">
        <v>42</v>
      </c>
      <c r="G281" s="19" t="s">
        <v>271</v>
      </c>
      <c r="H281" s="19">
        <v>0.89</v>
      </c>
      <c r="I281" s="44">
        <v>58</v>
      </c>
      <c r="J281" s="45"/>
      <c r="K281" s="46"/>
      <c r="L281" s="45"/>
      <c r="M281" s="47"/>
      <c r="N281" s="48"/>
      <c r="O281" s="49">
        <f t="shared" ref="O281:O301" si="137">SUM(I281)</f>
        <v>58</v>
      </c>
      <c r="P281" s="51"/>
      <c r="Q281" s="51"/>
      <c r="R281" s="67">
        <f t="shared" si="133"/>
        <v>40.2961899791232</v>
      </c>
      <c r="S281" s="67"/>
      <c r="T281" s="91">
        <f t="shared" si="134"/>
        <v>0.0604605427974948</v>
      </c>
      <c r="U281" s="67"/>
      <c r="V281" s="67"/>
      <c r="W281" s="89">
        <f t="shared" si="128"/>
        <v>40.3566505219207</v>
      </c>
      <c r="X281" s="90">
        <f t="shared" si="135"/>
        <v>0.547511649269311</v>
      </c>
      <c r="Y281" s="90"/>
      <c r="Z281" s="90"/>
      <c r="AA281" s="90">
        <f t="shared" si="131"/>
        <v>0.547511649269311</v>
      </c>
      <c r="AB281" s="107">
        <v>7.19</v>
      </c>
      <c r="AC281" s="67">
        <f t="shared" si="129"/>
        <v>3.93660875824635</v>
      </c>
      <c r="AD281" s="67">
        <f t="shared" si="127"/>
        <v>44.293259280167</v>
      </c>
      <c r="AE281" s="67">
        <f t="shared" si="130"/>
        <v>13.706740719833</v>
      </c>
    </row>
    <row r="282" customFormat="1" spans="1:31">
      <c r="A282" s="18"/>
      <c r="B282" s="19"/>
      <c r="C282" s="20">
        <v>240203000007</v>
      </c>
      <c r="D282" s="21">
        <v>45329</v>
      </c>
      <c r="E282" s="21" t="s">
        <v>37</v>
      </c>
      <c r="F282" s="19" t="s">
        <v>38</v>
      </c>
      <c r="G282" s="19" t="s">
        <v>60</v>
      </c>
      <c r="H282" s="19">
        <v>1.5</v>
      </c>
      <c r="I282" s="44">
        <v>102.5</v>
      </c>
      <c r="J282" s="45"/>
      <c r="K282" s="46"/>
      <c r="L282" s="45"/>
      <c r="M282" s="47"/>
      <c r="N282" s="48"/>
      <c r="O282" s="49">
        <f t="shared" si="137"/>
        <v>102.5</v>
      </c>
      <c r="P282" s="51"/>
      <c r="Q282" s="51"/>
      <c r="R282" s="67">
        <f t="shared" si="133"/>
        <v>67.9149269311065</v>
      </c>
      <c r="S282" s="67"/>
      <c r="T282" s="91">
        <f t="shared" si="134"/>
        <v>0.101899791231733</v>
      </c>
      <c r="U282" s="67"/>
      <c r="V282" s="67"/>
      <c r="W282" s="89">
        <f t="shared" si="128"/>
        <v>68.0168267223382</v>
      </c>
      <c r="X282" s="90">
        <f t="shared" si="135"/>
        <v>0.922772442588726</v>
      </c>
      <c r="Y282" s="90"/>
      <c r="Z282" s="90"/>
      <c r="AA282" s="90">
        <f t="shared" si="131"/>
        <v>0.922772442588726</v>
      </c>
      <c r="AB282" s="107">
        <v>7.19</v>
      </c>
      <c r="AC282" s="67">
        <f t="shared" si="129"/>
        <v>6.63473386221294</v>
      </c>
      <c r="AD282" s="67">
        <f t="shared" si="127"/>
        <v>74.6515605845511</v>
      </c>
      <c r="AE282" s="67">
        <f t="shared" si="130"/>
        <v>27.8484394154489</v>
      </c>
    </row>
    <row r="283" customFormat="1" spans="1:31">
      <c r="A283" s="18"/>
      <c r="B283" s="19"/>
      <c r="C283" s="20">
        <v>240203000010</v>
      </c>
      <c r="D283" s="21">
        <v>45329</v>
      </c>
      <c r="E283" s="21" t="s">
        <v>44</v>
      </c>
      <c r="F283" s="19" t="s">
        <v>44</v>
      </c>
      <c r="G283" s="19" t="s">
        <v>152</v>
      </c>
      <c r="H283" s="19">
        <v>906</v>
      </c>
      <c r="I283" s="53">
        <v>46206</v>
      </c>
      <c r="J283" s="54"/>
      <c r="K283" s="55"/>
      <c r="L283" s="54"/>
      <c r="M283" s="47"/>
      <c r="N283" s="48"/>
      <c r="O283" s="49">
        <f t="shared" si="137"/>
        <v>46206</v>
      </c>
      <c r="P283" s="51"/>
      <c r="Q283" s="51"/>
      <c r="R283" s="67">
        <f t="shared" si="133"/>
        <v>41020.6158663883</v>
      </c>
      <c r="S283" s="67"/>
      <c r="T283" s="91">
        <f t="shared" si="134"/>
        <v>61.5474739039666</v>
      </c>
      <c r="U283" s="67"/>
      <c r="V283" s="67"/>
      <c r="W283" s="89">
        <f t="shared" si="128"/>
        <v>41082.1633402923</v>
      </c>
      <c r="X283" s="90">
        <f t="shared" si="135"/>
        <v>557.354555323591</v>
      </c>
      <c r="Y283" s="90"/>
      <c r="Z283" s="90"/>
      <c r="AA283" s="90">
        <f t="shared" si="131"/>
        <v>557.354555323591</v>
      </c>
      <c r="AB283" s="107">
        <v>7.19</v>
      </c>
      <c r="AC283" s="67">
        <f t="shared" si="129"/>
        <v>4007.37925277662</v>
      </c>
      <c r="AD283" s="67">
        <f t="shared" si="127"/>
        <v>45089.5425930689</v>
      </c>
      <c r="AE283" s="67">
        <f t="shared" si="130"/>
        <v>1116.45740693111</v>
      </c>
    </row>
    <row r="284" customFormat="1" spans="1:31">
      <c r="A284" s="18"/>
      <c r="B284" s="19"/>
      <c r="C284" s="20">
        <v>240203000011</v>
      </c>
      <c r="D284" s="21">
        <v>45329</v>
      </c>
      <c r="E284" s="21" t="s">
        <v>44</v>
      </c>
      <c r="F284" s="19" t="s">
        <v>44</v>
      </c>
      <c r="G284" s="19" t="s">
        <v>149</v>
      </c>
      <c r="H284" s="19">
        <v>339.5</v>
      </c>
      <c r="I284" s="44">
        <v>17863.5</v>
      </c>
      <c r="J284" s="45"/>
      <c r="K284" s="46"/>
      <c r="L284" s="45"/>
      <c r="M284" s="47"/>
      <c r="N284" s="48"/>
      <c r="O284" s="49">
        <f t="shared" si="137"/>
        <v>17863.5</v>
      </c>
      <c r="P284" s="51"/>
      <c r="Q284" s="51"/>
      <c r="R284" s="67">
        <f t="shared" si="133"/>
        <v>15371.4117954071</v>
      </c>
      <c r="S284" s="67"/>
      <c r="T284" s="91">
        <f t="shared" si="134"/>
        <v>23.0633194154488</v>
      </c>
      <c r="U284" s="67"/>
      <c r="V284" s="67"/>
      <c r="W284" s="89">
        <f t="shared" si="128"/>
        <v>15394.4751148225</v>
      </c>
      <c r="X284" s="90">
        <f t="shared" si="135"/>
        <v>208.854162839248</v>
      </c>
      <c r="Y284" s="90"/>
      <c r="Z284" s="90"/>
      <c r="AA284" s="90">
        <f t="shared" si="131"/>
        <v>208.854162839248</v>
      </c>
      <c r="AB284" s="107">
        <v>7.19</v>
      </c>
      <c r="AC284" s="67">
        <f t="shared" si="129"/>
        <v>1501.6614308142</v>
      </c>
      <c r="AD284" s="67">
        <f t="shared" si="127"/>
        <v>16896.1365456367</v>
      </c>
      <c r="AE284" s="67">
        <f t="shared" si="130"/>
        <v>967.363454363258</v>
      </c>
    </row>
    <row r="285" customFormat="1" spans="1:31">
      <c r="A285" s="18"/>
      <c r="B285" s="19"/>
      <c r="C285" s="20">
        <v>240203000016</v>
      </c>
      <c r="D285" s="21">
        <v>45329</v>
      </c>
      <c r="E285" s="21" t="s">
        <v>37</v>
      </c>
      <c r="F285" s="19" t="s">
        <v>38</v>
      </c>
      <c r="G285" s="19" t="s">
        <v>82</v>
      </c>
      <c r="H285" s="19">
        <v>157.5</v>
      </c>
      <c r="I285" s="44">
        <v>9450</v>
      </c>
      <c r="J285" s="45"/>
      <c r="K285" s="46"/>
      <c r="L285" s="45"/>
      <c r="M285" s="47"/>
      <c r="N285" s="48"/>
      <c r="O285" s="49">
        <f t="shared" si="137"/>
        <v>9450</v>
      </c>
      <c r="P285" s="51"/>
      <c r="Q285" s="51"/>
      <c r="R285" s="67">
        <f t="shared" si="133"/>
        <v>7131.06732776618</v>
      </c>
      <c r="S285" s="67"/>
      <c r="T285" s="91">
        <f t="shared" si="134"/>
        <v>10.6994780793319</v>
      </c>
      <c r="U285" s="67"/>
      <c r="V285" s="67"/>
      <c r="W285" s="89">
        <f t="shared" si="128"/>
        <v>7141.76680584551</v>
      </c>
      <c r="X285" s="90">
        <f t="shared" si="135"/>
        <v>96.8911064718163</v>
      </c>
      <c r="Y285" s="90"/>
      <c r="Z285" s="90"/>
      <c r="AA285" s="90">
        <f t="shared" si="131"/>
        <v>96.8911064718163</v>
      </c>
      <c r="AB285" s="107">
        <v>7.19</v>
      </c>
      <c r="AC285" s="67">
        <f t="shared" si="129"/>
        <v>696.647055532359</v>
      </c>
      <c r="AD285" s="67">
        <f t="shared" si="127"/>
        <v>7838.41386137787</v>
      </c>
      <c r="AE285" s="67">
        <f t="shared" si="130"/>
        <v>1611.58613862213</v>
      </c>
    </row>
    <row r="286" customFormat="1" spans="1:31">
      <c r="A286" s="18"/>
      <c r="B286" s="19"/>
      <c r="C286" s="20">
        <v>240203000019</v>
      </c>
      <c r="D286" s="21">
        <v>45329</v>
      </c>
      <c r="E286" s="21" t="s">
        <v>44</v>
      </c>
      <c r="F286" s="19" t="s">
        <v>44</v>
      </c>
      <c r="G286" s="19" t="s">
        <v>151</v>
      </c>
      <c r="H286" s="19">
        <v>7.5</v>
      </c>
      <c r="I286" s="53">
        <v>554.4</v>
      </c>
      <c r="J286" s="54"/>
      <c r="K286" s="55"/>
      <c r="L286" s="54"/>
      <c r="M286" s="47"/>
      <c r="N286" s="48"/>
      <c r="O286" s="49">
        <f t="shared" si="137"/>
        <v>554.4</v>
      </c>
      <c r="P286" s="51"/>
      <c r="Q286" s="51"/>
      <c r="R286" s="67">
        <f t="shared" si="133"/>
        <v>339.574634655532</v>
      </c>
      <c r="S286" s="67"/>
      <c r="T286" s="91">
        <f t="shared" si="134"/>
        <v>0.509498956158664</v>
      </c>
      <c r="U286" s="67"/>
      <c r="V286" s="67"/>
      <c r="W286" s="89">
        <f t="shared" si="128"/>
        <v>340.084133611691</v>
      </c>
      <c r="X286" s="90">
        <f t="shared" si="135"/>
        <v>4.61386221294363</v>
      </c>
      <c r="Y286" s="90"/>
      <c r="Z286" s="90"/>
      <c r="AA286" s="90">
        <f t="shared" si="131"/>
        <v>4.61386221294363</v>
      </c>
      <c r="AB286" s="107">
        <v>7.19</v>
      </c>
      <c r="AC286" s="67">
        <f t="shared" si="129"/>
        <v>33.1736693110647</v>
      </c>
      <c r="AD286" s="67">
        <f t="shared" si="127"/>
        <v>373.257802922756</v>
      </c>
      <c r="AE286" s="67">
        <f t="shared" si="130"/>
        <v>181.142197077244</v>
      </c>
    </row>
    <row r="287" customFormat="1" spans="1:31">
      <c r="A287" s="18"/>
      <c r="B287" s="19"/>
      <c r="C287" s="20">
        <v>240203000022</v>
      </c>
      <c r="D287" s="21">
        <v>45329</v>
      </c>
      <c r="E287" s="21" t="s">
        <v>56</v>
      </c>
      <c r="F287" s="19" t="s">
        <v>112</v>
      </c>
      <c r="G287" s="19" t="s">
        <v>272</v>
      </c>
      <c r="H287" s="19">
        <v>22</v>
      </c>
      <c r="I287" s="44">
        <v>1158</v>
      </c>
      <c r="J287" s="45"/>
      <c r="K287" s="46"/>
      <c r="L287" s="45"/>
      <c r="M287" s="47"/>
      <c r="N287" s="48"/>
      <c r="O287" s="49">
        <f t="shared" si="137"/>
        <v>1158</v>
      </c>
      <c r="P287" s="51"/>
      <c r="Q287" s="51"/>
      <c r="R287" s="67">
        <f t="shared" si="133"/>
        <v>996.085594989562</v>
      </c>
      <c r="S287" s="67"/>
      <c r="T287" s="91">
        <f t="shared" si="134"/>
        <v>1.49453027139875</v>
      </c>
      <c r="U287" s="67"/>
      <c r="V287" s="67"/>
      <c r="W287" s="89">
        <f t="shared" si="128"/>
        <v>997.58012526096</v>
      </c>
      <c r="X287" s="90">
        <f t="shared" si="135"/>
        <v>13.5339958246347</v>
      </c>
      <c r="Y287" s="90"/>
      <c r="Z287" s="90"/>
      <c r="AA287" s="90">
        <f t="shared" si="131"/>
        <v>13.5339958246347</v>
      </c>
      <c r="AB287" s="107">
        <v>7.19</v>
      </c>
      <c r="AC287" s="67">
        <f t="shared" si="129"/>
        <v>97.3094299791232</v>
      </c>
      <c r="AD287" s="67">
        <f t="shared" si="127"/>
        <v>1094.88955524008</v>
      </c>
      <c r="AE287" s="67">
        <f t="shared" si="130"/>
        <v>63.1104447599166</v>
      </c>
    </row>
    <row r="288" customFormat="1" spans="1:31">
      <c r="A288" s="18"/>
      <c r="B288" s="19"/>
      <c r="C288" s="20">
        <v>240203000023</v>
      </c>
      <c r="D288" s="21">
        <v>45329</v>
      </c>
      <c r="E288" s="21" t="s">
        <v>37</v>
      </c>
      <c r="F288" s="19" t="s">
        <v>273</v>
      </c>
      <c r="G288" s="19" t="s">
        <v>273</v>
      </c>
      <c r="H288" s="19">
        <v>12</v>
      </c>
      <c r="I288" s="44">
        <v>756</v>
      </c>
      <c r="J288" s="45"/>
      <c r="K288" s="46"/>
      <c r="L288" s="45"/>
      <c r="M288" s="47"/>
      <c r="N288" s="48"/>
      <c r="O288" s="49">
        <f t="shared" si="137"/>
        <v>756</v>
      </c>
      <c r="P288" s="51"/>
      <c r="Q288" s="51"/>
      <c r="R288" s="67">
        <f t="shared" si="133"/>
        <v>543.319415448852</v>
      </c>
      <c r="S288" s="67"/>
      <c r="T288" s="91">
        <f t="shared" si="134"/>
        <v>0.815198329853862</v>
      </c>
      <c r="U288" s="67"/>
      <c r="V288" s="67"/>
      <c r="W288" s="89">
        <f t="shared" si="128"/>
        <v>544.134613778706</v>
      </c>
      <c r="X288" s="90">
        <f t="shared" si="135"/>
        <v>7.38217954070981</v>
      </c>
      <c r="Y288" s="90"/>
      <c r="Z288" s="90"/>
      <c r="AA288" s="90">
        <f t="shared" si="131"/>
        <v>7.38217954070981</v>
      </c>
      <c r="AB288" s="107">
        <v>7.19</v>
      </c>
      <c r="AC288" s="67">
        <f t="shared" si="129"/>
        <v>53.0778708977035</v>
      </c>
      <c r="AD288" s="67">
        <f t="shared" si="127"/>
        <v>597.212484676409</v>
      </c>
      <c r="AE288" s="67">
        <f t="shared" si="130"/>
        <v>158.787515323591</v>
      </c>
    </row>
    <row r="289" customFormat="1" spans="1:31">
      <c r="A289" s="18"/>
      <c r="B289" s="19"/>
      <c r="C289" s="20">
        <v>240204000006</v>
      </c>
      <c r="D289" s="21">
        <v>45329</v>
      </c>
      <c r="E289" s="21" t="s">
        <v>44</v>
      </c>
      <c r="F289" s="19" t="s">
        <v>44</v>
      </c>
      <c r="G289" s="19" t="s">
        <v>227</v>
      </c>
      <c r="H289" s="19">
        <v>63</v>
      </c>
      <c r="I289" s="44">
        <v>3947.5</v>
      </c>
      <c r="J289" s="45"/>
      <c r="K289" s="46"/>
      <c r="L289" s="45"/>
      <c r="M289" s="47"/>
      <c r="N289" s="48"/>
      <c r="O289" s="49">
        <f t="shared" si="137"/>
        <v>3947.5</v>
      </c>
      <c r="P289" s="51"/>
      <c r="Q289" s="51"/>
      <c r="R289" s="67">
        <f t="shared" si="133"/>
        <v>2852.42693110647</v>
      </c>
      <c r="S289" s="67"/>
      <c r="T289" s="91">
        <f t="shared" si="134"/>
        <v>4.27979123173278</v>
      </c>
      <c r="U289" s="67"/>
      <c r="V289" s="67"/>
      <c r="W289" s="89">
        <f t="shared" si="128"/>
        <v>2856.7067223382</v>
      </c>
      <c r="X289" s="90">
        <f t="shared" si="135"/>
        <v>38.7564425887265</v>
      </c>
      <c r="Y289" s="90"/>
      <c r="Z289" s="90"/>
      <c r="AA289" s="90">
        <f t="shared" si="131"/>
        <v>38.7564425887265</v>
      </c>
      <c r="AB289" s="107">
        <v>7.19</v>
      </c>
      <c r="AC289" s="67">
        <f t="shared" si="129"/>
        <v>278.658822212944</v>
      </c>
      <c r="AD289" s="67">
        <f t="shared" si="127"/>
        <v>3135.36554455115</v>
      </c>
      <c r="AE289" s="67">
        <f t="shared" si="130"/>
        <v>812.134455448852</v>
      </c>
    </row>
    <row r="290" customFormat="1" spans="1:31">
      <c r="A290" s="18"/>
      <c r="B290" s="19"/>
      <c r="C290" s="20">
        <v>240204000007</v>
      </c>
      <c r="D290" s="21">
        <v>45329</v>
      </c>
      <c r="E290" s="21" t="s">
        <v>41</v>
      </c>
      <c r="F290" s="19" t="s">
        <v>42</v>
      </c>
      <c r="G290" s="19" t="s">
        <v>263</v>
      </c>
      <c r="H290" s="19">
        <v>4</v>
      </c>
      <c r="I290" s="44">
        <v>240</v>
      </c>
      <c r="J290" s="45"/>
      <c r="K290" s="46"/>
      <c r="L290" s="45"/>
      <c r="M290" s="47"/>
      <c r="N290" s="48"/>
      <c r="O290" s="49">
        <f t="shared" si="137"/>
        <v>240</v>
      </c>
      <c r="P290" s="51"/>
      <c r="Q290" s="51"/>
      <c r="R290" s="67">
        <f t="shared" si="133"/>
        <v>181.106471816284</v>
      </c>
      <c r="S290" s="67"/>
      <c r="T290" s="91">
        <f t="shared" si="134"/>
        <v>0.271732776617954</v>
      </c>
      <c r="U290" s="67"/>
      <c r="V290" s="67"/>
      <c r="W290" s="89">
        <f t="shared" si="128"/>
        <v>181.378204592902</v>
      </c>
      <c r="X290" s="90">
        <f t="shared" si="135"/>
        <v>2.46072651356994</v>
      </c>
      <c r="Y290" s="90"/>
      <c r="Z290" s="90"/>
      <c r="AA290" s="90">
        <f t="shared" si="131"/>
        <v>2.46072651356994</v>
      </c>
      <c r="AB290" s="107">
        <v>7.19</v>
      </c>
      <c r="AC290" s="67">
        <f t="shared" si="129"/>
        <v>17.6926236325678</v>
      </c>
      <c r="AD290" s="67">
        <f t="shared" si="127"/>
        <v>199.07082822547</v>
      </c>
      <c r="AE290" s="67">
        <f t="shared" si="130"/>
        <v>40.9291717745303</v>
      </c>
    </row>
    <row r="291" customFormat="1" spans="1:31">
      <c r="A291" s="18"/>
      <c r="B291" s="19"/>
      <c r="C291" s="20">
        <v>240204000016</v>
      </c>
      <c r="D291" s="21">
        <v>45329</v>
      </c>
      <c r="E291" s="21" t="s">
        <v>41</v>
      </c>
      <c r="F291" s="19" t="s">
        <v>42</v>
      </c>
      <c r="G291" s="19" t="s">
        <v>265</v>
      </c>
      <c r="H291" s="19">
        <v>15</v>
      </c>
      <c r="I291" s="44">
        <v>1100.4</v>
      </c>
      <c r="J291" s="45"/>
      <c r="K291" s="46"/>
      <c r="L291" s="45"/>
      <c r="M291" s="47"/>
      <c r="N291" s="48"/>
      <c r="O291" s="49">
        <f t="shared" si="137"/>
        <v>1100.4</v>
      </c>
      <c r="P291" s="51"/>
      <c r="Q291" s="51"/>
      <c r="R291" s="67">
        <f t="shared" si="133"/>
        <v>679.149269311065</v>
      </c>
      <c r="S291" s="67"/>
      <c r="T291" s="91">
        <f t="shared" si="134"/>
        <v>1.01899791231733</v>
      </c>
      <c r="U291" s="67"/>
      <c r="V291" s="67"/>
      <c r="W291" s="89">
        <f t="shared" si="128"/>
        <v>680.168267223382</v>
      </c>
      <c r="X291" s="90">
        <f t="shared" si="135"/>
        <v>9.22772442588726</v>
      </c>
      <c r="Y291" s="90"/>
      <c r="Z291" s="90"/>
      <c r="AA291" s="90">
        <f t="shared" si="131"/>
        <v>9.22772442588726</v>
      </c>
      <c r="AB291" s="107">
        <v>7.19</v>
      </c>
      <c r="AC291" s="67">
        <f t="shared" si="129"/>
        <v>66.3473386221294</v>
      </c>
      <c r="AD291" s="67">
        <f t="shared" si="127"/>
        <v>746.515605845511</v>
      </c>
      <c r="AE291" s="67">
        <f t="shared" si="130"/>
        <v>353.884394154489</v>
      </c>
    </row>
    <row r="292" customFormat="1" spans="1:31">
      <c r="A292" s="18"/>
      <c r="B292" s="19"/>
      <c r="C292" s="20">
        <v>240204000020</v>
      </c>
      <c r="D292" s="21">
        <v>45329</v>
      </c>
      <c r="E292" s="21" t="s">
        <v>37</v>
      </c>
      <c r="F292" s="19" t="s">
        <v>38</v>
      </c>
      <c r="G292" s="19" t="s">
        <v>229</v>
      </c>
      <c r="H292" s="19">
        <v>4</v>
      </c>
      <c r="I292" s="44">
        <v>277.2</v>
      </c>
      <c r="J292" s="45"/>
      <c r="K292" s="46"/>
      <c r="L292" s="45"/>
      <c r="M292" s="47"/>
      <c r="N292" s="48"/>
      <c r="O292" s="49">
        <f t="shared" si="137"/>
        <v>277.2</v>
      </c>
      <c r="P292" s="51"/>
      <c r="Q292" s="51"/>
      <c r="R292" s="67">
        <f t="shared" si="133"/>
        <v>181.106471816284</v>
      </c>
      <c r="S292" s="67"/>
      <c r="T292" s="91">
        <f t="shared" si="134"/>
        <v>0.271732776617954</v>
      </c>
      <c r="U292" s="67"/>
      <c r="V292" s="67"/>
      <c r="W292" s="89">
        <f t="shared" si="128"/>
        <v>181.378204592902</v>
      </c>
      <c r="X292" s="90">
        <f t="shared" si="135"/>
        <v>2.46072651356994</v>
      </c>
      <c r="Y292" s="90"/>
      <c r="Z292" s="90"/>
      <c r="AA292" s="90">
        <f t="shared" si="131"/>
        <v>2.46072651356994</v>
      </c>
      <c r="AB292" s="107">
        <v>7.19</v>
      </c>
      <c r="AC292" s="67">
        <f t="shared" si="129"/>
        <v>17.6926236325678</v>
      </c>
      <c r="AD292" s="67">
        <f t="shared" si="127"/>
        <v>199.07082822547</v>
      </c>
      <c r="AE292" s="67">
        <f t="shared" si="130"/>
        <v>78.1291717745302</v>
      </c>
    </row>
    <row r="293" customFormat="1" spans="1:31">
      <c r="A293" s="18"/>
      <c r="B293" s="19"/>
      <c r="C293" s="20">
        <v>240204000024</v>
      </c>
      <c r="D293" s="21">
        <v>45329</v>
      </c>
      <c r="E293" s="21" t="s">
        <v>44</v>
      </c>
      <c r="F293" s="19" t="s">
        <v>44</v>
      </c>
      <c r="G293" s="19" t="s">
        <v>151</v>
      </c>
      <c r="H293" s="19">
        <v>24.5</v>
      </c>
      <c r="I293" s="53">
        <v>1470</v>
      </c>
      <c r="J293" s="54"/>
      <c r="K293" s="55"/>
      <c r="L293" s="54"/>
      <c r="M293" s="47"/>
      <c r="N293" s="48"/>
      <c r="O293" s="49">
        <f t="shared" si="137"/>
        <v>1470</v>
      </c>
      <c r="P293" s="51"/>
      <c r="Q293" s="51"/>
      <c r="R293" s="67">
        <f t="shared" si="133"/>
        <v>1109.27713987474</v>
      </c>
      <c r="S293" s="67"/>
      <c r="T293" s="91">
        <f t="shared" si="134"/>
        <v>1.66436325678497</v>
      </c>
      <c r="U293" s="67"/>
      <c r="V293" s="67"/>
      <c r="W293" s="89">
        <f t="shared" si="128"/>
        <v>1110.94150313152</v>
      </c>
      <c r="X293" s="90">
        <f t="shared" si="135"/>
        <v>15.0719498956159</v>
      </c>
      <c r="Y293" s="90"/>
      <c r="Z293" s="90"/>
      <c r="AA293" s="90">
        <f t="shared" si="131"/>
        <v>15.0719498956159</v>
      </c>
      <c r="AB293" s="107">
        <v>7.19</v>
      </c>
      <c r="AC293" s="67">
        <f t="shared" si="129"/>
        <v>108.367319749478</v>
      </c>
      <c r="AD293" s="67">
        <f t="shared" si="127"/>
        <v>1219.308822881</v>
      </c>
      <c r="AE293" s="67">
        <f t="shared" si="130"/>
        <v>250.691177118998</v>
      </c>
    </row>
    <row r="294" customFormat="1" spans="1:31">
      <c r="A294" s="18"/>
      <c r="B294" s="19"/>
      <c r="C294" s="20">
        <v>240204000025</v>
      </c>
      <c r="D294" s="21">
        <v>45329</v>
      </c>
      <c r="E294" s="21" t="s">
        <v>37</v>
      </c>
      <c r="F294" s="19" t="s">
        <v>38</v>
      </c>
      <c r="G294" s="19" t="s">
        <v>215</v>
      </c>
      <c r="H294" s="19">
        <v>0.34</v>
      </c>
      <c r="I294" s="44">
        <v>69.6</v>
      </c>
      <c r="J294" s="45"/>
      <c r="K294" s="46"/>
      <c r="L294" s="45"/>
      <c r="M294" s="47"/>
      <c r="N294" s="48"/>
      <c r="O294" s="49">
        <f t="shared" si="137"/>
        <v>69.6</v>
      </c>
      <c r="P294" s="51"/>
      <c r="Q294" s="51"/>
      <c r="R294" s="67">
        <f t="shared" si="133"/>
        <v>15.3940501043841</v>
      </c>
      <c r="S294" s="67"/>
      <c r="T294" s="91">
        <f t="shared" si="134"/>
        <v>0.0230972860125261</v>
      </c>
      <c r="U294" s="67"/>
      <c r="V294" s="67"/>
      <c r="W294" s="89">
        <f t="shared" si="128"/>
        <v>15.4171473903967</v>
      </c>
      <c r="X294" s="90">
        <f t="shared" si="135"/>
        <v>0.209161753653445</v>
      </c>
      <c r="Y294" s="90"/>
      <c r="Z294" s="90"/>
      <c r="AA294" s="90">
        <f t="shared" si="131"/>
        <v>0.209161753653445</v>
      </c>
      <c r="AB294" s="107">
        <v>7.19</v>
      </c>
      <c r="AC294" s="67">
        <f t="shared" si="129"/>
        <v>1.50387300876827</v>
      </c>
      <c r="AD294" s="67">
        <f t="shared" si="127"/>
        <v>16.9210203991649</v>
      </c>
      <c r="AE294" s="67">
        <f t="shared" si="130"/>
        <v>52.6789796008351</v>
      </c>
    </row>
    <row r="295" customFormat="1" spans="1:31">
      <c r="A295" s="18"/>
      <c r="B295" s="19"/>
      <c r="C295" s="20">
        <v>240204000026</v>
      </c>
      <c r="D295" s="21">
        <v>45329</v>
      </c>
      <c r="E295" s="21" t="s">
        <v>44</v>
      </c>
      <c r="F295" s="19" t="s">
        <v>44</v>
      </c>
      <c r="G295" s="19" t="s">
        <v>274</v>
      </c>
      <c r="H295" s="19">
        <v>0.6</v>
      </c>
      <c r="I295" s="44">
        <v>70</v>
      </c>
      <c r="J295" s="45"/>
      <c r="K295" s="46"/>
      <c r="L295" s="45"/>
      <c r="M295" s="47"/>
      <c r="N295" s="48"/>
      <c r="O295" s="49">
        <f t="shared" si="137"/>
        <v>70</v>
      </c>
      <c r="P295" s="51"/>
      <c r="Q295" s="51"/>
      <c r="R295" s="67">
        <f t="shared" si="133"/>
        <v>27.1659707724426</v>
      </c>
      <c r="S295" s="67"/>
      <c r="T295" s="91">
        <f t="shared" si="134"/>
        <v>0.0407599164926931</v>
      </c>
      <c r="U295" s="67"/>
      <c r="V295" s="67"/>
      <c r="W295" s="89">
        <f t="shared" si="128"/>
        <v>27.2067306889353</v>
      </c>
      <c r="X295" s="90">
        <f t="shared" si="135"/>
        <v>0.369108977035491</v>
      </c>
      <c r="Y295" s="90"/>
      <c r="Z295" s="90"/>
      <c r="AA295" s="90">
        <f t="shared" si="131"/>
        <v>0.369108977035491</v>
      </c>
      <c r="AB295" s="107">
        <v>7.19</v>
      </c>
      <c r="AC295" s="67">
        <f t="shared" si="129"/>
        <v>2.65389354488518</v>
      </c>
      <c r="AD295" s="67">
        <f t="shared" si="127"/>
        <v>29.8606242338205</v>
      </c>
      <c r="AE295" s="67">
        <f t="shared" si="130"/>
        <v>40.1393757661795</v>
      </c>
    </row>
    <row r="296" customFormat="1" spans="1:31">
      <c r="A296" s="18"/>
      <c r="B296" s="19"/>
      <c r="C296" s="20">
        <v>240204000034</v>
      </c>
      <c r="D296" s="21">
        <v>45329</v>
      </c>
      <c r="E296" s="21" t="s">
        <v>41</v>
      </c>
      <c r="F296" s="19" t="s">
        <v>42</v>
      </c>
      <c r="G296" s="19" t="s">
        <v>275</v>
      </c>
      <c r="H296" s="19">
        <v>7</v>
      </c>
      <c r="I296" s="44">
        <v>650</v>
      </c>
      <c r="J296" s="45"/>
      <c r="K296" s="46"/>
      <c r="L296" s="45"/>
      <c r="M296" s="47"/>
      <c r="N296" s="48"/>
      <c r="O296" s="49">
        <f t="shared" si="137"/>
        <v>650</v>
      </c>
      <c r="P296" s="51"/>
      <c r="Q296" s="51"/>
      <c r="R296" s="67">
        <f t="shared" si="133"/>
        <v>316.936325678497</v>
      </c>
      <c r="S296" s="67"/>
      <c r="T296" s="91">
        <f t="shared" si="134"/>
        <v>0.47553235908142</v>
      </c>
      <c r="U296" s="67"/>
      <c r="V296" s="67"/>
      <c r="W296" s="89">
        <f t="shared" si="128"/>
        <v>317.411858037578</v>
      </c>
      <c r="X296" s="90">
        <f t="shared" si="135"/>
        <v>4.30627139874739</v>
      </c>
      <c r="Y296" s="90"/>
      <c r="Z296" s="90"/>
      <c r="AA296" s="90">
        <f t="shared" si="131"/>
        <v>4.30627139874739</v>
      </c>
      <c r="AB296" s="107">
        <v>7.19</v>
      </c>
      <c r="AC296" s="67">
        <f t="shared" si="129"/>
        <v>30.9620913569937</v>
      </c>
      <c r="AD296" s="67">
        <f t="shared" si="127"/>
        <v>348.373949394572</v>
      </c>
      <c r="AE296" s="67">
        <f t="shared" si="130"/>
        <v>301.626050605428</v>
      </c>
    </row>
    <row r="297" customFormat="1" spans="1:31">
      <c r="A297" s="18"/>
      <c r="B297" s="19"/>
      <c r="C297" s="20">
        <v>240204000035</v>
      </c>
      <c r="D297" s="21">
        <v>45329</v>
      </c>
      <c r="E297" s="21" t="s">
        <v>37</v>
      </c>
      <c r="F297" s="19" t="s">
        <v>38</v>
      </c>
      <c r="G297" s="19" t="s">
        <v>276</v>
      </c>
      <c r="H297" s="19">
        <v>7.5</v>
      </c>
      <c r="I297" s="44">
        <v>475.2</v>
      </c>
      <c r="J297" s="45"/>
      <c r="K297" s="46"/>
      <c r="L297" s="45"/>
      <c r="M297" s="47"/>
      <c r="N297" s="48"/>
      <c r="O297" s="49">
        <f t="shared" si="137"/>
        <v>475.2</v>
      </c>
      <c r="P297" s="51"/>
      <c r="Q297" s="51"/>
      <c r="R297" s="67">
        <f t="shared" si="133"/>
        <v>339.574634655532</v>
      </c>
      <c r="S297" s="67"/>
      <c r="T297" s="91">
        <f t="shared" si="134"/>
        <v>0.509498956158664</v>
      </c>
      <c r="U297" s="67"/>
      <c r="V297" s="67"/>
      <c r="W297" s="89">
        <f t="shared" si="128"/>
        <v>340.084133611691</v>
      </c>
      <c r="X297" s="90">
        <f t="shared" si="135"/>
        <v>4.61386221294363</v>
      </c>
      <c r="Y297" s="90"/>
      <c r="Z297" s="90"/>
      <c r="AA297" s="90">
        <f t="shared" si="131"/>
        <v>4.61386221294363</v>
      </c>
      <c r="AB297" s="107">
        <v>7.19</v>
      </c>
      <c r="AC297" s="67">
        <f t="shared" si="129"/>
        <v>33.1736693110647</v>
      </c>
      <c r="AD297" s="67">
        <f t="shared" si="127"/>
        <v>373.257802922756</v>
      </c>
      <c r="AE297" s="67">
        <f t="shared" si="130"/>
        <v>101.942197077244</v>
      </c>
    </row>
    <row r="298" customFormat="1" spans="1:31">
      <c r="A298" s="18"/>
      <c r="B298" s="19"/>
      <c r="C298" s="20">
        <v>240204000040</v>
      </c>
      <c r="D298" s="21">
        <v>45329</v>
      </c>
      <c r="E298" s="21" t="s">
        <v>76</v>
      </c>
      <c r="F298" s="19" t="s">
        <v>77</v>
      </c>
      <c r="G298" s="19" t="s">
        <v>269</v>
      </c>
      <c r="H298" s="19">
        <v>0.5</v>
      </c>
      <c r="I298" s="44">
        <v>61.2</v>
      </c>
      <c r="J298" s="45"/>
      <c r="K298" s="46"/>
      <c r="L298" s="45"/>
      <c r="M298" s="47"/>
      <c r="N298" s="48"/>
      <c r="O298" s="49">
        <f t="shared" si="137"/>
        <v>61.2</v>
      </c>
      <c r="P298" s="51"/>
      <c r="Q298" s="51"/>
      <c r="R298" s="67">
        <f t="shared" si="133"/>
        <v>22.6383089770355</v>
      </c>
      <c r="S298" s="67"/>
      <c r="T298" s="91">
        <f t="shared" si="134"/>
        <v>0.0339665970772443</v>
      </c>
      <c r="U298" s="67"/>
      <c r="V298" s="67"/>
      <c r="W298" s="89">
        <f t="shared" si="128"/>
        <v>22.6722755741127</v>
      </c>
      <c r="X298" s="90">
        <f t="shared" si="135"/>
        <v>0.307590814196242</v>
      </c>
      <c r="Y298" s="90"/>
      <c r="Z298" s="90"/>
      <c r="AA298" s="90">
        <f t="shared" si="131"/>
        <v>0.307590814196242</v>
      </c>
      <c r="AB298" s="107">
        <v>7.19</v>
      </c>
      <c r="AC298" s="67">
        <f t="shared" si="129"/>
        <v>2.21157795407098</v>
      </c>
      <c r="AD298" s="67">
        <f t="shared" ref="AD298:AD329" si="138">SUM(W298+AC298)</f>
        <v>24.8838535281837</v>
      </c>
      <c r="AE298" s="67">
        <f t="shared" ref="AE298:AE329" si="139">SUM(O298-AD298)</f>
        <v>36.3161464718163</v>
      </c>
    </row>
    <row r="299" customFormat="1" spans="1:31">
      <c r="A299" s="18"/>
      <c r="B299" s="19"/>
      <c r="C299" s="20">
        <v>240204000041</v>
      </c>
      <c r="D299" s="21">
        <v>45329</v>
      </c>
      <c r="E299" s="21" t="s">
        <v>56</v>
      </c>
      <c r="F299" s="19" t="s">
        <v>112</v>
      </c>
      <c r="G299" s="19" t="s">
        <v>113</v>
      </c>
      <c r="H299" s="19">
        <v>49</v>
      </c>
      <c r="I299" s="44">
        <v>2949.6</v>
      </c>
      <c r="J299" s="45"/>
      <c r="K299" s="46"/>
      <c r="L299" s="45"/>
      <c r="M299" s="47"/>
      <c r="N299" s="48"/>
      <c r="O299" s="49">
        <f t="shared" si="137"/>
        <v>2949.6</v>
      </c>
      <c r="P299" s="52"/>
      <c r="Q299" s="52"/>
      <c r="R299" s="67">
        <f t="shared" si="133"/>
        <v>2218.55427974948</v>
      </c>
      <c r="S299" s="67"/>
      <c r="T299" s="91">
        <f t="shared" si="134"/>
        <v>3.32872651356994</v>
      </c>
      <c r="U299" s="67"/>
      <c r="V299" s="67"/>
      <c r="W299" s="89">
        <f t="shared" si="128"/>
        <v>2221.88300626305</v>
      </c>
      <c r="X299" s="90">
        <f t="shared" si="135"/>
        <v>30.1438997912317</v>
      </c>
      <c r="Y299" s="90"/>
      <c r="Z299" s="90"/>
      <c r="AA299" s="90">
        <f t="shared" si="131"/>
        <v>30.1438997912317</v>
      </c>
      <c r="AB299" s="107">
        <v>7.19</v>
      </c>
      <c r="AC299" s="67">
        <f t="shared" ref="AC299:AC330" si="140">SUM(AA299*AB299)</f>
        <v>216.734639498956</v>
      </c>
      <c r="AD299" s="67">
        <f t="shared" si="138"/>
        <v>2438.617645762</v>
      </c>
      <c r="AE299" s="67">
        <f t="shared" si="139"/>
        <v>510.982354237995</v>
      </c>
    </row>
    <row r="300" customFormat="1" spans="1:31">
      <c r="A300" s="18" t="s">
        <v>277</v>
      </c>
      <c r="B300" s="19" t="s">
        <v>278</v>
      </c>
      <c r="C300" s="20">
        <v>240124000005</v>
      </c>
      <c r="D300" s="21">
        <v>45332</v>
      </c>
      <c r="E300" s="21" t="s">
        <v>41</v>
      </c>
      <c r="F300" s="19" t="s">
        <v>42</v>
      </c>
      <c r="G300" s="19" t="s">
        <v>205</v>
      </c>
      <c r="H300" s="19">
        <v>12</v>
      </c>
      <c r="I300" s="44">
        <v>630</v>
      </c>
      <c r="J300" s="45"/>
      <c r="K300" s="46"/>
      <c r="L300" s="45"/>
      <c r="M300" s="47"/>
      <c r="N300" s="48"/>
      <c r="O300" s="49">
        <f t="shared" si="137"/>
        <v>630</v>
      </c>
      <c r="P300" s="50">
        <f>SUM(O300:O369)</f>
        <v>58733.4284</v>
      </c>
      <c r="Q300" s="50" t="s">
        <v>50</v>
      </c>
      <c r="R300" s="67">
        <f>SUM(39530.5/1131)*H300</f>
        <v>419.42175066313</v>
      </c>
      <c r="S300" s="67"/>
      <c r="T300" s="91">
        <f>SUM(202/1131)*H300</f>
        <v>2.14323607427056</v>
      </c>
      <c r="U300" s="67"/>
      <c r="V300" s="67"/>
      <c r="W300" s="89">
        <f t="shared" ref="W300:W331" si="141">SUM(R300:V300)</f>
        <v>421.5649867374</v>
      </c>
      <c r="X300" s="90">
        <f>SUM(776.3/1131)*H300</f>
        <v>8.23660477453581</v>
      </c>
      <c r="Y300" s="90"/>
      <c r="Z300" s="90"/>
      <c r="AA300" s="90">
        <f t="shared" ref="AA300:AA331" si="142">SUM(X300:Z300)</f>
        <v>8.23660477453581</v>
      </c>
      <c r="AB300" s="107">
        <v>7.19</v>
      </c>
      <c r="AC300" s="67">
        <f t="shared" si="140"/>
        <v>59.2211883289125</v>
      </c>
      <c r="AD300" s="67">
        <f t="shared" si="138"/>
        <v>480.786175066313</v>
      </c>
      <c r="AE300" s="67">
        <f t="shared" si="139"/>
        <v>149.213824933687</v>
      </c>
    </row>
    <row r="301" customFormat="1" spans="1:31">
      <c r="A301" s="18"/>
      <c r="B301" s="19"/>
      <c r="C301" s="20">
        <v>240125000027</v>
      </c>
      <c r="D301" s="21">
        <v>45332</v>
      </c>
      <c r="E301" s="21" t="s">
        <v>37</v>
      </c>
      <c r="F301" s="19" t="s">
        <v>38</v>
      </c>
      <c r="G301" s="19" t="s">
        <v>279</v>
      </c>
      <c r="H301" s="19">
        <v>10.5</v>
      </c>
      <c r="I301" s="44">
        <v>580</v>
      </c>
      <c r="J301" s="45"/>
      <c r="K301" s="46"/>
      <c r="L301" s="45"/>
      <c r="M301" s="47"/>
      <c r="N301" s="48"/>
      <c r="O301" s="49">
        <f t="shared" si="137"/>
        <v>580</v>
      </c>
      <c r="P301" s="51"/>
      <c r="Q301" s="51"/>
      <c r="R301" s="67">
        <f t="shared" ref="R301:R332" si="143">SUM(39530.5/1131)*H301</f>
        <v>366.994031830239</v>
      </c>
      <c r="S301" s="67"/>
      <c r="T301" s="91">
        <f t="shared" ref="T301:T332" si="144">SUM(202/1131)*H301</f>
        <v>1.87533156498674</v>
      </c>
      <c r="U301" s="67"/>
      <c r="V301" s="67"/>
      <c r="W301" s="89">
        <f t="shared" si="141"/>
        <v>368.869363395225</v>
      </c>
      <c r="X301" s="90">
        <f t="shared" ref="X301:X332" si="145">SUM(776.3/1131)*H301</f>
        <v>7.20702917771883</v>
      </c>
      <c r="Y301" s="90"/>
      <c r="Z301" s="90"/>
      <c r="AA301" s="90">
        <f t="shared" si="142"/>
        <v>7.20702917771883</v>
      </c>
      <c r="AB301" s="107">
        <v>7.19</v>
      </c>
      <c r="AC301" s="67">
        <f t="shared" si="140"/>
        <v>51.8185397877984</v>
      </c>
      <c r="AD301" s="67">
        <f t="shared" si="138"/>
        <v>420.687903183024</v>
      </c>
      <c r="AE301" s="67">
        <f t="shared" si="139"/>
        <v>159.312096816976</v>
      </c>
    </row>
    <row r="302" customFormat="1" spans="1:31">
      <c r="A302" s="18"/>
      <c r="B302" s="19"/>
      <c r="C302" s="20">
        <v>240129000007</v>
      </c>
      <c r="D302" s="21">
        <v>45332</v>
      </c>
      <c r="E302" s="21" t="s">
        <v>41</v>
      </c>
      <c r="F302" s="19" t="s">
        <v>42</v>
      </c>
      <c r="G302" s="19" t="s">
        <v>192</v>
      </c>
      <c r="H302" s="19">
        <v>55</v>
      </c>
      <c r="I302" s="53"/>
      <c r="J302" s="61">
        <v>553740</v>
      </c>
      <c r="K302" s="55"/>
      <c r="L302" s="61">
        <f>SUM(J302/M302)</f>
        <v>1581.84311260927</v>
      </c>
      <c r="M302" s="62">
        <v>350.06</v>
      </c>
      <c r="N302" s="48">
        <v>7.19</v>
      </c>
      <c r="O302" s="49">
        <f t="shared" ref="O302:O306" si="146">SUM(M302*N302)</f>
        <v>2516.9314</v>
      </c>
      <c r="P302" s="51"/>
      <c r="Q302" s="51"/>
      <c r="R302" s="67">
        <f t="shared" si="143"/>
        <v>1922.34969053935</v>
      </c>
      <c r="S302" s="67"/>
      <c r="T302" s="91">
        <f t="shared" si="144"/>
        <v>9.82316534040672</v>
      </c>
      <c r="U302" s="67"/>
      <c r="V302" s="91">
        <v>42</v>
      </c>
      <c r="W302" s="89">
        <f t="shared" si="141"/>
        <v>1974.17285587975</v>
      </c>
      <c r="X302" s="90">
        <f t="shared" si="145"/>
        <v>37.7511052166225</v>
      </c>
      <c r="Y302" s="90"/>
      <c r="Z302" s="90"/>
      <c r="AA302" s="90">
        <f t="shared" si="142"/>
        <v>37.7511052166225</v>
      </c>
      <c r="AB302" s="107">
        <v>7.19</v>
      </c>
      <c r="AC302" s="67">
        <f t="shared" si="140"/>
        <v>271.430446507515</v>
      </c>
      <c r="AD302" s="67">
        <f t="shared" si="138"/>
        <v>2245.60330238727</v>
      </c>
      <c r="AE302" s="67">
        <f t="shared" si="139"/>
        <v>271.328097612732</v>
      </c>
    </row>
    <row r="303" customFormat="1" spans="1:31">
      <c r="A303" s="18"/>
      <c r="B303" s="19"/>
      <c r="C303" s="20">
        <v>240129000049</v>
      </c>
      <c r="D303" s="21">
        <v>45332</v>
      </c>
      <c r="E303" s="21" t="s">
        <v>41</v>
      </c>
      <c r="F303" s="19" t="s">
        <v>42</v>
      </c>
      <c r="G303" s="19" t="s">
        <v>280</v>
      </c>
      <c r="H303" s="19">
        <v>21.5</v>
      </c>
      <c r="I303" s="44">
        <v>1075</v>
      </c>
      <c r="J303" s="45"/>
      <c r="K303" s="46"/>
      <c r="L303" s="45"/>
      <c r="M303" s="47"/>
      <c r="N303" s="48"/>
      <c r="O303" s="49">
        <f t="shared" ref="O303:O307" si="147">SUM(I303)</f>
        <v>1075</v>
      </c>
      <c r="P303" s="51"/>
      <c r="Q303" s="51"/>
      <c r="R303" s="67">
        <f t="shared" si="143"/>
        <v>751.463969938108</v>
      </c>
      <c r="S303" s="67"/>
      <c r="T303" s="91">
        <f t="shared" si="144"/>
        <v>3.83996463306808</v>
      </c>
      <c r="U303" s="67"/>
      <c r="V303" s="67"/>
      <c r="W303" s="89">
        <f t="shared" si="141"/>
        <v>755.303934571176</v>
      </c>
      <c r="X303" s="90">
        <f t="shared" si="145"/>
        <v>14.7572502210433</v>
      </c>
      <c r="Y303" s="90"/>
      <c r="Z303" s="90"/>
      <c r="AA303" s="90">
        <f t="shared" si="142"/>
        <v>14.7572502210433</v>
      </c>
      <c r="AB303" s="107">
        <v>7.19</v>
      </c>
      <c r="AC303" s="67">
        <f t="shared" si="140"/>
        <v>106.104629089301</v>
      </c>
      <c r="AD303" s="67">
        <f t="shared" si="138"/>
        <v>861.408563660478</v>
      </c>
      <c r="AE303" s="67">
        <f t="shared" si="139"/>
        <v>213.591436339522</v>
      </c>
    </row>
    <row r="304" customFormat="1" spans="1:31">
      <c r="A304" s="18"/>
      <c r="B304" s="19"/>
      <c r="C304" s="20">
        <v>240129000069</v>
      </c>
      <c r="D304" s="21">
        <v>45332</v>
      </c>
      <c r="E304" s="21" t="s">
        <v>37</v>
      </c>
      <c r="F304" s="19" t="s">
        <v>38</v>
      </c>
      <c r="G304" s="19" t="s">
        <v>281</v>
      </c>
      <c r="H304" s="19">
        <v>38.5</v>
      </c>
      <c r="I304" s="44">
        <v>4427.5</v>
      </c>
      <c r="J304" s="45"/>
      <c r="K304" s="46"/>
      <c r="L304" s="45"/>
      <c r="M304" s="47"/>
      <c r="N304" s="48"/>
      <c r="O304" s="49">
        <f t="shared" si="147"/>
        <v>4427.5</v>
      </c>
      <c r="P304" s="51"/>
      <c r="Q304" s="51"/>
      <c r="R304" s="67">
        <f t="shared" si="143"/>
        <v>1345.64478337754</v>
      </c>
      <c r="S304" s="67"/>
      <c r="T304" s="91">
        <f t="shared" si="144"/>
        <v>6.8762157382847</v>
      </c>
      <c r="U304" s="67"/>
      <c r="V304" s="67"/>
      <c r="W304" s="89">
        <f t="shared" si="141"/>
        <v>1352.52099911583</v>
      </c>
      <c r="X304" s="90">
        <f t="shared" si="145"/>
        <v>26.4257736516357</v>
      </c>
      <c r="Y304" s="90"/>
      <c r="Z304" s="90"/>
      <c r="AA304" s="90">
        <f t="shared" si="142"/>
        <v>26.4257736516357</v>
      </c>
      <c r="AB304" s="107">
        <v>7.19</v>
      </c>
      <c r="AC304" s="67">
        <f t="shared" si="140"/>
        <v>190.001312555261</v>
      </c>
      <c r="AD304" s="67">
        <f t="shared" si="138"/>
        <v>1542.52231167109</v>
      </c>
      <c r="AE304" s="67">
        <f t="shared" si="139"/>
        <v>2884.97768832891</v>
      </c>
    </row>
    <row r="305" customFormat="1" spans="1:31">
      <c r="A305" s="18"/>
      <c r="B305" s="19"/>
      <c r="C305" s="20">
        <v>240129000076</v>
      </c>
      <c r="D305" s="21">
        <v>45332</v>
      </c>
      <c r="E305" s="21" t="s">
        <v>37</v>
      </c>
      <c r="F305" s="19" t="s">
        <v>38</v>
      </c>
      <c r="G305" s="19" t="s">
        <v>160</v>
      </c>
      <c r="H305" s="19">
        <v>2.5</v>
      </c>
      <c r="I305" s="53"/>
      <c r="J305" s="61">
        <v>30629</v>
      </c>
      <c r="K305" s="55"/>
      <c r="L305" s="61">
        <f>SUM(J305/M305)</f>
        <v>1567.50255885363</v>
      </c>
      <c r="M305" s="62">
        <v>19.54</v>
      </c>
      <c r="N305" s="48">
        <v>7.19</v>
      </c>
      <c r="O305" s="49">
        <f t="shared" si="146"/>
        <v>140.4926</v>
      </c>
      <c r="P305" s="51"/>
      <c r="Q305" s="51"/>
      <c r="R305" s="67">
        <f t="shared" si="143"/>
        <v>87.3795313881521</v>
      </c>
      <c r="S305" s="67"/>
      <c r="T305" s="91">
        <f t="shared" si="144"/>
        <v>0.446507515473033</v>
      </c>
      <c r="U305" s="67"/>
      <c r="V305" s="67"/>
      <c r="W305" s="89">
        <f t="shared" si="141"/>
        <v>87.8260389036251</v>
      </c>
      <c r="X305" s="90">
        <f t="shared" si="145"/>
        <v>1.71595932802829</v>
      </c>
      <c r="Y305" s="90"/>
      <c r="Z305" s="90"/>
      <c r="AA305" s="90">
        <f t="shared" si="142"/>
        <v>1.71595932802829</v>
      </c>
      <c r="AB305" s="107">
        <v>7.19</v>
      </c>
      <c r="AC305" s="67">
        <f t="shared" si="140"/>
        <v>12.3377475685234</v>
      </c>
      <c r="AD305" s="67">
        <f t="shared" si="138"/>
        <v>100.163786472149</v>
      </c>
      <c r="AE305" s="67">
        <f t="shared" si="139"/>
        <v>40.3288135278515</v>
      </c>
    </row>
    <row r="306" customFormat="1" spans="1:31">
      <c r="A306" s="18"/>
      <c r="B306" s="19"/>
      <c r="C306" s="20">
        <v>240129000077</v>
      </c>
      <c r="D306" s="21">
        <v>45332</v>
      </c>
      <c r="E306" s="21" t="s">
        <v>41</v>
      </c>
      <c r="F306" s="19" t="s">
        <v>42</v>
      </c>
      <c r="G306" s="19" t="s">
        <v>282</v>
      </c>
      <c r="H306" s="19">
        <v>62</v>
      </c>
      <c r="I306" s="53"/>
      <c r="J306" s="61">
        <v>608220</v>
      </c>
      <c r="K306" s="55"/>
      <c r="L306" s="61">
        <f>SUM(J306/M306)</f>
        <v>1567.45612452645</v>
      </c>
      <c r="M306" s="62">
        <v>388.03</v>
      </c>
      <c r="N306" s="48">
        <v>7.19</v>
      </c>
      <c r="O306" s="49">
        <f t="shared" si="146"/>
        <v>2789.9357</v>
      </c>
      <c r="P306" s="51"/>
      <c r="Q306" s="51"/>
      <c r="R306" s="67">
        <f t="shared" si="143"/>
        <v>2167.01237842617</v>
      </c>
      <c r="S306" s="67"/>
      <c r="T306" s="91">
        <f t="shared" si="144"/>
        <v>11.0733863837312</v>
      </c>
      <c r="U306" s="67"/>
      <c r="V306" s="67"/>
      <c r="W306" s="89">
        <f t="shared" si="141"/>
        <v>2178.0857648099</v>
      </c>
      <c r="X306" s="90">
        <f t="shared" si="145"/>
        <v>42.5557913351017</v>
      </c>
      <c r="Y306" s="90"/>
      <c r="Z306" s="90"/>
      <c r="AA306" s="90">
        <f t="shared" si="142"/>
        <v>42.5557913351017</v>
      </c>
      <c r="AB306" s="107">
        <v>7.19</v>
      </c>
      <c r="AC306" s="67">
        <f t="shared" si="140"/>
        <v>305.976139699381</v>
      </c>
      <c r="AD306" s="67">
        <f t="shared" si="138"/>
        <v>2484.06190450928</v>
      </c>
      <c r="AE306" s="67">
        <f t="shared" si="139"/>
        <v>305.873795490716</v>
      </c>
    </row>
    <row r="307" customFormat="1" spans="1:31">
      <c r="A307" s="18"/>
      <c r="B307" s="19"/>
      <c r="C307" s="20">
        <v>240129000079</v>
      </c>
      <c r="D307" s="21">
        <v>45332</v>
      </c>
      <c r="E307" s="21" t="s">
        <v>41</v>
      </c>
      <c r="F307" s="19" t="s">
        <v>42</v>
      </c>
      <c r="G307" s="19" t="s">
        <v>283</v>
      </c>
      <c r="H307" s="19">
        <v>3</v>
      </c>
      <c r="I307" s="44">
        <v>168</v>
      </c>
      <c r="J307" s="45"/>
      <c r="K307" s="46"/>
      <c r="L307" s="45"/>
      <c r="M307" s="47"/>
      <c r="N307" s="48"/>
      <c r="O307" s="49">
        <f t="shared" si="147"/>
        <v>168</v>
      </c>
      <c r="P307" s="51"/>
      <c r="Q307" s="51"/>
      <c r="R307" s="67">
        <f t="shared" si="143"/>
        <v>104.855437665782</v>
      </c>
      <c r="S307" s="67"/>
      <c r="T307" s="91">
        <f t="shared" si="144"/>
        <v>0.535809018567639</v>
      </c>
      <c r="U307" s="67"/>
      <c r="V307" s="67"/>
      <c r="W307" s="89">
        <f t="shared" si="141"/>
        <v>105.39124668435</v>
      </c>
      <c r="X307" s="90">
        <f t="shared" si="145"/>
        <v>2.05915119363395</v>
      </c>
      <c r="Y307" s="90"/>
      <c r="Z307" s="90"/>
      <c r="AA307" s="90">
        <f t="shared" si="142"/>
        <v>2.05915119363395</v>
      </c>
      <c r="AB307" s="107">
        <v>7.19</v>
      </c>
      <c r="AC307" s="67">
        <f t="shared" si="140"/>
        <v>14.8052970822281</v>
      </c>
      <c r="AD307" s="67">
        <f t="shared" si="138"/>
        <v>120.196543766578</v>
      </c>
      <c r="AE307" s="67">
        <f t="shared" si="139"/>
        <v>47.8034562334218</v>
      </c>
    </row>
    <row r="308" customFormat="1" spans="1:31">
      <c r="A308" s="18"/>
      <c r="B308" s="19"/>
      <c r="C308" s="20">
        <v>240130000018</v>
      </c>
      <c r="D308" s="21">
        <v>45332</v>
      </c>
      <c r="E308" s="21" t="s">
        <v>62</v>
      </c>
      <c r="F308" s="19" t="s">
        <v>63</v>
      </c>
      <c r="G308" s="19" t="s">
        <v>126</v>
      </c>
      <c r="H308" s="19">
        <v>0.1</v>
      </c>
      <c r="I308" s="49"/>
      <c r="J308" s="65">
        <v>12015</v>
      </c>
      <c r="K308" s="69"/>
      <c r="L308" s="61">
        <f>SUM(J308/M308)</f>
        <v>1350</v>
      </c>
      <c r="M308" s="62">
        <v>8.9</v>
      </c>
      <c r="N308" s="48">
        <v>7.19</v>
      </c>
      <c r="O308" s="49">
        <f>SUM(M308*N308)</f>
        <v>63.991</v>
      </c>
      <c r="P308" s="51"/>
      <c r="Q308" s="51"/>
      <c r="R308" s="67">
        <f t="shared" si="143"/>
        <v>3.49518125552608</v>
      </c>
      <c r="S308" s="67"/>
      <c r="T308" s="91">
        <f t="shared" si="144"/>
        <v>0.0178603006189213</v>
      </c>
      <c r="U308" s="67"/>
      <c r="V308" s="67"/>
      <c r="W308" s="89">
        <f t="shared" si="141"/>
        <v>3.513041556145</v>
      </c>
      <c r="X308" s="90">
        <f t="shared" si="145"/>
        <v>0.0686383731211317</v>
      </c>
      <c r="Y308" s="90"/>
      <c r="Z308" s="90"/>
      <c r="AA308" s="90">
        <f t="shared" si="142"/>
        <v>0.0686383731211317</v>
      </c>
      <c r="AB308" s="107">
        <v>7.19</v>
      </c>
      <c r="AC308" s="67">
        <f t="shared" si="140"/>
        <v>0.493509902740937</v>
      </c>
      <c r="AD308" s="67">
        <f t="shared" si="138"/>
        <v>4.00655145888594</v>
      </c>
      <c r="AE308" s="67">
        <f t="shared" si="139"/>
        <v>59.9844485411141</v>
      </c>
    </row>
    <row r="309" customFormat="1" spans="1:31">
      <c r="A309" s="18"/>
      <c r="B309" s="19"/>
      <c r="C309" s="20">
        <v>240130000020</v>
      </c>
      <c r="D309" s="21">
        <v>45332</v>
      </c>
      <c r="E309" s="21" t="s">
        <v>44</v>
      </c>
      <c r="F309" s="19" t="s">
        <v>44</v>
      </c>
      <c r="G309" s="19" t="s">
        <v>95</v>
      </c>
      <c r="H309" s="19">
        <v>4.5</v>
      </c>
      <c r="I309" s="44">
        <v>250.5</v>
      </c>
      <c r="J309" s="45"/>
      <c r="K309" s="46"/>
      <c r="L309" s="45"/>
      <c r="M309" s="47"/>
      <c r="N309" s="48"/>
      <c r="O309" s="49">
        <f t="shared" ref="O309:O313" si="148">SUM(I309)</f>
        <v>250.5</v>
      </c>
      <c r="P309" s="51"/>
      <c r="Q309" s="51"/>
      <c r="R309" s="67">
        <f t="shared" si="143"/>
        <v>157.283156498674</v>
      </c>
      <c r="S309" s="67"/>
      <c r="T309" s="91">
        <f t="shared" si="144"/>
        <v>0.803713527851459</v>
      </c>
      <c r="U309" s="67"/>
      <c r="V309" s="67"/>
      <c r="W309" s="89">
        <f t="shared" si="141"/>
        <v>158.086870026525</v>
      </c>
      <c r="X309" s="90">
        <f t="shared" si="145"/>
        <v>3.08872679045093</v>
      </c>
      <c r="Y309" s="90"/>
      <c r="Z309" s="90"/>
      <c r="AA309" s="90">
        <f t="shared" si="142"/>
        <v>3.08872679045093</v>
      </c>
      <c r="AB309" s="107">
        <v>7.19</v>
      </c>
      <c r="AC309" s="67">
        <f t="shared" si="140"/>
        <v>22.2079456233422</v>
      </c>
      <c r="AD309" s="67">
        <f t="shared" si="138"/>
        <v>180.294815649867</v>
      </c>
      <c r="AE309" s="67">
        <f t="shared" si="139"/>
        <v>70.2051843501326</v>
      </c>
    </row>
    <row r="310" customFormat="1" spans="1:31">
      <c r="A310" s="18"/>
      <c r="B310" s="19"/>
      <c r="C310" s="20">
        <v>240130000029</v>
      </c>
      <c r="D310" s="21">
        <v>45332</v>
      </c>
      <c r="E310" s="21" t="s">
        <v>41</v>
      </c>
      <c r="F310" s="19" t="s">
        <v>42</v>
      </c>
      <c r="G310" s="19" t="s">
        <v>270</v>
      </c>
      <c r="H310" s="19">
        <v>5</v>
      </c>
      <c r="I310" s="53"/>
      <c r="J310" s="61">
        <v>65800</v>
      </c>
      <c r="K310" s="55"/>
      <c r="L310" s="61">
        <f>SUM(J310/M310)</f>
        <v>2013.46389228886</v>
      </c>
      <c r="M310" s="62">
        <v>32.68</v>
      </c>
      <c r="N310" s="48">
        <v>7.19</v>
      </c>
      <c r="O310" s="49">
        <f>SUM(M310*N310)</f>
        <v>234.9692</v>
      </c>
      <c r="P310" s="51"/>
      <c r="Q310" s="51"/>
      <c r="R310" s="67">
        <f t="shared" si="143"/>
        <v>174.759062776304</v>
      </c>
      <c r="S310" s="67"/>
      <c r="T310" s="91">
        <f t="shared" si="144"/>
        <v>0.893015030946065</v>
      </c>
      <c r="U310" s="67"/>
      <c r="V310" s="67"/>
      <c r="W310" s="89">
        <f t="shared" si="141"/>
        <v>175.65207780725</v>
      </c>
      <c r="X310" s="90">
        <f t="shared" si="145"/>
        <v>3.43191865605659</v>
      </c>
      <c r="Y310" s="90"/>
      <c r="Z310" s="90"/>
      <c r="AA310" s="90">
        <f t="shared" si="142"/>
        <v>3.43191865605659</v>
      </c>
      <c r="AB310" s="107">
        <v>7.19</v>
      </c>
      <c r="AC310" s="67">
        <f t="shared" si="140"/>
        <v>24.6754951370469</v>
      </c>
      <c r="AD310" s="67">
        <f t="shared" si="138"/>
        <v>200.327572944297</v>
      </c>
      <c r="AE310" s="67">
        <f t="shared" si="139"/>
        <v>34.6416270557029</v>
      </c>
    </row>
    <row r="311" customFormat="1" spans="1:31">
      <c r="A311" s="18"/>
      <c r="B311" s="19"/>
      <c r="C311" s="20">
        <v>240130000037</v>
      </c>
      <c r="D311" s="21">
        <v>45332</v>
      </c>
      <c r="E311" s="21" t="s">
        <v>37</v>
      </c>
      <c r="F311" s="19" t="s">
        <v>38</v>
      </c>
      <c r="G311" s="19" t="s">
        <v>284</v>
      </c>
      <c r="H311" s="19">
        <v>6</v>
      </c>
      <c r="I311" s="44">
        <v>318</v>
      </c>
      <c r="J311" s="45"/>
      <c r="K311" s="46"/>
      <c r="L311" s="45"/>
      <c r="M311" s="47"/>
      <c r="N311" s="48"/>
      <c r="O311" s="49">
        <f t="shared" si="148"/>
        <v>318</v>
      </c>
      <c r="P311" s="51"/>
      <c r="Q311" s="51"/>
      <c r="R311" s="67">
        <f t="shared" si="143"/>
        <v>209.710875331565</v>
      </c>
      <c r="S311" s="67"/>
      <c r="T311" s="91">
        <f t="shared" si="144"/>
        <v>1.07161803713528</v>
      </c>
      <c r="U311" s="67"/>
      <c r="V311" s="67"/>
      <c r="W311" s="89">
        <f t="shared" si="141"/>
        <v>210.7824933687</v>
      </c>
      <c r="X311" s="90">
        <f t="shared" si="145"/>
        <v>4.1183023872679</v>
      </c>
      <c r="Y311" s="90"/>
      <c r="Z311" s="90"/>
      <c r="AA311" s="90">
        <f t="shared" si="142"/>
        <v>4.1183023872679</v>
      </c>
      <c r="AB311" s="107">
        <v>7.19</v>
      </c>
      <c r="AC311" s="67">
        <f t="shared" si="140"/>
        <v>29.6105941644562</v>
      </c>
      <c r="AD311" s="67">
        <f t="shared" si="138"/>
        <v>240.393087533156</v>
      </c>
      <c r="AE311" s="67">
        <f t="shared" si="139"/>
        <v>77.6069124668435</v>
      </c>
    </row>
    <row r="312" customFormat="1" spans="1:31">
      <c r="A312" s="18"/>
      <c r="B312" s="19"/>
      <c r="C312" s="20">
        <v>240130000038</v>
      </c>
      <c r="D312" s="21">
        <v>45332</v>
      </c>
      <c r="E312" s="21" t="s">
        <v>37</v>
      </c>
      <c r="F312" s="19" t="s">
        <v>38</v>
      </c>
      <c r="G312" s="19" t="s">
        <v>161</v>
      </c>
      <c r="H312" s="19">
        <v>6</v>
      </c>
      <c r="I312" s="44">
        <v>306</v>
      </c>
      <c r="J312" s="45"/>
      <c r="K312" s="46"/>
      <c r="L312" s="45"/>
      <c r="M312" s="47"/>
      <c r="N312" s="48"/>
      <c r="O312" s="49">
        <f t="shared" si="148"/>
        <v>306</v>
      </c>
      <c r="P312" s="51"/>
      <c r="Q312" s="51"/>
      <c r="R312" s="67">
        <f t="shared" si="143"/>
        <v>209.710875331565</v>
      </c>
      <c r="S312" s="67"/>
      <c r="T312" s="91">
        <f t="shared" si="144"/>
        <v>1.07161803713528</v>
      </c>
      <c r="U312" s="67"/>
      <c r="V312" s="91">
        <v>24</v>
      </c>
      <c r="W312" s="89">
        <f t="shared" si="141"/>
        <v>234.7824933687</v>
      </c>
      <c r="X312" s="90">
        <f t="shared" si="145"/>
        <v>4.1183023872679</v>
      </c>
      <c r="Y312" s="90"/>
      <c r="Z312" s="90"/>
      <c r="AA312" s="90">
        <f t="shared" si="142"/>
        <v>4.1183023872679</v>
      </c>
      <c r="AB312" s="107">
        <v>7.19</v>
      </c>
      <c r="AC312" s="67">
        <f t="shared" si="140"/>
        <v>29.6105941644562</v>
      </c>
      <c r="AD312" s="67">
        <f t="shared" si="138"/>
        <v>264.393087533156</v>
      </c>
      <c r="AE312" s="67">
        <f t="shared" si="139"/>
        <v>41.6069124668435</v>
      </c>
    </row>
    <row r="313" customFormat="1" spans="1:31">
      <c r="A313" s="18"/>
      <c r="B313" s="19"/>
      <c r="C313" s="20">
        <v>240130000039</v>
      </c>
      <c r="D313" s="21">
        <v>45332</v>
      </c>
      <c r="E313" s="21" t="s">
        <v>37</v>
      </c>
      <c r="F313" s="19" t="s">
        <v>38</v>
      </c>
      <c r="G313" s="19" t="s">
        <v>285</v>
      </c>
      <c r="H313" s="19">
        <v>2</v>
      </c>
      <c r="I313" s="44">
        <v>113</v>
      </c>
      <c r="J313" s="45"/>
      <c r="K313" s="46"/>
      <c r="L313" s="45"/>
      <c r="M313" s="47"/>
      <c r="N313" s="48"/>
      <c r="O313" s="49">
        <f t="shared" si="148"/>
        <v>113</v>
      </c>
      <c r="P313" s="51"/>
      <c r="Q313" s="51"/>
      <c r="R313" s="67">
        <f t="shared" si="143"/>
        <v>69.9036251105217</v>
      </c>
      <c r="S313" s="67"/>
      <c r="T313" s="91">
        <f t="shared" si="144"/>
        <v>0.357206012378426</v>
      </c>
      <c r="U313" s="67"/>
      <c r="V313" s="67"/>
      <c r="W313" s="89">
        <f t="shared" si="141"/>
        <v>70.2608311229001</v>
      </c>
      <c r="X313" s="90">
        <f t="shared" si="145"/>
        <v>1.37276746242263</v>
      </c>
      <c r="Y313" s="90"/>
      <c r="Z313" s="90"/>
      <c r="AA313" s="90">
        <f t="shared" si="142"/>
        <v>1.37276746242263</v>
      </c>
      <c r="AB313" s="107">
        <v>7.19</v>
      </c>
      <c r="AC313" s="67">
        <f t="shared" si="140"/>
        <v>9.87019805481874</v>
      </c>
      <c r="AD313" s="67">
        <f t="shared" si="138"/>
        <v>80.1310291777188</v>
      </c>
      <c r="AE313" s="67">
        <f t="shared" si="139"/>
        <v>32.8689708222812</v>
      </c>
    </row>
    <row r="314" customFormat="1" spans="1:31">
      <c r="A314" s="18"/>
      <c r="B314" s="19"/>
      <c r="C314" s="20">
        <v>240130000042</v>
      </c>
      <c r="D314" s="21">
        <v>45332</v>
      </c>
      <c r="E314" s="21" t="s">
        <v>44</v>
      </c>
      <c r="F314" s="19" t="s">
        <v>44</v>
      </c>
      <c r="G314" s="19" t="s">
        <v>286</v>
      </c>
      <c r="H314" s="19">
        <v>1</v>
      </c>
      <c r="I314" s="53"/>
      <c r="J314" s="61">
        <v>12644</v>
      </c>
      <c r="K314" s="55"/>
      <c r="L314" s="61">
        <f>SUM(J314/M314)</f>
        <v>1568.73449131514</v>
      </c>
      <c r="M314" s="62">
        <v>8.06</v>
      </c>
      <c r="N314" s="48">
        <v>7.19</v>
      </c>
      <c r="O314" s="49">
        <f t="shared" ref="O314:O321" si="149">SUM(M314*N314)</f>
        <v>57.9514</v>
      </c>
      <c r="P314" s="51"/>
      <c r="Q314" s="51"/>
      <c r="R314" s="67">
        <f t="shared" si="143"/>
        <v>34.9518125552608</v>
      </c>
      <c r="S314" s="67"/>
      <c r="T314" s="91">
        <f t="shared" si="144"/>
        <v>0.178603006189213</v>
      </c>
      <c r="U314" s="67"/>
      <c r="V314" s="67"/>
      <c r="W314" s="89">
        <f t="shared" si="141"/>
        <v>35.13041556145</v>
      </c>
      <c r="X314" s="90">
        <f t="shared" si="145"/>
        <v>0.686383731211317</v>
      </c>
      <c r="Y314" s="90"/>
      <c r="Z314" s="90"/>
      <c r="AA314" s="90">
        <f t="shared" si="142"/>
        <v>0.686383731211317</v>
      </c>
      <c r="AB314" s="107">
        <v>7.19</v>
      </c>
      <c r="AC314" s="67">
        <f t="shared" si="140"/>
        <v>4.93509902740937</v>
      </c>
      <c r="AD314" s="67">
        <f t="shared" si="138"/>
        <v>40.0655145888594</v>
      </c>
      <c r="AE314" s="67">
        <f t="shared" si="139"/>
        <v>17.8858854111406</v>
      </c>
    </row>
    <row r="315" customFormat="1" spans="1:31">
      <c r="A315" s="18"/>
      <c r="B315" s="19"/>
      <c r="C315" s="20">
        <v>240131000005</v>
      </c>
      <c r="D315" s="21">
        <v>45332</v>
      </c>
      <c r="E315" s="21" t="s">
        <v>76</v>
      </c>
      <c r="F315" s="19" t="s">
        <v>77</v>
      </c>
      <c r="G315" s="19" t="s">
        <v>244</v>
      </c>
      <c r="H315" s="19">
        <v>30</v>
      </c>
      <c r="I315" s="44">
        <v>1500</v>
      </c>
      <c r="J315" s="45"/>
      <c r="K315" s="46"/>
      <c r="L315" s="45"/>
      <c r="M315" s="47"/>
      <c r="N315" s="48"/>
      <c r="O315" s="49">
        <f t="shared" ref="O315:O318" si="150">SUM(I315)</f>
        <v>1500</v>
      </c>
      <c r="P315" s="51"/>
      <c r="Q315" s="51"/>
      <c r="R315" s="67">
        <f t="shared" si="143"/>
        <v>1048.55437665782</v>
      </c>
      <c r="S315" s="67"/>
      <c r="T315" s="91">
        <f t="shared" si="144"/>
        <v>5.35809018567639</v>
      </c>
      <c r="U315" s="67"/>
      <c r="V315" s="67"/>
      <c r="W315" s="89">
        <f t="shared" si="141"/>
        <v>1053.9124668435</v>
      </c>
      <c r="X315" s="90">
        <f t="shared" si="145"/>
        <v>20.5915119363395</v>
      </c>
      <c r="Y315" s="90"/>
      <c r="Z315" s="90"/>
      <c r="AA315" s="90">
        <f t="shared" si="142"/>
        <v>20.5915119363395</v>
      </c>
      <c r="AB315" s="107">
        <v>7.19</v>
      </c>
      <c r="AC315" s="67">
        <f t="shared" si="140"/>
        <v>148.052970822281</v>
      </c>
      <c r="AD315" s="67">
        <f t="shared" si="138"/>
        <v>1201.96543766578</v>
      </c>
      <c r="AE315" s="67">
        <f t="shared" si="139"/>
        <v>298.034562334218</v>
      </c>
    </row>
    <row r="316" customFormat="1" spans="1:31">
      <c r="A316" s="18"/>
      <c r="B316" s="19"/>
      <c r="C316" s="20">
        <v>240131000006</v>
      </c>
      <c r="D316" s="21">
        <v>45332</v>
      </c>
      <c r="E316" s="21" t="s">
        <v>41</v>
      </c>
      <c r="F316" s="19" t="s">
        <v>42</v>
      </c>
      <c r="G316" s="19" t="s">
        <v>263</v>
      </c>
      <c r="H316" s="19">
        <v>0.42</v>
      </c>
      <c r="I316" s="44">
        <v>58</v>
      </c>
      <c r="J316" s="45"/>
      <c r="K316" s="46"/>
      <c r="L316" s="45"/>
      <c r="M316" s="47"/>
      <c r="N316" s="48"/>
      <c r="O316" s="49">
        <f t="shared" si="150"/>
        <v>58</v>
      </c>
      <c r="P316" s="51"/>
      <c r="Q316" s="51"/>
      <c r="R316" s="67">
        <f t="shared" si="143"/>
        <v>14.6797612732095</v>
      </c>
      <c r="S316" s="67"/>
      <c r="T316" s="91">
        <f t="shared" si="144"/>
        <v>0.0750132625994695</v>
      </c>
      <c r="U316" s="67"/>
      <c r="V316" s="67"/>
      <c r="W316" s="89">
        <f t="shared" si="141"/>
        <v>14.754774535809</v>
      </c>
      <c r="X316" s="90">
        <f t="shared" si="145"/>
        <v>0.288281167108753</v>
      </c>
      <c r="Y316" s="90"/>
      <c r="Z316" s="90"/>
      <c r="AA316" s="90">
        <f t="shared" si="142"/>
        <v>0.288281167108753</v>
      </c>
      <c r="AB316" s="107">
        <v>7.19</v>
      </c>
      <c r="AC316" s="67">
        <f t="shared" si="140"/>
        <v>2.07274159151194</v>
      </c>
      <c r="AD316" s="67">
        <f t="shared" si="138"/>
        <v>16.827516127321</v>
      </c>
      <c r="AE316" s="67">
        <f t="shared" si="139"/>
        <v>41.172483872679</v>
      </c>
    </row>
    <row r="317" customFormat="1" spans="1:31">
      <c r="A317" s="18"/>
      <c r="B317" s="19"/>
      <c r="C317" s="20">
        <v>240131000007</v>
      </c>
      <c r="D317" s="21">
        <v>45332</v>
      </c>
      <c r="E317" s="21" t="s">
        <v>62</v>
      </c>
      <c r="F317" s="19" t="s">
        <v>63</v>
      </c>
      <c r="G317" s="19" t="s">
        <v>212</v>
      </c>
      <c r="H317" s="19">
        <v>3.5</v>
      </c>
      <c r="I317" s="49"/>
      <c r="J317" s="65">
        <v>49230</v>
      </c>
      <c r="K317" s="66"/>
      <c r="L317" s="61">
        <f>SUM(J317/M317)</f>
        <v>1800</v>
      </c>
      <c r="M317" s="62">
        <v>27.35</v>
      </c>
      <c r="N317" s="48">
        <v>7.19</v>
      </c>
      <c r="O317" s="49">
        <f t="shared" si="149"/>
        <v>196.6465</v>
      </c>
      <c r="P317" s="51"/>
      <c r="Q317" s="51"/>
      <c r="R317" s="67">
        <f t="shared" si="143"/>
        <v>122.331343943413</v>
      </c>
      <c r="S317" s="67"/>
      <c r="T317" s="91">
        <f t="shared" si="144"/>
        <v>0.625110521662246</v>
      </c>
      <c r="U317" s="67"/>
      <c r="V317" s="67"/>
      <c r="W317" s="89">
        <f t="shared" si="141"/>
        <v>122.956454465075</v>
      </c>
      <c r="X317" s="90">
        <f t="shared" si="145"/>
        <v>2.40234305923961</v>
      </c>
      <c r="Y317" s="90"/>
      <c r="Z317" s="90"/>
      <c r="AA317" s="90">
        <f t="shared" si="142"/>
        <v>2.40234305923961</v>
      </c>
      <c r="AB317" s="107">
        <v>7.19</v>
      </c>
      <c r="AC317" s="67">
        <f t="shared" si="140"/>
        <v>17.2728465959328</v>
      </c>
      <c r="AD317" s="67">
        <f t="shared" si="138"/>
        <v>140.229301061008</v>
      </c>
      <c r="AE317" s="67">
        <f t="shared" si="139"/>
        <v>56.417198938992</v>
      </c>
    </row>
    <row r="318" customFormat="1" spans="1:31">
      <c r="A318" s="18"/>
      <c r="B318" s="19"/>
      <c r="C318" s="20">
        <v>240131000010</v>
      </c>
      <c r="D318" s="21">
        <v>45332</v>
      </c>
      <c r="E318" s="21" t="s">
        <v>62</v>
      </c>
      <c r="F318" s="19" t="s">
        <v>63</v>
      </c>
      <c r="G318" s="19" t="s">
        <v>70</v>
      </c>
      <c r="H318" s="19">
        <v>3.5</v>
      </c>
      <c r="I318" s="44">
        <v>213</v>
      </c>
      <c r="J318" s="45"/>
      <c r="K318" s="46"/>
      <c r="L318" s="45"/>
      <c r="M318" s="47"/>
      <c r="N318" s="48"/>
      <c r="O318" s="49">
        <f t="shared" si="150"/>
        <v>213</v>
      </c>
      <c r="P318" s="51"/>
      <c r="Q318" s="51"/>
      <c r="R318" s="67">
        <f t="shared" si="143"/>
        <v>122.331343943413</v>
      </c>
      <c r="S318" s="67"/>
      <c r="T318" s="91">
        <f t="shared" si="144"/>
        <v>0.625110521662246</v>
      </c>
      <c r="U318" s="67"/>
      <c r="V318" s="67"/>
      <c r="W318" s="89">
        <f t="shared" si="141"/>
        <v>122.956454465075</v>
      </c>
      <c r="X318" s="90">
        <f t="shared" si="145"/>
        <v>2.40234305923961</v>
      </c>
      <c r="Y318" s="90"/>
      <c r="Z318" s="90"/>
      <c r="AA318" s="90">
        <f t="shared" si="142"/>
        <v>2.40234305923961</v>
      </c>
      <c r="AB318" s="107">
        <v>7.19</v>
      </c>
      <c r="AC318" s="67">
        <f t="shared" si="140"/>
        <v>17.2728465959328</v>
      </c>
      <c r="AD318" s="67">
        <f t="shared" si="138"/>
        <v>140.229301061008</v>
      </c>
      <c r="AE318" s="67">
        <f t="shared" si="139"/>
        <v>72.770698938992</v>
      </c>
    </row>
    <row r="319" customFormat="1" spans="1:31">
      <c r="A319" s="18"/>
      <c r="B319" s="19"/>
      <c r="C319" s="20">
        <v>240131000012</v>
      </c>
      <c r="D319" s="21">
        <v>45332</v>
      </c>
      <c r="E319" s="21" t="s">
        <v>41</v>
      </c>
      <c r="F319" s="19" t="s">
        <v>42</v>
      </c>
      <c r="G319" s="19" t="s">
        <v>59</v>
      </c>
      <c r="H319" s="19">
        <v>7</v>
      </c>
      <c r="I319" s="53"/>
      <c r="J319" s="61">
        <v>76300</v>
      </c>
      <c r="K319" s="55"/>
      <c r="L319" s="61">
        <f>SUM(J319/M319)</f>
        <v>1567.70084240805</v>
      </c>
      <c r="M319" s="62">
        <v>48.67</v>
      </c>
      <c r="N319" s="48">
        <v>7.19</v>
      </c>
      <c r="O319" s="49">
        <f t="shared" si="149"/>
        <v>349.9373</v>
      </c>
      <c r="P319" s="51"/>
      <c r="Q319" s="51"/>
      <c r="R319" s="67">
        <f t="shared" si="143"/>
        <v>244.662687886826</v>
      </c>
      <c r="S319" s="67"/>
      <c r="T319" s="91">
        <f t="shared" si="144"/>
        <v>1.25022104332449</v>
      </c>
      <c r="U319" s="67"/>
      <c r="V319" s="67"/>
      <c r="W319" s="89">
        <f t="shared" si="141"/>
        <v>245.91290893015</v>
      </c>
      <c r="X319" s="90">
        <f t="shared" si="145"/>
        <v>4.80468611847922</v>
      </c>
      <c r="Y319" s="90"/>
      <c r="Z319" s="90"/>
      <c r="AA319" s="90">
        <f t="shared" si="142"/>
        <v>4.80468611847922</v>
      </c>
      <c r="AB319" s="107">
        <v>7.19</v>
      </c>
      <c r="AC319" s="67">
        <f t="shared" si="140"/>
        <v>34.5456931918656</v>
      </c>
      <c r="AD319" s="67">
        <f t="shared" si="138"/>
        <v>280.458602122016</v>
      </c>
      <c r="AE319" s="67">
        <f t="shared" si="139"/>
        <v>69.4786978779841</v>
      </c>
    </row>
    <row r="320" customFormat="1" spans="1:31">
      <c r="A320" s="18"/>
      <c r="B320" s="19"/>
      <c r="C320" s="20">
        <v>240131000016</v>
      </c>
      <c r="D320" s="21">
        <v>45332</v>
      </c>
      <c r="E320" s="21" t="s">
        <v>37</v>
      </c>
      <c r="F320" s="19" t="s">
        <v>38</v>
      </c>
      <c r="G320" s="19" t="s">
        <v>287</v>
      </c>
      <c r="H320" s="19">
        <v>8.5</v>
      </c>
      <c r="I320" s="53"/>
      <c r="J320" s="61">
        <v>97664</v>
      </c>
      <c r="K320" s="55"/>
      <c r="L320" s="61">
        <f>SUM(J320/M320)</f>
        <v>1567.6404494382</v>
      </c>
      <c r="M320" s="62">
        <v>62.3</v>
      </c>
      <c r="N320" s="48">
        <v>7.19</v>
      </c>
      <c r="O320" s="49">
        <f t="shared" si="149"/>
        <v>447.937</v>
      </c>
      <c r="P320" s="51"/>
      <c r="Q320" s="51"/>
      <c r="R320" s="67">
        <f t="shared" si="143"/>
        <v>297.090406719717</v>
      </c>
      <c r="S320" s="67"/>
      <c r="T320" s="91">
        <f t="shared" si="144"/>
        <v>1.51812555260831</v>
      </c>
      <c r="U320" s="67"/>
      <c r="V320" s="67"/>
      <c r="W320" s="89">
        <f t="shared" si="141"/>
        <v>298.608532272325</v>
      </c>
      <c r="X320" s="90">
        <f t="shared" si="145"/>
        <v>5.8342617152962</v>
      </c>
      <c r="Y320" s="90"/>
      <c r="Z320" s="90"/>
      <c r="AA320" s="90">
        <f t="shared" si="142"/>
        <v>5.8342617152962</v>
      </c>
      <c r="AB320" s="107">
        <v>7.19</v>
      </c>
      <c r="AC320" s="67">
        <f t="shared" si="140"/>
        <v>41.9483417329797</v>
      </c>
      <c r="AD320" s="67">
        <f t="shared" si="138"/>
        <v>340.556874005305</v>
      </c>
      <c r="AE320" s="67">
        <f t="shared" si="139"/>
        <v>107.380125994695</v>
      </c>
    </row>
    <row r="321" customFormat="1" spans="1:31">
      <c r="A321" s="18"/>
      <c r="B321" s="19"/>
      <c r="C321" s="24">
        <v>240131000019</v>
      </c>
      <c r="D321" s="25">
        <v>45332</v>
      </c>
      <c r="E321" s="21" t="s">
        <v>41</v>
      </c>
      <c r="F321" s="26" t="s">
        <v>42</v>
      </c>
      <c r="G321" s="26" t="s">
        <v>288</v>
      </c>
      <c r="H321" s="26">
        <v>13.5</v>
      </c>
      <c r="I321" s="53"/>
      <c r="J321" s="61">
        <v>149923.8</v>
      </c>
      <c r="K321" s="55"/>
      <c r="L321" s="61">
        <f>SUM(J321/M321)</f>
        <v>1548</v>
      </c>
      <c r="M321" s="118">
        <v>96.85</v>
      </c>
      <c r="N321" s="48">
        <v>7.19</v>
      </c>
      <c r="O321" s="49">
        <f t="shared" si="149"/>
        <v>696.3515</v>
      </c>
      <c r="P321" s="51"/>
      <c r="Q321" s="51"/>
      <c r="R321" s="67">
        <f t="shared" si="143"/>
        <v>471.849469496021</v>
      </c>
      <c r="S321" s="67"/>
      <c r="T321" s="91">
        <f t="shared" si="144"/>
        <v>2.41114058355438</v>
      </c>
      <c r="U321" s="67"/>
      <c r="V321" s="67"/>
      <c r="W321" s="89">
        <f t="shared" si="141"/>
        <v>474.260610079576</v>
      </c>
      <c r="X321" s="90">
        <f t="shared" si="145"/>
        <v>9.26618037135278</v>
      </c>
      <c r="Y321" s="90"/>
      <c r="Z321" s="90"/>
      <c r="AA321" s="90">
        <f t="shared" si="142"/>
        <v>9.26618037135278</v>
      </c>
      <c r="AB321" s="107">
        <v>7.19</v>
      </c>
      <c r="AC321" s="67">
        <f t="shared" si="140"/>
        <v>66.6238368700265</v>
      </c>
      <c r="AD321" s="67">
        <f t="shared" si="138"/>
        <v>540.884446949602</v>
      </c>
      <c r="AE321" s="67">
        <f t="shared" si="139"/>
        <v>155.467053050398</v>
      </c>
    </row>
    <row r="322" customFormat="1" spans="1:31">
      <c r="A322" s="18"/>
      <c r="B322" s="19"/>
      <c r="C322" s="20">
        <v>240131000022</v>
      </c>
      <c r="D322" s="21">
        <v>45332</v>
      </c>
      <c r="E322" s="21" t="s">
        <v>62</v>
      </c>
      <c r="F322" s="19" t="s">
        <v>63</v>
      </c>
      <c r="G322" s="19" t="s">
        <v>248</v>
      </c>
      <c r="H322" s="19">
        <v>22.5</v>
      </c>
      <c r="I322" s="44">
        <v>1057.5</v>
      </c>
      <c r="J322" s="45"/>
      <c r="K322" s="46"/>
      <c r="L322" s="45"/>
      <c r="M322" s="47"/>
      <c r="N322" s="48"/>
      <c r="O322" s="49">
        <f t="shared" ref="O322:O327" si="151">SUM(I322)</f>
        <v>1057.5</v>
      </c>
      <c r="P322" s="51"/>
      <c r="Q322" s="51"/>
      <c r="R322" s="67">
        <f t="shared" si="143"/>
        <v>786.415782493369</v>
      </c>
      <c r="S322" s="67"/>
      <c r="T322" s="91">
        <f t="shared" si="144"/>
        <v>4.0185676392573</v>
      </c>
      <c r="U322" s="67"/>
      <c r="V322" s="67"/>
      <c r="W322" s="89">
        <f t="shared" si="141"/>
        <v>790.434350132626</v>
      </c>
      <c r="X322" s="90">
        <f t="shared" si="145"/>
        <v>15.4436339522546</v>
      </c>
      <c r="Y322" s="90"/>
      <c r="Z322" s="90"/>
      <c r="AA322" s="90">
        <f t="shared" si="142"/>
        <v>15.4436339522546</v>
      </c>
      <c r="AB322" s="107">
        <v>7.19</v>
      </c>
      <c r="AC322" s="67">
        <f t="shared" si="140"/>
        <v>111.039728116711</v>
      </c>
      <c r="AD322" s="67">
        <f t="shared" si="138"/>
        <v>901.474078249337</v>
      </c>
      <c r="AE322" s="67">
        <f t="shared" si="139"/>
        <v>156.025921750663</v>
      </c>
    </row>
    <row r="323" customFormat="1" spans="1:31">
      <c r="A323" s="18"/>
      <c r="B323" s="19"/>
      <c r="C323" s="20">
        <v>240131000024</v>
      </c>
      <c r="D323" s="21">
        <v>45332</v>
      </c>
      <c r="E323" s="21" t="s">
        <v>37</v>
      </c>
      <c r="F323" s="19" t="s">
        <v>122</v>
      </c>
      <c r="G323" s="19" t="s">
        <v>123</v>
      </c>
      <c r="H323" s="19">
        <v>3.5</v>
      </c>
      <c r="I323" s="44">
        <v>164.5</v>
      </c>
      <c r="J323" s="45"/>
      <c r="K323" s="46"/>
      <c r="L323" s="45"/>
      <c r="M323" s="47"/>
      <c r="N323" s="48"/>
      <c r="O323" s="49">
        <f t="shared" si="151"/>
        <v>164.5</v>
      </c>
      <c r="P323" s="51"/>
      <c r="Q323" s="51"/>
      <c r="R323" s="67">
        <f t="shared" si="143"/>
        <v>122.331343943413</v>
      </c>
      <c r="S323" s="67"/>
      <c r="T323" s="91">
        <f t="shared" si="144"/>
        <v>0.625110521662246</v>
      </c>
      <c r="U323" s="67"/>
      <c r="V323" s="67"/>
      <c r="W323" s="89">
        <f t="shared" si="141"/>
        <v>122.956454465075</v>
      </c>
      <c r="X323" s="90">
        <f t="shared" si="145"/>
        <v>2.40234305923961</v>
      </c>
      <c r="Y323" s="90"/>
      <c r="Z323" s="90"/>
      <c r="AA323" s="90">
        <f t="shared" si="142"/>
        <v>2.40234305923961</v>
      </c>
      <c r="AB323" s="107">
        <v>7.19</v>
      </c>
      <c r="AC323" s="67">
        <f t="shared" si="140"/>
        <v>17.2728465959328</v>
      </c>
      <c r="AD323" s="67">
        <f t="shared" si="138"/>
        <v>140.229301061008</v>
      </c>
      <c r="AE323" s="67">
        <f t="shared" si="139"/>
        <v>24.270698938992</v>
      </c>
    </row>
    <row r="324" customFormat="1" spans="1:31">
      <c r="A324" s="18"/>
      <c r="B324" s="19"/>
      <c r="C324" s="20">
        <v>240131000042</v>
      </c>
      <c r="D324" s="21">
        <v>45332</v>
      </c>
      <c r="E324" s="21" t="s">
        <v>62</v>
      </c>
      <c r="F324" s="19" t="s">
        <v>63</v>
      </c>
      <c r="G324" s="19" t="s">
        <v>212</v>
      </c>
      <c r="H324" s="19">
        <v>67</v>
      </c>
      <c r="I324" s="49"/>
      <c r="J324" s="65">
        <v>803196</v>
      </c>
      <c r="K324" s="66"/>
      <c r="L324" s="61">
        <f>SUM(J324/M324)</f>
        <v>1800</v>
      </c>
      <c r="M324" s="62">
        <v>446.22</v>
      </c>
      <c r="N324" s="48">
        <v>7.19</v>
      </c>
      <c r="O324" s="49">
        <f t="shared" ref="O324:O326" si="152">SUM(M324*N324)</f>
        <v>3208.3218</v>
      </c>
      <c r="P324" s="51"/>
      <c r="Q324" s="51"/>
      <c r="R324" s="67">
        <f t="shared" si="143"/>
        <v>2341.77144120248</v>
      </c>
      <c r="S324" s="67"/>
      <c r="T324" s="91">
        <f t="shared" si="144"/>
        <v>11.9664014146773</v>
      </c>
      <c r="U324" s="67"/>
      <c r="V324" s="67"/>
      <c r="W324" s="89">
        <f t="shared" si="141"/>
        <v>2353.73784261715</v>
      </c>
      <c r="X324" s="90">
        <f t="shared" si="145"/>
        <v>45.9877099911583</v>
      </c>
      <c r="Y324" s="90"/>
      <c r="Z324" s="90"/>
      <c r="AA324" s="90">
        <f t="shared" si="142"/>
        <v>45.9877099911583</v>
      </c>
      <c r="AB324" s="107">
        <v>7.19</v>
      </c>
      <c r="AC324" s="67">
        <f t="shared" si="140"/>
        <v>330.651634836428</v>
      </c>
      <c r="AD324" s="67">
        <f t="shared" si="138"/>
        <v>2684.38947745358</v>
      </c>
      <c r="AE324" s="67">
        <f t="shared" si="139"/>
        <v>523.932322546419</v>
      </c>
    </row>
    <row r="325" customFormat="1" spans="1:31">
      <c r="A325" s="18"/>
      <c r="B325" s="19"/>
      <c r="C325" s="20">
        <v>240131000048</v>
      </c>
      <c r="D325" s="21">
        <v>45332</v>
      </c>
      <c r="E325" s="21" t="s">
        <v>41</v>
      </c>
      <c r="F325" s="19" t="s">
        <v>42</v>
      </c>
      <c r="G325" s="19" t="s">
        <v>232</v>
      </c>
      <c r="H325" s="19">
        <v>4.5</v>
      </c>
      <c r="I325" s="53"/>
      <c r="J325" s="61">
        <v>49500</v>
      </c>
      <c r="K325" s="55"/>
      <c r="L325" s="61">
        <f>SUM(J325/M325)</f>
        <v>1581.97507190796</v>
      </c>
      <c r="M325" s="62">
        <v>31.29</v>
      </c>
      <c r="N325" s="48">
        <v>7.19</v>
      </c>
      <c r="O325" s="49">
        <f t="shared" si="152"/>
        <v>224.9751</v>
      </c>
      <c r="P325" s="51"/>
      <c r="Q325" s="51"/>
      <c r="R325" s="67">
        <f t="shared" si="143"/>
        <v>157.283156498674</v>
      </c>
      <c r="S325" s="67"/>
      <c r="T325" s="91">
        <f t="shared" si="144"/>
        <v>0.803713527851459</v>
      </c>
      <c r="U325" s="67"/>
      <c r="V325" s="67"/>
      <c r="W325" s="89">
        <f t="shared" si="141"/>
        <v>158.086870026525</v>
      </c>
      <c r="X325" s="90">
        <f t="shared" si="145"/>
        <v>3.08872679045093</v>
      </c>
      <c r="Y325" s="90"/>
      <c r="Z325" s="90"/>
      <c r="AA325" s="90">
        <f t="shared" si="142"/>
        <v>3.08872679045093</v>
      </c>
      <c r="AB325" s="107">
        <v>7.19</v>
      </c>
      <c r="AC325" s="67">
        <f t="shared" si="140"/>
        <v>22.2079456233422</v>
      </c>
      <c r="AD325" s="67">
        <f t="shared" si="138"/>
        <v>180.294815649867</v>
      </c>
      <c r="AE325" s="67">
        <f t="shared" si="139"/>
        <v>44.6802843501326</v>
      </c>
    </row>
    <row r="326" customFormat="1" spans="1:31">
      <c r="A326" s="18"/>
      <c r="B326" s="19"/>
      <c r="C326" s="20">
        <v>240131000049</v>
      </c>
      <c r="D326" s="21">
        <v>45332</v>
      </c>
      <c r="E326" s="21" t="s">
        <v>56</v>
      </c>
      <c r="F326" s="19" t="s">
        <v>112</v>
      </c>
      <c r="G326" s="19" t="s">
        <v>142</v>
      </c>
      <c r="H326" s="19">
        <v>17</v>
      </c>
      <c r="I326" s="53"/>
      <c r="J326" s="61">
        <v>216038</v>
      </c>
      <c r="K326" s="55"/>
      <c r="L326" s="61">
        <f>SUM(J326/M326)</f>
        <v>1567.4236378147</v>
      </c>
      <c r="M326" s="62">
        <v>137.83</v>
      </c>
      <c r="N326" s="48">
        <v>7.19</v>
      </c>
      <c r="O326" s="49">
        <f t="shared" si="152"/>
        <v>990.9977</v>
      </c>
      <c r="P326" s="51"/>
      <c r="Q326" s="51"/>
      <c r="R326" s="67">
        <f t="shared" si="143"/>
        <v>594.180813439434</v>
      </c>
      <c r="S326" s="67"/>
      <c r="T326" s="91">
        <f t="shared" si="144"/>
        <v>3.03625110521662</v>
      </c>
      <c r="U326" s="67"/>
      <c r="V326" s="67"/>
      <c r="W326" s="89">
        <f t="shared" si="141"/>
        <v>597.217064544651</v>
      </c>
      <c r="X326" s="90">
        <f t="shared" si="145"/>
        <v>11.6685234305924</v>
      </c>
      <c r="Y326" s="90"/>
      <c r="Z326" s="90"/>
      <c r="AA326" s="90">
        <f t="shared" si="142"/>
        <v>11.6685234305924</v>
      </c>
      <c r="AB326" s="107">
        <v>7.19</v>
      </c>
      <c r="AC326" s="67">
        <f t="shared" si="140"/>
        <v>83.8966834659593</v>
      </c>
      <c r="AD326" s="67">
        <f t="shared" si="138"/>
        <v>681.11374801061</v>
      </c>
      <c r="AE326" s="67">
        <f t="shared" si="139"/>
        <v>309.88395198939</v>
      </c>
    </row>
    <row r="327" customFormat="1" spans="1:31">
      <c r="A327" s="18"/>
      <c r="B327" s="19"/>
      <c r="C327" s="20">
        <v>240131000054</v>
      </c>
      <c r="D327" s="21">
        <v>45332</v>
      </c>
      <c r="E327" s="21" t="s">
        <v>62</v>
      </c>
      <c r="F327" s="19" t="s">
        <v>63</v>
      </c>
      <c r="G327" s="19" t="s">
        <v>255</v>
      </c>
      <c r="H327" s="19">
        <v>0.86</v>
      </c>
      <c r="I327" s="44">
        <v>58</v>
      </c>
      <c r="J327" s="45"/>
      <c r="K327" s="46"/>
      <c r="L327" s="45"/>
      <c r="M327" s="47"/>
      <c r="N327" s="48"/>
      <c r="O327" s="49">
        <f t="shared" si="151"/>
        <v>58</v>
      </c>
      <c r="P327" s="51"/>
      <c r="Q327" s="51"/>
      <c r="R327" s="67">
        <f t="shared" si="143"/>
        <v>30.0585587975243</v>
      </c>
      <c r="S327" s="67"/>
      <c r="T327" s="91">
        <f t="shared" si="144"/>
        <v>0.153598585322723</v>
      </c>
      <c r="U327" s="67"/>
      <c r="V327" s="67"/>
      <c r="W327" s="89">
        <f t="shared" si="141"/>
        <v>30.212157382847</v>
      </c>
      <c r="X327" s="90">
        <f t="shared" si="145"/>
        <v>0.590290008841733</v>
      </c>
      <c r="Y327" s="90"/>
      <c r="Z327" s="90"/>
      <c r="AA327" s="90">
        <f t="shared" si="142"/>
        <v>0.590290008841733</v>
      </c>
      <c r="AB327" s="107">
        <v>7.19</v>
      </c>
      <c r="AC327" s="67">
        <f t="shared" si="140"/>
        <v>4.24418516357206</v>
      </c>
      <c r="AD327" s="67">
        <f t="shared" si="138"/>
        <v>34.4563425464191</v>
      </c>
      <c r="AE327" s="67">
        <f t="shared" si="139"/>
        <v>23.5436574535809</v>
      </c>
    </row>
    <row r="328" customFormat="1" spans="1:31">
      <c r="A328" s="18"/>
      <c r="B328" s="19"/>
      <c r="C328" s="20">
        <v>240201000001</v>
      </c>
      <c r="D328" s="21">
        <v>45332</v>
      </c>
      <c r="E328" s="21" t="s">
        <v>76</v>
      </c>
      <c r="F328" s="19" t="s">
        <v>77</v>
      </c>
      <c r="G328" s="19" t="s">
        <v>183</v>
      </c>
      <c r="H328" s="19">
        <v>16</v>
      </c>
      <c r="I328" s="49"/>
      <c r="J328" s="65">
        <v>177160</v>
      </c>
      <c r="K328" s="66"/>
      <c r="L328" s="61">
        <f>SUM(J328/M328)</f>
        <v>1545.89877835951</v>
      </c>
      <c r="M328" s="62">
        <v>114.6</v>
      </c>
      <c r="N328" s="48">
        <v>7.19</v>
      </c>
      <c r="O328" s="49">
        <f>SUM(M328*N328)</f>
        <v>823.974</v>
      </c>
      <c r="P328" s="51"/>
      <c r="Q328" s="51"/>
      <c r="R328" s="67">
        <f t="shared" si="143"/>
        <v>559.229000884173</v>
      </c>
      <c r="S328" s="67"/>
      <c r="T328" s="91">
        <f t="shared" si="144"/>
        <v>2.85764809902741</v>
      </c>
      <c r="U328" s="67"/>
      <c r="V328" s="67"/>
      <c r="W328" s="89">
        <f t="shared" si="141"/>
        <v>562.086648983201</v>
      </c>
      <c r="X328" s="90">
        <f t="shared" si="145"/>
        <v>10.9821396993811</v>
      </c>
      <c r="Y328" s="90"/>
      <c r="Z328" s="90"/>
      <c r="AA328" s="90">
        <f t="shared" si="142"/>
        <v>10.9821396993811</v>
      </c>
      <c r="AB328" s="107">
        <v>7.19</v>
      </c>
      <c r="AC328" s="67">
        <f t="shared" si="140"/>
        <v>78.9615844385499</v>
      </c>
      <c r="AD328" s="67">
        <f t="shared" si="138"/>
        <v>641.048233421751</v>
      </c>
      <c r="AE328" s="67">
        <f t="shared" si="139"/>
        <v>182.925766578249</v>
      </c>
    </row>
    <row r="329" customFormat="1" spans="1:31">
      <c r="A329" s="18"/>
      <c r="B329" s="19"/>
      <c r="C329" s="20">
        <v>240201000007</v>
      </c>
      <c r="D329" s="21">
        <v>45332</v>
      </c>
      <c r="E329" s="21" t="s">
        <v>41</v>
      </c>
      <c r="F329" s="19" t="s">
        <v>42</v>
      </c>
      <c r="G329" s="19" t="s">
        <v>289</v>
      </c>
      <c r="H329" s="19">
        <v>6</v>
      </c>
      <c r="I329" s="49"/>
      <c r="J329" s="65">
        <v>67493</v>
      </c>
      <c r="K329" s="66"/>
      <c r="L329" s="61">
        <f>SUM(J329/M329)</f>
        <v>1548.00458715596</v>
      </c>
      <c r="M329" s="62">
        <v>43.6</v>
      </c>
      <c r="N329" s="48">
        <v>7.19</v>
      </c>
      <c r="O329" s="49">
        <f>SUM(M329*N329)</f>
        <v>313.484</v>
      </c>
      <c r="P329" s="51"/>
      <c r="Q329" s="51"/>
      <c r="R329" s="67">
        <f t="shared" si="143"/>
        <v>209.710875331565</v>
      </c>
      <c r="S329" s="67"/>
      <c r="T329" s="91">
        <f t="shared" si="144"/>
        <v>1.07161803713528</v>
      </c>
      <c r="U329" s="67"/>
      <c r="V329" s="67"/>
      <c r="W329" s="89">
        <f t="shared" si="141"/>
        <v>210.7824933687</v>
      </c>
      <c r="X329" s="90">
        <f t="shared" si="145"/>
        <v>4.1183023872679</v>
      </c>
      <c r="Y329" s="90"/>
      <c r="Z329" s="90"/>
      <c r="AA329" s="90">
        <f t="shared" si="142"/>
        <v>4.1183023872679</v>
      </c>
      <c r="AB329" s="107">
        <v>7.19</v>
      </c>
      <c r="AC329" s="67">
        <f t="shared" si="140"/>
        <v>29.6105941644562</v>
      </c>
      <c r="AD329" s="67">
        <f t="shared" si="138"/>
        <v>240.393087533156</v>
      </c>
      <c r="AE329" s="67">
        <f t="shared" si="139"/>
        <v>73.0909124668435</v>
      </c>
    </row>
    <row r="330" customFormat="1" spans="1:31">
      <c r="A330" s="18"/>
      <c r="B330" s="19"/>
      <c r="C330" s="20">
        <v>240201000008</v>
      </c>
      <c r="D330" s="21">
        <v>45332</v>
      </c>
      <c r="E330" s="21" t="s">
        <v>41</v>
      </c>
      <c r="F330" s="19" t="s">
        <v>42</v>
      </c>
      <c r="G330" s="19" t="s">
        <v>290</v>
      </c>
      <c r="H330" s="19">
        <v>12.5</v>
      </c>
      <c r="I330" s="44">
        <v>656</v>
      </c>
      <c r="J330" s="45"/>
      <c r="K330" s="46"/>
      <c r="L330" s="45"/>
      <c r="M330" s="47"/>
      <c r="N330" s="48"/>
      <c r="O330" s="49">
        <f t="shared" ref="O330:O341" si="153">SUM(I330)</f>
        <v>656</v>
      </c>
      <c r="P330" s="51"/>
      <c r="Q330" s="51"/>
      <c r="R330" s="67">
        <f t="shared" si="143"/>
        <v>436.89765694076</v>
      </c>
      <c r="S330" s="67"/>
      <c r="T330" s="91">
        <f t="shared" si="144"/>
        <v>2.23253757736516</v>
      </c>
      <c r="U330" s="67"/>
      <c r="V330" s="67"/>
      <c r="W330" s="89">
        <f t="shared" si="141"/>
        <v>439.130194518126</v>
      </c>
      <c r="X330" s="90">
        <f t="shared" si="145"/>
        <v>8.57979664014147</v>
      </c>
      <c r="Y330" s="90"/>
      <c r="Z330" s="90"/>
      <c r="AA330" s="90">
        <f t="shared" si="142"/>
        <v>8.57979664014147</v>
      </c>
      <c r="AB330" s="107">
        <v>7.19</v>
      </c>
      <c r="AC330" s="67">
        <f t="shared" si="140"/>
        <v>61.6887378426172</v>
      </c>
      <c r="AD330" s="67">
        <f t="shared" ref="AD330:AD368" si="154">SUM(W330+AC330)</f>
        <v>500.818932360743</v>
      </c>
      <c r="AE330" s="67">
        <f t="shared" ref="AE330:AE368" si="155">SUM(O330-AD330)</f>
        <v>155.181067639257</v>
      </c>
    </row>
    <row r="331" customFormat="1" spans="1:31">
      <c r="A331" s="18"/>
      <c r="B331" s="19"/>
      <c r="C331" s="20">
        <v>240201000010</v>
      </c>
      <c r="D331" s="21">
        <v>45332</v>
      </c>
      <c r="E331" s="21" t="s">
        <v>41</v>
      </c>
      <c r="F331" s="19" t="s">
        <v>42</v>
      </c>
      <c r="G331" s="19" t="s">
        <v>291</v>
      </c>
      <c r="H331" s="19">
        <v>2.5</v>
      </c>
      <c r="I331" s="44">
        <v>140.5</v>
      </c>
      <c r="J331" s="45"/>
      <c r="K331" s="46"/>
      <c r="L331" s="45"/>
      <c r="M331" s="47"/>
      <c r="N331" s="48"/>
      <c r="O331" s="49">
        <f t="shared" si="153"/>
        <v>140.5</v>
      </c>
      <c r="P331" s="51"/>
      <c r="Q331" s="51"/>
      <c r="R331" s="67">
        <f t="shared" si="143"/>
        <v>87.3795313881521</v>
      </c>
      <c r="S331" s="67"/>
      <c r="T331" s="91">
        <f t="shared" si="144"/>
        <v>0.446507515473033</v>
      </c>
      <c r="U331" s="67"/>
      <c r="V331" s="67"/>
      <c r="W331" s="89">
        <f t="shared" si="141"/>
        <v>87.8260389036251</v>
      </c>
      <c r="X331" s="90">
        <f t="shared" si="145"/>
        <v>1.71595932802829</v>
      </c>
      <c r="Y331" s="90"/>
      <c r="Z331" s="90"/>
      <c r="AA331" s="90">
        <f t="shared" si="142"/>
        <v>1.71595932802829</v>
      </c>
      <c r="AB331" s="107">
        <v>7.19</v>
      </c>
      <c r="AC331" s="67">
        <f t="shared" ref="AC331:AC367" si="156">SUM(AA331*AB331)</f>
        <v>12.3377475685234</v>
      </c>
      <c r="AD331" s="67">
        <f t="shared" si="154"/>
        <v>100.163786472149</v>
      </c>
      <c r="AE331" s="67">
        <f t="shared" si="155"/>
        <v>40.336213527851</v>
      </c>
    </row>
    <row r="332" customFormat="1" spans="1:31">
      <c r="A332" s="18"/>
      <c r="B332" s="19"/>
      <c r="C332" s="20">
        <v>240201000011</v>
      </c>
      <c r="D332" s="21">
        <v>45332</v>
      </c>
      <c r="E332" s="21" t="s">
        <v>41</v>
      </c>
      <c r="F332" s="19" t="s">
        <v>42</v>
      </c>
      <c r="G332" s="19" t="s">
        <v>66</v>
      </c>
      <c r="H332" s="19">
        <v>20.5</v>
      </c>
      <c r="I332" s="44">
        <v>1025</v>
      </c>
      <c r="J332" s="45"/>
      <c r="K332" s="46"/>
      <c r="L332" s="45"/>
      <c r="M332" s="47"/>
      <c r="N332" s="48"/>
      <c r="O332" s="49">
        <f t="shared" si="153"/>
        <v>1025</v>
      </c>
      <c r="P332" s="51"/>
      <c r="Q332" s="51"/>
      <c r="R332" s="67">
        <f t="shared" si="143"/>
        <v>716.512157382847</v>
      </c>
      <c r="S332" s="67"/>
      <c r="T332" s="91">
        <f t="shared" si="144"/>
        <v>3.66136162687887</v>
      </c>
      <c r="U332" s="67"/>
      <c r="V332" s="67"/>
      <c r="W332" s="89">
        <f t="shared" ref="W332:W369" si="157">SUM(R332:V332)</f>
        <v>720.173519009726</v>
      </c>
      <c r="X332" s="90">
        <f t="shared" si="145"/>
        <v>14.070866489832</v>
      </c>
      <c r="Y332" s="90"/>
      <c r="Z332" s="90"/>
      <c r="AA332" s="90">
        <f t="shared" ref="AA332:AA369" si="158">SUM(X332:Z332)</f>
        <v>14.070866489832</v>
      </c>
      <c r="AB332" s="107">
        <v>7.19</v>
      </c>
      <c r="AC332" s="67">
        <f t="shared" si="156"/>
        <v>101.169530061892</v>
      </c>
      <c r="AD332" s="67">
        <f t="shared" si="154"/>
        <v>821.343049071618</v>
      </c>
      <c r="AE332" s="67">
        <f t="shared" si="155"/>
        <v>203.656950928382</v>
      </c>
    </row>
    <row r="333" customFormat="1" spans="1:31">
      <c r="A333" s="18"/>
      <c r="B333" s="19"/>
      <c r="C333" s="20">
        <v>240201000012</v>
      </c>
      <c r="D333" s="21">
        <v>45332</v>
      </c>
      <c r="E333" s="21" t="s">
        <v>41</v>
      </c>
      <c r="F333" s="19" t="s">
        <v>42</v>
      </c>
      <c r="G333" s="19" t="s">
        <v>199</v>
      </c>
      <c r="H333" s="19">
        <v>1.5</v>
      </c>
      <c r="I333" s="44">
        <v>93</v>
      </c>
      <c r="J333" s="45"/>
      <c r="K333" s="46"/>
      <c r="L333" s="45"/>
      <c r="M333" s="47"/>
      <c r="N333" s="48"/>
      <c r="O333" s="49">
        <f t="shared" si="153"/>
        <v>93</v>
      </c>
      <c r="P333" s="51"/>
      <c r="Q333" s="51"/>
      <c r="R333" s="67">
        <f t="shared" ref="R333:R369" si="159">SUM(39530.5/1131)*H333</f>
        <v>52.4277188328912</v>
      </c>
      <c r="S333" s="67"/>
      <c r="T333" s="91">
        <f t="shared" ref="T333:T369" si="160">SUM(202/1131)*H333</f>
        <v>0.26790450928382</v>
      </c>
      <c r="U333" s="67"/>
      <c r="V333" s="67"/>
      <c r="W333" s="89">
        <f t="shared" si="157"/>
        <v>52.6956233421751</v>
      </c>
      <c r="X333" s="90">
        <f t="shared" ref="X333:X369" si="161">SUM(776.3/1131)*H333</f>
        <v>1.02957559681698</v>
      </c>
      <c r="Y333" s="90"/>
      <c r="Z333" s="90"/>
      <c r="AA333" s="90">
        <f t="shared" si="158"/>
        <v>1.02957559681698</v>
      </c>
      <c r="AB333" s="107">
        <v>7.19</v>
      </c>
      <c r="AC333" s="67">
        <f t="shared" si="156"/>
        <v>7.40264854111406</v>
      </c>
      <c r="AD333" s="67">
        <f t="shared" si="154"/>
        <v>60.0982718832891</v>
      </c>
      <c r="AE333" s="67">
        <f t="shared" si="155"/>
        <v>32.9017281167109</v>
      </c>
    </row>
    <row r="334" customFormat="1" spans="1:31">
      <c r="A334" s="18"/>
      <c r="B334" s="19"/>
      <c r="C334" s="20">
        <v>240201000013</v>
      </c>
      <c r="D334" s="21">
        <v>45332</v>
      </c>
      <c r="E334" s="21" t="s">
        <v>41</v>
      </c>
      <c r="F334" s="19" t="s">
        <v>42</v>
      </c>
      <c r="G334" s="19" t="s">
        <v>292</v>
      </c>
      <c r="H334" s="19">
        <v>2</v>
      </c>
      <c r="I334" s="44">
        <v>100</v>
      </c>
      <c r="J334" s="45"/>
      <c r="K334" s="46"/>
      <c r="L334" s="45"/>
      <c r="M334" s="47"/>
      <c r="N334" s="48"/>
      <c r="O334" s="49">
        <f t="shared" si="153"/>
        <v>100</v>
      </c>
      <c r="P334" s="51"/>
      <c r="Q334" s="51"/>
      <c r="R334" s="67">
        <f t="shared" si="159"/>
        <v>69.9036251105217</v>
      </c>
      <c r="S334" s="67"/>
      <c r="T334" s="91">
        <f t="shared" si="160"/>
        <v>0.357206012378426</v>
      </c>
      <c r="U334" s="67"/>
      <c r="V334" s="67"/>
      <c r="W334" s="89">
        <f t="shared" si="157"/>
        <v>70.2608311229001</v>
      </c>
      <c r="X334" s="90">
        <f t="shared" si="161"/>
        <v>1.37276746242263</v>
      </c>
      <c r="Y334" s="90"/>
      <c r="Z334" s="90"/>
      <c r="AA334" s="90">
        <f t="shared" si="158"/>
        <v>1.37276746242263</v>
      </c>
      <c r="AB334" s="107">
        <v>7.19</v>
      </c>
      <c r="AC334" s="67">
        <f t="shared" si="156"/>
        <v>9.87019805481874</v>
      </c>
      <c r="AD334" s="67">
        <f t="shared" si="154"/>
        <v>80.1310291777188</v>
      </c>
      <c r="AE334" s="67">
        <f t="shared" si="155"/>
        <v>19.8689708222812</v>
      </c>
    </row>
    <row r="335" customFormat="1" spans="1:31">
      <c r="A335" s="18"/>
      <c r="B335" s="19"/>
      <c r="C335" s="20">
        <v>240201000015</v>
      </c>
      <c r="D335" s="21">
        <v>45332</v>
      </c>
      <c r="E335" s="21" t="s">
        <v>62</v>
      </c>
      <c r="F335" s="19" t="s">
        <v>63</v>
      </c>
      <c r="G335" s="19" t="s">
        <v>129</v>
      </c>
      <c r="H335" s="19">
        <v>4</v>
      </c>
      <c r="I335" s="44">
        <v>243</v>
      </c>
      <c r="J335" s="45"/>
      <c r="K335" s="46"/>
      <c r="L335" s="45"/>
      <c r="M335" s="47"/>
      <c r="N335" s="48"/>
      <c r="O335" s="49">
        <f t="shared" si="153"/>
        <v>243</v>
      </c>
      <c r="P335" s="51"/>
      <c r="Q335" s="51"/>
      <c r="R335" s="67">
        <f t="shared" si="159"/>
        <v>139.807250221043</v>
      </c>
      <c r="S335" s="67"/>
      <c r="T335" s="91">
        <f t="shared" si="160"/>
        <v>0.714412024756852</v>
      </c>
      <c r="U335" s="67"/>
      <c r="V335" s="67"/>
      <c r="W335" s="89">
        <f t="shared" si="157"/>
        <v>140.5216622458</v>
      </c>
      <c r="X335" s="90">
        <f t="shared" si="161"/>
        <v>2.74553492484527</v>
      </c>
      <c r="Y335" s="90"/>
      <c r="Z335" s="90"/>
      <c r="AA335" s="90">
        <f t="shared" si="158"/>
        <v>2.74553492484527</v>
      </c>
      <c r="AB335" s="107">
        <v>7.19</v>
      </c>
      <c r="AC335" s="67">
        <f t="shared" si="156"/>
        <v>19.7403961096375</v>
      </c>
      <c r="AD335" s="67">
        <f t="shared" si="154"/>
        <v>160.262058355438</v>
      </c>
      <c r="AE335" s="67">
        <f t="shared" si="155"/>
        <v>82.737941644562</v>
      </c>
    </row>
    <row r="336" customFormat="1" spans="1:31">
      <c r="A336" s="18"/>
      <c r="B336" s="19"/>
      <c r="C336" s="20">
        <v>240201000017</v>
      </c>
      <c r="D336" s="21">
        <v>45332</v>
      </c>
      <c r="E336" s="21" t="s">
        <v>76</v>
      </c>
      <c r="F336" s="19" t="s">
        <v>77</v>
      </c>
      <c r="G336" s="19" t="s">
        <v>196</v>
      </c>
      <c r="H336" s="19">
        <v>9</v>
      </c>
      <c r="I336" s="44">
        <v>474</v>
      </c>
      <c r="J336" s="45"/>
      <c r="K336" s="46"/>
      <c r="L336" s="45"/>
      <c r="M336" s="47"/>
      <c r="N336" s="48"/>
      <c r="O336" s="49">
        <f t="shared" si="153"/>
        <v>474</v>
      </c>
      <c r="P336" s="51"/>
      <c r="Q336" s="51"/>
      <c r="R336" s="67">
        <f t="shared" si="159"/>
        <v>314.566312997347</v>
      </c>
      <c r="S336" s="67"/>
      <c r="T336" s="91">
        <f t="shared" si="160"/>
        <v>1.60742705570292</v>
      </c>
      <c r="U336" s="67"/>
      <c r="V336" s="67"/>
      <c r="W336" s="89">
        <f t="shared" si="157"/>
        <v>316.17374005305</v>
      </c>
      <c r="X336" s="90">
        <f t="shared" si="161"/>
        <v>6.17745358090186</v>
      </c>
      <c r="Y336" s="90"/>
      <c r="Z336" s="90"/>
      <c r="AA336" s="90">
        <f t="shared" si="158"/>
        <v>6.17745358090186</v>
      </c>
      <c r="AB336" s="107">
        <v>7.19</v>
      </c>
      <c r="AC336" s="67">
        <f t="shared" si="156"/>
        <v>44.4158912466843</v>
      </c>
      <c r="AD336" s="67">
        <f t="shared" si="154"/>
        <v>360.589631299735</v>
      </c>
      <c r="AE336" s="67">
        <f t="shared" si="155"/>
        <v>113.410368700265</v>
      </c>
    </row>
    <row r="337" customFormat="1" spans="1:31">
      <c r="A337" s="18"/>
      <c r="B337" s="19"/>
      <c r="C337" s="20">
        <v>240201000018</v>
      </c>
      <c r="D337" s="21">
        <v>45332</v>
      </c>
      <c r="E337" s="21" t="s">
        <v>56</v>
      </c>
      <c r="F337" s="19" t="s">
        <v>114</v>
      </c>
      <c r="G337" s="19" t="s">
        <v>58</v>
      </c>
      <c r="H337" s="19">
        <v>6</v>
      </c>
      <c r="I337" s="44">
        <v>318</v>
      </c>
      <c r="J337" s="45"/>
      <c r="K337" s="46"/>
      <c r="L337" s="45"/>
      <c r="M337" s="47"/>
      <c r="N337" s="48"/>
      <c r="O337" s="49">
        <f t="shared" si="153"/>
        <v>318</v>
      </c>
      <c r="P337" s="51"/>
      <c r="Q337" s="51"/>
      <c r="R337" s="67">
        <f t="shared" si="159"/>
        <v>209.710875331565</v>
      </c>
      <c r="S337" s="67"/>
      <c r="T337" s="91">
        <f t="shared" si="160"/>
        <v>1.07161803713528</v>
      </c>
      <c r="U337" s="67"/>
      <c r="V337" s="67"/>
      <c r="W337" s="89">
        <f t="shared" si="157"/>
        <v>210.7824933687</v>
      </c>
      <c r="X337" s="90">
        <f t="shared" si="161"/>
        <v>4.1183023872679</v>
      </c>
      <c r="Y337" s="90"/>
      <c r="Z337" s="90"/>
      <c r="AA337" s="90">
        <f t="shared" si="158"/>
        <v>4.1183023872679</v>
      </c>
      <c r="AB337" s="107">
        <v>7.19</v>
      </c>
      <c r="AC337" s="67">
        <f t="shared" si="156"/>
        <v>29.6105941644562</v>
      </c>
      <c r="AD337" s="67">
        <f t="shared" si="154"/>
        <v>240.393087533156</v>
      </c>
      <c r="AE337" s="67">
        <f t="shared" si="155"/>
        <v>77.606912466844</v>
      </c>
    </row>
    <row r="338" customFormat="1" spans="1:31">
      <c r="A338" s="18"/>
      <c r="B338" s="19"/>
      <c r="C338" s="20">
        <v>240201000023</v>
      </c>
      <c r="D338" s="21">
        <v>45332</v>
      </c>
      <c r="E338" s="21" t="s">
        <v>37</v>
      </c>
      <c r="F338" s="19" t="s">
        <v>38</v>
      </c>
      <c r="G338" s="19" t="s">
        <v>39</v>
      </c>
      <c r="H338" s="19">
        <v>21</v>
      </c>
      <c r="I338" s="44">
        <v>1058</v>
      </c>
      <c r="J338" s="45"/>
      <c r="K338" s="46"/>
      <c r="L338" s="45"/>
      <c r="M338" s="47"/>
      <c r="N338" s="48"/>
      <c r="O338" s="49">
        <f t="shared" si="153"/>
        <v>1058</v>
      </c>
      <c r="P338" s="51"/>
      <c r="Q338" s="51"/>
      <c r="R338" s="67">
        <f t="shared" si="159"/>
        <v>733.988063660477</v>
      </c>
      <c r="S338" s="67"/>
      <c r="T338" s="91">
        <f t="shared" si="160"/>
        <v>3.75066312997347</v>
      </c>
      <c r="U338" s="67"/>
      <c r="V338" s="67"/>
      <c r="W338" s="89">
        <f t="shared" si="157"/>
        <v>737.738726790451</v>
      </c>
      <c r="X338" s="90">
        <f t="shared" si="161"/>
        <v>14.4140583554377</v>
      </c>
      <c r="Y338" s="90"/>
      <c r="Z338" s="90"/>
      <c r="AA338" s="90">
        <f t="shared" si="158"/>
        <v>14.4140583554377</v>
      </c>
      <c r="AB338" s="107">
        <v>7.19</v>
      </c>
      <c r="AC338" s="67">
        <f t="shared" si="156"/>
        <v>103.637079575597</v>
      </c>
      <c r="AD338" s="67">
        <f t="shared" si="154"/>
        <v>841.375806366048</v>
      </c>
      <c r="AE338" s="67">
        <f t="shared" si="155"/>
        <v>216.624193633952</v>
      </c>
    </row>
    <row r="339" customFormat="1" spans="1:31">
      <c r="A339" s="18"/>
      <c r="B339" s="19"/>
      <c r="C339" s="20">
        <v>240201000024</v>
      </c>
      <c r="D339" s="21">
        <v>45332</v>
      </c>
      <c r="E339" s="21" t="s">
        <v>56</v>
      </c>
      <c r="F339" s="19" t="s">
        <v>114</v>
      </c>
      <c r="G339" s="19" t="s">
        <v>293</v>
      </c>
      <c r="H339" s="19">
        <v>15</v>
      </c>
      <c r="I339" s="44">
        <v>786</v>
      </c>
      <c r="J339" s="45"/>
      <c r="K339" s="46"/>
      <c r="L339" s="45"/>
      <c r="M339" s="47"/>
      <c r="N339" s="48"/>
      <c r="O339" s="49">
        <f t="shared" si="153"/>
        <v>786</v>
      </c>
      <c r="P339" s="51"/>
      <c r="Q339" s="51"/>
      <c r="R339" s="67">
        <f t="shared" si="159"/>
        <v>524.277188328912</v>
      </c>
      <c r="S339" s="67"/>
      <c r="T339" s="91">
        <f t="shared" si="160"/>
        <v>2.6790450928382</v>
      </c>
      <c r="U339" s="67"/>
      <c r="V339" s="67"/>
      <c r="W339" s="89">
        <f t="shared" si="157"/>
        <v>526.956233421751</v>
      </c>
      <c r="X339" s="90">
        <f t="shared" si="161"/>
        <v>10.2957559681698</v>
      </c>
      <c r="Y339" s="90"/>
      <c r="Z339" s="90"/>
      <c r="AA339" s="90">
        <f t="shared" si="158"/>
        <v>10.2957559681698</v>
      </c>
      <c r="AB339" s="107">
        <v>7.19</v>
      </c>
      <c r="AC339" s="67">
        <f t="shared" si="156"/>
        <v>74.0264854111406</v>
      </c>
      <c r="AD339" s="67">
        <f t="shared" si="154"/>
        <v>600.982718832891</v>
      </c>
      <c r="AE339" s="67">
        <f t="shared" si="155"/>
        <v>185.017281167109</v>
      </c>
    </row>
    <row r="340" customFormat="1" spans="1:31">
      <c r="A340" s="18"/>
      <c r="B340" s="19"/>
      <c r="C340" s="20">
        <v>240201000027</v>
      </c>
      <c r="D340" s="21">
        <v>45332</v>
      </c>
      <c r="E340" s="21" t="s">
        <v>37</v>
      </c>
      <c r="F340" s="19" t="s">
        <v>38</v>
      </c>
      <c r="G340" s="19" t="s">
        <v>294</v>
      </c>
      <c r="H340" s="19">
        <v>0.45</v>
      </c>
      <c r="I340" s="44">
        <v>123</v>
      </c>
      <c r="J340" s="45"/>
      <c r="K340" s="46"/>
      <c r="L340" s="45"/>
      <c r="M340" s="47"/>
      <c r="N340" s="48"/>
      <c r="O340" s="49">
        <f t="shared" si="153"/>
        <v>123</v>
      </c>
      <c r="P340" s="51"/>
      <c r="Q340" s="51"/>
      <c r="R340" s="67">
        <f t="shared" si="159"/>
        <v>15.7283156498674</v>
      </c>
      <c r="S340" s="67"/>
      <c r="T340" s="91">
        <f t="shared" si="160"/>
        <v>0.0803713527851459</v>
      </c>
      <c r="U340" s="67"/>
      <c r="V340" s="67"/>
      <c r="W340" s="89">
        <f t="shared" si="157"/>
        <v>15.8086870026525</v>
      </c>
      <c r="X340" s="90">
        <f t="shared" si="161"/>
        <v>0.308872679045093</v>
      </c>
      <c r="Y340" s="90"/>
      <c r="Z340" s="90"/>
      <c r="AA340" s="90">
        <f t="shared" si="158"/>
        <v>0.308872679045093</v>
      </c>
      <c r="AB340" s="107">
        <v>7.19</v>
      </c>
      <c r="AC340" s="67">
        <f t="shared" si="156"/>
        <v>2.22079456233422</v>
      </c>
      <c r="AD340" s="67">
        <f t="shared" si="154"/>
        <v>18.0294815649867</v>
      </c>
      <c r="AE340" s="67">
        <f t="shared" si="155"/>
        <v>104.970518435013</v>
      </c>
    </row>
    <row r="341" customFormat="1" spans="1:31">
      <c r="A341" s="18"/>
      <c r="B341" s="19"/>
      <c r="C341" s="20">
        <v>240201000029</v>
      </c>
      <c r="D341" s="21">
        <v>45332</v>
      </c>
      <c r="E341" s="21" t="s">
        <v>37</v>
      </c>
      <c r="F341" s="19" t="s">
        <v>38</v>
      </c>
      <c r="G341" s="19" t="s">
        <v>295</v>
      </c>
      <c r="H341" s="19">
        <v>1</v>
      </c>
      <c r="I341" s="44">
        <v>58</v>
      </c>
      <c r="J341" s="45"/>
      <c r="K341" s="46"/>
      <c r="L341" s="45"/>
      <c r="M341" s="47"/>
      <c r="N341" s="48"/>
      <c r="O341" s="49">
        <f t="shared" si="153"/>
        <v>58</v>
      </c>
      <c r="P341" s="51"/>
      <c r="Q341" s="51"/>
      <c r="R341" s="67">
        <f t="shared" si="159"/>
        <v>34.9518125552608</v>
      </c>
      <c r="S341" s="67"/>
      <c r="T341" s="91">
        <f t="shared" si="160"/>
        <v>0.178603006189213</v>
      </c>
      <c r="U341" s="67"/>
      <c r="V341" s="67"/>
      <c r="W341" s="89">
        <f t="shared" si="157"/>
        <v>35.13041556145</v>
      </c>
      <c r="X341" s="90">
        <f t="shared" si="161"/>
        <v>0.686383731211317</v>
      </c>
      <c r="Y341" s="90"/>
      <c r="Z341" s="90"/>
      <c r="AA341" s="90">
        <f t="shared" si="158"/>
        <v>0.686383731211317</v>
      </c>
      <c r="AB341" s="107">
        <v>7.19</v>
      </c>
      <c r="AC341" s="67">
        <f t="shared" si="156"/>
        <v>4.93509902740937</v>
      </c>
      <c r="AD341" s="67">
        <f t="shared" si="154"/>
        <v>40.0655145888594</v>
      </c>
      <c r="AE341" s="67">
        <f t="shared" si="155"/>
        <v>17.9344854111406</v>
      </c>
    </row>
    <row r="342" customFormat="1" spans="1:31">
      <c r="A342" s="18"/>
      <c r="B342" s="19"/>
      <c r="C342" s="20">
        <v>240201000030</v>
      </c>
      <c r="D342" s="21">
        <v>45332</v>
      </c>
      <c r="E342" s="21" t="s">
        <v>44</v>
      </c>
      <c r="F342" s="19" t="s">
        <v>44</v>
      </c>
      <c r="G342" s="19" t="s">
        <v>188</v>
      </c>
      <c r="H342" s="19">
        <v>25.5</v>
      </c>
      <c r="I342" s="53"/>
      <c r="J342" s="61">
        <v>275400</v>
      </c>
      <c r="K342" s="55"/>
      <c r="L342" s="61">
        <f t="shared" ref="L342:L349" si="162">SUM(J342/M342)</f>
        <v>1403.88438599174</v>
      </c>
      <c r="M342" s="62">
        <v>196.17</v>
      </c>
      <c r="N342" s="48">
        <v>7.19</v>
      </c>
      <c r="O342" s="49">
        <f t="shared" ref="O342:O349" si="163">SUM(M342*N342)</f>
        <v>1410.4623</v>
      </c>
      <c r="P342" s="51"/>
      <c r="Q342" s="51"/>
      <c r="R342" s="67">
        <f t="shared" si="159"/>
        <v>891.271220159151</v>
      </c>
      <c r="S342" s="67"/>
      <c r="T342" s="91">
        <f t="shared" si="160"/>
        <v>4.55437665782493</v>
      </c>
      <c r="U342" s="67"/>
      <c r="V342" s="67"/>
      <c r="W342" s="89">
        <f t="shared" si="157"/>
        <v>895.825596816976</v>
      </c>
      <c r="X342" s="90">
        <f t="shared" si="161"/>
        <v>17.5027851458886</v>
      </c>
      <c r="Y342" s="90"/>
      <c r="Z342" s="90"/>
      <c r="AA342" s="90">
        <f t="shared" si="158"/>
        <v>17.5027851458886</v>
      </c>
      <c r="AB342" s="107">
        <v>7.19</v>
      </c>
      <c r="AC342" s="67">
        <f t="shared" si="156"/>
        <v>125.845025198939</v>
      </c>
      <c r="AD342" s="67">
        <f t="shared" si="154"/>
        <v>1021.67062201592</v>
      </c>
      <c r="AE342" s="67">
        <f t="shared" si="155"/>
        <v>388.79167798408</v>
      </c>
    </row>
    <row r="343" customFormat="1" spans="1:31">
      <c r="A343" s="18"/>
      <c r="B343" s="19"/>
      <c r="C343" s="20">
        <v>240201000032</v>
      </c>
      <c r="D343" s="21">
        <v>45332</v>
      </c>
      <c r="E343" s="21" t="s">
        <v>44</v>
      </c>
      <c r="F343" s="19" t="s">
        <v>44</v>
      </c>
      <c r="G343" s="19" t="s">
        <v>164</v>
      </c>
      <c r="H343" s="19">
        <v>118</v>
      </c>
      <c r="I343" s="49"/>
      <c r="J343" s="65">
        <v>1217760</v>
      </c>
      <c r="K343" s="66"/>
      <c r="L343" s="61">
        <f t="shared" si="162"/>
        <v>1472.32499093217</v>
      </c>
      <c r="M343" s="62">
        <v>827.1</v>
      </c>
      <c r="N343" s="48">
        <v>7.19</v>
      </c>
      <c r="O343" s="49">
        <f t="shared" si="163"/>
        <v>5946.849</v>
      </c>
      <c r="P343" s="51"/>
      <c r="Q343" s="51"/>
      <c r="R343" s="67">
        <f t="shared" si="159"/>
        <v>4124.31388152078</v>
      </c>
      <c r="S343" s="67"/>
      <c r="T343" s="91">
        <f t="shared" si="160"/>
        <v>21.0751547303271</v>
      </c>
      <c r="U343" s="67"/>
      <c r="V343" s="67"/>
      <c r="W343" s="89">
        <f t="shared" si="157"/>
        <v>4145.3890362511</v>
      </c>
      <c r="X343" s="90">
        <f t="shared" si="161"/>
        <v>80.9932802829354</v>
      </c>
      <c r="Y343" s="90"/>
      <c r="Z343" s="90"/>
      <c r="AA343" s="90">
        <f t="shared" si="158"/>
        <v>80.9932802829354</v>
      </c>
      <c r="AB343" s="107">
        <v>7.19</v>
      </c>
      <c r="AC343" s="67">
        <f t="shared" si="156"/>
        <v>582.341685234306</v>
      </c>
      <c r="AD343" s="67">
        <f t="shared" si="154"/>
        <v>4727.73072148541</v>
      </c>
      <c r="AE343" s="67">
        <f t="shared" si="155"/>
        <v>1219.11827851459</v>
      </c>
    </row>
    <row r="344" customFormat="1" spans="1:31">
      <c r="A344" s="18"/>
      <c r="B344" s="19"/>
      <c r="C344" s="20">
        <v>240201000034</v>
      </c>
      <c r="D344" s="21">
        <v>45332</v>
      </c>
      <c r="E344" s="21" t="s">
        <v>37</v>
      </c>
      <c r="F344" s="19" t="s">
        <v>38</v>
      </c>
      <c r="G344" s="19" t="s">
        <v>296</v>
      </c>
      <c r="H344" s="19">
        <v>14.5</v>
      </c>
      <c r="I344" s="44">
        <v>760</v>
      </c>
      <c r="J344" s="45"/>
      <c r="K344" s="46"/>
      <c r="L344" s="45"/>
      <c r="M344" s="47"/>
      <c r="N344" s="48"/>
      <c r="O344" s="49">
        <f>SUM(I344)</f>
        <v>760</v>
      </c>
      <c r="P344" s="51"/>
      <c r="Q344" s="51"/>
      <c r="R344" s="67">
        <f t="shared" si="159"/>
        <v>506.801282051282</v>
      </c>
      <c r="S344" s="67"/>
      <c r="T344" s="91">
        <f t="shared" si="160"/>
        <v>2.58974358974359</v>
      </c>
      <c r="U344" s="67"/>
      <c r="V344" s="67"/>
      <c r="W344" s="89">
        <f t="shared" si="157"/>
        <v>509.391025641026</v>
      </c>
      <c r="X344" s="90">
        <f t="shared" si="161"/>
        <v>9.9525641025641</v>
      </c>
      <c r="Y344" s="90"/>
      <c r="Z344" s="90"/>
      <c r="AA344" s="90">
        <f t="shared" si="158"/>
        <v>9.9525641025641</v>
      </c>
      <c r="AB344" s="107">
        <v>7.19</v>
      </c>
      <c r="AC344" s="67">
        <f t="shared" si="156"/>
        <v>71.5589358974359</v>
      </c>
      <c r="AD344" s="67">
        <f t="shared" si="154"/>
        <v>580.949961538462</v>
      </c>
      <c r="AE344" s="67">
        <f t="shared" si="155"/>
        <v>179.050038461538</v>
      </c>
    </row>
    <row r="345" customFormat="1" spans="1:31">
      <c r="A345" s="18"/>
      <c r="B345" s="19"/>
      <c r="C345" s="24">
        <v>240201000036</v>
      </c>
      <c r="D345" s="25">
        <v>45332</v>
      </c>
      <c r="E345" s="21" t="s">
        <v>44</v>
      </c>
      <c r="F345" s="26" t="s">
        <v>44</v>
      </c>
      <c r="G345" s="26" t="s">
        <v>297</v>
      </c>
      <c r="H345" s="26">
        <v>2.5</v>
      </c>
      <c r="I345" s="53"/>
      <c r="J345" s="61">
        <v>33049</v>
      </c>
      <c r="K345" s="55"/>
      <c r="L345" s="61">
        <f t="shared" si="162"/>
        <v>1547.962529274</v>
      </c>
      <c r="M345" s="118">
        <v>21.35</v>
      </c>
      <c r="N345" s="48">
        <v>7.19</v>
      </c>
      <c r="O345" s="49">
        <f t="shared" si="163"/>
        <v>153.5065</v>
      </c>
      <c r="P345" s="51"/>
      <c r="Q345" s="51"/>
      <c r="R345" s="67">
        <f t="shared" si="159"/>
        <v>87.3795313881521</v>
      </c>
      <c r="S345" s="67"/>
      <c r="T345" s="91">
        <f t="shared" si="160"/>
        <v>0.446507515473033</v>
      </c>
      <c r="U345" s="67"/>
      <c r="V345" s="67"/>
      <c r="W345" s="89">
        <f t="shared" si="157"/>
        <v>87.8260389036251</v>
      </c>
      <c r="X345" s="90">
        <f t="shared" si="161"/>
        <v>1.71595932802829</v>
      </c>
      <c r="Y345" s="90"/>
      <c r="Z345" s="90"/>
      <c r="AA345" s="90">
        <f t="shared" si="158"/>
        <v>1.71595932802829</v>
      </c>
      <c r="AB345" s="107">
        <v>7.19</v>
      </c>
      <c r="AC345" s="67">
        <f t="shared" si="156"/>
        <v>12.3377475685234</v>
      </c>
      <c r="AD345" s="67">
        <f t="shared" si="154"/>
        <v>100.163786472149</v>
      </c>
      <c r="AE345" s="67">
        <f t="shared" si="155"/>
        <v>53.342713527851</v>
      </c>
    </row>
    <row r="346" customFormat="1" spans="1:31">
      <c r="A346" s="18"/>
      <c r="B346" s="19"/>
      <c r="C346" s="20">
        <v>240202000007</v>
      </c>
      <c r="D346" s="21">
        <v>45332</v>
      </c>
      <c r="E346" s="21" t="s">
        <v>41</v>
      </c>
      <c r="F346" s="19" t="s">
        <v>42</v>
      </c>
      <c r="G346" s="19" t="s">
        <v>264</v>
      </c>
      <c r="H346" s="19">
        <v>42</v>
      </c>
      <c r="I346" s="53"/>
      <c r="J346" s="61">
        <v>451352</v>
      </c>
      <c r="K346" s="55"/>
      <c r="L346" s="61">
        <f t="shared" si="162"/>
        <v>1603.38188277087</v>
      </c>
      <c r="M346" s="62">
        <v>281.5</v>
      </c>
      <c r="N346" s="48">
        <v>7.19</v>
      </c>
      <c r="O346" s="49">
        <f t="shared" si="163"/>
        <v>2023.985</v>
      </c>
      <c r="P346" s="51"/>
      <c r="Q346" s="51"/>
      <c r="R346" s="67">
        <f t="shared" si="159"/>
        <v>1467.97612732095</v>
      </c>
      <c r="S346" s="67"/>
      <c r="T346" s="91">
        <f t="shared" si="160"/>
        <v>7.50132625994695</v>
      </c>
      <c r="U346" s="67"/>
      <c r="V346" s="67"/>
      <c r="W346" s="89">
        <f t="shared" si="157"/>
        <v>1475.4774535809</v>
      </c>
      <c r="X346" s="90">
        <f t="shared" si="161"/>
        <v>28.8281167108753</v>
      </c>
      <c r="Y346" s="90"/>
      <c r="Z346" s="90"/>
      <c r="AA346" s="90">
        <f t="shared" si="158"/>
        <v>28.8281167108753</v>
      </c>
      <c r="AB346" s="107">
        <v>7.19</v>
      </c>
      <c r="AC346" s="67">
        <f t="shared" si="156"/>
        <v>207.274159151194</v>
      </c>
      <c r="AD346" s="67">
        <f t="shared" si="154"/>
        <v>1682.7516127321</v>
      </c>
      <c r="AE346" s="67">
        <f t="shared" si="155"/>
        <v>341.2333872679</v>
      </c>
    </row>
    <row r="347" customFormat="1" spans="1:31">
      <c r="A347" s="18"/>
      <c r="B347" s="19"/>
      <c r="C347" s="20">
        <v>240202000009</v>
      </c>
      <c r="D347" s="21">
        <v>45332</v>
      </c>
      <c r="E347" s="21" t="s">
        <v>41</v>
      </c>
      <c r="F347" s="19" t="s">
        <v>42</v>
      </c>
      <c r="G347" s="19" t="s">
        <v>298</v>
      </c>
      <c r="H347" s="19">
        <v>10.5</v>
      </c>
      <c r="I347" s="53"/>
      <c r="J347" s="61">
        <v>103005</v>
      </c>
      <c r="K347" s="55"/>
      <c r="L347" s="61">
        <f t="shared" si="162"/>
        <v>1567.56962410592</v>
      </c>
      <c r="M347" s="62">
        <v>65.71</v>
      </c>
      <c r="N347" s="48">
        <v>7.19</v>
      </c>
      <c r="O347" s="49">
        <f t="shared" si="163"/>
        <v>472.4549</v>
      </c>
      <c r="P347" s="51"/>
      <c r="Q347" s="51"/>
      <c r="R347" s="67">
        <f t="shared" si="159"/>
        <v>366.994031830239</v>
      </c>
      <c r="S347" s="67"/>
      <c r="T347" s="91">
        <f t="shared" si="160"/>
        <v>1.87533156498674</v>
      </c>
      <c r="U347" s="67"/>
      <c r="V347" s="67"/>
      <c r="W347" s="89">
        <f t="shared" si="157"/>
        <v>368.869363395225</v>
      </c>
      <c r="X347" s="90">
        <f t="shared" si="161"/>
        <v>7.20702917771883</v>
      </c>
      <c r="Y347" s="90"/>
      <c r="Z347" s="90"/>
      <c r="AA347" s="90">
        <f t="shared" si="158"/>
        <v>7.20702917771883</v>
      </c>
      <c r="AB347" s="107">
        <v>7.19</v>
      </c>
      <c r="AC347" s="67">
        <f t="shared" si="156"/>
        <v>51.8185397877984</v>
      </c>
      <c r="AD347" s="67">
        <f t="shared" si="154"/>
        <v>420.687903183024</v>
      </c>
      <c r="AE347" s="67">
        <f t="shared" si="155"/>
        <v>51.766996816976</v>
      </c>
    </row>
    <row r="348" customFormat="1" spans="1:31">
      <c r="A348" s="18"/>
      <c r="B348" s="19"/>
      <c r="C348" s="20">
        <v>240202000010</v>
      </c>
      <c r="D348" s="21">
        <v>45332</v>
      </c>
      <c r="E348" s="21" t="s">
        <v>41</v>
      </c>
      <c r="F348" s="19" t="s">
        <v>42</v>
      </c>
      <c r="G348" s="19" t="s">
        <v>180</v>
      </c>
      <c r="H348" s="19">
        <v>39</v>
      </c>
      <c r="I348" s="53"/>
      <c r="J348" s="61">
        <v>442104</v>
      </c>
      <c r="K348" s="55"/>
      <c r="L348" s="61">
        <f t="shared" si="162"/>
        <v>1567.46676121255</v>
      </c>
      <c r="M348" s="62">
        <v>282.05</v>
      </c>
      <c r="N348" s="48">
        <v>7.19</v>
      </c>
      <c r="O348" s="49">
        <f t="shared" si="163"/>
        <v>2027.9395</v>
      </c>
      <c r="P348" s="51"/>
      <c r="Q348" s="51"/>
      <c r="R348" s="67">
        <f t="shared" si="159"/>
        <v>1363.12068965517</v>
      </c>
      <c r="S348" s="67"/>
      <c r="T348" s="91">
        <f t="shared" si="160"/>
        <v>6.96551724137931</v>
      </c>
      <c r="U348" s="67"/>
      <c r="V348" s="67"/>
      <c r="W348" s="89">
        <f t="shared" si="157"/>
        <v>1370.08620689655</v>
      </c>
      <c r="X348" s="90">
        <f t="shared" si="161"/>
        <v>26.7689655172414</v>
      </c>
      <c r="Y348" s="90"/>
      <c r="Z348" s="90"/>
      <c r="AA348" s="90">
        <f t="shared" si="158"/>
        <v>26.7689655172414</v>
      </c>
      <c r="AB348" s="107">
        <v>7.19</v>
      </c>
      <c r="AC348" s="67">
        <f t="shared" si="156"/>
        <v>192.468862068966</v>
      </c>
      <c r="AD348" s="67">
        <f t="shared" si="154"/>
        <v>1562.55506896552</v>
      </c>
      <c r="AE348" s="67">
        <f t="shared" si="155"/>
        <v>465.38443103448</v>
      </c>
    </row>
    <row r="349" customFormat="1" spans="1:31">
      <c r="A349" s="18"/>
      <c r="B349" s="19"/>
      <c r="C349" s="20">
        <v>240202000015</v>
      </c>
      <c r="D349" s="21">
        <v>45332</v>
      </c>
      <c r="E349" s="21" t="s">
        <v>41</v>
      </c>
      <c r="F349" s="19" t="s">
        <v>42</v>
      </c>
      <c r="G349" s="19" t="s">
        <v>270</v>
      </c>
      <c r="H349" s="19">
        <v>11</v>
      </c>
      <c r="I349" s="53"/>
      <c r="J349" s="61">
        <v>171080</v>
      </c>
      <c r="K349" s="55"/>
      <c r="L349" s="61">
        <f t="shared" si="162"/>
        <v>2013.41649994116</v>
      </c>
      <c r="M349" s="62">
        <v>84.97</v>
      </c>
      <c r="N349" s="48">
        <v>7.19</v>
      </c>
      <c r="O349" s="49">
        <f t="shared" si="163"/>
        <v>610.9343</v>
      </c>
      <c r="P349" s="51"/>
      <c r="Q349" s="51"/>
      <c r="R349" s="67">
        <f t="shared" si="159"/>
        <v>384.469938107869</v>
      </c>
      <c r="S349" s="67"/>
      <c r="T349" s="91">
        <f t="shared" si="160"/>
        <v>1.96463306808134</v>
      </c>
      <c r="U349" s="67"/>
      <c r="V349" s="91">
        <v>78</v>
      </c>
      <c r="W349" s="89">
        <f t="shared" si="157"/>
        <v>464.43457117595</v>
      </c>
      <c r="X349" s="90">
        <f t="shared" si="161"/>
        <v>7.55022104332449</v>
      </c>
      <c r="Y349" s="90"/>
      <c r="Z349" s="90"/>
      <c r="AA349" s="90">
        <f t="shared" si="158"/>
        <v>7.55022104332449</v>
      </c>
      <c r="AB349" s="107">
        <v>7.19</v>
      </c>
      <c r="AC349" s="67">
        <f t="shared" si="156"/>
        <v>54.2860893015031</v>
      </c>
      <c r="AD349" s="67">
        <f t="shared" si="154"/>
        <v>518.720660477454</v>
      </c>
      <c r="AE349" s="67">
        <f t="shared" si="155"/>
        <v>92.213639522546</v>
      </c>
    </row>
    <row r="350" customFormat="1" spans="1:31">
      <c r="A350" s="18"/>
      <c r="B350" s="19"/>
      <c r="C350" s="20">
        <v>240202000017</v>
      </c>
      <c r="D350" s="21">
        <v>45332</v>
      </c>
      <c r="E350" s="21" t="s">
        <v>76</v>
      </c>
      <c r="F350" s="19" t="s">
        <v>77</v>
      </c>
      <c r="G350" s="19" t="s">
        <v>196</v>
      </c>
      <c r="H350" s="19">
        <v>2</v>
      </c>
      <c r="I350" s="44">
        <v>113</v>
      </c>
      <c r="J350" s="45"/>
      <c r="K350" s="46"/>
      <c r="L350" s="45"/>
      <c r="M350" s="47"/>
      <c r="N350" s="48"/>
      <c r="O350" s="49">
        <f t="shared" ref="O350:O355" si="164">SUM(I350)</f>
        <v>113</v>
      </c>
      <c r="P350" s="51"/>
      <c r="Q350" s="51"/>
      <c r="R350" s="67">
        <f t="shared" si="159"/>
        <v>69.9036251105217</v>
      </c>
      <c r="S350" s="67"/>
      <c r="T350" s="91">
        <f t="shared" si="160"/>
        <v>0.357206012378426</v>
      </c>
      <c r="U350" s="67"/>
      <c r="V350" s="67"/>
      <c r="W350" s="89">
        <f t="shared" si="157"/>
        <v>70.2608311229001</v>
      </c>
      <c r="X350" s="90">
        <f t="shared" si="161"/>
        <v>1.37276746242263</v>
      </c>
      <c r="Y350" s="90"/>
      <c r="Z350" s="90"/>
      <c r="AA350" s="90">
        <f t="shared" si="158"/>
        <v>1.37276746242263</v>
      </c>
      <c r="AB350" s="107">
        <v>7.19</v>
      </c>
      <c r="AC350" s="67">
        <f t="shared" si="156"/>
        <v>9.87019805481874</v>
      </c>
      <c r="AD350" s="67">
        <f t="shared" si="154"/>
        <v>80.1310291777188</v>
      </c>
      <c r="AE350" s="67">
        <f t="shared" si="155"/>
        <v>32.8689708222812</v>
      </c>
    </row>
    <row r="351" customFormat="1" spans="1:31">
      <c r="A351" s="18"/>
      <c r="B351" s="19"/>
      <c r="C351" s="20">
        <v>240202000018</v>
      </c>
      <c r="D351" s="21">
        <v>45332</v>
      </c>
      <c r="E351" s="21" t="s">
        <v>76</v>
      </c>
      <c r="F351" s="19" t="s">
        <v>77</v>
      </c>
      <c r="G351" s="19" t="s">
        <v>183</v>
      </c>
      <c r="H351" s="19">
        <v>2</v>
      </c>
      <c r="I351" s="49"/>
      <c r="J351" s="65">
        <v>24424</v>
      </c>
      <c r="K351" s="66"/>
      <c r="L351" s="61">
        <f>SUM(J351/M351)</f>
        <v>1545.82278481013</v>
      </c>
      <c r="M351" s="62">
        <v>15.8</v>
      </c>
      <c r="N351" s="48">
        <v>7.19</v>
      </c>
      <c r="O351" s="49">
        <f t="shared" ref="O351:O353" si="165">SUM(M351*N351)</f>
        <v>113.602</v>
      </c>
      <c r="P351" s="51"/>
      <c r="Q351" s="51"/>
      <c r="R351" s="67">
        <f t="shared" si="159"/>
        <v>69.9036251105217</v>
      </c>
      <c r="S351" s="67"/>
      <c r="T351" s="91">
        <f t="shared" si="160"/>
        <v>0.357206012378426</v>
      </c>
      <c r="U351" s="67"/>
      <c r="V351" s="67"/>
      <c r="W351" s="89">
        <f t="shared" si="157"/>
        <v>70.2608311229001</v>
      </c>
      <c r="X351" s="90">
        <f t="shared" si="161"/>
        <v>1.37276746242263</v>
      </c>
      <c r="Y351" s="90"/>
      <c r="Z351" s="90"/>
      <c r="AA351" s="90">
        <f t="shared" si="158"/>
        <v>1.37276746242263</v>
      </c>
      <c r="AB351" s="107">
        <v>7.19</v>
      </c>
      <c r="AC351" s="67">
        <f t="shared" si="156"/>
        <v>9.87019805481874</v>
      </c>
      <c r="AD351" s="67">
        <f t="shared" si="154"/>
        <v>80.1310291777188</v>
      </c>
      <c r="AE351" s="67">
        <f t="shared" si="155"/>
        <v>33.4709708222812</v>
      </c>
    </row>
    <row r="352" customFormat="1" spans="1:31">
      <c r="A352" s="18"/>
      <c r="B352" s="19"/>
      <c r="C352" s="20">
        <v>240202000019</v>
      </c>
      <c r="D352" s="21">
        <v>45332</v>
      </c>
      <c r="E352" s="21" t="s">
        <v>76</v>
      </c>
      <c r="F352" s="19" t="s">
        <v>77</v>
      </c>
      <c r="G352" s="19" t="s">
        <v>183</v>
      </c>
      <c r="H352" s="19">
        <v>0.84</v>
      </c>
      <c r="I352" s="49"/>
      <c r="J352" s="65">
        <v>12816</v>
      </c>
      <c r="K352" s="66"/>
      <c r="L352" s="61">
        <f>SUM(J352/M352)</f>
        <v>1582.22222222222</v>
      </c>
      <c r="M352" s="62">
        <v>8.1</v>
      </c>
      <c r="N352" s="48">
        <v>7.19</v>
      </c>
      <c r="O352" s="49">
        <f t="shared" si="165"/>
        <v>58.239</v>
      </c>
      <c r="P352" s="51"/>
      <c r="Q352" s="51"/>
      <c r="R352" s="67">
        <f t="shared" si="159"/>
        <v>29.3595225464191</v>
      </c>
      <c r="S352" s="67"/>
      <c r="T352" s="91">
        <f t="shared" si="160"/>
        <v>0.150026525198939</v>
      </c>
      <c r="U352" s="67"/>
      <c r="V352" s="67"/>
      <c r="W352" s="89">
        <f t="shared" si="157"/>
        <v>29.509549071618</v>
      </c>
      <c r="X352" s="90">
        <f t="shared" si="161"/>
        <v>0.576562334217507</v>
      </c>
      <c r="Y352" s="90"/>
      <c r="Z352" s="90"/>
      <c r="AA352" s="90">
        <f t="shared" si="158"/>
        <v>0.576562334217507</v>
      </c>
      <c r="AB352" s="107">
        <v>7.19</v>
      </c>
      <c r="AC352" s="67">
        <f t="shared" si="156"/>
        <v>4.14548318302387</v>
      </c>
      <c r="AD352" s="67">
        <f t="shared" si="154"/>
        <v>33.6550322546419</v>
      </c>
      <c r="AE352" s="67">
        <f t="shared" si="155"/>
        <v>24.5839677453581</v>
      </c>
    </row>
    <row r="353" customFormat="1" spans="1:31">
      <c r="A353" s="18"/>
      <c r="B353" s="19"/>
      <c r="C353" s="20">
        <v>240202000022</v>
      </c>
      <c r="D353" s="21">
        <v>45332</v>
      </c>
      <c r="E353" s="21" t="s">
        <v>37</v>
      </c>
      <c r="F353" s="19" t="s">
        <v>38</v>
      </c>
      <c r="G353" s="19" t="s">
        <v>299</v>
      </c>
      <c r="H353" s="19">
        <v>12.5</v>
      </c>
      <c r="I353" s="53"/>
      <c r="J353" s="61">
        <v>176268</v>
      </c>
      <c r="K353" s="55"/>
      <c r="L353" s="61">
        <f>SUM(J353/M353)</f>
        <v>1648.13464235624</v>
      </c>
      <c r="M353" s="62">
        <v>106.95</v>
      </c>
      <c r="N353" s="48">
        <v>7.19</v>
      </c>
      <c r="O353" s="49">
        <f t="shared" si="165"/>
        <v>768.9705</v>
      </c>
      <c r="P353" s="51"/>
      <c r="Q353" s="51"/>
      <c r="R353" s="67">
        <f t="shared" si="159"/>
        <v>436.89765694076</v>
      </c>
      <c r="S353" s="67"/>
      <c r="T353" s="91">
        <f t="shared" si="160"/>
        <v>2.23253757736516</v>
      </c>
      <c r="U353" s="67"/>
      <c r="V353" s="91">
        <v>113</v>
      </c>
      <c r="W353" s="89">
        <f t="shared" si="157"/>
        <v>552.130194518126</v>
      </c>
      <c r="X353" s="90">
        <f t="shared" si="161"/>
        <v>8.57979664014147</v>
      </c>
      <c r="Y353" s="90"/>
      <c r="Z353" s="90"/>
      <c r="AA353" s="90">
        <f t="shared" si="158"/>
        <v>8.57979664014147</v>
      </c>
      <c r="AB353" s="107">
        <v>7.19</v>
      </c>
      <c r="AC353" s="67">
        <f t="shared" si="156"/>
        <v>61.6887378426172</v>
      </c>
      <c r="AD353" s="67">
        <f t="shared" si="154"/>
        <v>613.818932360743</v>
      </c>
      <c r="AE353" s="67">
        <f t="shared" si="155"/>
        <v>155.151567639257</v>
      </c>
    </row>
    <row r="354" customFormat="1" spans="1:31">
      <c r="A354" s="18"/>
      <c r="B354" s="19"/>
      <c r="C354" s="20">
        <v>240202000027</v>
      </c>
      <c r="D354" s="21">
        <v>45332</v>
      </c>
      <c r="E354" s="21" t="s">
        <v>44</v>
      </c>
      <c r="F354" s="19" t="s">
        <v>44</v>
      </c>
      <c r="G354" s="19" t="s">
        <v>300</v>
      </c>
      <c r="H354" s="19">
        <v>5.5</v>
      </c>
      <c r="I354" s="44">
        <v>305.5</v>
      </c>
      <c r="J354" s="54"/>
      <c r="K354" s="55"/>
      <c r="L354" s="54"/>
      <c r="M354" s="47"/>
      <c r="N354" s="48"/>
      <c r="O354" s="49">
        <f t="shared" si="164"/>
        <v>305.5</v>
      </c>
      <c r="P354" s="51"/>
      <c r="Q354" s="51"/>
      <c r="R354" s="67">
        <f t="shared" si="159"/>
        <v>192.234969053935</v>
      </c>
      <c r="S354" s="67"/>
      <c r="T354" s="91">
        <f t="shared" si="160"/>
        <v>0.982316534040672</v>
      </c>
      <c r="U354" s="67"/>
      <c r="V354" s="67"/>
      <c r="W354" s="89">
        <f t="shared" si="157"/>
        <v>193.217285587975</v>
      </c>
      <c r="X354" s="90">
        <f t="shared" si="161"/>
        <v>3.77511052166225</v>
      </c>
      <c r="Y354" s="90"/>
      <c r="Z354" s="90"/>
      <c r="AA354" s="90">
        <f t="shared" si="158"/>
        <v>3.77511052166225</v>
      </c>
      <c r="AB354" s="107">
        <v>7.19</v>
      </c>
      <c r="AC354" s="67">
        <f t="shared" si="156"/>
        <v>27.1430446507515</v>
      </c>
      <c r="AD354" s="67">
        <f t="shared" si="154"/>
        <v>220.360330238727</v>
      </c>
      <c r="AE354" s="67">
        <f t="shared" si="155"/>
        <v>85.139669761273</v>
      </c>
    </row>
    <row r="355" customFormat="1" spans="1:31">
      <c r="A355" s="18"/>
      <c r="B355" s="19"/>
      <c r="C355" s="20">
        <v>240202000031</v>
      </c>
      <c r="D355" s="21">
        <v>45332</v>
      </c>
      <c r="E355" s="21" t="s">
        <v>62</v>
      </c>
      <c r="F355" s="19" t="s">
        <v>63</v>
      </c>
      <c r="G355" s="19" t="s">
        <v>301</v>
      </c>
      <c r="H355" s="19">
        <v>26.5</v>
      </c>
      <c r="I355" s="44">
        <v>1242.5</v>
      </c>
      <c r="J355" s="45"/>
      <c r="K355" s="46"/>
      <c r="L355" s="45"/>
      <c r="M355" s="47"/>
      <c r="N355" s="48"/>
      <c r="O355" s="49">
        <f t="shared" si="164"/>
        <v>1242.5</v>
      </c>
      <c r="P355" s="51"/>
      <c r="Q355" s="51"/>
      <c r="R355" s="67">
        <f t="shared" si="159"/>
        <v>926.223032714412</v>
      </c>
      <c r="S355" s="67"/>
      <c r="T355" s="91">
        <f t="shared" si="160"/>
        <v>4.73297966401415</v>
      </c>
      <c r="U355" s="67"/>
      <c r="V355" s="67"/>
      <c r="W355" s="89">
        <f t="shared" si="157"/>
        <v>930.956012378426</v>
      </c>
      <c r="X355" s="90">
        <f t="shared" si="161"/>
        <v>18.1891688770999</v>
      </c>
      <c r="Y355" s="90"/>
      <c r="Z355" s="90"/>
      <c r="AA355" s="90">
        <f t="shared" si="158"/>
        <v>18.1891688770999</v>
      </c>
      <c r="AB355" s="107">
        <v>7.19</v>
      </c>
      <c r="AC355" s="67">
        <f t="shared" si="156"/>
        <v>130.780124226348</v>
      </c>
      <c r="AD355" s="67">
        <f t="shared" si="154"/>
        <v>1061.73613660477</v>
      </c>
      <c r="AE355" s="67">
        <f t="shared" si="155"/>
        <v>180.76386339523</v>
      </c>
    </row>
    <row r="356" customFormat="1" spans="1:31">
      <c r="A356" s="18"/>
      <c r="B356" s="19"/>
      <c r="C356" s="20">
        <v>240202000035</v>
      </c>
      <c r="D356" s="21">
        <v>45332</v>
      </c>
      <c r="E356" s="21" t="s">
        <v>76</v>
      </c>
      <c r="F356" s="19" t="s">
        <v>77</v>
      </c>
      <c r="G356" s="19" t="s">
        <v>302</v>
      </c>
      <c r="H356" s="19">
        <v>4.5</v>
      </c>
      <c r="I356" s="53"/>
      <c r="J356" s="61">
        <v>54609</v>
      </c>
      <c r="K356" s="55"/>
      <c r="L356" s="61">
        <f>SUM(J356/M356)</f>
        <v>1567.42250287026</v>
      </c>
      <c r="M356" s="62">
        <v>34.84</v>
      </c>
      <c r="N356" s="48">
        <v>7.19</v>
      </c>
      <c r="O356" s="49">
        <f>SUM(M356*N356)</f>
        <v>250.4996</v>
      </c>
      <c r="P356" s="51"/>
      <c r="Q356" s="51"/>
      <c r="R356" s="67">
        <f t="shared" si="159"/>
        <v>157.283156498674</v>
      </c>
      <c r="S356" s="67"/>
      <c r="T356" s="91">
        <f t="shared" si="160"/>
        <v>0.803713527851459</v>
      </c>
      <c r="U356" s="67"/>
      <c r="V356" s="67"/>
      <c r="W356" s="89">
        <f t="shared" si="157"/>
        <v>158.086870026525</v>
      </c>
      <c r="X356" s="90">
        <f t="shared" si="161"/>
        <v>3.08872679045093</v>
      </c>
      <c r="Y356" s="90"/>
      <c r="Z356" s="90"/>
      <c r="AA356" s="90">
        <f t="shared" si="158"/>
        <v>3.08872679045093</v>
      </c>
      <c r="AB356" s="107">
        <v>7.19</v>
      </c>
      <c r="AC356" s="67">
        <f t="shared" si="156"/>
        <v>22.2079456233422</v>
      </c>
      <c r="AD356" s="67">
        <f t="shared" si="154"/>
        <v>180.294815649867</v>
      </c>
      <c r="AE356" s="67">
        <f t="shared" si="155"/>
        <v>70.204784350133</v>
      </c>
    </row>
    <row r="357" customFormat="1" spans="1:31">
      <c r="A357" s="18"/>
      <c r="B357" s="19"/>
      <c r="C357" s="20">
        <v>240202000036</v>
      </c>
      <c r="D357" s="21">
        <v>45332</v>
      </c>
      <c r="E357" s="21" t="s">
        <v>76</v>
      </c>
      <c r="F357" s="19" t="s">
        <v>77</v>
      </c>
      <c r="G357" s="19" t="s">
        <v>269</v>
      </c>
      <c r="H357" s="19">
        <v>17</v>
      </c>
      <c r="I357" s="44">
        <v>1063.4</v>
      </c>
      <c r="J357" s="45"/>
      <c r="K357" s="46"/>
      <c r="L357" s="45"/>
      <c r="M357" s="47"/>
      <c r="N357" s="48"/>
      <c r="O357" s="49">
        <f t="shared" ref="O357:O359" si="166">SUM(I357)</f>
        <v>1063.4</v>
      </c>
      <c r="P357" s="51"/>
      <c r="Q357" s="51"/>
      <c r="R357" s="67">
        <f t="shared" si="159"/>
        <v>594.180813439434</v>
      </c>
      <c r="S357" s="67"/>
      <c r="T357" s="91">
        <f t="shared" si="160"/>
        <v>3.03625110521662</v>
      </c>
      <c r="U357" s="67"/>
      <c r="V357" s="91">
        <v>23</v>
      </c>
      <c r="W357" s="89">
        <f t="shared" si="157"/>
        <v>620.217064544651</v>
      </c>
      <c r="X357" s="90">
        <f t="shared" si="161"/>
        <v>11.6685234305924</v>
      </c>
      <c r="Y357" s="90"/>
      <c r="Z357" s="90"/>
      <c r="AA357" s="90">
        <f t="shared" si="158"/>
        <v>11.6685234305924</v>
      </c>
      <c r="AB357" s="107">
        <v>7.19</v>
      </c>
      <c r="AC357" s="67">
        <f t="shared" si="156"/>
        <v>83.8966834659593</v>
      </c>
      <c r="AD357" s="67">
        <f t="shared" si="154"/>
        <v>704.11374801061</v>
      </c>
      <c r="AE357" s="67">
        <f t="shared" si="155"/>
        <v>359.28625198939</v>
      </c>
    </row>
    <row r="358" customFormat="1" spans="1:31">
      <c r="A358" s="18"/>
      <c r="B358" s="19"/>
      <c r="C358" s="20">
        <v>240202000040</v>
      </c>
      <c r="D358" s="21">
        <v>45332</v>
      </c>
      <c r="E358" s="21" t="s">
        <v>44</v>
      </c>
      <c r="F358" s="19" t="s">
        <v>44</v>
      </c>
      <c r="G358" s="19" t="s">
        <v>274</v>
      </c>
      <c r="H358" s="19">
        <v>7</v>
      </c>
      <c r="I358" s="44">
        <v>370</v>
      </c>
      <c r="J358" s="45"/>
      <c r="K358" s="46"/>
      <c r="L358" s="45"/>
      <c r="M358" s="47"/>
      <c r="N358" s="48"/>
      <c r="O358" s="49">
        <f t="shared" si="166"/>
        <v>370</v>
      </c>
      <c r="P358" s="51"/>
      <c r="Q358" s="51"/>
      <c r="R358" s="67">
        <f t="shared" si="159"/>
        <v>244.662687886826</v>
      </c>
      <c r="S358" s="67"/>
      <c r="T358" s="91">
        <f t="shared" si="160"/>
        <v>1.25022104332449</v>
      </c>
      <c r="U358" s="67"/>
      <c r="V358" s="67"/>
      <c r="W358" s="89">
        <f t="shared" si="157"/>
        <v>245.91290893015</v>
      </c>
      <c r="X358" s="90">
        <f t="shared" si="161"/>
        <v>4.80468611847922</v>
      </c>
      <c r="Y358" s="90"/>
      <c r="Z358" s="90"/>
      <c r="AA358" s="90">
        <f t="shared" si="158"/>
        <v>4.80468611847922</v>
      </c>
      <c r="AB358" s="107">
        <v>7.19</v>
      </c>
      <c r="AC358" s="67">
        <f t="shared" si="156"/>
        <v>34.5456931918656</v>
      </c>
      <c r="AD358" s="67">
        <f t="shared" si="154"/>
        <v>280.458602122016</v>
      </c>
      <c r="AE358" s="67">
        <f t="shared" si="155"/>
        <v>89.541397877984</v>
      </c>
    </row>
    <row r="359" customFormat="1" spans="1:31">
      <c r="A359" s="18"/>
      <c r="B359" s="19"/>
      <c r="C359" s="20">
        <v>240202000043</v>
      </c>
      <c r="D359" s="21">
        <v>45332</v>
      </c>
      <c r="E359" s="21" t="s">
        <v>76</v>
      </c>
      <c r="F359" s="19" t="s">
        <v>77</v>
      </c>
      <c r="G359" s="19" t="s">
        <v>303</v>
      </c>
      <c r="H359" s="19">
        <v>1.5</v>
      </c>
      <c r="I359" s="44">
        <v>93</v>
      </c>
      <c r="J359" s="45"/>
      <c r="K359" s="46"/>
      <c r="L359" s="45"/>
      <c r="M359" s="47"/>
      <c r="N359" s="48"/>
      <c r="O359" s="49">
        <f t="shared" si="166"/>
        <v>93</v>
      </c>
      <c r="P359" s="51"/>
      <c r="Q359" s="51"/>
      <c r="R359" s="67">
        <f t="shared" si="159"/>
        <v>52.4277188328912</v>
      </c>
      <c r="S359" s="67"/>
      <c r="T359" s="91">
        <f t="shared" si="160"/>
        <v>0.26790450928382</v>
      </c>
      <c r="U359" s="67"/>
      <c r="V359" s="67"/>
      <c r="W359" s="89">
        <f t="shared" si="157"/>
        <v>52.6956233421751</v>
      </c>
      <c r="X359" s="90">
        <f t="shared" si="161"/>
        <v>1.02957559681698</v>
      </c>
      <c r="Y359" s="90"/>
      <c r="Z359" s="90"/>
      <c r="AA359" s="90">
        <f t="shared" si="158"/>
        <v>1.02957559681698</v>
      </c>
      <c r="AB359" s="107">
        <v>7.19</v>
      </c>
      <c r="AC359" s="67">
        <f t="shared" si="156"/>
        <v>7.40264854111406</v>
      </c>
      <c r="AD359" s="67">
        <f t="shared" si="154"/>
        <v>60.0982718832891</v>
      </c>
      <c r="AE359" s="67">
        <f t="shared" si="155"/>
        <v>32.9017281167109</v>
      </c>
    </row>
    <row r="360" customFormat="1" spans="1:31">
      <c r="A360" s="18"/>
      <c r="B360" s="19"/>
      <c r="C360" s="20">
        <v>240202000048</v>
      </c>
      <c r="D360" s="21">
        <v>45332</v>
      </c>
      <c r="E360" s="21" t="s">
        <v>44</v>
      </c>
      <c r="F360" s="19" t="s">
        <v>225</v>
      </c>
      <c r="G360" s="19" t="s">
        <v>304</v>
      </c>
      <c r="H360" s="19">
        <v>89</v>
      </c>
      <c r="I360" s="49"/>
      <c r="J360" s="65">
        <v>1052888</v>
      </c>
      <c r="K360" s="66"/>
      <c r="L360" s="61">
        <f>SUM(J360/M360)</f>
        <v>1548.00047047753</v>
      </c>
      <c r="M360" s="62">
        <v>680.16</v>
      </c>
      <c r="N360" s="48">
        <v>7.19</v>
      </c>
      <c r="O360" s="49">
        <f t="shared" ref="O360:O366" si="167">SUM(M360*N360)</f>
        <v>4890.3504</v>
      </c>
      <c r="P360" s="51"/>
      <c r="Q360" s="51"/>
      <c r="R360" s="67">
        <f t="shared" si="159"/>
        <v>3110.71131741821</v>
      </c>
      <c r="S360" s="67"/>
      <c r="T360" s="91">
        <f t="shared" si="160"/>
        <v>15.89566755084</v>
      </c>
      <c r="U360" s="91">
        <v>220</v>
      </c>
      <c r="V360" s="67"/>
      <c r="W360" s="89">
        <f t="shared" si="157"/>
        <v>3346.60698496905</v>
      </c>
      <c r="X360" s="90">
        <f t="shared" si="161"/>
        <v>61.0881520778072</v>
      </c>
      <c r="Y360" s="90"/>
      <c r="Z360" s="90"/>
      <c r="AA360" s="90">
        <f t="shared" si="158"/>
        <v>61.0881520778072</v>
      </c>
      <c r="AB360" s="107">
        <v>7.19</v>
      </c>
      <c r="AC360" s="67">
        <f t="shared" si="156"/>
        <v>439.223813439434</v>
      </c>
      <c r="AD360" s="67">
        <f t="shared" si="154"/>
        <v>3785.83079840849</v>
      </c>
      <c r="AE360" s="67">
        <f t="shared" si="155"/>
        <v>1104.51960159151</v>
      </c>
    </row>
    <row r="361" customFormat="1" spans="1:31">
      <c r="A361" s="18"/>
      <c r="B361" s="19"/>
      <c r="C361" s="20">
        <v>240202000054</v>
      </c>
      <c r="D361" s="21">
        <v>45332</v>
      </c>
      <c r="E361" s="21" t="s">
        <v>41</v>
      </c>
      <c r="F361" s="19" t="s">
        <v>42</v>
      </c>
      <c r="G361" s="19" t="s">
        <v>271</v>
      </c>
      <c r="H361" s="19">
        <v>4</v>
      </c>
      <c r="I361" s="44">
        <v>188</v>
      </c>
      <c r="J361" s="45"/>
      <c r="K361" s="46"/>
      <c r="L361" s="45"/>
      <c r="M361" s="47"/>
      <c r="N361" s="48"/>
      <c r="O361" s="49">
        <f t="shared" ref="O361:O363" si="168">SUM(I361)</f>
        <v>188</v>
      </c>
      <c r="P361" s="51"/>
      <c r="Q361" s="51"/>
      <c r="R361" s="67">
        <f t="shared" si="159"/>
        <v>139.807250221043</v>
      </c>
      <c r="S361" s="67"/>
      <c r="T361" s="91">
        <f t="shared" si="160"/>
        <v>0.714412024756852</v>
      </c>
      <c r="U361" s="67"/>
      <c r="V361" s="67"/>
      <c r="W361" s="89">
        <f t="shared" si="157"/>
        <v>140.5216622458</v>
      </c>
      <c r="X361" s="90">
        <f t="shared" si="161"/>
        <v>2.74553492484527</v>
      </c>
      <c r="Y361" s="90"/>
      <c r="Z361" s="90"/>
      <c r="AA361" s="90">
        <f t="shared" si="158"/>
        <v>2.74553492484527</v>
      </c>
      <c r="AB361" s="107">
        <v>7.19</v>
      </c>
      <c r="AC361" s="67">
        <f t="shared" si="156"/>
        <v>19.7403961096375</v>
      </c>
      <c r="AD361" s="67">
        <f t="shared" si="154"/>
        <v>160.262058355438</v>
      </c>
      <c r="AE361" s="67">
        <f t="shared" si="155"/>
        <v>27.737941644562</v>
      </c>
    </row>
    <row r="362" customFormat="1" spans="1:31">
      <c r="A362" s="18"/>
      <c r="B362" s="19"/>
      <c r="C362" s="20">
        <v>240202000056</v>
      </c>
      <c r="D362" s="21">
        <v>45332</v>
      </c>
      <c r="E362" s="21" t="s">
        <v>41</v>
      </c>
      <c r="F362" s="19" t="s">
        <v>42</v>
      </c>
      <c r="G362" s="19" t="s">
        <v>305</v>
      </c>
      <c r="H362" s="19">
        <v>12.5</v>
      </c>
      <c r="I362" s="44">
        <v>694</v>
      </c>
      <c r="J362" s="45"/>
      <c r="K362" s="46"/>
      <c r="L362" s="45"/>
      <c r="M362" s="47"/>
      <c r="N362" s="48"/>
      <c r="O362" s="49">
        <f t="shared" si="168"/>
        <v>694</v>
      </c>
      <c r="P362" s="51"/>
      <c r="Q362" s="51"/>
      <c r="R362" s="67">
        <f t="shared" si="159"/>
        <v>436.89765694076</v>
      </c>
      <c r="S362" s="67"/>
      <c r="T362" s="91">
        <f t="shared" si="160"/>
        <v>2.23253757736516</v>
      </c>
      <c r="U362" s="67"/>
      <c r="V362" s="67"/>
      <c r="W362" s="89">
        <f t="shared" si="157"/>
        <v>439.130194518126</v>
      </c>
      <c r="X362" s="90">
        <f t="shared" si="161"/>
        <v>8.57979664014147</v>
      </c>
      <c r="Y362" s="90"/>
      <c r="Z362" s="90"/>
      <c r="AA362" s="90">
        <f t="shared" si="158"/>
        <v>8.57979664014147</v>
      </c>
      <c r="AB362" s="107">
        <v>7.19</v>
      </c>
      <c r="AC362" s="67">
        <f t="shared" si="156"/>
        <v>61.6887378426172</v>
      </c>
      <c r="AD362" s="67">
        <f t="shared" si="154"/>
        <v>500.818932360743</v>
      </c>
      <c r="AE362" s="67">
        <f t="shared" si="155"/>
        <v>193.181067639257</v>
      </c>
    </row>
    <row r="363" customFormat="1" spans="1:31">
      <c r="A363" s="18"/>
      <c r="B363" s="19"/>
      <c r="C363" s="20">
        <v>240202000058</v>
      </c>
      <c r="D363" s="21">
        <v>45332</v>
      </c>
      <c r="E363" s="21" t="s">
        <v>41</v>
      </c>
      <c r="F363" s="19" t="s">
        <v>42</v>
      </c>
      <c r="G363" s="19" t="s">
        <v>163</v>
      </c>
      <c r="H363" s="19">
        <v>26.5</v>
      </c>
      <c r="I363" s="53"/>
      <c r="J363" s="61">
        <v>323575</v>
      </c>
      <c r="K363" s="55"/>
      <c r="L363" s="54"/>
      <c r="M363" s="62">
        <v>209.31</v>
      </c>
      <c r="N363" s="68">
        <v>7.19</v>
      </c>
      <c r="O363" s="49">
        <f>SUM(M363*N363)</f>
        <v>1504.9389</v>
      </c>
      <c r="P363" s="51"/>
      <c r="Q363" s="51"/>
      <c r="R363" s="67">
        <f t="shared" si="159"/>
        <v>926.223032714412</v>
      </c>
      <c r="S363" s="67"/>
      <c r="T363" s="91">
        <f t="shared" si="160"/>
        <v>4.73297966401415</v>
      </c>
      <c r="U363" s="67"/>
      <c r="V363" s="91">
        <v>74</v>
      </c>
      <c r="W363" s="89">
        <f t="shared" si="157"/>
        <v>1004.95601237843</v>
      </c>
      <c r="X363" s="90">
        <f t="shared" si="161"/>
        <v>18.1891688770999</v>
      </c>
      <c r="Y363" s="90"/>
      <c r="Z363" s="90"/>
      <c r="AA363" s="90">
        <f t="shared" si="158"/>
        <v>18.1891688770999</v>
      </c>
      <c r="AB363" s="107">
        <v>7.19</v>
      </c>
      <c r="AC363" s="67">
        <f t="shared" si="156"/>
        <v>130.780124226348</v>
      </c>
      <c r="AD363" s="67">
        <f t="shared" si="154"/>
        <v>1135.73613660477</v>
      </c>
      <c r="AE363" s="67">
        <f t="shared" si="155"/>
        <v>369.20276339523</v>
      </c>
    </row>
    <row r="364" customFormat="1" spans="1:31">
      <c r="A364" s="18"/>
      <c r="B364" s="19"/>
      <c r="C364" s="20">
        <v>240203000001</v>
      </c>
      <c r="D364" s="21">
        <v>45332</v>
      </c>
      <c r="E364" s="21" t="s">
        <v>106</v>
      </c>
      <c r="F364" s="19" t="s">
        <v>107</v>
      </c>
      <c r="G364" s="19" t="s">
        <v>306</v>
      </c>
      <c r="H364" s="19">
        <v>4</v>
      </c>
      <c r="I364" s="49"/>
      <c r="J364" s="65">
        <v>62694</v>
      </c>
      <c r="K364" s="66"/>
      <c r="L364" s="61">
        <f>SUM(J364/M364)</f>
        <v>2009.42307692308</v>
      </c>
      <c r="M364" s="62">
        <v>31.2</v>
      </c>
      <c r="N364" s="48">
        <v>7.19</v>
      </c>
      <c r="O364" s="49">
        <f t="shared" si="167"/>
        <v>224.328</v>
      </c>
      <c r="P364" s="51"/>
      <c r="Q364" s="51"/>
      <c r="R364" s="67">
        <f t="shared" si="159"/>
        <v>139.807250221043</v>
      </c>
      <c r="S364" s="67"/>
      <c r="T364" s="91">
        <f t="shared" si="160"/>
        <v>0.714412024756852</v>
      </c>
      <c r="U364" s="67"/>
      <c r="V364" s="67"/>
      <c r="W364" s="89">
        <f t="shared" si="157"/>
        <v>140.5216622458</v>
      </c>
      <c r="X364" s="90">
        <f t="shared" si="161"/>
        <v>2.74553492484527</v>
      </c>
      <c r="Y364" s="90"/>
      <c r="Z364" s="90"/>
      <c r="AA364" s="90">
        <f t="shared" si="158"/>
        <v>2.74553492484527</v>
      </c>
      <c r="AB364" s="107">
        <v>7.19</v>
      </c>
      <c r="AC364" s="67">
        <f t="shared" si="156"/>
        <v>19.7403961096375</v>
      </c>
      <c r="AD364" s="67">
        <f t="shared" si="154"/>
        <v>160.262058355438</v>
      </c>
      <c r="AE364" s="67">
        <f t="shared" si="155"/>
        <v>64.065941644562</v>
      </c>
    </row>
    <row r="365" customFormat="1" spans="1:31">
      <c r="A365" s="18"/>
      <c r="B365" s="19"/>
      <c r="C365" s="20">
        <v>240203000002</v>
      </c>
      <c r="D365" s="21">
        <v>45332</v>
      </c>
      <c r="E365" s="21" t="s">
        <v>106</v>
      </c>
      <c r="F365" s="19" t="s">
        <v>107</v>
      </c>
      <c r="G365" s="19" t="s">
        <v>307</v>
      </c>
      <c r="H365" s="19">
        <v>0.78</v>
      </c>
      <c r="I365" s="49"/>
      <c r="J365" s="65">
        <v>15538</v>
      </c>
      <c r="K365" s="66"/>
      <c r="L365" s="61">
        <f>SUM(J365/M365)</f>
        <v>1918.27160493827</v>
      </c>
      <c r="M365" s="62">
        <v>8.1</v>
      </c>
      <c r="N365" s="48">
        <v>7.19</v>
      </c>
      <c r="O365" s="49">
        <f t="shared" si="167"/>
        <v>58.239</v>
      </c>
      <c r="P365" s="51"/>
      <c r="Q365" s="51"/>
      <c r="R365" s="67">
        <f t="shared" si="159"/>
        <v>27.2624137931034</v>
      </c>
      <c r="S365" s="67"/>
      <c r="T365" s="91">
        <f t="shared" si="160"/>
        <v>0.139310344827586</v>
      </c>
      <c r="U365" s="67"/>
      <c r="V365" s="67"/>
      <c r="W365" s="89">
        <f t="shared" si="157"/>
        <v>27.401724137931</v>
      </c>
      <c r="X365" s="90">
        <f t="shared" si="161"/>
        <v>0.535379310344828</v>
      </c>
      <c r="Y365" s="90"/>
      <c r="Z365" s="90"/>
      <c r="AA365" s="90">
        <f t="shared" si="158"/>
        <v>0.535379310344828</v>
      </c>
      <c r="AB365" s="107">
        <v>7.19</v>
      </c>
      <c r="AC365" s="67">
        <f t="shared" si="156"/>
        <v>3.84937724137931</v>
      </c>
      <c r="AD365" s="67">
        <f t="shared" si="154"/>
        <v>31.2511013793103</v>
      </c>
      <c r="AE365" s="67">
        <f t="shared" si="155"/>
        <v>26.9878986206897</v>
      </c>
    </row>
    <row r="366" customFormat="1" spans="1:31">
      <c r="A366" s="18"/>
      <c r="B366" s="19"/>
      <c r="C366" s="20">
        <v>240203000003</v>
      </c>
      <c r="D366" s="21">
        <v>45332</v>
      </c>
      <c r="E366" s="21" t="s">
        <v>62</v>
      </c>
      <c r="F366" s="19" t="s">
        <v>63</v>
      </c>
      <c r="G366" s="19" t="s">
        <v>308</v>
      </c>
      <c r="H366" s="19">
        <v>19.5</v>
      </c>
      <c r="I366" s="53"/>
      <c r="J366" s="61">
        <v>222360</v>
      </c>
      <c r="K366" s="55"/>
      <c r="L366" s="61">
        <f>SUM(J366/M366)</f>
        <v>1567.46087692091</v>
      </c>
      <c r="M366" s="62">
        <v>141.86</v>
      </c>
      <c r="N366" s="48">
        <v>7.19</v>
      </c>
      <c r="O366" s="49">
        <f t="shared" si="167"/>
        <v>1019.9734</v>
      </c>
      <c r="P366" s="51"/>
      <c r="Q366" s="51"/>
      <c r="R366" s="67">
        <f t="shared" si="159"/>
        <v>681.560344827586</v>
      </c>
      <c r="S366" s="67"/>
      <c r="T366" s="91">
        <f t="shared" si="160"/>
        <v>3.48275862068966</v>
      </c>
      <c r="U366" s="67"/>
      <c r="V366" s="67"/>
      <c r="W366" s="89">
        <f t="shared" si="157"/>
        <v>685.043103448276</v>
      </c>
      <c r="X366" s="90">
        <f t="shared" si="161"/>
        <v>13.3844827586207</v>
      </c>
      <c r="Y366" s="90"/>
      <c r="Z366" s="90"/>
      <c r="AA366" s="90">
        <f t="shared" si="158"/>
        <v>13.3844827586207</v>
      </c>
      <c r="AB366" s="107">
        <v>7.19</v>
      </c>
      <c r="AC366" s="67">
        <f t="shared" si="156"/>
        <v>96.2344310344828</v>
      </c>
      <c r="AD366" s="67">
        <f t="shared" si="154"/>
        <v>781.277534482759</v>
      </c>
      <c r="AE366" s="67">
        <f t="shared" si="155"/>
        <v>238.695865517241</v>
      </c>
    </row>
    <row r="367" customFormat="1" spans="1:31">
      <c r="A367" s="18"/>
      <c r="B367" s="19"/>
      <c r="C367" s="20">
        <v>240203000004</v>
      </c>
      <c r="D367" s="21">
        <v>45332</v>
      </c>
      <c r="E367" s="21" t="s">
        <v>62</v>
      </c>
      <c r="F367" s="19" t="s">
        <v>63</v>
      </c>
      <c r="G367" s="19" t="s">
        <v>309</v>
      </c>
      <c r="H367" s="19">
        <v>5.5</v>
      </c>
      <c r="I367" s="44">
        <v>333</v>
      </c>
      <c r="J367" s="45"/>
      <c r="K367" s="46"/>
      <c r="L367" s="45"/>
      <c r="M367" s="47"/>
      <c r="N367" s="48"/>
      <c r="O367" s="49">
        <f>SUM(I367)</f>
        <v>333</v>
      </c>
      <c r="P367" s="51"/>
      <c r="Q367" s="51"/>
      <c r="R367" s="67">
        <f t="shared" si="159"/>
        <v>192.234969053935</v>
      </c>
      <c r="S367" s="67"/>
      <c r="T367" s="91">
        <f t="shared" si="160"/>
        <v>0.982316534040672</v>
      </c>
      <c r="U367" s="67"/>
      <c r="V367" s="67"/>
      <c r="W367" s="89">
        <f t="shared" si="157"/>
        <v>193.217285587975</v>
      </c>
      <c r="X367" s="90">
        <f t="shared" si="161"/>
        <v>3.77511052166225</v>
      </c>
      <c r="Y367" s="90"/>
      <c r="Z367" s="90"/>
      <c r="AA367" s="90">
        <f t="shared" si="158"/>
        <v>3.77511052166225</v>
      </c>
      <c r="AB367" s="107">
        <v>7.19</v>
      </c>
      <c r="AC367" s="67">
        <f t="shared" si="156"/>
        <v>27.1430446507515</v>
      </c>
      <c r="AD367" s="67">
        <f t="shared" si="154"/>
        <v>220.360330238727</v>
      </c>
      <c r="AE367" s="67">
        <f t="shared" si="155"/>
        <v>112.639669761273</v>
      </c>
    </row>
    <row r="368" customFormat="1" spans="1:31">
      <c r="A368" s="18"/>
      <c r="B368" s="19"/>
      <c r="C368" s="20">
        <v>240203000018</v>
      </c>
      <c r="D368" s="21">
        <v>45332</v>
      </c>
      <c r="E368" s="21" t="s">
        <v>41</v>
      </c>
      <c r="F368" s="19" t="s">
        <v>42</v>
      </c>
      <c r="G368" s="19" t="s">
        <v>175</v>
      </c>
      <c r="H368" s="19">
        <v>51.5</v>
      </c>
      <c r="I368" s="53"/>
      <c r="J368" s="61">
        <v>562380</v>
      </c>
      <c r="K368" s="55"/>
      <c r="L368" s="61">
        <f>SUM(J368/M368)</f>
        <v>1509.90710411856</v>
      </c>
      <c r="M368" s="62">
        <v>372.46</v>
      </c>
      <c r="N368" s="48">
        <v>7.19</v>
      </c>
      <c r="O368" s="49">
        <f t="shared" ref="O368:O372" si="169">SUM(M368*N368)</f>
        <v>2677.9874</v>
      </c>
      <c r="P368" s="51"/>
      <c r="Q368" s="51"/>
      <c r="R368" s="67">
        <f t="shared" si="159"/>
        <v>1800.01834659593</v>
      </c>
      <c r="S368" s="67"/>
      <c r="T368" s="91">
        <f t="shared" si="160"/>
        <v>9.19805481874447</v>
      </c>
      <c r="U368" s="67"/>
      <c r="V368" s="67"/>
      <c r="W368" s="89">
        <f t="shared" si="157"/>
        <v>1809.21640141468</v>
      </c>
      <c r="X368" s="90">
        <f t="shared" si="161"/>
        <v>35.3487621573828</v>
      </c>
      <c r="Y368" s="90"/>
      <c r="Z368" s="90"/>
      <c r="AA368" s="90">
        <f t="shared" si="158"/>
        <v>35.3487621573828</v>
      </c>
      <c r="AB368" s="107">
        <v>7.19</v>
      </c>
      <c r="AC368" s="67">
        <f t="shared" ref="AC368:AC396" si="170">SUM(AA368*AB368)</f>
        <v>254.157599911582</v>
      </c>
      <c r="AD368" s="67">
        <f t="shared" si="154"/>
        <v>2063.37400132626</v>
      </c>
      <c r="AE368" s="67">
        <f t="shared" si="155"/>
        <v>614.61339867374</v>
      </c>
    </row>
    <row r="369" customFormat="1" spans="1:31">
      <c r="A369" s="18"/>
      <c r="B369" s="19"/>
      <c r="C369" s="20">
        <v>240203000021</v>
      </c>
      <c r="D369" s="21">
        <v>45332</v>
      </c>
      <c r="E369" s="21" t="s">
        <v>76</v>
      </c>
      <c r="F369" s="19" t="s">
        <v>310</v>
      </c>
      <c r="G369" s="19" t="s">
        <v>311</v>
      </c>
      <c r="H369" s="19">
        <v>5.5</v>
      </c>
      <c r="I369" s="49"/>
      <c r="J369" s="65">
        <v>66117</v>
      </c>
      <c r="K369" s="66"/>
      <c r="L369" s="61">
        <f>SUM(J369/M369)</f>
        <v>1546.59649122807</v>
      </c>
      <c r="M369" s="62">
        <v>42.75</v>
      </c>
      <c r="N369" s="48">
        <v>7.19</v>
      </c>
      <c r="O369" s="49">
        <f t="shared" si="169"/>
        <v>307.3725</v>
      </c>
      <c r="P369" s="52"/>
      <c r="Q369" s="52"/>
      <c r="R369" s="67">
        <f t="shared" si="159"/>
        <v>192.234969053935</v>
      </c>
      <c r="S369" s="67"/>
      <c r="T369" s="91">
        <f t="shared" si="160"/>
        <v>0.982316534040672</v>
      </c>
      <c r="U369" s="67"/>
      <c r="V369" s="67"/>
      <c r="W369" s="89">
        <f t="shared" si="157"/>
        <v>193.217285587975</v>
      </c>
      <c r="X369" s="90">
        <f t="shared" si="161"/>
        <v>3.77511052166225</v>
      </c>
      <c r="Y369" s="90"/>
      <c r="Z369" s="90"/>
      <c r="AA369" s="90">
        <f t="shared" si="158"/>
        <v>3.77511052166225</v>
      </c>
      <c r="AB369" s="107">
        <v>7.19</v>
      </c>
      <c r="AC369" s="67">
        <f t="shared" si="170"/>
        <v>27.1430446507516</v>
      </c>
      <c r="AD369" s="67">
        <f t="shared" ref="AD369:AD396" si="171">SUM(W369+AC369)</f>
        <v>220.360330238727</v>
      </c>
      <c r="AE369" s="67">
        <f t="shared" ref="AE369:AE395" si="172">SUM(O369-AD369)</f>
        <v>87.012169761273</v>
      </c>
    </row>
    <row r="370" customFormat="1" spans="1:31">
      <c r="A370" s="18" t="s">
        <v>312</v>
      </c>
      <c r="B370" s="19" t="s">
        <v>313</v>
      </c>
      <c r="C370" s="20">
        <v>240125000013</v>
      </c>
      <c r="D370" s="21">
        <v>45332</v>
      </c>
      <c r="E370" s="21" t="s">
        <v>41</v>
      </c>
      <c r="F370" s="19" t="s">
        <v>42</v>
      </c>
      <c r="G370" s="19" t="s">
        <v>59</v>
      </c>
      <c r="H370" s="19">
        <v>89</v>
      </c>
      <c r="I370" s="53"/>
      <c r="J370" s="61">
        <v>970100</v>
      </c>
      <c r="K370" s="55"/>
      <c r="L370" s="61">
        <f t="shared" ref="L370:L375" si="173">SUM(J370/M370)</f>
        <v>1567.43306781277</v>
      </c>
      <c r="M370" s="62">
        <v>618.91</v>
      </c>
      <c r="N370" s="48">
        <v>7.19</v>
      </c>
      <c r="O370" s="49">
        <f t="shared" si="169"/>
        <v>4449.9629</v>
      </c>
      <c r="P370" s="50">
        <f>SUM(O370:O395)</f>
        <v>217027.5891033</v>
      </c>
      <c r="Q370" s="50" t="s">
        <v>50</v>
      </c>
      <c r="R370" s="67">
        <f>SUM(157394/4447.5)*H370</f>
        <v>3149.64946599213</v>
      </c>
      <c r="S370" s="67"/>
      <c r="T370" s="67">
        <v>0</v>
      </c>
      <c r="U370" s="67"/>
      <c r="V370" s="67"/>
      <c r="W370" s="89">
        <f t="shared" ref="W370:W395" si="174">SUM(R370:V370)</f>
        <v>3149.64946599213</v>
      </c>
      <c r="X370" s="90">
        <f>SUM(2800.83/4447.5)*H370</f>
        <v>56.0480876897133</v>
      </c>
      <c r="Y370" s="90"/>
      <c r="Z370" s="90"/>
      <c r="AA370" s="90">
        <f t="shared" ref="AA370:AA395" si="175">SUM(X370:Z370)</f>
        <v>56.0480876897133</v>
      </c>
      <c r="AB370" s="107">
        <v>7.19</v>
      </c>
      <c r="AC370" s="67">
        <f t="shared" si="170"/>
        <v>402.985750489039</v>
      </c>
      <c r="AD370" s="67">
        <f t="shared" si="171"/>
        <v>3552.63521648117</v>
      </c>
      <c r="AE370" s="67">
        <f t="shared" si="172"/>
        <v>897.32768351883</v>
      </c>
    </row>
    <row r="371" customFormat="1" spans="1:31">
      <c r="A371" s="18"/>
      <c r="B371" s="19"/>
      <c r="C371" s="20">
        <v>240126000022</v>
      </c>
      <c r="D371" s="21">
        <v>45332</v>
      </c>
      <c r="E371" s="21" t="s">
        <v>44</v>
      </c>
      <c r="F371" s="19" t="s">
        <v>44</v>
      </c>
      <c r="G371" s="19" t="s">
        <v>314</v>
      </c>
      <c r="H371" s="19">
        <v>37</v>
      </c>
      <c r="I371" s="53"/>
      <c r="J371" s="61">
        <v>470444</v>
      </c>
      <c r="K371" s="55"/>
      <c r="L371" s="61">
        <f t="shared" si="173"/>
        <v>1597.81272288829</v>
      </c>
      <c r="M371" s="62">
        <v>294.43</v>
      </c>
      <c r="N371" s="48">
        <v>7.19</v>
      </c>
      <c r="O371" s="49">
        <f t="shared" si="169"/>
        <v>2116.9517</v>
      </c>
      <c r="P371" s="51"/>
      <c r="Q371" s="51"/>
      <c r="R371" s="67">
        <f t="shared" ref="R371:R395" si="176">SUM(157394/4447.5)*H371</f>
        <v>1309.4048341765</v>
      </c>
      <c r="S371" s="67"/>
      <c r="T371" s="67">
        <v>0</v>
      </c>
      <c r="U371" s="67"/>
      <c r="V371" s="67"/>
      <c r="W371" s="89">
        <f t="shared" si="174"/>
        <v>1309.4048341765</v>
      </c>
      <c r="X371" s="90">
        <f t="shared" ref="X371:X395" si="177">SUM(2800.83/4447.5)*H371</f>
        <v>23.3008903878583</v>
      </c>
      <c r="Y371" s="90"/>
      <c r="Z371" s="90"/>
      <c r="AA371" s="90">
        <f t="shared" si="175"/>
        <v>23.3008903878583</v>
      </c>
      <c r="AB371" s="107">
        <v>7.19</v>
      </c>
      <c r="AC371" s="67">
        <f t="shared" si="170"/>
        <v>167.533401888701</v>
      </c>
      <c r="AD371" s="67">
        <f t="shared" si="171"/>
        <v>1476.9382360652</v>
      </c>
      <c r="AE371" s="67">
        <f t="shared" si="172"/>
        <v>640.0134639348</v>
      </c>
    </row>
    <row r="372" customFormat="1" spans="1:31">
      <c r="A372" s="18"/>
      <c r="B372" s="19"/>
      <c r="C372" s="20">
        <v>240127000021</v>
      </c>
      <c r="D372" s="21">
        <v>45332</v>
      </c>
      <c r="E372" s="21" t="s">
        <v>62</v>
      </c>
      <c r="F372" s="19" t="s">
        <v>315</v>
      </c>
      <c r="G372" s="19" t="s">
        <v>209</v>
      </c>
      <c r="H372" s="19">
        <v>147</v>
      </c>
      <c r="I372" s="49"/>
      <c r="J372" s="65">
        <v>1523486</v>
      </c>
      <c r="K372" s="66"/>
      <c r="L372" s="61">
        <f t="shared" si="173"/>
        <v>1548.10064545263</v>
      </c>
      <c r="M372" s="62">
        <v>984.1001</v>
      </c>
      <c r="N372" s="119">
        <v>7.19</v>
      </c>
      <c r="O372" s="49">
        <f t="shared" si="169"/>
        <v>7075.679719</v>
      </c>
      <c r="P372" s="51"/>
      <c r="Q372" s="51"/>
      <c r="R372" s="67">
        <f t="shared" si="176"/>
        <v>5202.23001686341</v>
      </c>
      <c r="S372" s="67"/>
      <c r="T372" s="67">
        <v>0</v>
      </c>
      <c r="U372" s="67"/>
      <c r="V372" s="67"/>
      <c r="W372" s="89">
        <f t="shared" si="174"/>
        <v>5202.23001686341</v>
      </c>
      <c r="X372" s="90">
        <f t="shared" si="177"/>
        <v>92.5738077571669</v>
      </c>
      <c r="Y372" s="90"/>
      <c r="Z372" s="90"/>
      <c r="AA372" s="90">
        <f t="shared" si="175"/>
        <v>92.5738077571669</v>
      </c>
      <c r="AB372" s="107">
        <v>7.19</v>
      </c>
      <c r="AC372" s="67">
        <f t="shared" si="170"/>
        <v>665.60567777403</v>
      </c>
      <c r="AD372" s="67">
        <f t="shared" si="171"/>
        <v>5867.83569463744</v>
      </c>
      <c r="AE372" s="67">
        <f t="shared" si="172"/>
        <v>1207.84402436256</v>
      </c>
    </row>
    <row r="373" customFormat="1" spans="1:31">
      <c r="A373" s="18"/>
      <c r="B373" s="19"/>
      <c r="C373" s="20">
        <v>240128000004</v>
      </c>
      <c r="D373" s="21">
        <v>45332</v>
      </c>
      <c r="E373" s="21" t="s">
        <v>44</v>
      </c>
      <c r="F373" s="19" t="s">
        <v>44</v>
      </c>
      <c r="G373" s="19" t="s">
        <v>316</v>
      </c>
      <c r="H373" s="19">
        <v>47.5</v>
      </c>
      <c r="I373" s="44">
        <v>2137.5</v>
      </c>
      <c r="J373" s="45"/>
      <c r="K373" s="46"/>
      <c r="L373" s="45"/>
      <c r="M373" s="47"/>
      <c r="N373" s="48"/>
      <c r="O373" s="49">
        <f t="shared" ref="O373:O376" si="178">SUM(I373)</f>
        <v>2137.5</v>
      </c>
      <c r="P373" s="51"/>
      <c r="Q373" s="51"/>
      <c r="R373" s="67">
        <f t="shared" si="176"/>
        <v>1680.99269252389</v>
      </c>
      <c r="S373" s="67"/>
      <c r="T373" s="67">
        <v>0</v>
      </c>
      <c r="U373" s="67"/>
      <c r="V373" s="67"/>
      <c r="W373" s="89">
        <f t="shared" si="174"/>
        <v>1680.99269252389</v>
      </c>
      <c r="X373" s="90">
        <f t="shared" si="177"/>
        <v>29.913305227656</v>
      </c>
      <c r="Y373" s="90"/>
      <c r="Z373" s="90"/>
      <c r="AA373" s="90">
        <f t="shared" si="175"/>
        <v>29.913305227656</v>
      </c>
      <c r="AB373" s="107">
        <v>7.19</v>
      </c>
      <c r="AC373" s="67">
        <f t="shared" si="170"/>
        <v>215.076664586847</v>
      </c>
      <c r="AD373" s="67">
        <f t="shared" si="171"/>
        <v>1896.06935711074</v>
      </c>
      <c r="AE373" s="67">
        <f t="shared" si="172"/>
        <v>241.43064288926</v>
      </c>
    </row>
    <row r="374" customFormat="1" spans="1:31">
      <c r="A374" s="18"/>
      <c r="B374" s="19"/>
      <c r="C374" s="20">
        <v>240129000006</v>
      </c>
      <c r="D374" s="21">
        <v>45332</v>
      </c>
      <c r="E374" s="21" t="s">
        <v>37</v>
      </c>
      <c r="F374" s="19" t="s">
        <v>38</v>
      </c>
      <c r="G374" s="19" t="s">
        <v>317</v>
      </c>
      <c r="H374" s="19">
        <v>1756</v>
      </c>
      <c r="I374" s="44">
        <v>75280</v>
      </c>
      <c r="J374" s="45"/>
      <c r="K374" s="46"/>
      <c r="L374" s="45"/>
      <c r="M374" s="47"/>
      <c r="N374" s="48"/>
      <c r="O374" s="49">
        <f t="shared" si="178"/>
        <v>75280</v>
      </c>
      <c r="P374" s="51"/>
      <c r="Q374" s="51"/>
      <c r="R374" s="67">
        <f t="shared" si="176"/>
        <v>62143.64564362</v>
      </c>
      <c r="S374" s="67"/>
      <c r="T374" s="67">
        <v>0</v>
      </c>
      <c r="U374" s="67"/>
      <c r="V374" s="67"/>
      <c r="W374" s="89">
        <f t="shared" si="174"/>
        <v>62143.64564362</v>
      </c>
      <c r="X374" s="90">
        <f t="shared" si="177"/>
        <v>1105.84766273187</v>
      </c>
      <c r="Y374" s="90"/>
      <c r="Z374" s="90"/>
      <c r="AA374" s="90">
        <f t="shared" si="175"/>
        <v>1105.84766273187</v>
      </c>
      <c r="AB374" s="107">
        <v>7.19</v>
      </c>
      <c r="AC374" s="67">
        <f t="shared" si="170"/>
        <v>7951.04469504215</v>
      </c>
      <c r="AD374" s="67">
        <f t="shared" si="171"/>
        <v>70094.6903386622</v>
      </c>
      <c r="AE374" s="67">
        <f t="shared" si="172"/>
        <v>5185.3096613378</v>
      </c>
    </row>
    <row r="375" customFormat="1" spans="1:31">
      <c r="A375" s="18"/>
      <c r="B375" s="19"/>
      <c r="C375" s="20">
        <v>240129000029</v>
      </c>
      <c r="D375" s="21">
        <v>45332</v>
      </c>
      <c r="E375" s="21" t="s">
        <v>41</v>
      </c>
      <c r="F375" s="19" t="s">
        <v>42</v>
      </c>
      <c r="G375" s="19" t="s">
        <v>163</v>
      </c>
      <c r="H375" s="19">
        <v>115</v>
      </c>
      <c r="I375" s="53"/>
      <c r="J375" s="61">
        <v>1543700</v>
      </c>
      <c r="K375" s="55"/>
      <c r="L375" s="61">
        <f t="shared" si="173"/>
        <v>1545.86420989385</v>
      </c>
      <c r="M375" s="62">
        <v>998.6</v>
      </c>
      <c r="N375" s="68">
        <v>7.19</v>
      </c>
      <c r="O375" s="49">
        <f>SUM(M375*N375)</f>
        <v>7179.934</v>
      </c>
      <c r="P375" s="51"/>
      <c r="Q375" s="51"/>
      <c r="R375" s="67">
        <f t="shared" si="176"/>
        <v>4069.77178189994</v>
      </c>
      <c r="S375" s="67"/>
      <c r="T375" s="67">
        <v>0</v>
      </c>
      <c r="U375" s="67">
        <f>SUM(60+40)</f>
        <v>100</v>
      </c>
      <c r="V375" s="91">
        <f>SUM(258+152)</f>
        <v>410</v>
      </c>
      <c r="W375" s="89">
        <f t="shared" si="174"/>
        <v>4579.77178189994</v>
      </c>
      <c r="X375" s="90">
        <f t="shared" si="177"/>
        <v>72.4216863406408</v>
      </c>
      <c r="Y375" s="90"/>
      <c r="Z375" s="90"/>
      <c r="AA375" s="90">
        <f t="shared" si="175"/>
        <v>72.4216863406408</v>
      </c>
      <c r="AB375" s="107">
        <v>7.19</v>
      </c>
      <c r="AC375" s="67">
        <f t="shared" si="170"/>
        <v>520.711924789207</v>
      </c>
      <c r="AD375" s="67">
        <f t="shared" si="171"/>
        <v>5100.48370668915</v>
      </c>
      <c r="AE375" s="67">
        <f t="shared" si="172"/>
        <v>2079.45029331085</v>
      </c>
    </row>
    <row r="376" customFormat="1" spans="1:31">
      <c r="A376" s="18"/>
      <c r="B376" s="19"/>
      <c r="C376" s="20">
        <v>240129000056</v>
      </c>
      <c r="D376" s="21">
        <v>45332</v>
      </c>
      <c r="E376" s="21" t="s">
        <v>41</v>
      </c>
      <c r="F376" s="19" t="s">
        <v>42</v>
      </c>
      <c r="G376" s="19" t="s">
        <v>318</v>
      </c>
      <c r="H376" s="19">
        <v>145</v>
      </c>
      <c r="I376" s="44">
        <v>9295</v>
      </c>
      <c r="J376" s="45"/>
      <c r="K376" s="46"/>
      <c r="L376" s="45"/>
      <c r="M376" s="47"/>
      <c r="N376" s="48"/>
      <c r="O376" s="49">
        <f t="shared" si="178"/>
        <v>9295</v>
      </c>
      <c r="P376" s="51"/>
      <c r="Q376" s="51"/>
      <c r="R376" s="67">
        <f t="shared" si="176"/>
        <v>5131.45137717819</v>
      </c>
      <c r="S376" s="67"/>
      <c r="T376" s="67">
        <v>0</v>
      </c>
      <c r="U376" s="67"/>
      <c r="V376" s="67"/>
      <c r="W376" s="89">
        <f t="shared" si="174"/>
        <v>5131.45137717819</v>
      </c>
      <c r="X376" s="90">
        <f t="shared" si="177"/>
        <v>91.3143001686341</v>
      </c>
      <c r="Y376" s="90"/>
      <c r="Z376" s="90"/>
      <c r="AA376" s="90">
        <f t="shared" si="175"/>
        <v>91.3143001686341</v>
      </c>
      <c r="AB376" s="107">
        <v>7.19</v>
      </c>
      <c r="AC376" s="67">
        <f t="shared" si="170"/>
        <v>656.549818212479</v>
      </c>
      <c r="AD376" s="67">
        <f t="shared" si="171"/>
        <v>5788.00119539067</v>
      </c>
      <c r="AE376" s="67">
        <f t="shared" si="172"/>
        <v>3506.99880460933</v>
      </c>
    </row>
    <row r="377" customFormat="1" spans="1:31">
      <c r="A377" s="18"/>
      <c r="B377" s="19"/>
      <c r="C377" s="20">
        <v>240129000057</v>
      </c>
      <c r="D377" s="21">
        <v>45332</v>
      </c>
      <c r="E377" s="21" t="s">
        <v>62</v>
      </c>
      <c r="F377" s="19" t="s">
        <v>63</v>
      </c>
      <c r="G377" s="19" t="s">
        <v>212</v>
      </c>
      <c r="H377" s="19">
        <v>423</v>
      </c>
      <c r="I377" s="49"/>
      <c r="J377" s="65">
        <v>5906700</v>
      </c>
      <c r="K377" s="66"/>
      <c r="L377" s="61">
        <f t="shared" ref="L377:L381" si="179">SUM(J377/M377)</f>
        <v>1800</v>
      </c>
      <c r="M377" s="62">
        <v>3281.5</v>
      </c>
      <c r="N377" s="48">
        <v>7.19</v>
      </c>
      <c r="O377" s="49">
        <f t="shared" ref="O377:O381" si="180">SUM(M377*N377)</f>
        <v>23593.985</v>
      </c>
      <c r="P377" s="51"/>
      <c r="Q377" s="51"/>
      <c r="R377" s="67">
        <f t="shared" si="176"/>
        <v>14969.6822934233</v>
      </c>
      <c r="S377" s="67"/>
      <c r="T377" s="67">
        <v>0</v>
      </c>
      <c r="U377" s="67">
        <v>360</v>
      </c>
      <c r="V377" s="67"/>
      <c r="W377" s="89">
        <f t="shared" si="174"/>
        <v>15329.6822934233</v>
      </c>
      <c r="X377" s="90">
        <f t="shared" si="177"/>
        <v>266.385854974705</v>
      </c>
      <c r="Y377" s="90"/>
      <c r="Z377" s="90"/>
      <c r="AA377" s="90">
        <f t="shared" si="175"/>
        <v>266.385854974705</v>
      </c>
      <c r="AB377" s="107">
        <v>7.19</v>
      </c>
      <c r="AC377" s="67">
        <f t="shared" si="170"/>
        <v>1915.31429726813</v>
      </c>
      <c r="AD377" s="67">
        <f t="shared" si="171"/>
        <v>17244.9965906914</v>
      </c>
      <c r="AE377" s="67">
        <f t="shared" si="172"/>
        <v>6348.9884093086</v>
      </c>
    </row>
    <row r="378" customFormat="1" spans="1:31">
      <c r="A378" s="18"/>
      <c r="B378" s="19"/>
      <c r="C378" s="20">
        <v>240129000074</v>
      </c>
      <c r="D378" s="21">
        <v>45332</v>
      </c>
      <c r="E378" s="21" t="s">
        <v>41</v>
      </c>
      <c r="F378" s="19" t="s">
        <v>42</v>
      </c>
      <c r="G378" s="19" t="s">
        <v>319</v>
      </c>
      <c r="H378" s="19">
        <v>42.5</v>
      </c>
      <c r="I378" s="44">
        <v>1997.5</v>
      </c>
      <c r="J378" s="45"/>
      <c r="K378" s="46"/>
      <c r="L378" s="45"/>
      <c r="M378" s="47"/>
      <c r="N378" s="48"/>
      <c r="O378" s="49">
        <f t="shared" ref="O378:O383" si="181">SUM(I378)</f>
        <v>1997.5</v>
      </c>
      <c r="P378" s="51"/>
      <c r="Q378" s="51"/>
      <c r="R378" s="67">
        <f t="shared" si="176"/>
        <v>1504.04609331085</v>
      </c>
      <c r="S378" s="67"/>
      <c r="T378" s="67">
        <v>0</v>
      </c>
      <c r="U378" s="67"/>
      <c r="V378" s="67"/>
      <c r="W378" s="89">
        <f t="shared" si="174"/>
        <v>1504.04609331085</v>
      </c>
      <c r="X378" s="90">
        <f t="shared" si="177"/>
        <v>26.7645362563238</v>
      </c>
      <c r="Y378" s="90"/>
      <c r="Z378" s="90"/>
      <c r="AA378" s="90">
        <f t="shared" si="175"/>
        <v>26.7645362563238</v>
      </c>
      <c r="AB378" s="107">
        <v>7.19</v>
      </c>
      <c r="AC378" s="67">
        <f t="shared" si="170"/>
        <v>192.437015682968</v>
      </c>
      <c r="AD378" s="67">
        <f t="shared" si="171"/>
        <v>1696.48310899382</v>
      </c>
      <c r="AE378" s="67">
        <f t="shared" si="172"/>
        <v>301.01689100618</v>
      </c>
    </row>
    <row r="379" customFormat="1" spans="1:31">
      <c r="A379" s="18"/>
      <c r="B379" s="19"/>
      <c r="C379" s="20">
        <v>240129000082</v>
      </c>
      <c r="D379" s="21">
        <v>45332</v>
      </c>
      <c r="E379" s="21" t="s">
        <v>44</v>
      </c>
      <c r="F379" s="19" t="s">
        <v>44</v>
      </c>
      <c r="G379" s="19" t="s">
        <v>320</v>
      </c>
      <c r="H379" s="19">
        <v>6.5</v>
      </c>
      <c r="I379" s="44">
        <v>292.5</v>
      </c>
      <c r="J379" s="45"/>
      <c r="K379" s="46"/>
      <c r="L379" s="45"/>
      <c r="M379" s="47"/>
      <c r="N379" s="48"/>
      <c r="O379" s="49">
        <f t="shared" si="181"/>
        <v>292.5</v>
      </c>
      <c r="P379" s="51"/>
      <c r="Q379" s="51"/>
      <c r="R379" s="67">
        <f t="shared" si="176"/>
        <v>230.030578976953</v>
      </c>
      <c r="S379" s="67"/>
      <c r="T379" s="67">
        <v>0</v>
      </c>
      <c r="U379" s="67"/>
      <c r="V379" s="67"/>
      <c r="W379" s="89">
        <f t="shared" si="174"/>
        <v>230.030578976953</v>
      </c>
      <c r="X379" s="90">
        <f t="shared" si="177"/>
        <v>4.09339966273187</v>
      </c>
      <c r="Y379" s="90"/>
      <c r="Z379" s="90"/>
      <c r="AA379" s="90">
        <f t="shared" si="175"/>
        <v>4.09339966273187</v>
      </c>
      <c r="AB379" s="107">
        <v>7.19</v>
      </c>
      <c r="AC379" s="67">
        <f t="shared" si="170"/>
        <v>29.4315435750421</v>
      </c>
      <c r="AD379" s="67">
        <f t="shared" si="171"/>
        <v>259.462122551995</v>
      </c>
      <c r="AE379" s="67">
        <f t="shared" si="172"/>
        <v>33.037877448005</v>
      </c>
    </row>
    <row r="380" customFormat="1" spans="1:31">
      <c r="A380" s="18"/>
      <c r="B380" s="19"/>
      <c r="C380" s="20">
        <v>240130000009</v>
      </c>
      <c r="D380" s="21">
        <v>45332</v>
      </c>
      <c r="E380" s="21" t="s">
        <v>41</v>
      </c>
      <c r="F380" s="19" t="s">
        <v>42</v>
      </c>
      <c r="G380" s="19" t="s">
        <v>180</v>
      </c>
      <c r="H380" s="19">
        <v>182</v>
      </c>
      <c r="I380" s="53"/>
      <c r="J380" s="61">
        <v>2063152</v>
      </c>
      <c r="K380" s="55"/>
      <c r="L380" s="61">
        <f t="shared" si="179"/>
        <v>1567.42309708494</v>
      </c>
      <c r="M380" s="62">
        <v>1316.27</v>
      </c>
      <c r="N380" s="48">
        <v>7.19</v>
      </c>
      <c r="O380" s="49">
        <f t="shared" si="180"/>
        <v>9463.9813</v>
      </c>
      <c r="P380" s="51"/>
      <c r="Q380" s="51"/>
      <c r="R380" s="67">
        <f t="shared" si="176"/>
        <v>6440.85621135469</v>
      </c>
      <c r="S380" s="67"/>
      <c r="T380" s="67">
        <v>0</v>
      </c>
      <c r="U380" s="67"/>
      <c r="V380" s="67"/>
      <c r="W380" s="89">
        <f t="shared" si="174"/>
        <v>6440.85621135469</v>
      </c>
      <c r="X380" s="90">
        <f t="shared" si="177"/>
        <v>114.615190556492</v>
      </c>
      <c r="Y380" s="90"/>
      <c r="Z380" s="90"/>
      <c r="AA380" s="90">
        <f t="shared" si="175"/>
        <v>114.615190556492</v>
      </c>
      <c r="AB380" s="107">
        <v>7.19</v>
      </c>
      <c r="AC380" s="67">
        <f t="shared" si="170"/>
        <v>824.083220101178</v>
      </c>
      <c r="AD380" s="67">
        <f t="shared" si="171"/>
        <v>7264.93943145587</v>
      </c>
      <c r="AE380" s="67">
        <f t="shared" si="172"/>
        <v>2199.04186854413</v>
      </c>
    </row>
    <row r="381" customFormat="1" spans="1:31">
      <c r="A381" s="18"/>
      <c r="B381" s="19"/>
      <c r="C381" s="20">
        <v>240130000019</v>
      </c>
      <c r="D381" s="21">
        <v>45332</v>
      </c>
      <c r="E381" s="21" t="s">
        <v>41</v>
      </c>
      <c r="F381" s="19" t="s">
        <v>42</v>
      </c>
      <c r="G381" s="19" t="s">
        <v>163</v>
      </c>
      <c r="H381" s="19">
        <v>105</v>
      </c>
      <c r="I381" s="53"/>
      <c r="J381" s="61">
        <v>1219050</v>
      </c>
      <c r="K381" s="55"/>
      <c r="L381" s="61">
        <f t="shared" si="179"/>
        <v>1545.8603329994</v>
      </c>
      <c r="M381" s="62">
        <v>788.59</v>
      </c>
      <c r="N381" s="68">
        <v>7.19</v>
      </c>
      <c r="O381" s="49">
        <f t="shared" si="180"/>
        <v>5669.9621</v>
      </c>
      <c r="P381" s="51"/>
      <c r="Q381" s="51"/>
      <c r="R381" s="67">
        <f t="shared" si="176"/>
        <v>3715.87858347386</v>
      </c>
      <c r="S381" s="67"/>
      <c r="T381" s="67">
        <v>0</v>
      </c>
      <c r="U381" s="67"/>
      <c r="V381" s="67"/>
      <c r="W381" s="89">
        <f t="shared" si="174"/>
        <v>3715.87858347386</v>
      </c>
      <c r="X381" s="90">
        <f t="shared" si="177"/>
        <v>66.1241483979764</v>
      </c>
      <c r="Y381" s="90"/>
      <c r="Z381" s="90"/>
      <c r="AA381" s="90">
        <f t="shared" si="175"/>
        <v>66.1241483979764</v>
      </c>
      <c r="AB381" s="107">
        <v>7.19</v>
      </c>
      <c r="AC381" s="67">
        <f t="shared" si="170"/>
        <v>475.43262698145</v>
      </c>
      <c r="AD381" s="67">
        <f t="shared" si="171"/>
        <v>4191.31121045531</v>
      </c>
      <c r="AE381" s="67">
        <f t="shared" si="172"/>
        <v>1478.65088954469</v>
      </c>
    </row>
    <row r="382" customFormat="1" spans="1:31">
      <c r="A382" s="18"/>
      <c r="B382" s="19"/>
      <c r="C382" s="20">
        <v>240130000021</v>
      </c>
      <c r="D382" s="21">
        <v>45332</v>
      </c>
      <c r="E382" s="21" t="s">
        <v>44</v>
      </c>
      <c r="F382" s="19" t="s">
        <v>44</v>
      </c>
      <c r="G382" s="19" t="s">
        <v>68</v>
      </c>
      <c r="H382" s="19">
        <v>64.5</v>
      </c>
      <c r="I382" s="44">
        <v>3645</v>
      </c>
      <c r="J382" s="45"/>
      <c r="K382" s="46"/>
      <c r="L382" s="45"/>
      <c r="M382" s="47"/>
      <c r="N382" s="48"/>
      <c r="O382" s="49">
        <f t="shared" si="181"/>
        <v>3645</v>
      </c>
      <c r="P382" s="51"/>
      <c r="Q382" s="51"/>
      <c r="R382" s="67">
        <f t="shared" si="176"/>
        <v>2282.61112984823</v>
      </c>
      <c r="S382" s="67"/>
      <c r="T382" s="67">
        <v>0</v>
      </c>
      <c r="U382" s="67"/>
      <c r="V382" s="67"/>
      <c r="W382" s="89">
        <f t="shared" si="174"/>
        <v>2282.61112984823</v>
      </c>
      <c r="X382" s="90">
        <f t="shared" si="177"/>
        <v>40.6191197301855</v>
      </c>
      <c r="Y382" s="90"/>
      <c r="Z382" s="90"/>
      <c r="AA382" s="90">
        <f t="shared" si="175"/>
        <v>40.6191197301855</v>
      </c>
      <c r="AB382" s="107">
        <v>7.19</v>
      </c>
      <c r="AC382" s="67">
        <f t="shared" si="170"/>
        <v>292.051470860034</v>
      </c>
      <c r="AD382" s="67">
        <f t="shared" si="171"/>
        <v>2574.66260070826</v>
      </c>
      <c r="AE382" s="67">
        <f t="shared" si="172"/>
        <v>1070.33739929174</v>
      </c>
    </row>
    <row r="383" customFormat="1" spans="1:31">
      <c r="A383" s="18"/>
      <c r="B383" s="19"/>
      <c r="C383" s="20">
        <v>240131000004</v>
      </c>
      <c r="D383" s="21">
        <v>45332</v>
      </c>
      <c r="E383" s="21" t="s">
        <v>76</v>
      </c>
      <c r="F383" s="19" t="s">
        <v>77</v>
      </c>
      <c r="G383" s="19" t="s">
        <v>244</v>
      </c>
      <c r="H383" s="19">
        <v>196.5</v>
      </c>
      <c r="I383" s="44">
        <v>9825</v>
      </c>
      <c r="J383" s="45"/>
      <c r="K383" s="46"/>
      <c r="L383" s="45"/>
      <c r="M383" s="47"/>
      <c r="N383" s="48"/>
      <c r="O383" s="49">
        <f t="shared" si="181"/>
        <v>9825</v>
      </c>
      <c r="P383" s="51"/>
      <c r="Q383" s="51"/>
      <c r="R383" s="67">
        <f t="shared" si="176"/>
        <v>6954.00134907251</v>
      </c>
      <c r="S383" s="67"/>
      <c r="T383" s="67">
        <v>0</v>
      </c>
      <c r="U383" s="67"/>
      <c r="V383" s="67"/>
      <c r="W383" s="89">
        <f t="shared" si="174"/>
        <v>6954.00134907251</v>
      </c>
      <c r="X383" s="90">
        <f t="shared" si="177"/>
        <v>123.746620573356</v>
      </c>
      <c r="Y383" s="90"/>
      <c r="Z383" s="90"/>
      <c r="AA383" s="90">
        <f t="shared" si="175"/>
        <v>123.746620573356</v>
      </c>
      <c r="AB383" s="107">
        <v>7.19</v>
      </c>
      <c r="AC383" s="67">
        <f t="shared" si="170"/>
        <v>889.73820192243</v>
      </c>
      <c r="AD383" s="67">
        <f t="shared" si="171"/>
        <v>7843.73955099494</v>
      </c>
      <c r="AE383" s="67">
        <f t="shared" si="172"/>
        <v>1981.26044900506</v>
      </c>
    </row>
    <row r="384" customFormat="1" spans="1:31">
      <c r="A384" s="18"/>
      <c r="B384" s="19"/>
      <c r="C384" s="20">
        <v>240131000011</v>
      </c>
      <c r="D384" s="21">
        <v>45332</v>
      </c>
      <c r="E384" s="21" t="s">
        <v>41</v>
      </c>
      <c r="F384" s="19" t="s">
        <v>42</v>
      </c>
      <c r="G384" s="19" t="s">
        <v>59</v>
      </c>
      <c r="H384" s="19">
        <v>2.5</v>
      </c>
      <c r="I384" s="53"/>
      <c r="J384" s="61">
        <v>34008</v>
      </c>
      <c r="K384" s="55"/>
      <c r="L384" s="61">
        <f>SUM(J384/M384)</f>
        <v>1567.91147994467</v>
      </c>
      <c r="M384" s="62">
        <v>21.69</v>
      </c>
      <c r="N384" s="48">
        <v>7.19</v>
      </c>
      <c r="O384" s="49">
        <f>SUM(M384*N384)</f>
        <v>155.9511</v>
      </c>
      <c r="P384" s="51"/>
      <c r="Q384" s="51"/>
      <c r="R384" s="67">
        <f t="shared" si="176"/>
        <v>88.4732996065205</v>
      </c>
      <c r="S384" s="67"/>
      <c r="T384" s="67">
        <v>0</v>
      </c>
      <c r="U384" s="67"/>
      <c r="V384" s="91">
        <v>31</v>
      </c>
      <c r="W384" s="89">
        <f t="shared" si="174"/>
        <v>119.473299606521</v>
      </c>
      <c r="X384" s="90">
        <f t="shared" si="177"/>
        <v>1.5743844856661</v>
      </c>
      <c r="Y384" s="90"/>
      <c r="Z384" s="90"/>
      <c r="AA384" s="90">
        <f t="shared" si="175"/>
        <v>1.5743844856661</v>
      </c>
      <c r="AB384" s="107">
        <v>7.19</v>
      </c>
      <c r="AC384" s="67">
        <f t="shared" si="170"/>
        <v>11.3198244519393</v>
      </c>
      <c r="AD384" s="67">
        <f t="shared" si="171"/>
        <v>130.79312405846</v>
      </c>
      <c r="AE384" s="67">
        <f t="shared" si="172"/>
        <v>25.15797594154</v>
      </c>
    </row>
    <row r="385" customFormat="1" spans="1:31">
      <c r="A385" s="18"/>
      <c r="B385" s="19"/>
      <c r="C385" s="20">
        <v>240131000044</v>
      </c>
      <c r="D385" s="21">
        <v>45332</v>
      </c>
      <c r="E385" s="21" t="s">
        <v>56</v>
      </c>
      <c r="F385" s="19" t="s">
        <v>114</v>
      </c>
      <c r="G385" s="19" t="s">
        <v>321</v>
      </c>
      <c r="H385" s="19">
        <v>63</v>
      </c>
      <c r="I385" s="44">
        <v>3093</v>
      </c>
      <c r="J385" s="45"/>
      <c r="K385" s="46"/>
      <c r="L385" s="45"/>
      <c r="M385" s="47"/>
      <c r="N385" s="48"/>
      <c r="O385" s="49">
        <f t="shared" ref="O385:O389" si="182">SUM(I385)</f>
        <v>3093</v>
      </c>
      <c r="P385" s="51"/>
      <c r="Q385" s="51"/>
      <c r="R385" s="67">
        <f t="shared" si="176"/>
        <v>2229.52715008432</v>
      </c>
      <c r="S385" s="67"/>
      <c r="T385" s="67">
        <v>0</v>
      </c>
      <c r="U385" s="67"/>
      <c r="V385" s="67"/>
      <c r="W385" s="89">
        <f t="shared" si="174"/>
        <v>2229.52715008432</v>
      </c>
      <c r="X385" s="90">
        <f t="shared" si="177"/>
        <v>39.6744890387858</v>
      </c>
      <c r="Y385" s="90"/>
      <c r="Z385" s="90"/>
      <c r="AA385" s="90">
        <f t="shared" si="175"/>
        <v>39.6744890387858</v>
      </c>
      <c r="AB385" s="107">
        <v>7.19</v>
      </c>
      <c r="AC385" s="67">
        <f t="shared" si="170"/>
        <v>285.25957618887</v>
      </c>
      <c r="AD385" s="67">
        <f t="shared" si="171"/>
        <v>2514.78672627319</v>
      </c>
      <c r="AE385" s="67">
        <f t="shared" si="172"/>
        <v>578.21327372681</v>
      </c>
    </row>
    <row r="386" customFormat="1" spans="1:31">
      <c r="A386" s="18"/>
      <c r="B386" s="19"/>
      <c r="C386" s="20">
        <v>240201000003</v>
      </c>
      <c r="D386" s="21">
        <v>45332</v>
      </c>
      <c r="E386" s="21" t="s">
        <v>76</v>
      </c>
      <c r="F386" s="19" t="s">
        <v>77</v>
      </c>
      <c r="G386" s="19" t="s">
        <v>244</v>
      </c>
      <c r="H386" s="19">
        <v>216.5</v>
      </c>
      <c r="I386" s="44">
        <v>11325</v>
      </c>
      <c r="J386" s="45"/>
      <c r="K386" s="46"/>
      <c r="L386" s="45"/>
      <c r="M386" s="47"/>
      <c r="N386" s="48"/>
      <c r="O386" s="49">
        <f t="shared" si="182"/>
        <v>11325</v>
      </c>
      <c r="P386" s="51"/>
      <c r="Q386" s="51"/>
      <c r="R386" s="67">
        <f t="shared" si="176"/>
        <v>7661.78774592468</v>
      </c>
      <c r="S386" s="67"/>
      <c r="T386" s="67">
        <v>0</v>
      </c>
      <c r="U386" s="67"/>
      <c r="V386" s="67"/>
      <c r="W386" s="89">
        <f t="shared" si="174"/>
        <v>7661.78774592468</v>
      </c>
      <c r="X386" s="90">
        <f t="shared" si="177"/>
        <v>136.341696458685</v>
      </c>
      <c r="Y386" s="90">
        <v>69</v>
      </c>
      <c r="Z386" s="90"/>
      <c r="AA386" s="90">
        <f t="shared" si="175"/>
        <v>205.341696458685</v>
      </c>
      <c r="AB386" s="107">
        <v>7.19</v>
      </c>
      <c r="AC386" s="67">
        <f t="shared" si="170"/>
        <v>1476.40679753795</v>
      </c>
      <c r="AD386" s="67">
        <f t="shared" si="171"/>
        <v>9138.19454346262</v>
      </c>
      <c r="AE386" s="67">
        <f t="shared" si="172"/>
        <v>2186.80545653738</v>
      </c>
    </row>
    <row r="387" customFormat="1" spans="1:31">
      <c r="A387" s="18"/>
      <c r="B387" s="19"/>
      <c r="C387" s="20">
        <v>240201000022</v>
      </c>
      <c r="D387" s="21">
        <v>45332</v>
      </c>
      <c r="E387" s="21" t="s">
        <v>76</v>
      </c>
      <c r="F387" s="19" t="s">
        <v>77</v>
      </c>
      <c r="G387" s="19" t="s">
        <v>244</v>
      </c>
      <c r="H387" s="19">
        <v>74</v>
      </c>
      <c r="I387" s="44">
        <v>3700</v>
      </c>
      <c r="J387" s="45"/>
      <c r="K387" s="46"/>
      <c r="L387" s="45"/>
      <c r="M387" s="47"/>
      <c r="N387" s="48"/>
      <c r="O387" s="49">
        <f t="shared" si="182"/>
        <v>3700</v>
      </c>
      <c r="P387" s="51"/>
      <c r="Q387" s="51"/>
      <c r="R387" s="67">
        <f t="shared" si="176"/>
        <v>2618.80966835301</v>
      </c>
      <c r="S387" s="67"/>
      <c r="T387" s="67">
        <v>0</v>
      </c>
      <c r="U387" s="67"/>
      <c r="V387" s="67"/>
      <c r="W387" s="89">
        <f t="shared" si="174"/>
        <v>2618.80966835301</v>
      </c>
      <c r="X387" s="90">
        <f t="shared" si="177"/>
        <v>46.6017807757167</v>
      </c>
      <c r="Y387" s="90"/>
      <c r="Z387" s="90"/>
      <c r="AA387" s="90">
        <f t="shared" si="175"/>
        <v>46.6017807757167</v>
      </c>
      <c r="AB387" s="107">
        <v>7.19</v>
      </c>
      <c r="AC387" s="67">
        <f t="shared" si="170"/>
        <v>335.066803777403</v>
      </c>
      <c r="AD387" s="67">
        <f t="shared" si="171"/>
        <v>2953.87647213041</v>
      </c>
      <c r="AE387" s="67">
        <f t="shared" si="172"/>
        <v>746.12352786959</v>
      </c>
    </row>
    <row r="388" customFormat="1" spans="1:31">
      <c r="A388" s="18"/>
      <c r="B388" s="19"/>
      <c r="C388" s="20">
        <v>240201000033</v>
      </c>
      <c r="D388" s="21">
        <v>45332</v>
      </c>
      <c r="E388" s="21" t="s">
        <v>56</v>
      </c>
      <c r="F388" s="19" t="s">
        <v>114</v>
      </c>
      <c r="G388" s="19" t="s">
        <v>322</v>
      </c>
      <c r="H388" s="19">
        <v>14.5</v>
      </c>
      <c r="I388" s="44">
        <v>846</v>
      </c>
      <c r="J388" s="45"/>
      <c r="K388" s="46"/>
      <c r="L388" s="45"/>
      <c r="M388" s="47"/>
      <c r="N388" s="48"/>
      <c r="O388" s="49">
        <f t="shared" si="182"/>
        <v>846</v>
      </c>
      <c r="P388" s="51"/>
      <c r="Q388" s="51"/>
      <c r="R388" s="67">
        <f t="shared" si="176"/>
        <v>513.145137717819</v>
      </c>
      <c r="S388" s="67"/>
      <c r="T388" s="67">
        <v>0</v>
      </c>
      <c r="U388" s="67"/>
      <c r="V388" s="67"/>
      <c r="W388" s="89">
        <f t="shared" si="174"/>
        <v>513.145137717819</v>
      </c>
      <c r="X388" s="90">
        <f t="shared" si="177"/>
        <v>9.13143001686341</v>
      </c>
      <c r="Y388" s="90"/>
      <c r="Z388" s="90"/>
      <c r="AA388" s="90">
        <f t="shared" si="175"/>
        <v>9.13143001686341</v>
      </c>
      <c r="AB388" s="107">
        <v>7.19</v>
      </c>
      <c r="AC388" s="67">
        <f t="shared" si="170"/>
        <v>65.6549818212479</v>
      </c>
      <c r="AD388" s="67">
        <f t="shared" si="171"/>
        <v>578.800119539067</v>
      </c>
      <c r="AE388" s="67">
        <f t="shared" si="172"/>
        <v>267.199880460933</v>
      </c>
    </row>
    <row r="389" customFormat="1" spans="1:31">
      <c r="A389" s="18"/>
      <c r="B389" s="19"/>
      <c r="C389" s="20">
        <v>240202000001</v>
      </c>
      <c r="D389" s="21">
        <v>45332</v>
      </c>
      <c r="E389" s="21" t="s">
        <v>76</v>
      </c>
      <c r="F389" s="19" t="s">
        <v>77</v>
      </c>
      <c r="G389" s="19" t="s">
        <v>323</v>
      </c>
      <c r="H389" s="19">
        <v>196.5</v>
      </c>
      <c r="I389" s="44">
        <v>9235.5</v>
      </c>
      <c r="J389" s="45"/>
      <c r="K389" s="46"/>
      <c r="L389" s="45"/>
      <c r="M389" s="47"/>
      <c r="N389" s="48"/>
      <c r="O389" s="49">
        <f t="shared" si="182"/>
        <v>9235.5</v>
      </c>
      <c r="P389" s="51"/>
      <c r="Q389" s="51"/>
      <c r="R389" s="67">
        <f t="shared" si="176"/>
        <v>6954.00134907251</v>
      </c>
      <c r="S389" s="67"/>
      <c r="T389" s="67">
        <v>0</v>
      </c>
      <c r="U389" s="67"/>
      <c r="V389" s="67"/>
      <c r="W389" s="89">
        <f t="shared" si="174"/>
        <v>6954.00134907251</v>
      </c>
      <c r="X389" s="90">
        <f t="shared" si="177"/>
        <v>123.746620573356</v>
      </c>
      <c r="Y389" s="90"/>
      <c r="Z389" s="90"/>
      <c r="AA389" s="90">
        <f t="shared" si="175"/>
        <v>123.746620573356</v>
      </c>
      <c r="AB389" s="107">
        <v>7.19</v>
      </c>
      <c r="AC389" s="67">
        <f t="shared" si="170"/>
        <v>889.73820192243</v>
      </c>
      <c r="AD389" s="67">
        <f t="shared" si="171"/>
        <v>7843.73955099494</v>
      </c>
      <c r="AE389" s="67">
        <f t="shared" si="172"/>
        <v>1391.76044900506</v>
      </c>
    </row>
    <row r="390" customFormat="1" spans="1:31">
      <c r="A390" s="18"/>
      <c r="B390" s="19"/>
      <c r="C390" s="20">
        <v>240202000016</v>
      </c>
      <c r="D390" s="21">
        <v>45332</v>
      </c>
      <c r="E390" s="21" t="s">
        <v>41</v>
      </c>
      <c r="F390" s="19" t="s">
        <v>42</v>
      </c>
      <c r="G390" s="19" t="s">
        <v>324</v>
      </c>
      <c r="H390" s="19">
        <v>123.5</v>
      </c>
      <c r="I390" s="53"/>
      <c r="J390" s="61">
        <v>1439100</v>
      </c>
      <c r="K390" s="55"/>
      <c r="L390" s="61">
        <f>SUM(J390/M390)</f>
        <v>1617.76608660461</v>
      </c>
      <c r="M390" s="62">
        <v>889.56</v>
      </c>
      <c r="N390" s="48">
        <v>7.19</v>
      </c>
      <c r="O390" s="49">
        <f t="shared" ref="O390:O394" si="183">SUM(M390*N390)</f>
        <v>6395.9364</v>
      </c>
      <c r="P390" s="51"/>
      <c r="Q390" s="51"/>
      <c r="R390" s="67">
        <f t="shared" si="176"/>
        <v>4370.58100056211</v>
      </c>
      <c r="S390" s="67"/>
      <c r="T390" s="67">
        <v>0</v>
      </c>
      <c r="U390" s="67"/>
      <c r="V390" s="67"/>
      <c r="W390" s="89">
        <f t="shared" si="174"/>
        <v>4370.58100056211</v>
      </c>
      <c r="X390" s="90">
        <f t="shared" si="177"/>
        <v>77.7745935919056</v>
      </c>
      <c r="Y390" s="90"/>
      <c r="Z390" s="90"/>
      <c r="AA390" s="90">
        <f t="shared" si="175"/>
        <v>77.7745935919056</v>
      </c>
      <c r="AB390" s="107">
        <v>7.19</v>
      </c>
      <c r="AC390" s="67">
        <f t="shared" si="170"/>
        <v>559.199327925801</v>
      </c>
      <c r="AD390" s="67">
        <f t="shared" si="171"/>
        <v>4929.78032848791</v>
      </c>
      <c r="AE390" s="67">
        <f t="shared" si="172"/>
        <v>1466.15607151209</v>
      </c>
    </row>
    <row r="391" customFormat="1" spans="1:31">
      <c r="A391" s="18"/>
      <c r="B391" s="19"/>
      <c r="C391" s="20">
        <v>240202000029</v>
      </c>
      <c r="D391" s="21">
        <v>45332</v>
      </c>
      <c r="E391" s="21" t="s">
        <v>62</v>
      </c>
      <c r="F391" s="19" t="s">
        <v>63</v>
      </c>
      <c r="G391" s="19" t="s">
        <v>187</v>
      </c>
      <c r="H391" s="19">
        <v>22.5</v>
      </c>
      <c r="I391" s="53"/>
      <c r="J391" s="61">
        <v>230535</v>
      </c>
      <c r="K391" s="55"/>
      <c r="L391" s="61">
        <f>SUM(J391/M391)</f>
        <v>1567.51886856599</v>
      </c>
      <c r="M391" s="62">
        <v>147.07</v>
      </c>
      <c r="N391" s="48">
        <v>7.19</v>
      </c>
      <c r="O391" s="49">
        <f t="shared" si="183"/>
        <v>1057.4333</v>
      </c>
      <c r="P391" s="51"/>
      <c r="Q391" s="51"/>
      <c r="R391" s="67">
        <f t="shared" si="176"/>
        <v>796.259696458685</v>
      </c>
      <c r="S391" s="67"/>
      <c r="T391" s="67">
        <v>0</v>
      </c>
      <c r="U391" s="67"/>
      <c r="V391" s="67"/>
      <c r="W391" s="89">
        <f t="shared" si="174"/>
        <v>796.259696458685</v>
      </c>
      <c r="X391" s="90">
        <f t="shared" si="177"/>
        <v>14.1694603709949</v>
      </c>
      <c r="Y391" s="90"/>
      <c r="Z391" s="90"/>
      <c r="AA391" s="90">
        <f t="shared" si="175"/>
        <v>14.1694603709949</v>
      </c>
      <c r="AB391" s="107">
        <v>7.19</v>
      </c>
      <c r="AC391" s="67">
        <f t="shared" si="170"/>
        <v>101.878420067453</v>
      </c>
      <c r="AD391" s="67">
        <f t="shared" si="171"/>
        <v>898.138116526138</v>
      </c>
      <c r="AE391" s="67">
        <f t="shared" si="172"/>
        <v>159.295183473862</v>
      </c>
    </row>
    <row r="392" customFormat="1" spans="1:31">
      <c r="A392" s="18"/>
      <c r="B392" s="19"/>
      <c r="C392" s="20">
        <v>240202000032</v>
      </c>
      <c r="D392" s="21">
        <v>45332</v>
      </c>
      <c r="E392" s="21" t="s">
        <v>37</v>
      </c>
      <c r="F392" s="19" t="s">
        <v>38</v>
      </c>
      <c r="G392" s="19" t="s">
        <v>123</v>
      </c>
      <c r="H392" s="19">
        <v>74.5</v>
      </c>
      <c r="I392" s="44">
        <v>3352.5</v>
      </c>
      <c r="J392" s="45"/>
      <c r="K392" s="46"/>
      <c r="L392" s="45"/>
      <c r="M392" s="47"/>
      <c r="N392" s="48"/>
      <c r="O392" s="49">
        <f t="shared" ref="O392:O396" si="184">SUM(I392)</f>
        <v>3352.5</v>
      </c>
      <c r="P392" s="51"/>
      <c r="Q392" s="51"/>
      <c r="R392" s="67">
        <f t="shared" si="176"/>
        <v>2636.50432827431</v>
      </c>
      <c r="S392" s="67"/>
      <c r="T392" s="67">
        <v>0</v>
      </c>
      <c r="U392" s="67"/>
      <c r="V392" s="67"/>
      <c r="W392" s="89">
        <f t="shared" si="174"/>
        <v>2636.50432827431</v>
      </c>
      <c r="X392" s="90">
        <f t="shared" si="177"/>
        <v>46.9166576728499</v>
      </c>
      <c r="Y392" s="90"/>
      <c r="Z392" s="90"/>
      <c r="AA392" s="90">
        <f t="shared" si="175"/>
        <v>46.9166576728499</v>
      </c>
      <c r="AB392" s="107">
        <v>7.19</v>
      </c>
      <c r="AC392" s="67">
        <f t="shared" si="170"/>
        <v>337.330768667791</v>
      </c>
      <c r="AD392" s="67">
        <f t="shared" si="171"/>
        <v>2973.8350969421</v>
      </c>
      <c r="AE392" s="67">
        <f t="shared" si="172"/>
        <v>378.6649030579</v>
      </c>
    </row>
    <row r="393" customFormat="1" spans="1:31">
      <c r="A393" s="18"/>
      <c r="B393" s="19"/>
      <c r="C393" s="20">
        <v>240202000039</v>
      </c>
      <c r="D393" s="21">
        <v>45332</v>
      </c>
      <c r="E393" s="21" t="s">
        <v>41</v>
      </c>
      <c r="F393" s="19" t="s">
        <v>42</v>
      </c>
      <c r="G393" s="19" t="s">
        <v>270</v>
      </c>
      <c r="H393" s="19">
        <v>135</v>
      </c>
      <c r="I393" s="53"/>
      <c r="J393" s="61">
        <v>1770020</v>
      </c>
      <c r="K393" s="55"/>
      <c r="L393" s="61">
        <f>SUM(J393/M393)</f>
        <v>1907.59580980299</v>
      </c>
      <c r="M393" s="62">
        <v>927.88</v>
      </c>
      <c r="N393" s="48">
        <v>7.19</v>
      </c>
      <c r="O393" s="49">
        <f t="shared" si="183"/>
        <v>6671.4572</v>
      </c>
      <c r="P393" s="51"/>
      <c r="Q393" s="51"/>
      <c r="R393" s="67">
        <f t="shared" si="176"/>
        <v>4777.55817875211</v>
      </c>
      <c r="S393" s="67"/>
      <c r="T393" s="67">
        <v>0</v>
      </c>
      <c r="U393" s="67"/>
      <c r="V393" s="67"/>
      <c r="W393" s="89">
        <f t="shared" si="174"/>
        <v>4777.55817875211</v>
      </c>
      <c r="X393" s="90">
        <f t="shared" si="177"/>
        <v>85.0167622259696</v>
      </c>
      <c r="Y393" s="90"/>
      <c r="Z393" s="90"/>
      <c r="AA393" s="90">
        <f t="shared" si="175"/>
        <v>85.0167622259696</v>
      </c>
      <c r="AB393" s="107">
        <v>7.19</v>
      </c>
      <c r="AC393" s="67">
        <f t="shared" si="170"/>
        <v>611.270520404721</v>
      </c>
      <c r="AD393" s="67">
        <f t="shared" si="171"/>
        <v>5388.82869915683</v>
      </c>
      <c r="AE393" s="67">
        <f t="shared" si="172"/>
        <v>1282.62850084317</v>
      </c>
    </row>
    <row r="394" customFormat="1" spans="1:31">
      <c r="A394" s="18"/>
      <c r="B394" s="19"/>
      <c r="C394" s="20">
        <v>240202000049</v>
      </c>
      <c r="D394" s="21">
        <v>45332</v>
      </c>
      <c r="E394" s="21" t="s">
        <v>44</v>
      </c>
      <c r="F394" s="19" t="s">
        <v>225</v>
      </c>
      <c r="G394" s="19" t="s">
        <v>325</v>
      </c>
      <c r="H394" s="19">
        <v>121.5</v>
      </c>
      <c r="I394" s="49"/>
      <c r="J394" s="65">
        <v>1454098.32</v>
      </c>
      <c r="K394" s="66"/>
      <c r="L394" s="61">
        <f>SUM(J394/M394)</f>
        <v>1548.00004943897</v>
      </c>
      <c r="M394" s="62">
        <v>939.33997</v>
      </c>
      <c r="N394" s="48">
        <v>7.19</v>
      </c>
      <c r="O394" s="49">
        <f t="shared" si="183"/>
        <v>6753.8543843</v>
      </c>
      <c r="P394" s="51"/>
      <c r="Q394" s="51"/>
      <c r="R394" s="67">
        <f t="shared" si="176"/>
        <v>4299.8023608769</v>
      </c>
      <c r="S394" s="67"/>
      <c r="T394" s="67">
        <v>0</v>
      </c>
      <c r="U394" s="91">
        <v>380</v>
      </c>
      <c r="V394" s="67"/>
      <c r="W394" s="89">
        <f t="shared" si="174"/>
        <v>4679.8023608769</v>
      </c>
      <c r="X394" s="90">
        <f t="shared" si="177"/>
        <v>76.5150860033727</v>
      </c>
      <c r="Y394" s="90"/>
      <c r="Z394" s="90"/>
      <c r="AA394" s="90">
        <f t="shared" si="175"/>
        <v>76.5150860033727</v>
      </c>
      <c r="AB394" s="107">
        <v>7.19</v>
      </c>
      <c r="AC394" s="67">
        <f t="shared" si="170"/>
        <v>550.14346836425</v>
      </c>
      <c r="AD394" s="67">
        <f t="shared" si="171"/>
        <v>5229.94582924115</v>
      </c>
      <c r="AE394" s="67">
        <f t="shared" si="172"/>
        <v>1523.90855505885</v>
      </c>
    </row>
    <row r="395" customFormat="1" spans="1:31">
      <c r="A395" s="18"/>
      <c r="B395" s="19"/>
      <c r="C395" s="20">
        <v>240203000015</v>
      </c>
      <c r="D395" s="21">
        <v>45332</v>
      </c>
      <c r="E395" s="21" t="s">
        <v>41</v>
      </c>
      <c r="F395" s="19" t="s">
        <v>42</v>
      </c>
      <c r="G395" s="19" t="s">
        <v>326</v>
      </c>
      <c r="H395" s="19">
        <v>46.5</v>
      </c>
      <c r="I395" s="44">
        <v>2418</v>
      </c>
      <c r="J395" s="45"/>
      <c r="K395" s="46"/>
      <c r="L395" s="45"/>
      <c r="M395" s="47"/>
      <c r="N395" s="48"/>
      <c r="O395" s="49">
        <f t="shared" si="184"/>
        <v>2418</v>
      </c>
      <c r="P395" s="52"/>
      <c r="Q395" s="52"/>
      <c r="R395" s="67">
        <f t="shared" si="176"/>
        <v>1645.60337268128</v>
      </c>
      <c r="S395" s="67"/>
      <c r="T395" s="67">
        <v>0</v>
      </c>
      <c r="U395" s="67"/>
      <c r="V395" s="67"/>
      <c r="W395" s="89">
        <f t="shared" si="174"/>
        <v>1645.60337268128</v>
      </c>
      <c r="X395" s="90">
        <f t="shared" si="177"/>
        <v>29.2835514333895</v>
      </c>
      <c r="Y395" s="90"/>
      <c r="Z395" s="90"/>
      <c r="AA395" s="90">
        <f t="shared" ref="AA395:AA428" si="185">SUM(X395:Z395)</f>
        <v>29.2835514333895</v>
      </c>
      <c r="AB395" s="107">
        <v>7.19</v>
      </c>
      <c r="AC395" s="67">
        <f t="shared" si="170"/>
        <v>210.548734806071</v>
      </c>
      <c r="AD395" s="67">
        <f t="shared" ref="AD395:AD428" si="186">SUM(W395+AC395)</f>
        <v>1856.15210748735</v>
      </c>
      <c r="AE395" s="67">
        <f t="shared" ref="AE395:AE428" si="187">SUM(O395-AD395)</f>
        <v>561.847892512649</v>
      </c>
    </row>
    <row r="396" customFormat="1" spans="1:31">
      <c r="A396" s="18" t="s">
        <v>327</v>
      </c>
      <c r="B396" s="19" t="s">
        <v>328</v>
      </c>
      <c r="C396" s="20">
        <v>240129000080</v>
      </c>
      <c r="D396" s="21">
        <v>45332</v>
      </c>
      <c r="E396" s="21" t="s">
        <v>41</v>
      </c>
      <c r="F396" s="19" t="s">
        <v>42</v>
      </c>
      <c r="G396" s="19" t="s">
        <v>329</v>
      </c>
      <c r="H396" s="19">
        <v>3</v>
      </c>
      <c r="I396" s="44">
        <v>218</v>
      </c>
      <c r="J396" s="45"/>
      <c r="K396" s="46"/>
      <c r="L396" s="45"/>
      <c r="M396" s="47"/>
      <c r="N396" s="48"/>
      <c r="O396" s="49">
        <f t="shared" si="184"/>
        <v>218</v>
      </c>
      <c r="P396" s="50">
        <f>SUM(O396:O427)</f>
        <v>64607.769</v>
      </c>
      <c r="Q396" s="121" t="s">
        <v>330</v>
      </c>
      <c r="R396" s="67">
        <f>SUM(44143.6/1172)*H396</f>
        <v>112.995563139932</v>
      </c>
      <c r="S396" s="67"/>
      <c r="T396" s="91">
        <f>SUM(212.54/1172)*H396</f>
        <v>0.544044368600683</v>
      </c>
      <c r="U396" s="67"/>
      <c r="V396" s="67"/>
      <c r="W396" s="89">
        <f t="shared" ref="W396:W428" si="188">SUM(R396:V396)</f>
        <v>113.539607508532</v>
      </c>
      <c r="X396" s="90">
        <f>SUM(731.84/1172)*H396</f>
        <v>1.87331058020478</v>
      </c>
      <c r="Y396" s="90">
        <v>6.9</v>
      </c>
      <c r="Z396" s="90"/>
      <c r="AA396" s="90">
        <f t="shared" si="185"/>
        <v>8.77331058020478</v>
      </c>
      <c r="AB396" s="107">
        <v>7.19</v>
      </c>
      <c r="AC396" s="67">
        <f t="shared" ref="AC396:AC427" si="189">SUM(AA396*AB396)</f>
        <v>63.0801030716724</v>
      </c>
      <c r="AD396" s="67">
        <f t="shared" si="186"/>
        <v>176.619710580205</v>
      </c>
      <c r="AE396" s="67">
        <f t="shared" si="187"/>
        <v>41.3802894197952</v>
      </c>
    </row>
    <row r="397" customFormat="1" spans="1:31">
      <c r="A397" s="18"/>
      <c r="B397" s="19"/>
      <c r="C397" s="20">
        <v>240131000039</v>
      </c>
      <c r="D397" s="21">
        <v>45332</v>
      </c>
      <c r="E397" s="21" t="s">
        <v>62</v>
      </c>
      <c r="F397" s="19" t="s">
        <v>63</v>
      </c>
      <c r="G397" s="19" t="s">
        <v>212</v>
      </c>
      <c r="H397" s="19">
        <v>202</v>
      </c>
      <c r="I397" s="49"/>
      <c r="J397" s="65">
        <v>2458152</v>
      </c>
      <c r="K397" s="66"/>
      <c r="L397" s="61">
        <f t="shared" ref="L397:L402" si="190">SUM(J397/M397)</f>
        <v>1800</v>
      </c>
      <c r="M397" s="62">
        <v>1365.64</v>
      </c>
      <c r="N397" s="48">
        <v>7.19</v>
      </c>
      <c r="O397" s="49">
        <f t="shared" ref="O397:O402" si="191">SUM(M397*N397)</f>
        <v>9818.9516</v>
      </c>
      <c r="P397" s="51"/>
      <c r="Q397" s="51"/>
      <c r="R397" s="67">
        <f t="shared" ref="R397:R427" si="192">SUM(44143.6/1172)*H397</f>
        <v>7608.36791808874</v>
      </c>
      <c r="S397" s="67"/>
      <c r="T397" s="91">
        <f t="shared" ref="T397:T427" si="193">SUM(212.54/1172)*H397</f>
        <v>36.6323208191126</v>
      </c>
      <c r="U397" s="67"/>
      <c r="V397" s="67"/>
      <c r="W397" s="89">
        <f t="shared" si="188"/>
        <v>7645.00023890785</v>
      </c>
      <c r="X397" s="90">
        <f t="shared" ref="X397:X427" si="194">SUM(731.84/1172)*H397</f>
        <v>126.136245733788</v>
      </c>
      <c r="Y397" s="90"/>
      <c r="Z397" s="90"/>
      <c r="AA397" s="90">
        <f t="shared" si="185"/>
        <v>126.136245733788</v>
      </c>
      <c r="AB397" s="107">
        <v>7.19</v>
      </c>
      <c r="AC397" s="67">
        <f t="shared" si="189"/>
        <v>906.919606825939</v>
      </c>
      <c r="AD397" s="67">
        <f t="shared" si="186"/>
        <v>8551.91984573379</v>
      </c>
      <c r="AE397" s="67">
        <f t="shared" si="187"/>
        <v>1267.03175426621</v>
      </c>
    </row>
    <row r="398" customFormat="1" spans="1:31">
      <c r="A398" s="18"/>
      <c r="B398" s="19"/>
      <c r="C398" s="20">
        <v>240201000014</v>
      </c>
      <c r="D398" s="21">
        <v>45332</v>
      </c>
      <c r="E398" s="21" t="s">
        <v>41</v>
      </c>
      <c r="F398" s="19" t="s">
        <v>42</v>
      </c>
      <c r="G398" s="19" t="s">
        <v>205</v>
      </c>
      <c r="H398" s="19">
        <v>4.5</v>
      </c>
      <c r="I398" s="44">
        <v>292.5</v>
      </c>
      <c r="J398" s="45"/>
      <c r="K398" s="46"/>
      <c r="L398" s="45"/>
      <c r="M398" s="47"/>
      <c r="N398" s="48"/>
      <c r="O398" s="49">
        <f>SUM(I398)</f>
        <v>292.5</v>
      </c>
      <c r="P398" s="51"/>
      <c r="Q398" s="51"/>
      <c r="R398" s="67">
        <f t="shared" si="192"/>
        <v>169.493344709898</v>
      </c>
      <c r="S398" s="67"/>
      <c r="T398" s="91">
        <f t="shared" si="193"/>
        <v>0.816066552901024</v>
      </c>
      <c r="U398" s="67"/>
      <c r="V398" s="67"/>
      <c r="W398" s="89">
        <f t="shared" si="188"/>
        <v>170.309411262799</v>
      </c>
      <c r="X398" s="90">
        <f t="shared" si="194"/>
        <v>2.80996587030717</v>
      </c>
      <c r="Y398" s="90"/>
      <c r="Z398" s="90"/>
      <c r="AA398" s="90">
        <f t="shared" si="185"/>
        <v>2.80996587030717</v>
      </c>
      <c r="AB398" s="107">
        <v>7.19</v>
      </c>
      <c r="AC398" s="67">
        <f t="shared" si="189"/>
        <v>20.2036546075085</v>
      </c>
      <c r="AD398" s="67">
        <f t="shared" si="186"/>
        <v>190.513065870307</v>
      </c>
      <c r="AE398" s="67">
        <f t="shared" si="187"/>
        <v>101.986934129693</v>
      </c>
    </row>
    <row r="399" customFormat="1" spans="1:31">
      <c r="A399" s="18"/>
      <c r="B399" s="19"/>
      <c r="C399" s="20">
        <v>240201000021</v>
      </c>
      <c r="D399" s="21">
        <v>45332</v>
      </c>
      <c r="E399" s="21" t="s">
        <v>76</v>
      </c>
      <c r="F399" s="19" t="s">
        <v>77</v>
      </c>
      <c r="G399" s="19" t="s">
        <v>138</v>
      </c>
      <c r="H399" s="19">
        <v>185</v>
      </c>
      <c r="I399" s="49"/>
      <c r="J399" s="65">
        <v>3071000</v>
      </c>
      <c r="K399" s="66"/>
      <c r="L399" s="61">
        <f t="shared" si="190"/>
        <v>1660</v>
      </c>
      <c r="M399" s="62">
        <v>1850</v>
      </c>
      <c r="N399" s="48">
        <v>7.19</v>
      </c>
      <c r="O399" s="49">
        <f t="shared" si="191"/>
        <v>13301.5</v>
      </c>
      <c r="P399" s="51"/>
      <c r="Q399" s="51"/>
      <c r="R399" s="67">
        <f t="shared" si="192"/>
        <v>6968.05972696246</v>
      </c>
      <c r="S399" s="67"/>
      <c r="T399" s="91">
        <f t="shared" si="193"/>
        <v>33.5494027303754</v>
      </c>
      <c r="U399" s="67"/>
      <c r="V399" s="67"/>
      <c r="W399" s="89">
        <f t="shared" si="188"/>
        <v>7001.60912969283</v>
      </c>
      <c r="X399" s="90">
        <f t="shared" si="194"/>
        <v>115.520819112628</v>
      </c>
      <c r="Y399" s="90"/>
      <c r="Z399" s="90"/>
      <c r="AA399" s="90">
        <f t="shared" si="185"/>
        <v>115.520819112628</v>
      </c>
      <c r="AB399" s="107">
        <v>7.19</v>
      </c>
      <c r="AC399" s="67">
        <f t="shared" si="189"/>
        <v>830.594689419795</v>
      </c>
      <c r="AD399" s="67">
        <f t="shared" si="186"/>
        <v>7832.20381911263</v>
      </c>
      <c r="AE399" s="67">
        <f t="shared" si="187"/>
        <v>5469.29618088737</v>
      </c>
    </row>
    <row r="400" customFormat="1" spans="1:31">
      <c r="A400" s="18"/>
      <c r="B400" s="19"/>
      <c r="C400" s="20">
        <v>240202000002</v>
      </c>
      <c r="D400" s="21">
        <v>45332</v>
      </c>
      <c r="E400" s="21" t="s">
        <v>76</v>
      </c>
      <c r="F400" s="19" t="s">
        <v>77</v>
      </c>
      <c r="G400" s="19" t="s">
        <v>331</v>
      </c>
      <c r="H400" s="19">
        <v>9</v>
      </c>
      <c r="I400" s="53"/>
      <c r="J400" s="61">
        <v>118500</v>
      </c>
      <c r="K400" s="55"/>
      <c r="L400" s="61">
        <f t="shared" si="190"/>
        <v>1797.63349514563</v>
      </c>
      <c r="M400" s="62">
        <v>65.92</v>
      </c>
      <c r="N400" s="48">
        <v>7.19</v>
      </c>
      <c r="O400" s="49">
        <f t="shared" si="191"/>
        <v>473.9648</v>
      </c>
      <c r="P400" s="51"/>
      <c r="Q400" s="51"/>
      <c r="R400" s="67">
        <f t="shared" si="192"/>
        <v>338.986689419795</v>
      </c>
      <c r="S400" s="67"/>
      <c r="T400" s="91">
        <f t="shared" si="193"/>
        <v>1.63213310580205</v>
      </c>
      <c r="U400" s="67"/>
      <c r="V400" s="67"/>
      <c r="W400" s="89">
        <f t="shared" si="188"/>
        <v>340.618822525597</v>
      </c>
      <c r="X400" s="90">
        <f t="shared" si="194"/>
        <v>5.61993174061433</v>
      </c>
      <c r="Y400" s="90"/>
      <c r="Z400" s="90"/>
      <c r="AA400" s="90">
        <f t="shared" si="185"/>
        <v>5.61993174061433</v>
      </c>
      <c r="AB400" s="107">
        <v>7.19</v>
      </c>
      <c r="AC400" s="67">
        <f t="shared" si="189"/>
        <v>40.4073092150171</v>
      </c>
      <c r="AD400" s="67">
        <f t="shared" si="186"/>
        <v>381.026131740614</v>
      </c>
      <c r="AE400" s="67">
        <f t="shared" si="187"/>
        <v>92.9386682593857</v>
      </c>
    </row>
    <row r="401" customFormat="1" spans="1:31">
      <c r="A401" s="18"/>
      <c r="B401" s="19"/>
      <c r="C401" s="20">
        <v>240202000013</v>
      </c>
      <c r="D401" s="21">
        <v>45332</v>
      </c>
      <c r="E401" s="21" t="s">
        <v>41</v>
      </c>
      <c r="F401" s="19" t="s">
        <v>42</v>
      </c>
      <c r="G401" s="19" t="s">
        <v>59</v>
      </c>
      <c r="H401" s="19">
        <v>14.5</v>
      </c>
      <c r="I401" s="53"/>
      <c r="J401" s="61">
        <v>158050</v>
      </c>
      <c r="K401" s="55"/>
      <c r="L401" s="61">
        <f t="shared" si="190"/>
        <v>1567.48983437469</v>
      </c>
      <c r="M401" s="62">
        <v>100.83</v>
      </c>
      <c r="N401" s="48">
        <v>7.19</v>
      </c>
      <c r="O401" s="49">
        <f t="shared" si="191"/>
        <v>724.9677</v>
      </c>
      <c r="P401" s="51"/>
      <c r="Q401" s="51"/>
      <c r="R401" s="67">
        <f t="shared" si="192"/>
        <v>546.145221843003</v>
      </c>
      <c r="S401" s="67"/>
      <c r="T401" s="91">
        <f t="shared" si="193"/>
        <v>2.62954778156997</v>
      </c>
      <c r="U401" s="67"/>
      <c r="V401" s="67"/>
      <c r="W401" s="89">
        <f t="shared" si="188"/>
        <v>548.774769624573</v>
      </c>
      <c r="X401" s="90">
        <f t="shared" si="194"/>
        <v>9.05433447098976</v>
      </c>
      <c r="Y401" s="90"/>
      <c r="Z401" s="90"/>
      <c r="AA401" s="90">
        <f t="shared" si="185"/>
        <v>9.05433447098976</v>
      </c>
      <c r="AB401" s="107">
        <v>7.19</v>
      </c>
      <c r="AC401" s="67">
        <f t="shared" si="189"/>
        <v>65.1006648464164</v>
      </c>
      <c r="AD401" s="67">
        <f t="shared" si="186"/>
        <v>613.87543447099</v>
      </c>
      <c r="AE401" s="67">
        <f t="shared" si="187"/>
        <v>111.09226552901</v>
      </c>
    </row>
    <row r="402" customFormat="1" spans="1:31">
      <c r="A402" s="18"/>
      <c r="B402" s="19"/>
      <c r="C402" s="20">
        <v>240202000055</v>
      </c>
      <c r="D402" s="21">
        <v>45332</v>
      </c>
      <c r="E402" s="21" t="s">
        <v>56</v>
      </c>
      <c r="F402" s="19" t="s">
        <v>114</v>
      </c>
      <c r="G402" s="19" t="s">
        <v>91</v>
      </c>
      <c r="H402" s="19">
        <v>39</v>
      </c>
      <c r="I402" s="53"/>
      <c r="J402" s="61">
        <v>531120</v>
      </c>
      <c r="K402" s="55"/>
      <c r="L402" s="61">
        <f t="shared" si="190"/>
        <v>1725.64819026577</v>
      </c>
      <c r="M402" s="62">
        <v>307.78</v>
      </c>
      <c r="N402" s="48">
        <v>7.19</v>
      </c>
      <c r="O402" s="49">
        <f t="shared" si="191"/>
        <v>2212.9382</v>
      </c>
      <c r="P402" s="51"/>
      <c r="Q402" s="51"/>
      <c r="R402" s="67">
        <f t="shared" si="192"/>
        <v>1468.94232081911</v>
      </c>
      <c r="S402" s="67"/>
      <c r="T402" s="91">
        <f t="shared" si="193"/>
        <v>7.07257679180887</v>
      </c>
      <c r="U402" s="67">
        <v>60</v>
      </c>
      <c r="V402" s="67"/>
      <c r="W402" s="89">
        <f t="shared" si="188"/>
        <v>1536.01489761092</v>
      </c>
      <c r="X402" s="90">
        <f t="shared" si="194"/>
        <v>24.3530375426621</v>
      </c>
      <c r="Y402" s="90"/>
      <c r="Z402" s="90"/>
      <c r="AA402" s="90">
        <f t="shared" si="185"/>
        <v>24.3530375426621</v>
      </c>
      <c r="AB402" s="107">
        <v>7.19</v>
      </c>
      <c r="AC402" s="67">
        <f t="shared" si="189"/>
        <v>175.098339931741</v>
      </c>
      <c r="AD402" s="67">
        <f t="shared" si="186"/>
        <v>1711.11323754266</v>
      </c>
      <c r="AE402" s="67">
        <f t="shared" si="187"/>
        <v>501.824962457338</v>
      </c>
    </row>
    <row r="403" customFormat="1" spans="1:31">
      <c r="A403" s="18"/>
      <c r="B403" s="19"/>
      <c r="C403" s="20">
        <v>240203000005</v>
      </c>
      <c r="D403" s="21">
        <v>45332</v>
      </c>
      <c r="E403" s="21" t="s">
        <v>37</v>
      </c>
      <c r="F403" s="19" t="s">
        <v>38</v>
      </c>
      <c r="G403" s="19" t="s">
        <v>215</v>
      </c>
      <c r="H403" s="19">
        <v>19</v>
      </c>
      <c r="I403" s="44">
        <v>994</v>
      </c>
      <c r="J403" s="45"/>
      <c r="K403" s="46"/>
      <c r="L403" s="45"/>
      <c r="M403" s="47"/>
      <c r="N403" s="48"/>
      <c r="O403" s="49">
        <f t="shared" ref="O403:O407" si="195">SUM(I403)</f>
        <v>994</v>
      </c>
      <c r="P403" s="51"/>
      <c r="Q403" s="51"/>
      <c r="R403" s="67">
        <f t="shared" si="192"/>
        <v>715.638566552901</v>
      </c>
      <c r="S403" s="67"/>
      <c r="T403" s="91">
        <f t="shared" si="193"/>
        <v>3.44561433447099</v>
      </c>
      <c r="U403" s="67"/>
      <c r="V403" s="67"/>
      <c r="W403" s="89">
        <f t="shared" si="188"/>
        <v>719.084180887372</v>
      </c>
      <c r="X403" s="90">
        <f t="shared" si="194"/>
        <v>11.8643003412969</v>
      </c>
      <c r="Y403" s="90"/>
      <c r="Z403" s="90"/>
      <c r="AA403" s="90">
        <f t="shared" si="185"/>
        <v>11.8643003412969</v>
      </c>
      <c r="AB403" s="107">
        <v>7.19</v>
      </c>
      <c r="AC403" s="67">
        <f t="shared" si="189"/>
        <v>85.3043194539249</v>
      </c>
      <c r="AD403" s="67">
        <f t="shared" si="186"/>
        <v>804.388500341297</v>
      </c>
      <c r="AE403" s="67">
        <f t="shared" si="187"/>
        <v>189.611499658703</v>
      </c>
    </row>
    <row r="404" customFormat="1" spans="1:31">
      <c r="A404" s="18"/>
      <c r="B404" s="19"/>
      <c r="C404" s="20">
        <v>240203000014</v>
      </c>
      <c r="D404" s="21">
        <v>45332</v>
      </c>
      <c r="E404" s="21" t="s">
        <v>37</v>
      </c>
      <c r="F404" s="19" t="s">
        <v>38</v>
      </c>
      <c r="G404" s="19" t="s">
        <v>332</v>
      </c>
      <c r="H404" s="19">
        <v>34</v>
      </c>
      <c r="I404" s="53"/>
      <c r="J404" s="61">
        <v>411282</v>
      </c>
      <c r="K404" s="55"/>
      <c r="L404" s="61">
        <f>SUM(J404/M404)</f>
        <v>1574.64680883648</v>
      </c>
      <c r="M404" s="62">
        <v>261.19</v>
      </c>
      <c r="N404" s="48">
        <v>7.19</v>
      </c>
      <c r="O404" s="49">
        <f t="shared" ref="O404:O409" si="196">SUM(M404*N404)</f>
        <v>1877.9561</v>
      </c>
      <c r="P404" s="51"/>
      <c r="Q404" s="51"/>
      <c r="R404" s="67">
        <f t="shared" si="192"/>
        <v>1280.61638225256</v>
      </c>
      <c r="S404" s="67"/>
      <c r="T404" s="91">
        <f t="shared" si="193"/>
        <v>6.1658361774744</v>
      </c>
      <c r="U404" s="67"/>
      <c r="V404" s="67"/>
      <c r="W404" s="89">
        <f t="shared" si="188"/>
        <v>1286.78221843003</v>
      </c>
      <c r="X404" s="90">
        <f t="shared" si="194"/>
        <v>21.2308532423208</v>
      </c>
      <c r="Y404" s="90"/>
      <c r="Z404" s="90"/>
      <c r="AA404" s="90">
        <f t="shared" si="185"/>
        <v>21.2308532423208</v>
      </c>
      <c r="AB404" s="107">
        <v>7.19</v>
      </c>
      <c r="AC404" s="67">
        <f t="shared" si="189"/>
        <v>152.649834812287</v>
      </c>
      <c r="AD404" s="67">
        <f t="shared" si="186"/>
        <v>1439.43205324232</v>
      </c>
      <c r="AE404" s="67">
        <f t="shared" si="187"/>
        <v>438.524046757679</v>
      </c>
    </row>
    <row r="405" customFormat="1" spans="1:31">
      <c r="A405" s="18"/>
      <c r="B405" s="19"/>
      <c r="C405" s="20">
        <v>240203000017</v>
      </c>
      <c r="D405" s="21">
        <v>45332</v>
      </c>
      <c r="E405" s="21" t="s">
        <v>37</v>
      </c>
      <c r="F405" s="19" t="s">
        <v>38</v>
      </c>
      <c r="G405" s="19" t="s">
        <v>157</v>
      </c>
      <c r="H405" s="19">
        <v>2.5</v>
      </c>
      <c r="I405" s="44">
        <v>137.5</v>
      </c>
      <c r="J405" s="45"/>
      <c r="K405" s="46"/>
      <c r="L405" s="45"/>
      <c r="M405" s="47"/>
      <c r="N405" s="48"/>
      <c r="O405" s="49">
        <f t="shared" si="195"/>
        <v>137.5</v>
      </c>
      <c r="P405" s="51"/>
      <c r="Q405" s="51"/>
      <c r="R405" s="67">
        <f t="shared" si="192"/>
        <v>94.1629692832765</v>
      </c>
      <c r="S405" s="67"/>
      <c r="T405" s="91">
        <f t="shared" si="193"/>
        <v>0.453370307167235</v>
      </c>
      <c r="U405" s="67"/>
      <c r="V405" s="67"/>
      <c r="W405" s="89">
        <f t="shared" si="188"/>
        <v>94.6163395904437</v>
      </c>
      <c r="X405" s="90">
        <f t="shared" si="194"/>
        <v>1.56109215017065</v>
      </c>
      <c r="Y405" s="90"/>
      <c r="Z405" s="90"/>
      <c r="AA405" s="90">
        <f t="shared" si="185"/>
        <v>1.56109215017065</v>
      </c>
      <c r="AB405" s="107">
        <v>7.19</v>
      </c>
      <c r="AC405" s="67">
        <f t="shared" si="189"/>
        <v>11.224252559727</v>
      </c>
      <c r="AD405" s="67">
        <f t="shared" si="186"/>
        <v>105.840592150171</v>
      </c>
      <c r="AE405" s="67">
        <f t="shared" si="187"/>
        <v>31.6594078498293</v>
      </c>
    </row>
    <row r="406" customFormat="1" spans="1:31">
      <c r="A406" s="18"/>
      <c r="B406" s="19"/>
      <c r="C406" s="20">
        <v>240203000020</v>
      </c>
      <c r="D406" s="21">
        <v>45332</v>
      </c>
      <c r="E406" s="21" t="s">
        <v>44</v>
      </c>
      <c r="F406" s="19" t="s">
        <v>44</v>
      </c>
      <c r="G406" s="19" t="s">
        <v>333</v>
      </c>
      <c r="H406" s="19">
        <v>127</v>
      </c>
      <c r="I406" s="44">
        <v>6993</v>
      </c>
      <c r="J406" s="45"/>
      <c r="K406" s="46"/>
      <c r="L406" s="45"/>
      <c r="M406" s="47"/>
      <c r="N406" s="48"/>
      <c r="O406" s="49">
        <f t="shared" si="195"/>
        <v>6993</v>
      </c>
      <c r="P406" s="51"/>
      <c r="Q406" s="51"/>
      <c r="R406" s="67">
        <f t="shared" si="192"/>
        <v>4783.47883959044</v>
      </c>
      <c r="S406" s="67"/>
      <c r="T406" s="91">
        <f t="shared" si="193"/>
        <v>23.0312116040956</v>
      </c>
      <c r="U406" s="67"/>
      <c r="V406" s="67"/>
      <c r="W406" s="89">
        <f t="shared" si="188"/>
        <v>4806.51005119454</v>
      </c>
      <c r="X406" s="90">
        <f t="shared" si="194"/>
        <v>79.3034812286689</v>
      </c>
      <c r="Y406" s="90"/>
      <c r="Z406" s="90"/>
      <c r="AA406" s="90">
        <f t="shared" si="185"/>
        <v>79.3034812286689</v>
      </c>
      <c r="AB406" s="107">
        <v>7.19</v>
      </c>
      <c r="AC406" s="67">
        <f t="shared" si="189"/>
        <v>570.19203003413</v>
      </c>
      <c r="AD406" s="67">
        <f t="shared" si="186"/>
        <v>5376.70208122867</v>
      </c>
      <c r="AE406" s="67">
        <f t="shared" si="187"/>
        <v>1616.29791877133</v>
      </c>
    </row>
    <row r="407" customFormat="1" spans="1:31">
      <c r="A407" s="18"/>
      <c r="B407" s="19"/>
      <c r="C407" s="20">
        <v>240204000001</v>
      </c>
      <c r="D407" s="21">
        <v>45332</v>
      </c>
      <c r="E407" s="21" t="s">
        <v>76</v>
      </c>
      <c r="F407" s="19" t="s">
        <v>77</v>
      </c>
      <c r="G407" s="19" t="s">
        <v>334</v>
      </c>
      <c r="H407" s="19">
        <v>3</v>
      </c>
      <c r="I407" s="44">
        <v>183</v>
      </c>
      <c r="J407" s="45"/>
      <c r="K407" s="46"/>
      <c r="L407" s="45"/>
      <c r="M407" s="47"/>
      <c r="N407" s="48"/>
      <c r="O407" s="49">
        <f t="shared" si="195"/>
        <v>183</v>
      </c>
      <c r="P407" s="51"/>
      <c r="Q407" s="51"/>
      <c r="R407" s="67">
        <f t="shared" si="192"/>
        <v>112.995563139932</v>
      </c>
      <c r="S407" s="67"/>
      <c r="T407" s="91">
        <f t="shared" si="193"/>
        <v>0.544044368600683</v>
      </c>
      <c r="U407" s="67"/>
      <c r="V407" s="67"/>
      <c r="W407" s="89">
        <f t="shared" si="188"/>
        <v>113.539607508532</v>
      </c>
      <c r="X407" s="90">
        <f t="shared" si="194"/>
        <v>1.87331058020478</v>
      </c>
      <c r="Y407" s="90"/>
      <c r="Z407" s="90"/>
      <c r="AA407" s="90">
        <f t="shared" si="185"/>
        <v>1.87331058020478</v>
      </c>
      <c r="AB407" s="107">
        <v>7.19</v>
      </c>
      <c r="AC407" s="67">
        <f t="shared" si="189"/>
        <v>13.4691030716724</v>
      </c>
      <c r="AD407" s="67">
        <f t="shared" si="186"/>
        <v>127.008710580205</v>
      </c>
      <c r="AE407" s="67">
        <f t="shared" si="187"/>
        <v>55.9912894197952</v>
      </c>
    </row>
    <row r="408" customFormat="1" spans="1:31">
      <c r="A408" s="18"/>
      <c r="B408" s="19"/>
      <c r="C408" s="20">
        <v>240204000003</v>
      </c>
      <c r="D408" s="21">
        <v>45332</v>
      </c>
      <c r="E408" s="21" t="s">
        <v>76</v>
      </c>
      <c r="F408" s="19" t="s">
        <v>77</v>
      </c>
      <c r="G408" s="19" t="s">
        <v>193</v>
      </c>
      <c r="H408" s="19">
        <v>2</v>
      </c>
      <c r="I408" s="49"/>
      <c r="J408" s="65">
        <v>26228</v>
      </c>
      <c r="K408" s="66"/>
      <c r="L408" s="61">
        <f>SUM(J408/M408)</f>
        <v>1660</v>
      </c>
      <c r="M408" s="62">
        <v>15.8</v>
      </c>
      <c r="N408" s="48">
        <v>7.19</v>
      </c>
      <c r="O408" s="49">
        <f t="shared" si="196"/>
        <v>113.602</v>
      </c>
      <c r="P408" s="51"/>
      <c r="Q408" s="51"/>
      <c r="R408" s="67">
        <f t="shared" si="192"/>
        <v>75.3303754266212</v>
      </c>
      <c r="S408" s="67"/>
      <c r="T408" s="91">
        <f t="shared" si="193"/>
        <v>0.362696245733788</v>
      </c>
      <c r="U408" s="67"/>
      <c r="V408" s="67"/>
      <c r="W408" s="89">
        <f t="shared" si="188"/>
        <v>75.6930716723549</v>
      </c>
      <c r="X408" s="90">
        <f t="shared" si="194"/>
        <v>1.24887372013652</v>
      </c>
      <c r="Y408" s="90"/>
      <c r="Z408" s="90"/>
      <c r="AA408" s="90">
        <f t="shared" si="185"/>
        <v>1.24887372013652</v>
      </c>
      <c r="AB408" s="107">
        <v>7.19</v>
      </c>
      <c r="AC408" s="67">
        <f t="shared" si="189"/>
        <v>8.97940204778157</v>
      </c>
      <c r="AD408" s="67">
        <f t="shared" si="186"/>
        <v>84.6724737201365</v>
      </c>
      <c r="AE408" s="67">
        <f t="shared" si="187"/>
        <v>28.9295262798635</v>
      </c>
    </row>
    <row r="409" customFormat="1" spans="1:31">
      <c r="A409" s="18"/>
      <c r="B409" s="19"/>
      <c r="C409" s="20">
        <v>240204000004</v>
      </c>
      <c r="D409" s="21">
        <v>45332</v>
      </c>
      <c r="E409" s="21" t="s">
        <v>62</v>
      </c>
      <c r="F409" s="19" t="s">
        <v>63</v>
      </c>
      <c r="G409" s="19" t="s">
        <v>212</v>
      </c>
      <c r="H409" s="19">
        <v>0.84</v>
      </c>
      <c r="I409" s="49"/>
      <c r="J409" s="65">
        <v>11700</v>
      </c>
      <c r="K409" s="66"/>
      <c r="L409" s="61">
        <f>SUM(J409/M409)</f>
        <v>1845.42586750789</v>
      </c>
      <c r="M409" s="62">
        <v>6.34</v>
      </c>
      <c r="N409" s="48">
        <v>7.19</v>
      </c>
      <c r="O409" s="49">
        <f t="shared" si="196"/>
        <v>45.5846</v>
      </c>
      <c r="P409" s="51"/>
      <c r="Q409" s="51"/>
      <c r="R409" s="67">
        <f t="shared" si="192"/>
        <v>31.6387576791809</v>
      </c>
      <c r="S409" s="67"/>
      <c r="T409" s="91">
        <f t="shared" si="193"/>
        <v>0.152332423208191</v>
      </c>
      <c r="U409" s="67"/>
      <c r="V409" s="67"/>
      <c r="W409" s="89">
        <f t="shared" si="188"/>
        <v>31.7910901023891</v>
      </c>
      <c r="X409" s="90">
        <f t="shared" si="194"/>
        <v>0.524526962457338</v>
      </c>
      <c r="Y409" s="90"/>
      <c r="Z409" s="90"/>
      <c r="AA409" s="90">
        <f t="shared" si="185"/>
        <v>0.524526962457338</v>
      </c>
      <c r="AB409" s="107">
        <v>7.19</v>
      </c>
      <c r="AC409" s="67">
        <f t="shared" si="189"/>
        <v>3.77134886006826</v>
      </c>
      <c r="AD409" s="67">
        <f t="shared" si="186"/>
        <v>35.5624389624573</v>
      </c>
      <c r="AE409" s="67">
        <f t="shared" si="187"/>
        <v>10.0221610375427</v>
      </c>
    </row>
    <row r="410" customFormat="1" spans="1:31">
      <c r="A410" s="18"/>
      <c r="B410" s="19"/>
      <c r="C410" s="20">
        <v>240204000008</v>
      </c>
      <c r="D410" s="21">
        <v>45332</v>
      </c>
      <c r="E410" s="21" t="s">
        <v>37</v>
      </c>
      <c r="F410" s="19" t="s">
        <v>38</v>
      </c>
      <c r="G410" s="19" t="s">
        <v>127</v>
      </c>
      <c r="H410" s="19">
        <v>26.5</v>
      </c>
      <c r="I410" s="44">
        <v>1192.5</v>
      </c>
      <c r="J410" s="45"/>
      <c r="K410" s="46"/>
      <c r="L410" s="45"/>
      <c r="M410" s="47"/>
      <c r="N410" s="48"/>
      <c r="O410" s="49">
        <f t="shared" ref="O410:O414" si="197">SUM(I410)</f>
        <v>1192.5</v>
      </c>
      <c r="P410" s="51"/>
      <c r="Q410" s="51"/>
      <c r="R410" s="67">
        <f t="shared" si="192"/>
        <v>998.12747440273</v>
      </c>
      <c r="S410" s="67"/>
      <c r="T410" s="91">
        <f t="shared" si="193"/>
        <v>4.8057252559727</v>
      </c>
      <c r="U410" s="67"/>
      <c r="V410" s="67"/>
      <c r="W410" s="89">
        <f t="shared" si="188"/>
        <v>1002.9331996587</v>
      </c>
      <c r="X410" s="90">
        <f t="shared" si="194"/>
        <v>16.5475767918089</v>
      </c>
      <c r="Y410" s="90"/>
      <c r="Z410" s="90"/>
      <c r="AA410" s="90">
        <f t="shared" si="185"/>
        <v>16.5475767918089</v>
      </c>
      <c r="AB410" s="107">
        <v>7.19</v>
      </c>
      <c r="AC410" s="67">
        <f t="shared" si="189"/>
        <v>118.977077133106</v>
      </c>
      <c r="AD410" s="67">
        <f t="shared" si="186"/>
        <v>1121.91027679181</v>
      </c>
      <c r="AE410" s="67">
        <f t="shared" si="187"/>
        <v>70.5897232081911</v>
      </c>
    </row>
    <row r="411" customFormat="1" spans="1:31">
      <c r="A411" s="18"/>
      <c r="B411" s="19"/>
      <c r="C411" s="20">
        <v>240204000010</v>
      </c>
      <c r="D411" s="21">
        <v>45332</v>
      </c>
      <c r="E411" s="21" t="s">
        <v>37</v>
      </c>
      <c r="F411" s="19" t="s">
        <v>38</v>
      </c>
      <c r="G411" s="19" t="s">
        <v>60</v>
      </c>
      <c r="H411" s="19">
        <v>0.6</v>
      </c>
      <c r="I411" s="44">
        <v>58</v>
      </c>
      <c r="J411" s="45"/>
      <c r="K411" s="46"/>
      <c r="L411" s="45"/>
      <c r="M411" s="47"/>
      <c r="N411" s="48"/>
      <c r="O411" s="49">
        <f t="shared" si="197"/>
        <v>58</v>
      </c>
      <c r="P411" s="51"/>
      <c r="Q411" s="51"/>
      <c r="R411" s="67">
        <f t="shared" si="192"/>
        <v>22.5991126279863</v>
      </c>
      <c r="S411" s="67"/>
      <c r="T411" s="91">
        <f t="shared" si="193"/>
        <v>0.108808873720137</v>
      </c>
      <c r="U411" s="67"/>
      <c r="V411" s="67"/>
      <c r="W411" s="89">
        <f t="shared" si="188"/>
        <v>22.7079215017065</v>
      </c>
      <c r="X411" s="90">
        <f t="shared" si="194"/>
        <v>0.374662116040956</v>
      </c>
      <c r="Y411" s="90"/>
      <c r="Z411" s="90"/>
      <c r="AA411" s="90">
        <f t="shared" si="185"/>
        <v>0.374662116040956</v>
      </c>
      <c r="AB411" s="107">
        <v>7.19</v>
      </c>
      <c r="AC411" s="67">
        <f t="shared" si="189"/>
        <v>2.69382061433447</v>
      </c>
      <c r="AD411" s="67">
        <f t="shared" si="186"/>
        <v>25.401742116041</v>
      </c>
      <c r="AE411" s="67">
        <f t="shared" si="187"/>
        <v>32.5982578839591</v>
      </c>
    </row>
    <row r="412" customFormat="1" spans="1:31">
      <c r="A412" s="18"/>
      <c r="B412" s="19"/>
      <c r="C412" s="20">
        <v>240204000014</v>
      </c>
      <c r="D412" s="21">
        <v>45332</v>
      </c>
      <c r="E412" s="21" t="s">
        <v>41</v>
      </c>
      <c r="F412" s="19" t="s">
        <v>42</v>
      </c>
      <c r="G412" s="19" t="s">
        <v>335</v>
      </c>
      <c r="H412" s="19">
        <v>22</v>
      </c>
      <c r="I412" s="53"/>
      <c r="J412" s="61">
        <v>254840</v>
      </c>
      <c r="K412" s="55"/>
      <c r="L412" s="61">
        <f>SUM(J412/M412)</f>
        <v>1653.73134328358</v>
      </c>
      <c r="M412" s="62">
        <v>154.1</v>
      </c>
      <c r="N412" s="48">
        <v>7.19</v>
      </c>
      <c r="O412" s="49">
        <f t="shared" ref="O412:O417" si="198">SUM(M412*N412)</f>
        <v>1107.979</v>
      </c>
      <c r="P412" s="51"/>
      <c r="Q412" s="51"/>
      <c r="R412" s="67">
        <f t="shared" si="192"/>
        <v>828.634129692833</v>
      </c>
      <c r="S412" s="67"/>
      <c r="T412" s="91">
        <f t="shared" si="193"/>
        <v>3.98965870307167</v>
      </c>
      <c r="U412" s="67"/>
      <c r="V412" s="67"/>
      <c r="W412" s="89">
        <f t="shared" si="188"/>
        <v>832.623788395904</v>
      </c>
      <c r="X412" s="90">
        <f t="shared" si="194"/>
        <v>13.7376109215017</v>
      </c>
      <c r="Y412" s="90"/>
      <c r="Z412" s="90"/>
      <c r="AA412" s="90">
        <f t="shared" si="185"/>
        <v>13.7376109215017</v>
      </c>
      <c r="AB412" s="107">
        <v>7.19</v>
      </c>
      <c r="AC412" s="67">
        <f t="shared" si="189"/>
        <v>98.7734225255973</v>
      </c>
      <c r="AD412" s="67">
        <f t="shared" si="186"/>
        <v>931.397210921502</v>
      </c>
      <c r="AE412" s="67">
        <f t="shared" si="187"/>
        <v>176.581789078498</v>
      </c>
    </row>
    <row r="413" customFormat="1" spans="1:31">
      <c r="A413" s="18"/>
      <c r="B413" s="19"/>
      <c r="C413" s="20">
        <v>240204000015</v>
      </c>
      <c r="D413" s="21">
        <v>45332</v>
      </c>
      <c r="E413" s="21" t="s">
        <v>37</v>
      </c>
      <c r="F413" s="19" t="s">
        <v>38</v>
      </c>
      <c r="G413" s="19" t="s">
        <v>336</v>
      </c>
      <c r="H413" s="19">
        <v>7.5</v>
      </c>
      <c r="I413" s="44">
        <v>396</v>
      </c>
      <c r="J413" s="45"/>
      <c r="K413" s="46"/>
      <c r="L413" s="45"/>
      <c r="M413" s="47"/>
      <c r="N413" s="48"/>
      <c r="O413" s="49">
        <f t="shared" si="197"/>
        <v>396</v>
      </c>
      <c r="P413" s="51"/>
      <c r="Q413" s="51"/>
      <c r="R413" s="67">
        <f t="shared" si="192"/>
        <v>282.488907849829</v>
      </c>
      <c r="S413" s="67"/>
      <c r="T413" s="91">
        <f t="shared" si="193"/>
        <v>1.36011092150171</v>
      </c>
      <c r="U413" s="67"/>
      <c r="V413" s="67"/>
      <c r="W413" s="89">
        <f t="shared" si="188"/>
        <v>283.849018771331</v>
      </c>
      <c r="X413" s="90">
        <f t="shared" si="194"/>
        <v>4.68327645051195</v>
      </c>
      <c r="Y413" s="90"/>
      <c r="Z413" s="90"/>
      <c r="AA413" s="90">
        <f t="shared" si="185"/>
        <v>4.68327645051195</v>
      </c>
      <c r="AB413" s="107">
        <v>7.19</v>
      </c>
      <c r="AC413" s="67">
        <f t="shared" si="189"/>
        <v>33.6727576791809</v>
      </c>
      <c r="AD413" s="67">
        <f t="shared" si="186"/>
        <v>317.521776450512</v>
      </c>
      <c r="AE413" s="67">
        <f t="shared" si="187"/>
        <v>78.4782235494881</v>
      </c>
    </row>
    <row r="414" customFormat="1" spans="1:31">
      <c r="A414" s="18"/>
      <c r="B414" s="19"/>
      <c r="C414" s="20">
        <v>240204000017</v>
      </c>
      <c r="D414" s="21">
        <v>45332</v>
      </c>
      <c r="E414" s="21" t="s">
        <v>56</v>
      </c>
      <c r="F414" s="19" t="s">
        <v>112</v>
      </c>
      <c r="G414" s="19" t="s">
        <v>171</v>
      </c>
      <c r="H414" s="19">
        <v>2</v>
      </c>
      <c r="I414" s="44">
        <v>123</v>
      </c>
      <c r="J414" s="45"/>
      <c r="K414" s="46"/>
      <c r="L414" s="45"/>
      <c r="M414" s="47"/>
      <c r="N414" s="48"/>
      <c r="O414" s="49">
        <f t="shared" si="197"/>
        <v>123</v>
      </c>
      <c r="P414" s="51"/>
      <c r="Q414" s="51"/>
      <c r="R414" s="67">
        <f t="shared" si="192"/>
        <v>75.3303754266212</v>
      </c>
      <c r="S414" s="67"/>
      <c r="T414" s="91">
        <f t="shared" si="193"/>
        <v>0.362696245733788</v>
      </c>
      <c r="U414" s="67"/>
      <c r="V414" s="67"/>
      <c r="W414" s="89">
        <f t="shared" si="188"/>
        <v>75.6930716723549</v>
      </c>
      <c r="X414" s="90">
        <f t="shared" si="194"/>
        <v>1.24887372013652</v>
      </c>
      <c r="Y414" s="90"/>
      <c r="Z414" s="90"/>
      <c r="AA414" s="90">
        <f t="shared" si="185"/>
        <v>1.24887372013652</v>
      </c>
      <c r="AB414" s="107">
        <v>7.19</v>
      </c>
      <c r="AC414" s="67">
        <f t="shared" si="189"/>
        <v>8.97940204778157</v>
      </c>
      <c r="AD414" s="67">
        <f t="shared" si="186"/>
        <v>84.6724737201365</v>
      </c>
      <c r="AE414" s="67">
        <f t="shared" si="187"/>
        <v>38.3275262798635</v>
      </c>
    </row>
    <row r="415" customFormat="1" spans="1:31">
      <c r="A415" s="18"/>
      <c r="B415" s="19"/>
      <c r="C415" s="20">
        <v>240204000018</v>
      </c>
      <c r="D415" s="21">
        <v>45332</v>
      </c>
      <c r="E415" s="21" t="s">
        <v>41</v>
      </c>
      <c r="F415" s="19" t="s">
        <v>42</v>
      </c>
      <c r="G415" s="19" t="s">
        <v>337</v>
      </c>
      <c r="H415" s="19">
        <v>19.5</v>
      </c>
      <c r="I415" s="53"/>
      <c r="J415" s="45">
        <v>212940</v>
      </c>
      <c r="K415" s="55"/>
      <c r="L415" s="61">
        <f>SUM(J415/M415)</f>
        <v>1509.99858176145</v>
      </c>
      <c r="M415" s="62">
        <v>141.02</v>
      </c>
      <c r="N415" s="48">
        <v>7.19</v>
      </c>
      <c r="O415" s="49">
        <f t="shared" si="198"/>
        <v>1013.9338</v>
      </c>
      <c r="P415" s="51"/>
      <c r="Q415" s="51"/>
      <c r="R415" s="67">
        <f t="shared" si="192"/>
        <v>734.471160409556</v>
      </c>
      <c r="S415" s="67"/>
      <c r="T415" s="91">
        <f t="shared" si="193"/>
        <v>3.53628839590444</v>
      </c>
      <c r="U415" s="67"/>
      <c r="V415" s="67"/>
      <c r="W415" s="89">
        <f t="shared" si="188"/>
        <v>738.007448805461</v>
      </c>
      <c r="X415" s="90">
        <f t="shared" si="194"/>
        <v>12.1765187713311</v>
      </c>
      <c r="Y415" s="90"/>
      <c r="Z415" s="90"/>
      <c r="AA415" s="90">
        <f t="shared" si="185"/>
        <v>12.1765187713311</v>
      </c>
      <c r="AB415" s="107">
        <v>7.19</v>
      </c>
      <c r="AC415" s="67">
        <f t="shared" si="189"/>
        <v>87.5491699658703</v>
      </c>
      <c r="AD415" s="67">
        <f t="shared" si="186"/>
        <v>825.556618771331</v>
      </c>
      <c r="AE415" s="67">
        <f t="shared" si="187"/>
        <v>188.377181228669</v>
      </c>
    </row>
    <row r="416" customFormat="1" spans="1:31">
      <c r="A416" s="18"/>
      <c r="B416" s="19"/>
      <c r="C416" s="20">
        <v>240204000019</v>
      </c>
      <c r="D416" s="21">
        <v>45332</v>
      </c>
      <c r="E416" s="21" t="s">
        <v>62</v>
      </c>
      <c r="F416" s="19" t="s">
        <v>63</v>
      </c>
      <c r="G416" s="19" t="s">
        <v>338</v>
      </c>
      <c r="H416" s="19">
        <v>4</v>
      </c>
      <c r="I416" s="44">
        <v>243</v>
      </c>
      <c r="J416" s="45"/>
      <c r="K416" s="46"/>
      <c r="L416" s="45"/>
      <c r="M416" s="47"/>
      <c r="N416" s="48"/>
      <c r="O416" s="49">
        <f t="shared" ref="O416:O422" si="199">SUM(I416)</f>
        <v>243</v>
      </c>
      <c r="P416" s="51"/>
      <c r="Q416" s="51"/>
      <c r="R416" s="67">
        <f t="shared" si="192"/>
        <v>150.660750853242</v>
      </c>
      <c r="S416" s="67"/>
      <c r="T416" s="91">
        <f t="shared" si="193"/>
        <v>0.725392491467577</v>
      </c>
      <c r="U416" s="67"/>
      <c r="V416" s="67"/>
      <c r="W416" s="89">
        <f t="shared" si="188"/>
        <v>151.38614334471</v>
      </c>
      <c r="X416" s="90">
        <f t="shared" si="194"/>
        <v>2.49774744027304</v>
      </c>
      <c r="Y416" s="90"/>
      <c r="Z416" s="90"/>
      <c r="AA416" s="90">
        <f t="shared" si="185"/>
        <v>2.49774744027304</v>
      </c>
      <c r="AB416" s="107">
        <v>7.19</v>
      </c>
      <c r="AC416" s="67">
        <f t="shared" si="189"/>
        <v>17.9588040955631</v>
      </c>
      <c r="AD416" s="67">
        <f t="shared" si="186"/>
        <v>169.344947440273</v>
      </c>
      <c r="AE416" s="67">
        <f t="shared" si="187"/>
        <v>73.655052559727</v>
      </c>
    </row>
    <row r="417" customFormat="1" spans="1:31">
      <c r="A417" s="18"/>
      <c r="B417" s="19"/>
      <c r="C417" s="24">
        <v>240204000021</v>
      </c>
      <c r="D417" s="25">
        <v>45332</v>
      </c>
      <c r="E417" s="21" t="s">
        <v>62</v>
      </c>
      <c r="F417" s="26" t="s">
        <v>63</v>
      </c>
      <c r="G417" s="26" t="s">
        <v>339</v>
      </c>
      <c r="H417" s="26">
        <v>5.5</v>
      </c>
      <c r="I417" s="53"/>
      <c r="J417" s="61">
        <v>66177</v>
      </c>
      <c r="K417" s="55"/>
      <c r="L417" s="61">
        <f>SUM(J417/M417)</f>
        <v>1548</v>
      </c>
      <c r="M417" s="118">
        <v>42.75</v>
      </c>
      <c r="N417" s="48">
        <v>7.19</v>
      </c>
      <c r="O417" s="49">
        <f t="shared" si="198"/>
        <v>307.3725</v>
      </c>
      <c r="P417" s="51"/>
      <c r="Q417" s="51"/>
      <c r="R417" s="67">
        <f t="shared" si="192"/>
        <v>207.158532423208</v>
      </c>
      <c r="S417" s="67"/>
      <c r="T417" s="91">
        <f t="shared" si="193"/>
        <v>0.997414675767918</v>
      </c>
      <c r="U417" s="67"/>
      <c r="V417" s="67"/>
      <c r="W417" s="89">
        <f t="shared" si="188"/>
        <v>208.155947098976</v>
      </c>
      <c r="X417" s="90">
        <f t="shared" si="194"/>
        <v>3.43440273037543</v>
      </c>
      <c r="Y417" s="90"/>
      <c r="Z417" s="90"/>
      <c r="AA417" s="90">
        <f t="shared" si="185"/>
        <v>3.43440273037543</v>
      </c>
      <c r="AB417" s="107">
        <v>7.19</v>
      </c>
      <c r="AC417" s="67">
        <f t="shared" si="189"/>
        <v>24.6933556313993</v>
      </c>
      <c r="AD417" s="67">
        <f t="shared" si="186"/>
        <v>232.849302730375</v>
      </c>
      <c r="AE417" s="67">
        <f t="shared" si="187"/>
        <v>74.5231972696246</v>
      </c>
    </row>
    <row r="418" customFormat="1" spans="1:31">
      <c r="A418" s="18"/>
      <c r="B418" s="19"/>
      <c r="C418" s="20">
        <v>240204000022</v>
      </c>
      <c r="D418" s="21">
        <v>45332</v>
      </c>
      <c r="E418" s="21" t="s">
        <v>76</v>
      </c>
      <c r="F418" s="19" t="s">
        <v>77</v>
      </c>
      <c r="G418" s="19" t="s">
        <v>196</v>
      </c>
      <c r="H418" s="19">
        <v>0.3</v>
      </c>
      <c r="I418" s="44">
        <v>58</v>
      </c>
      <c r="J418" s="45"/>
      <c r="K418" s="46"/>
      <c r="L418" s="45"/>
      <c r="M418" s="47"/>
      <c r="N418" s="48"/>
      <c r="O418" s="49">
        <f t="shared" si="199"/>
        <v>58</v>
      </c>
      <c r="P418" s="51"/>
      <c r="Q418" s="51"/>
      <c r="R418" s="67">
        <f t="shared" si="192"/>
        <v>11.2995563139932</v>
      </c>
      <c r="S418" s="67"/>
      <c r="T418" s="91">
        <f t="shared" si="193"/>
        <v>0.0544044368600683</v>
      </c>
      <c r="U418" s="67"/>
      <c r="V418" s="67"/>
      <c r="W418" s="89">
        <f t="shared" si="188"/>
        <v>11.3539607508532</v>
      </c>
      <c r="X418" s="90">
        <f t="shared" si="194"/>
        <v>0.187331058020478</v>
      </c>
      <c r="Y418" s="90"/>
      <c r="Z418" s="90"/>
      <c r="AA418" s="90">
        <f t="shared" si="185"/>
        <v>0.187331058020478</v>
      </c>
      <c r="AB418" s="107">
        <v>7.19</v>
      </c>
      <c r="AC418" s="67">
        <f t="shared" si="189"/>
        <v>1.34691030716724</v>
      </c>
      <c r="AD418" s="67">
        <f t="shared" si="186"/>
        <v>12.7008710580205</v>
      </c>
      <c r="AE418" s="67">
        <f t="shared" si="187"/>
        <v>45.2991289419795</v>
      </c>
    </row>
    <row r="419" customFormat="1" spans="1:31">
      <c r="A419" s="18"/>
      <c r="B419" s="19"/>
      <c r="C419" s="20">
        <v>240204000027</v>
      </c>
      <c r="D419" s="21">
        <v>45332</v>
      </c>
      <c r="E419" s="21" t="s">
        <v>62</v>
      </c>
      <c r="F419" s="19" t="s">
        <v>63</v>
      </c>
      <c r="G419" s="19" t="s">
        <v>339</v>
      </c>
      <c r="H419" s="19">
        <v>2.5</v>
      </c>
      <c r="I419" s="49"/>
      <c r="J419" s="65">
        <v>36734.04</v>
      </c>
      <c r="K419" s="66"/>
      <c r="L419" s="61">
        <f>SUM(J419/M419)</f>
        <v>1548</v>
      </c>
      <c r="M419" s="62">
        <v>23.73</v>
      </c>
      <c r="N419" s="48">
        <v>7.19</v>
      </c>
      <c r="O419" s="49">
        <f>SUM(M419*N419)</f>
        <v>170.6187</v>
      </c>
      <c r="P419" s="51"/>
      <c r="Q419" s="51"/>
      <c r="R419" s="67">
        <f t="shared" si="192"/>
        <v>94.1629692832765</v>
      </c>
      <c r="S419" s="67"/>
      <c r="T419" s="91">
        <f t="shared" si="193"/>
        <v>0.453370307167235</v>
      </c>
      <c r="U419" s="67"/>
      <c r="V419" s="67">
        <v>29</v>
      </c>
      <c r="W419" s="89">
        <f t="shared" si="188"/>
        <v>123.616339590444</v>
      </c>
      <c r="X419" s="90">
        <f t="shared" si="194"/>
        <v>1.56109215017065</v>
      </c>
      <c r="Y419" s="90"/>
      <c r="Z419" s="90"/>
      <c r="AA419" s="90">
        <f t="shared" si="185"/>
        <v>1.56109215017065</v>
      </c>
      <c r="AB419" s="107">
        <v>7.19</v>
      </c>
      <c r="AC419" s="67">
        <f t="shared" si="189"/>
        <v>11.224252559727</v>
      </c>
      <c r="AD419" s="67">
        <f t="shared" si="186"/>
        <v>134.840592150171</v>
      </c>
      <c r="AE419" s="67">
        <f t="shared" si="187"/>
        <v>35.7781078498293</v>
      </c>
    </row>
    <row r="420" customFormat="1" spans="1:31">
      <c r="A420" s="18"/>
      <c r="B420" s="19"/>
      <c r="C420" s="20">
        <v>240204000030</v>
      </c>
      <c r="D420" s="21">
        <v>45332</v>
      </c>
      <c r="E420" s="21" t="s">
        <v>37</v>
      </c>
      <c r="F420" s="19" t="s">
        <v>38</v>
      </c>
      <c r="G420" s="19" t="s">
        <v>60</v>
      </c>
      <c r="H420" s="19">
        <v>7.5</v>
      </c>
      <c r="I420" s="44">
        <v>937</v>
      </c>
      <c r="J420" s="45"/>
      <c r="K420" s="46"/>
      <c r="L420" s="61"/>
      <c r="M420" s="62"/>
      <c r="N420" s="48"/>
      <c r="O420" s="49">
        <f>SUBTOTAL(9,I420)</f>
        <v>937</v>
      </c>
      <c r="P420" s="51"/>
      <c r="Q420" s="51"/>
      <c r="R420" s="67">
        <f t="shared" si="192"/>
        <v>282.488907849829</v>
      </c>
      <c r="S420" s="67"/>
      <c r="T420" s="91">
        <f t="shared" si="193"/>
        <v>1.36011092150171</v>
      </c>
      <c r="U420" s="67"/>
      <c r="V420" s="67"/>
      <c r="W420" s="89">
        <f t="shared" si="188"/>
        <v>283.849018771331</v>
      </c>
      <c r="X420" s="90">
        <f t="shared" si="194"/>
        <v>4.68327645051195</v>
      </c>
      <c r="Y420" s="90"/>
      <c r="Z420" s="90"/>
      <c r="AA420" s="90">
        <f t="shared" si="185"/>
        <v>4.68327645051195</v>
      </c>
      <c r="AB420" s="107">
        <v>7.19</v>
      </c>
      <c r="AC420" s="67">
        <f t="shared" si="189"/>
        <v>33.6727576791809</v>
      </c>
      <c r="AD420" s="67">
        <f t="shared" si="186"/>
        <v>317.521776450512</v>
      </c>
      <c r="AE420" s="67">
        <f t="shared" si="187"/>
        <v>619.478223549488</v>
      </c>
    </row>
    <row r="421" customFormat="1" spans="1:31">
      <c r="A421" s="18"/>
      <c r="B421" s="19"/>
      <c r="C421" s="20">
        <v>240204000031</v>
      </c>
      <c r="D421" s="21">
        <v>45332</v>
      </c>
      <c r="E421" s="21" t="s">
        <v>76</v>
      </c>
      <c r="F421" s="19" t="s">
        <v>77</v>
      </c>
      <c r="G421" s="19" t="s">
        <v>340</v>
      </c>
      <c r="H421" s="19">
        <v>63</v>
      </c>
      <c r="I421" s="44">
        <v>2835</v>
      </c>
      <c r="J421" s="45"/>
      <c r="K421" s="46"/>
      <c r="L421" s="45"/>
      <c r="M421" s="47"/>
      <c r="N421" s="48"/>
      <c r="O421" s="49">
        <f t="shared" si="199"/>
        <v>2835</v>
      </c>
      <c r="P421" s="51"/>
      <c r="Q421" s="51"/>
      <c r="R421" s="67">
        <f t="shared" si="192"/>
        <v>2372.90682593857</v>
      </c>
      <c r="S421" s="67"/>
      <c r="T421" s="91">
        <f t="shared" si="193"/>
        <v>11.4249317406143</v>
      </c>
      <c r="U421" s="67"/>
      <c r="V421" s="67"/>
      <c r="W421" s="89">
        <f t="shared" si="188"/>
        <v>2384.33175767918</v>
      </c>
      <c r="X421" s="90">
        <f t="shared" si="194"/>
        <v>39.3395221843003</v>
      </c>
      <c r="Y421" s="90"/>
      <c r="Z421" s="90"/>
      <c r="AA421" s="90">
        <f t="shared" si="185"/>
        <v>39.3395221843003</v>
      </c>
      <c r="AB421" s="107">
        <v>7.19</v>
      </c>
      <c r="AC421" s="67">
        <f t="shared" si="189"/>
        <v>282.851164505119</v>
      </c>
      <c r="AD421" s="67">
        <f t="shared" si="186"/>
        <v>2667.1829221843</v>
      </c>
      <c r="AE421" s="67">
        <f t="shared" si="187"/>
        <v>167.8170778157</v>
      </c>
    </row>
    <row r="422" customFormat="1" spans="1:31">
      <c r="A422" s="18"/>
      <c r="B422" s="19"/>
      <c r="C422" s="20">
        <v>240204000033</v>
      </c>
      <c r="D422" s="21">
        <v>45332</v>
      </c>
      <c r="E422" s="21" t="s">
        <v>44</v>
      </c>
      <c r="F422" s="19" t="s">
        <v>44</v>
      </c>
      <c r="G422" s="19" t="s">
        <v>149</v>
      </c>
      <c r="H422" s="19">
        <v>310.5</v>
      </c>
      <c r="I422" s="44">
        <v>14693.5</v>
      </c>
      <c r="J422" s="45"/>
      <c r="K422" s="46"/>
      <c r="L422" s="45"/>
      <c r="M422" s="47"/>
      <c r="N422" s="48"/>
      <c r="O422" s="49">
        <f t="shared" si="199"/>
        <v>14693.5</v>
      </c>
      <c r="P422" s="51"/>
      <c r="Q422" s="51"/>
      <c r="R422" s="67">
        <f t="shared" si="192"/>
        <v>11695.0407849829</v>
      </c>
      <c r="S422" s="67"/>
      <c r="T422" s="91">
        <f t="shared" si="193"/>
        <v>56.3085921501706</v>
      </c>
      <c r="U422" s="67"/>
      <c r="V422" s="67"/>
      <c r="W422" s="89">
        <f t="shared" si="188"/>
        <v>11751.3493771331</v>
      </c>
      <c r="X422" s="90">
        <f t="shared" si="194"/>
        <v>193.887645051195</v>
      </c>
      <c r="Y422" s="90"/>
      <c r="Z422" s="90"/>
      <c r="AA422" s="90">
        <f t="shared" si="185"/>
        <v>193.887645051195</v>
      </c>
      <c r="AB422" s="107">
        <v>7.19</v>
      </c>
      <c r="AC422" s="67">
        <f t="shared" si="189"/>
        <v>1394.05216791809</v>
      </c>
      <c r="AD422" s="67">
        <f t="shared" si="186"/>
        <v>13145.4015450512</v>
      </c>
      <c r="AE422" s="67">
        <f t="shared" si="187"/>
        <v>1548.0984549488</v>
      </c>
    </row>
    <row r="423" customFormat="1" spans="1:31">
      <c r="A423" s="18"/>
      <c r="B423" s="19"/>
      <c r="C423" s="20">
        <v>240204000037</v>
      </c>
      <c r="D423" s="21">
        <v>45332</v>
      </c>
      <c r="E423" s="21" t="s">
        <v>76</v>
      </c>
      <c r="F423" s="19" t="s">
        <v>77</v>
      </c>
      <c r="G423" s="19" t="s">
        <v>138</v>
      </c>
      <c r="H423" s="19">
        <v>4</v>
      </c>
      <c r="I423" s="49"/>
      <c r="J423" s="65">
        <v>68640</v>
      </c>
      <c r="K423" s="66"/>
      <c r="L423" s="61">
        <f>SUM(J423/M423)</f>
        <v>1716</v>
      </c>
      <c r="M423" s="62">
        <v>40</v>
      </c>
      <c r="N423" s="48">
        <v>7.19</v>
      </c>
      <c r="O423" s="49">
        <f>SUM(M423*N423)</f>
        <v>287.6</v>
      </c>
      <c r="P423" s="51"/>
      <c r="Q423" s="51"/>
      <c r="R423" s="67">
        <f t="shared" si="192"/>
        <v>150.660750853242</v>
      </c>
      <c r="S423" s="67"/>
      <c r="T423" s="91">
        <f t="shared" si="193"/>
        <v>0.725392491467577</v>
      </c>
      <c r="U423" s="67"/>
      <c r="V423" s="67"/>
      <c r="W423" s="89">
        <f t="shared" si="188"/>
        <v>151.38614334471</v>
      </c>
      <c r="X423" s="90">
        <f t="shared" si="194"/>
        <v>2.49774744027304</v>
      </c>
      <c r="Y423" s="90"/>
      <c r="Z423" s="90"/>
      <c r="AA423" s="90">
        <f t="shared" si="185"/>
        <v>2.49774744027304</v>
      </c>
      <c r="AB423" s="107">
        <v>7.19</v>
      </c>
      <c r="AC423" s="67">
        <f t="shared" si="189"/>
        <v>17.9588040955631</v>
      </c>
      <c r="AD423" s="67">
        <f t="shared" si="186"/>
        <v>169.344947440273</v>
      </c>
      <c r="AE423" s="67">
        <f t="shared" si="187"/>
        <v>118.255052559727</v>
      </c>
    </row>
    <row r="424" customFormat="1" spans="1:31">
      <c r="A424" s="18"/>
      <c r="B424" s="19"/>
      <c r="C424" s="20">
        <v>240204000039</v>
      </c>
      <c r="D424" s="21">
        <v>45332</v>
      </c>
      <c r="E424" s="21" t="s">
        <v>76</v>
      </c>
      <c r="F424" s="19" t="s">
        <v>77</v>
      </c>
      <c r="G424" s="19" t="s">
        <v>269</v>
      </c>
      <c r="H424" s="19">
        <v>1.5</v>
      </c>
      <c r="I424" s="44">
        <v>91.8</v>
      </c>
      <c r="J424" s="45"/>
      <c r="K424" s="46"/>
      <c r="L424" s="45"/>
      <c r="M424" s="47"/>
      <c r="N424" s="48"/>
      <c r="O424" s="49">
        <f t="shared" ref="O424:O428" si="200">SUM(I424)</f>
        <v>91.8</v>
      </c>
      <c r="P424" s="51"/>
      <c r="Q424" s="51"/>
      <c r="R424" s="67">
        <f t="shared" si="192"/>
        <v>56.4977815699659</v>
      </c>
      <c r="S424" s="67"/>
      <c r="T424" s="91">
        <f t="shared" si="193"/>
        <v>0.272022184300341</v>
      </c>
      <c r="U424" s="67"/>
      <c r="V424" s="67"/>
      <c r="W424" s="89">
        <f t="shared" si="188"/>
        <v>56.7698037542662</v>
      </c>
      <c r="X424" s="90">
        <f t="shared" si="194"/>
        <v>0.936655290102389</v>
      </c>
      <c r="Y424" s="90"/>
      <c r="Z424" s="90"/>
      <c r="AA424" s="90">
        <f t="shared" si="185"/>
        <v>0.936655290102389</v>
      </c>
      <c r="AB424" s="107">
        <v>7.19</v>
      </c>
      <c r="AC424" s="67">
        <f t="shared" si="189"/>
        <v>6.73455153583618</v>
      </c>
      <c r="AD424" s="67">
        <f t="shared" si="186"/>
        <v>63.5043552901024</v>
      </c>
      <c r="AE424" s="67">
        <f t="shared" si="187"/>
        <v>28.2956447098976</v>
      </c>
    </row>
    <row r="425" customFormat="1" spans="1:31">
      <c r="A425" s="18"/>
      <c r="B425" s="19"/>
      <c r="C425" s="20">
        <v>240204000042</v>
      </c>
      <c r="D425" s="21">
        <v>45332</v>
      </c>
      <c r="E425" s="21" t="s">
        <v>37</v>
      </c>
      <c r="F425" s="19" t="s">
        <v>38</v>
      </c>
      <c r="G425" s="19" t="s">
        <v>215</v>
      </c>
      <c r="H425" s="19">
        <v>17.5</v>
      </c>
      <c r="I425" s="44">
        <v>916</v>
      </c>
      <c r="J425" s="45"/>
      <c r="K425" s="46"/>
      <c r="L425" s="45"/>
      <c r="M425" s="47"/>
      <c r="N425" s="48"/>
      <c r="O425" s="49">
        <f t="shared" si="200"/>
        <v>916</v>
      </c>
      <c r="P425" s="51"/>
      <c r="Q425" s="51"/>
      <c r="R425" s="67">
        <f t="shared" si="192"/>
        <v>659.140784982935</v>
      </c>
      <c r="S425" s="67"/>
      <c r="T425" s="91">
        <f t="shared" si="193"/>
        <v>3.17359215017065</v>
      </c>
      <c r="U425" s="67"/>
      <c r="V425" s="67"/>
      <c r="W425" s="89">
        <f t="shared" si="188"/>
        <v>662.314377133106</v>
      </c>
      <c r="X425" s="90">
        <f t="shared" si="194"/>
        <v>10.9276450511945</v>
      </c>
      <c r="Y425" s="90"/>
      <c r="Z425" s="90"/>
      <c r="AA425" s="90">
        <f t="shared" si="185"/>
        <v>10.9276450511945</v>
      </c>
      <c r="AB425" s="107">
        <v>7.19</v>
      </c>
      <c r="AC425" s="67">
        <f t="shared" si="189"/>
        <v>78.5697679180887</v>
      </c>
      <c r="AD425" s="67">
        <f t="shared" si="186"/>
        <v>740.884145051195</v>
      </c>
      <c r="AE425" s="67">
        <f t="shared" si="187"/>
        <v>175.115854948805</v>
      </c>
    </row>
    <row r="426" customFormat="1" spans="1:31">
      <c r="A426" s="18"/>
      <c r="B426" s="19"/>
      <c r="C426" s="20">
        <v>240204000043</v>
      </c>
      <c r="D426" s="21">
        <v>45332</v>
      </c>
      <c r="E426" s="21" t="s">
        <v>44</v>
      </c>
      <c r="F426" s="19" t="s">
        <v>44</v>
      </c>
      <c r="G426" s="19" t="s">
        <v>341</v>
      </c>
      <c r="H426" s="19">
        <v>10</v>
      </c>
      <c r="I426" s="44">
        <v>526</v>
      </c>
      <c r="J426" s="45"/>
      <c r="K426" s="46"/>
      <c r="L426" s="45"/>
      <c r="M426" s="47"/>
      <c r="N426" s="48"/>
      <c r="O426" s="49">
        <f t="shared" si="200"/>
        <v>526</v>
      </c>
      <c r="P426" s="51"/>
      <c r="Q426" s="51"/>
      <c r="R426" s="67">
        <f t="shared" si="192"/>
        <v>376.651877133106</v>
      </c>
      <c r="S426" s="67"/>
      <c r="T426" s="91">
        <f t="shared" si="193"/>
        <v>1.81348122866894</v>
      </c>
      <c r="U426" s="67"/>
      <c r="V426" s="67"/>
      <c r="W426" s="89">
        <f t="shared" si="188"/>
        <v>378.465358361775</v>
      </c>
      <c r="X426" s="90">
        <f t="shared" si="194"/>
        <v>6.24436860068259</v>
      </c>
      <c r="Y426" s="90"/>
      <c r="Z426" s="90"/>
      <c r="AA426" s="90">
        <f t="shared" si="185"/>
        <v>6.24436860068259</v>
      </c>
      <c r="AB426" s="107">
        <v>7.19</v>
      </c>
      <c r="AC426" s="67">
        <f t="shared" si="189"/>
        <v>44.8970102389079</v>
      </c>
      <c r="AD426" s="67">
        <f t="shared" si="186"/>
        <v>423.362368600683</v>
      </c>
      <c r="AE426" s="67">
        <f t="shared" si="187"/>
        <v>102.637631399317</v>
      </c>
    </row>
    <row r="427" customFormat="1" spans="1:31">
      <c r="A427" s="18"/>
      <c r="B427" s="19"/>
      <c r="C427" s="20">
        <v>240206000002</v>
      </c>
      <c r="D427" s="21">
        <v>45332</v>
      </c>
      <c r="E427" s="21" t="s">
        <v>44</v>
      </c>
      <c r="F427" s="19" t="s">
        <v>44</v>
      </c>
      <c r="G427" s="19" t="s">
        <v>333</v>
      </c>
      <c r="H427" s="19">
        <v>41</v>
      </c>
      <c r="I427" s="44">
        <v>2263</v>
      </c>
      <c r="J427" s="45"/>
      <c r="K427" s="46"/>
      <c r="L427" s="45"/>
      <c r="M427" s="47"/>
      <c r="N427" s="48"/>
      <c r="O427" s="49">
        <f t="shared" si="200"/>
        <v>2263</v>
      </c>
      <c r="P427" s="52"/>
      <c r="Q427" s="52"/>
      <c r="R427" s="67">
        <f t="shared" si="192"/>
        <v>1544.27269624573</v>
      </c>
      <c r="S427" s="67"/>
      <c r="T427" s="91">
        <f t="shared" si="193"/>
        <v>7.43527303754266</v>
      </c>
      <c r="U427" s="67"/>
      <c r="V427" s="67"/>
      <c r="W427" s="89">
        <f t="shared" si="188"/>
        <v>1551.70796928328</v>
      </c>
      <c r="X427" s="90">
        <f t="shared" si="194"/>
        <v>25.6019112627986</v>
      </c>
      <c r="Y427" s="90"/>
      <c r="Z427" s="90"/>
      <c r="AA427" s="90">
        <f t="shared" ref="AA427:AA448" si="201">SUM(X427:Z427)</f>
        <v>25.6019112627986</v>
      </c>
      <c r="AB427" s="107">
        <v>7.19</v>
      </c>
      <c r="AC427" s="67">
        <f t="shared" ref="AC427:AC448" si="202">SUM(AA427*AB427)</f>
        <v>184.077741979522</v>
      </c>
      <c r="AD427" s="67">
        <f t="shared" ref="AD427:AD448" si="203">SUM(W427+AC427)</f>
        <v>1735.7857112628</v>
      </c>
      <c r="AE427" s="67">
        <f t="shared" si="187"/>
        <v>527.214288737201</v>
      </c>
    </row>
    <row r="428" customFormat="1" spans="1:31">
      <c r="A428" s="18" t="s">
        <v>342</v>
      </c>
      <c r="B428" s="19" t="s">
        <v>343</v>
      </c>
      <c r="C428" s="20">
        <v>240202000046</v>
      </c>
      <c r="D428" s="21">
        <v>45332</v>
      </c>
      <c r="E428" s="21" t="s">
        <v>37</v>
      </c>
      <c r="F428" s="19" t="s">
        <v>38</v>
      </c>
      <c r="G428" s="19" t="s">
        <v>344</v>
      </c>
      <c r="H428" s="19">
        <v>1400</v>
      </c>
      <c r="I428" s="44">
        <v>63350</v>
      </c>
      <c r="J428" s="45"/>
      <c r="K428" s="46"/>
      <c r="L428" s="45"/>
      <c r="M428" s="47"/>
      <c r="N428" s="48"/>
      <c r="O428" s="49">
        <f t="shared" si="200"/>
        <v>63350</v>
      </c>
      <c r="P428" s="49">
        <f t="shared" ref="P428:P432" si="204">SUM(O428)</f>
        <v>63350</v>
      </c>
      <c r="Q428" s="63" t="s">
        <v>50</v>
      </c>
      <c r="R428" s="49">
        <v>45942</v>
      </c>
      <c r="S428" s="49"/>
      <c r="T428" s="49">
        <v>0</v>
      </c>
      <c r="U428" s="49"/>
      <c r="V428" s="49"/>
      <c r="W428" s="89">
        <f t="shared" ref="W428:W448" si="205">SUM(R428:V428)</f>
        <v>45942</v>
      </c>
      <c r="X428" s="47">
        <v>757.75</v>
      </c>
      <c r="Y428" s="47"/>
      <c r="Z428" s="47"/>
      <c r="AA428" s="90">
        <f t="shared" si="201"/>
        <v>757.75</v>
      </c>
      <c r="AB428" s="107">
        <v>7.19</v>
      </c>
      <c r="AC428" s="67">
        <f t="shared" si="202"/>
        <v>5448.2225</v>
      </c>
      <c r="AD428" s="67">
        <f t="shared" si="203"/>
        <v>51390.2225</v>
      </c>
      <c r="AE428" s="67">
        <f t="shared" ref="AE428:AE448" si="206">SUM(O428-AD428)</f>
        <v>11959.7775</v>
      </c>
    </row>
    <row r="429" customFormat="1" ht="40.5" spans="1:31">
      <c r="A429" s="18" t="s">
        <v>345</v>
      </c>
      <c r="B429" s="19" t="s">
        <v>346</v>
      </c>
      <c r="C429" s="20">
        <v>240203000024</v>
      </c>
      <c r="D429" s="21">
        <v>45332</v>
      </c>
      <c r="E429" s="21" t="s">
        <v>44</v>
      </c>
      <c r="F429" s="19" t="s">
        <v>44</v>
      </c>
      <c r="G429" s="19" t="s">
        <v>347</v>
      </c>
      <c r="H429" s="19">
        <v>415</v>
      </c>
      <c r="I429" s="53"/>
      <c r="J429" s="61">
        <v>9951620</v>
      </c>
      <c r="K429" s="55"/>
      <c r="L429" s="61">
        <f>SUM(J429/M429)</f>
        <v>1560.2307824969</v>
      </c>
      <c r="M429" s="62">
        <v>6378.3</v>
      </c>
      <c r="N429" s="48">
        <v>7.19</v>
      </c>
      <c r="O429" s="49">
        <f t="shared" ref="O429:O437" si="207">SUM(M429*N429)</f>
        <v>45859.977</v>
      </c>
      <c r="P429" s="49">
        <f t="shared" si="204"/>
        <v>45859.977</v>
      </c>
      <c r="Q429" s="122" t="s">
        <v>348</v>
      </c>
      <c r="R429" s="49">
        <v>33909.7</v>
      </c>
      <c r="S429" s="49"/>
      <c r="T429" s="53">
        <v>130</v>
      </c>
      <c r="U429" s="49"/>
      <c r="V429" s="49"/>
      <c r="W429" s="89">
        <f t="shared" si="205"/>
        <v>34039.7</v>
      </c>
      <c r="X429" s="47">
        <v>687.98</v>
      </c>
      <c r="Y429" s="47"/>
      <c r="Z429" s="47"/>
      <c r="AA429" s="90">
        <f t="shared" si="201"/>
        <v>687.98</v>
      </c>
      <c r="AB429" s="107">
        <v>7.19</v>
      </c>
      <c r="AC429" s="67">
        <f t="shared" si="202"/>
        <v>4946.5762</v>
      </c>
      <c r="AD429" s="67">
        <f t="shared" si="203"/>
        <v>38986.2762</v>
      </c>
      <c r="AE429" s="67">
        <f t="shared" si="206"/>
        <v>6873.7008</v>
      </c>
    </row>
    <row r="430" customFormat="1" spans="1:31">
      <c r="A430" s="18" t="s">
        <v>349</v>
      </c>
      <c r="B430" s="19" t="s">
        <v>350</v>
      </c>
      <c r="C430" s="20">
        <v>240202000060</v>
      </c>
      <c r="D430" s="21">
        <v>45342</v>
      </c>
      <c r="E430" s="21" t="s">
        <v>44</v>
      </c>
      <c r="F430" s="19" t="s">
        <v>44</v>
      </c>
      <c r="G430" s="19" t="s">
        <v>49</v>
      </c>
      <c r="H430" s="19">
        <v>3397</v>
      </c>
      <c r="I430" s="44">
        <v>97319</v>
      </c>
      <c r="J430" s="45"/>
      <c r="K430" s="46"/>
      <c r="L430" s="45"/>
      <c r="M430" s="47"/>
      <c r="N430" s="48"/>
      <c r="O430" s="49">
        <f t="shared" ref="O430:O433" si="208">SUM(I430)</f>
        <v>97319</v>
      </c>
      <c r="P430" s="49">
        <f t="shared" si="204"/>
        <v>97319</v>
      </c>
      <c r="Q430" s="123" t="s">
        <v>351</v>
      </c>
      <c r="R430" s="124">
        <v>0</v>
      </c>
      <c r="S430" s="124"/>
      <c r="T430" s="120">
        <v>0</v>
      </c>
      <c r="U430" s="124"/>
      <c r="V430" s="124"/>
      <c r="W430" s="89">
        <f t="shared" si="205"/>
        <v>0</v>
      </c>
      <c r="X430" s="125">
        <v>9321.71</v>
      </c>
      <c r="Y430" s="125"/>
      <c r="Z430" s="125"/>
      <c r="AA430" s="90">
        <f t="shared" si="201"/>
        <v>9321.71</v>
      </c>
      <c r="AB430" s="107">
        <v>7.19</v>
      </c>
      <c r="AC430" s="67">
        <f t="shared" si="202"/>
        <v>67023.0949</v>
      </c>
      <c r="AD430" s="67">
        <f t="shared" si="203"/>
        <v>67023.0949</v>
      </c>
      <c r="AE430" s="67">
        <f t="shared" si="206"/>
        <v>30295.9051</v>
      </c>
    </row>
    <row r="431" customFormat="1" spans="1:31">
      <c r="A431" s="18" t="s">
        <v>352</v>
      </c>
      <c r="B431" s="19" t="s">
        <v>353</v>
      </c>
      <c r="C431" s="20">
        <v>240221000016</v>
      </c>
      <c r="D431" s="21">
        <v>45344</v>
      </c>
      <c r="E431" s="21" t="s">
        <v>41</v>
      </c>
      <c r="F431" s="19" t="s">
        <v>42</v>
      </c>
      <c r="G431" s="19" t="s">
        <v>354</v>
      </c>
      <c r="H431" s="19">
        <v>158</v>
      </c>
      <c r="I431" s="53"/>
      <c r="J431" s="61">
        <v>4224000</v>
      </c>
      <c r="K431" s="55"/>
      <c r="L431" s="61">
        <f>SUM(J431/M431)</f>
        <v>1581.8032707078</v>
      </c>
      <c r="M431" s="62">
        <v>2670.37</v>
      </c>
      <c r="N431" s="48">
        <v>7.19</v>
      </c>
      <c r="O431" s="49">
        <f t="shared" si="207"/>
        <v>19199.9603</v>
      </c>
      <c r="P431" s="120">
        <f t="shared" si="204"/>
        <v>19199.9603</v>
      </c>
      <c r="Q431" s="120" t="s">
        <v>40</v>
      </c>
      <c r="R431" s="124">
        <v>11000</v>
      </c>
      <c r="S431" s="124"/>
      <c r="T431" s="126">
        <v>68.81</v>
      </c>
      <c r="U431" s="124"/>
      <c r="V431" s="124"/>
      <c r="W431" s="89">
        <f t="shared" si="205"/>
        <v>11068.81</v>
      </c>
      <c r="X431" s="125">
        <v>229.2</v>
      </c>
      <c r="Y431" s="125"/>
      <c r="Z431" s="125"/>
      <c r="AA431" s="90">
        <f t="shared" si="201"/>
        <v>229.2</v>
      </c>
      <c r="AB431" s="107">
        <v>7.19</v>
      </c>
      <c r="AC431" s="67">
        <f t="shared" si="202"/>
        <v>1647.948</v>
      </c>
      <c r="AD431" s="67">
        <f t="shared" si="203"/>
        <v>12716.758</v>
      </c>
      <c r="AE431" s="67">
        <f t="shared" si="206"/>
        <v>6483.2023</v>
      </c>
    </row>
    <row r="432" customFormat="1" spans="1:31">
      <c r="A432" s="18" t="s">
        <v>355</v>
      </c>
      <c r="B432" s="19" t="s">
        <v>356</v>
      </c>
      <c r="C432" s="20">
        <v>240119000019</v>
      </c>
      <c r="D432" s="21">
        <v>45343</v>
      </c>
      <c r="E432" s="21" t="s">
        <v>44</v>
      </c>
      <c r="F432" s="19" t="s">
        <v>44</v>
      </c>
      <c r="G432" s="19" t="s">
        <v>49</v>
      </c>
      <c r="H432" s="19">
        <v>881.5</v>
      </c>
      <c r="I432" s="44">
        <v>57886</v>
      </c>
      <c r="J432" s="45"/>
      <c r="K432" s="46"/>
      <c r="L432" s="45"/>
      <c r="M432" s="47"/>
      <c r="N432" s="48"/>
      <c r="O432" s="49">
        <f t="shared" si="208"/>
        <v>57886</v>
      </c>
      <c r="P432" s="49">
        <f t="shared" si="204"/>
        <v>57886</v>
      </c>
      <c r="Q432" s="123" t="s">
        <v>50</v>
      </c>
      <c r="R432" s="124">
        <v>42739</v>
      </c>
      <c r="S432" s="127">
        <v>1500</v>
      </c>
      <c r="T432" s="120"/>
      <c r="U432" s="124">
        <v>320</v>
      </c>
      <c r="V432" s="124"/>
      <c r="W432" s="89">
        <f t="shared" si="205"/>
        <v>44559</v>
      </c>
      <c r="X432" s="125">
        <v>0</v>
      </c>
      <c r="Y432" s="125"/>
      <c r="Z432" s="125"/>
      <c r="AA432" s="90">
        <f t="shared" si="201"/>
        <v>0</v>
      </c>
      <c r="AB432" s="107">
        <v>7.19</v>
      </c>
      <c r="AC432" s="67">
        <f t="shared" si="202"/>
        <v>0</v>
      </c>
      <c r="AD432" s="67">
        <f t="shared" si="203"/>
        <v>44559</v>
      </c>
      <c r="AE432" s="67">
        <f t="shared" si="206"/>
        <v>13327</v>
      </c>
    </row>
    <row r="433" customFormat="1" spans="1:31">
      <c r="A433" s="18" t="s">
        <v>357</v>
      </c>
      <c r="B433" s="19" t="s">
        <v>358</v>
      </c>
      <c r="C433" s="20">
        <v>240204000009</v>
      </c>
      <c r="D433" s="21">
        <v>45347</v>
      </c>
      <c r="E433" s="21" t="s">
        <v>37</v>
      </c>
      <c r="F433" s="19" t="s">
        <v>38</v>
      </c>
      <c r="G433" s="19" t="s">
        <v>224</v>
      </c>
      <c r="H433" s="19">
        <v>0.54</v>
      </c>
      <c r="I433" s="44">
        <v>115</v>
      </c>
      <c r="J433" s="45"/>
      <c r="K433" s="46"/>
      <c r="L433" s="45"/>
      <c r="M433" s="47"/>
      <c r="N433" s="48"/>
      <c r="O433" s="49">
        <f t="shared" si="208"/>
        <v>115</v>
      </c>
      <c r="P433" s="50">
        <f>SUM(O433:O448)</f>
        <v>4349.07288562</v>
      </c>
      <c r="Q433" s="50" t="s">
        <v>40</v>
      </c>
      <c r="R433" s="67">
        <f>SUM(2200/32)*H433</f>
        <v>37.125</v>
      </c>
      <c r="S433" s="67"/>
      <c r="T433" s="91">
        <f>SUM(68.81/32)*H433</f>
        <v>1.16116875</v>
      </c>
      <c r="U433" s="67"/>
      <c r="V433" s="67"/>
      <c r="W433" s="89">
        <f t="shared" si="205"/>
        <v>38.28616875</v>
      </c>
      <c r="X433" s="90">
        <f>SUM(82.73/32)*H433</f>
        <v>1.39606875</v>
      </c>
      <c r="Y433" s="90"/>
      <c r="Z433" s="90"/>
      <c r="AA433" s="90">
        <f t="shared" si="201"/>
        <v>1.39606875</v>
      </c>
      <c r="AB433" s="107">
        <v>7.19</v>
      </c>
      <c r="AC433" s="67">
        <f t="shared" si="202"/>
        <v>10.0377343125</v>
      </c>
      <c r="AD433" s="67">
        <f t="shared" si="203"/>
        <v>48.3239030625</v>
      </c>
      <c r="AE433" s="67">
        <f t="shared" si="206"/>
        <v>66.6760969375</v>
      </c>
    </row>
    <row r="434" customFormat="1" spans="1:31">
      <c r="A434" s="18"/>
      <c r="B434" s="19"/>
      <c r="C434" s="20">
        <v>240217000001</v>
      </c>
      <c r="D434" s="21">
        <v>45347</v>
      </c>
      <c r="E434" s="21" t="s">
        <v>37</v>
      </c>
      <c r="F434" s="19" t="s">
        <v>359</v>
      </c>
      <c r="G434" s="19" t="s">
        <v>360</v>
      </c>
      <c r="H434" s="19">
        <v>0.912</v>
      </c>
      <c r="I434" s="49"/>
      <c r="J434" s="65">
        <v>29125</v>
      </c>
      <c r="K434" s="66"/>
      <c r="L434" s="61">
        <f>SUM(J434/M434)</f>
        <v>1797.83950617284</v>
      </c>
      <c r="M434" s="62">
        <v>16.2</v>
      </c>
      <c r="N434" s="48">
        <v>7.19</v>
      </c>
      <c r="O434" s="49">
        <f t="shared" si="207"/>
        <v>116.478</v>
      </c>
      <c r="P434" s="51"/>
      <c r="Q434" s="51"/>
      <c r="R434" s="67">
        <f t="shared" ref="R434:R448" si="209">SUM(2200/32)*H434</f>
        <v>62.7</v>
      </c>
      <c r="S434" s="67"/>
      <c r="T434" s="91">
        <f t="shared" ref="T434:T448" si="210">SUM(68.81/32)*H434</f>
        <v>1.961085</v>
      </c>
      <c r="U434" s="67"/>
      <c r="V434" s="67"/>
      <c r="W434" s="89">
        <f t="shared" si="205"/>
        <v>64.661085</v>
      </c>
      <c r="X434" s="90">
        <f t="shared" ref="X434:X448" si="211">SUM(82.73/32)*H434</f>
        <v>2.357805</v>
      </c>
      <c r="Y434" s="90"/>
      <c r="Z434" s="90"/>
      <c r="AA434" s="90">
        <f t="shared" si="201"/>
        <v>2.357805</v>
      </c>
      <c r="AB434" s="107">
        <v>7.19</v>
      </c>
      <c r="AC434" s="67">
        <f t="shared" si="202"/>
        <v>16.95261795</v>
      </c>
      <c r="AD434" s="67">
        <f t="shared" si="203"/>
        <v>81.61370295</v>
      </c>
      <c r="AE434" s="67">
        <f t="shared" si="206"/>
        <v>34.86429705</v>
      </c>
    </row>
    <row r="435" customFormat="1" spans="1:31">
      <c r="A435" s="18"/>
      <c r="B435" s="19"/>
      <c r="C435" s="20">
        <v>240217000002</v>
      </c>
      <c r="D435" s="21">
        <v>45347</v>
      </c>
      <c r="E435" s="21" t="s">
        <v>37</v>
      </c>
      <c r="F435" s="19" t="s">
        <v>359</v>
      </c>
      <c r="G435" s="19" t="s">
        <v>360</v>
      </c>
      <c r="H435" s="19">
        <v>1.5</v>
      </c>
      <c r="I435" s="49"/>
      <c r="J435" s="65">
        <v>43500</v>
      </c>
      <c r="K435" s="66"/>
      <c r="L435" s="61">
        <f>SUM(J435/M435)</f>
        <v>1790.12338312249</v>
      </c>
      <c r="M435" s="62">
        <v>24.300001</v>
      </c>
      <c r="N435" s="48">
        <v>7.19</v>
      </c>
      <c r="O435" s="49">
        <f t="shared" si="207"/>
        <v>174.71700719</v>
      </c>
      <c r="P435" s="51"/>
      <c r="Q435" s="51"/>
      <c r="R435" s="67">
        <f t="shared" si="209"/>
        <v>103.125</v>
      </c>
      <c r="S435" s="67"/>
      <c r="T435" s="91">
        <f t="shared" si="210"/>
        <v>3.22546875</v>
      </c>
      <c r="U435" s="67"/>
      <c r="V435" s="67"/>
      <c r="W435" s="89">
        <f t="shared" si="205"/>
        <v>106.35046875</v>
      </c>
      <c r="X435" s="90">
        <f t="shared" si="211"/>
        <v>3.87796875</v>
      </c>
      <c r="Y435" s="90"/>
      <c r="Z435" s="90"/>
      <c r="AA435" s="90">
        <f t="shared" si="201"/>
        <v>3.87796875</v>
      </c>
      <c r="AB435" s="107">
        <v>7.19</v>
      </c>
      <c r="AC435" s="67">
        <f t="shared" si="202"/>
        <v>27.8825953125</v>
      </c>
      <c r="AD435" s="67">
        <f t="shared" si="203"/>
        <v>134.2330640625</v>
      </c>
      <c r="AE435" s="67">
        <f t="shared" si="206"/>
        <v>40.4839431275</v>
      </c>
    </row>
    <row r="436" customFormat="1" spans="1:31">
      <c r="A436" s="18"/>
      <c r="B436" s="19"/>
      <c r="C436" s="20">
        <v>240217000003</v>
      </c>
      <c r="D436" s="21">
        <v>45347</v>
      </c>
      <c r="E436" s="21" t="s">
        <v>37</v>
      </c>
      <c r="F436" s="19" t="s">
        <v>359</v>
      </c>
      <c r="G436" s="19" t="s">
        <v>360</v>
      </c>
      <c r="H436" s="19">
        <v>1</v>
      </c>
      <c r="I436" s="49"/>
      <c r="J436" s="65">
        <v>29125</v>
      </c>
      <c r="K436" s="66"/>
      <c r="L436" s="61">
        <f>SUM(J436/M436)</f>
        <v>1797.83950617284</v>
      </c>
      <c r="M436" s="62">
        <v>16.2</v>
      </c>
      <c r="N436" s="48">
        <v>7.19</v>
      </c>
      <c r="O436" s="49">
        <f t="shared" si="207"/>
        <v>116.478</v>
      </c>
      <c r="P436" s="51"/>
      <c r="Q436" s="51"/>
      <c r="R436" s="67">
        <f t="shared" si="209"/>
        <v>68.75</v>
      </c>
      <c r="S436" s="67"/>
      <c r="T436" s="91">
        <f t="shared" si="210"/>
        <v>2.1503125</v>
      </c>
      <c r="U436" s="67"/>
      <c r="V436" s="67"/>
      <c r="W436" s="89">
        <f t="shared" si="205"/>
        <v>70.9003125</v>
      </c>
      <c r="X436" s="90">
        <f t="shared" si="211"/>
        <v>2.5853125</v>
      </c>
      <c r="Y436" s="90"/>
      <c r="Z436" s="90"/>
      <c r="AA436" s="90">
        <f t="shared" si="201"/>
        <v>2.5853125</v>
      </c>
      <c r="AB436" s="107">
        <v>7.19</v>
      </c>
      <c r="AC436" s="67">
        <f t="shared" si="202"/>
        <v>18.588396875</v>
      </c>
      <c r="AD436" s="67">
        <f t="shared" si="203"/>
        <v>89.488709375</v>
      </c>
      <c r="AE436" s="67">
        <f t="shared" si="206"/>
        <v>26.989290625</v>
      </c>
    </row>
    <row r="437" customFormat="1" spans="1:31">
      <c r="A437" s="18"/>
      <c r="B437" s="19"/>
      <c r="C437" s="20">
        <v>240218000003</v>
      </c>
      <c r="D437" s="21">
        <v>45347</v>
      </c>
      <c r="E437" s="21" t="s">
        <v>37</v>
      </c>
      <c r="F437" s="19" t="s">
        <v>359</v>
      </c>
      <c r="G437" s="19" t="s">
        <v>360</v>
      </c>
      <c r="H437" s="19">
        <v>0.74</v>
      </c>
      <c r="I437" s="49"/>
      <c r="J437" s="65">
        <v>29470</v>
      </c>
      <c r="K437" s="66"/>
      <c r="L437" s="61">
        <f>SUM(J437/M437)</f>
        <v>1819.13580246914</v>
      </c>
      <c r="M437" s="62">
        <v>16.2</v>
      </c>
      <c r="N437" s="48">
        <v>7.19</v>
      </c>
      <c r="O437" s="49">
        <f t="shared" si="207"/>
        <v>116.478</v>
      </c>
      <c r="P437" s="51"/>
      <c r="Q437" s="51"/>
      <c r="R437" s="67">
        <f t="shared" si="209"/>
        <v>50.875</v>
      </c>
      <c r="S437" s="67"/>
      <c r="T437" s="91">
        <f t="shared" si="210"/>
        <v>1.59123125</v>
      </c>
      <c r="U437" s="67"/>
      <c r="V437" s="67"/>
      <c r="W437" s="89">
        <f t="shared" si="205"/>
        <v>52.46623125</v>
      </c>
      <c r="X437" s="90">
        <f t="shared" si="211"/>
        <v>1.91313125</v>
      </c>
      <c r="Y437" s="90"/>
      <c r="Z437" s="90"/>
      <c r="AA437" s="90">
        <f t="shared" si="201"/>
        <v>1.91313125</v>
      </c>
      <c r="AB437" s="107">
        <v>7.19</v>
      </c>
      <c r="AC437" s="67">
        <f t="shared" si="202"/>
        <v>13.7554136875</v>
      </c>
      <c r="AD437" s="67">
        <f t="shared" si="203"/>
        <v>66.2216449375</v>
      </c>
      <c r="AE437" s="67">
        <f t="shared" si="206"/>
        <v>50.2563550625</v>
      </c>
    </row>
    <row r="438" customFormat="1" spans="1:31">
      <c r="A438" s="18"/>
      <c r="B438" s="19"/>
      <c r="C438" s="20">
        <v>240220000018</v>
      </c>
      <c r="D438" s="21">
        <v>45347</v>
      </c>
      <c r="E438" s="21" t="s">
        <v>76</v>
      </c>
      <c r="F438" s="19" t="s">
        <v>77</v>
      </c>
      <c r="G438" s="19" t="s">
        <v>78</v>
      </c>
      <c r="H438" s="19">
        <v>5</v>
      </c>
      <c r="I438" s="44">
        <v>600</v>
      </c>
      <c r="J438" s="45"/>
      <c r="K438" s="46"/>
      <c r="L438" s="45"/>
      <c r="M438" s="47"/>
      <c r="N438" s="48"/>
      <c r="O438" s="49">
        <f>SUM(I438)</f>
        <v>600</v>
      </c>
      <c r="P438" s="51"/>
      <c r="Q438" s="51"/>
      <c r="R438" s="67">
        <f t="shared" si="209"/>
        <v>343.75</v>
      </c>
      <c r="S438" s="67"/>
      <c r="T438" s="91">
        <f t="shared" si="210"/>
        <v>10.7515625</v>
      </c>
      <c r="U438" s="67"/>
      <c r="V438" s="67"/>
      <c r="W438" s="89">
        <f t="shared" si="205"/>
        <v>354.5015625</v>
      </c>
      <c r="X438" s="90">
        <f t="shared" si="211"/>
        <v>12.9265625</v>
      </c>
      <c r="Y438" s="90"/>
      <c r="Z438" s="90"/>
      <c r="AA438" s="90">
        <f t="shared" si="201"/>
        <v>12.9265625</v>
      </c>
      <c r="AB438" s="107">
        <v>7.19</v>
      </c>
      <c r="AC438" s="67">
        <f t="shared" si="202"/>
        <v>92.941984375</v>
      </c>
      <c r="AD438" s="67">
        <f t="shared" si="203"/>
        <v>447.443546875</v>
      </c>
      <c r="AE438" s="67">
        <f t="shared" si="206"/>
        <v>152.556453125</v>
      </c>
    </row>
    <row r="439" customFormat="1" spans="1:31">
      <c r="A439" s="18"/>
      <c r="B439" s="19"/>
      <c r="C439" s="20">
        <v>240220000040</v>
      </c>
      <c r="D439" s="21">
        <v>45347</v>
      </c>
      <c r="E439" s="21" t="s">
        <v>41</v>
      </c>
      <c r="F439" s="19" t="s">
        <v>42</v>
      </c>
      <c r="G439" s="19" t="s">
        <v>59</v>
      </c>
      <c r="H439" s="19">
        <v>3</v>
      </c>
      <c r="I439" s="53"/>
      <c r="J439" s="61">
        <v>56880</v>
      </c>
      <c r="K439" s="55"/>
      <c r="L439" s="61">
        <f>SUM(J439/M439)</f>
        <v>1136.23651618058</v>
      </c>
      <c r="M439" s="62">
        <v>50.06</v>
      </c>
      <c r="N439" s="48">
        <v>7.19</v>
      </c>
      <c r="O439" s="49">
        <f t="shared" ref="O439:O442" si="212">SUM(M439*N439)</f>
        <v>359.9314</v>
      </c>
      <c r="P439" s="51"/>
      <c r="Q439" s="51"/>
      <c r="R439" s="67">
        <f t="shared" si="209"/>
        <v>206.25</v>
      </c>
      <c r="S439" s="67"/>
      <c r="T439" s="91">
        <f t="shared" si="210"/>
        <v>6.4509375</v>
      </c>
      <c r="U439" s="67"/>
      <c r="V439" s="67"/>
      <c r="W439" s="89">
        <f t="shared" si="205"/>
        <v>212.7009375</v>
      </c>
      <c r="X439" s="90">
        <f t="shared" si="211"/>
        <v>7.7559375</v>
      </c>
      <c r="Y439" s="90"/>
      <c r="Z439" s="90"/>
      <c r="AA439" s="90">
        <f t="shared" si="201"/>
        <v>7.7559375</v>
      </c>
      <c r="AB439" s="107">
        <v>7.19</v>
      </c>
      <c r="AC439" s="67">
        <f t="shared" si="202"/>
        <v>55.765190625</v>
      </c>
      <c r="AD439" s="67">
        <f t="shared" si="203"/>
        <v>268.466128125</v>
      </c>
      <c r="AE439" s="67">
        <f t="shared" si="206"/>
        <v>91.465271875</v>
      </c>
    </row>
    <row r="440" customFormat="1" spans="1:31">
      <c r="A440" s="18"/>
      <c r="B440" s="19"/>
      <c r="C440" s="20">
        <v>240220000044</v>
      </c>
      <c r="D440" s="21">
        <v>45347</v>
      </c>
      <c r="E440" s="21" t="s">
        <v>41</v>
      </c>
      <c r="F440" s="19" t="s">
        <v>42</v>
      </c>
      <c r="G440" s="19" t="s">
        <v>361</v>
      </c>
      <c r="H440" s="19">
        <v>7.5</v>
      </c>
      <c r="I440" s="53"/>
      <c r="J440" s="61">
        <v>225000</v>
      </c>
      <c r="K440" s="55"/>
      <c r="L440" s="61">
        <f>SUM(J440/M440)</f>
        <v>1797.55532475833</v>
      </c>
      <c r="M440" s="62">
        <v>125.17</v>
      </c>
      <c r="N440" s="48">
        <v>7.19</v>
      </c>
      <c r="O440" s="49">
        <f t="shared" si="212"/>
        <v>899.9723</v>
      </c>
      <c r="P440" s="51"/>
      <c r="Q440" s="51"/>
      <c r="R440" s="67">
        <f t="shared" si="209"/>
        <v>515.625</v>
      </c>
      <c r="S440" s="67"/>
      <c r="T440" s="91">
        <f t="shared" si="210"/>
        <v>16.12734375</v>
      </c>
      <c r="U440" s="67"/>
      <c r="V440" s="67"/>
      <c r="W440" s="89">
        <f t="shared" si="205"/>
        <v>531.75234375</v>
      </c>
      <c r="X440" s="90">
        <f t="shared" si="211"/>
        <v>19.38984375</v>
      </c>
      <c r="Y440" s="90"/>
      <c r="Z440" s="90"/>
      <c r="AA440" s="90">
        <f t="shared" si="201"/>
        <v>19.38984375</v>
      </c>
      <c r="AB440" s="107">
        <v>7.19</v>
      </c>
      <c r="AC440" s="67">
        <f t="shared" si="202"/>
        <v>139.4129765625</v>
      </c>
      <c r="AD440" s="67">
        <f t="shared" si="203"/>
        <v>671.1653203125</v>
      </c>
      <c r="AE440" s="67">
        <f t="shared" si="206"/>
        <v>228.8069796875</v>
      </c>
    </row>
    <row r="441" customFormat="1" spans="1:31">
      <c r="A441" s="18"/>
      <c r="B441" s="19"/>
      <c r="C441" s="20">
        <v>240221000001</v>
      </c>
      <c r="D441" s="21">
        <v>45347</v>
      </c>
      <c r="E441" s="21" t="s">
        <v>62</v>
      </c>
      <c r="F441" s="19">
        <v>13635229849</v>
      </c>
      <c r="G441" s="19" t="s">
        <v>218</v>
      </c>
      <c r="H441" s="19">
        <v>3</v>
      </c>
      <c r="I441" s="49"/>
      <c r="J441" s="65">
        <v>91260</v>
      </c>
      <c r="K441" s="66"/>
      <c r="L441" s="61">
        <f>SUM(J441/M441)</f>
        <v>1800.00010650888</v>
      </c>
      <c r="M441" s="62">
        <v>50.699997</v>
      </c>
      <c r="N441" s="48">
        <v>7.19</v>
      </c>
      <c r="O441" s="49">
        <f t="shared" si="212"/>
        <v>364.53297843</v>
      </c>
      <c r="P441" s="51"/>
      <c r="Q441" s="51"/>
      <c r="R441" s="67">
        <f t="shared" si="209"/>
        <v>206.25</v>
      </c>
      <c r="S441" s="67"/>
      <c r="T441" s="91">
        <f t="shared" si="210"/>
        <v>6.4509375</v>
      </c>
      <c r="U441" s="67"/>
      <c r="V441" s="67"/>
      <c r="W441" s="89">
        <f t="shared" si="205"/>
        <v>212.7009375</v>
      </c>
      <c r="X441" s="90">
        <f t="shared" si="211"/>
        <v>7.7559375</v>
      </c>
      <c r="Y441" s="90"/>
      <c r="Z441" s="90"/>
      <c r="AA441" s="90">
        <f t="shared" si="201"/>
        <v>7.7559375</v>
      </c>
      <c r="AB441" s="107">
        <v>7.19</v>
      </c>
      <c r="AC441" s="67">
        <f t="shared" si="202"/>
        <v>55.765190625</v>
      </c>
      <c r="AD441" s="67">
        <f t="shared" si="203"/>
        <v>268.466128125</v>
      </c>
      <c r="AE441" s="67">
        <f t="shared" si="206"/>
        <v>96.066850305</v>
      </c>
    </row>
    <row r="442" customFormat="1" spans="1:31">
      <c r="A442" s="18"/>
      <c r="B442" s="19"/>
      <c r="C442" s="20">
        <v>240221000005</v>
      </c>
      <c r="D442" s="21">
        <v>45347</v>
      </c>
      <c r="E442" s="21" t="s">
        <v>37</v>
      </c>
      <c r="F442" s="19" t="s">
        <v>38</v>
      </c>
      <c r="G442" s="19" t="s">
        <v>362</v>
      </c>
      <c r="H442" s="19">
        <v>3.5</v>
      </c>
      <c r="I442" s="53"/>
      <c r="J442" s="61">
        <v>100625</v>
      </c>
      <c r="K442" s="55"/>
      <c r="L442" s="61">
        <f>SUM(J442/M442)</f>
        <v>1797.51697034655</v>
      </c>
      <c r="M442" s="62">
        <v>55.98</v>
      </c>
      <c r="N442" s="48">
        <v>7.19</v>
      </c>
      <c r="O442" s="49">
        <f t="shared" si="212"/>
        <v>402.4962</v>
      </c>
      <c r="P442" s="51"/>
      <c r="Q442" s="51"/>
      <c r="R442" s="67">
        <f t="shared" si="209"/>
        <v>240.625</v>
      </c>
      <c r="S442" s="67"/>
      <c r="T442" s="91">
        <f t="shared" si="210"/>
        <v>7.52609375</v>
      </c>
      <c r="U442" s="67"/>
      <c r="V442" s="67"/>
      <c r="W442" s="89">
        <f t="shared" si="205"/>
        <v>248.15109375</v>
      </c>
      <c r="X442" s="90">
        <f t="shared" si="211"/>
        <v>9.04859375</v>
      </c>
      <c r="Y442" s="90"/>
      <c r="Z442" s="90"/>
      <c r="AA442" s="90">
        <f t="shared" si="201"/>
        <v>9.04859375</v>
      </c>
      <c r="AB442" s="107">
        <v>7.19</v>
      </c>
      <c r="AC442" s="67">
        <f t="shared" si="202"/>
        <v>65.0593890625</v>
      </c>
      <c r="AD442" s="67">
        <f t="shared" si="203"/>
        <v>313.2104828125</v>
      </c>
      <c r="AE442" s="67">
        <f t="shared" si="206"/>
        <v>89.2857171875</v>
      </c>
    </row>
    <row r="443" customFormat="1" spans="1:31">
      <c r="A443" s="18"/>
      <c r="B443" s="19"/>
      <c r="C443" s="20">
        <v>240221000026</v>
      </c>
      <c r="D443" s="21">
        <v>45347</v>
      </c>
      <c r="E443" s="21" t="s">
        <v>62</v>
      </c>
      <c r="F443" s="19" t="s">
        <v>363</v>
      </c>
      <c r="G443" s="19" t="s">
        <v>364</v>
      </c>
      <c r="H443" s="19">
        <v>2</v>
      </c>
      <c r="I443" s="44">
        <v>230</v>
      </c>
      <c r="J443" s="45"/>
      <c r="K443" s="46"/>
      <c r="L443" s="45"/>
      <c r="M443" s="47"/>
      <c r="N443" s="48"/>
      <c r="O443" s="49">
        <f t="shared" ref="O443:O445" si="213">SUM(I443)</f>
        <v>230</v>
      </c>
      <c r="P443" s="51"/>
      <c r="Q443" s="51"/>
      <c r="R443" s="67">
        <f t="shared" si="209"/>
        <v>137.5</v>
      </c>
      <c r="S443" s="67"/>
      <c r="T443" s="91">
        <f t="shared" si="210"/>
        <v>4.300625</v>
      </c>
      <c r="U443" s="67"/>
      <c r="V443" s="67"/>
      <c r="W443" s="89">
        <f t="shared" si="205"/>
        <v>141.800625</v>
      </c>
      <c r="X443" s="90">
        <f t="shared" si="211"/>
        <v>5.170625</v>
      </c>
      <c r="Y443" s="90"/>
      <c r="Z443" s="90"/>
      <c r="AA443" s="90">
        <f t="shared" si="201"/>
        <v>5.170625</v>
      </c>
      <c r="AB443" s="107">
        <v>7.19</v>
      </c>
      <c r="AC443" s="67">
        <f t="shared" si="202"/>
        <v>37.17679375</v>
      </c>
      <c r="AD443" s="67">
        <f t="shared" si="203"/>
        <v>178.97741875</v>
      </c>
      <c r="AE443" s="67">
        <f t="shared" si="206"/>
        <v>51.02258125</v>
      </c>
    </row>
    <row r="444" customFormat="1" spans="1:31">
      <c r="A444" s="18"/>
      <c r="B444" s="19"/>
      <c r="C444" s="20">
        <v>240222000006</v>
      </c>
      <c r="D444" s="21">
        <v>45347</v>
      </c>
      <c r="E444" s="21" t="s">
        <v>37</v>
      </c>
      <c r="F444" s="19" t="s">
        <v>38</v>
      </c>
      <c r="G444" s="19" t="s">
        <v>105</v>
      </c>
      <c r="H444" s="19">
        <v>0.91</v>
      </c>
      <c r="I444" s="44">
        <v>115</v>
      </c>
      <c r="J444" s="45"/>
      <c r="K444" s="46"/>
      <c r="L444" s="45"/>
      <c r="M444" s="47"/>
      <c r="N444" s="48"/>
      <c r="O444" s="49">
        <f t="shared" si="213"/>
        <v>115</v>
      </c>
      <c r="P444" s="51"/>
      <c r="Q444" s="51"/>
      <c r="R444" s="67">
        <f t="shared" si="209"/>
        <v>62.5625</v>
      </c>
      <c r="S444" s="67"/>
      <c r="T444" s="91">
        <f t="shared" si="210"/>
        <v>1.956784375</v>
      </c>
      <c r="U444" s="67"/>
      <c r="V444" s="67"/>
      <c r="W444" s="89">
        <f t="shared" si="205"/>
        <v>64.519284375</v>
      </c>
      <c r="X444" s="90">
        <f t="shared" si="211"/>
        <v>2.352634375</v>
      </c>
      <c r="Y444" s="90"/>
      <c r="Z444" s="90"/>
      <c r="AA444" s="90">
        <f t="shared" si="201"/>
        <v>2.352634375</v>
      </c>
      <c r="AB444" s="107">
        <v>7.19</v>
      </c>
      <c r="AC444" s="67">
        <f t="shared" si="202"/>
        <v>16.91544115625</v>
      </c>
      <c r="AD444" s="67">
        <f t="shared" si="203"/>
        <v>81.43472553125</v>
      </c>
      <c r="AE444" s="67">
        <f t="shared" si="206"/>
        <v>33.56527446875</v>
      </c>
    </row>
    <row r="445" customFormat="1" spans="1:31">
      <c r="A445" s="18"/>
      <c r="B445" s="19"/>
      <c r="C445" s="20">
        <v>240222000008</v>
      </c>
      <c r="D445" s="21">
        <v>45347</v>
      </c>
      <c r="E445" s="21" t="s">
        <v>37</v>
      </c>
      <c r="F445" s="19" t="s">
        <v>38</v>
      </c>
      <c r="G445" s="19" t="s">
        <v>365</v>
      </c>
      <c r="H445" s="19">
        <v>0.8</v>
      </c>
      <c r="I445" s="44">
        <v>380</v>
      </c>
      <c r="J445" s="45"/>
      <c r="K445" s="46"/>
      <c r="L445" s="45"/>
      <c r="M445" s="47"/>
      <c r="N445" s="48"/>
      <c r="O445" s="49">
        <f t="shared" si="213"/>
        <v>380</v>
      </c>
      <c r="P445" s="51"/>
      <c r="Q445" s="51"/>
      <c r="R445" s="67">
        <f t="shared" si="209"/>
        <v>55</v>
      </c>
      <c r="S445" s="67"/>
      <c r="T445" s="91">
        <f t="shared" si="210"/>
        <v>1.72025</v>
      </c>
      <c r="U445" s="67"/>
      <c r="V445" s="67"/>
      <c r="W445" s="89">
        <f t="shared" si="205"/>
        <v>56.72025</v>
      </c>
      <c r="X445" s="90">
        <f t="shared" si="211"/>
        <v>2.06825</v>
      </c>
      <c r="Y445" s="90"/>
      <c r="Z445" s="90"/>
      <c r="AA445" s="90">
        <f t="shared" si="201"/>
        <v>2.06825</v>
      </c>
      <c r="AB445" s="107">
        <v>7.19</v>
      </c>
      <c r="AC445" s="67">
        <f t="shared" si="202"/>
        <v>14.8707175</v>
      </c>
      <c r="AD445" s="67">
        <f t="shared" si="203"/>
        <v>71.5909675</v>
      </c>
      <c r="AE445" s="67">
        <f t="shared" si="206"/>
        <v>308.4090325</v>
      </c>
    </row>
    <row r="446" customFormat="1" spans="1:31">
      <c r="A446" s="18"/>
      <c r="B446" s="19"/>
      <c r="C446" s="20">
        <v>240222000016</v>
      </c>
      <c r="D446" s="21">
        <v>45347</v>
      </c>
      <c r="E446" s="21" t="s">
        <v>44</v>
      </c>
      <c r="F446" s="19" t="s">
        <v>44</v>
      </c>
      <c r="G446" s="19" t="s">
        <v>188</v>
      </c>
      <c r="H446" s="19">
        <v>2</v>
      </c>
      <c r="I446" s="49"/>
      <c r="J446" s="65">
        <v>30420</v>
      </c>
      <c r="K446" s="66"/>
      <c r="L446" s="61">
        <f>SUM(J446/M446)</f>
        <v>1800</v>
      </c>
      <c r="M446" s="62">
        <v>16.9</v>
      </c>
      <c r="N446" s="48">
        <v>7.19</v>
      </c>
      <c r="O446" s="49">
        <f t="shared" ref="O446:O451" si="214">SUM(M446*N446)</f>
        <v>121.511</v>
      </c>
      <c r="P446" s="51"/>
      <c r="Q446" s="51"/>
      <c r="R446" s="67">
        <f t="shared" si="209"/>
        <v>137.5</v>
      </c>
      <c r="S446" s="67"/>
      <c r="T446" s="91">
        <f t="shared" si="210"/>
        <v>4.300625</v>
      </c>
      <c r="U446" s="67"/>
      <c r="V446" s="67"/>
      <c r="W446" s="89">
        <f t="shared" si="205"/>
        <v>141.800625</v>
      </c>
      <c r="X446" s="90">
        <f t="shared" si="211"/>
        <v>5.170625</v>
      </c>
      <c r="Y446" s="90"/>
      <c r="Z446" s="90"/>
      <c r="AA446" s="90">
        <f t="shared" si="201"/>
        <v>5.170625</v>
      </c>
      <c r="AB446" s="107">
        <v>7.19</v>
      </c>
      <c r="AC446" s="67">
        <f t="shared" si="202"/>
        <v>37.17679375</v>
      </c>
      <c r="AD446" s="67">
        <f t="shared" si="203"/>
        <v>178.97741875</v>
      </c>
      <c r="AE446" s="67">
        <f t="shared" si="206"/>
        <v>-57.46641875</v>
      </c>
    </row>
    <row r="447" customFormat="1" spans="1:31">
      <c r="A447" s="18"/>
      <c r="B447" s="19"/>
      <c r="C447" s="20">
        <v>240223000003</v>
      </c>
      <c r="D447" s="21">
        <v>45347</v>
      </c>
      <c r="E447" s="21" t="s">
        <v>76</v>
      </c>
      <c r="F447" s="19" t="s">
        <v>77</v>
      </c>
      <c r="G447" s="19" t="s">
        <v>366</v>
      </c>
      <c r="H447" s="19">
        <v>0.3</v>
      </c>
      <c r="I447" s="49"/>
      <c r="J447" s="65">
        <v>29160</v>
      </c>
      <c r="K447" s="66"/>
      <c r="L447" s="61">
        <f>SUM(J447/M447)</f>
        <v>1800</v>
      </c>
      <c r="M447" s="62">
        <v>16.2</v>
      </c>
      <c r="N447" s="48">
        <v>7.19</v>
      </c>
      <c r="O447" s="49">
        <f t="shared" si="214"/>
        <v>116.478</v>
      </c>
      <c r="P447" s="51"/>
      <c r="Q447" s="51"/>
      <c r="R447" s="67">
        <f t="shared" si="209"/>
        <v>20.625</v>
      </c>
      <c r="S447" s="67"/>
      <c r="T447" s="91">
        <f t="shared" si="210"/>
        <v>0.64509375</v>
      </c>
      <c r="U447" s="67"/>
      <c r="V447" s="67"/>
      <c r="W447" s="89">
        <f t="shared" si="205"/>
        <v>21.27009375</v>
      </c>
      <c r="X447" s="90">
        <f t="shared" si="211"/>
        <v>0.77559375</v>
      </c>
      <c r="Y447" s="90"/>
      <c r="Z447" s="90"/>
      <c r="AA447" s="90">
        <f t="shared" si="201"/>
        <v>0.77559375</v>
      </c>
      <c r="AB447" s="107">
        <v>7.19</v>
      </c>
      <c r="AC447" s="67">
        <f t="shared" ref="AC447:AC478" si="215">SUM(AA447*AB447)</f>
        <v>5.5765190625</v>
      </c>
      <c r="AD447" s="67">
        <f t="shared" ref="AD447:AD478" si="216">SUM(W447+AC447)</f>
        <v>26.8466128125</v>
      </c>
      <c r="AE447" s="67">
        <f t="shared" si="206"/>
        <v>89.6313871875</v>
      </c>
    </row>
    <row r="448" customFormat="1" spans="1:31">
      <c r="A448" s="18"/>
      <c r="B448" s="19"/>
      <c r="C448" s="20">
        <v>240223000007</v>
      </c>
      <c r="D448" s="21">
        <v>45347</v>
      </c>
      <c r="E448" s="21" t="s">
        <v>76</v>
      </c>
      <c r="F448" s="19" t="s">
        <v>77</v>
      </c>
      <c r="G448" s="19" t="s">
        <v>78</v>
      </c>
      <c r="H448" s="19">
        <v>0.72</v>
      </c>
      <c r="I448" s="44">
        <v>120</v>
      </c>
      <c r="J448" s="45"/>
      <c r="K448" s="46"/>
      <c r="L448" s="45"/>
      <c r="M448" s="47"/>
      <c r="N448" s="48"/>
      <c r="O448" s="49">
        <f>SUM(I448)</f>
        <v>120</v>
      </c>
      <c r="P448" s="52"/>
      <c r="Q448" s="52"/>
      <c r="R448" s="67">
        <f t="shared" si="209"/>
        <v>49.5</v>
      </c>
      <c r="S448" s="67"/>
      <c r="T448" s="91">
        <f t="shared" si="210"/>
        <v>1.548225</v>
      </c>
      <c r="U448" s="67"/>
      <c r="V448" s="67"/>
      <c r="W448" s="89">
        <f t="shared" si="205"/>
        <v>51.048225</v>
      </c>
      <c r="X448" s="90">
        <f t="shared" si="211"/>
        <v>1.861425</v>
      </c>
      <c r="Y448" s="90"/>
      <c r="Z448" s="90"/>
      <c r="AA448" s="90">
        <f t="shared" ref="AA448:AA479" si="217">SUM(X448:Z448)</f>
        <v>1.861425</v>
      </c>
      <c r="AB448" s="107">
        <v>7.19</v>
      </c>
      <c r="AC448" s="67">
        <f t="shared" si="215"/>
        <v>13.38364575</v>
      </c>
      <c r="AD448" s="67">
        <f t="shared" si="216"/>
        <v>64.43187075</v>
      </c>
      <c r="AE448" s="67">
        <f t="shared" si="206"/>
        <v>55.56812925</v>
      </c>
    </row>
    <row r="449" customFormat="1" spans="1:31">
      <c r="A449" s="18" t="s">
        <v>367</v>
      </c>
      <c r="B449" s="19" t="s">
        <v>368</v>
      </c>
      <c r="C449" s="20">
        <v>240204000002</v>
      </c>
      <c r="D449" s="21">
        <v>45348</v>
      </c>
      <c r="E449" s="21" t="s">
        <v>76</v>
      </c>
      <c r="F449" s="19" t="s">
        <v>77</v>
      </c>
      <c r="G449" s="19" t="s">
        <v>193</v>
      </c>
      <c r="H449" s="19">
        <v>13</v>
      </c>
      <c r="I449" s="49"/>
      <c r="J449" s="65">
        <v>171000</v>
      </c>
      <c r="K449" s="66"/>
      <c r="L449" s="61">
        <f>SUM(J449/M449)</f>
        <v>1797.16237519706</v>
      </c>
      <c r="M449" s="62">
        <v>95.15</v>
      </c>
      <c r="N449" s="48">
        <v>7.19</v>
      </c>
      <c r="O449" s="49">
        <f t="shared" si="214"/>
        <v>684.1285</v>
      </c>
      <c r="P449" s="50">
        <f>SUM(O449:O526)</f>
        <v>116746.3979</v>
      </c>
      <c r="Q449" s="121" t="s">
        <v>369</v>
      </c>
      <c r="R449" s="67">
        <f>SUM(81179.7/2439)*H449</f>
        <v>432.692127921279</v>
      </c>
      <c r="S449" s="91">
        <v>79.74</v>
      </c>
      <c r="T449" s="91">
        <f>SUM(203.54/2439)*H449</f>
        <v>1.08487904879049</v>
      </c>
      <c r="U449" s="67">
        <v>40</v>
      </c>
      <c r="V449" s="67"/>
      <c r="W449" s="89">
        <f t="shared" ref="W449:W480" si="218">SUM(R449:V449)</f>
        <v>553.51700697007</v>
      </c>
      <c r="X449" s="90">
        <f>SUM(1864.82/2439)*H449</f>
        <v>9.93958999589996</v>
      </c>
      <c r="Y449" s="90"/>
      <c r="Z449" s="90"/>
      <c r="AA449" s="90">
        <f t="shared" si="217"/>
        <v>9.93958999589996</v>
      </c>
      <c r="AB449" s="107">
        <v>7.19</v>
      </c>
      <c r="AC449" s="67">
        <f t="shared" si="215"/>
        <v>71.4656520705207</v>
      </c>
      <c r="AD449" s="67">
        <f t="shared" si="216"/>
        <v>624.98265904059</v>
      </c>
      <c r="AE449" s="67">
        <f t="shared" ref="AE449:AE480" si="219">SUM(O449-AD449)</f>
        <v>59.1458409594096</v>
      </c>
    </row>
    <row r="450" customFormat="1" spans="1:31">
      <c r="A450" s="18"/>
      <c r="B450" s="19"/>
      <c r="C450" s="20">
        <v>240206000001</v>
      </c>
      <c r="D450" s="21">
        <v>45348</v>
      </c>
      <c r="E450" s="21" t="s">
        <v>76</v>
      </c>
      <c r="F450" s="19" t="s">
        <v>77</v>
      </c>
      <c r="G450" s="19" t="s">
        <v>331</v>
      </c>
      <c r="H450" s="19">
        <v>3</v>
      </c>
      <c r="I450" s="53"/>
      <c r="J450" s="61">
        <v>47080</v>
      </c>
      <c r="K450" s="55"/>
      <c r="L450" s="61">
        <f>SUM(J450/M450)</f>
        <v>1581.98924731183</v>
      </c>
      <c r="M450" s="62">
        <v>29.76</v>
      </c>
      <c r="N450" s="48">
        <v>7.19</v>
      </c>
      <c r="O450" s="49">
        <f t="shared" si="214"/>
        <v>213.9744</v>
      </c>
      <c r="P450" s="51"/>
      <c r="Q450" s="51"/>
      <c r="R450" s="67">
        <f t="shared" ref="R450:R481" si="220">SUM(81179.7/2439)*H450</f>
        <v>99.8520295202952</v>
      </c>
      <c r="S450" s="91"/>
      <c r="T450" s="91">
        <f t="shared" ref="T450:T481" si="221">SUM(203.54/2439)*H450</f>
        <v>0.250356703567036</v>
      </c>
      <c r="U450" s="67"/>
      <c r="V450" s="67"/>
      <c r="W450" s="89">
        <f t="shared" si="218"/>
        <v>100.102386223862</v>
      </c>
      <c r="X450" s="90">
        <f t="shared" ref="X450:X481" si="222">SUM(1864.82/2439)*H450</f>
        <v>2.29375153751538</v>
      </c>
      <c r="Y450" s="90"/>
      <c r="Z450" s="90"/>
      <c r="AA450" s="90">
        <f t="shared" si="217"/>
        <v>2.29375153751538</v>
      </c>
      <c r="AB450" s="107">
        <v>7.19</v>
      </c>
      <c r="AC450" s="67">
        <f t="shared" si="215"/>
        <v>16.4920735547355</v>
      </c>
      <c r="AD450" s="67">
        <f t="shared" si="216"/>
        <v>116.594459778598</v>
      </c>
      <c r="AE450" s="67">
        <f t="shared" si="219"/>
        <v>97.3799402214022</v>
      </c>
    </row>
    <row r="451" customFormat="1" spans="1:31">
      <c r="A451" s="18"/>
      <c r="B451" s="19"/>
      <c r="C451" s="20">
        <v>240206000003</v>
      </c>
      <c r="D451" s="21">
        <v>45348</v>
      </c>
      <c r="E451" s="21" t="s">
        <v>76</v>
      </c>
      <c r="F451" s="19" t="s">
        <v>77</v>
      </c>
      <c r="G451" s="19" t="s">
        <v>193</v>
      </c>
      <c r="H451" s="19">
        <v>0.1</v>
      </c>
      <c r="I451" s="49"/>
      <c r="J451" s="61">
        <v>13050</v>
      </c>
      <c r="K451" s="55"/>
      <c r="L451" s="61">
        <f>SUM(J451/M451)</f>
        <v>1838.02816901408</v>
      </c>
      <c r="M451" s="62">
        <v>7.1</v>
      </c>
      <c r="N451" s="48">
        <v>7.19</v>
      </c>
      <c r="O451" s="49">
        <f t="shared" si="214"/>
        <v>51.049</v>
      </c>
      <c r="P451" s="51"/>
      <c r="Q451" s="51"/>
      <c r="R451" s="67">
        <f t="shared" si="220"/>
        <v>3.32840098400984</v>
      </c>
      <c r="S451" s="91"/>
      <c r="T451" s="91">
        <f t="shared" si="221"/>
        <v>0.00834522345223452</v>
      </c>
      <c r="U451" s="67"/>
      <c r="V451" s="67"/>
      <c r="W451" s="89">
        <f t="shared" si="218"/>
        <v>3.33674620746207</v>
      </c>
      <c r="X451" s="90">
        <f t="shared" si="222"/>
        <v>0.0764583845838459</v>
      </c>
      <c r="Y451" s="90"/>
      <c r="Z451" s="90"/>
      <c r="AA451" s="90">
        <f t="shared" si="217"/>
        <v>0.0764583845838459</v>
      </c>
      <c r="AB451" s="107">
        <v>7.19</v>
      </c>
      <c r="AC451" s="67">
        <f t="shared" si="215"/>
        <v>0.549735785157852</v>
      </c>
      <c r="AD451" s="67">
        <f t="shared" si="216"/>
        <v>3.88648199261993</v>
      </c>
      <c r="AE451" s="67">
        <f t="shared" si="219"/>
        <v>47.1625180073801</v>
      </c>
    </row>
    <row r="452" customFormat="1" spans="1:31">
      <c r="A452" s="18"/>
      <c r="B452" s="19"/>
      <c r="C452" s="20">
        <v>240206000004</v>
      </c>
      <c r="D452" s="21">
        <v>45348</v>
      </c>
      <c r="E452" s="21" t="s">
        <v>76</v>
      </c>
      <c r="F452" s="19" t="s">
        <v>77</v>
      </c>
      <c r="G452" s="19" t="s">
        <v>196</v>
      </c>
      <c r="H452" s="19">
        <v>3.5</v>
      </c>
      <c r="I452" s="44">
        <v>168</v>
      </c>
      <c r="J452" s="45"/>
      <c r="K452" s="46"/>
      <c r="L452" s="45"/>
      <c r="M452" s="47"/>
      <c r="N452" s="48"/>
      <c r="O452" s="49">
        <f t="shared" ref="O452:O455" si="223">SUM(I452)</f>
        <v>168</v>
      </c>
      <c r="P452" s="51"/>
      <c r="Q452" s="51"/>
      <c r="R452" s="67">
        <f t="shared" si="220"/>
        <v>116.494034440344</v>
      </c>
      <c r="S452" s="91"/>
      <c r="T452" s="91">
        <f t="shared" si="221"/>
        <v>0.292082820828208</v>
      </c>
      <c r="U452" s="67"/>
      <c r="V452" s="67"/>
      <c r="W452" s="89">
        <f t="shared" si="218"/>
        <v>116.786117261173</v>
      </c>
      <c r="X452" s="90">
        <f t="shared" si="222"/>
        <v>2.6760434604346</v>
      </c>
      <c r="Y452" s="90"/>
      <c r="Z452" s="90"/>
      <c r="AA452" s="90">
        <f t="shared" si="217"/>
        <v>2.6760434604346</v>
      </c>
      <c r="AB452" s="107">
        <v>7.19</v>
      </c>
      <c r="AC452" s="67">
        <f t="shared" si="215"/>
        <v>19.2407524805248</v>
      </c>
      <c r="AD452" s="67">
        <f t="shared" si="216"/>
        <v>136.026869741697</v>
      </c>
      <c r="AE452" s="67">
        <f t="shared" si="219"/>
        <v>31.9731302583026</v>
      </c>
    </row>
    <row r="453" customFormat="1" spans="1:31">
      <c r="A453" s="18"/>
      <c r="B453" s="19"/>
      <c r="C453" s="20">
        <v>240218000001</v>
      </c>
      <c r="D453" s="21">
        <v>45348</v>
      </c>
      <c r="E453" s="21" t="s">
        <v>62</v>
      </c>
      <c r="F453" s="19">
        <v>13635229849</v>
      </c>
      <c r="G453" s="19" t="s">
        <v>218</v>
      </c>
      <c r="H453" s="19">
        <v>2.5</v>
      </c>
      <c r="I453" s="49"/>
      <c r="J453" s="65">
        <v>30640</v>
      </c>
      <c r="K453" s="66"/>
      <c r="L453" s="61">
        <f>SUM(J453/M453)</f>
        <v>1600</v>
      </c>
      <c r="M453" s="62">
        <v>19.15</v>
      </c>
      <c r="N453" s="48">
        <v>7.19</v>
      </c>
      <c r="O453" s="49">
        <f>SUM(M453*N453)</f>
        <v>137.6885</v>
      </c>
      <c r="P453" s="51"/>
      <c r="Q453" s="51"/>
      <c r="R453" s="67">
        <f t="shared" si="220"/>
        <v>83.210024600246</v>
      </c>
      <c r="S453" s="91"/>
      <c r="T453" s="91">
        <f t="shared" si="221"/>
        <v>0.208630586305863</v>
      </c>
      <c r="U453" s="67"/>
      <c r="V453" s="67"/>
      <c r="W453" s="89">
        <f t="shared" si="218"/>
        <v>83.4186551865519</v>
      </c>
      <c r="X453" s="90">
        <f t="shared" si="222"/>
        <v>1.91145961459615</v>
      </c>
      <c r="Y453" s="90"/>
      <c r="Z453" s="90"/>
      <c r="AA453" s="90">
        <f t="shared" si="217"/>
        <v>1.91145961459615</v>
      </c>
      <c r="AB453" s="107">
        <v>7.19</v>
      </c>
      <c r="AC453" s="67">
        <f t="shared" si="215"/>
        <v>13.7433946289463</v>
      </c>
      <c r="AD453" s="67">
        <f t="shared" si="216"/>
        <v>97.1620498154982</v>
      </c>
      <c r="AE453" s="67">
        <f t="shared" si="219"/>
        <v>40.5264501845019</v>
      </c>
    </row>
    <row r="454" customFormat="1" spans="1:31">
      <c r="A454" s="18"/>
      <c r="B454" s="19"/>
      <c r="C454" s="20">
        <v>240219000001</v>
      </c>
      <c r="D454" s="21">
        <v>45348</v>
      </c>
      <c r="E454" s="21" t="s">
        <v>37</v>
      </c>
      <c r="F454" s="19" t="s">
        <v>122</v>
      </c>
      <c r="G454" s="19" t="s">
        <v>123</v>
      </c>
      <c r="H454" s="19">
        <v>2.5</v>
      </c>
      <c r="I454" s="44">
        <v>97.5</v>
      </c>
      <c r="J454" s="45"/>
      <c r="K454" s="46"/>
      <c r="L454" s="45"/>
      <c r="M454" s="47"/>
      <c r="N454" s="48"/>
      <c r="O454" s="49">
        <f t="shared" si="223"/>
        <v>97.5</v>
      </c>
      <c r="P454" s="51"/>
      <c r="Q454" s="51"/>
      <c r="R454" s="67">
        <f t="shared" si="220"/>
        <v>83.210024600246</v>
      </c>
      <c r="S454" s="91"/>
      <c r="T454" s="91">
        <f t="shared" si="221"/>
        <v>0.208630586305863</v>
      </c>
      <c r="U454" s="67"/>
      <c r="V454" s="67"/>
      <c r="W454" s="89">
        <f t="shared" si="218"/>
        <v>83.4186551865519</v>
      </c>
      <c r="X454" s="90">
        <f t="shared" si="222"/>
        <v>1.91145961459615</v>
      </c>
      <c r="Y454" s="90"/>
      <c r="Z454" s="90"/>
      <c r="AA454" s="90">
        <f t="shared" si="217"/>
        <v>1.91145961459615</v>
      </c>
      <c r="AB454" s="107">
        <v>7.19</v>
      </c>
      <c r="AC454" s="67">
        <f t="shared" si="215"/>
        <v>13.7433946289463</v>
      </c>
      <c r="AD454" s="67">
        <f t="shared" si="216"/>
        <v>97.1620498154982</v>
      </c>
      <c r="AE454" s="67">
        <f t="shared" si="219"/>
        <v>0.33795018450185</v>
      </c>
    </row>
    <row r="455" customFormat="1" spans="1:31">
      <c r="A455" s="18"/>
      <c r="B455" s="19"/>
      <c r="C455" s="20">
        <v>240220000002</v>
      </c>
      <c r="D455" s="21">
        <v>45348</v>
      </c>
      <c r="E455" s="21" t="s">
        <v>37</v>
      </c>
      <c r="F455" s="19" t="s">
        <v>122</v>
      </c>
      <c r="G455" s="19" t="s">
        <v>123</v>
      </c>
      <c r="H455" s="19">
        <v>3.5</v>
      </c>
      <c r="I455" s="44">
        <v>467</v>
      </c>
      <c r="J455" s="45"/>
      <c r="K455" s="46"/>
      <c r="L455" s="45"/>
      <c r="M455" s="47"/>
      <c r="N455" s="48"/>
      <c r="O455" s="49">
        <f t="shared" si="223"/>
        <v>467</v>
      </c>
      <c r="P455" s="51"/>
      <c r="Q455" s="51"/>
      <c r="R455" s="67">
        <f t="shared" si="220"/>
        <v>116.494034440344</v>
      </c>
      <c r="S455" s="91"/>
      <c r="T455" s="91">
        <f t="shared" si="221"/>
        <v>0.292082820828208</v>
      </c>
      <c r="U455" s="67"/>
      <c r="V455" s="67"/>
      <c r="W455" s="89">
        <f t="shared" si="218"/>
        <v>116.786117261173</v>
      </c>
      <c r="X455" s="90">
        <f t="shared" si="222"/>
        <v>2.6760434604346</v>
      </c>
      <c r="Y455" s="90"/>
      <c r="Z455" s="90"/>
      <c r="AA455" s="90">
        <f t="shared" si="217"/>
        <v>2.6760434604346</v>
      </c>
      <c r="AB455" s="107">
        <v>7.19</v>
      </c>
      <c r="AC455" s="67">
        <f t="shared" si="215"/>
        <v>19.2407524805248</v>
      </c>
      <c r="AD455" s="67">
        <f t="shared" si="216"/>
        <v>136.026869741697</v>
      </c>
      <c r="AE455" s="67">
        <f t="shared" si="219"/>
        <v>330.973130258303</v>
      </c>
    </row>
    <row r="456" customFormat="1" spans="1:31">
      <c r="A456" s="18"/>
      <c r="B456" s="19"/>
      <c r="C456" s="20">
        <v>240220000003</v>
      </c>
      <c r="D456" s="21">
        <v>45348</v>
      </c>
      <c r="E456" s="21" t="s">
        <v>62</v>
      </c>
      <c r="F456" s="19" t="s">
        <v>63</v>
      </c>
      <c r="G456" s="19" t="s">
        <v>370</v>
      </c>
      <c r="H456" s="19">
        <v>6.5</v>
      </c>
      <c r="I456" s="49"/>
      <c r="J456" s="65">
        <v>74142</v>
      </c>
      <c r="K456" s="69"/>
      <c r="L456" s="61">
        <f>SUM(J456/M456)</f>
        <v>1800</v>
      </c>
      <c r="M456" s="62">
        <v>41.19</v>
      </c>
      <c r="N456" s="48">
        <v>7.19</v>
      </c>
      <c r="O456" s="49">
        <f>SUM(M456*N456)</f>
        <v>296.1561</v>
      </c>
      <c r="P456" s="51"/>
      <c r="Q456" s="51"/>
      <c r="R456" s="67">
        <f t="shared" si="220"/>
        <v>216.34606396064</v>
      </c>
      <c r="S456" s="91"/>
      <c r="T456" s="91">
        <f t="shared" si="221"/>
        <v>0.542439524395244</v>
      </c>
      <c r="U456" s="67"/>
      <c r="V456" s="67"/>
      <c r="W456" s="89">
        <f t="shared" si="218"/>
        <v>216.888503485035</v>
      </c>
      <c r="X456" s="90">
        <f t="shared" si="222"/>
        <v>4.96979499794998</v>
      </c>
      <c r="Y456" s="90"/>
      <c r="Z456" s="90"/>
      <c r="AA456" s="90">
        <f t="shared" si="217"/>
        <v>4.96979499794998</v>
      </c>
      <c r="AB456" s="107">
        <v>7.19</v>
      </c>
      <c r="AC456" s="67">
        <f t="shared" si="215"/>
        <v>35.7328260352604</v>
      </c>
      <c r="AD456" s="67">
        <f t="shared" si="216"/>
        <v>252.621329520295</v>
      </c>
      <c r="AE456" s="67">
        <f t="shared" si="219"/>
        <v>43.5347704797048</v>
      </c>
    </row>
    <row r="457" customFormat="1" spans="1:31">
      <c r="A457" s="18"/>
      <c r="B457" s="19"/>
      <c r="C457" s="20">
        <v>240220000005</v>
      </c>
      <c r="D457" s="21">
        <v>45348</v>
      </c>
      <c r="E457" s="21" t="s">
        <v>62</v>
      </c>
      <c r="F457" s="19" t="s">
        <v>63</v>
      </c>
      <c r="G457" s="19" t="s">
        <v>236</v>
      </c>
      <c r="H457" s="19">
        <v>5</v>
      </c>
      <c r="I457" s="44">
        <v>238</v>
      </c>
      <c r="J457" s="45"/>
      <c r="K457" s="46"/>
      <c r="L457" s="45"/>
      <c r="M457" s="47"/>
      <c r="N457" s="48"/>
      <c r="O457" s="49">
        <f t="shared" ref="O457:O460" si="224">SUM(I457)</f>
        <v>238</v>
      </c>
      <c r="P457" s="51"/>
      <c r="Q457" s="51"/>
      <c r="R457" s="67">
        <f t="shared" si="220"/>
        <v>166.420049200492</v>
      </c>
      <c r="S457" s="91"/>
      <c r="T457" s="91">
        <f t="shared" si="221"/>
        <v>0.417261172611726</v>
      </c>
      <c r="U457" s="67"/>
      <c r="V457" s="67"/>
      <c r="W457" s="89">
        <f t="shared" si="218"/>
        <v>166.837310373104</v>
      </c>
      <c r="X457" s="90">
        <f t="shared" si="222"/>
        <v>3.82291922919229</v>
      </c>
      <c r="Y457" s="90"/>
      <c r="Z457" s="90"/>
      <c r="AA457" s="90">
        <f t="shared" si="217"/>
        <v>3.82291922919229</v>
      </c>
      <c r="AB457" s="107">
        <v>7.19</v>
      </c>
      <c r="AC457" s="67">
        <f t="shared" si="215"/>
        <v>27.4867892578926</v>
      </c>
      <c r="AD457" s="67">
        <f t="shared" si="216"/>
        <v>194.324099630996</v>
      </c>
      <c r="AE457" s="67">
        <f t="shared" si="219"/>
        <v>43.6759003690037</v>
      </c>
    </row>
    <row r="458" customFormat="1" spans="1:31">
      <c r="A458" s="18"/>
      <c r="B458" s="19"/>
      <c r="C458" s="20">
        <v>240220000006</v>
      </c>
      <c r="D458" s="21">
        <v>45348</v>
      </c>
      <c r="E458" s="21" t="s">
        <v>62</v>
      </c>
      <c r="F458" s="19" t="s">
        <v>63</v>
      </c>
      <c r="G458" s="19" t="s">
        <v>236</v>
      </c>
      <c r="H458" s="19">
        <v>3</v>
      </c>
      <c r="I458" s="44">
        <v>144</v>
      </c>
      <c r="J458" s="45"/>
      <c r="K458" s="46"/>
      <c r="L458" s="45"/>
      <c r="M458" s="47"/>
      <c r="N458" s="48"/>
      <c r="O458" s="49">
        <f t="shared" si="224"/>
        <v>144</v>
      </c>
      <c r="P458" s="51"/>
      <c r="Q458" s="51"/>
      <c r="R458" s="67">
        <f t="shared" si="220"/>
        <v>99.8520295202952</v>
      </c>
      <c r="S458" s="91"/>
      <c r="T458" s="91">
        <f t="shared" si="221"/>
        <v>0.250356703567036</v>
      </c>
      <c r="U458" s="67"/>
      <c r="V458" s="67"/>
      <c r="W458" s="89">
        <f t="shared" si="218"/>
        <v>100.102386223862</v>
      </c>
      <c r="X458" s="90">
        <f t="shared" si="222"/>
        <v>2.29375153751538</v>
      </c>
      <c r="Y458" s="90"/>
      <c r="Z458" s="90"/>
      <c r="AA458" s="90">
        <f t="shared" si="217"/>
        <v>2.29375153751538</v>
      </c>
      <c r="AB458" s="107">
        <v>7.19</v>
      </c>
      <c r="AC458" s="67">
        <f t="shared" si="215"/>
        <v>16.4920735547355</v>
      </c>
      <c r="AD458" s="67">
        <f t="shared" si="216"/>
        <v>116.594459778598</v>
      </c>
      <c r="AE458" s="67">
        <f t="shared" si="219"/>
        <v>27.4055402214022</v>
      </c>
    </row>
    <row r="459" customFormat="1" spans="1:31">
      <c r="A459" s="18"/>
      <c r="B459" s="19"/>
      <c r="C459" s="20">
        <v>240220000008</v>
      </c>
      <c r="D459" s="21">
        <v>45348</v>
      </c>
      <c r="E459" s="21" t="s">
        <v>62</v>
      </c>
      <c r="F459" s="19" t="s">
        <v>63</v>
      </c>
      <c r="G459" s="19" t="s">
        <v>236</v>
      </c>
      <c r="H459" s="19">
        <v>2</v>
      </c>
      <c r="I459" s="44">
        <v>97</v>
      </c>
      <c r="J459" s="45"/>
      <c r="K459" s="46"/>
      <c r="L459" s="45"/>
      <c r="M459" s="47"/>
      <c r="N459" s="48"/>
      <c r="O459" s="49">
        <f t="shared" si="224"/>
        <v>97</v>
      </c>
      <c r="P459" s="51"/>
      <c r="Q459" s="51"/>
      <c r="R459" s="67">
        <f t="shared" si="220"/>
        <v>66.5680196801968</v>
      </c>
      <c r="S459" s="91"/>
      <c r="T459" s="91">
        <f t="shared" si="221"/>
        <v>0.16690446904469</v>
      </c>
      <c r="U459" s="67"/>
      <c r="V459" s="67"/>
      <c r="W459" s="89">
        <f t="shared" si="218"/>
        <v>66.7349241492415</v>
      </c>
      <c r="X459" s="90">
        <f t="shared" si="222"/>
        <v>1.52916769167692</v>
      </c>
      <c r="Y459" s="90"/>
      <c r="Z459" s="90"/>
      <c r="AA459" s="90">
        <f t="shared" si="217"/>
        <v>1.52916769167692</v>
      </c>
      <c r="AB459" s="107">
        <v>7.19</v>
      </c>
      <c r="AC459" s="67">
        <f t="shared" si="215"/>
        <v>10.994715703157</v>
      </c>
      <c r="AD459" s="67">
        <f t="shared" si="216"/>
        <v>77.7296398523985</v>
      </c>
      <c r="AE459" s="67">
        <f t="shared" si="219"/>
        <v>19.2703601476015</v>
      </c>
    </row>
    <row r="460" customFormat="1" spans="1:31">
      <c r="A460" s="18"/>
      <c r="B460" s="19"/>
      <c r="C460" s="20">
        <v>240220000009</v>
      </c>
      <c r="D460" s="21">
        <v>45348</v>
      </c>
      <c r="E460" s="21" t="s">
        <v>62</v>
      </c>
      <c r="F460" s="19" t="s">
        <v>63</v>
      </c>
      <c r="G460" s="19" t="s">
        <v>236</v>
      </c>
      <c r="H460" s="19">
        <v>8</v>
      </c>
      <c r="I460" s="44">
        <v>358</v>
      </c>
      <c r="J460" s="45"/>
      <c r="K460" s="46"/>
      <c r="L460" s="45"/>
      <c r="M460" s="47"/>
      <c r="N460" s="48"/>
      <c r="O460" s="49">
        <f t="shared" si="224"/>
        <v>358</v>
      </c>
      <c r="P460" s="51"/>
      <c r="Q460" s="51"/>
      <c r="R460" s="67">
        <f t="shared" si="220"/>
        <v>266.272078720787</v>
      </c>
      <c r="S460" s="91"/>
      <c r="T460" s="91">
        <f t="shared" si="221"/>
        <v>0.667617876178762</v>
      </c>
      <c r="U460" s="67"/>
      <c r="V460" s="67"/>
      <c r="W460" s="89">
        <f t="shared" si="218"/>
        <v>266.939696596966</v>
      </c>
      <c r="X460" s="90">
        <f t="shared" si="222"/>
        <v>6.11667076670767</v>
      </c>
      <c r="Y460" s="90"/>
      <c r="Z460" s="90"/>
      <c r="AA460" s="90">
        <f t="shared" si="217"/>
        <v>6.11667076670767</v>
      </c>
      <c r="AB460" s="107">
        <v>7.19</v>
      </c>
      <c r="AC460" s="67">
        <f t="shared" si="215"/>
        <v>43.9788628126281</v>
      </c>
      <c r="AD460" s="67">
        <f t="shared" si="216"/>
        <v>310.918559409594</v>
      </c>
      <c r="AE460" s="67">
        <f t="shared" si="219"/>
        <v>47.0814405904059</v>
      </c>
    </row>
    <row r="461" customFormat="1" spans="1:31">
      <c r="A461" s="18"/>
      <c r="B461" s="19"/>
      <c r="C461" s="20">
        <v>240220000010</v>
      </c>
      <c r="D461" s="21">
        <v>45348</v>
      </c>
      <c r="E461" s="21" t="s">
        <v>41</v>
      </c>
      <c r="F461" s="19" t="s">
        <v>42</v>
      </c>
      <c r="G461" s="19" t="s">
        <v>371</v>
      </c>
      <c r="H461" s="19">
        <v>35</v>
      </c>
      <c r="I461" s="53"/>
      <c r="J461" s="61">
        <v>386100</v>
      </c>
      <c r="K461" s="55"/>
      <c r="L461" s="61">
        <f>SUM(J461/M461)</f>
        <v>1581.85840707965</v>
      </c>
      <c r="M461" s="62">
        <v>244.08</v>
      </c>
      <c r="N461" s="48">
        <v>7.19</v>
      </c>
      <c r="O461" s="49">
        <f t="shared" ref="O461:O464" si="225">SUM(M461*N461)</f>
        <v>1754.9352</v>
      </c>
      <c r="P461" s="51"/>
      <c r="Q461" s="51"/>
      <c r="R461" s="67">
        <f t="shared" si="220"/>
        <v>1164.94034440344</v>
      </c>
      <c r="S461" s="91"/>
      <c r="T461" s="91">
        <f t="shared" si="221"/>
        <v>2.92082820828208</v>
      </c>
      <c r="U461" s="67">
        <f>SUM(70+40)</f>
        <v>110</v>
      </c>
      <c r="V461" s="67"/>
      <c r="W461" s="89">
        <f t="shared" si="218"/>
        <v>1277.86117261173</v>
      </c>
      <c r="X461" s="90">
        <f t="shared" si="222"/>
        <v>26.760434604346</v>
      </c>
      <c r="Y461" s="90"/>
      <c r="Z461" s="90"/>
      <c r="AA461" s="90">
        <f t="shared" si="217"/>
        <v>26.760434604346</v>
      </c>
      <c r="AB461" s="107">
        <v>7.19</v>
      </c>
      <c r="AC461" s="67">
        <f t="shared" si="215"/>
        <v>192.407524805248</v>
      </c>
      <c r="AD461" s="67">
        <f t="shared" si="216"/>
        <v>1470.26869741697</v>
      </c>
      <c r="AE461" s="67">
        <f t="shared" si="219"/>
        <v>284.666502583026</v>
      </c>
    </row>
    <row r="462" customFormat="1" spans="1:31">
      <c r="A462" s="18"/>
      <c r="B462" s="19"/>
      <c r="C462" s="20">
        <v>240220000012</v>
      </c>
      <c r="D462" s="21">
        <v>45348</v>
      </c>
      <c r="E462" s="21" t="s">
        <v>41</v>
      </c>
      <c r="F462" s="19" t="s">
        <v>42</v>
      </c>
      <c r="G462" s="19" t="s">
        <v>59</v>
      </c>
      <c r="H462" s="19">
        <v>44</v>
      </c>
      <c r="I462" s="53"/>
      <c r="J462" s="61">
        <v>326744</v>
      </c>
      <c r="K462" s="55"/>
      <c r="L462" s="61">
        <f>SUM(J462/M462)</f>
        <v>1136.02670189834</v>
      </c>
      <c r="M462" s="62">
        <v>287.62</v>
      </c>
      <c r="N462" s="48">
        <v>7.19</v>
      </c>
      <c r="O462" s="49">
        <f t="shared" si="225"/>
        <v>2067.9878</v>
      </c>
      <c r="P462" s="51"/>
      <c r="Q462" s="51"/>
      <c r="R462" s="67">
        <f t="shared" si="220"/>
        <v>1464.49643296433</v>
      </c>
      <c r="S462" s="91"/>
      <c r="T462" s="91">
        <f t="shared" si="221"/>
        <v>3.67189831898319</v>
      </c>
      <c r="U462" s="67"/>
      <c r="V462" s="67"/>
      <c r="W462" s="89">
        <f t="shared" si="218"/>
        <v>1468.16833128331</v>
      </c>
      <c r="X462" s="90">
        <f t="shared" si="222"/>
        <v>33.6416892168922</v>
      </c>
      <c r="Y462" s="90"/>
      <c r="Z462" s="90"/>
      <c r="AA462" s="90">
        <f t="shared" si="217"/>
        <v>33.6416892168922</v>
      </c>
      <c r="AB462" s="107">
        <v>7.19</v>
      </c>
      <c r="AC462" s="67">
        <f t="shared" si="215"/>
        <v>241.883745469455</v>
      </c>
      <c r="AD462" s="67">
        <f t="shared" si="216"/>
        <v>1710.05207675277</v>
      </c>
      <c r="AE462" s="67">
        <f t="shared" si="219"/>
        <v>357.935723247232</v>
      </c>
    </row>
    <row r="463" customFormat="1" spans="1:31">
      <c r="A463" s="18"/>
      <c r="B463" s="19"/>
      <c r="C463" s="20">
        <v>240220000013</v>
      </c>
      <c r="D463" s="21">
        <v>45348</v>
      </c>
      <c r="E463" s="21" t="s">
        <v>41</v>
      </c>
      <c r="F463" s="19" t="s">
        <v>42</v>
      </c>
      <c r="G463" s="19" t="s">
        <v>59</v>
      </c>
      <c r="H463" s="19">
        <v>27.5</v>
      </c>
      <c r="I463" s="53"/>
      <c r="J463" s="61">
        <v>204215</v>
      </c>
      <c r="K463" s="55"/>
      <c r="L463" s="61">
        <f>SUM(J463/M463)</f>
        <v>1136.04250111259</v>
      </c>
      <c r="M463" s="62">
        <v>179.76</v>
      </c>
      <c r="N463" s="48">
        <v>7.19</v>
      </c>
      <c r="O463" s="49">
        <f t="shared" si="225"/>
        <v>1292.4744</v>
      </c>
      <c r="P463" s="51"/>
      <c r="Q463" s="51"/>
      <c r="R463" s="67">
        <f t="shared" si="220"/>
        <v>915.310270602706</v>
      </c>
      <c r="S463" s="91"/>
      <c r="T463" s="91">
        <f t="shared" si="221"/>
        <v>2.29493644936449</v>
      </c>
      <c r="U463" s="67"/>
      <c r="V463" s="67"/>
      <c r="W463" s="89">
        <f t="shared" si="218"/>
        <v>917.60520705207</v>
      </c>
      <c r="X463" s="90">
        <f t="shared" si="222"/>
        <v>21.0260557605576</v>
      </c>
      <c r="Y463" s="90"/>
      <c r="Z463" s="90"/>
      <c r="AA463" s="90">
        <f t="shared" si="217"/>
        <v>21.0260557605576</v>
      </c>
      <c r="AB463" s="107">
        <v>7.19</v>
      </c>
      <c r="AC463" s="67">
        <f t="shared" si="215"/>
        <v>151.177340918409</v>
      </c>
      <c r="AD463" s="67">
        <f t="shared" si="216"/>
        <v>1068.78254797048</v>
      </c>
      <c r="AE463" s="67">
        <f t="shared" si="219"/>
        <v>223.69185202952</v>
      </c>
    </row>
    <row r="464" customFormat="1" spans="1:31">
      <c r="A464" s="18"/>
      <c r="B464" s="19"/>
      <c r="C464" s="20">
        <v>240220000014</v>
      </c>
      <c r="D464" s="21">
        <v>45348</v>
      </c>
      <c r="E464" s="21" t="s">
        <v>41</v>
      </c>
      <c r="F464" s="19" t="s">
        <v>42</v>
      </c>
      <c r="G464" s="19" t="s">
        <v>59</v>
      </c>
      <c r="H464" s="19">
        <v>25.5</v>
      </c>
      <c r="I464" s="53"/>
      <c r="J464" s="61">
        <v>189363</v>
      </c>
      <c r="K464" s="55"/>
      <c r="L464" s="61">
        <f>SUM(J464/M464)</f>
        <v>1136.08711303096</v>
      </c>
      <c r="M464" s="62">
        <v>166.68</v>
      </c>
      <c r="N464" s="48">
        <v>7.19</v>
      </c>
      <c r="O464" s="49">
        <f t="shared" si="225"/>
        <v>1198.4292</v>
      </c>
      <c r="P464" s="51"/>
      <c r="Q464" s="51"/>
      <c r="R464" s="67">
        <f t="shared" si="220"/>
        <v>848.742250922509</v>
      </c>
      <c r="S464" s="91"/>
      <c r="T464" s="91">
        <f t="shared" si="221"/>
        <v>2.1280319803198</v>
      </c>
      <c r="U464" s="67"/>
      <c r="V464" s="67"/>
      <c r="W464" s="89">
        <f t="shared" si="218"/>
        <v>850.870282902829</v>
      </c>
      <c r="X464" s="90">
        <f t="shared" si="222"/>
        <v>19.4968880688807</v>
      </c>
      <c r="Y464" s="90"/>
      <c r="Z464" s="90"/>
      <c r="AA464" s="90">
        <f t="shared" si="217"/>
        <v>19.4968880688807</v>
      </c>
      <c r="AB464" s="107">
        <v>7.19</v>
      </c>
      <c r="AC464" s="67">
        <f t="shared" si="215"/>
        <v>140.182625215252</v>
      </c>
      <c r="AD464" s="67">
        <f t="shared" si="216"/>
        <v>991.052908118081</v>
      </c>
      <c r="AE464" s="67">
        <f t="shared" si="219"/>
        <v>207.376291881919</v>
      </c>
    </row>
    <row r="465" customFormat="1" spans="1:31">
      <c r="A465" s="18"/>
      <c r="B465" s="19"/>
      <c r="C465" s="20">
        <v>240220000019</v>
      </c>
      <c r="D465" s="21">
        <v>45348</v>
      </c>
      <c r="E465" s="21" t="s">
        <v>56</v>
      </c>
      <c r="F465" s="19" t="s">
        <v>114</v>
      </c>
      <c r="G465" s="19" t="s">
        <v>58</v>
      </c>
      <c r="H465" s="19">
        <v>11.5</v>
      </c>
      <c r="I465" s="44">
        <v>512</v>
      </c>
      <c r="J465" s="45"/>
      <c r="K465" s="46"/>
      <c r="L465" s="45"/>
      <c r="M465" s="47"/>
      <c r="N465" s="48"/>
      <c r="O465" s="49">
        <f t="shared" ref="O465:O467" si="226">SUM(I465)</f>
        <v>512</v>
      </c>
      <c r="P465" s="51"/>
      <c r="Q465" s="51"/>
      <c r="R465" s="67">
        <f t="shared" si="220"/>
        <v>382.766113161132</v>
      </c>
      <c r="S465" s="91"/>
      <c r="T465" s="91">
        <f t="shared" si="221"/>
        <v>0.95970069700697</v>
      </c>
      <c r="U465" s="67"/>
      <c r="V465" s="67"/>
      <c r="W465" s="89">
        <f t="shared" si="218"/>
        <v>383.725813858139</v>
      </c>
      <c r="X465" s="90">
        <f t="shared" si="222"/>
        <v>8.79271422714227</v>
      </c>
      <c r="Y465" s="90"/>
      <c r="Z465" s="90"/>
      <c r="AA465" s="90">
        <f t="shared" si="217"/>
        <v>8.79271422714227</v>
      </c>
      <c r="AB465" s="107">
        <v>7.19</v>
      </c>
      <c r="AC465" s="67">
        <f t="shared" si="215"/>
        <v>63.2196152931529</v>
      </c>
      <c r="AD465" s="67">
        <f t="shared" si="216"/>
        <v>446.945429151291</v>
      </c>
      <c r="AE465" s="67">
        <f t="shared" si="219"/>
        <v>65.0545708487085</v>
      </c>
    </row>
    <row r="466" customFormat="1" spans="1:31">
      <c r="A466" s="18"/>
      <c r="B466" s="19"/>
      <c r="C466" s="20">
        <v>240220000020</v>
      </c>
      <c r="D466" s="21">
        <v>45348</v>
      </c>
      <c r="E466" s="21" t="s">
        <v>41</v>
      </c>
      <c r="F466" s="19" t="s">
        <v>42</v>
      </c>
      <c r="G466" s="19" t="s">
        <v>59</v>
      </c>
      <c r="H466" s="19">
        <v>1</v>
      </c>
      <c r="I466" s="44">
        <v>56</v>
      </c>
      <c r="J466" s="45"/>
      <c r="K466" s="46"/>
      <c r="L466" s="45"/>
      <c r="M466" s="47"/>
      <c r="N466" s="48"/>
      <c r="O466" s="49">
        <f t="shared" si="226"/>
        <v>56</v>
      </c>
      <c r="P466" s="51"/>
      <c r="Q466" s="51"/>
      <c r="R466" s="67">
        <f t="shared" si="220"/>
        <v>33.2840098400984</v>
      </c>
      <c r="S466" s="91"/>
      <c r="T466" s="91">
        <f t="shared" si="221"/>
        <v>0.0834522345223452</v>
      </c>
      <c r="U466" s="67"/>
      <c r="V466" s="67"/>
      <c r="W466" s="89">
        <f t="shared" si="218"/>
        <v>33.3674620746207</v>
      </c>
      <c r="X466" s="90">
        <f t="shared" si="222"/>
        <v>0.764583845838458</v>
      </c>
      <c r="Y466" s="90"/>
      <c r="Z466" s="90"/>
      <c r="AA466" s="90">
        <f t="shared" si="217"/>
        <v>0.764583845838458</v>
      </c>
      <c r="AB466" s="107">
        <v>7.19</v>
      </c>
      <c r="AC466" s="67">
        <f t="shared" si="215"/>
        <v>5.49735785157852</v>
      </c>
      <c r="AD466" s="67">
        <f t="shared" si="216"/>
        <v>38.8648199261993</v>
      </c>
      <c r="AE466" s="67">
        <f t="shared" si="219"/>
        <v>17.1351800738007</v>
      </c>
    </row>
    <row r="467" customFormat="1" spans="1:31">
      <c r="A467" s="18"/>
      <c r="B467" s="19"/>
      <c r="C467" s="20">
        <v>240220000024</v>
      </c>
      <c r="D467" s="21">
        <v>45348</v>
      </c>
      <c r="E467" s="21" t="s">
        <v>41</v>
      </c>
      <c r="F467" s="19" t="s">
        <v>42</v>
      </c>
      <c r="G467" s="19" t="s">
        <v>173</v>
      </c>
      <c r="H467" s="19">
        <v>4.5</v>
      </c>
      <c r="I467" s="44">
        <v>202.5</v>
      </c>
      <c r="J467" s="54"/>
      <c r="K467" s="55"/>
      <c r="L467" s="54"/>
      <c r="M467" s="47"/>
      <c r="N467" s="48"/>
      <c r="O467" s="49">
        <f t="shared" si="226"/>
        <v>202.5</v>
      </c>
      <c r="P467" s="51"/>
      <c r="Q467" s="51"/>
      <c r="R467" s="67">
        <f t="shared" si="220"/>
        <v>149.778044280443</v>
      </c>
      <c r="S467" s="91"/>
      <c r="T467" s="91">
        <f t="shared" si="221"/>
        <v>0.375535055350553</v>
      </c>
      <c r="U467" s="67"/>
      <c r="V467" s="67"/>
      <c r="W467" s="89">
        <f t="shared" si="218"/>
        <v>150.153579335793</v>
      </c>
      <c r="X467" s="90">
        <f t="shared" si="222"/>
        <v>3.44062730627306</v>
      </c>
      <c r="Y467" s="90"/>
      <c r="Z467" s="90"/>
      <c r="AA467" s="90">
        <f t="shared" si="217"/>
        <v>3.44062730627306</v>
      </c>
      <c r="AB467" s="107">
        <v>7.19</v>
      </c>
      <c r="AC467" s="67">
        <f t="shared" si="215"/>
        <v>24.7381103321033</v>
      </c>
      <c r="AD467" s="67">
        <f t="shared" si="216"/>
        <v>174.891689667897</v>
      </c>
      <c r="AE467" s="67">
        <f t="shared" si="219"/>
        <v>27.6083103321033</v>
      </c>
    </row>
    <row r="468" customFormat="1" spans="1:31">
      <c r="A468" s="18"/>
      <c r="B468" s="19"/>
      <c r="C468" s="20">
        <v>240220000025</v>
      </c>
      <c r="D468" s="21">
        <v>45348</v>
      </c>
      <c r="E468" s="21" t="s">
        <v>37</v>
      </c>
      <c r="F468" s="19" t="s">
        <v>38</v>
      </c>
      <c r="G468" s="19" t="s">
        <v>235</v>
      </c>
      <c r="H468" s="19">
        <v>5</v>
      </c>
      <c r="I468" s="53"/>
      <c r="J468" s="61">
        <v>53074</v>
      </c>
      <c r="K468" s="55"/>
      <c r="L468" s="61">
        <f>SUM(J468/M468)</f>
        <v>1603.44410876133</v>
      </c>
      <c r="M468" s="62">
        <v>33.1</v>
      </c>
      <c r="N468" s="48">
        <v>7.19</v>
      </c>
      <c r="O468" s="49">
        <f t="shared" ref="O468:O471" si="227">SUM(M468*N468)</f>
        <v>237.989</v>
      </c>
      <c r="P468" s="51"/>
      <c r="Q468" s="51"/>
      <c r="R468" s="67">
        <f t="shared" si="220"/>
        <v>166.420049200492</v>
      </c>
      <c r="S468" s="91"/>
      <c r="T468" s="91">
        <f t="shared" si="221"/>
        <v>0.417261172611726</v>
      </c>
      <c r="U468" s="67"/>
      <c r="V468" s="67"/>
      <c r="W468" s="89">
        <f t="shared" si="218"/>
        <v>166.837310373104</v>
      </c>
      <c r="X468" s="90">
        <f t="shared" si="222"/>
        <v>3.82291922919229</v>
      </c>
      <c r="Y468" s="90"/>
      <c r="Z468" s="90"/>
      <c r="AA468" s="90">
        <f t="shared" si="217"/>
        <v>3.82291922919229</v>
      </c>
      <c r="AB468" s="107">
        <v>7.19</v>
      </c>
      <c r="AC468" s="67">
        <f t="shared" si="215"/>
        <v>27.4867892578926</v>
      </c>
      <c r="AD468" s="67">
        <f t="shared" si="216"/>
        <v>194.324099630996</v>
      </c>
      <c r="AE468" s="67">
        <f t="shared" si="219"/>
        <v>43.6649003690037</v>
      </c>
    </row>
    <row r="469" customFormat="1" spans="1:31">
      <c r="A469" s="18"/>
      <c r="B469" s="19"/>
      <c r="C469" s="20">
        <v>240220000027</v>
      </c>
      <c r="D469" s="21">
        <v>45348</v>
      </c>
      <c r="E469" s="21" t="s">
        <v>41</v>
      </c>
      <c r="F469" s="19" t="s">
        <v>42</v>
      </c>
      <c r="G469" s="19" t="s">
        <v>372</v>
      </c>
      <c r="H469" s="19">
        <v>18</v>
      </c>
      <c r="I469" s="44">
        <v>1092.2</v>
      </c>
      <c r="J469" s="45"/>
      <c r="K469" s="46"/>
      <c r="L469" s="45"/>
      <c r="M469" s="47"/>
      <c r="N469" s="48"/>
      <c r="O469" s="49">
        <f t="shared" ref="O469:O473" si="228">SUM(I469)</f>
        <v>1092.2</v>
      </c>
      <c r="P469" s="51"/>
      <c r="Q469" s="51"/>
      <c r="R469" s="67">
        <f t="shared" si="220"/>
        <v>599.112177121771</v>
      </c>
      <c r="S469" s="91"/>
      <c r="T469" s="91">
        <f t="shared" si="221"/>
        <v>1.50214022140221</v>
      </c>
      <c r="U469" s="67">
        <v>40</v>
      </c>
      <c r="V469" s="67"/>
      <c r="W469" s="89">
        <f t="shared" si="218"/>
        <v>640.614317343173</v>
      </c>
      <c r="X469" s="90">
        <f t="shared" si="222"/>
        <v>13.7625092250923</v>
      </c>
      <c r="Y469" s="90"/>
      <c r="Z469" s="90"/>
      <c r="AA469" s="90">
        <f t="shared" si="217"/>
        <v>13.7625092250923</v>
      </c>
      <c r="AB469" s="107">
        <v>7.19</v>
      </c>
      <c r="AC469" s="67">
        <f t="shared" si="215"/>
        <v>98.9524413284133</v>
      </c>
      <c r="AD469" s="67">
        <f t="shared" si="216"/>
        <v>739.566758671587</v>
      </c>
      <c r="AE469" s="67">
        <f t="shared" si="219"/>
        <v>352.633241328413</v>
      </c>
    </row>
    <row r="470" customFormat="1" spans="1:31">
      <c r="A470" s="18"/>
      <c r="B470" s="19"/>
      <c r="C470" s="24">
        <v>240220000030</v>
      </c>
      <c r="D470" s="25">
        <v>45348</v>
      </c>
      <c r="E470" s="21" t="s">
        <v>37</v>
      </c>
      <c r="F470" s="26" t="s">
        <v>38</v>
      </c>
      <c r="G470" s="26" t="s">
        <v>160</v>
      </c>
      <c r="H470" s="26">
        <v>44</v>
      </c>
      <c r="I470" s="53"/>
      <c r="J470" s="61">
        <v>497070</v>
      </c>
      <c r="K470" s="55"/>
      <c r="L470" s="61">
        <f>SUM(J470/M470)</f>
        <v>1800</v>
      </c>
      <c r="M470" s="118">
        <v>276.15</v>
      </c>
      <c r="N470" s="48">
        <v>7.19</v>
      </c>
      <c r="O470" s="49">
        <f t="shared" si="227"/>
        <v>1985.5185</v>
      </c>
      <c r="P470" s="51"/>
      <c r="Q470" s="51"/>
      <c r="R470" s="67">
        <f t="shared" si="220"/>
        <v>1464.49643296433</v>
      </c>
      <c r="S470" s="91"/>
      <c r="T470" s="91">
        <f t="shared" si="221"/>
        <v>3.67189831898319</v>
      </c>
      <c r="U470" s="67"/>
      <c r="V470" s="67">
        <v>109</v>
      </c>
      <c r="W470" s="89">
        <f t="shared" si="218"/>
        <v>1577.16833128331</v>
      </c>
      <c r="X470" s="90">
        <f t="shared" si="222"/>
        <v>33.6416892168922</v>
      </c>
      <c r="Y470" s="90"/>
      <c r="Z470" s="90"/>
      <c r="AA470" s="90">
        <f t="shared" si="217"/>
        <v>33.6416892168922</v>
      </c>
      <c r="AB470" s="107">
        <v>7.19</v>
      </c>
      <c r="AC470" s="67">
        <f t="shared" si="215"/>
        <v>241.883745469455</v>
      </c>
      <c r="AD470" s="67">
        <f t="shared" si="216"/>
        <v>1819.05207675277</v>
      </c>
      <c r="AE470" s="67">
        <f t="shared" si="219"/>
        <v>166.466423247232</v>
      </c>
    </row>
    <row r="471" customFormat="1" spans="1:31">
      <c r="A471" s="18"/>
      <c r="B471" s="19"/>
      <c r="C471" s="20">
        <v>240220000031</v>
      </c>
      <c r="D471" s="21">
        <v>45348</v>
      </c>
      <c r="E471" s="21" t="s">
        <v>41</v>
      </c>
      <c r="F471" s="19" t="s">
        <v>42</v>
      </c>
      <c r="G471" s="19" t="s">
        <v>175</v>
      </c>
      <c r="H471" s="19">
        <v>87.5</v>
      </c>
      <c r="I471" s="53"/>
      <c r="J471" s="61">
        <v>897575</v>
      </c>
      <c r="K471" s="55"/>
      <c r="L471" s="61">
        <f>SUM(J471/M471)</f>
        <v>1603.38513754912</v>
      </c>
      <c r="M471" s="62">
        <v>559.8</v>
      </c>
      <c r="N471" s="48">
        <v>7.19</v>
      </c>
      <c r="O471" s="49">
        <f t="shared" si="227"/>
        <v>4024.962</v>
      </c>
      <c r="P471" s="51"/>
      <c r="Q471" s="51"/>
      <c r="R471" s="67">
        <f t="shared" si="220"/>
        <v>2912.35086100861</v>
      </c>
      <c r="S471" s="91"/>
      <c r="T471" s="91">
        <f t="shared" si="221"/>
        <v>7.30207052070521</v>
      </c>
      <c r="U471" s="67"/>
      <c r="V471" s="67"/>
      <c r="W471" s="89">
        <f t="shared" si="218"/>
        <v>2919.65293152932</v>
      </c>
      <c r="X471" s="90">
        <f t="shared" si="222"/>
        <v>66.9010865108651</v>
      </c>
      <c r="Y471" s="90"/>
      <c r="Z471" s="90"/>
      <c r="AA471" s="90">
        <f t="shared" si="217"/>
        <v>66.9010865108651</v>
      </c>
      <c r="AB471" s="107">
        <v>7.19</v>
      </c>
      <c r="AC471" s="67">
        <f t="shared" si="215"/>
        <v>481.01881201312</v>
      </c>
      <c r="AD471" s="67">
        <f t="shared" si="216"/>
        <v>3400.67174354244</v>
      </c>
      <c r="AE471" s="67">
        <f t="shared" si="219"/>
        <v>624.290256457565</v>
      </c>
    </row>
    <row r="472" customFormat="1" spans="1:31">
      <c r="A472" s="18"/>
      <c r="B472" s="19"/>
      <c r="C472" s="20">
        <v>240220000034</v>
      </c>
      <c r="D472" s="21">
        <v>45348</v>
      </c>
      <c r="E472" s="21" t="s">
        <v>41</v>
      </c>
      <c r="F472" s="19" t="s">
        <v>42</v>
      </c>
      <c r="G472" s="19" t="s">
        <v>220</v>
      </c>
      <c r="H472" s="19">
        <v>12</v>
      </c>
      <c r="I472" s="44">
        <v>468</v>
      </c>
      <c r="J472" s="54"/>
      <c r="K472" s="55"/>
      <c r="L472" s="54"/>
      <c r="M472" s="47"/>
      <c r="N472" s="48"/>
      <c r="O472" s="49">
        <f t="shared" si="228"/>
        <v>468</v>
      </c>
      <c r="P472" s="51"/>
      <c r="Q472" s="51"/>
      <c r="R472" s="67">
        <f t="shared" si="220"/>
        <v>399.408118081181</v>
      </c>
      <c r="S472" s="91"/>
      <c r="T472" s="91">
        <f t="shared" si="221"/>
        <v>1.00142681426814</v>
      </c>
      <c r="U472" s="67"/>
      <c r="V472" s="67"/>
      <c r="W472" s="89">
        <f t="shared" si="218"/>
        <v>400.409544895449</v>
      </c>
      <c r="X472" s="90">
        <f t="shared" si="222"/>
        <v>9.1750061500615</v>
      </c>
      <c r="Y472" s="90"/>
      <c r="Z472" s="90"/>
      <c r="AA472" s="90">
        <f t="shared" si="217"/>
        <v>9.1750061500615</v>
      </c>
      <c r="AB472" s="107">
        <v>7.19</v>
      </c>
      <c r="AC472" s="67">
        <f t="shared" si="215"/>
        <v>65.9682942189422</v>
      </c>
      <c r="AD472" s="67">
        <f t="shared" si="216"/>
        <v>466.377839114391</v>
      </c>
      <c r="AE472" s="67">
        <f t="shared" si="219"/>
        <v>1.62216088560888</v>
      </c>
    </row>
    <row r="473" customFormat="1" spans="1:31">
      <c r="A473" s="18"/>
      <c r="B473" s="19"/>
      <c r="C473" s="20">
        <v>240220000038</v>
      </c>
      <c r="D473" s="21">
        <v>45348</v>
      </c>
      <c r="E473" s="21" t="s">
        <v>41</v>
      </c>
      <c r="F473" s="19" t="s">
        <v>42</v>
      </c>
      <c r="G473" s="19" t="s">
        <v>66</v>
      </c>
      <c r="H473" s="19">
        <v>30.5</v>
      </c>
      <c r="I473" s="44">
        <v>1433.5</v>
      </c>
      <c r="J473" s="45"/>
      <c r="K473" s="46"/>
      <c r="L473" s="45"/>
      <c r="M473" s="47"/>
      <c r="N473" s="48"/>
      <c r="O473" s="49">
        <f t="shared" si="228"/>
        <v>1433.5</v>
      </c>
      <c r="P473" s="51"/>
      <c r="Q473" s="51"/>
      <c r="R473" s="67">
        <f t="shared" si="220"/>
        <v>1015.162300123</v>
      </c>
      <c r="S473" s="91"/>
      <c r="T473" s="91">
        <f t="shared" si="221"/>
        <v>2.54529315293153</v>
      </c>
      <c r="U473" s="67"/>
      <c r="V473" s="67"/>
      <c r="W473" s="89">
        <f t="shared" si="218"/>
        <v>1017.70759327593</v>
      </c>
      <c r="X473" s="90">
        <f t="shared" si="222"/>
        <v>23.319807298073</v>
      </c>
      <c r="Y473" s="90"/>
      <c r="Z473" s="90"/>
      <c r="AA473" s="90">
        <f t="shared" si="217"/>
        <v>23.319807298073</v>
      </c>
      <c r="AB473" s="107">
        <v>7.19</v>
      </c>
      <c r="AC473" s="67">
        <f t="shared" si="215"/>
        <v>167.669414473145</v>
      </c>
      <c r="AD473" s="67">
        <f t="shared" si="216"/>
        <v>1185.37700774908</v>
      </c>
      <c r="AE473" s="67">
        <f t="shared" si="219"/>
        <v>248.122992250923</v>
      </c>
    </row>
    <row r="474" customFormat="1" spans="1:31">
      <c r="A474" s="18"/>
      <c r="B474" s="19"/>
      <c r="C474" s="20">
        <v>240220000039</v>
      </c>
      <c r="D474" s="21">
        <v>45348</v>
      </c>
      <c r="E474" s="21" t="s">
        <v>41</v>
      </c>
      <c r="F474" s="19" t="s">
        <v>42</v>
      </c>
      <c r="G474" s="19" t="s">
        <v>373</v>
      </c>
      <c r="H474" s="19">
        <v>0.48</v>
      </c>
      <c r="I474" s="49"/>
      <c r="J474" s="65">
        <v>12780</v>
      </c>
      <c r="K474" s="66"/>
      <c r="L474" s="61">
        <f>SUM(J474/M474)</f>
        <v>1800</v>
      </c>
      <c r="M474" s="62">
        <v>7.1</v>
      </c>
      <c r="N474" s="48">
        <v>7.19</v>
      </c>
      <c r="O474" s="49">
        <f t="shared" ref="O474:O478" si="229">SUM(M474*N474)</f>
        <v>51.049</v>
      </c>
      <c r="P474" s="51"/>
      <c r="Q474" s="51"/>
      <c r="R474" s="67">
        <f t="shared" si="220"/>
        <v>15.9763247232472</v>
      </c>
      <c r="S474" s="91"/>
      <c r="T474" s="91">
        <f t="shared" si="221"/>
        <v>0.0400570725707257</v>
      </c>
      <c r="U474" s="67"/>
      <c r="V474" s="67"/>
      <c r="W474" s="89">
        <f t="shared" si="218"/>
        <v>16.016381795818</v>
      </c>
      <c r="X474" s="90">
        <f t="shared" si="222"/>
        <v>0.36700024600246</v>
      </c>
      <c r="Y474" s="90"/>
      <c r="Z474" s="90"/>
      <c r="AA474" s="90">
        <f t="shared" si="217"/>
        <v>0.36700024600246</v>
      </c>
      <c r="AB474" s="107">
        <v>7.19</v>
      </c>
      <c r="AC474" s="67">
        <f t="shared" si="215"/>
        <v>2.63873176875769</v>
      </c>
      <c r="AD474" s="67">
        <f t="shared" si="216"/>
        <v>18.6551135645756</v>
      </c>
      <c r="AE474" s="67">
        <f t="shared" si="219"/>
        <v>32.3938864354244</v>
      </c>
    </row>
    <row r="475" customFormat="1" spans="1:31">
      <c r="A475" s="18"/>
      <c r="B475" s="19"/>
      <c r="C475" s="20">
        <v>240220000042</v>
      </c>
      <c r="D475" s="21">
        <v>45348</v>
      </c>
      <c r="E475" s="21" t="s">
        <v>76</v>
      </c>
      <c r="F475" s="19" t="s">
        <v>77</v>
      </c>
      <c r="G475" s="19" t="s">
        <v>374</v>
      </c>
      <c r="H475" s="19">
        <v>2.5</v>
      </c>
      <c r="I475" s="49"/>
      <c r="J475" s="65">
        <v>32240</v>
      </c>
      <c r="K475" s="66"/>
      <c r="L475" s="61">
        <f>SUM(J475/M475)</f>
        <v>1600</v>
      </c>
      <c r="M475" s="62">
        <v>20.15</v>
      </c>
      <c r="N475" s="48">
        <v>7.19</v>
      </c>
      <c r="O475" s="49">
        <f t="shared" si="229"/>
        <v>144.8785</v>
      </c>
      <c r="P475" s="51"/>
      <c r="Q475" s="51"/>
      <c r="R475" s="67">
        <f t="shared" si="220"/>
        <v>83.210024600246</v>
      </c>
      <c r="S475" s="91"/>
      <c r="T475" s="91">
        <f t="shared" si="221"/>
        <v>0.208630586305863</v>
      </c>
      <c r="U475" s="67"/>
      <c r="V475" s="67"/>
      <c r="W475" s="89">
        <f t="shared" si="218"/>
        <v>83.4186551865519</v>
      </c>
      <c r="X475" s="90">
        <f t="shared" si="222"/>
        <v>1.91145961459615</v>
      </c>
      <c r="Y475" s="90"/>
      <c r="Z475" s="90"/>
      <c r="AA475" s="90">
        <f t="shared" si="217"/>
        <v>1.91145961459615</v>
      </c>
      <c r="AB475" s="107">
        <v>7.19</v>
      </c>
      <c r="AC475" s="67">
        <f t="shared" si="215"/>
        <v>13.7433946289463</v>
      </c>
      <c r="AD475" s="67">
        <f t="shared" si="216"/>
        <v>97.1620498154982</v>
      </c>
      <c r="AE475" s="67">
        <f t="shared" si="219"/>
        <v>47.7164501845019</v>
      </c>
    </row>
    <row r="476" customFormat="1" spans="1:31">
      <c r="A476" s="18"/>
      <c r="B476" s="19"/>
      <c r="C476" s="20">
        <v>240220000043</v>
      </c>
      <c r="D476" s="21">
        <v>45348</v>
      </c>
      <c r="E476" s="21" t="s">
        <v>76</v>
      </c>
      <c r="F476" s="19" t="s">
        <v>77</v>
      </c>
      <c r="G476" s="19" t="s">
        <v>375</v>
      </c>
      <c r="H476" s="19">
        <v>2</v>
      </c>
      <c r="I476" s="44">
        <v>109</v>
      </c>
      <c r="J476" s="45"/>
      <c r="K476" s="46"/>
      <c r="L476" s="45"/>
      <c r="M476" s="47"/>
      <c r="N476" s="48"/>
      <c r="O476" s="49">
        <f t="shared" ref="O476:O480" si="230">SUM(I476)</f>
        <v>109</v>
      </c>
      <c r="P476" s="51"/>
      <c r="Q476" s="51"/>
      <c r="R476" s="67">
        <f t="shared" si="220"/>
        <v>66.5680196801968</v>
      </c>
      <c r="S476" s="91"/>
      <c r="T476" s="91">
        <f t="shared" si="221"/>
        <v>0.16690446904469</v>
      </c>
      <c r="U476" s="67"/>
      <c r="V476" s="67"/>
      <c r="W476" s="89">
        <f t="shared" si="218"/>
        <v>66.7349241492415</v>
      </c>
      <c r="X476" s="90">
        <f t="shared" si="222"/>
        <v>1.52916769167692</v>
      </c>
      <c r="Y476" s="90"/>
      <c r="Z476" s="90"/>
      <c r="AA476" s="90">
        <f t="shared" si="217"/>
        <v>1.52916769167692</v>
      </c>
      <c r="AB476" s="107">
        <v>7.19</v>
      </c>
      <c r="AC476" s="67">
        <f t="shared" si="215"/>
        <v>10.994715703157</v>
      </c>
      <c r="AD476" s="67">
        <f t="shared" si="216"/>
        <v>77.7296398523985</v>
      </c>
      <c r="AE476" s="67">
        <f t="shared" si="219"/>
        <v>31.2703601476015</v>
      </c>
    </row>
    <row r="477" customFormat="1" spans="1:31">
      <c r="A477" s="18"/>
      <c r="B477" s="19"/>
      <c r="C477" s="20">
        <v>240220000045</v>
      </c>
      <c r="D477" s="21">
        <v>45348</v>
      </c>
      <c r="E477" s="21" t="s">
        <v>106</v>
      </c>
      <c r="F477" s="19" t="s">
        <v>376</v>
      </c>
      <c r="G477" s="19" t="s">
        <v>177</v>
      </c>
      <c r="H477" s="19">
        <v>0.28</v>
      </c>
      <c r="I477" s="44">
        <v>50</v>
      </c>
      <c r="J477" s="45"/>
      <c r="K477" s="46"/>
      <c r="L477" s="45"/>
      <c r="M477" s="47"/>
      <c r="N477" s="48"/>
      <c r="O477" s="49">
        <f t="shared" si="230"/>
        <v>50</v>
      </c>
      <c r="P477" s="51"/>
      <c r="Q477" s="51"/>
      <c r="R477" s="67">
        <f t="shared" si="220"/>
        <v>9.31952275522755</v>
      </c>
      <c r="S477" s="91"/>
      <c r="T477" s="91">
        <f t="shared" si="221"/>
        <v>0.0233666256662567</v>
      </c>
      <c r="U477" s="67"/>
      <c r="V477" s="67"/>
      <c r="W477" s="89">
        <f t="shared" si="218"/>
        <v>9.34288938089381</v>
      </c>
      <c r="X477" s="90">
        <f t="shared" si="222"/>
        <v>0.214083476834768</v>
      </c>
      <c r="Y477" s="90"/>
      <c r="Z477" s="90"/>
      <c r="AA477" s="90">
        <f t="shared" si="217"/>
        <v>0.214083476834768</v>
      </c>
      <c r="AB477" s="107">
        <v>7.19</v>
      </c>
      <c r="AC477" s="67">
        <f t="shared" si="215"/>
        <v>1.53926019844198</v>
      </c>
      <c r="AD477" s="67">
        <f t="shared" si="216"/>
        <v>10.8821495793358</v>
      </c>
      <c r="AE477" s="67">
        <f t="shared" si="219"/>
        <v>39.1178504206642</v>
      </c>
    </row>
    <row r="478" customFormat="1" spans="1:31">
      <c r="A478" s="18"/>
      <c r="B478" s="19"/>
      <c r="C478" s="20">
        <v>240220000046</v>
      </c>
      <c r="D478" s="21">
        <v>45348</v>
      </c>
      <c r="E478" s="21" t="s">
        <v>37</v>
      </c>
      <c r="F478" s="19" t="s">
        <v>38</v>
      </c>
      <c r="G478" s="19" t="s">
        <v>160</v>
      </c>
      <c r="H478" s="19">
        <v>2.5</v>
      </c>
      <c r="I478" s="49"/>
      <c r="J478" s="65">
        <v>30600</v>
      </c>
      <c r="K478" s="66"/>
      <c r="L478" s="61">
        <f>SUM(J478/M478)</f>
        <v>1800</v>
      </c>
      <c r="M478" s="62">
        <v>17</v>
      </c>
      <c r="N478" s="48">
        <v>7.19</v>
      </c>
      <c r="O478" s="49">
        <f t="shared" si="229"/>
        <v>122.23</v>
      </c>
      <c r="P478" s="51"/>
      <c r="Q478" s="51"/>
      <c r="R478" s="67">
        <f t="shared" si="220"/>
        <v>83.210024600246</v>
      </c>
      <c r="S478" s="91"/>
      <c r="T478" s="91">
        <f t="shared" si="221"/>
        <v>0.208630586305863</v>
      </c>
      <c r="U478" s="67"/>
      <c r="V478" s="67"/>
      <c r="W478" s="89">
        <f t="shared" si="218"/>
        <v>83.4186551865519</v>
      </c>
      <c r="X478" s="90">
        <f t="shared" si="222"/>
        <v>1.91145961459615</v>
      </c>
      <c r="Y478" s="90"/>
      <c r="Z478" s="90"/>
      <c r="AA478" s="90">
        <f t="shared" si="217"/>
        <v>1.91145961459615</v>
      </c>
      <c r="AB478" s="107">
        <v>7.19</v>
      </c>
      <c r="AC478" s="67">
        <f t="shared" si="215"/>
        <v>13.7433946289463</v>
      </c>
      <c r="AD478" s="67">
        <f t="shared" si="216"/>
        <v>97.1620498154982</v>
      </c>
      <c r="AE478" s="67">
        <f t="shared" si="219"/>
        <v>25.0679501845019</v>
      </c>
    </row>
    <row r="479" customFormat="1" spans="1:31">
      <c r="A479" s="18"/>
      <c r="B479" s="19"/>
      <c r="C479" s="20">
        <v>240220000047</v>
      </c>
      <c r="D479" s="21">
        <v>45348</v>
      </c>
      <c r="E479" s="21" t="s">
        <v>56</v>
      </c>
      <c r="F479" s="19" t="s">
        <v>114</v>
      </c>
      <c r="G479" s="19" t="s">
        <v>120</v>
      </c>
      <c r="H479" s="19">
        <v>0.62</v>
      </c>
      <c r="I479" s="44">
        <v>56</v>
      </c>
      <c r="J479" s="45"/>
      <c r="K479" s="46"/>
      <c r="L479" s="45"/>
      <c r="M479" s="47"/>
      <c r="N479" s="48"/>
      <c r="O479" s="49">
        <f t="shared" si="230"/>
        <v>56</v>
      </c>
      <c r="P479" s="51"/>
      <c r="Q479" s="51"/>
      <c r="R479" s="67">
        <f t="shared" si="220"/>
        <v>20.636086100861</v>
      </c>
      <c r="S479" s="91"/>
      <c r="T479" s="91">
        <f t="shared" si="221"/>
        <v>0.051740385403854</v>
      </c>
      <c r="U479" s="67"/>
      <c r="V479" s="67"/>
      <c r="W479" s="89">
        <f t="shared" si="218"/>
        <v>20.6878264862649</v>
      </c>
      <c r="X479" s="90">
        <f t="shared" si="222"/>
        <v>0.474041984419844</v>
      </c>
      <c r="Y479" s="90"/>
      <c r="Z479" s="90"/>
      <c r="AA479" s="90">
        <f t="shared" si="217"/>
        <v>0.474041984419844</v>
      </c>
      <c r="AB479" s="107">
        <v>7.19</v>
      </c>
      <c r="AC479" s="67">
        <f t="shared" ref="AC479:AC510" si="231">SUM(AA479*AB479)</f>
        <v>3.40836186797868</v>
      </c>
      <c r="AD479" s="67">
        <f t="shared" ref="AD479:AD510" si="232">SUM(W479+AC479)</f>
        <v>24.0961883542435</v>
      </c>
      <c r="AE479" s="67">
        <f t="shared" si="219"/>
        <v>31.9038116457565</v>
      </c>
    </row>
    <row r="480" customFormat="1" spans="1:31">
      <c r="A480" s="18"/>
      <c r="B480" s="19"/>
      <c r="C480" s="20">
        <v>240220000048</v>
      </c>
      <c r="D480" s="21">
        <v>45348</v>
      </c>
      <c r="E480" s="21" t="s">
        <v>37</v>
      </c>
      <c r="F480" s="19" t="s">
        <v>38</v>
      </c>
      <c r="G480" s="19" t="s">
        <v>377</v>
      </c>
      <c r="H480" s="19">
        <v>6</v>
      </c>
      <c r="I480" s="44">
        <v>306</v>
      </c>
      <c r="J480" s="45"/>
      <c r="K480" s="46"/>
      <c r="L480" s="45"/>
      <c r="M480" s="47"/>
      <c r="N480" s="48"/>
      <c r="O480" s="49">
        <f t="shared" si="230"/>
        <v>306</v>
      </c>
      <c r="P480" s="51"/>
      <c r="Q480" s="51"/>
      <c r="R480" s="67">
        <f t="shared" si="220"/>
        <v>199.70405904059</v>
      </c>
      <c r="S480" s="91"/>
      <c r="T480" s="91">
        <f t="shared" si="221"/>
        <v>0.500713407134071</v>
      </c>
      <c r="U480" s="67"/>
      <c r="V480" s="67"/>
      <c r="W480" s="89">
        <f t="shared" si="218"/>
        <v>200.204772447724</v>
      </c>
      <c r="X480" s="90">
        <f t="shared" si="222"/>
        <v>4.58750307503075</v>
      </c>
      <c r="Y480" s="90"/>
      <c r="Z480" s="90"/>
      <c r="AA480" s="90">
        <f t="shared" ref="AA480:AA529" si="233">SUM(X480:Z480)</f>
        <v>4.58750307503075</v>
      </c>
      <c r="AB480" s="107">
        <v>7.19</v>
      </c>
      <c r="AC480" s="67">
        <f t="shared" si="231"/>
        <v>32.9841471094711</v>
      </c>
      <c r="AD480" s="67">
        <f t="shared" si="232"/>
        <v>233.188919557196</v>
      </c>
      <c r="AE480" s="67">
        <f t="shared" si="219"/>
        <v>72.8110804428044</v>
      </c>
    </row>
    <row r="481" customFormat="1" spans="1:31">
      <c r="A481" s="18"/>
      <c r="B481" s="19"/>
      <c r="C481" s="20">
        <v>240220000049</v>
      </c>
      <c r="D481" s="21">
        <v>45348</v>
      </c>
      <c r="E481" s="21" t="s">
        <v>41</v>
      </c>
      <c r="F481" s="19" t="s">
        <v>42</v>
      </c>
      <c r="G481" s="19" t="s">
        <v>71</v>
      </c>
      <c r="H481" s="19">
        <v>0.93</v>
      </c>
      <c r="I481" s="53"/>
      <c r="J481" s="61">
        <v>9585</v>
      </c>
      <c r="K481" s="64"/>
      <c r="L481" s="61">
        <f>SUM(J481/M481)</f>
        <v>1533.6</v>
      </c>
      <c r="M481" s="62">
        <v>6.25</v>
      </c>
      <c r="N481" s="48">
        <v>7.19</v>
      </c>
      <c r="O481" s="49">
        <f>SUM(M481*N481)</f>
        <v>44.9375</v>
      </c>
      <c r="P481" s="51"/>
      <c r="Q481" s="51"/>
      <c r="R481" s="67">
        <f t="shared" si="220"/>
        <v>30.9541291512915</v>
      </c>
      <c r="S481" s="91"/>
      <c r="T481" s="91">
        <f t="shared" si="221"/>
        <v>0.0776105781057811</v>
      </c>
      <c r="U481" s="67"/>
      <c r="V481" s="67"/>
      <c r="W481" s="89">
        <f t="shared" ref="W481:W530" si="234">SUM(R481:V481)</f>
        <v>31.0317397293973</v>
      </c>
      <c r="X481" s="90">
        <f t="shared" si="222"/>
        <v>0.711062976629766</v>
      </c>
      <c r="Y481" s="90"/>
      <c r="Z481" s="90"/>
      <c r="AA481" s="90">
        <f t="shared" si="233"/>
        <v>0.711062976629766</v>
      </c>
      <c r="AB481" s="107">
        <v>7.19</v>
      </c>
      <c r="AC481" s="67">
        <f t="shared" si="231"/>
        <v>5.11254280196802</v>
      </c>
      <c r="AD481" s="67">
        <f t="shared" si="232"/>
        <v>36.1442825313653</v>
      </c>
      <c r="AE481" s="67">
        <f t="shared" ref="AE481:AE522" si="235">SUM(O481-AD481)</f>
        <v>8.79321746863469</v>
      </c>
    </row>
    <row r="482" customFormat="1" spans="1:31">
      <c r="A482" s="18"/>
      <c r="B482" s="19"/>
      <c r="C482" s="20">
        <v>240220000050</v>
      </c>
      <c r="D482" s="21">
        <v>45348</v>
      </c>
      <c r="E482" s="21" t="s">
        <v>44</v>
      </c>
      <c r="F482" s="19" t="s">
        <v>44</v>
      </c>
      <c r="G482" s="19" t="s">
        <v>333</v>
      </c>
      <c r="H482" s="19">
        <v>63.5</v>
      </c>
      <c r="I482" s="44">
        <v>2993.5</v>
      </c>
      <c r="J482" s="45"/>
      <c r="K482" s="46"/>
      <c r="L482" s="45"/>
      <c r="M482" s="47"/>
      <c r="N482" s="48"/>
      <c r="O482" s="49">
        <f t="shared" ref="O482:O484" si="236">SUM(I482)</f>
        <v>2993.5</v>
      </c>
      <c r="P482" s="51"/>
      <c r="Q482" s="51"/>
      <c r="R482" s="67">
        <f t="shared" ref="R482:R526" si="237">SUM(81179.7/2439)*H482</f>
        <v>2113.53462484625</v>
      </c>
      <c r="S482" s="91"/>
      <c r="T482" s="91">
        <f t="shared" ref="T482:T526" si="238">SUM(203.54/2439)*H482</f>
        <v>5.29921689216892</v>
      </c>
      <c r="U482" s="67"/>
      <c r="V482" s="67"/>
      <c r="W482" s="89">
        <f t="shared" si="234"/>
        <v>2118.83384173842</v>
      </c>
      <c r="X482" s="90">
        <f t="shared" ref="X482:X526" si="239">SUM(1864.82/2439)*H482</f>
        <v>48.5510742107421</v>
      </c>
      <c r="Y482" s="90"/>
      <c r="Z482" s="90"/>
      <c r="AA482" s="90">
        <f t="shared" si="233"/>
        <v>48.5510742107421</v>
      </c>
      <c r="AB482" s="107">
        <v>7.19</v>
      </c>
      <c r="AC482" s="67">
        <f t="shared" si="231"/>
        <v>349.082223575236</v>
      </c>
      <c r="AD482" s="67">
        <f t="shared" si="232"/>
        <v>2467.91606531365</v>
      </c>
      <c r="AE482" s="67">
        <f t="shared" si="235"/>
        <v>525.583934686347</v>
      </c>
    </row>
    <row r="483" customFormat="1" spans="1:31">
      <c r="A483" s="18"/>
      <c r="B483" s="19"/>
      <c r="C483" s="20">
        <v>240220000054</v>
      </c>
      <c r="D483" s="21">
        <v>45348</v>
      </c>
      <c r="E483" s="21" t="s">
        <v>37</v>
      </c>
      <c r="F483" s="19" t="s">
        <v>38</v>
      </c>
      <c r="G483" s="19" t="s">
        <v>378</v>
      </c>
      <c r="H483" s="19">
        <v>9</v>
      </c>
      <c r="I483" s="44">
        <v>456</v>
      </c>
      <c r="J483" s="45"/>
      <c r="K483" s="46"/>
      <c r="L483" s="45"/>
      <c r="M483" s="47"/>
      <c r="N483" s="48"/>
      <c r="O483" s="49">
        <f t="shared" si="236"/>
        <v>456</v>
      </c>
      <c r="P483" s="51"/>
      <c r="Q483" s="51"/>
      <c r="R483" s="67">
        <f t="shared" si="237"/>
        <v>299.556088560886</v>
      </c>
      <c r="S483" s="91"/>
      <c r="T483" s="91">
        <f t="shared" si="238"/>
        <v>0.751070110701107</v>
      </c>
      <c r="U483" s="67"/>
      <c r="V483" s="67"/>
      <c r="W483" s="89">
        <f t="shared" si="234"/>
        <v>300.307158671587</v>
      </c>
      <c r="X483" s="90">
        <f t="shared" si="239"/>
        <v>6.88125461254613</v>
      </c>
      <c r="Y483" s="90"/>
      <c r="Z483" s="90"/>
      <c r="AA483" s="90">
        <f t="shared" si="233"/>
        <v>6.88125461254613</v>
      </c>
      <c r="AB483" s="107">
        <v>7.19</v>
      </c>
      <c r="AC483" s="67">
        <f t="shared" si="231"/>
        <v>49.4762206642067</v>
      </c>
      <c r="AD483" s="67">
        <f t="shared" si="232"/>
        <v>349.783379335793</v>
      </c>
      <c r="AE483" s="67">
        <f t="shared" si="235"/>
        <v>106.216620664207</v>
      </c>
    </row>
    <row r="484" customFormat="1" spans="1:31">
      <c r="A484" s="18"/>
      <c r="B484" s="19"/>
      <c r="C484" s="20">
        <v>240220000057</v>
      </c>
      <c r="D484" s="21">
        <v>45348</v>
      </c>
      <c r="E484" s="21" t="s">
        <v>62</v>
      </c>
      <c r="F484" s="19" t="s">
        <v>63</v>
      </c>
      <c r="G484" s="19" t="s">
        <v>129</v>
      </c>
      <c r="H484" s="19">
        <v>12</v>
      </c>
      <c r="I484" s="44">
        <v>606</v>
      </c>
      <c r="J484" s="45"/>
      <c r="K484" s="46"/>
      <c r="L484" s="45"/>
      <c r="M484" s="47"/>
      <c r="N484" s="48"/>
      <c r="O484" s="49">
        <f t="shared" si="236"/>
        <v>606</v>
      </c>
      <c r="P484" s="51"/>
      <c r="Q484" s="51"/>
      <c r="R484" s="67">
        <f t="shared" si="237"/>
        <v>399.408118081181</v>
      </c>
      <c r="S484" s="91"/>
      <c r="T484" s="91">
        <f t="shared" si="238"/>
        <v>1.00142681426814</v>
      </c>
      <c r="U484" s="67"/>
      <c r="V484" s="67"/>
      <c r="W484" s="89">
        <f t="shared" si="234"/>
        <v>400.409544895449</v>
      </c>
      <c r="X484" s="90">
        <f t="shared" si="239"/>
        <v>9.1750061500615</v>
      </c>
      <c r="Y484" s="90"/>
      <c r="Z484" s="90"/>
      <c r="AA484" s="90">
        <f t="shared" si="233"/>
        <v>9.1750061500615</v>
      </c>
      <c r="AB484" s="107">
        <v>7.19</v>
      </c>
      <c r="AC484" s="67">
        <f t="shared" si="231"/>
        <v>65.9682942189422</v>
      </c>
      <c r="AD484" s="67">
        <f t="shared" si="232"/>
        <v>466.377839114391</v>
      </c>
      <c r="AE484" s="67">
        <f t="shared" si="235"/>
        <v>139.622160885609</v>
      </c>
    </row>
    <row r="485" customFormat="1" spans="1:31">
      <c r="A485" s="18"/>
      <c r="B485" s="19"/>
      <c r="C485" s="20">
        <v>240221000003</v>
      </c>
      <c r="D485" s="21">
        <v>45348</v>
      </c>
      <c r="E485" s="21" t="s">
        <v>106</v>
      </c>
      <c r="F485" s="19" t="s">
        <v>107</v>
      </c>
      <c r="G485" s="19" t="s">
        <v>195</v>
      </c>
      <c r="H485" s="19">
        <v>0.5</v>
      </c>
      <c r="I485" s="49"/>
      <c r="J485" s="65">
        <v>12750</v>
      </c>
      <c r="K485" s="66"/>
      <c r="L485" s="61">
        <f>SUM(J485/M485)</f>
        <v>1795.77464788732</v>
      </c>
      <c r="M485" s="62">
        <v>7.1</v>
      </c>
      <c r="N485" s="48">
        <v>7.19</v>
      </c>
      <c r="O485" s="49">
        <f t="shared" ref="O485:O491" si="240">SUM(M485*N485)</f>
        <v>51.049</v>
      </c>
      <c r="P485" s="51"/>
      <c r="Q485" s="51"/>
      <c r="R485" s="67">
        <f t="shared" si="237"/>
        <v>16.6420049200492</v>
      </c>
      <c r="S485" s="91"/>
      <c r="T485" s="91">
        <f t="shared" si="238"/>
        <v>0.0417261172611726</v>
      </c>
      <c r="U485" s="67"/>
      <c r="V485" s="67"/>
      <c r="W485" s="89">
        <f t="shared" si="234"/>
        <v>16.6837310373104</v>
      </c>
      <c r="X485" s="90">
        <f t="shared" si="239"/>
        <v>0.382291922919229</v>
      </c>
      <c r="Y485" s="90"/>
      <c r="Z485" s="90"/>
      <c r="AA485" s="90">
        <f t="shared" si="233"/>
        <v>0.382291922919229</v>
      </c>
      <c r="AB485" s="107">
        <v>7.19</v>
      </c>
      <c r="AC485" s="67">
        <f t="shared" si="231"/>
        <v>2.74867892578926</v>
      </c>
      <c r="AD485" s="67">
        <f t="shared" si="232"/>
        <v>19.4324099630996</v>
      </c>
      <c r="AE485" s="67">
        <f t="shared" si="235"/>
        <v>31.6165900369004</v>
      </c>
    </row>
    <row r="486" customFormat="1" spans="1:31">
      <c r="A486" s="18"/>
      <c r="B486" s="19"/>
      <c r="C486" s="20">
        <v>240221000004</v>
      </c>
      <c r="D486" s="21">
        <v>45348</v>
      </c>
      <c r="E486" s="21" t="s">
        <v>76</v>
      </c>
      <c r="F486" s="19" t="s">
        <v>77</v>
      </c>
      <c r="G486" s="19" t="s">
        <v>334</v>
      </c>
      <c r="H486" s="19">
        <v>10.5</v>
      </c>
      <c r="I486" s="44">
        <v>531</v>
      </c>
      <c r="J486" s="45"/>
      <c r="K486" s="46"/>
      <c r="L486" s="45"/>
      <c r="M486" s="47"/>
      <c r="N486" s="48"/>
      <c r="O486" s="49">
        <f t="shared" ref="O486:O488" si="241">SUM(I486)</f>
        <v>531</v>
      </c>
      <c r="P486" s="51"/>
      <c r="Q486" s="51"/>
      <c r="R486" s="67">
        <f t="shared" si="237"/>
        <v>349.482103321033</v>
      </c>
      <c r="S486" s="91"/>
      <c r="T486" s="91">
        <f t="shared" si="238"/>
        <v>0.876248462484625</v>
      </c>
      <c r="U486" s="67"/>
      <c r="V486" s="67"/>
      <c r="W486" s="89">
        <f t="shared" si="234"/>
        <v>350.358351783518</v>
      </c>
      <c r="X486" s="90">
        <f t="shared" si="239"/>
        <v>8.02813038130381</v>
      </c>
      <c r="Y486" s="90"/>
      <c r="Z486" s="90"/>
      <c r="AA486" s="90">
        <f t="shared" si="233"/>
        <v>8.02813038130381</v>
      </c>
      <c r="AB486" s="107">
        <v>7.19</v>
      </c>
      <c r="AC486" s="67">
        <f t="shared" si="231"/>
        <v>57.7222574415744</v>
      </c>
      <c r="AD486" s="67">
        <f t="shared" si="232"/>
        <v>408.080609225092</v>
      </c>
      <c r="AE486" s="67">
        <f t="shared" si="235"/>
        <v>122.919390774908</v>
      </c>
    </row>
    <row r="487" customFormat="1" spans="1:31">
      <c r="A487" s="18"/>
      <c r="B487" s="19"/>
      <c r="C487" s="20">
        <v>240221000008</v>
      </c>
      <c r="D487" s="21">
        <v>45348</v>
      </c>
      <c r="E487" s="21" t="s">
        <v>62</v>
      </c>
      <c r="F487" s="19" t="s">
        <v>63</v>
      </c>
      <c r="G487" s="19" t="s">
        <v>236</v>
      </c>
      <c r="H487" s="19">
        <v>2</v>
      </c>
      <c r="I487" s="44">
        <v>97</v>
      </c>
      <c r="J487" s="45"/>
      <c r="K487" s="46"/>
      <c r="L487" s="45"/>
      <c r="M487" s="47"/>
      <c r="N487" s="48"/>
      <c r="O487" s="49">
        <f t="shared" si="241"/>
        <v>97</v>
      </c>
      <c r="P487" s="51"/>
      <c r="Q487" s="51"/>
      <c r="R487" s="67">
        <f t="shared" si="237"/>
        <v>66.5680196801968</v>
      </c>
      <c r="S487" s="91"/>
      <c r="T487" s="91">
        <f t="shared" si="238"/>
        <v>0.16690446904469</v>
      </c>
      <c r="U487" s="67"/>
      <c r="V487" s="67"/>
      <c r="W487" s="89">
        <f t="shared" si="234"/>
        <v>66.7349241492415</v>
      </c>
      <c r="X487" s="90">
        <f t="shared" si="239"/>
        <v>1.52916769167692</v>
      </c>
      <c r="Y487" s="90"/>
      <c r="Z487" s="90"/>
      <c r="AA487" s="90">
        <f t="shared" si="233"/>
        <v>1.52916769167692</v>
      </c>
      <c r="AB487" s="107">
        <v>7.19</v>
      </c>
      <c r="AC487" s="67">
        <f t="shared" si="231"/>
        <v>10.994715703157</v>
      </c>
      <c r="AD487" s="67">
        <f t="shared" si="232"/>
        <v>77.7296398523985</v>
      </c>
      <c r="AE487" s="67">
        <f t="shared" si="235"/>
        <v>19.2703601476015</v>
      </c>
    </row>
    <row r="488" customFormat="1" spans="1:31">
      <c r="A488" s="18"/>
      <c r="B488" s="19"/>
      <c r="C488" s="20">
        <v>240221000009</v>
      </c>
      <c r="D488" s="21">
        <v>45348</v>
      </c>
      <c r="E488" s="21" t="s">
        <v>62</v>
      </c>
      <c r="F488" s="19" t="s">
        <v>63</v>
      </c>
      <c r="G488" s="19" t="s">
        <v>379</v>
      </c>
      <c r="H488" s="19">
        <v>9.5</v>
      </c>
      <c r="I488" s="44">
        <v>481</v>
      </c>
      <c r="J488" s="45"/>
      <c r="K488" s="46"/>
      <c r="L488" s="45"/>
      <c r="M488" s="47"/>
      <c r="N488" s="48"/>
      <c r="O488" s="49">
        <f t="shared" si="241"/>
        <v>481</v>
      </c>
      <c r="P488" s="51"/>
      <c r="Q488" s="51"/>
      <c r="R488" s="67">
        <f t="shared" si="237"/>
        <v>316.198093480935</v>
      </c>
      <c r="S488" s="91"/>
      <c r="T488" s="91">
        <f t="shared" si="238"/>
        <v>0.79279622796228</v>
      </c>
      <c r="U488" s="67"/>
      <c r="V488" s="67"/>
      <c r="W488" s="89">
        <f t="shared" si="234"/>
        <v>316.990889708897</v>
      </c>
      <c r="X488" s="90">
        <f t="shared" si="239"/>
        <v>7.26354653546535</v>
      </c>
      <c r="Y488" s="90"/>
      <c r="Z488" s="90"/>
      <c r="AA488" s="90">
        <f t="shared" si="233"/>
        <v>7.26354653546535</v>
      </c>
      <c r="AB488" s="107">
        <v>7.19</v>
      </c>
      <c r="AC488" s="67">
        <f t="shared" si="231"/>
        <v>52.2248995899959</v>
      </c>
      <c r="AD488" s="67">
        <f t="shared" si="232"/>
        <v>369.215789298893</v>
      </c>
      <c r="AE488" s="67">
        <f t="shared" si="235"/>
        <v>111.784210701107</v>
      </c>
    </row>
    <row r="489" customFormat="1" spans="1:31">
      <c r="A489" s="18"/>
      <c r="B489" s="19"/>
      <c r="C489" s="20">
        <v>240221000011</v>
      </c>
      <c r="D489" s="21">
        <v>45348</v>
      </c>
      <c r="E489" s="21" t="s">
        <v>76</v>
      </c>
      <c r="F489" s="19" t="s">
        <v>77</v>
      </c>
      <c r="G489" s="19" t="s">
        <v>331</v>
      </c>
      <c r="H489" s="19">
        <v>10</v>
      </c>
      <c r="I489" s="53"/>
      <c r="J489" s="61">
        <v>98120</v>
      </c>
      <c r="K489" s="55"/>
      <c r="L489" s="61">
        <f>SUM(J489/M489)</f>
        <v>1581.81525068515</v>
      </c>
      <c r="M489" s="62">
        <v>62.03</v>
      </c>
      <c r="N489" s="48">
        <v>7.19</v>
      </c>
      <c r="O489" s="49">
        <f t="shared" si="240"/>
        <v>445.9957</v>
      </c>
      <c r="P489" s="51"/>
      <c r="Q489" s="51"/>
      <c r="R489" s="67">
        <f t="shared" si="237"/>
        <v>332.840098400984</v>
      </c>
      <c r="S489" s="91"/>
      <c r="T489" s="91">
        <f t="shared" si="238"/>
        <v>0.834522345223452</v>
      </c>
      <c r="U489" s="67"/>
      <c r="V489" s="67"/>
      <c r="W489" s="89">
        <f t="shared" si="234"/>
        <v>333.674620746207</v>
      </c>
      <c r="X489" s="90">
        <f t="shared" si="239"/>
        <v>7.64583845838458</v>
      </c>
      <c r="Y489" s="90"/>
      <c r="Z489" s="90"/>
      <c r="AA489" s="90">
        <f t="shared" si="233"/>
        <v>7.64583845838458</v>
      </c>
      <c r="AB489" s="107">
        <v>7.19</v>
      </c>
      <c r="AC489" s="67">
        <f t="shared" si="231"/>
        <v>54.9735785157852</v>
      </c>
      <c r="AD489" s="67">
        <f t="shared" si="232"/>
        <v>388.648199261993</v>
      </c>
      <c r="AE489" s="67">
        <f t="shared" si="235"/>
        <v>57.3475007380074</v>
      </c>
    </row>
    <row r="490" customFormat="1" spans="1:31">
      <c r="A490" s="18"/>
      <c r="B490" s="19"/>
      <c r="C490" s="20">
        <v>240221000015</v>
      </c>
      <c r="D490" s="21">
        <v>45348</v>
      </c>
      <c r="E490" s="21" t="s">
        <v>41</v>
      </c>
      <c r="F490" s="19" t="s">
        <v>42</v>
      </c>
      <c r="G490" s="19" t="s">
        <v>270</v>
      </c>
      <c r="H490" s="19">
        <v>17</v>
      </c>
      <c r="I490" s="53"/>
      <c r="J490" s="61">
        <v>147907.5</v>
      </c>
      <c r="K490" s="64"/>
      <c r="L490" s="61">
        <f>SUM(J490/M490)</f>
        <v>1474.06318517042</v>
      </c>
      <c r="M490" s="62">
        <v>100.34</v>
      </c>
      <c r="N490" s="48">
        <v>7.19</v>
      </c>
      <c r="O490" s="49">
        <f t="shared" si="240"/>
        <v>721.4446</v>
      </c>
      <c r="P490" s="51"/>
      <c r="Q490" s="51"/>
      <c r="R490" s="67">
        <f t="shared" si="237"/>
        <v>565.828167281673</v>
      </c>
      <c r="S490" s="91"/>
      <c r="T490" s="91">
        <f t="shared" si="238"/>
        <v>1.41868798687987</v>
      </c>
      <c r="U490" s="67"/>
      <c r="V490" s="91">
        <f>SUM(23+20)</f>
        <v>43</v>
      </c>
      <c r="W490" s="89">
        <f t="shared" si="234"/>
        <v>610.246855268553</v>
      </c>
      <c r="X490" s="90">
        <f t="shared" si="239"/>
        <v>12.9979253792538</v>
      </c>
      <c r="Y490" s="90"/>
      <c r="Z490" s="90"/>
      <c r="AA490" s="90">
        <f t="shared" si="233"/>
        <v>12.9979253792538</v>
      </c>
      <c r="AB490" s="107">
        <v>7.19</v>
      </c>
      <c r="AC490" s="67">
        <f t="shared" si="231"/>
        <v>93.4550834768348</v>
      </c>
      <c r="AD490" s="67">
        <f t="shared" si="232"/>
        <v>703.701938745387</v>
      </c>
      <c r="AE490" s="67">
        <f t="shared" si="235"/>
        <v>17.7426612546126</v>
      </c>
    </row>
    <row r="491" customFormat="1" spans="1:31">
      <c r="A491" s="18"/>
      <c r="B491" s="19"/>
      <c r="C491" s="20">
        <v>240221000017</v>
      </c>
      <c r="D491" s="21">
        <v>45348</v>
      </c>
      <c r="E491" s="21" t="s">
        <v>62</v>
      </c>
      <c r="F491" s="19" t="s">
        <v>63</v>
      </c>
      <c r="G491" s="19" t="s">
        <v>208</v>
      </c>
      <c r="H491" s="19">
        <v>4</v>
      </c>
      <c r="I491" s="49"/>
      <c r="J491" s="65">
        <v>48420</v>
      </c>
      <c r="K491" s="69"/>
      <c r="L491" s="61">
        <f>SUM(J491/M491)</f>
        <v>1800</v>
      </c>
      <c r="M491" s="62">
        <v>26.9</v>
      </c>
      <c r="N491" s="48">
        <v>7.19</v>
      </c>
      <c r="O491" s="49">
        <f t="shared" si="240"/>
        <v>193.411</v>
      </c>
      <c r="P491" s="51"/>
      <c r="Q491" s="51"/>
      <c r="R491" s="67">
        <f t="shared" si="237"/>
        <v>133.136039360394</v>
      </c>
      <c r="S491" s="91"/>
      <c r="T491" s="91">
        <f t="shared" si="238"/>
        <v>0.333808938089381</v>
      </c>
      <c r="U491" s="67"/>
      <c r="V491" s="67"/>
      <c r="W491" s="89">
        <f t="shared" si="234"/>
        <v>133.469848298483</v>
      </c>
      <c r="X491" s="90">
        <f t="shared" si="239"/>
        <v>3.05833538335383</v>
      </c>
      <c r="Y491" s="90"/>
      <c r="Z491" s="90"/>
      <c r="AA491" s="90">
        <f t="shared" si="233"/>
        <v>3.05833538335383</v>
      </c>
      <c r="AB491" s="107">
        <v>7.19</v>
      </c>
      <c r="AC491" s="67">
        <f t="shared" si="231"/>
        <v>21.9894314063141</v>
      </c>
      <c r="AD491" s="67">
        <f t="shared" si="232"/>
        <v>155.459279704797</v>
      </c>
      <c r="AE491" s="67">
        <f t="shared" si="235"/>
        <v>37.951720295203</v>
      </c>
    </row>
    <row r="492" customFormat="1" spans="1:31">
      <c r="A492" s="18"/>
      <c r="B492" s="19"/>
      <c r="C492" s="24">
        <v>240221000018</v>
      </c>
      <c r="D492" s="25">
        <v>45348</v>
      </c>
      <c r="E492" s="21" t="s">
        <v>37</v>
      </c>
      <c r="F492" s="26" t="s">
        <v>122</v>
      </c>
      <c r="G492" s="26" t="s">
        <v>123</v>
      </c>
      <c r="H492" s="26">
        <v>19</v>
      </c>
      <c r="I492" s="44">
        <v>741</v>
      </c>
      <c r="J492" s="45"/>
      <c r="K492" s="46"/>
      <c r="L492" s="45"/>
      <c r="M492" s="47"/>
      <c r="N492" s="48"/>
      <c r="O492" s="49">
        <f t="shared" ref="O492:O494" si="242">SUM(I492)</f>
        <v>741</v>
      </c>
      <c r="P492" s="51"/>
      <c r="Q492" s="51"/>
      <c r="R492" s="67">
        <f t="shared" si="237"/>
        <v>632.39618696187</v>
      </c>
      <c r="S492" s="91"/>
      <c r="T492" s="91">
        <f t="shared" si="238"/>
        <v>1.58559245592456</v>
      </c>
      <c r="U492" s="67"/>
      <c r="V492" s="67"/>
      <c r="W492" s="89">
        <f t="shared" si="234"/>
        <v>633.981779417794</v>
      </c>
      <c r="X492" s="90">
        <f t="shared" si="239"/>
        <v>14.5270930709307</v>
      </c>
      <c r="Y492" s="90"/>
      <c r="Z492" s="90"/>
      <c r="AA492" s="90">
        <f t="shared" si="233"/>
        <v>14.5270930709307</v>
      </c>
      <c r="AB492" s="107">
        <v>7.19</v>
      </c>
      <c r="AC492" s="67">
        <f t="shared" si="231"/>
        <v>104.449799179992</v>
      </c>
      <c r="AD492" s="67">
        <f t="shared" si="232"/>
        <v>738.431578597786</v>
      </c>
      <c r="AE492" s="67">
        <f t="shared" si="235"/>
        <v>2.56842140221397</v>
      </c>
    </row>
    <row r="493" customFormat="1" spans="1:31">
      <c r="A493" s="18"/>
      <c r="B493" s="19"/>
      <c r="C493" s="20">
        <v>240221000019</v>
      </c>
      <c r="D493" s="21">
        <v>45348</v>
      </c>
      <c r="E493" s="21" t="s">
        <v>76</v>
      </c>
      <c r="F493" s="19" t="s">
        <v>77</v>
      </c>
      <c r="G493" s="19" t="s">
        <v>380</v>
      </c>
      <c r="H493" s="19">
        <v>21</v>
      </c>
      <c r="I493" s="44">
        <v>932</v>
      </c>
      <c r="J493" s="45"/>
      <c r="K493" s="46"/>
      <c r="L493" s="45"/>
      <c r="M493" s="47"/>
      <c r="N493" s="48"/>
      <c r="O493" s="49">
        <f t="shared" si="242"/>
        <v>932</v>
      </c>
      <c r="P493" s="51"/>
      <c r="Q493" s="51"/>
      <c r="R493" s="67">
        <f t="shared" si="237"/>
        <v>698.964206642066</v>
      </c>
      <c r="S493" s="91"/>
      <c r="T493" s="91">
        <f t="shared" si="238"/>
        <v>1.75249692496925</v>
      </c>
      <c r="U493" s="67"/>
      <c r="V493" s="67"/>
      <c r="W493" s="89">
        <f t="shared" si="234"/>
        <v>700.716703567036</v>
      </c>
      <c r="X493" s="90">
        <f t="shared" si="239"/>
        <v>16.0562607626076</v>
      </c>
      <c r="Y493" s="90"/>
      <c r="Z493" s="90"/>
      <c r="AA493" s="90">
        <f t="shared" si="233"/>
        <v>16.0562607626076</v>
      </c>
      <c r="AB493" s="107">
        <v>7.19</v>
      </c>
      <c r="AC493" s="67">
        <f t="shared" si="231"/>
        <v>115.444514883149</v>
      </c>
      <c r="AD493" s="67">
        <f t="shared" si="232"/>
        <v>816.161218450184</v>
      </c>
      <c r="AE493" s="67">
        <f t="shared" si="235"/>
        <v>115.838781549816</v>
      </c>
    </row>
    <row r="494" customFormat="1" spans="1:31">
      <c r="A494" s="18"/>
      <c r="B494" s="19"/>
      <c r="C494" s="20">
        <v>240221000022</v>
      </c>
      <c r="D494" s="21">
        <v>45348</v>
      </c>
      <c r="E494" s="21" t="s">
        <v>37</v>
      </c>
      <c r="F494" s="19" t="s">
        <v>38</v>
      </c>
      <c r="G494" s="19" t="s">
        <v>381</v>
      </c>
      <c r="H494" s="19">
        <v>358</v>
      </c>
      <c r="I494" s="44">
        <v>15178</v>
      </c>
      <c r="J494" s="45"/>
      <c r="K494" s="46"/>
      <c r="L494" s="45"/>
      <c r="M494" s="47"/>
      <c r="N494" s="48"/>
      <c r="O494" s="49">
        <f t="shared" si="242"/>
        <v>15178</v>
      </c>
      <c r="P494" s="51"/>
      <c r="Q494" s="51"/>
      <c r="R494" s="67">
        <f t="shared" si="237"/>
        <v>11915.6755227552</v>
      </c>
      <c r="S494" s="91"/>
      <c r="T494" s="91">
        <f t="shared" si="238"/>
        <v>29.8758999589996</v>
      </c>
      <c r="U494" s="67"/>
      <c r="V494" s="67"/>
      <c r="W494" s="89">
        <f t="shared" si="234"/>
        <v>11945.5514227142</v>
      </c>
      <c r="X494" s="90">
        <f t="shared" si="239"/>
        <v>273.721016810168</v>
      </c>
      <c r="Y494" s="90"/>
      <c r="Z494" s="90"/>
      <c r="AA494" s="90">
        <f t="shared" si="233"/>
        <v>273.721016810168</v>
      </c>
      <c r="AB494" s="107">
        <v>7.19</v>
      </c>
      <c r="AC494" s="67">
        <f t="shared" si="231"/>
        <v>1968.05411086511</v>
      </c>
      <c r="AD494" s="67">
        <f t="shared" si="232"/>
        <v>13913.6055335793</v>
      </c>
      <c r="AE494" s="67">
        <f t="shared" si="235"/>
        <v>1264.39446642066</v>
      </c>
    </row>
    <row r="495" customFormat="1" spans="1:31">
      <c r="A495" s="18"/>
      <c r="B495" s="19"/>
      <c r="C495" s="20">
        <v>240221000023</v>
      </c>
      <c r="D495" s="21">
        <v>45348</v>
      </c>
      <c r="E495" s="21" t="s">
        <v>76</v>
      </c>
      <c r="F495" s="19" t="s">
        <v>77</v>
      </c>
      <c r="G495" s="19" t="s">
        <v>183</v>
      </c>
      <c r="H495" s="19">
        <v>2</v>
      </c>
      <c r="I495" s="49"/>
      <c r="J495" s="65">
        <v>24625</v>
      </c>
      <c r="K495" s="66"/>
      <c r="L495" s="61">
        <f>SUM(J495/M495)</f>
        <v>1797.44525547445</v>
      </c>
      <c r="M495" s="62">
        <v>13.7</v>
      </c>
      <c r="N495" s="48">
        <v>7.19</v>
      </c>
      <c r="O495" s="49">
        <f t="shared" ref="O495:O497" si="243">SUM(M495*N495)</f>
        <v>98.503</v>
      </c>
      <c r="P495" s="51"/>
      <c r="Q495" s="51"/>
      <c r="R495" s="67">
        <f t="shared" si="237"/>
        <v>66.5680196801968</v>
      </c>
      <c r="S495" s="91"/>
      <c r="T495" s="91">
        <f t="shared" si="238"/>
        <v>0.16690446904469</v>
      </c>
      <c r="U495" s="67"/>
      <c r="V495" s="67"/>
      <c r="W495" s="89">
        <f t="shared" si="234"/>
        <v>66.7349241492415</v>
      </c>
      <c r="X495" s="90">
        <f t="shared" si="239"/>
        <v>1.52916769167692</v>
      </c>
      <c r="Y495" s="90"/>
      <c r="Z495" s="90"/>
      <c r="AA495" s="90">
        <f t="shared" si="233"/>
        <v>1.52916769167692</v>
      </c>
      <c r="AB495" s="107">
        <v>7.19</v>
      </c>
      <c r="AC495" s="67">
        <f t="shared" si="231"/>
        <v>10.994715703157</v>
      </c>
      <c r="AD495" s="67">
        <f t="shared" si="232"/>
        <v>77.7296398523985</v>
      </c>
      <c r="AE495" s="67">
        <f t="shared" si="235"/>
        <v>20.7733601476015</v>
      </c>
    </row>
    <row r="496" customFormat="1" spans="1:31">
      <c r="A496" s="18"/>
      <c r="B496" s="19"/>
      <c r="C496" s="20">
        <v>240221000025</v>
      </c>
      <c r="D496" s="21">
        <v>45348</v>
      </c>
      <c r="E496" s="21" t="s">
        <v>41</v>
      </c>
      <c r="F496" s="19" t="s">
        <v>382</v>
      </c>
      <c r="G496" s="19" t="s">
        <v>382</v>
      </c>
      <c r="H496" s="19">
        <v>5</v>
      </c>
      <c r="I496" s="49"/>
      <c r="J496" s="65">
        <v>60640</v>
      </c>
      <c r="K496" s="66"/>
      <c r="L496" s="61">
        <f>SUM(J496/M496)</f>
        <v>1600</v>
      </c>
      <c r="M496" s="62">
        <v>37.9</v>
      </c>
      <c r="N496" s="48">
        <v>7.19</v>
      </c>
      <c r="O496" s="49">
        <f t="shared" si="243"/>
        <v>272.501</v>
      </c>
      <c r="P496" s="51"/>
      <c r="Q496" s="51"/>
      <c r="R496" s="67">
        <f t="shared" si="237"/>
        <v>166.420049200492</v>
      </c>
      <c r="S496" s="91"/>
      <c r="T496" s="91">
        <f t="shared" si="238"/>
        <v>0.417261172611726</v>
      </c>
      <c r="U496" s="67"/>
      <c r="V496" s="67"/>
      <c r="W496" s="89">
        <f t="shared" si="234"/>
        <v>166.837310373104</v>
      </c>
      <c r="X496" s="90">
        <f t="shared" si="239"/>
        <v>3.82291922919229</v>
      </c>
      <c r="Y496" s="90"/>
      <c r="Z496" s="90"/>
      <c r="AA496" s="90">
        <f t="shared" si="233"/>
        <v>3.82291922919229</v>
      </c>
      <c r="AB496" s="107">
        <v>7.19</v>
      </c>
      <c r="AC496" s="67">
        <f t="shared" si="231"/>
        <v>27.4867892578926</v>
      </c>
      <c r="AD496" s="67">
        <f t="shared" si="232"/>
        <v>194.324099630996</v>
      </c>
      <c r="AE496" s="67">
        <f t="shared" si="235"/>
        <v>78.1769003690037</v>
      </c>
    </row>
    <row r="497" customFormat="1" spans="1:31">
      <c r="A497" s="18"/>
      <c r="B497" s="19"/>
      <c r="C497" s="20">
        <v>240222000001</v>
      </c>
      <c r="D497" s="21">
        <v>45348</v>
      </c>
      <c r="E497" s="21" t="s">
        <v>76</v>
      </c>
      <c r="F497" s="19" t="s">
        <v>77</v>
      </c>
      <c r="G497" s="19" t="s">
        <v>183</v>
      </c>
      <c r="H497" s="19">
        <v>9.5</v>
      </c>
      <c r="I497" s="49"/>
      <c r="J497" s="65">
        <v>107500</v>
      </c>
      <c r="K497" s="66"/>
      <c r="L497" s="61">
        <f>SUM(J497/M497)</f>
        <v>1797.95952500418</v>
      </c>
      <c r="M497" s="62">
        <v>59.79</v>
      </c>
      <c r="N497" s="48">
        <v>7.19</v>
      </c>
      <c r="O497" s="49">
        <f t="shared" si="243"/>
        <v>429.8901</v>
      </c>
      <c r="P497" s="51"/>
      <c r="Q497" s="51"/>
      <c r="R497" s="67">
        <f t="shared" si="237"/>
        <v>316.198093480935</v>
      </c>
      <c r="S497" s="91"/>
      <c r="T497" s="91">
        <f t="shared" si="238"/>
        <v>0.79279622796228</v>
      </c>
      <c r="U497" s="67"/>
      <c r="V497" s="67"/>
      <c r="W497" s="89">
        <f t="shared" si="234"/>
        <v>316.990889708897</v>
      </c>
      <c r="X497" s="90">
        <f t="shared" si="239"/>
        <v>7.26354653546535</v>
      </c>
      <c r="Y497" s="90"/>
      <c r="Z497" s="90"/>
      <c r="AA497" s="90">
        <f t="shared" si="233"/>
        <v>7.26354653546535</v>
      </c>
      <c r="AB497" s="107">
        <v>7.19</v>
      </c>
      <c r="AC497" s="67">
        <f t="shared" si="231"/>
        <v>52.2248995899959</v>
      </c>
      <c r="AD497" s="67">
        <f t="shared" si="232"/>
        <v>369.215789298893</v>
      </c>
      <c r="AE497" s="67">
        <f t="shared" si="235"/>
        <v>60.674310701107</v>
      </c>
    </row>
    <row r="498" customFormat="1" spans="1:31">
      <c r="A498" s="18"/>
      <c r="B498" s="19"/>
      <c r="C498" s="20">
        <v>240222000002</v>
      </c>
      <c r="D498" s="21">
        <v>45348</v>
      </c>
      <c r="E498" s="21" t="s">
        <v>62</v>
      </c>
      <c r="F498" s="19" t="s">
        <v>63</v>
      </c>
      <c r="G498" s="19" t="s">
        <v>383</v>
      </c>
      <c r="H498" s="19">
        <v>18.5</v>
      </c>
      <c r="I498" s="44">
        <v>814</v>
      </c>
      <c r="J498" s="54"/>
      <c r="K498" s="55"/>
      <c r="L498" s="54"/>
      <c r="M498" s="47"/>
      <c r="N498" s="48"/>
      <c r="O498" s="49">
        <f>SUM(I498)</f>
        <v>814</v>
      </c>
      <c r="P498" s="51"/>
      <c r="Q498" s="51"/>
      <c r="R498" s="67">
        <f t="shared" si="237"/>
        <v>615.75418204182</v>
      </c>
      <c r="S498" s="91"/>
      <c r="T498" s="91">
        <f t="shared" si="238"/>
        <v>1.54386633866339</v>
      </c>
      <c r="U498" s="67"/>
      <c r="V498" s="67"/>
      <c r="W498" s="89">
        <f t="shared" si="234"/>
        <v>617.298048380484</v>
      </c>
      <c r="X498" s="90">
        <f t="shared" si="239"/>
        <v>14.1448011480115</v>
      </c>
      <c r="Y498" s="90"/>
      <c r="Z498" s="90"/>
      <c r="AA498" s="90">
        <f t="shared" si="233"/>
        <v>14.1448011480115</v>
      </c>
      <c r="AB498" s="107">
        <v>7.19</v>
      </c>
      <c r="AC498" s="67">
        <f t="shared" si="231"/>
        <v>101.701120254203</v>
      </c>
      <c r="AD498" s="67">
        <f t="shared" si="232"/>
        <v>718.999168634686</v>
      </c>
      <c r="AE498" s="67">
        <f t="shared" si="235"/>
        <v>95.0008313653136</v>
      </c>
    </row>
    <row r="499" customFormat="1" spans="1:31">
      <c r="A499" s="18"/>
      <c r="B499" s="19"/>
      <c r="C499" s="20">
        <v>240222000004</v>
      </c>
      <c r="D499" s="21">
        <v>45348</v>
      </c>
      <c r="E499" s="21" t="s">
        <v>41</v>
      </c>
      <c r="F499" s="19" t="s">
        <v>42</v>
      </c>
      <c r="G499" s="19" t="s">
        <v>180</v>
      </c>
      <c r="H499" s="19">
        <v>38</v>
      </c>
      <c r="I499" s="53"/>
      <c r="J499" s="61">
        <v>392920</v>
      </c>
      <c r="K499" s="55"/>
      <c r="L499" s="61">
        <f>SUM(J499/M499)</f>
        <v>1581.80354267311</v>
      </c>
      <c r="M499" s="62">
        <v>248.4</v>
      </c>
      <c r="N499" s="48">
        <v>7.19</v>
      </c>
      <c r="O499" s="49">
        <f t="shared" ref="O499:O503" si="244">SUM(M499*N499)</f>
        <v>1785.996</v>
      </c>
      <c r="P499" s="51"/>
      <c r="Q499" s="51"/>
      <c r="R499" s="67">
        <f t="shared" si="237"/>
        <v>1264.79237392374</v>
      </c>
      <c r="S499" s="91"/>
      <c r="T499" s="91">
        <f t="shared" si="238"/>
        <v>3.17118491184912</v>
      </c>
      <c r="U499" s="67"/>
      <c r="V499" s="67"/>
      <c r="W499" s="89">
        <f t="shared" si="234"/>
        <v>1267.96355883559</v>
      </c>
      <c r="X499" s="90">
        <f t="shared" si="239"/>
        <v>29.0541861418614</v>
      </c>
      <c r="Y499" s="90"/>
      <c r="Z499" s="90"/>
      <c r="AA499" s="90">
        <f t="shared" si="233"/>
        <v>29.0541861418614</v>
      </c>
      <c r="AB499" s="107">
        <v>7.19</v>
      </c>
      <c r="AC499" s="67">
        <f t="shared" si="231"/>
        <v>208.899598359984</v>
      </c>
      <c r="AD499" s="67">
        <f t="shared" si="232"/>
        <v>1476.86315719557</v>
      </c>
      <c r="AE499" s="67">
        <f t="shared" si="235"/>
        <v>309.132842804428</v>
      </c>
    </row>
    <row r="500" customFormat="1" spans="1:31">
      <c r="A500" s="18"/>
      <c r="B500" s="19"/>
      <c r="C500" s="20">
        <v>240222000005</v>
      </c>
      <c r="D500" s="21">
        <v>45348</v>
      </c>
      <c r="E500" s="21" t="s">
        <v>37</v>
      </c>
      <c r="F500" s="19" t="s">
        <v>384</v>
      </c>
      <c r="G500" s="19" t="s">
        <v>385</v>
      </c>
      <c r="H500" s="19">
        <v>14</v>
      </c>
      <c r="I500" s="44">
        <v>706</v>
      </c>
      <c r="J500" s="45"/>
      <c r="K500" s="46"/>
      <c r="L500" s="45"/>
      <c r="M500" s="47"/>
      <c r="N500" s="48"/>
      <c r="O500" s="49">
        <f>SUM(I500)</f>
        <v>706</v>
      </c>
      <c r="P500" s="51"/>
      <c r="Q500" s="51"/>
      <c r="R500" s="67">
        <f t="shared" si="237"/>
        <v>465.976137761378</v>
      </c>
      <c r="S500" s="91"/>
      <c r="T500" s="91">
        <f t="shared" si="238"/>
        <v>1.16833128331283</v>
      </c>
      <c r="U500" s="67"/>
      <c r="V500" s="67"/>
      <c r="W500" s="89">
        <f t="shared" si="234"/>
        <v>467.14446904469</v>
      </c>
      <c r="X500" s="90">
        <f t="shared" si="239"/>
        <v>10.7041738417384</v>
      </c>
      <c r="Y500" s="90"/>
      <c r="Z500" s="90"/>
      <c r="AA500" s="90">
        <f t="shared" si="233"/>
        <v>10.7041738417384</v>
      </c>
      <c r="AB500" s="107">
        <v>7.19</v>
      </c>
      <c r="AC500" s="67">
        <f t="shared" si="231"/>
        <v>76.9630099220992</v>
      </c>
      <c r="AD500" s="67">
        <f t="shared" si="232"/>
        <v>544.10747896679</v>
      </c>
      <c r="AE500" s="67">
        <f t="shared" si="235"/>
        <v>161.89252103321</v>
      </c>
    </row>
    <row r="501" customFormat="1" spans="1:31">
      <c r="A501" s="18"/>
      <c r="B501" s="19"/>
      <c r="C501" s="20">
        <v>240222000011</v>
      </c>
      <c r="D501" s="21">
        <v>45348</v>
      </c>
      <c r="E501" s="21" t="s">
        <v>44</v>
      </c>
      <c r="F501" s="19" t="s">
        <v>44</v>
      </c>
      <c r="G501" s="19" t="s">
        <v>314</v>
      </c>
      <c r="H501" s="19">
        <v>16.5</v>
      </c>
      <c r="I501" s="53"/>
      <c r="J501" s="61">
        <v>184666</v>
      </c>
      <c r="K501" s="55"/>
      <c r="L501" s="61">
        <f>SUM(J501/M501)</f>
        <v>1597.87141991866</v>
      </c>
      <c r="M501" s="62">
        <v>115.57</v>
      </c>
      <c r="N501" s="48">
        <v>7.19</v>
      </c>
      <c r="O501" s="49">
        <f t="shared" si="244"/>
        <v>830.9483</v>
      </c>
      <c r="P501" s="51"/>
      <c r="Q501" s="51"/>
      <c r="R501" s="67">
        <f t="shared" si="237"/>
        <v>549.186162361624</v>
      </c>
      <c r="S501" s="91"/>
      <c r="T501" s="91">
        <f t="shared" si="238"/>
        <v>1.3769618696187</v>
      </c>
      <c r="U501" s="67"/>
      <c r="V501" s="67"/>
      <c r="W501" s="89">
        <f t="shared" si="234"/>
        <v>550.563124231242</v>
      </c>
      <c r="X501" s="90">
        <f t="shared" si="239"/>
        <v>12.6156334563346</v>
      </c>
      <c r="Y501" s="90"/>
      <c r="Z501" s="90"/>
      <c r="AA501" s="90">
        <f t="shared" si="233"/>
        <v>12.6156334563346</v>
      </c>
      <c r="AB501" s="107">
        <v>7.19</v>
      </c>
      <c r="AC501" s="67">
        <f t="shared" si="231"/>
        <v>90.7064045510455</v>
      </c>
      <c r="AD501" s="67">
        <f t="shared" si="232"/>
        <v>641.269528782288</v>
      </c>
      <c r="AE501" s="67">
        <f t="shared" si="235"/>
        <v>189.678771217712</v>
      </c>
    </row>
    <row r="502" customFormat="1" spans="1:31">
      <c r="A502" s="18"/>
      <c r="B502" s="19"/>
      <c r="C502" s="20">
        <v>240222000013</v>
      </c>
      <c r="D502" s="21">
        <v>45348</v>
      </c>
      <c r="E502" s="21" t="s">
        <v>41</v>
      </c>
      <c r="F502" s="19" t="s">
        <v>42</v>
      </c>
      <c r="G502" s="19" t="s">
        <v>386</v>
      </c>
      <c r="H502" s="19">
        <v>150</v>
      </c>
      <c r="I502" s="53"/>
      <c r="J502" s="61">
        <v>1380000</v>
      </c>
      <c r="K502" s="55"/>
      <c r="L502" s="61">
        <f>SUM(J502/M502)</f>
        <v>1595.91076777185</v>
      </c>
      <c r="M502" s="62">
        <v>864.71</v>
      </c>
      <c r="N502" s="48">
        <v>7.19</v>
      </c>
      <c r="O502" s="49">
        <f t="shared" si="244"/>
        <v>6217.2649</v>
      </c>
      <c r="P502" s="51"/>
      <c r="Q502" s="51"/>
      <c r="R502" s="67">
        <f t="shared" si="237"/>
        <v>4992.60147601476</v>
      </c>
      <c r="S502" s="91"/>
      <c r="T502" s="91">
        <f t="shared" si="238"/>
        <v>12.5178351783518</v>
      </c>
      <c r="U502" s="67"/>
      <c r="V502" s="91">
        <v>386.81</v>
      </c>
      <c r="W502" s="89">
        <f t="shared" si="234"/>
        <v>5391.92931119311</v>
      </c>
      <c r="X502" s="90">
        <f t="shared" si="239"/>
        <v>114.687576875769</v>
      </c>
      <c r="Y502" s="90"/>
      <c r="Z502" s="90"/>
      <c r="AA502" s="90">
        <f t="shared" si="233"/>
        <v>114.687576875769</v>
      </c>
      <c r="AB502" s="107">
        <v>7.19</v>
      </c>
      <c r="AC502" s="67">
        <f t="shared" si="231"/>
        <v>824.603677736777</v>
      </c>
      <c r="AD502" s="67">
        <f t="shared" si="232"/>
        <v>6216.53298892989</v>
      </c>
      <c r="AE502" s="67">
        <f t="shared" si="235"/>
        <v>0.731911070110982</v>
      </c>
    </row>
    <row r="503" customFormat="1" spans="1:31">
      <c r="A503" s="18"/>
      <c r="B503" s="19"/>
      <c r="C503" s="20">
        <v>240222000014</v>
      </c>
      <c r="D503" s="21">
        <v>45348</v>
      </c>
      <c r="E503" s="21" t="s">
        <v>41</v>
      </c>
      <c r="F503" s="19" t="s">
        <v>42</v>
      </c>
      <c r="G503" s="19" t="s">
        <v>190</v>
      </c>
      <c r="H503" s="19">
        <v>59</v>
      </c>
      <c r="I503" s="53"/>
      <c r="J503" s="61">
        <v>646250</v>
      </c>
      <c r="K503" s="55"/>
      <c r="L503" s="61">
        <f>SUM(J503/M503)</f>
        <v>1581.81373148941</v>
      </c>
      <c r="M503" s="62">
        <v>408.55</v>
      </c>
      <c r="N503" s="48">
        <v>7.19</v>
      </c>
      <c r="O503" s="49">
        <f t="shared" si="244"/>
        <v>2937.4745</v>
      </c>
      <c r="P503" s="51"/>
      <c r="Q503" s="51"/>
      <c r="R503" s="67">
        <f t="shared" si="237"/>
        <v>1963.75658056581</v>
      </c>
      <c r="S503" s="91"/>
      <c r="T503" s="91">
        <f t="shared" si="238"/>
        <v>4.92368183681837</v>
      </c>
      <c r="U503" s="67"/>
      <c r="V503" s="67"/>
      <c r="W503" s="89">
        <f t="shared" si="234"/>
        <v>1968.68026240262</v>
      </c>
      <c r="X503" s="90">
        <f t="shared" si="239"/>
        <v>45.110446904469</v>
      </c>
      <c r="Y503" s="90"/>
      <c r="Z503" s="90"/>
      <c r="AA503" s="90">
        <f t="shared" si="233"/>
        <v>45.110446904469</v>
      </c>
      <c r="AB503" s="107">
        <v>7.19</v>
      </c>
      <c r="AC503" s="67">
        <f t="shared" si="231"/>
        <v>324.344113243132</v>
      </c>
      <c r="AD503" s="67">
        <f t="shared" si="232"/>
        <v>2293.02437564576</v>
      </c>
      <c r="AE503" s="67">
        <f t="shared" si="235"/>
        <v>644.450124354244</v>
      </c>
    </row>
    <row r="504" customFormat="1" spans="1:31">
      <c r="A504" s="18"/>
      <c r="B504" s="19"/>
      <c r="C504" s="20">
        <v>240222000015</v>
      </c>
      <c r="D504" s="21">
        <v>45348</v>
      </c>
      <c r="E504" s="21" t="s">
        <v>62</v>
      </c>
      <c r="F504" s="19" t="s">
        <v>63</v>
      </c>
      <c r="G504" s="19" t="s">
        <v>248</v>
      </c>
      <c r="H504" s="19">
        <v>17</v>
      </c>
      <c r="I504" s="44">
        <v>830</v>
      </c>
      <c r="J504" s="45"/>
      <c r="K504" s="46"/>
      <c r="L504" s="45"/>
      <c r="M504" s="47"/>
      <c r="N504" s="48"/>
      <c r="O504" s="49">
        <f t="shared" ref="O504:O509" si="245">SUM(I504)</f>
        <v>830</v>
      </c>
      <c r="P504" s="51"/>
      <c r="Q504" s="51"/>
      <c r="R504" s="67">
        <f t="shared" si="237"/>
        <v>565.828167281673</v>
      </c>
      <c r="S504" s="91"/>
      <c r="T504" s="91">
        <f t="shared" si="238"/>
        <v>1.41868798687987</v>
      </c>
      <c r="U504" s="67">
        <v>50</v>
      </c>
      <c r="V504" s="67"/>
      <c r="W504" s="89">
        <f t="shared" si="234"/>
        <v>617.246855268553</v>
      </c>
      <c r="X504" s="90">
        <f t="shared" si="239"/>
        <v>12.9979253792538</v>
      </c>
      <c r="Y504" s="90"/>
      <c r="Z504" s="90"/>
      <c r="AA504" s="90">
        <f t="shared" si="233"/>
        <v>12.9979253792538</v>
      </c>
      <c r="AB504" s="107">
        <v>7.19</v>
      </c>
      <c r="AC504" s="67">
        <f t="shared" si="231"/>
        <v>93.4550834768348</v>
      </c>
      <c r="AD504" s="67">
        <f t="shared" si="232"/>
        <v>710.701938745387</v>
      </c>
      <c r="AE504" s="67">
        <f t="shared" si="235"/>
        <v>119.298061254613</v>
      </c>
    </row>
    <row r="505" customFormat="1" spans="1:31">
      <c r="A505" s="18"/>
      <c r="B505" s="19"/>
      <c r="C505" s="20">
        <v>240222000017</v>
      </c>
      <c r="D505" s="21">
        <v>45348</v>
      </c>
      <c r="E505" s="21" t="s">
        <v>41</v>
      </c>
      <c r="F505" s="19" t="s">
        <v>42</v>
      </c>
      <c r="G505" s="19" t="s">
        <v>190</v>
      </c>
      <c r="H505" s="19">
        <v>10</v>
      </c>
      <c r="I505" s="53"/>
      <c r="J505" s="61">
        <v>124080</v>
      </c>
      <c r="K505" s="55"/>
      <c r="L505" s="61">
        <f>SUM(J505/M505)</f>
        <v>1581.84599694034</v>
      </c>
      <c r="M505" s="62">
        <v>78.44</v>
      </c>
      <c r="N505" s="48">
        <v>7.19</v>
      </c>
      <c r="O505" s="49">
        <f t="shared" ref="O505:O508" si="246">SUM(M505*N505)</f>
        <v>563.9836</v>
      </c>
      <c r="P505" s="51"/>
      <c r="Q505" s="51"/>
      <c r="R505" s="67">
        <f t="shared" si="237"/>
        <v>332.840098400984</v>
      </c>
      <c r="S505" s="91"/>
      <c r="T505" s="91">
        <f t="shared" si="238"/>
        <v>0.834522345223452</v>
      </c>
      <c r="U505" s="67"/>
      <c r="V505" s="67"/>
      <c r="W505" s="89">
        <f t="shared" si="234"/>
        <v>333.674620746207</v>
      </c>
      <c r="X505" s="90">
        <f t="shared" si="239"/>
        <v>7.64583845838458</v>
      </c>
      <c r="Y505" s="90"/>
      <c r="Z505" s="90"/>
      <c r="AA505" s="90">
        <f t="shared" si="233"/>
        <v>7.64583845838458</v>
      </c>
      <c r="AB505" s="107">
        <v>7.19</v>
      </c>
      <c r="AC505" s="67">
        <f t="shared" si="231"/>
        <v>54.9735785157852</v>
      </c>
      <c r="AD505" s="67">
        <f t="shared" si="232"/>
        <v>388.648199261993</v>
      </c>
      <c r="AE505" s="67">
        <f t="shared" si="235"/>
        <v>175.335400738007</v>
      </c>
    </row>
    <row r="506" customFormat="1" spans="1:31">
      <c r="A506" s="18"/>
      <c r="B506" s="19"/>
      <c r="C506" s="20">
        <v>240222000018</v>
      </c>
      <c r="D506" s="21">
        <v>45348</v>
      </c>
      <c r="E506" s="21" t="s">
        <v>41</v>
      </c>
      <c r="F506" s="19" t="s">
        <v>42</v>
      </c>
      <c r="G506" s="19" t="s">
        <v>190</v>
      </c>
      <c r="H506" s="19">
        <v>1.5</v>
      </c>
      <c r="I506" s="53"/>
      <c r="J506" s="61">
        <v>18150</v>
      </c>
      <c r="K506" s="55"/>
      <c r="L506" s="61">
        <f>SUM(J506/M506)</f>
        <v>1582.38884045336</v>
      </c>
      <c r="M506" s="62">
        <v>11.47</v>
      </c>
      <c r="N506" s="48">
        <v>7.19</v>
      </c>
      <c r="O506" s="49">
        <f t="shared" si="246"/>
        <v>82.4693</v>
      </c>
      <c r="P506" s="51"/>
      <c r="Q506" s="51"/>
      <c r="R506" s="67">
        <f t="shared" si="237"/>
        <v>49.9260147601476</v>
      </c>
      <c r="S506" s="91"/>
      <c r="T506" s="91">
        <f t="shared" si="238"/>
        <v>0.125178351783518</v>
      </c>
      <c r="U506" s="67"/>
      <c r="V506" s="67"/>
      <c r="W506" s="89">
        <f t="shared" si="234"/>
        <v>50.0511931119311</v>
      </c>
      <c r="X506" s="90">
        <f t="shared" si="239"/>
        <v>1.14687576875769</v>
      </c>
      <c r="Y506" s="90"/>
      <c r="Z506" s="90"/>
      <c r="AA506" s="90">
        <f t="shared" si="233"/>
        <v>1.14687576875769</v>
      </c>
      <c r="AB506" s="107">
        <v>7.19</v>
      </c>
      <c r="AC506" s="67">
        <f t="shared" si="231"/>
        <v>8.24603677736777</v>
      </c>
      <c r="AD506" s="67">
        <f t="shared" si="232"/>
        <v>58.2972298892989</v>
      </c>
      <c r="AE506" s="67">
        <f t="shared" si="235"/>
        <v>24.1720701107011</v>
      </c>
    </row>
    <row r="507" customFormat="1" spans="1:31">
      <c r="A507" s="18"/>
      <c r="B507" s="19"/>
      <c r="C507" s="20">
        <v>240222000019</v>
      </c>
      <c r="D507" s="21">
        <v>45348</v>
      </c>
      <c r="E507" s="21" t="s">
        <v>44</v>
      </c>
      <c r="F507" s="19" t="s">
        <v>44</v>
      </c>
      <c r="G507" s="19" t="s">
        <v>387</v>
      </c>
      <c r="H507" s="19">
        <v>209.5</v>
      </c>
      <c r="I507" s="44">
        <v>8950.32</v>
      </c>
      <c r="J507" s="54"/>
      <c r="K507" s="55"/>
      <c r="L507" s="54"/>
      <c r="M507" s="47"/>
      <c r="N507" s="48"/>
      <c r="O507" s="49">
        <f t="shared" si="245"/>
        <v>8950.32</v>
      </c>
      <c r="P507" s="51"/>
      <c r="Q507" s="51"/>
      <c r="R507" s="67">
        <f t="shared" si="237"/>
        <v>6973.00006150061</v>
      </c>
      <c r="S507" s="91"/>
      <c r="T507" s="91">
        <f t="shared" si="238"/>
        <v>17.4832431324313</v>
      </c>
      <c r="U507" s="67"/>
      <c r="V507" s="67"/>
      <c r="W507" s="89">
        <f t="shared" si="234"/>
        <v>6990.48330463305</v>
      </c>
      <c r="X507" s="90">
        <f t="shared" si="239"/>
        <v>160.180315703157</v>
      </c>
      <c r="Y507" s="90"/>
      <c r="Z507" s="90"/>
      <c r="AA507" s="90">
        <f t="shared" si="233"/>
        <v>160.180315703157</v>
      </c>
      <c r="AB507" s="107">
        <v>7.19</v>
      </c>
      <c r="AC507" s="67">
        <f t="shared" si="231"/>
        <v>1151.6964699057</v>
      </c>
      <c r="AD507" s="67">
        <f t="shared" si="232"/>
        <v>8142.17977453874</v>
      </c>
      <c r="AE507" s="67">
        <f t="shared" si="235"/>
        <v>808.140225461255</v>
      </c>
    </row>
    <row r="508" customFormat="1" spans="1:31">
      <c r="A508" s="18"/>
      <c r="B508" s="19"/>
      <c r="C508" s="20">
        <v>240222000022</v>
      </c>
      <c r="D508" s="21">
        <v>45348</v>
      </c>
      <c r="E508" s="21" t="s">
        <v>41</v>
      </c>
      <c r="F508" s="19" t="s">
        <v>42</v>
      </c>
      <c r="G508" s="19" t="s">
        <v>270</v>
      </c>
      <c r="H508" s="19">
        <v>0.54</v>
      </c>
      <c r="I508" s="53"/>
      <c r="J508" s="61">
        <v>9225</v>
      </c>
      <c r="K508" s="64"/>
      <c r="L508" s="61">
        <f>SUM(J508/M508)</f>
        <v>1476</v>
      </c>
      <c r="M508" s="62">
        <v>6.25</v>
      </c>
      <c r="N508" s="48">
        <v>7.19</v>
      </c>
      <c r="O508" s="49">
        <f t="shared" si="246"/>
        <v>44.9375</v>
      </c>
      <c r="P508" s="51"/>
      <c r="Q508" s="51"/>
      <c r="R508" s="67">
        <f t="shared" si="237"/>
        <v>17.9733653136531</v>
      </c>
      <c r="S508" s="91"/>
      <c r="T508" s="91">
        <f t="shared" si="238"/>
        <v>0.0450642066420664</v>
      </c>
      <c r="U508" s="67"/>
      <c r="V508" s="67"/>
      <c r="W508" s="89">
        <f t="shared" si="234"/>
        <v>18.0184295202952</v>
      </c>
      <c r="X508" s="90">
        <f t="shared" si="239"/>
        <v>0.412875276752768</v>
      </c>
      <c r="Y508" s="90"/>
      <c r="Z508" s="90"/>
      <c r="AA508" s="90">
        <f t="shared" si="233"/>
        <v>0.412875276752768</v>
      </c>
      <c r="AB508" s="107">
        <v>7.19</v>
      </c>
      <c r="AC508" s="67">
        <f t="shared" si="231"/>
        <v>2.9685732398524</v>
      </c>
      <c r="AD508" s="67">
        <f t="shared" si="232"/>
        <v>20.9870027601476</v>
      </c>
      <c r="AE508" s="67">
        <f t="shared" si="235"/>
        <v>23.9504972398524</v>
      </c>
    </row>
    <row r="509" customFormat="1" spans="1:31">
      <c r="A509" s="18"/>
      <c r="B509" s="19"/>
      <c r="C509" s="20">
        <v>240222000023</v>
      </c>
      <c r="D509" s="21">
        <v>45348</v>
      </c>
      <c r="E509" s="21" t="s">
        <v>44</v>
      </c>
      <c r="F509" s="19" t="s">
        <v>44</v>
      </c>
      <c r="G509" s="19" t="s">
        <v>388</v>
      </c>
      <c r="H509" s="19">
        <v>84.5</v>
      </c>
      <c r="I509" s="44">
        <v>3726</v>
      </c>
      <c r="J509" s="45"/>
      <c r="K509" s="46"/>
      <c r="L509" s="45"/>
      <c r="M509" s="47"/>
      <c r="N509" s="48"/>
      <c r="O509" s="49">
        <f t="shared" si="245"/>
        <v>3726</v>
      </c>
      <c r="P509" s="51"/>
      <c r="Q509" s="51"/>
      <c r="R509" s="67">
        <f t="shared" si="237"/>
        <v>2812.49883148831</v>
      </c>
      <c r="S509" s="91"/>
      <c r="T509" s="91">
        <f t="shared" si="238"/>
        <v>7.05171381713817</v>
      </c>
      <c r="U509" s="67"/>
      <c r="V509" s="67"/>
      <c r="W509" s="89">
        <f t="shared" si="234"/>
        <v>2819.55054530545</v>
      </c>
      <c r="X509" s="90">
        <f t="shared" si="239"/>
        <v>64.6073349733497</v>
      </c>
      <c r="Y509" s="90"/>
      <c r="Z509" s="90"/>
      <c r="AA509" s="90">
        <f t="shared" si="233"/>
        <v>64.6073349733497</v>
      </c>
      <c r="AB509" s="107">
        <v>7.19</v>
      </c>
      <c r="AC509" s="67">
        <f t="shared" si="231"/>
        <v>464.526738458385</v>
      </c>
      <c r="AD509" s="67">
        <f t="shared" si="232"/>
        <v>3284.07728376384</v>
      </c>
      <c r="AE509" s="67">
        <f t="shared" si="235"/>
        <v>441.922716236163</v>
      </c>
    </row>
    <row r="510" customFormat="1" spans="1:31">
      <c r="A510" s="18"/>
      <c r="B510" s="19"/>
      <c r="C510" s="20">
        <v>240222000024</v>
      </c>
      <c r="D510" s="21">
        <v>45348</v>
      </c>
      <c r="E510" s="21" t="s">
        <v>44</v>
      </c>
      <c r="F510" s="19" t="s">
        <v>44</v>
      </c>
      <c r="G510" s="19" t="s">
        <v>314</v>
      </c>
      <c r="H510" s="19">
        <v>3.5</v>
      </c>
      <c r="I510" s="53"/>
      <c r="J510" s="61">
        <v>41888</v>
      </c>
      <c r="K510" s="55"/>
      <c r="L510" s="61">
        <f>SUM(J510/M510)</f>
        <v>1598.16863792446</v>
      </c>
      <c r="M510" s="62">
        <v>26.21</v>
      </c>
      <c r="N510" s="48">
        <v>7.19</v>
      </c>
      <c r="O510" s="49">
        <f t="shared" ref="O510:O512" si="247">SUM(M510*N510)</f>
        <v>188.4499</v>
      </c>
      <c r="P510" s="51"/>
      <c r="Q510" s="51"/>
      <c r="R510" s="67">
        <f t="shared" si="237"/>
        <v>116.494034440344</v>
      </c>
      <c r="S510" s="91"/>
      <c r="T510" s="91">
        <f t="shared" si="238"/>
        <v>0.292082820828208</v>
      </c>
      <c r="U510" s="67"/>
      <c r="V510" s="67"/>
      <c r="W510" s="89">
        <f t="shared" si="234"/>
        <v>116.786117261173</v>
      </c>
      <c r="X510" s="90">
        <f t="shared" si="239"/>
        <v>2.6760434604346</v>
      </c>
      <c r="Y510" s="90"/>
      <c r="Z510" s="90"/>
      <c r="AA510" s="90">
        <f t="shared" si="233"/>
        <v>2.6760434604346</v>
      </c>
      <c r="AB510" s="107">
        <v>7.19</v>
      </c>
      <c r="AC510" s="67">
        <f t="shared" si="231"/>
        <v>19.2407524805248</v>
      </c>
      <c r="AD510" s="67">
        <f t="shared" si="232"/>
        <v>136.026869741697</v>
      </c>
      <c r="AE510" s="67">
        <f t="shared" si="235"/>
        <v>52.4230302583026</v>
      </c>
    </row>
    <row r="511" customFormat="1" spans="1:31">
      <c r="A511" s="18"/>
      <c r="B511" s="19"/>
      <c r="C511" s="20">
        <v>240222000025</v>
      </c>
      <c r="D511" s="21">
        <v>45348</v>
      </c>
      <c r="E511" s="21" t="s">
        <v>41</v>
      </c>
      <c r="F511" s="19" t="s">
        <v>42</v>
      </c>
      <c r="G511" s="19" t="s">
        <v>59</v>
      </c>
      <c r="H511" s="19">
        <v>21</v>
      </c>
      <c r="I511" s="53"/>
      <c r="J511" s="61">
        <v>152233</v>
      </c>
      <c r="K511" s="55"/>
      <c r="L511" s="61">
        <f>SUM(J511/M511)</f>
        <v>1136.0671641791</v>
      </c>
      <c r="M511" s="62">
        <v>134</v>
      </c>
      <c r="N511" s="48">
        <v>7.19</v>
      </c>
      <c r="O511" s="49">
        <f t="shared" si="247"/>
        <v>963.46</v>
      </c>
      <c r="P511" s="51"/>
      <c r="Q511" s="51"/>
      <c r="R511" s="67">
        <f t="shared" si="237"/>
        <v>698.964206642066</v>
      </c>
      <c r="S511" s="91"/>
      <c r="T511" s="91">
        <f t="shared" si="238"/>
        <v>1.75249692496925</v>
      </c>
      <c r="U511" s="67"/>
      <c r="V511" s="67"/>
      <c r="W511" s="89">
        <f t="shared" si="234"/>
        <v>700.716703567036</v>
      </c>
      <c r="X511" s="90">
        <f t="shared" si="239"/>
        <v>16.0562607626076</v>
      </c>
      <c r="Y511" s="90"/>
      <c r="Z511" s="90"/>
      <c r="AA511" s="90">
        <f t="shared" si="233"/>
        <v>16.0562607626076</v>
      </c>
      <c r="AB511" s="107">
        <v>7.19</v>
      </c>
      <c r="AC511" s="67">
        <f t="shared" ref="AC511:AC526" si="248">SUM(AA511*AB511)</f>
        <v>115.444514883149</v>
      </c>
      <c r="AD511" s="67">
        <f t="shared" ref="AD511:AD526" si="249">SUM(W511+AC511)</f>
        <v>816.161218450184</v>
      </c>
      <c r="AE511" s="67">
        <f t="shared" si="235"/>
        <v>147.298781549816</v>
      </c>
    </row>
    <row r="512" customFormat="1" spans="1:31">
      <c r="A512" s="18"/>
      <c r="B512" s="19"/>
      <c r="C512" s="20">
        <v>240222000026</v>
      </c>
      <c r="D512" s="21">
        <v>45348</v>
      </c>
      <c r="E512" s="21" t="s">
        <v>41</v>
      </c>
      <c r="F512" s="19" t="s">
        <v>42</v>
      </c>
      <c r="G512" s="19" t="s">
        <v>59</v>
      </c>
      <c r="H512" s="19">
        <v>12</v>
      </c>
      <c r="I512" s="53"/>
      <c r="J512" s="61">
        <v>89112</v>
      </c>
      <c r="K512" s="55"/>
      <c r="L512" s="61">
        <f>SUM(J512/M512)</f>
        <v>1136.05303416624</v>
      </c>
      <c r="M512" s="62">
        <v>78.44</v>
      </c>
      <c r="N512" s="48">
        <v>7.19</v>
      </c>
      <c r="O512" s="49">
        <f t="shared" si="247"/>
        <v>563.9836</v>
      </c>
      <c r="P512" s="51"/>
      <c r="Q512" s="51"/>
      <c r="R512" s="67">
        <f t="shared" si="237"/>
        <v>399.408118081181</v>
      </c>
      <c r="S512" s="91"/>
      <c r="T512" s="91">
        <f t="shared" si="238"/>
        <v>1.00142681426814</v>
      </c>
      <c r="U512" s="67"/>
      <c r="V512" s="67"/>
      <c r="W512" s="89">
        <f t="shared" si="234"/>
        <v>400.409544895449</v>
      </c>
      <c r="X512" s="90">
        <f t="shared" si="239"/>
        <v>9.1750061500615</v>
      </c>
      <c r="Y512" s="90"/>
      <c r="Z512" s="90"/>
      <c r="AA512" s="90">
        <f t="shared" si="233"/>
        <v>9.1750061500615</v>
      </c>
      <c r="AB512" s="107">
        <v>7.19</v>
      </c>
      <c r="AC512" s="67">
        <f t="shared" si="248"/>
        <v>65.9682942189422</v>
      </c>
      <c r="AD512" s="67">
        <f t="shared" si="249"/>
        <v>466.377839114391</v>
      </c>
      <c r="AE512" s="67">
        <f t="shared" si="235"/>
        <v>97.6057608856089</v>
      </c>
    </row>
    <row r="513" customFormat="1" spans="1:31">
      <c r="A513" s="18"/>
      <c r="B513" s="19"/>
      <c r="C513" s="20">
        <v>240222000027</v>
      </c>
      <c r="D513" s="21">
        <v>45348</v>
      </c>
      <c r="E513" s="21" t="s">
        <v>41</v>
      </c>
      <c r="F513" s="19" t="s">
        <v>42</v>
      </c>
      <c r="G513" s="19" t="s">
        <v>389</v>
      </c>
      <c r="H513" s="19">
        <v>4</v>
      </c>
      <c r="I513" s="44">
        <v>266</v>
      </c>
      <c r="J513" s="45"/>
      <c r="K513" s="46"/>
      <c r="L513" s="45"/>
      <c r="M513" s="47"/>
      <c r="N513" s="48"/>
      <c r="O513" s="49">
        <f t="shared" ref="O513:O516" si="250">SUM(I513)</f>
        <v>266</v>
      </c>
      <c r="P513" s="51"/>
      <c r="Q513" s="51"/>
      <c r="R513" s="67">
        <f t="shared" si="237"/>
        <v>133.136039360394</v>
      </c>
      <c r="S513" s="91"/>
      <c r="T513" s="91">
        <f t="shared" si="238"/>
        <v>0.333808938089381</v>
      </c>
      <c r="U513" s="67"/>
      <c r="V513" s="67"/>
      <c r="W513" s="89">
        <f t="shared" si="234"/>
        <v>133.469848298483</v>
      </c>
      <c r="X513" s="90">
        <f t="shared" si="239"/>
        <v>3.05833538335383</v>
      </c>
      <c r="Y513" s="90"/>
      <c r="Z513" s="90"/>
      <c r="AA513" s="90">
        <f t="shared" si="233"/>
        <v>3.05833538335383</v>
      </c>
      <c r="AB513" s="107">
        <v>7.19</v>
      </c>
      <c r="AC513" s="67">
        <f t="shared" si="248"/>
        <v>21.9894314063141</v>
      </c>
      <c r="AD513" s="67">
        <f t="shared" si="249"/>
        <v>155.459279704797</v>
      </c>
      <c r="AE513" s="67">
        <f t="shared" si="235"/>
        <v>110.540720295203</v>
      </c>
    </row>
    <row r="514" customFormat="1" spans="1:31">
      <c r="A514" s="18"/>
      <c r="B514" s="19"/>
      <c r="C514" s="24">
        <v>240223000001</v>
      </c>
      <c r="D514" s="25">
        <v>45348</v>
      </c>
      <c r="E514" s="21" t="s">
        <v>76</v>
      </c>
      <c r="F514" s="26" t="s">
        <v>77</v>
      </c>
      <c r="G514" s="26" t="s">
        <v>196</v>
      </c>
      <c r="H514" s="26">
        <v>0.18</v>
      </c>
      <c r="I514" s="44">
        <v>50</v>
      </c>
      <c r="J514" s="45"/>
      <c r="K514" s="46"/>
      <c r="L514" s="45"/>
      <c r="M514" s="47"/>
      <c r="N514" s="48"/>
      <c r="O514" s="49">
        <f t="shared" si="250"/>
        <v>50</v>
      </c>
      <c r="P514" s="51"/>
      <c r="Q514" s="51"/>
      <c r="R514" s="67">
        <f t="shared" si="237"/>
        <v>5.99112177121771</v>
      </c>
      <c r="S514" s="91"/>
      <c r="T514" s="91">
        <f t="shared" si="238"/>
        <v>0.0150214022140221</v>
      </c>
      <c r="U514" s="67"/>
      <c r="V514" s="67"/>
      <c r="W514" s="89">
        <f t="shared" si="234"/>
        <v>6.00614317343173</v>
      </c>
      <c r="X514" s="90">
        <f t="shared" si="239"/>
        <v>0.137625092250923</v>
      </c>
      <c r="Y514" s="90"/>
      <c r="Z514" s="90"/>
      <c r="AA514" s="90">
        <f t="shared" si="233"/>
        <v>0.137625092250923</v>
      </c>
      <c r="AB514" s="107">
        <v>7.19</v>
      </c>
      <c r="AC514" s="67">
        <f t="shared" si="248"/>
        <v>0.989524413284133</v>
      </c>
      <c r="AD514" s="67">
        <f t="shared" si="249"/>
        <v>6.99566758671587</v>
      </c>
      <c r="AE514" s="67">
        <f t="shared" si="235"/>
        <v>43.0043324132841</v>
      </c>
    </row>
    <row r="515" customFormat="1" spans="1:31">
      <c r="A515" s="18"/>
      <c r="B515" s="19"/>
      <c r="C515" s="20">
        <v>240223000004</v>
      </c>
      <c r="D515" s="21">
        <v>45348</v>
      </c>
      <c r="E515" s="21" t="s">
        <v>41</v>
      </c>
      <c r="F515" s="19" t="s">
        <v>42</v>
      </c>
      <c r="G515" s="19" t="s">
        <v>390</v>
      </c>
      <c r="H515" s="19">
        <v>2.5</v>
      </c>
      <c r="I515" s="44">
        <v>220.5</v>
      </c>
      <c r="J515" s="45"/>
      <c r="K515" s="46"/>
      <c r="L515" s="45"/>
      <c r="M515" s="47"/>
      <c r="N515" s="48"/>
      <c r="O515" s="49">
        <f t="shared" si="250"/>
        <v>220.5</v>
      </c>
      <c r="P515" s="51"/>
      <c r="Q515" s="51"/>
      <c r="R515" s="67">
        <f t="shared" si="237"/>
        <v>83.210024600246</v>
      </c>
      <c r="S515" s="91"/>
      <c r="T515" s="91">
        <f t="shared" si="238"/>
        <v>0.208630586305863</v>
      </c>
      <c r="U515" s="67"/>
      <c r="V515" s="67"/>
      <c r="W515" s="89">
        <f t="shared" si="234"/>
        <v>83.4186551865519</v>
      </c>
      <c r="X515" s="90">
        <f t="shared" si="239"/>
        <v>1.91145961459615</v>
      </c>
      <c r="Y515" s="90"/>
      <c r="Z515" s="90"/>
      <c r="AA515" s="90">
        <f t="shared" si="233"/>
        <v>1.91145961459615</v>
      </c>
      <c r="AB515" s="107">
        <v>7.19</v>
      </c>
      <c r="AC515" s="67">
        <f t="shared" si="248"/>
        <v>13.7433946289463</v>
      </c>
      <c r="AD515" s="67">
        <f t="shared" si="249"/>
        <v>97.1620498154982</v>
      </c>
      <c r="AE515" s="67">
        <f t="shared" si="235"/>
        <v>123.337950184502</v>
      </c>
    </row>
    <row r="516" customFormat="1" spans="1:31">
      <c r="A516" s="18"/>
      <c r="B516" s="19"/>
      <c r="C516" s="20">
        <v>240223000012</v>
      </c>
      <c r="D516" s="21">
        <v>45348</v>
      </c>
      <c r="E516" s="21" t="s">
        <v>37</v>
      </c>
      <c r="F516" s="19" t="s">
        <v>38</v>
      </c>
      <c r="G516" s="19" t="s">
        <v>60</v>
      </c>
      <c r="H516" s="19">
        <v>5.5</v>
      </c>
      <c r="I516" s="44">
        <v>261</v>
      </c>
      <c r="J516" s="45"/>
      <c r="K516" s="46"/>
      <c r="L516" s="45"/>
      <c r="M516" s="47"/>
      <c r="N516" s="48"/>
      <c r="O516" s="49">
        <f t="shared" si="250"/>
        <v>261</v>
      </c>
      <c r="P516" s="51"/>
      <c r="Q516" s="51"/>
      <c r="R516" s="67">
        <f t="shared" si="237"/>
        <v>183.062054120541</v>
      </c>
      <c r="S516" s="91"/>
      <c r="T516" s="91">
        <f t="shared" si="238"/>
        <v>0.458987289872899</v>
      </c>
      <c r="U516" s="67"/>
      <c r="V516" s="67"/>
      <c r="W516" s="89">
        <f t="shared" si="234"/>
        <v>183.521041410414</v>
      </c>
      <c r="X516" s="90">
        <f t="shared" si="239"/>
        <v>4.20521115211152</v>
      </c>
      <c r="Y516" s="90"/>
      <c r="Z516" s="90"/>
      <c r="AA516" s="90">
        <f t="shared" si="233"/>
        <v>4.20521115211152</v>
      </c>
      <c r="AB516" s="107">
        <v>7.19</v>
      </c>
      <c r="AC516" s="67">
        <f t="shared" si="248"/>
        <v>30.2354681836818</v>
      </c>
      <c r="AD516" s="67">
        <f t="shared" si="249"/>
        <v>213.756509594096</v>
      </c>
      <c r="AE516" s="67">
        <f t="shared" si="235"/>
        <v>47.2434904059041</v>
      </c>
    </row>
    <row r="517" customFormat="1" spans="1:31">
      <c r="A517" s="18"/>
      <c r="B517" s="19"/>
      <c r="C517" s="20">
        <v>240223000015</v>
      </c>
      <c r="D517" s="21">
        <v>45348</v>
      </c>
      <c r="E517" s="21" t="s">
        <v>76</v>
      </c>
      <c r="F517" s="19" t="s">
        <v>77</v>
      </c>
      <c r="G517" s="19" t="s">
        <v>183</v>
      </c>
      <c r="H517" s="19">
        <v>49</v>
      </c>
      <c r="I517" s="49"/>
      <c r="J517" s="65">
        <v>522875</v>
      </c>
      <c r="K517" s="66"/>
      <c r="L517" s="61">
        <f>SUM(J517/M517)</f>
        <v>1801.15397864278</v>
      </c>
      <c r="M517" s="62">
        <v>290.3</v>
      </c>
      <c r="N517" s="48">
        <v>7.19</v>
      </c>
      <c r="O517" s="49">
        <f>SUM(M517*N517)</f>
        <v>2087.257</v>
      </c>
      <c r="P517" s="51"/>
      <c r="Q517" s="51"/>
      <c r="R517" s="67">
        <f t="shared" si="237"/>
        <v>1630.91648216482</v>
      </c>
      <c r="S517" s="91"/>
      <c r="T517" s="91">
        <f t="shared" si="238"/>
        <v>4.08915949159492</v>
      </c>
      <c r="U517" s="67"/>
      <c r="V517" s="67"/>
      <c r="W517" s="89">
        <f t="shared" si="234"/>
        <v>1635.00564165642</v>
      </c>
      <c r="X517" s="90">
        <f t="shared" si="239"/>
        <v>37.4646084460845</v>
      </c>
      <c r="Y517" s="90"/>
      <c r="Z517" s="90"/>
      <c r="AA517" s="90">
        <f t="shared" si="233"/>
        <v>37.4646084460845</v>
      </c>
      <c r="AB517" s="107">
        <v>7.19</v>
      </c>
      <c r="AC517" s="67">
        <f t="shared" si="248"/>
        <v>269.370534727347</v>
      </c>
      <c r="AD517" s="67">
        <f t="shared" si="249"/>
        <v>1904.37617638376</v>
      </c>
      <c r="AE517" s="67">
        <f t="shared" si="235"/>
        <v>182.880823616236</v>
      </c>
    </row>
    <row r="518" customFormat="1" spans="1:31">
      <c r="A518" s="18"/>
      <c r="B518" s="19"/>
      <c r="C518" s="20">
        <v>240223000016</v>
      </c>
      <c r="D518" s="21">
        <v>45348</v>
      </c>
      <c r="E518" s="21" t="s">
        <v>41</v>
      </c>
      <c r="F518" s="19" t="s">
        <v>42</v>
      </c>
      <c r="G518" s="19" t="s">
        <v>391</v>
      </c>
      <c r="H518" s="19">
        <v>12</v>
      </c>
      <c r="I518" s="44">
        <v>1010</v>
      </c>
      <c r="J518" s="45"/>
      <c r="K518" s="46"/>
      <c r="L518" s="45"/>
      <c r="M518" s="47"/>
      <c r="N518" s="48"/>
      <c r="O518" s="49">
        <f t="shared" ref="O518:O522" si="251">SUM(I518)</f>
        <v>1010</v>
      </c>
      <c r="P518" s="51"/>
      <c r="Q518" s="51"/>
      <c r="R518" s="67">
        <f t="shared" si="237"/>
        <v>399.408118081181</v>
      </c>
      <c r="S518" s="91"/>
      <c r="T518" s="91">
        <f t="shared" si="238"/>
        <v>1.00142681426814</v>
      </c>
      <c r="U518" s="67"/>
      <c r="V518" s="67"/>
      <c r="W518" s="89">
        <f t="shared" si="234"/>
        <v>400.409544895449</v>
      </c>
      <c r="X518" s="90">
        <f t="shared" si="239"/>
        <v>9.1750061500615</v>
      </c>
      <c r="Y518" s="90"/>
      <c r="Z518" s="90"/>
      <c r="AA518" s="90">
        <f t="shared" si="233"/>
        <v>9.1750061500615</v>
      </c>
      <c r="AB518" s="107">
        <v>7.19</v>
      </c>
      <c r="AC518" s="67">
        <f t="shared" si="248"/>
        <v>65.9682942189422</v>
      </c>
      <c r="AD518" s="67">
        <f t="shared" si="249"/>
        <v>466.377839114391</v>
      </c>
      <c r="AE518" s="67">
        <f t="shared" si="235"/>
        <v>543.622160885609</v>
      </c>
    </row>
    <row r="519" customFormat="1" spans="1:31">
      <c r="A519" s="18"/>
      <c r="B519" s="19"/>
      <c r="C519" s="20">
        <v>240223000017</v>
      </c>
      <c r="D519" s="21">
        <v>45348</v>
      </c>
      <c r="E519" s="21" t="s">
        <v>44</v>
      </c>
      <c r="F519" s="19" t="s">
        <v>392</v>
      </c>
      <c r="G519" s="19" t="s">
        <v>393</v>
      </c>
      <c r="H519" s="19">
        <v>73.5</v>
      </c>
      <c r="I519" s="49"/>
      <c r="J519" s="68"/>
      <c r="K519" s="69">
        <v>816.9</v>
      </c>
      <c r="L519" s="61"/>
      <c r="M519" s="62">
        <v>816.9</v>
      </c>
      <c r="N519" s="48">
        <v>7.19</v>
      </c>
      <c r="O519" s="49">
        <f>SUM(M519*N519)</f>
        <v>5873.511</v>
      </c>
      <c r="P519" s="51"/>
      <c r="Q519" s="51"/>
      <c r="R519" s="67">
        <f t="shared" si="237"/>
        <v>2446.37472324723</v>
      </c>
      <c r="S519" s="91"/>
      <c r="T519" s="91">
        <f t="shared" si="238"/>
        <v>6.13373923739237</v>
      </c>
      <c r="U519" s="67"/>
      <c r="V519" s="67"/>
      <c r="W519" s="89">
        <f t="shared" si="234"/>
        <v>2452.50846248462</v>
      </c>
      <c r="X519" s="90">
        <f t="shared" si="239"/>
        <v>56.1969126691267</v>
      </c>
      <c r="Y519" s="90"/>
      <c r="Z519" s="90"/>
      <c r="AA519" s="90">
        <f t="shared" si="233"/>
        <v>56.1969126691267</v>
      </c>
      <c r="AB519" s="107">
        <v>7.19</v>
      </c>
      <c r="AC519" s="67">
        <f t="shared" si="248"/>
        <v>404.055802091021</v>
      </c>
      <c r="AD519" s="67">
        <f t="shared" si="249"/>
        <v>2856.56426457565</v>
      </c>
      <c r="AE519" s="67">
        <f t="shared" si="235"/>
        <v>3016.94673542435</v>
      </c>
    </row>
    <row r="520" customFormat="1" spans="1:31">
      <c r="A520" s="18"/>
      <c r="B520" s="19"/>
      <c r="C520" s="20">
        <v>240223000019</v>
      </c>
      <c r="D520" s="21">
        <v>45348</v>
      </c>
      <c r="E520" s="21" t="s">
        <v>62</v>
      </c>
      <c r="F520" s="19" t="s">
        <v>63</v>
      </c>
      <c r="G520" s="19" t="s">
        <v>394</v>
      </c>
      <c r="H520" s="19">
        <v>25.5</v>
      </c>
      <c r="I520" s="112">
        <v>1332</v>
      </c>
      <c r="J520" s="68"/>
      <c r="K520" s="66"/>
      <c r="L520" s="68"/>
      <c r="M520" s="47"/>
      <c r="N520" s="48"/>
      <c r="O520" s="49">
        <f>SUBTOTAL(9,I520)</f>
        <v>1332</v>
      </c>
      <c r="P520" s="51"/>
      <c r="Q520" s="51"/>
      <c r="R520" s="67">
        <f t="shared" si="237"/>
        <v>848.742250922509</v>
      </c>
      <c r="S520" s="91"/>
      <c r="T520" s="91">
        <f t="shared" si="238"/>
        <v>2.1280319803198</v>
      </c>
      <c r="U520" s="67"/>
      <c r="V520" s="67"/>
      <c r="W520" s="89">
        <f t="shared" si="234"/>
        <v>850.870282902829</v>
      </c>
      <c r="X520" s="90">
        <f t="shared" si="239"/>
        <v>19.4968880688807</v>
      </c>
      <c r="Y520" s="90"/>
      <c r="Z520" s="90"/>
      <c r="AA520" s="90">
        <f t="shared" si="233"/>
        <v>19.4968880688807</v>
      </c>
      <c r="AB520" s="107">
        <v>7.19</v>
      </c>
      <c r="AC520" s="67">
        <f t="shared" si="248"/>
        <v>140.182625215252</v>
      </c>
      <c r="AD520" s="67">
        <f t="shared" si="249"/>
        <v>991.052908118081</v>
      </c>
      <c r="AE520" s="67">
        <f t="shared" si="235"/>
        <v>340.947091881919</v>
      </c>
    </row>
    <row r="521" customFormat="1" spans="1:31">
      <c r="A521" s="18"/>
      <c r="B521" s="19"/>
      <c r="C521" s="20">
        <v>240223000021</v>
      </c>
      <c r="D521" s="21">
        <v>45348</v>
      </c>
      <c r="E521" s="21" t="s">
        <v>44</v>
      </c>
      <c r="F521" s="19" t="s">
        <v>44</v>
      </c>
      <c r="G521" s="19" t="s">
        <v>149</v>
      </c>
      <c r="H521" s="19">
        <v>230.5</v>
      </c>
      <c r="I521" s="44">
        <v>9320</v>
      </c>
      <c r="J521" s="45"/>
      <c r="K521" s="46"/>
      <c r="L521" s="45"/>
      <c r="M521" s="47"/>
      <c r="N521" s="48"/>
      <c r="O521" s="49">
        <f t="shared" si="251"/>
        <v>9320</v>
      </c>
      <c r="P521" s="51"/>
      <c r="Q521" s="51"/>
      <c r="R521" s="67">
        <f t="shared" si="237"/>
        <v>7671.96426814268</v>
      </c>
      <c r="S521" s="91"/>
      <c r="T521" s="91">
        <f t="shared" si="238"/>
        <v>19.2357400574006</v>
      </c>
      <c r="U521" s="67"/>
      <c r="V521" s="67"/>
      <c r="W521" s="89">
        <f t="shared" si="234"/>
        <v>7691.20000820008</v>
      </c>
      <c r="X521" s="90">
        <f t="shared" si="239"/>
        <v>176.236576465765</v>
      </c>
      <c r="Y521" s="90"/>
      <c r="Z521" s="90"/>
      <c r="AA521" s="90">
        <f t="shared" si="233"/>
        <v>176.236576465765</v>
      </c>
      <c r="AB521" s="107">
        <v>7.19</v>
      </c>
      <c r="AC521" s="67">
        <f t="shared" si="248"/>
        <v>1267.14098478885</v>
      </c>
      <c r="AD521" s="67">
        <f t="shared" si="249"/>
        <v>8958.34099298893</v>
      </c>
      <c r="AE521" s="67">
        <f t="shared" si="235"/>
        <v>361.659007011069</v>
      </c>
    </row>
    <row r="522" customFormat="1" spans="1:31">
      <c r="A522" s="18"/>
      <c r="B522" s="19"/>
      <c r="C522" s="20">
        <v>240223000022</v>
      </c>
      <c r="D522" s="21">
        <v>45348</v>
      </c>
      <c r="E522" s="21" t="s">
        <v>62</v>
      </c>
      <c r="F522" s="19" t="s">
        <v>63</v>
      </c>
      <c r="G522" s="19" t="s">
        <v>383</v>
      </c>
      <c r="H522" s="19">
        <v>129</v>
      </c>
      <c r="I522" s="44">
        <v>6321</v>
      </c>
      <c r="J522" s="54"/>
      <c r="K522" s="55"/>
      <c r="L522" s="54"/>
      <c r="M522" s="47"/>
      <c r="N522" s="48"/>
      <c r="O522" s="49">
        <f t="shared" si="251"/>
        <v>6321</v>
      </c>
      <c r="P522" s="51"/>
      <c r="Q522" s="51"/>
      <c r="R522" s="67">
        <f t="shared" si="237"/>
        <v>4293.63726937269</v>
      </c>
      <c r="S522" s="91"/>
      <c r="T522" s="91">
        <f t="shared" si="238"/>
        <v>10.7653382533825</v>
      </c>
      <c r="U522" s="67"/>
      <c r="V522" s="67"/>
      <c r="W522" s="89">
        <f t="shared" si="234"/>
        <v>4304.40260762608</v>
      </c>
      <c r="X522" s="90">
        <f t="shared" si="239"/>
        <v>98.6313161131611</v>
      </c>
      <c r="Y522" s="90"/>
      <c r="Z522" s="90"/>
      <c r="AA522" s="90">
        <f t="shared" si="233"/>
        <v>98.6313161131611</v>
      </c>
      <c r="AB522" s="107">
        <v>7.19</v>
      </c>
      <c r="AC522" s="67">
        <f t="shared" si="248"/>
        <v>709.159162853629</v>
      </c>
      <c r="AD522" s="67">
        <f t="shared" si="249"/>
        <v>5013.56177047971</v>
      </c>
      <c r="AE522" s="67">
        <f t="shared" si="235"/>
        <v>1307.43822952029</v>
      </c>
    </row>
    <row r="523" customFormat="1" spans="1:31">
      <c r="A523" s="18"/>
      <c r="B523" s="19"/>
      <c r="C523" s="20">
        <v>240223000025</v>
      </c>
      <c r="D523" s="21">
        <v>45348</v>
      </c>
      <c r="E523" s="21" t="s">
        <v>41</v>
      </c>
      <c r="F523" s="19" t="s">
        <v>42</v>
      </c>
      <c r="G523" s="19" t="s">
        <v>180</v>
      </c>
      <c r="H523" s="19">
        <v>10</v>
      </c>
      <c r="I523" s="53"/>
      <c r="J523" s="61">
        <v>111320</v>
      </c>
      <c r="K523" s="55"/>
      <c r="L523" s="61">
        <f>SUM(J523/M523)</f>
        <v>1581.92411539008</v>
      </c>
      <c r="M523" s="62">
        <v>70.37</v>
      </c>
      <c r="N523" s="48">
        <v>7.19</v>
      </c>
      <c r="O523" s="49">
        <f>SUM(M523*N523)</f>
        <v>505.9603</v>
      </c>
      <c r="P523" s="51"/>
      <c r="Q523" s="51"/>
      <c r="R523" s="67">
        <f t="shared" si="237"/>
        <v>332.840098400984</v>
      </c>
      <c r="S523" s="91"/>
      <c r="T523" s="91">
        <f t="shared" si="238"/>
        <v>0.834522345223452</v>
      </c>
      <c r="U523" s="67"/>
      <c r="V523" s="67"/>
      <c r="W523" s="89">
        <f t="shared" si="234"/>
        <v>333.674620746207</v>
      </c>
      <c r="X523" s="90">
        <f t="shared" si="239"/>
        <v>7.64583845838458</v>
      </c>
      <c r="Y523" s="90"/>
      <c r="Z523" s="90"/>
      <c r="AA523" s="90">
        <f t="shared" si="233"/>
        <v>7.64583845838458</v>
      </c>
      <c r="AB523" s="107">
        <v>7.19</v>
      </c>
      <c r="AC523" s="67">
        <f t="shared" si="248"/>
        <v>54.9735785157852</v>
      </c>
      <c r="AD523" s="67">
        <f t="shared" si="249"/>
        <v>388.648199261993</v>
      </c>
      <c r="AE523" s="67">
        <f t="shared" ref="AE523:AE530" si="252">SUM(O523-AD523)</f>
        <v>117.312100738007</v>
      </c>
    </row>
    <row r="524" customFormat="1" spans="1:31">
      <c r="A524" s="18"/>
      <c r="B524" s="19"/>
      <c r="C524" s="20">
        <v>240223000026</v>
      </c>
      <c r="D524" s="21">
        <v>45348</v>
      </c>
      <c r="E524" s="21" t="s">
        <v>37</v>
      </c>
      <c r="F524" s="19" t="s">
        <v>122</v>
      </c>
      <c r="G524" s="19" t="s">
        <v>123</v>
      </c>
      <c r="H524" s="19">
        <v>31.5</v>
      </c>
      <c r="I524" s="44">
        <v>1291.5</v>
      </c>
      <c r="J524" s="45"/>
      <c r="K524" s="46"/>
      <c r="L524" s="45"/>
      <c r="M524" s="47"/>
      <c r="N524" s="48"/>
      <c r="O524" s="49">
        <f t="shared" ref="O524:O528" si="253">SUM(I524)</f>
        <v>1291.5</v>
      </c>
      <c r="P524" s="51"/>
      <c r="Q524" s="51"/>
      <c r="R524" s="67">
        <f t="shared" si="237"/>
        <v>1048.4463099631</v>
      </c>
      <c r="S524" s="91"/>
      <c r="T524" s="91">
        <f t="shared" si="238"/>
        <v>2.62874538745387</v>
      </c>
      <c r="U524" s="67"/>
      <c r="V524" s="67"/>
      <c r="W524" s="89">
        <f t="shared" si="234"/>
        <v>1051.07505535055</v>
      </c>
      <c r="X524" s="90">
        <f t="shared" si="239"/>
        <v>24.0843911439114</v>
      </c>
      <c r="Y524" s="90"/>
      <c r="Z524" s="90"/>
      <c r="AA524" s="90">
        <f t="shared" si="233"/>
        <v>24.0843911439114</v>
      </c>
      <c r="AB524" s="107">
        <v>7.19</v>
      </c>
      <c r="AC524" s="67">
        <f t="shared" ref="AC524:AC530" si="254">SUM(AA524*AB524)</f>
        <v>173.166772324723</v>
      </c>
      <c r="AD524" s="67">
        <f t="shared" ref="AD524:AD530" si="255">SUM(W524+AC524)</f>
        <v>1224.24182767528</v>
      </c>
      <c r="AE524" s="67">
        <f t="shared" si="252"/>
        <v>67.2581723247233</v>
      </c>
    </row>
    <row r="525" customFormat="1" spans="1:31">
      <c r="A525" s="18"/>
      <c r="B525" s="19"/>
      <c r="C525" s="20">
        <v>240223000032</v>
      </c>
      <c r="D525" s="21">
        <v>45348</v>
      </c>
      <c r="E525" s="21" t="s">
        <v>62</v>
      </c>
      <c r="F525" s="19" t="s">
        <v>63</v>
      </c>
      <c r="G525" s="19" t="s">
        <v>301</v>
      </c>
      <c r="H525" s="19">
        <v>365</v>
      </c>
      <c r="I525" s="44">
        <v>14561</v>
      </c>
      <c r="J525" s="45"/>
      <c r="K525" s="46"/>
      <c r="L525" s="45"/>
      <c r="M525" s="47"/>
      <c r="N525" s="48"/>
      <c r="O525" s="49">
        <f t="shared" si="253"/>
        <v>14561</v>
      </c>
      <c r="P525" s="51"/>
      <c r="Q525" s="51"/>
      <c r="R525" s="67">
        <f t="shared" si="237"/>
        <v>12148.6635916359</v>
      </c>
      <c r="S525" s="91"/>
      <c r="T525" s="91">
        <f t="shared" si="238"/>
        <v>30.460065600656</v>
      </c>
      <c r="U525" s="67"/>
      <c r="V525" s="67"/>
      <c r="W525" s="89">
        <f t="shared" si="234"/>
        <v>12179.1236572366</v>
      </c>
      <c r="X525" s="90">
        <f t="shared" si="239"/>
        <v>279.073103731037</v>
      </c>
      <c r="Y525" s="90"/>
      <c r="Z525" s="90"/>
      <c r="AA525" s="90">
        <f t="shared" si="233"/>
        <v>279.073103731037</v>
      </c>
      <c r="AB525" s="107">
        <v>7.19</v>
      </c>
      <c r="AC525" s="67">
        <f t="shared" si="254"/>
        <v>2006.53561582616</v>
      </c>
      <c r="AD525" s="67">
        <f t="shared" si="255"/>
        <v>14185.6592730627</v>
      </c>
      <c r="AE525" s="67">
        <f t="shared" si="252"/>
        <v>375.340726937269</v>
      </c>
    </row>
    <row r="526" customFormat="1" spans="1:31">
      <c r="A526" s="18"/>
      <c r="B526" s="19"/>
      <c r="C526" s="20">
        <v>240224000005</v>
      </c>
      <c r="D526" s="21">
        <v>45348</v>
      </c>
      <c r="E526" s="21" t="s">
        <v>76</v>
      </c>
      <c r="F526" s="19" t="s">
        <v>77</v>
      </c>
      <c r="G526" s="19" t="s">
        <v>196</v>
      </c>
      <c r="H526" s="19">
        <v>0.48</v>
      </c>
      <c r="I526" s="44">
        <v>50</v>
      </c>
      <c r="J526" s="45"/>
      <c r="K526" s="46"/>
      <c r="L526" s="45"/>
      <c r="M526" s="47"/>
      <c r="N526" s="48"/>
      <c r="O526" s="49">
        <f t="shared" si="253"/>
        <v>50</v>
      </c>
      <c r="P526" s="52"/>
      <c r="Q526" s="52"/>
      <c r="R526" s="67">
        <f t="shared" si="237"/>
        <v>15.9763247232472</v>
      </c>
      <c r="S526" s="91"/>
      <c r="T526" s="91">
        <f t="shared" si="238"/>
        <v>0.0400570725707257</v>
      </c>
      <c r="U526" s="67"/>
      <c r="V526" s="67"/>
      <c r="W526" s="89">
        <f t="shared" si="234"/>
        <v>16.016381795818</v>
      </c>
      <c r="X526" s="90">
        <f t="shared" si="239"/>
        <v>0.36700024600246</v>
      </c>
      <c r="Y526" s="90"/>
      <c r="Z526" s="90"/>
      <c r="AA526" s="90">
        <f t="shared" si="233"/>
        <v>0.36700024600246</v>
      </c>
      <c r="AB526" s="107">
        <v>7.19</v>
      </c>
      <c r="AC526" s="67">
        <f t="shared" si="254"/>
        <v>2.63873176875769</v>
      </c>
      <c r="AD526" s="67">
        <f t="shared" si="255"/>
        <v>18.6551135645756</v>
      </c>
      <c r="AE526" s="67">
        <f t="shared" si="252"/>
        <v>31.3448864354244</v>
      </c>
    </row>
    <row r="527" customFormat="1" spans="1:31">
      <c r="A527" s="18" t="s">
        <v>395</v>
      </c>
      <c r="B527" s="19" t="s">
        <v>396</v>
      </c>
      <c r="C527" s="20">
        <v>240220000029</v>
      </c>
      <c r="D527" s="21">
        <v>45349</v>
      </c>
      <c r="E527" s="21" t="s">
        <v>37</v>
      </c>
      <c r="F527" s="19" t="s">
        <v>38</v>
      </c>
      <c r="G527" s="19" t="s">
        <v>377</v>
      </c>
      <c r="H527" s="19">
        <v>8.5</v>
      </c>
      <c r="I527" s="44">
        <v>1106</v>
      </c>
      <c r="J527" s="45"/>
      <c r="K527" s="46"/>
      <c r="L527" s="45"/>
      <c r="M527" s="47"/>
      <c r="N527" s="48"/>
      <c r="O527" s="49">
        <f t="shared" si="253"/>
        <v>1106</v>
      </c>
      <c r="P527" s="50">
        <f>SUM(O527:O530)</f>
        <v>8763.8922</v>
      </c>
      <c r="Q527" s="50" t="s">
        <v>40</v>
      </c>
      <c r="R527" s="67">
        <f>SUM(4400/64)*H527</f>
        <v>584.375</v>
      </c>
      <c r="S527" s="67"/>
      <c r="T527" s="91">
        <f>SUM(68.81/64)*H527</f>
        <v>9.138828125</v>
      </c>
      <c r="U527" s="67"/>
      <c r="V527" s="67"/>
      <c r="W527" s="89">
        <f t="shared" si="234"/>
        <v>593.513828125</v>
      </c>
      <c r="X527" s="90">
        <f>SUM(139.53/64)*H527</f>
        <v>18.531328125</v>
      </c>
      <c r="Y527" s="90"/>
      <c r="Z527" s="90"/>
      <c r="AA527" s="90">
        <f t="shared" si="233"/>
        <v>18.531328125</v>
      </c>
      <c r="AB527" s="107">
        <v>7.19</v>
      </c>
      <c r="AC527" s="67">
        <f t="shared" si="254"/>
        <v>133.24024921875</v>
      </c>
      <c r="AD527" s="67">
        <f t="shared" si="255"/>
        <v>726.75407734375</v>
      </c>
      <c r="AE527" s="67">
        <f t="shared" si="252"/>
        <v>379.24592265625</v>
      </c>
    </row>
    <row r="528" customFormat="1" spans="1:31">
      <c r="A528" s="18"/>
      <c r="B528" s="19"/>
      <c r="C528" s="20">
        <v>240223000002</v>
      </c>
      <c r="D528" s="21">
        <v>45349</v>
      </c>
      <c r="E528" s="21" t="s">
        <v>76</v>
      </c>
      <c r="F528" s="19" t="s">
        <v>77</v>
      </c>
      <c r="G528" s="19" t="s">
        <v>397</v>
      </c>
      <c r="H528" s="19">
        <v>24</v>
      </c>
      <c r="I528" s="44">
        <v>3600</v>
      </c>
      <c r="J528" s="45"/>
      <c r="K528" s="46"/>
      <c r="L528" s="45"/>
      <c r="M528" s="47"/>
      <c r="N528" s="48"/>
      <c r="O528" s="49">
        <f t="shared" si="253"/>
        <v>3600</v>
      </c>
      <c r="P528" s="51"/>
      <c r="Q528" s="51"/>
      <c r="R528" s="67">
        <f>SUM(4400/64)*H528</f>
        <v>1650</v>
      </c>
      <c r="S528" s="67"/>
      <c r="T528" s="91">
        <f>SUM(68.81/64)*H528</f>
        <v>25.80375</v>
      </c>
      <c r="U528" s="67"/>
      <c r="V528" s="67"/>
      <c r="W528" s="89">
        <f t="shared" si="234"/>
        <v>1675.80375</v>
      </c>
      <c r="X528" s="90">
        <f>SUM(139.53/64)*H528</f>
        <v>52.32375</v>
      </c>
      <c r="Y528" s="90"/>
      <c r="Z528" s="90"/>
      <c r="AA528" s="90">
        <f t="shared" si="233"/>
        <v>52.32375</v>
      </c>
      <c r="AB528" s="107">
        <v>7.19</v>
      </c>
      <c r="AC528" s="67">
        <f t="shared" si="254"/>
        <v>376.2077625</v>
      </c>
      <c r="AD528" s="67">
        <f t="shared" si="255"/>
        <v>2052.0115125</v>
      </c>
      <c r="AE528" s="67">
        <f t="shared" si="252"/>
        <v>1547.9884875</v>
      </c>
    </row>
    <row r="529" customFormat="1" spans="1:31">
      <c r="A529" s="18"/>
      <c r="B529" s="19"/>
      <c r="C529" s="20">
        <v>240223000031</v>
      </c>
      <c r="D529" s="21">
        <v>45349</v>
      </c>
      <c r="E529" s="21" t="s">
        <v>37</v>
      </c>
      <c r="F529" s="19" t="s">
        <v>38</v>
      </c>
      <c r="G529" s="19" t="s">
        <v>398</v>
      </c>
      <c r="H529" s="19">
        <v>32.5</v>
      </c>
      <c r="I529" s="53"/>
      <c r="J529" s="61">
        <v>860860</v>
      </c>
      <c r="K529" s="55"/>
      <c r="L529" s="61">
        <f>SUM(J529/M529)</f>
        <v>1581.82352725001</v>
      </c>
      <c r="M529" s="62">
        <v>544.22</v>
      </c>
      <c r="N529" s="48">
        <v>7.19</v>
      </c>
      <c r="O529" s="49">
        <f>SUM(M529*N529)</f>
        <v>3912.9418</v>
      </c>
      <c r="P529" s="51"/>
      <c r="Q529" s="51"/>
      <c r="R529" s="67">
        <f>SUM(4400/64)*H529</f>
        <v>2234.375</v>
      </c>
      <c r="S529" s="67"/>
      <c r="T529" s="91">
        <f>SUM(68.81/64)*H529</f>
        <v>34.942578125</v>
      </c>
      <c r="U529" s="67"/>
      <c r="V529" s="91">
        <v>13</v>
      </c>
      <c r="W529" s="89">
        <f t="shared" si="234"/>
        <v>2282.317578125</v>
      </c>
      <c r="X529" s="90">
        <f>SUM(139.53/64)*H529</f>
        <v>70.855078125</v>
      </c>
      <c r="Y529" s="90"/>
      <c r="Z529" s="90"/>
      <c r="AA529" s="90">
        <f t="shared" si="233"/>
        <v>70.855078125</v>
      </c>
      <c r="AB529" s="107">
        <v>7.19</v>
      </c>
      <c r="AC529" s="67">
        <f t="shared" si="254"/>
        <v>509.44801171875</v>
      </c>
      <c r="AD529" s="67">
        <f t="shared" si="255"/>
        <v>2791.76558984375</v>
      </c>
      <c r="AE529" s="67">
        <f t="shared" si="252"/>
        <v>1121.17621015625</v>
      </c>
    </row>
    <row r="530" customFormat="1" spans="1:31">
      <c r="A530" s="18"/>
      <c r="B530" s="19"/>
      <c r="C530" s="20">
        <v>240226000007</v>
      </c>
      <c r="D530" s="21">
        <v>45349</v>
      </c>
      <c r="E530" s="21" t="s">
        <v>41</v>
      </c>
      <c r="F530" s="19" t="s">
        <v>42</v>
      </c>
      <c r="G530" s="19" t="s">
        <v>399</v>
      </c>
      <c r="H530" s="19">
        <v>0.462</v>
      </c>
      <c r="I530" s="53"/>
      <c r="J530" s="61">
        <v>36250</v>
      </c>
      <c r="K530" s="55"/>
      <c r="L530" s="61">
        <f>SUM(J530/M530)</f>
        <v>1798.11507936508</v>
      </c>
      <c r="M530" s="62">
        <v>20.16</v>
      </c>
      <c r="N530" s="48">
        <v>7.19</v>
      </c>
      <c r="O530" s="49">
        <f>SUM(M530*N530)</f>
        <v>144.9504</v>
      </c>
      <c r="P530" s="52"/>
      <c r="Q530" s="52"/>
      <c r="R530" s="67">
        <f>SUM(4400/64)*H530</f>
        <v>31.7625</v>
      </c>
      <c r="S530" s="67"/>
      <c r="T530" s="91">
        <f>SUM(68.81/64)*H530</f>
        <v>0.4967221875</v>
      </c>
      <c r="U530" s="67"/>
      <c r="V530" s="67"/>
      <c r="W530" s="89">
        <f t="shared" si="234"/>
        <v>32.2592221875</v>
      </c>
      <c r="X530" s="90">
        <f>SUM(139.53/64)*H530</f>
        <v>1.0072321875</v>
      </c>
      <c r="Y530" s="90"/>
      <c r="Z530" s="90"/>
      <c r="AA530" s="90">
        <f t="shared" ref="AA530:AA567" si="256">SUM(X530:Z530)</f>
        <v>1.0072321875</v>
      </c>
      <c r="AB530" s="107">
        <v>7.19</v>
      </c>
      <c r="AC530" s="67">
        <f t="shared" ref="AC530:AC567" si="257">SUM(AA530*AB530)</f>
        <v>7.241999428125</v>
      </c>
      <c r="AD530" s="67">
        <f t="shared" ref="AD530:AD567" si="258">SUM(W530+AC530)</f>
        <v>39.501221615625</v>
      </c>
      <c r="AE530" s="67">
        <f t="shared" si="252"/>
        <v>105.449178384375</v>
      </c>
    </row>
    <row r="531" customFormat="1" spans="1:31">
      <c r="A531" s="18" t="s">
        <v>400</v>
      </c>
      <c r="B531" s="19" t="s">
        <v>401</v>
      </c>
      <c r="C531" s="20">
        <v>240204000013</v>
      </c>
      <c r="D531" s="21">
        <v>45349</v>
      </c>
      <c r="E531" s="21" t="s">
        <v>41</v>
      </c>
      <c r="F531" s="19" t="s">
        <v>42</v>
      </c>
      <c r="G531" s="19" t="s">
        <v>275</v>
      </c>
      <c r="H531" s="19">
        <v>14</v>
      </c>
      <c r="I531" s="44">
        <v>950</v>
      </c>
      <c r="J531" s="45"/>
      <c r="K531" s="46"/>
      <c r="L531" s="45"/>
      <c r="M531" s="47"/>
      <c r="N531" s="48"/>
      <c r="O531" s="49">
        <f t="shared" ref="O531:O535" si="259">SUM(I531)</f>
        <v>950</v>
      </c>
      <c r="P531" s="50">
        <f>SUM(O531:O566)</f>
        <v>74373.98564248</v>
      </c>
      <c r="Q531" s="50" t="s">
        <v>50</v>
      </c>
      <c r="R531" s="67">
        <f>SUM(57917.3/1391)*H531</f>
        <v>582.920345075485</v>
      </c>
      <c r="S531" s="67"/>
      <c r="T531" s="91">
        <f>SUM(214.74/1391)*H531</f>
        <v>2.16129403306973</v>
      </c>
      <c r="U531" s="67">
        <v>40</v>
      </c>
      <c r="V531" s="67"/>
      <c r="W531" s="89">
        <f t="shared" ref="W531:W567" si="260">SUM(R531:V531)</f>
        <v>625.081639108555</v>
      </c>
      <c r="X531" s="90">
        <f>SUM(1059.91/1391)*H531</f>
        <v>10.6676779295471</v>
      </c>
      <c r="Y531" s="90"/>
      <c r="Z531" s="90"/>
      <c r="AA531" s="90">
        <f t="shared" si="256"/>
        <v>10.6676779295471</v>
      </c>
      <c r="AB531" s="107">
        <v>7.19</v>
      </c>
      <c r="AC531" s="67">
        <f t="shared" si="257"/>
        <v>76.7006043134436</v>
      </c>
      <c r="AD531" s="67">
        <f t="shared" si="258"/>
        <v>701.782243421999</v>
      </c>
      <c r="AE531" s="67">
        <f t="shared" ref="AE531:AE567" si="261">SUM(O531-AD531)</f>
        <v>248.217756578001</v>
      </c>
    </row>
    <row r="532" customFormat="1" spans="1:31">
      <c r="A532" s="18"/>
      <c r="B532" s="19"/>
      <c r="C532" s="20">
        <v>240204000038</v>
      </c>
      <c r="D532" s="21">
        <v>45349</v>
      </c>
      <c r="E532" s="21" t="s">
        <v>62</v>
      </c>
      <c r="F532" s="19" t="s">
        <v>63</v>
      </c>
      <c r="G532" s="19" t="s">
        <v>402</v>
      </c>
      <c r="H532" s="19">
        <v>12</v>
      </c>
      <c r="I532" s="44">
        <v>727</v>
      </c>
      <c r="J532" s="45"/>
      <c r="K532" s="46"/>
      <c r="L532" s="45"/>
      <c r="M532" s="47"/>
      <c r="N532" s="48"/>
      <c r="O532" s="49">
        <f t="shared" si="259"/>
        <v>727</v>
      </c>
      <c r="P532" s="51"/>
      <c r="Q532" s="51"/>
      <c r="R532" s="67">
        <f t="shared" ref="R532:R566" si="262">SUM(57917.3/1391)*H532</f>
        <v>499.646010064702</v>
      </c>
      <c r="S532" s="67"/>
      <c r="T532" s="91">
        <f t="shared" ref="T532:T566" si="263">SUM(214.74/1391)*H532</f>
        <v>1.8525377426312</v>
      </c>
      <c r="U532" s="67"/>
      <c r="V532" s="67"/>
      <c r="W532" s="89">
        <f t="shared" si="260"/>
        <v>501.498547807333</v>
      </c>
      <c r="X532" s="90">
        <f t="shared" ref="X532:X566" si="264">SUM(1059.91/1391)*H532</f>
        <v>9.14372393961179</v>
      </c>
      <c r="Y532" s="90"/>
      <c r="Z532" s="90"/>
      <c r="AA532" s="90">
        <f t="shared" si="256"/>
        <v>9.14372393961179</v>
      </c>
      <c r="AB532" s="107">
        <v>7.19</v>
      </c>
      <c r="AC532" s="67">
        <f t="shared" si="257"/>
        <v>65.7433751258088</v>
      </c>
      <c r="AD532" s="67">
        <f t="shared" si="258"/>
        <v>567.241922933142</v>
      </c>
      <c r="AE532" s="67">
        <f t="shared" si="261"/>
        <v>159.758077066858</v>
      </c>
    </row>
    <row r="533" customFormat="1" spans="1:31">
      <c r="A533" s="18"/>
      <c r="B533" s="19"/>
      <c r="C533" s="20">
        <v>240218000002</v>
      </c>
      <c r="D533" s="21">
        <v>45349</v>
      </c>
      <c r="E533" s="21" t="s">
        <v>37</v>
      </c>
      <c r="F533" s="19" t="s">
        <v>384</v>
      </c>
      <c r="G533" s="19" t="s">
        <v>403</v>
      </c>
      <c r="H533" s="19">
        <v>17</v>
      </c>
      <c r="I533" s="44">
        <v>1198.4</v>
      </c>
      <c r="J533" s="45"/>
      <c r="K533" s="46"/>
      <c r="L533" s="45"/>
      <c r="M533" s="47"/>
      <c r="N533" s="48"/>
      <c r="O533" s="49">
        <f t="shared" si="259"/>
        <v>1198.4</v>
      </c>
      <c r="P533" s="51"/>
      <c r="Q533" s="51"/>
      <c r="R533" s="67">
        <f t="shared" si="262"/>
        <v>707.831847591661</v>
      </c>
      <c r="S533" s="67"/>
      <c r="T533" s="91">
        <f t="shared" si="263"/>
        <v>2.62442846872753</v>
      </c>
      <c r="U533" s="67"/>
      <c r="V533" s="67"/>
      <c r="W533" s="89">
        <f t="shared" si="260"/>
        <v>710.456276060388</v>
      </c>
      <c r="X533" s="90">
        <f t="shared" si="264"/>
        <v>12.95360891445</v>
      </c>
      <c r="Y533" s="90"/>
      <c r="Z533" s="90"/>
      <c r="AA533" s="90">
        <f t="shared" si="256"/>
        <v>12.95360891445</v>
      </c>
      <c r="AB533" s="107">
        <v>7.19</v>
      </c>
      <c r="AC533" s="67">
        <f t="shared" si="257"/>
        <v>93.1364480948958</v>
      </c>
      <c r="AD533" s="67">
        <f t="shared" si="258"/>
        <v>803.592724155284</v>
      </c>
      <c r="AE533" s="67">
        <f t="shared" si="261"/>
        <v>394.807275844716</v>
      </c>
    </row>
    <row r="534" customFormat="1" spans="1:31">
      <c r="A534" s="18"/>
      <c r="B534" s="19"/>
      <c r="C534" s="20">
        <v>240220000001</v>
      </c>
      <c r="D534" s="21">
        <v>45349</v>
      </c>
      <c r="E534" s="21" t="s">
        <v>62</v>
      </c>
      <c r="F534" s="19" t="s">
        <v>63</v>
      </c>
      <c r="G534" s="19" t="s">
        <v>404</v>
      </c>
      <c r="H534" s="19">
        <v>34.5</v>
      </c>
      <c r="I534" s="44">
        <v>1956.5</v>
      </c>
      <c r="J534" s="54"/>
      <c r="K534" s="55"/>
      <c r="L534" s="54"/>
      <c r="M534" s="47"/>
      <c r="N534" s="48"/>
      <c r="O534" s="49">
        <f t="shared" si="259"/>
        <v>1956.5</v>
      </c>
      <c r="P534" s="51"/>
      <c r="Q534" s="51"/>
      <c r="R534" s="67">
        <f t="shared" si="262"/>
        <v>1436.48227893602</v>
      </c>
      <c r="S534" s="67"/>
      <c r="T534" s="91">
        <f t="shared" si="263"/>
        <v>5.3260460100647</v>
      </c>
      <c r="U534" s="67"/>
      <c r="V534" s="67"/>
      <c r="W534" s="89">
        <f t="shared" si="260"/>
        <v>1441.80832494608</v>
      </c>
      <c r="X534" s="90">
        <f t="shared" si="264"/>
        <v>26.2882063263839</v>
      </c>
      <c r="Y534" s="90"/>
      <c r="Z534" s="90"/>
      <c r="AA534" s="90">
        <f t="shared" si="256"/>
        <v>26.2882063263839</v>
      </c>
      <c r="AB534" s="107">
        <v>7.19</v>
      </c>
      <c r="AC534" s="67">
        <f t="shared" si="257"/>
        <v>189.0122034867</v>
      </c>
      <c r="AD534" s="67">
        <f t="shared" si="258"/>
        <v>1630.82052843278</v>
      </c>
      <c r="AE534" s="67">
        <f t="shared" si="261"/>
        <v>325.67947156722</v>
      </c>
    </row>
    <row r="535" customFormat="1" spans="1:31">
      <c r="A535" s="18"/>
      <c r="B535" s="19"/>
      <c r="C535" s="20">
        <v>240220000007</v>
      </c>
      <c r="D535" s="21">
        <v>45349</v>
      </c>
      <c r="E535" s="21" t="s">
        <v>62</v>
      </c>
      <c r="F535" s="19" t="s">
        <v>63</v>
      </c>
      <c r="G535" s="19" t="s">
        <v>236</v>
      </c>
      <c r="H535" s="19">
        <v>7</v>
      </c>
      <c r="I535" s="44">
        <v>314</v>
      </c>
      <c r="J535" s="45"/>
      <c r="K535" s="46"/>
      <c r="L535" s="45"/>
      <c r="M535" s="47"/>
      <c r="N535" s="48"/>
      <c r="O535" s="49">
        <f t="shared" si="259"/>
        <v>314</v>
      </c>
      <c r="P535" s="51"/>
      <c r="Q535" s="51"/>
      <c r="R535" s="67">
        <f t="shared" si="262"/>
        <v>291.460172537743</v>
      </c>
      <c r="S535" s="67"/>
      <c r="T535" s="91">
        <f t="shared" si="263"/>
        <v>1.08064701653487</v>
      </c>
      <c r="U535" s="67"/>
      <c r="V535" s="67"/>
      <c r="W535" s="89">
        <f t="shared" si="260"/>
        <v>292.540819554278</v>
      </c>
      <c r="X535" s="90">
        <f t="shared" si="264"/>
        <v>5.33383896477354</v>
      </c>
      <c r="Y535" s="90"/>
      <c r="Z535" s="90"/>
      <c r="AA535" s="90">
        <f t="shared" si="256"/>
        <v>5.33383896477354</v>
      </c>
      <c r="AB535" s="107">
        <v>7.19</v>
      </c>
      <c r="AC535" s="67">
        <f t="shared" si="257"/>
        <v>38.3503021567218</v>
      </c>
      <c r="AD535" s="67">
        <f t="shared" si="258"/>
        <v>330.891121710999</v>
      </c>
      <c r="AE535" s="67">
        <f t="shared" si="261"/>
        <v>-16.891121710999</v>
      </c>
    </row>
    <row r="536" customFormat="1" spans="1:31">
      <c r="A536" s="18"/>
      <c r="B536" s="19"/>
      <c r="C536" s="20">
        <v>240220000015</v>
      </c>
      <c r="D536" s="21">
        <v>45349</v>
      </c>
      <c r="E536" s="21" t="s">
        <v>41</v>
      </c>
      <c r="F536" s="19" t="s">
        <v>42</v>
      </c>
      <c r="G536" s="19" t="s">
        <v>405</v>
      </c>
      <c r="H536" s="19">
        <v>4.5</v>
      </c>
      <c r="I536" s="53"/>
      <c r="J536" s="61">
        <v>64536.2</v>
      </c>
      <c r="K536" s="55"/>
      <c r="L536" s="61">
        <f>SUM(J536/M536)</f>
        <v>1603.38385093168</v>
      </c>
      <c r="M536" s="62">
        <v>40.25</v>
      </c>
      <c r="N536" s="48">
        <v>7.19</v>
      </c>
      <c r="O536" s="49">
        <f>SUM(M536*N536)</f>
        <v>289.3975</v>
      </c>
      <c r="P536" s="51"/>
      <c r="Q536" s="51"/>
      <c r="R536" s="67">
        <f t="shared" si="262"/>
        <v>187.367253774263</v>
      </c>
      <c r="S536" s="67"/>
      <c r="T536" s="91">
        <f t="shared" si="263"/>
        <v>0.6947016534867</v>
      </c>
      <c r="U536" s="67"/>
      <c r="V536" s="67"/>
      <c r="W536" s="89">
        <f t="shared" si="260"/>
        <v>188.06195542775</v>
      </c>
      <c r="X536" s="90">
        <f t="shared" si="264"/>
        <v>3.42889647735442</v>
      </c>
      <c r="Y536" s="90"/>
      <c r="Z536" s="90"/>
      <c r="AA536" s="90">
        <f t="shared" si="256"/>
        <v>3.42889647735442</v>
      </c>
      <c r="AB536" s="107">
        <v>7.19</v>
      </c>
      <c r="AC536" s="67">
        <f t="shared" si="257"/>
        <v>24.6537656721783</v>
      </c>
      <c r="AD536" s="67">
        <f t="shared" si="258"/>
        <v>212.715721099928</v>
      </c>
      <c r="AE536" s="67">
        <f t="shared" si="261"/>
        <v>76.681778900072</v>
      </c>
    </row>
    <row r="537" customFormat="1" spans="1:31">
      <c r="A537" s="18"/>
      <c r="B537" s="19"/>
      <c r="C537" s="20">
        <v>240220000016</v>
      </c>
      <c r="D537" s="21">
        <v>45349</v>
      </c>
      <c r="E537" s="21" t="s">
        <v>56</v>
      </c>
      <c r="F537" s="19" t="s">
        <v>114</v>
      </c>
      <c r="G537" s="19" t="s">
        <v>406</v>
      </c>
      <c r="H537" s="19">
        <v>8.5</v>
      </c>
      <c r="I537" s="53"/>
      <c r="J537" s="61">
        <v>122025</v>
      </c>
      <c r="K537" s="55"/>
      <c r="L537" s="61">
        <f>SUM(J537/M537)</f>
        <v>1696.44098429028</v>
      </c>
      <c r="M537" s="62">
        <v>71.93</v>
      </c>
      <c r="N537" s="48">
        <v>7.19</v>
      </c>
      <c r="O537" s="49">
        <f>SUM(M537*N537)</f>
        <v>517.1767</v>
      </c>
      <c r="P537" s="51"/>
      <c r="Q537" s="51"/>
      <c r="R537" s="67">
        <f t="shared" si="262"/>
        <v>353.91592379583</v>
      </c>
      <c r="S537" s="67"/>
      <c r="T537" s="91">
        <f t="shared" si="263"/>
        <v>1.31221423436377</v>
      </c>
      <c r="U537" s="67"/>
      <c r="V537" s="67"/>
      <c r="W537" s="89">
        <f t="shared" si="260"/>
        <v>355.228138030194</v>
      </c>
      <c r="X537" s="90">
        <f t="shared" si="264"/>
        <v>6.47680445722502</v>
      </c>
      <c r="Y537" s="90"/>
      <c r="Z537" s="90"/>
      <c r="AA537" s="90">
        <f t="shared" si="256"/>
        <v>6.47680445722502</v>
      </c>
      <c r="AB537" s="107">
        <v>7.19</v>
      </c>
      <c r="AC537" s="67">
        <f t="shared" si="257"/>
        <v>46.5682240474479</v>
      </c>
      <c r="AD537" s="67">
        <f t="shared" si="258"/>
        <v>401.796362077642</v>
      </c>
      <c r="AE537" s="67">
        <f t="shared" si="261"/>
        <v>115.380337922358</v>
      </c>
    </row>
    <row r="538" customFormat="1" spans="1:31">
      <c r="A538" s="18"/>
      <c r="B538" s="19"/>
      <c r="C538" s="20">
        <v>240220000017</v>
      </c>
      <c r="D538" s="21">
        <v>45349</v>
      </c>
      <c r="E538" s="21" t="s">
        <v>41</v>
      </c>
      <c r="F538" s="19" t="s">
        <v>42</v>
      </c>
      <c r="G538" s="19" t="s">
        <v>213</v>
      </c>
      <c r="H538" s="19">
        <v>7.5</v>
      </c>
      <c r="I538" s="44">
        <v>457.2</v>
      </c>
      <c r="J538" s="45"/>
      <c r="K538" s="46"/>
      <c r="L538" s="45"/>
      <c r="M538" s="47"/>
      <c r="N538" s="48"/>
      <c r="O538" s="49">
        <f t="shared" ref="O538:O544" si="265">SUM(I538)</f>
        <v>457.2</v>
      </c>
      <c r="P538" s="51"/>
      <c r="Q538" s="51"/>
      <c r="R538" s="67">
        <f t="shared" si="262"/>
        <v>312.278756290439</v>
      </c>
      <c r="S538" s="67"/>
      <c r="T538" s="91">
        <f t="shared" si="263"/>
        <v>1.1578360891445</v>
      </c>
      <c r="U538" s="67"/>
      <c r="V538" s="67"/>
      <c r="W538" s="89">
        <f t="shared" si="260"/>
        <v>313.436592379583</v>
      </c>
      <c r="X538" s="90">
        <f t="shared" si="264"/>
        <v>5.71482746225737</v>
      </c>
      <c r="Y538" s="90"/>
      <c r="Z538" s="90"/>
      <c r="AA538" s="90">
        <f t="shared" si="256"/>
        <v>5.71482746225737</v>
      </c>
      <c r="AB538" s="107">
        <v>7.19</v>
      </c>
      <c r="AC538" s="67">
        <f t="shared" si="257"/>
        <v>41.0896094536305</v>
      </c>
      <c r="AD538" s="67">
        <f t="shared" si="258"/>
        <v>354.526201833214</v>
      </c>
      <c r="AE538" s="67">
        <f t="shared" si="261"/>
        <v>102.673798166786</v>
      </c>
    </row>
    <row r="539" customFormat="1" spans="1:31">
      <c r="A539" s="18"/>
      <c r="B539" s="19"/>
      <c r="C539" s="20">
        <v>240220000021</v>
      </c>
      <c r="D539" s="21">
        <v>45349</v>
      </c>
      <c r="E539" s="21" t="s">
        <v>37</v>
      </c>
      <c r="F539" s="19" t="s">
        <v>38</v>
      </c>
      <c r="G539" s="19" t="s">
        <v>407</v>
      </c>
      <c r="H539" s="19">
        <v>30.5</v>
      </c>
      <c r="I539" s="44">
        <v>1731</v>
      </c>
      <c r="J539" s="45"/>
      <c r="K539" s="46"/>
      <c r="L539" s="45"/>
      <c r="M539" s="47"/>
      <c r="N539" s="48"/>
      <c r="O539" s="49">
        <f t="shared" si="265"/>
        <v>1731</v>
      </c>
      <c r="P539" s="51"/>
      <c r="Q539" s="51"/>
      <c r="R539" s="67">
        <f t="shared" si="262"/>
        <v>1269.93360891445</v>
      </c>
      <c r="S539" s="67"/>
      <c r="T539" s="91">
        <f t="shared" si="263"/>
        <v>4.70853342918763</v>
      </c>
      <c r="U539" s="67"/>
      <c r="V539" s="67"/>
      <c r="W539" s="89">
        <f t="shared" si="260"/>
        <v>1274.64214234364</v>
      </c>
      <c r="X539" s="90">
        <f t="shared" si="264"/>
        <v>23.2402983465133</v>
      </c>
      <c r="Y539" s="90"/>
      <c r="Z539" s="90"/>
      <c r="AA539" s="90">
        <f t="shared" si="256"/>
        <v>23.2402983465133</v>
      </c>
      <c r="AB539" s="107">
        <v>7.19</v>
      </c>
      <c r="AC539" s="67">
        <f t="shared" si="257"/>
        <v>167.097745111431</v>
      </c>
      <c r="AD539" s="67">
        <f t="shared" si="258"/>
        <v>1441.73988745507</v>
      </c>
      <c r="AE539" s="67">
        <f t="shared" si="261"/>
        <v>289.26011254493</v>
      </c>
    </row>
    <row r="540" customFormat="1" spans="1:31">
      <c r="A540" s="18"/>
      <c r="B540" s="19"/>
      <c r="C540" s="20">
        <v>240220000022</v>
      </c>
      <c r="D540" s="21">
        <v>45349</v>
      </c>
      <c r="E540" s="21" t="s">
        <v>56</v>
      </c>
      <c r="F540" s="19" t="s">
        <v>114</v>
      </c>
      <c r="G540" s="19" t="s">
        <v>268</v>
      </c>
      <c r="H540" s="19">
        <v>5</v>
      </c>
      <c r="I540" s="44">
        <v>321.6</v>
      </c>
      <c r="J540" s="45"/>
      <c r="K540" s="46"/>
      <c r="L540" s="45"/>
      <c r="M540" s="47"/>
      <c r="N540" s="48"/>
      <c r="O540" s="49">
        <f t="shared" si="265"/>
        <v>321.6</v>
      </c>
      <c r="P540" s="51"/>
      <c r="Q540" s="51"/>
      <c r="R540" s="67">
        <f t="shared" si="262"/>
        <v>208.185837526959</v>
      </c>
      <c r="S540" s="67"/>
      <c r="T540" s="91">
        <f t="shared" si="263"/>
        <v>0.771890726096334</v>
      </c>
      <c r="U540" s="67"/>
      <c r="V540" s="67"/>
      <c r="W540" s="89">
        <f t="shared" si="260"/>
        <v>208.957728253055</v>
      </c>
      <c r="X540" s="90">
        <f t="shared" si="264"/>
        <v>3.80988497483825</v>
      </c>
      <c r="Y540" s="90"/>
      <c r="Z540" s="90"/>
      <c r="AA540" s="90">
        <f t="shared" si="256"/>
        <v>3.80988497483825</v>
      </c>
      <c r="AB540" s="107">
        <v>7.19</v>
      </c>
      <c r="AC540" s="67">
        <f t="shared" si="257"/>
        <v>27.393072969087</v>
      </c>
      <c r="AD540" s="67">
        <f t="shared" si="258"/>
        <v>236.350801222142</v>
      </c>
      <c r="AE540" s="67">
        <f t="shared" si="261"/>
        <v>85.249198777858</v>
      </c>
    </row>
    <row r="541" customFormat="1" spans="1:31">
      <c r="A541" s="18"/>
      <c r="B541" s="19"/>
      <c r="C541" s="20">
        <v>240220000023</v>
      </c>
      <c r="D541" s="21">
        <v>45349</v>
      </c>
      <c r="E541" s="21" t="s">
        <v>37</v>
      </c>
      <c r="F541" s="19" t="s">
        <v>38</v>
      </c>
      <c r="G541" s="19" t="s">
        <v>408</v>
      </c>
      <c r="H541" s="19">
        <v>2.5</v>
      </c>
      <c r="I541" s="44">
        <v>135.5</v>
      </c>
      <c r="J541" s="45"/>
      <c r="K541" s="46"/>
      <c r="L541" s="45"/>
      <c r="M541" s="47"/>
      <c r="N541" s="48"/>
      <c r="O541" s="49">
        <f t="shared" si="265"/>
        <v>135.5</v>
      </c>
      <c r="P541" s="51"/>
      <c r="Q541" s="51"/>
      <c r="R541" s="67">
        <f t="shared" si="262"/>
        <v>104.09291876348</v>
      </c>
      <c r="S541" s="67"/>
      <c r="T541" s="91">
        <f t="shared" si="263"/>
        <v>0.385945363048167</v>
      </c>
      <c r="U541" s="67"/>
      <c r="V541" s="67"/>
      <c r="W541" s="89">
        <f t="shared" si="260"/>
        <v>104.478864126528</v>
      </c>
      <c r="X541" s="90">
        <f t="shared" si="264"/>
        <v>1.90494248741912</v>
      </c>
      <c r="Y541" s="90"/>
      <c r="Z541" s="90"/>
      <c r="AA541" s="90">
        <f t="shared" si="256"/>
        <v>1.90494248741912</v>
      </c>
      <c r="AB541" s="107">
        <v>7.19</v>
      </c>
      <c r="AC541" s="67">
        <f t="shared" si="257"/>
        <v>13.6965364845435</v>
      </c>
      <c r="AD541" s="67">
        <f t="shared" si="258"/>
        <v>118.175400611071</v>
      </c>
      <c r="AE541" s="67">
        <f t="shared" si="261"/>
        <v>17.324599388929</v>
      </c>
    </row>
    <row r="542" customFormat="1" spans="1:31">
      <c r="A542" s="18"/>
      <c r="B542" s="19"/>
      <c r="C542" s="20">
        <v>240220000026</v>
      </c>
      <c r="D542" s="21">
        <v>45349</v>
      </c>
      <c r="E542" s="21" t="s">
        <v>44</v>
      </c>
      <c r="F542" s="19" t="s">
        <v>44</v>
      </c>
      <c r="G542" s="19" t="s">
        <v>121</v>
      </c>
      <c r="H542" s="19">
        <v>14.5</v>
      </c>
      <c r="I542" s="44">
        <v>877.2</v>
      </c>
      <c r="J542" s="54"/>
      <c r="K542" s="55"/>
      <c r="L542" s="54"/>
      <c r="M542" s="47"/>
      <c r="N542" s="48"/>
      <c r="O542" s="49">
        <f t="shared" si="265"/>
        <v>877.2</v>
      </c>
      <c r="P542" s="51"/>
      <c r="Q542" s="51"/>
      <c r="R542" s="67">
        <f t="shared" si="262"/>
        <v>603.738928828181</v>
      </c>
      <c r="S542" s="67"/>
      <c r="T542" s="91">
        <f t="shared" si="263"/>
        <v>2.23848310567937</v>
      </c>
      <c r="U542" s="67"/>
      <c r="V542" s="67"/>
      <c r="W542" s="89">
        <f t="shared" si="260"/>
        <v>605.977411933861</v>
      </c>
      <c r="X542" s="90">
        <f t="shared" si="264"/>
        <v>11.0486664270309</v>
      </c>
      <c r="Y542" s="90"/>
      <c r="Z542" s="90"/>
      <c r="AA542" s="90">
        <f t="shared" si="256"/>
        <v>11.0486664270309</v>
      </c>
      <c r="AB542" s="107">
        <v>7.19</v>
      </c>
      <c r="AC542" s="67">
        <f t="shared" si="257"/>
        <v>79.4399116103523</v>
      </c>
      <c r="AD542" s="67">
        <f t="shared" si="258"/>
        <v>685.417323544213</v>
      </c>
      <c r="AE542" s="67">
        <f t="shared" si="261"/>
        <v>191.782676455787</v>
      </c>
    </row>
    <row r="543" customFormat="1" spans="1:31">
      <c r="A543" s="18"/>
      <c r="B543" s="19"/>
      <c r="C543" s="20">
        <v>240220000028</v>
      </c>
      <c r="D543" s="21">
        <v>45349</v>
      </c>
      <c r="E543" s="21" t="s">
        <v>44</v>
      </c>
      <c r="F543" s="19" t="s">
        <v>44</v>
      </c>
      <c r="G543" s="19" t="s">
        <v>149</v>
      </c>
      <c r="H543" s="19">
        <v>45.5</v>
      </c>
      <c r="I543" s="44">
        <v>2147.5</v>
      </c>
      <c r="J543" s="45"/>
      <c r="K543" s="46"/>
      <c r="L543" s="45"/>
      <c r="M543" s="47"/>
      <c r="N543" s="48"/>
      <c r="O543" s="49">
        <f t="shared" si="265"/>
        <v>2147.5</v>
      </c>
      <c r="P543" s="51"/>
      <c r="Q543" s="51"/>
      <c r="R543" s="67">
        <f t="shared" si="262"/>
        <v>1894.49112149533</v>
      </c>
      <c r="S543" s="67"/>
      <c r="T543" s="91">
        <f t="shared" si="263"/>
        <v>7.02420560747664</v>
      </c>
      <c r="U543" s="67"/>
      <c r="V543" s="67"/>
      <c r="W543" s="89">
        <f t="shared" si="260"/>
        <v>1901.5153271028</v>
      </c>
      <c r="X543" s="90">
        <f t="shared" si="264"/>
        <v>34.669953271028</v>
      </c>
      <c r="Y543" s="90"/>
      <c r="Z543" s="90"/>
      <c r="AA543" s="90">
        <f t="shared" si="256"/>
        <v>34.669953271028</v>
      </c>
      <c r="AB543" s="107">
        <v>7.19</v>
      </c>
      <c r="AC543" s="67">
        <f t="shared" si="257"/>
        <v>249.276964018692</v>
      </c>
      <c r="AD543" s="67">
        <f t="shared" si="258"/>
        <v>2150.7922911215</v>
      </c>
      <c r="AE543" s="67">
        <f t="shared" si="261"/>
        <v>-3.29229112150006</v>
      </c>
    </row>
    <row r="544" customFormat="1" spans="1:31">
      <c r="A544" s="18"/>
      <c r="B544" s="19"/>
      <c r="C544" s="20">
        <v>240220000035</v>
      </c>
      <c r="D544" s="21">
        <v>45349</v>
      </c>
      <c r="E544" s="21" t="s">
        <v>37</v>
      </c>
      <c r="F544" s="19" t="s">
        <v>38</v>
      </c>
      <c r="G544" s="19" t="s">
        <v>409</v>
      </c>
      <c r="H544" s="19">
        <v>6.5</v>
      </c>
      <c r="I544" s="44">
        <v>399.3</v>
      </c>
      <c r="J544" s="45"/>
      <c r="K544" s="46"/>
      <c r="L544" s="45"/>
      <c r="M544" s="47"/>
      <c r="N544" s="48"/>
      <c r="O544" s="49">
        <f t="shared" si="265"/>
        <v>399.3</v>
      </c>
      <c r="P544" s="51"/>
      <c r="Q544" s="51"/>
      <c r="R544" s="67">
        <f t="shared" si="262"/>
        <v>270.641588785047</v>
      </c>
      <c r="S544" s="67"/>
      <c r="T544" s="91">
        <f t="shared" si="263"/>
        <v>1.00345794392523</v>
      </c>
      <c r="U544" s="67">
        <v>30</v>
      </c>
      <c r="V544" s="67"/>
      <c r="W544" s="89">
        <f t="shared" si="260"/>
        <v>301.645046728972</v>
      </c>
      <c r="X544" s="90">
        <f t="shared" si="264"/>
        <v>4.95285046728972</v>
      </c>
      <c r="Y544" s="90"/>
      <c r="Z544" s="90"/>
      <c r="AA544" s="90">
        <f t="shared" si="256"/>
        <v>4.95285046728972</v>
      </c>
      <c r="AB544" s="107">
        <v>7.19</v>
      </c>
      <c r="AC544" s="67">
        <f t="shared" si="257"/>
        <v>35.6109948598131</v>
      </c>
      <c r="AD544" s="67">
        <f t="shared" si="258"/>
        <v>337.256041588785</v>
      </c>
      <c r="AE544" s="67">
        <f t="shared" si="261"/>
        <v>62.043958411215</v>
      </c>
    </row>
    <row r="545" customFormat="1" spans="1:31">
      <c r="A545" s="18"/>
      <c r="B545" s="19"/>
      <c r="C545" s="20">
        <v>240220000036</v>
      </c>
      <c r="D545" s="21">
        <v>45349</v>
      </c>
      <c r="E545" s="21" t="s">
        <v>37</v>
      </c>
      <c r="F545" s="19" t="s">
        <v>38</v>
      </c>
      <c r="G545" s="19" t="s">
        <v>410</v>
      </c>
      <c r="H545" s="19">
        <v>10.5</v>
      </c>
      <c r="I545" s="49"/>
      <c r="J545" s="65">
        <v>151120</v>
      </c>
      <c r="K545" s="66"/>
      <c r="L545" s="61">
        <f>SUM(J545/M545)</f>
        <v>1596.61922429705</v>
      </c>
      <c r="M545" s="62">
        <v>94.649994</v>
      </c>
      <c r="N545" s="48">
        <v>7.19</v>
      </c>
      <c r="O545" s="49">
        <f>SUM(M545*N545)</f>
        <v>680.53345686</v>
      </c>
      <c r="P545" s="51"/>
      <c r="Q545" s="51"/>
      <c r="R545" s="67">
        <f t="shared" si="262"/>
        <v>437.190258806614</v>
      </c>
      <c r="S545" s="67"/>
      <c r="T545" s="91">
        <f t="shared" si="263"/>
        <v>1.6209705248023</v>
      </c>
      <c r="U545" s="67">
        <v>30</v>
      </c>
      <c r="V545" s="67"/>
      <c r="W545" s="89">
        <f t="shared" si="260"/>
        <v>468.811229331416</v>
      </c>
      <c r="X545" s="90">
        <f t="shared" si="264"/>
        <v>8.00075844716032</v>
      </c>
      <c r="Y545" s="90"/>
      <c r="Z545" s="90"/>
      <c r="AA545" s="90">
        <f t="shared" si="256"/>
        <v>8.00075844716032</v>
      </c>
      <c r="AB545" s="107">
        <v>7.19</v>
      </c>
      <c r="AC545" s="67">
        <f t="shared" si="257"/>
        <v>57.5254532350827</v>
      </c>
      <c r="AD545" s="67">
        <f t="shared" si="258"/>
        <v>526.336682566499</v>
      </c>
      <c r="AE545" s="67">
        <f t="shared" si="261"/>
        <v>154.196774293501</v>
      </c>
    </row>
    <row r="546" customFormat="1" spans="1:31">
      <c r="A546" s="18"/>
      <c r="B546" s="19"/>
      <c r="C546" s="20">
        <v>240220000037</v>
      </c>
      <c r="D546" s="21">
        <v>45349</v>
      </c>
      <c r="E546" s="21" t="s">
        <v>76</v>
      </c>
      <c r="F546" s="19" t="s">
        <v>77</v>
      </c>
      <c r="G546" s="19" t="s">
        <v>196</v>
      </c>
      <c r="H546" s="19">
        <v>24</v>
      </c>
      <c r="I546" s="44">
        <v>1705</v>
      </c>
      <c r="J546" s="45"/>
      <c r="K546" s="46"/>
      <c r="L546" s="45"/>
      <c r="M546" s="47"/>
      <c r="N546" s="48"/>
      <c r="O546" s="49">
        <f t="shared" ref="O546:O549" si="266">SUM(I546)</f>
        <v>1705</v>
      </c>
      <c r="P546" s="51"/>
      <c r="Q546" s="51"/>
      <c r="R546" s="67">
        <f t="shared" si="262"/>
        <v>999.292020129403</v>
      </c>
      <c r="S546" s="67"/>
      <c r="T546" s="91">
        <f t="shared" si="263"/>
        <v>3.7050754852624</v>
      </c>
      <c r="U546" s="67">
        <f>SUM(40+50)</f>
        <v>90</v>
      </c>
      <c r="V546" s="67"/>
      <c r="W546" s="89">
        <f t="shared" si="260"/>
        <v>1092.99709561467</v>
      </c>
      <c r="X546" s="90">
        <f t="shared" si="264"/>
        <v>18.2874478792236</v>
      </c>
      <c r="Y546" s="90"/>
      <c r="Z546" s="90"/>
      <c r="AA546" s="90">
        <f t="shared" si="256"/>
        <v>18.2874478792236</v>
      </c>
      <c r="AB546" s="107">
        <v>7.19</v>
      </c>
      <c r="AC546" s="67">
        <f t="shared" si="257"/>
        <v>131.486750251618</v>
      </c>
      <c r="AD546" s="67">
        <f t="shared" si="258"/>
        <v>1224.48384586628</v>
      </c>
      <c r="AE546" s="67">
        <f t="shared" si="261"/>
        <v>480.51615413372</v>
      </c>
    </row>
    <row r="547" customFormat="1" spans="1:31">
      <c r="A547" s="18"/>
      <c r="B547" s="19"/>
      <c r="C547" s="20">
        <v>240220000051</v>
      </c>
      <c r="D547" s="21">
        <v>45349</v>
      </c>
      <c r="E547" s="21" t="s">
        <v>37</v>
      </c>
      <c r="F547" s="19" t="s">
        <v>38</v>
      </c>
      <c r="G547" s="19" t="s">
        <v>215</v>
      </c>
      <c r="H547" s="19">
        <v>0.84</v>
      </c>
      <c r="I547" s="44">
        <v>60</v>
      </c>
      <c r="J547" s="45"/>
      <c r="K547" s="46"/>
      <c r="L547" s="45"/>
      <c r="M547" s="47"/>
      <c r="N547" s="48"/>
      <c r="O547" s="49">
        <f t="shared" si="266"/>
        <v>60</v>
      </c>
      <c r="P547" s="51"/>
      <c r="Q547" s="51"/>
      <c r="R547" s="67">
        <f t="shared" si="262"/>
        <v>34.9752207045291</v>
      </c>
      <c r="S547" s="67"/>
      <c r="T547" s="91">
        <f t="shared" si="263"/>
        <v>0.129677641984184</v>
      </c>
      <c r="U547" s="67"/>
      <c r="V547" s="67"/>
      <c r="W547" s="89">
        <f t="shared" si="260"/>
        <v>35.1048983465133</v>
      </c>
      <c r="X547" s="90">
        <f t="shared" si="264"/>
        <v>0.640060675772825</v>
      </c>
      <c r="Y547" s="90"/>
      <c r="Z547" s="90"/>
      <c r="AA547" s="90">
        <f t="shared" si="256"/>
        <v>0.640060675772825</v>
      </c>
      <c r="AB547" s="107">
        <v>7.19</v>
      </c>
      <c r="AC547" s="67">
        <f t="shared" si="257"/>
        <v>4.60203625880661</v>
      </c>
      <c r="AD547" s="67">
        <f t="shared" si="258"/>
        <v>39.7069346053199</v>
      </c>
      <c r="AE547" s="67">
        <f t="shared" si="261"/>
        <v>20.2930653946801</v>
      </c>
    </row>
    <row r="548" customFormat="1" spans="1:31">
      <c r="A548" s="18"/>
      <c r="B548" s="19"/>
      <c r="C548" s="20">
        <v>240220000052</v>
      </c>
      <c r="D548" s="21">
        <v>45349</v>
      </c>
      <c r="E548" s="21" t="s">
        <v>76</v>
      </c>
      <c r="F548" s="19" t="s">
        <v>77</v>
      </c>
      <c r="G548" s="19" t="s">
        <v>411</v>
      </c>
      <c r="H548" s="19">
        <v>2.5</v>
      </c>
      <c r="I548" s="44">
        <v>168</v>
      </c>
      <c r="J548" s="45"/>
      <c r="K548" s="46"/>
      <c r="L548" s="45"/>
      <c r="M548" s="47"/>
      <c r="N548" s="48"/>
      <c r="O548" s="49">
        <f t="shared" si="266"/>
        <v>168</v>
      </c>
      <c r="P548" s="51"/>
      <c r="Q548" s="51"/>
      <c r="R548" s="67">
        <f t="shared" si="262"/>
        <v>104.09291876348</v>
      </c>
      <c r="S548" s="67"/>
      <c r="T548" s="91">
        <f t="shared" si="263"/>
        <v>0.385945363048167</v>
      </c>
      <c r="U548" s="67"/>
      <c r="V548" s="67"/>
      <c r="W548" s="89">
        <f t="shared" si="260"/>
        <v>104.478864126528</v>
      </c>
      <c r="X548" s="90">
        <f t="shared" si="264"/>
        <v>1.90494248741912</v>
      </c>
      <c r="Y548" s="90"/>
      <c r="Z548" s="90"/>
      <c r="AA548" s="90">
        <f t="shared" si="256"/>
        <v>1.90494248741912</v>
      </c>
      <c r="AB548" s="107">
        <v>7.19</v>
      </c>
      <c r="AC548" s="67">
        <f t="shared" si="257"/>
        <v>13.6965364845435</v>
      </c>
      <c r="AD548" s="67">
        <f t="shared" si="258"/>
        <v>118.175400611071</v>
      </c>
      <c r="AE548" s="67">
        <f t="shared" si="261"/>
        <v>49.824599388929</v>
      </c>
    </row>
    <row r="549" customFormat="1" spans="1:31">
      <c r="A549" s="18"/>
      <c r="B549" s="19"/>
      <c r="C549" s="20">
        <v>240220000053</v>
      </c>
      <c r="D549" s="21">
        <v>45349</v>
      </c>
      <c r="E549" s="21" t="s">
        <v>76</v>
      </c>
      <c r="F549" s="19" t="s">
        <v>77</v>
      </c>
      <c r="G549" s="19" t="s">
        <v>411</v>
      </c>
      <c r="H549" s="19">
        <v>10.5</v>
      </c>
      <c r="I549" s="44">
        <v>561</v>
      </c>
      <c r="J549" s="45"/>
      <c r="K549" s="46"/>
      <c r="L549" s="45"/>
      <c r="M549" s="47"/>
      <c r="N549" s="48"/>
      <c r="O549" s="49">
        <f t="shared" si="266"/>
        <v>561</v>
      </c>
      <c r="P549" s="51"/>
      <c r="Q549" s="51"/>
      <c r="R549" s="67">
        <f t="shared" si="262"/>
        <v>437.190258806614</v>
      </c>
      <c r="S549" s="67"/>
      <c r="T549" s="91">
        <f t="shared" si="263"/>
        <v>1.6209705248023</v>
      </c>
      <c r="U549" s="67"/>
      <c r="V549" s="67"/>
      <c r="W549" s="89">
        <f t="shared" si="260"/>
        <v>438.811229331416</v>
      </c>
      <c r="X549" s="90">
        <f t="shared" si="264"/>
        <v>8.00075844716032</v>
      </c>
      <c r="Y549" s="90"/>
      <c r="Z549" s="90"/>
      <c r="AA549" s="90">
        <f t="shared" si="256"/>
        <v>8.00075844716032</v>
      </c>
      <c r="AB549" s="107">
        <v>7.19</v>
      </c>
      <c r="AC549" s="67">
        <f t="shared" si="257"/>
        <v>57.5254532350827</v>
      </c>
      <c r="AD549" s="67">
        <f t="shared" si="258"/>
        <v>496.336682566499</v>
      </c>
      <c r="AE549" s="67">
        <f t="shared" si="261"/>
        <v>64.663317433501</v>
      </c>
    </row>
    <row r="550" customFormat="1" spans="1:31">
      <c r="A550" s="18"/>
      <c r="B550" s="19"/>
      <c r="C550" s="20">
        <v>240220000055</v>
      </c>
      <c r="D550" s="21">
        <v>45349</v>
      </c>
      <c r="E550" s="21" t="s">
        <v>44</v>
      </c>
      <c r="F550" s="19" t="s">
        <v>225</v>
      </c>
      <c r="G550" s="19" t="s">
        <v>226</v>
      </c>
      <c r="H550" s="19">
        <v>373.5</v>
      </c>
      <c r="I550" s="49"/>
      <c r="J550" s="65">
        <v>5291750</v>
      </c>
      <c r="K550" s="66"/>
      <c r="L550" s="61">
        <f>SUM(J550/M550)</f>
        <v>1797.46942934783</v>
      </c>
      <c r="M550" s="62">
        <v>2944</v>
      </c>
      <c r="N550" s="48">
        <v>7.19</v>
      </c>
      <c r="O550" s="49">
        <f>SUM(M550*N550)</f>
        <v>21167.36</v>
      </c>
      <c r="P550" s="51"/>
      <c r="Q550" s="51"/>
      <c r="R550" s="67">
        <f t="shared" si="262"/>
        <v>15551.4820632638</v>
      </c>
      <c r="S550" s="67"/>
      <c r="T550" s="91">
        <f t="shared" si="263"/>
        <v>57.6602372393961</v>
      </c>
      <c r="U550" s="91">
        <v>360</v>
      </c>
      <c r="V550" s="67"/>
      <c r="W550" s="89">
        <f t="shared" si="260"/>
        <v>15969.1423005032</v>
      </c>
      <c r="X550" s="90">
        <f t="shared" si="264"/>
        <v>284.598407620417</v>
      </c>
      <c r="Y550" s="90"/>
      <c r="Z550" s="90"/>
      <c r="AA550" s="90">
        <f t="shared" si="256"/>
        <v>284.598407620417</v>
      </c>
      <c r="AB550" s="107">
        <v>7.19</v>
      </c>
      <c r="AC550" s="67">
        <f t="shared" si="257"/>
        <v>2046.2625507908</v>
      </c>
      <c r="AD550" s="67">
        <f t="shared" si="258"/>
        <v>18015.404851294</v>
      </c>
      <c r="AE550" s="67">
        <f t="shared" si="261"/>
        <v>3151.955148706</v>
      </c>
    </row>
    <row r="551" customFormat="1" spans="1:31">
      <c r="A551" s="18"/>
      <c r="B551" s="19"/>
      <c r="C551" s="20">
        <v>240220000056</v>
      </c>
      <c r="D551" s="21">
        <v>45349</v>
      </c>
      <c r="E551" s="21" t="s">
        <v>62</v>
      </c>
      <c r="F551" s="19" t="s">
        <v>63</v>
      </c>
      <c r="G551" s="19" t="s">
        <v>412</v>
      </c>
      <c r="H551" s="19">
        <v>0.47</v>
      </c>
      <c r="I551" s="44">
        <v>60</v>
      </c>
      <c r="J551" s="45"/>
      <c r="K551" s="46"/>
      <c r="L551" s="45"/>
      <c r="M551" s="47"/>
      <c r="N551" s="48"/>
      <c r="O551" s="49">
        <f t="shared" ref="O551:O555" si="267">SUM(I551)</f>
        <v>60</v>
      </c>
      <c r="P551" s="51"/>
      <c r="Q551" s="51"/>
      <c r="R551" s="67">
        <f t="shared" si="262"/>
        <v>19.5694687275341</v>
      </c>
      <c r="S551" s="67"/>
      <c r="T551" s="91">
        <f t="shared" si="263"/>
        <v>0.0725577282530554</v>
      </c>
      <c r="U551" s="67"/>
      <c r="V551" s="67"/>
      <c r="W551" s="89">
        <f t="shared" si="260"/>
        <v>19.6420264557872</v>
      </c>
      <c r="X551" s="90">
        <f t="shared" si="264"/>
        <v>0.358129187634795</v>
      </c>
      <c r="Y551" s="90"/>
      <c r="Z551" s="90"/>
      <c r="AA551" s="90">
        <f t="shared" si="256"/>
        <v>0.358129187634795</v>
      </c>
      <c r="AB551" s="107">
        <v>7.19</v>
      </c>
      <c r="AC551" s="67">
        <f t="shared" si="257"/>
        <v>2.57494885909418</v>
      </c>
      <c r="AD551" s="67">
        <f t="shared" si="258"/>
        <v>22.2169753148814</v>
      </c>
      <c r="AE551" s="67">
        <f t="shared" si="261"/>
        <v>37.7830246851186</v>
      </c>
    </row>
    <row r="552" customFormat="1" spans="1:31">
      <c r="A552" s="18"/>
      <c r="B552" s="19"/>
      <c r="C552" s="24">
        <v>240220000058</v>
      </c>
      <c r="D552" s="25">
        <v>45349</v>
      </c>
      <c r="E552" s="21" t="s">
        <v>41</v>
      </c>
      <c r="F552" s="26" t="s">
        <v>42</v>
      </c>
      <c r="G552" s="26" t="s">
        <v>289</v>
      </c>
      <c r="H552" s="26">
        <v>3</v>
      </c>
      <c r="I552" s="53"/>
      <c r="J552" s="61">
        <v>51156</v>
      </c>
      <c r="K552" s="55"/>
      <c r="L552" s="61">
        <f>SUM(J552/M552)</f>
        <v>1800.00012667137</v>
      </c>
      <c r="M552" s="118">
        <v>28.419998</v>
      </c>
      <c r="N552" s="48">
        <v>7.19</v>
      </c>
      <c r="O552" s="49">
        <f>SUM(M552*N552)</f>
        <v>204.33978562</v>
      </c>
      <c r="P552" s="51"/>
      <c r="Q552" s="51"/>
      <c r="R552" s="67">
        <f t="shared" si="262"/>
        <v>124.911502516175</v>
      </c>
      <c r="S552" s="67"/>
      <c r="T552" s="91">
        <f t="shared" si="263"/>
        <v>0.4631344356578</v>
      </c>
      <c r="U552" s="67"/>
      <c r="V552" s="67"/>
      <c r="W552" s="89">
        <f t="shared" si="260"/>
        <v>125.374636951833</v>
      </c>
      <c r="X552" s="90">
        <f t="shared" si="264"/>
        <v>2.28593098490295</v>
      </c>
      <c r="Y552" s="90"/>
      <c r="Z552" s="90"/>
      <c r="AA552" s="90">
        <f t="shared" si="256"/>
        <v>2.28593098490295</v>
      </c>
      <c r="AB552" s="107">
        <v>7.19</v>
      </c>
      <c r="AC552" s="67">
        <f t="shared" si="257"/>
        <v>16.4358437814522</v>
      </c>
      <c r="AD552" s="67">
        <f t="shared" si="258"/>
        <v>141.810480733285</v>
      </c>
      <c r="AE552" s="67">
        <f t="shared" si="261"/>
        <v>62.529304886715</v>
      </c>
    </row>
    <row r="553" customFormat="1" spans="1:31">
      <c r="A553" s="18"/>
      <c r="B553" s="19"/>
      <c r="C553" s="20">
        <v>240220000060</v>
      </c>
      <c r="D553" s="21">
        <v>45349</v>
      </c>
      <c r="E553" s="21" t="s">
        <v>41</v>
      </c>
      <c r="F553" s="19" t="s">
        <v>42</v>
      </c>
      <c r="G553" s="19" t="s">
        <v>337</v>
      </c>
      <c r="H553" s="19">
        <v>9.5</v>
      </c>
      <c r="I553" s="44">
        <v>541.5</v>
      </c>
      <c r="J553" s="45"/>
      <c r="K553" s="46"/>
      <c r="L553" s="45"/>
      <c r="M553" s="47"/>
      <c r="N553" s="48"/>
      <c r="O553" s="49">
        <f t="shared" si="267"/>
        <v>541.5</v>
      </c>
      <c r="P553" s="51"/>
      <c r="Q553" s="51"/>
      <c r="R553" s="67">
        <f t="shared" si="262"/>
        <v>395.553091301222</v>
      </c>
      <c r="S553" s="67"/>
      <c r="T553" s="91">
        <f t="shared" si="263"/>
        <v>1.46659237958303</v>
      </c>
      <c r="U553" s="67"/>
      <c r="V553" s="67"/>
      <c r="W553" s="89">
        <f t="shared" si="260"/>
        <v>397.019683680805</v>
      </c>
      <c r="X553" s="90">
        <f t="shared" si="264"/>
        <v>7.23878145219267</v>
      </c>
      <c r="Y553" s="90"/>
      <c r="Z553" s="90"/>
      <c r="AA553" s="90">
        <f t="shared" si="256"/>
        <v>7.23878145219267</v>
      </c>
      <c r="AB553" s="107">
        <v>7.19</v>
      </c>
      <c r="AC553" s="67">
        <f t="shared" si="257"/>
        <v>52.0468386412653</v>
      </c>
      <c r="AD553" s="67">
        <f t="shared" si="258"/>
        <v>449.06652232207</v>
      </c>
      <c r="AE553" s="67">
        <f t="shared" si="261"/>
        <v>92.43347767793</v>
      </c>
    </row>
    <row r="554" customFormat="1" spans="1:31">
      <c r="A554" s="18"/>
      <c r="B554" s="19"/>
      <c r="C554" s="20">
        <v>240221000010</v>
      </c>
      <c r="D554" s="21">
        <v>45349</v>
      </c>
      <c r="E554" s="21" t="s">
        <v>41</v>
      </c>
      <c r="F554" s="19" t="s">
        <v>42</v>
      </c>
      <c r="G554" s="19" t="s">
        <v>413</v>
      </c>
      <c r="H554" s="19">
        <v>5.5</v>
      </c>
      <c r="I554" s="44">
        <v>350</v>
      </c>
      <c r="J554" s="45"/>
      <c r="K554" s="46"/>
      <c r="L554" s="45"/>
      <c r="M554" s="47"/>
      <c r="N554" s="48"/>
      <c r="O554" s="49">
        <f t="shared" si="267"/>
        <v>350</v>
      </c>
      <c r="P554" s="51"/>
      <c r="Q554" s="51"/>
      <c r="R554" s="67">
        <f t="shared" si="262"/>
        <v>229.004421279655</v>
      </c>
      <c r="S554" s="67"/>
      <c r="T554" s="91">
        <f t="shared" si="263"/>
        <v>0.849079798705967</v>
      </c>
      <c r="U554" s="67"/>
      <c r="V554" s="67"/>
      <c r="W554" s="89">
        <f t="shared" si="260"/>
        <v>229.853501078361</v>
      </c>
      <c r="X554" s="90">
        <f t="shared" si="264"/>
        <v>4.19087347232207</v>
      </c>
      <c r="Y554" s="90"/>
      <c r="Z554" s="90"/>
      <c r="AA554" s="90">
        <f t="shared" si="256"/>
        <v>4.19087347232207</v>
      </c>
      <c r="AB554" s="107">
        <v>7.19</v>
      </c>
      <c r="AC554" s="67">
        <f t="shared" si="257"/>
        <v>30.1323802659957</v>
      </c>
      <c r="AD554" s="67">
        <f t="shared" si="258"/>
        <v>259.985881344357</v>
      </c>
      <c r="AE554" s="67">
        <f t="shared" si="261"/>
        <v>90.014118655643</v>
      </c>
    </row>
    <row r="555" customFormat="1" spans="1:31">
      <c r="A555" s="18"/>
      <c r="B555" s="19"/>
      <c r="C555" s="20">
        <v>240221000013</v>
      </c>
      <c r="D555" s="21">
        <v>45349</v>
      </c>
      <c r="E555" s="21" t="s">
        <v>41</v>
      </c>
      <c r="F555" s="19" t="s">
        <v>42</v>
      </c>
      <c r="G555" s="19" t="s">
        <v>414</v>
      </c>
      <c r="H555" s="19">
        <v>8</v>
      </c>
      <c r="I555" s="44">
        <v>429.6</v>
      </c>
      <c r="J555" s="45"/>
      <c r="K555" s="46"/>
      <c r="L555" s="45"/>
      <c r="M555" s="47"/>
      <c r="N555" s="48"/>
      <c r="O555" s="49">
        <f t="shared" si="267"/>
        <v>429.6</v>
      </c>
      <c r="P555" s="51"/>
      <c r="Q555" s="51"/>
      <c r="R555" s="67">
        <f t="shared" si="262"/>
        <v>333.097340043134</v>
      </c>
      <c r="S555" s="67"/>
      <c r="T555" s="91">
        <f t="shared" si="263"/>
        <v>1.23502516175413</v>
      </c>
      <c r="U555" s="67"/>
      <c r="V555" s="67"/>
      <c r="W555" s="89">
        <f t="shared" si="260"/>
        <v>334.332365204889</v>
      </c>
      <c r="X555" s="90">
        <f t="shared" si="264"/>
        <v>6.09581595974119</v>
      </c>
      <c r="Y555" s="90"/>
      <c r="Z555" s="90"/>
      <c r="AA555" s="90">
        <f t="shared" si="256"/>
        <v>6.09581595974119</v>
      </c>
      <c r="AB555" s="107">
        <v>7.19</v>
      </c>
      <c r="AC555" s="67">
        <f t="shared" si="257"/>
        <v>43.8289167505392</v>
      </c>
      <c r="AD555" s="67">
        <f t="shared" si="258"/>
        <v>378.161281955428</v>
      </c>
      <c r="AE555" s="67">
        <f t="shared" si="261"/>
        <v>51.438718044572</v>
      </c>
    </row>
    <row r="556" customFormat="1" spans="1:31">
      <c r="A556" s="18"/>
      <c r="B556" s="19"/>
      <c r="C556" s="20">
        <v>240221000014</v>
      </c>
      <c r="D556" s="21">
        <v>45349</v>
      </c>
      <c r="E556" s="21" t="s">
        <v>41</v>
      </c>
      <c r="F556" s="19" t="s">
        <v>42</v>
      </c>
      <c r="G556" s="19" t="s">
        <v>270</v>
      </c>
      <c r="H556" s="19">
        <v>66.5</v>
      </c>
      <c r="I556" s="53"/>
      <c r="J556" s="61">
        <v>625865</v>
      </c>
      <c r="K556" s="64"/>
      <c r="L556" s="61">
        <f>SUM(J556/M556)</f>
        <v>1473.97611926238</v>
      </c>
      <c r="M556" s="62">
        <v>424.61</v>
      </c>
      <c r="N556" s="48">
        <v>7.19</v>
      </c>
      <c r="O556" s="49">
        <f>SUM(M556*N556)</f>
        <v>3052.9459</v>
      </c>
      <c r="P556" s="51"/>
      <c r="Q556" s="51"/>
      <c r="R556" s="67">
        <f t="shared" si="262"/>
        <v>2768.87163910856</v>
      </c>
      <c r="S556" s="67"/>
      <c r="T556" s="91">
        <f t="shared" si="263"/>
        <v>10.2661466570812</v>
      </c>
      <c r="U556" s="67"/>
      <c r="V556" s="67"/>
      <c r="W556" s="89">
        <f t="shared" si="260"/>
        <v>2779.13778576564</v>
      </c>
      <c r="X556" s="90">
        <f t="shared" si="264"/>
        <v>50.6714701653487</v>
      </c>
      <c r="Y556" s="90"/>
      <c r="Z556" s="90"/>
      <c r="AA556" s="90">
        <f t="shared" si="256"/>
        <v>50.6714701653487</v>
      </c>
      <c r="AB556" s="107">
        <v>7.19</v>
      </c>
      <c r="AC556" s="67">
        <f t="shared" si="257"/>
        <v>364.327870488857</v>
      </c>
      <c r="AD556" s="67">
        <f t="shared" si="258"/>
        <v>3143.46565625449</v>
      </c>
      <c r="AE556" s="67">
        <f t="shared" si="261"/>
        <v>-90.5197562544899</v>
      </c>
    </row>
    <row r="557" customFormat="1" spans="1:31">
      <c r="A557" s="18"/>
      <c r="B557" s="19"/>
      <c r="C557" s="20">
        <v>240221000021</v>
      </c>
      <c r="D557" s="21">
        <v>45349</v>
      </c>
      <c r="E557" s="21" t="s">
        <v>44</v>
      </c>
      <c r="F557" s="19" t="s">
        <v>44</v>
      </c>
      <c r="G557" s="19" t="s">
        <v>227</v>
      </c>
      <c r="H557" s="19">
        <v>5</v>
      </c>
      <c r="I557" s="44">
        <v>333.2</v>
      </c>
      <c r="J557" s="54"/>
      <c r="K557" s="55"/>
      <c r="L557" s="54"/>
      <c r="M557" s="47"/>
      <c r="N557" s="48"/>
      <c r="O557" s="49">
        <f t="shared" ref="O557:O562" si="268">SUM(I557)</f>
        <v>333.2</v>
      </c>
      <c r="P557" s="51"/>
      <c r="Q557" s="51"/>
      <c r="R557" s="67">
        <f t="shared" si="262"/>
        <v>208.185837526959</v>
      </c>
      <c r="S557" s="67"/>
      <c r="T557" s="91">
        <f t="shared" si="263"/>
        <v>0.771890726096334</v>
      </c>
      <c r="U557" s="67"/>
      <c r="V557" s="67"/>
      <c r="W557" s="89">
        <f t="shared" si="260"/>
        <v>208.957728253055</v>
      </c>
      <c r="X557" s="90">
        <f t="shared" si="264"/>
        <v>3.80988497483825</v>
      </c>
      <c r="Y557" s="90"/>
      <c r="Z557" s="90"/>
      <c r="AA557" s="90">
        <f t="shared" si="256"/>
        <v>3.80988497483825</v>
      </c>
      <c r="AB557" s="107">
        <v>7.19</v>
      </c>
      <c r="AC557" s="67">
        <f t="shared" si="257"/>
        <v>27.393072969087</v>
      </c>
      <c r="AD557" s="67">
        <f t="shared" si="258"/>
        <v>236.350801222142</v>
      </c>
      <c r="AE557" s="67">
        <f t="shared" si="261"/>
        <v>96.849198777858</v>
      </c>
    </row>
    <row r="558" customFormat="1" spans="1:31">
      <c r="A558" s="18"/>
      <c r="B558" s="19"/>
      <c r="C558" s="20">
        <v>240222000003</v>
      </c>
      <c r="D558" s="21">
        <v>45349</v>
      </c>
      <c r="E558" s="21" t="s">
        <v>76</v>
      </c>
      <c r="F558" s="19" t="s">
        <v>77</v>
      </c>
      <c r="G558" s="19" t="s">
        <v>415</v>
      </c>
      <c r="H558" s="19">
        <v>11</v>
      </c>
      <c r="I558" s="112">
        <v>701</v>
      </c>
      <c r="J558" s="65"/>
      <c r="K558" s="69"/>
      <c r="L558" s="65"/>
      <c r="M558" s="47"/>
      <c r="N558" s="48"/>
      <c r="O558" s="49">
        <f>SUBTOTAL(9,I558)</f>
        <v>701</v>
      </c>
      <c r="P558" s="51"/>
      <c r="Q558" s="51"/>
      <c r="R558" s="67">
        <f t="shared" si="262"/>
        <v>458.00884255931</v>
      </c>
      <c r="S558" s="67"/>
      <c r="T558" s="91">
        <f t="shared" si="263"/>
        <v>1.69815959741193</v>
      </c>
      <c r="U558" s="67"/>
      <c r="V558" s="67"/>
      <c r="W558" s="89">
        <f t="shared" si="260"/>
        <v>459.707002156722</v>
      </c>
      <c r="X558" s="90">
        <f t="shared" si="264"/>
        <v>8.38174694464414</v>
      </c>
      <c r="Y558" s="90"/>
      <c r="Z558" s="90"/>
      <c r="AA558" s="90">
        <f t="shared" si="256"/>
        <v>8.38174694464414</v>
      </c>
      <c r="AB558" s="107">
        <v>7.19</v>
      </c>
      <c r="AC558" s="67">
        <f t="shared" si="257"/>
        <v>60.2647605319914</v>
      </c>
      <c r="AD558" s="67">
        <f t="shared" si="258"/>
        <v>519.971762688713</v>
      </c>
      <c r="AE558" s="67">
        <f t="shared" si="261"/>
        <v>181.028237311287</v>
      </c>
    </row>
    <row r="559" customFormat="1" spans="1:31">
      <c r="A559" s="18"/>
      <c r="B559" s="19"/>
      <c r="C559" s="20">
        <v>240222000007</v>
      </c>
      <c r="D559" s="21">
        <v>45349</v>
      </c>
      <c r="E559" s="21" t="s">
        <v>37</v>
      </c>
      <c r="F559" s="19" t="s">
        <v>38</v>
      </c>
      <c r="G559" s="19" t="s">
        <v>416</v>
      </c>
      <c r="H559" s="19">
        <v>5</v>
      </c>
      <c r="I559" s="44">
        <v>375.2</v>
      </c>
      <c r="J559" s="45"/>
      <c r="K559" s="46"/>
      <c r="L559" s="45"/>
      <c r="M559" s="47"/>
      <c r="N559" s="48"/>
      <c r="O559" s="49">
        <f t="shared" si="268"/>
        <v>375.2</v>
      </c>
      <c r="P559" s="51"/>
      <c r="Q559" s="51"/>
      <c r="R559" s="67">
        <f t="shared" si="262"/>
        <v>208.185837526959</v>
      </c>
      <c r="S559" s="67"/>
      <c r="T559" s="91">
        <f t="shared" si="263"/>
        <v>0.771890726096334</v>
      </c>
      <c r="U559" s="67"/>
      <c r="V559" s="67"/>
      <c r="W559" s="89">
        <f t="shared" si="260"/>
        <v>208.957728253055</v>
      </c>
      <c r="X559" s="90">
        <f t="shared" si="264"/>
        <v>3.80988497483825</v>
      </c>
      <c r="Y559" s="90"/>
      <c r="Z559" s="90"/>
      <c r="AA559" s="90">
        <f t="shared" si="256"/>
        <v>3.80988497483825</v>
      </c>
      <c r="AB559" s="107">
        <v>7.19</v>
      </c>
      <c r="AC559" s="67">
        <f t="shared" si="257"/>
        <v>27.393072969087</v>
      </c>
      <c r="AD559" s="67">
        <f t="shared" si="258"/>
        <v>236.350801222142</v>
      </c>
      <c r="AE559" s="67">
        <f t="shared" si="261"/>
        <v>138.849198777858</v>
      </c>
    </row>
    <row r="560" customFormat="1" spans="1:31">
      <c r="A560" s="18"/>
      <c r="B560" s="19"/>
      <c r="C560" s="20">
        <v>240222000010</v>
      </c>
      <c r="D560" s="21">
        <v>45349</v>
      </c>
      <c r="E560" s="21" t="s">
        <v>41</v>
      </c>
      <c r="F560" s="19" t="s">
        <v>42</v>
      </c>
      <c r="G560" s="19" t="s">
        <v>417</v>
      </c>
      <c r="H560" s="19">
        <v>7</v>
      </c>
      <c r="I560" s="44">
        <v>350</v>
      </c>
      <c r="J560" s="54"/>
      <c r="K560" s="55"/>
      <c r="L560" s="54"/>
      <c r="M560" s="47"/>
      <c r="N560" s="48"/>
      <c r="O560" s="49">
        <f t="shared" si="268"/>
        <v>350</v>
      </c>
      <c r="P560" s="51"/>
      <c r="Q560" s="51"/>
      <c r="R560" s="67">
        <f t="shared" si="262"/>
        <v>291.460172537743</v>
      </c>
      <c r="S560" s="67"/>
      <c r="T560" s="91">
        <f t="shared" si="263"/>
        <v>1.08064701653487</v>
      </c>
      <c r="U560" s="67"/>
      <c r="V560" s="67"/>
      <c r="W560" s="89">
        <f t="shared" si="260"/>
        <v>292.540819554278</v>
      </c>
      <c r="X560" s="90">
        <f t="shared" si="264"/>
        <v>5.33383896477354</v>
      </c>
      <c r="Y560" s="90"/>
      <c r="Z560" s="90"/>
      <c r="AA560" s="90">
        <f t="shared" si="256"/>
        <v>5.33383896477354</v>
      </c>
      <c r="AB560" s="107">
        <v>7.19</v>
      </c>
      <c r="AC560" s="67">
        <f t="shared" si="257"/>
        <v>38.3503021567218</v>
      </c>
      <c r="AD560" s="67">
        <f t="shared" si="258"/>
        <v>330.891121710999</v>
      </c>
      <c r="AE560" s="67">
        <f t="shared" si="261"/>
        <v>19.108878289001</v>
      </c>
    </row>
    <row r="561" customFormat="1" spans="1:31">
      <c r="A561" s="18"/>
      <c r="B561" s="19"/>
      <c r="C561" s="20">
        <v>240222000020</v>
      </c>
      <c r="D561" s="21">
        <v>45349</v>
      </c>
      <c r="E561" s="21" t="s">
        <v>41</v>
      </c>
      <c r="F561" s="19" t="s">
        <v>42</v>
      </c>
      <c r="G561" s="19" t="s">
        <v>354</v>
      </c>
      <c r="H561" s="19">
        <v>150</v>
      </c>
      <c r="I561" s="44">
        <v>8510</v>
      </c>
      <c r="J561" s="54"/>
      <c r="K561" s="55"/>
      <c r="L561" s="54"/>
      <c r="M561" s="47"/>
      <c r="N561" s="68"/>
      <c r="O561" s="49">
        <f t="shared" si="268"/>
        <v>8510</v>
      </c>
      <c r="P561" s="51"/>
      <c r="Q561" s="51"/>
      <c r="R561" s="67">
        <f t="shared" si="262"/>
        <v>6245.57512580877</v>
      </c>
      <c r="S561" s="67"/>
      <c r="T561" s="91">
        <f t="shared" si="263"/>
        <v>23.15672178289</v>
      </c>
      <c r="U561" s="67">
        <v>60</v>
      </c>
      <c r="V561" s="67"/>
      <c r="W561" s="89">
        <f t="shared" si="260"/>
        <v>6328.73184759166</v>
      </c>
      <c r="X561" s="90">
        <f t="shared" si="264"/>
        <v>114.296549245147</v>
      </c>
      <c r="Y561" s="90"/>
      <c r="Z561" s="90"/>
      <c r="AA561" s="90">
        <f t="shared" si="256"/>
        <v>114.296549245147</v>
      </c>
      <c r="AB561" s="107">
        <v>7.19</v>
      </c>
      <c r="AC561" s="67">
        <f t="shared" si="257"/>
        <v>821.79218907261</v>
      </c>
      <c r="AD561" s="67">
        <f t="shared" si="258"/>
        <v>7150.52403666427</v>
      </c>
      <c r="AE561" s="67">
        <f t="shared" si="261"/>
        <v>1359.47596333573</v>
      </c>
    </row>
    <row r="562" customFormat="1" spans="1:31">
      <c r="A562" s="18"/>
      <c r="B562" s="19"/>
      <c r="C562" s="20">
        <v>240222000021</v>
      </c>
      <c r="D562" s="21">
        <v>45349</v>
      </c>
      <c r="E562" s="21" t="s">
        <v>37</v>
      </c>
      <c r="F562" s="19" t="s">
        <v>384</v>
      </c>
      <c r="G562" s="19" t="s">
        <v>385</v>
      </c>
      <c r="H562" s="19">
        <v>5</v>
      </c>
      <c r="I562" s="44">
        <v>321.6</v>
      </c>
      <c r="J562" s="45"/>
      <c r="K562" s="46"/>
      <c r="L562" s="45"/>
      <c r="M562" s="47"/>
      <c r="N562" s="48"/>
      <c r="O562" s="49">
        <f t="shared" si="268"/>
        <v>321.6</v>
      </c>
      <c r="P562" s="51"/>
      <c r="Q562" s="51"/>
      <c r="R562" s="67">
        <f t="shared" si="262"/>
        <v>208.185837526959</v>
      </c>
      <c r="S562" s="67"/>
      <c r="T562" s="91">
        <f t="shared" si="263"/>
        <v>0.771890726096334</v>
      </c>
      <c r="U562" s="67"/>
      <c r="V562" s="67"/>
      <c r="W562" s="89">
        <f t="shared" si="260"/>
        <v>208.957728253055</v>
      </c>
      <c r="X562" s="90">
        <f t="shared" si="264"/>
        <v>3.80988497483825</v>
      </c>
      <c r="Y562" s="90"/>
      <c r="Z562" s="90"/>
      <c r="AA562" s="90">
        <f t="shared" si="256"/>
        <v>3.80988497483825</v>
      </c>
      <c r="AB562" s="107">
        <v>7.19</v>
      </c>
      <c r="AC562" s="67">
        <f t="shared" si="257"/>
        <v>27.393072969087</v>
      </c>
      <c r="AD562" s="67">
        <f t="shared" si="258"/>
        <v>236.350801222142</v>
      </c>
      <c r="AE562" s="67">
        <f t="shared" si="261"/>
        <v>85.249198777858</v>
      </c>
    </row>
    <row r="563" customFormat="1" spans="1:31">
      <c r="A563" s="18"/>
      <c r="B563" s="19"/>
      <c r="C563" s="20">
        <v>240222000028</v>
      </c>
      <c r="D563" s="21">
        <v>45349</v>
      </c>
      <c r="E563" s="21" t="s">
        <v>76</v>
      </c>
      <c r="F563" s="19" t="s">
        <v>77</v>
      </c>
      <c r="G563" s="19" t="s">
        <v>418</v>
      </c>
      <c r="H563" s="19">
        <v>1.5</v>
      </c>
      <c r="I563" s="49"/>
      <c r="J563" s="65">
        <v>22450</v>
      </c>
      <c r="K563" s="66"/>
      <c r="L563" s="61">
        <f>SUM(J563/M563)</f>
        <v>1798.87820512821</v>
      </c>
      <c r="M563" s="62">
        <v>12.48</v>
      </c>
      <c r="N563" s="48">
        <v>7.19</v>
      </c>
      <c r="O563" s="49">
        <f t="shared" ref="O563:O565" si="269">SUM(M563*N563)</f>
        <v>89.7312</v>
      </c>
      <c r="P563" s="51"/>
      <c r="Q563" s="51"/>
      <c r="R563" s="67">
        <f t="shared" si="262"/>
        <v>62.4557512580877</v>
      </c>
      <c r="S563" s="67"/>
      <c r="T563" s="91">
        <f t="shared" si="263"/>
        <v>0.2315672178289</v>
      </c>
      <c r="U563" s="67"/>
      <c r="V563" s="67"/>
      <c r="W563" s="89">
        <f t="shared" si="260"/>
        <v>62.6873184759166</v>
      </c>
      <c r="X563" s="90">
        <f t="shared" si="264"/>
        <v>1.14296549245147</v>
      </c>
      <c r="Y563" s="90"/>
      <c r="Z563" s="90"/>
      <c r="AA563" s="90">
        <f t="shared" si="256"/>
        <v>1.14296549245147</v>
      </c>
      <c r="AB563" s="107">
        <v>7.19</v>
      </c>
      <c r="AC563" s="67">
        <f t="shared" si="257"/>
        <v>8.2179218907261</v>
      </c>
      <c r="AD563" s="67">
        <f t="shared" si="258"/>
        <v>70.9052403666427</v>
      </c>
      <c r="AE563" s="67">
        <f t="shared" si="261"/>
        <v>18.8259596333573</v>
      </c>
    </row>
    <row r="564" customFormat="1" spans="1:31">
      <c r="A564" s="18"/>
      <c r="B564" s="19"/>
      <c r="C564" s="20">
        <v>240223000008</v>
      </c>
      <c r="D564" s="21">
        <v>45349</v>
      </c>
      <c r="E564" s="21" t="s">
        <v>41</v>
      </c>
      <c r="F564" s="19" t="s">
        <v>42</v>
      </c>
      <c r="G564" s="19" t="s">
        <v>419</v>
      </c>
      <c r="H564" s="19">
        <v>5.5</v>
      </c>
      <c r="I564" s="53"/>
      <c r="J564" s="61">
        <v>76700</v>
      </c>
      <c r="K564" s="55"/>
      <c r="L564" s="61">
        <f>SUM(J564/M564)</f>
        <v>1604.26688977201</v>
      </c>
      <c r="M564" s="62">
        <v>47.81</v>
      </c>
      <c r="N564" s="48">
        <v>7.19</v>
      </c>
      <c r="O564" s="49">
        <f t="shared" si="269"/>
        <v>343.7539</v>
      </c>
      <c r="P564" s="51"/>
      <c r="Q564" s="51"/>
      <c r="R564" s="67">
        <f t="shared" si="262"/>
        <v>229.004421279655</v>
      </c>
      <c r="S564" s="67"/>
      <c r="T564" s="91">
        <f t="shared" si="263"/>
        <v>0.849079798705967</v>
      </c>
      <c r="U564" s="67">
        <v>30</v>
      </c>
      <c r="V564" s="67"/>
      <c r="W564" s="89">
        <f t="shared" si="260"/>
        <v>259.853501078361</v>
      </c>
      <c r="X564" s="90">
        <f t="shared" si="264"/>
        <v>4.19087347232207</v>
      </c>
      <c r="Y564" s="90"/>
      <c r="Z564" s="90"/>
      <c r="AA564" s="90">
        <f t="shared" si="256"/>
        <v>4.19087347232207</v>
      </c>
      <c r="AB564" s="107">
        <v>7.19</v>
      </c>
      <c r="AC564" s="67">
        <f t="shared" si="257"/>
        <v>30.1323802659957</v>
      </c>
      <c r="AD564" s="67">
        <f t="shared" si="258"/>
        <v>289.985881344357</v>
      </c>
      <c r="AE564" s="67">
        <f t="shared" si="261"/>
        <v>53.768018655643</v>
      </c>
    </row>
    <row r="565" customFormat="1" spans="1:31">
      <c r="A565" s="18"/>
      <c r="B565" s="19"/>
      <c r="C565" s="20">
        <v>240223000024</v>
      </c>
      <c r="D565" s="21">
        <v>45349</v>
      </c>
      <c r="E565" s="21" t="s">
        <v>44</v>
      </c>
      <c r="F565" s="19" t="s">
        <v>225</v>
      </c>
      <c r="G565" s="19" t="s">
        <v>226</v>
      </c>
      <c r="H565" s="19">
        <v>129</v>
      </c>
      <c r="I565" s="49"/>
      <c r="J565" s="65">
        <v>1895434</v>
      </c>
      <c r="K565" s="66"/>
      <c r="L565" s="61">
        <f>SUM(J565/M565)</f>
        <v>1807.10281443063</v>
      </c>
      <c r="M565" s="62">
        <v>1048.88</v>
      </c>
      <c r="N565" s="48">
        <v>7.19</v>
      </c>
      <c r="O565" s="49">
        <f t="shared" si="269"/>
        <v>7541.4472</v>
      </c>
      <c r="P565" s="51"/>
      <c r="Q565" s="51"/>
      <c r="R565" s="67">
        <f t="shared" si="262"/>
        <v>5371.19460819554</v>
      </c>
      <c r="S565" s="67"/>
      <c r="T565" s="91">
        <f t="shared" si="263"/>
        <v>19.9147807332854</v>
      </c>
      <c r="U565" s="67"/>
      <c r="V565" s="91">
        <v>352</v>
      </c>
      <c r="W565" s="89">
        <f t="shared" si="260"/>
        <v>5743.10938892883</v>
      </c>
      <c r="X565" s="90">
        <f t="shared" si="264"/>
        <v>98.2950323508268</v>
      </c>
      <c r="Y565" s="90"/>
      <c r="Z565" s="90"/>
      <c r="AA565" s="90">
        <f t="shared" si="256"/>
        <v>98.2950323508268</v>
      </c>
      <c r="AB565" s="107">
        <v>7.19</v>
      </c>
      <c r="AC565" s="67">
        <f t="shared" si="257"/>
        <v>706.741282602444</v>
      </c>
      <c r="AD565" s="67">
        <f t="shared" si="258"/>
        <v>6449.85067153127</v>
      </c>
      <c r="AE565" s="67">
        <f t="shared" si="261"/>
        <v>1091.59652846873</v>
      </c>
    </row>
    <row r="566" customFormat="1" spans="1:31">
      <c r="A566" s="18"/>
      <c r="B566" s="19"/>
      <c r="C566" s="20">
        <v>240223000028</v>
      </c>
      <c r="D566" s="21">
        <v>45349</v>
      </c>
      <c r="E566" s="21" t="s">
        <v>44</v>
      </c>
      <c r="F566" s="19" t="s">
        <v>44</v>
      </c>
      <c r="G566" s="19" t="s">
        <v>152</v>
      </c>
      <c r="H566" s="19">
        <v>336.5</v>
      </c>
      <c r="I566" s="53">
        <v>14806</v>
      </c>
      <c r="J566" s="54"/>
      <c r="K566" s="55"/>
      <c r="L566" s="54"/>
      <c r="M566" s="47"/>
      <c r="N566" s="48"/>
      <c r="O566" s="49">
        <f>SUM(I566)</f>
        <v>14806</v>
      </c>
      <c r="P566" s="52"/>
      <c r="Q566" s="52"/>
      <c r="R566" s="67">
        <f t="shared" si="262"/>
        <v>14010.9068655643</v>
      </c>
      <c r="S566" s="67"/>
      <c r="T566" s="91">
        <f t="shared" si="263"/>
        <v>51.9482458662833</v>
      </c>
      <c r="U566" s="67"/>
      <c r="V566" s="67"/>
      <c r="W566" s="89">
        <f t="shared" si="260"/>
        <v>14062.8551114306</v>
      </c>
      <c r="X566" s="90">
        <f t="shared" si="264"/>
        <v>256.405258806614</v>
      </c>
      <c r="Y566" s="90"/>
      <c r="Z566" s="90"/>
      <c r="AA566" s="90">
        <f t="shared" si="256"/>
        <v>256.405258806614</v>
      </c>
      <c r="AB566" s="107">
        <v>7.19</v>
      </c>
      <c r="AC566" s="67">
        <f t="shared" si="257"/>
        <v>1843.55381081955</v>
      </c>
      <c r="AD566" s="67">
        <f t="shared" si="258"/>
        <v>15906.4089222502</v>
      </c>
      <c r="AE566" s="67">
        <f t="shared" si="261"/>
        <v>-1100.4089222502</v>
      </c>
    </row>
    <row r="567" customFormat="1" spans="1:31">
      <c r="A567" s="18" t="s">
        <v>420</v>
      </c>
      <c r="B567" s="19" t="s">
        <v>421</v>
      </c>
      <c r="C567" s="20">
        <v>231121000027</v>
      </c>
      <c r="D567" s="21">
        <v>45351</v>
      </c>
      <c r="E567" s="21" t="s">
        <v>56</v>
      </c>
      <c r="F567" s="19" t="s">
        <v>114</v>
      </c>
      <c r="G567" s="19" t="s">
        <v>422</v>
      </c>
      <c r="H567" s="19">
        <v>106</v>
      </c>
      <c r="I567" s="112">
        <v>1943.8401</v>
      </c>
      <c r="J567" s="65"/>
      <c r="K567" s="69"/>
      <c r="L567" s="65"/>
      <c r="M567" s="47"/>
      <c r="N567" s="48"/>
      <c r="O567" s="49">
        <f>SUM(I567)</f>
        <v>1943.8401</v>
      </c>
      <c r="P567" s="123">
        <f>SUM(O567)</f>
        <v>1943.8401</v>
      </c>
      <c r="Q567" s="123" t="s">
        <v>423</v>
      </c>
      <c r="R567" s="124">
        <v>625.88</v>
      </c>
      <c r="S567" s="124"/>
      <c r="T567" s="120">
        <v>0</v>
      </c>
      <c r="U567" s="124"/>
      <c r="V567" s="124"/>
      <c r="W567" s="89">
        <f t="shared" si="260"/>
        <v>625.88</v>
      </c>
      <c r="X567" s="125">
        <v>0</v>
      </c>
      <c r="Y567" s="125"/>
      <c r="Z567" s="125"/>
      <c r="AA567" s="90">
        <f t="shared" si="256"/>
        <v>0</v>
      </c>
      <c r="AB567" s="107">
        <v>7.19</v>
      </c>
      <c r="AC567" s="67">
        <f t="shared" si="257"/>
        <v>0</v>
      </c>
      <c r="AD567" s="67">
        <f t="shared" si="258"/>
        <v>625.88</v>
      </c>
      <c r="AE567" s="67">
        <f t="shared" si="261"/>
        <v>1317.9601</v>
      </c>
    </row>
    <row r="568" spans="1:32">
      <c r="A568" s="128" t="s">
        <v>424</v>
      </c>
      <c r="B568" s="129"/>
      <c r="C568" s="129"/>
      <c r="D568" s="129"/>
      <c r="E568" s="129"/>
      <c r="F568" s="129"/>
      <c r="G568" s="129"/>
      <c r="H568" s="129"/>
      <c r="I568" s="129">
        <f>SUM(I3:I3)</f>
        <v>0</v>
      </c>
      <c r="J568" s="130"/>
      <c r="K568" s="129"/>
      <c r="L568" s="130"/>
      <c r="M568" s="129">
        <f>SUM(M3:M3)</f>
        <v>0</v>
      </c>
      <c r="N568" s="129"/>
      <c r="O568" s="129">
        <f>SUM(O3:O3)</f>
        <v>0</v>
      </c>
      <c r="P568" s="129">
        <f>SUM(P3:P3)</f>
        <v>0</v>
      </c>
      <c r="Q568" s="129"/>
      <c r="R568" s="129"/>
      <c r="S568" s="129"/>
      <c r="T568" s="129"/>
      <c r="U568" s="129"/>
      <c r="V568" s="129"/>
      <c r="W568" s="131">
        <f>SUM(W3:W3)</f>
        <v>0</v>
      </c>
      <c r="X568" s="132"/>
      <c r="Y568" s="132"/>
      <c r="Z568" s="132"/>
      <c r="AA568" s="132"/>
      <c r="AB568" s="130"/>
      <c r="AC568" s="129">
        <f>SUM(AC3:AC3)</f>
        <v>0</v>
      </c>
      <c r="AD568" s="129"/>
      <c r="AE568" s="128">
        <f>SUM(AE4:AE567)</f>
        <v>337188.026599314</v>
      </c>
      <c r="AF568" s="128"/>
    </row>
    <row r="571" spans="14:14">
      <c r="N571" t="e">
        <f>SUM(M568*#REF!)</f>
        <v>#REF!</v>
      </c>
    </row>
    <row r="572" customFormat="1" spans="4:28">
      <c r="D572" s="2"/>
      <c r="E572" s="2"/>
      <c r="J572" s="3"/>
      <c r="L572" s="3"/>
      <c r="N572">
        <f>SUM(I568)</f>
        <v>0</v>
      </c>
      <c r="W572" s="5"/>
      <c r="X572" s="6"/>
      <c r="Y572" s="6"/>
      <c r="Z572" s="6"/>
      <c r="AA572" s="6"/>
      <c r="AB572" s="3"/>
    </row>
    <row r="573" customFormat="1" spans="4:28">
      <c r="D573" s="2"/>
      <c r="E573" s="2"/>
      <c r="J573" s="3"/>
      <c r="L573" s="3"/>
      <c r="N573" t="e">
        <f>SUM(M571:N572)</f>
        <v>#REF!</v>
      </c>
      <c r="W573" s="5"/>
      <c r="X573" s="6"/>
      <c r="Y573" s="6"/>
      <c r="Z573" s="6"/>
      <c r="AA573" s="6"/>
      <c r="AB573" s="3"/>
    </row>
    <row r="574" customFormat="1" spans="4:28">
      <c r="D574" s="2"/>
      <c r="E574" s="2"/>
      <c r="J574" s="3"/>
      <c r="L574" s="3"/>
      <c r="W574" s="5"/>
      <c r="X574" s="6"/>
      <c r="Y574" s="6"/>
      <c r="Z574" s="6"/>
      <c r="AA574" s="6"/>
      <c r="AB574" s="3"/>
    </row>
    <row r="575" customFormat="1" spans="4:28">
      <c r="D575" s="2"/>
      <c r="E575" s="2"/>
      <c r="J575" s="3"/>
      <c r="L575" s="3"/>
      <c r="W575" s="5"/>
      <c r="X575" s="6"/>
      <c r="Y575" s="6"/>
      <c r="Z575" s="6"/>
      <c r="AA575" s="6"/>
      <c r="AB575" s="3"/>
    </row>
    <row r="576" customFormat="1" spans="4:28">
      <c r="D576" s="2"/>
      <c r="E576" s="2"/>
      <c r="J576" s="3"/>
      <c r="L576" s="3"/>
      <c r="W576" s="5"/>
      <c r="X576" s="6"/>
      <c r="Y576" s="6"/>
      <c r="Z576" s="6"/>
      <c r="AA576" s="6"/>
      <c r="AB576" s="3"/>
    </row>
    <row r="577" customFormat="1" spans="4:28">
      <c r="D577" s="2"/>
      <c r="E577" s="2"/>
      <c r="J577" s="3"/>
      <c r="L577" s="3"/>
      <c r="W577" s="5"/>
      <c r="X577" s="6"/>
      <c r="Y577" s="6"/>
      <c r="Z577" s="6"/>
      <c r="AA577" s="6"/>
      <c r="AB577" s="3"/>
    </row>
    <row r="578" customFormat="1" spans="4:28">
      <c r="D578" s="2"/>
      <c r="E578" s="2"/>
      <c r="J578" s="3"/>
      <c r="L578" s="3"/>
      <c r="W578" s="5"/>
      <c r="X578" s="6"/>
      <c r="Y578" s="6"/>
      <c r="Z578" s="6"/>
      <c r="AA578" s="6"/>
      <c r="AB578" s="3"/>
    </row>
    <row r="579" customFormat="1" spans="4:28">
      <c r="D579" s="2"/>
      <c r="E579" s="2"/>
      <c r="J579" s="3"/>
      <c r="L579" s="3"/>
      <c r="W579" s="5"/>
      <c r="X579" s="6"/>
      <c r="Y579" s="6"/>
      <c r="Z579" s="6"/>
      <c r="AA579" s="6"/>
      <c r="AB579" s="3"/>
    </row>
    <row r="580" customFormat="1" spans="4:28">
      <c r="D580" s="2"/>
      <c r="E580" s="2"/>
      <c r="J580" s="3"/>
      <c r="L580" s="3"/>
      <c r="W580" s="5"/>
      <c r="X580" s="6"/>
      <c r="Y580" s="6"/>
      <c r="Z580" s="6"/>
      <c r="AA580" s="6"/>
      <c r="AB580" s="3"/>
    </row>
    <row r="581" customFormat="1" spans="4:28">
      <c r="D581" s="2"/>
      <c r="E581" s="2"/>
      <c r="J581" s="3"/>
      <c r="L581" s="3"/>
      <c r="W581" s="5"/>
      <c r="X581" s="6"/>
      <c r="Y581" s="6"/>
      <c r="Z581" s="6"/>
      <c r="AA581" s="6"/>
      <c r="AB581" s="3"/>
    </row>
    <row r="582" customFormat="1" spans="4:28">
      <c r="D582" s="2"/>
      <c r="E582" s="2"/>
      <c r="J582" s="3"/>
      <c r="L582" s="3"/>
      <c r="W582" s="5"/>
      <c r="X582" s="6"/>
      <c r="Y582" s="6"/>
      <c r="Z582" s="6"/>
      <c r="AA582" s="6"/>
      <c r="AB582" s="3"/>
    </row>
    <row r="583" customFormat="1" spans="4:28">
      <c r="D583" s="2"/>
      <c r="E583" s="2"/>
      <c r="J583" s="3"/>
      <c r="L583" s="3"/>
      <c r="W583" s="5"/>
      <c r="X583" s="6"/>
      <c r="Y583" s="6"/>
      <c r="Z583" s="6"/>
      <c r="AA583" s="6"/>
      <c r="AB583" s="3"/>
    </row>
    <row r="584" customFormat="1" spans="4:28">
      <c r="D584" s="2"/>
      <c r="E584" s="2"/>
      <c r="J584" s="3"/>
      <c r="L584" s="3"/>
      <c r="W584" s="5"/>
      <c r="X584" s="6"/>
      <c r="Y584" s="6"/>
      <c r="Z584" s="6"/>
      <c r="AA584" s="6"/>
      <c r="AB584" s="3"/>
    </row>
    <row r="585" customFormat="1" spans="4:28">
      <c r="D585" s="2"/>
      <c r="E585" s="2"/>
      <c r="J585" s="3"/>
      <c r="L585" s="3"/>
      <c r="W585" s="5"/>
      <c r="X585" s="6"/>
      <c r="Y585" s="6"/>
      <c r="Z585" s="6"/>
      <c r="AA585" s="6"/>
      <c r="AB585" s="3"/>
    </row>
    <row r="586" customFormat="1" spans="4:28">
      <c r="D586" s="2"/>
      <c r="E586" s="2"/>
      <c r="J586" s="3"/>
      <c r="L586" s="3"/>
      <c r="W586" s="5"/>
      <c r="X586" s="6"/>
      <c r="Y586" s="6"/>
      <c r="Z586" s="6"/>
      <c r="AA586" s="6"/>
      <c r="AB586" s="3"/>
    </row>
    <row r="587" customFormat="1" spans="4:28">
      <c r="D587" s="2"/>
      <c r="E587" s="2"/>
      <c r="J587" s="3"/>
      <c r="L587" s="3"/>
      <c r="W587" s="5"/>
      <c r="X587" s="6"/>
      <c r="Y587" s="6"/>
      <c r="Z587" s="6"/>
      <c r="AA587" s="6"/>
      <c r="AB587" s="3"/>
    </row>
    <row r="588" customFormat="1" spans="4:28">
      <c r="D588" s="2"/>
      <c r="E588" s="2"/>
      <c r="J588" s="3"/>
      <c r="L588" s="3"/>
      <c r="W588" s="5"/>
      <c r="X588" s="6"/>
      <c r="Y588" s="6"/>
      <c r="Z588" s="6"/>
      <c r="AA588" s="6"/>
      <c r="AB588" s="3"/>
    </row>
    <row r="589" customFormat="1" spans="4:28">
      <c r="D589" s="2"/>
      <c r="E589" s="2"/>
      <c r="J589" s="3"/>
      <c r="L589" s="3"/>
      <c r="W589" s="5"/>
      <c r="X589" s="6"/>
      <c r="Y589" s="6"/>
      <c r="Z589" s="6"/>
      <c r="AA589" s="6"/>
      <c r="AB589" s="3"/>
    </row>
    <row r="590" customFormat="1" spans="4:28">
      <c r="D590" s="2"/>
      <c r="E590" s="2"/>
      <c r="J590" s="3"/>
      <c r="L590" s="3"/>
      <c r="W590" s="5"/>
      <c r="X590" s="6"/>
      <c r="Y590" s="6"/>
      <c r="Z590" s="6"/>
      <c r="AA590" s="6"/>
      <c r="AB590" s="3"/>
    </row>
    <row r="591" customFormat="1" spans="4:28">
      <c r="D591" s="2"/>
      <c r="E591" s="2"/>
      <c r="J591" s="3"/>
      <c r="L591" s="3"/>
      <c r="W591" s="5"/>
      <c r="X591" s="6"/>
      <c r="Y591" s="6"/>
      <c r="Z591" s="6"/>
      <c r="AA591" s="6"/>
      <c r="AB591" s="3"/>
    </row>
    <row r="592" customFormat="1" spans="4:28">
      <c r="D592" s="2"/>
      <c r="E592" s="2"/>
      <c r="J592" s="3"/>
      <c r="L592" s="3"/>
      <c r="W592" s="5"/>
      <c r="X592" s="6"/>
      <c r="Y592" s="6"/>
      <c r="Z592" s="6"/>
      <c r="AA592" s="6"/>
      <c r="AB592" s="3"/>
    </row>
    <row r="593" customFormat="1" spans="4:28">
      <c r="D593" s="2"/>
      <c r="E593" s="2"/>
      <c r="J593" s="3"/>
      <c r="L593" s="3"/>
      <c r="W593" s="5"/>
      <c r="X593" s="6"/>
      <c r="Y593" s="6"/>
      <c r="Z593" s="6"/>
      <c r="AA593" s="6"/>
      <c r="AB593" s="3"/>
    </row>
    <row r="594" customFormat="1" spans="4:28">
      <c r="D594" s="2"/>
      <c r="E594" s="2"/>
      <c r="J594" s="3"/>
      <c r="L594" s="3"/>
      <c r="W594" s="5"/>
      <c r="X594" s="6"/>
      <c r="Y594" s="6"/>
      <c r="Z594" s="6"/>
      <c r="AA594" s="6"/>
      <c r="AB594" s="3"/>
    </row>
    <row r="595" customFormat="1" spans="4:28">
      <c r="D595" s="2"/>
      <c r="E595" s="2"/>
      <c r="J595" s="3"/>
      <c r="L595" s="3"/>
      <c r="W595" s="5"/>
      <c r="X595" s="6"/>
      <c r="Y595" s="6"/>
      <c r="Z595" s="6"/>
      <c r="AA595" s="6"/>
      <c r="AB595" s="3"/>
    </row>
    <row r="596" customFormat="1" spans="4:28">
      <c r="D596" s="2"/>
      <c r="E596" s="2"/>
      <c r="J596" s="3"/>
      <c r="L596" s="3"/>
      <c r="W596" s="5"/>
      <c r="X596" s="6"/>
      <c r="Y596" s="6"/>
      <c r="Z596" s="6"/>
      <c r="AA596" s="6"/>
      <c r="AB596" s="3"/>
    </row>
    <row r="597" customFormat="1" spans="4:28">
      <c r="D597" s="2"/>
      <c r="E597" s="2"/>
      <c r="J597" s="3"/>
      <c r="L597" s="3"/>
      <c r="W597" s="5"/>
      <c r="X597" s="6"/>
      <c r="Y597" s="6"/>
      <c r="Z597" s="6"/>
      <c r="AA597" s="6"/>
      <c r="AB597" s="3"/>
    </row>
    <row r="598" customFormat="1" spans="4:28">
      <c r="D598" s="2"/>
      <c r="E598" s="2"/>
      <c r="J598" s="3"/>
      <c r="L598" s="3"/>
      <c r="W598" s="5"/>
      <c r="X598" s="6"/>
      <c r="Y598" s="6"/>
      <c r="Z598" s="6"/>
      <c r="AA598" s="6"/>
      <c r="AB598" s="3"/>
    </row>
    <row r="599" customFormat="1" spans="4:28">
      <c r="D599" s="2"/>
      <c r="E599" s="2"/>
      <c r="J599" s="3"/>
      <c r="L599" s="3"/>
      <c r="W599" s="5"/>
      <c r="X599" s="6"/>
      <c r="Y599" s="6"/>
      <c r="Z599" s="6"/>
      <c r="AA599" s="6"/>
      <c r="AB599" s="3"/>
    </row>
    <row r="600" customFormat="1" spans="4:28">
      <c r="D600" s="2"/>
      <c r="E600" s="2"/>
      <c r="J600" s="3"/>
      <c r="L600" s="3"/>
      <c r="W600" s="5"/>
      <c r="X600" s="6"/>
      <c r="Y600" s="6"/>
      <c r="Z600" s="6"/>
      <c r="AA600" s="6"/>
      <c r="AB600" s="3"/>
    </row>
    <row r="601" customFormat="1" spans="4:28">
      <c r="D601" s="2"/>
      <c r="E601" s="2"/>
      <c r="J601" s="3"/>
      <c r="L601" s="3"/>
      <c r="W601" s="5"/>
      <c r="X601" s="6"/>
      <c r="Y601" s="6"/>
      <c r="Z601" s="6"/>
      <c r="AA601" s="6"/>
      <c r="AB601" s="3"/>
    </row>
    <row r="602" customFormat="1" spans="4:28">
      <c r="D602" s="2"/>
      <c r="E602" s="2"/>
      <c r="J602" s="3"/>
      <c r="L602" s="3"/>
      <c r="W602" s="5"/>
      <c r="X602" s="6"/>
      <c r="Y602" s="6"/>
      <c r="Z602" s="6"/>
      <c r="AA602" s="6"/>
      <c r="AB602" s="3"/>
    </row>
    <row r="603" customFormat="1" spans="4:28">
      <c r="D603" s="2"/>
      <c r="E603" s="2"/>
      <c r="J603" s="3"/>
      <c r="L603" s="3"/>
      <c r="W603" s="5"/>
      <c r="X603" s="6"/>
      <c r="Y603" s="6"/>
      <c r="Z603" s="6"/>
      <c r="AA603" s="6"/>
      <c r="AB603" s="3"/>
    </row>
    <row r="604" customFormat="1" spans="4:28">
      <c r="D604" s="2"/>
      <c r="E604" s="2"/>
      <c r="J604" s="3"/>
      <c r="L604" s="3"/>
      <c r="W604" s="5"/>
      <c r="X604" s="6"/>
      <c r="Y604" s="6"/>
      <c r="Z604" s="6"/>
      <c r="AA604" s="6"/>
      <c r="AB604" s="3"/>
    </row>
    <row r="605" customFormat="1" spans="4:28">
      <c r="D605" s="2"/>
      <c r="E605" s="2"/>
      <c r="J605" s="3"/>
      <c r="L605" s="3"/>
      <c r="W605" s="5"/>
      <c r="X605" s="6"/>
      <c r="Y605" s="6"/>
      <c r="Z605" s="6"/>
      <c r="AA605" s="6"/>
      <c r="AB605" s="3"/>
    </row>
    <row r="606" customFormat="1" spans="4:28">
      <c r="D606" s="2"/>
      <c r="E606" s="2"/>
      <c r="J606" s="3"/>
      <c r="L606" s="3"/>
      <c r="W606" s="5"/>
      <c r="X606" s="6"/>
      <c r="Y606" s="6"/>
      <c r="Z606" s="6"/>
      <c r="AA606" s="6"/>
      <c r="AB606" s="3"/>
    </row>
    <row r="607" customFormat="1" spans="4:28">
      <c r="D607" s="2"/>
      <c r="E607" s="2"/>
      <c r="J607" s="3"/>
      <c r="L607" s="3"/>
      <c r="W607" s="5"/>
      <c r="X607" s="6"/>
      <c r="Y607" s="6"/>
      <c r="Z607" s="6"/>
      <c r="AA607" s="6"/>
      <c r="AB607" s="3"/>
    </row>
    <row r="608" customFormat="1" spans="4:28">
      <c r="D608" s="2"/>
      <c r="E608" s="2"/>
      <c r="J608" s="3"/>
      <c r="L608" s="3"/>
      <c r="W608" s="5"/>
      <c r="X608" s="6"/>
      <c r="Y608" s="6"/>
      <c r="Z608" s="6"/>
      <c r="AA608" s="6"/>
      <c r="AB608" s="3"/>
    </row>
    <row r="609" customFormat="1" spans="4:28">
      <c r="D609" s="2"/>
      <c r="E609" s="2"/>
      <c r="J609" s="3"/>
      <c r="L609" s="3"/>
      <c r="W609" s="5"/>
      <c r="X609" s="6"/>
      <c r="Y609" s="6"/>
      <c r="Z609" s="6"/>
      <c r="AA609" s="6"/>
      <c r="AB609" s="3"/>
    </row>
    <row r="610" customFormat="1" spans="4:28">
      <c r="D610" s="2"/>
      <c r="E610" s="2"/>
      <c r="J610" s="3"/>
      <c r="L610" s="3"/>
      <c r="W610" s="5"/>
      <c r="X610" s="6"/>
      <c r="Y610" s="6"/>
      <c r="Z610" s="6"/>
      <c r="AA610" s="6"/>
      <c r="AB610" s="3"/>
    </row>
    <row r="611" customFormat="1" spans="4:28">
      <c r="D611" s="2"/>
      <c r="E611" s="2"/>
      <c r="J611" s="3"/>
      <c r="L611" s="3"/>
      <c r="W611" s="5"/>
      <c r="X611" s="6"/>
      <c r="Y611" s="6"/>
      <c r="Z611" s="6"/>
      <c r="AA611" s="6"/>
      <c r="AB611" s="3"/>
    </row>
    <row r="612" customFormat="1" spans="4:28">
      <c r="D612" s="2"/>
      <c r="E612" s="2"/>
      <c r="J612" s="3"/>
      <c r="L612" s="3"/>
      <c r="W612" s="5"/>
      <c r="X612" s="6"/>
      <c r="Y612" s="6"/>
      <c r="Z612" s="6"/>
      <c r="AA612" s="6"/>
      <c r="AB612" s="3"/>
    </row>
    <row r="613" customFormat="1" spans="4:28">
      <c r="D613" s="2"/>
      <c r="E613" s="2"/>
      <c r="J613" s="3"/>
      <c r="L613" s="3"/>
      <c r="W613" s="5"/>
      <c r="X613" s="6"/>
      <c r="Y613" s="6"/>
      <c r="Z613" s="6"/>
      <c r="AA613" s="6"/>
      <c r="AB613" s="3"/>
    </row>
    <row r="614" customFormat="1" spans="4:28">
      <c r="D614" s="2"/>
      <c r="E614" s="2"/>
      <c r="J614" s="3"/>
      <c r="L614" s="3"/>
      <c r="W614" s="5"/>
      <c r="X614" s="6"/>
      <c r="Y614" s="6"/>
      <c r="Z614" s="6"/>
      <c r="AA614" s="6"/>
      <c r="AB614" s="3"/>
    </row>
  </sheetData>
  <autoFilter xmlns:etc="http://www.wps.cn/officeDocument/2017/etCustomData" ref="A2:AE568" etc:filterBottomFollowUsedRange="0">
    <extLst/>
  </autoFilter>
  <mergeCells count="94">
    <mergeCell ref="A1:AE1"/>
    <mergeCell ref="I2:O2"/>
    <mergeCell ref="Q2:U2"/>
    <mergeCell ref="X2:AC2"/>
    <mergeCell ref="A2:A3"/>
    <mergeCell ref="A4:A7"/>
    <mergeCell ref="A10:A38"/>
    <mergeCell ref="A39:A40"/>
    <mergeCell ref="A51:A66"/>
    <mergeCell ref="A67:A105"/>
    <mergeCell ref="A106:A126"/>
    <mergeCell ref="A127:A219"/>
    <mergeCell ref="A220:A230"/>
    <mergeCell ref="A231:A299"/>
    <mergeCell ref="A300:A369"/>
    <mergeCell ref="A370:A395"/>
    <mergeCell ref="A396:A427"/>
    <mergeCell ref="A433:A448"/>
    <mergeCell ref="A449:A526"/>
    <mergeCell ref="A527:A530"/>
    <mergeCell ref="A531:A566"/>
    <mergeCell ref="B2:B3"/>
    <mergeCell ref="B4:B7"/>
    <mergeCell ref="B10:B38"/>
    <mergeCell ref="B39:B40"/>
    <mergeCell ref="B51:B66"/>
    <mergeCell ref="B67:B105"/>
    <mergeCell ref="B106:B126"/>
    <mergeCell ref="B127:B219"/>
    <mergeCell ref="B220:B230"/>
    <mergeCell ref="B231:B299"/>
    <mergeCell ref="B300:B369"/>
    <mergeCell ref="B370:B395"/>
    <mergeCell ref="B396:B427"/>
    <mergeCell ref="B433:B448"/>
    <mergeCell ref="B449:B526"/>
    <mergeCell ref="B527:B530"/>
    <mergeCell ref="B531:B566"/>
    <mergeCell ref="C2:C3"/>
    <mergeCell ref="D2:D3"/>
    <mergeCell ref="E2:E3"/>
    <mergeCell ref="F2:F3"/>
    <mergeCell ref="G2:G3"/>
    <mergeCell ref="H2:H3"/>
    <mergeCell ref="P2:P3"/>
    <mergeCell ref="P4:P7"/>
    <mergeCell ref="P10:P38"/>
    <mergeCell ref="P39:P40"/>
    <mergeCell ref="P51:P66"/>
    <mergeCell ref="P67:P105"/>
    <mergeCell ref="P106:P126"/>
    <mergeCell ref="P127:P219"/>
    <mergeCell ref="P220:P230"/>
    <mergeCell ref="P231:P299"/>
    <mergeCell ref="P300:P369"/>
    <mergeCell ref="P370:P395"/>
    <mergeCell ref="P396:P427"/>
    <mergeCell ref="P433:P448"/>
    <mergeCell ref="P449:P526"/>
    <mergeCell ref="P527:P530"/>
    <mergeCell ref="P531:P566"/>
    <mergeCell ref="Q4:Q7"/>
    <mergeCell ref="Q10:Q38"/>
    <mergeCell ref="Q39:Q40"/>
    <mergeCell ref="Q51:Q66"/>
    <mergeCell ref="Q67:Q105"/>
    <mergeCell ref="Q106:Q126"/>
    <mergeCell ref="Q127:Q219"/>
    <mergeCell ref="Q220:Q230"/>
    <mergeCell ref="Q231:Q299"/>
    <mergeCell ref="Q300:Q369"/>
    <mergeCell ref="Q370:Q395"/>
    <mergeCell ref="Q396:Q427"/>
    <mergeCell ref="Q433:Q448"/>
    <mergeCell ref="Q449:Q526"/>
    <mergeCell ref="Q527:Q530"/>
    <mergeCell ref="Q531:Q566"/>
    <mergeCell ref="R39:R40"/>
    <mergeCell ref="S39:S40"/>
    <mergeCell ref="T39:T40"/>
    <mergeCell ref="U39:U40"/>
    <mergeCell ref="V2:V3"/>
    <mergeCell ref="V39:V40"/>
    <mergeCell ref="W2:W3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2:AE3"/>
    <mergeCell ref="AE39:AE40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2025-02-12T01:57:33Z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